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 activeTab="1"/>
  </bookViews>
  <sheets>
    <sheet name="COMPREHENSIVE (JAN'14)" sheetId="2" r:id="rId1"/>
    <sheet name="COMPLIANT (JAN'14)" sheetId="1" r:id="rId2"/>
    <sheet name="NON-COMPLIANT (JAN'14)" sheetId="3" r:id="rId3"/>
  </sheets>
  <calcPr calcId="125725"/>
</workbook>
</file>

<file path=xl/calcChain.xml><?xml version="1.0" encoding="utf-8"?>
<calcChain xmlns="http://schemas.openxmlformats.org/spreadsheetml/2006/main">
  <c r="Y18" i="1"/>
  <c r="X18"/>
  <c r="V18"/>
  <c r="V8"/>
  <c r="Y17" i="3"/>
  <c r="P17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B7"/>
  <c r="B8" s="1"/>
  <c r="B9" s="1"/>
  <c r="B10" s="1"/>
  <c r="B11" s="1"/>
  <c r="B12" s="1"/>
  <c r="B13" s="1"/>
  <c r="B14" s="1"/>
  <c r="B15" s="1"/>
  <c r="B16" s="1"/>
  <c r="X17"/>
  <c r="Q17"/>
  <c r="P21" i="2"/>
  <c r="T20"/>
  <c r="Q20"/>
  <c r="V20" s="1"/>
  <c r="X20" s="1"/>
  <c r="T19"/>
  <c r="Q19"/>
  <c r="V19" s="1"/>
  <c r="X19" s="1"/>
  <c r="Y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Y15" s="1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Y8" s="1"/>
  <c r="T7"/>
  <c r="Q7"/>
  <c r="V7" s="1"/>
  <c r="X7" s="1"/>
  <c r="Y7" s="1"/>
  <c r="T6"/>
  <c r="Q6"/>
  <c r="V6" s="1"/>
  <c r="X6" s="1"/>
  <c r="Y6" s="1"/>
  <c r="Y21" s="1"/>
  <c r="T5"/>
  <c r="Q5"/>
  <c r="V5" s="1"/>
  <c r="X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Q18" i="1"/>
  <c r="P18"/>
  <c r="T17"/>
  <c r="Q17"/>
  <c r="V17" s="1"/>
  <c r="X17" s="1"/>
  <c r="Y17" s="1"/>
  <c r="T16"/>
  <c r="Q16"/>
  <c r="V16" s="1"/>
  <c r="X16" s="1"/>
  <c r="Y16" s="1"/>
  <c r="T15"/>
  <c r="Q15"/>
  <c r="V15" s="1"/>
  <c r="X15" s="1"/>
  <c r="Y15" s="1"/>
  <c r="T14"/>
  <c r="Q14"/>
  <c r="V14" s="1"/>
  <c r="X14" s="1"/>
  <c r="Y14" s="1"/>
  <c r="T13"/>
  <c r="Q13"/>
  <c r="V13" s="1"/>
  <c r="X13" s="1"/>
  <c r="Y13" s="1"/>
  <c r="B13"/>
  <c r="B14" s="1"/>
  <c r="B15" s="1"/>
  <c r="B16" s="1"/>
  <c r="B17" s="1"/>
  <c r="V17" i="3" l="1"/>
  <c r="Q21" i="2"/>
  <c r="T12" i="1"/>
  <c r="Q12"/>
  <c r="V12" s="1"/>
  <c r="X12" s="1"/>
  <c r="B12"/>
  <c r="B10"/>
  <c r="B11" s="1"/>
  <c r="B9"/>
  <c r="V21" i="2" l="1"/>
  <c r="X21"/>
  <c r="T9" i="1"/>
  <c r="Q9"/>
  <c r="V9" s="1"/>
  <c r="X9" s="1"/>
  <c r="T11"/>
  <c r="Q11"/>
  <c r="V11" s="1"/>
  <c r="X11" s="1"/>
  <c r="T10"/>
  <c r="Q10"/>
  <c r="V10" s="1"/>
  <c r="X10" s="1"/>
  <c r="T8" l="1"/>
  <c r="Q8"/>
  <c r="X8" s="1"/>
  <c r="T7" l="1"/>
  <c r="Q7"/>
  <c r="V7" s="1"/>
  <c r="X7" s="1"/>
  <c r="T6"/>
  <c r="Q6"/>
  <c r="B7"/>
  <c r="B8" s="1"/>
  <c r="V6" l="1"/>
  <c r="X6" l="1"/>
</calcChain>
</file>

<file path=xl/sharedStrings.xml><?xml version="1.0" encoding="utf-8"?>
<sst xmlns="http://schemas.openxmlformats.org/spreadsheetml/2006/main" count="551" uniqueCount="166">
  <si>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</si>
  <si>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</si>
  <si>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</si>
  <si>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</si>
  <si>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</si>
  <si>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</si>
  <si>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</si>
  <si>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</si>
  <si>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</si>
  <si>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</si>
  <si>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</si>
  <si>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</si>
  <si>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</si>
  <si>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</si>
  <si>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</si>
  <si>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</si>
  <si>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</si>
  <si>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</si>
  <si>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</si>
  <si>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</si>
  <si>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DESIGNATED BANK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</si>
  <si>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</si>
  <si>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</si>
  <si>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</si>
  <si>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</si>
  <si>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</si>
  <si>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</si>
  <si>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CITI BANK</t>
  </si>
  <si>
    <t>ANTAN BLEND CRUDE OIL</t>
  </si>
  <si>
    <t>ANTAN</t>
  </si>
  <si>
    <t>C182</t>
  </si>
  <si>
    <t>TAIWAN</t>
  </si>
  <si>
    <t>ADDAX PET.</t>
  </si>
  <si>
    <t>CITI BANK OF NIG</t>
  </si>
  <si>
    <t>DENMARK</t>
  </si>
  <si>
    <t>ANTAN 088</t>
  </si>
  <si>
    <t>ADDAX ANTAN 030</t>
  </si>
  <si>
    <t>201300020021</t>
  </si>
  <si>
    <t>MARAN CAPRICORN</t>
  </si>
  <si>
    <t>ONE OR MORE SAFE PORTS, TAIWAN</t>
  </si>
  <si>
    <t>ADDAX ANTAN 031</t>
  </si>
  <si>
    <t>SONANGOL CABINDA</t>
  </si>
  <si>
    <t xml:space="preserve">KALUNDBORG </t>
  </si>
  <si>
    <t>COMPLIANT INSPECTION REPORT FOR THE PERIOD OF  JANUARY 2014</t>
  </si>
  <si>
    <t>EBOK 010</t>
  </si>
  <si>
    <t>ORIENTAL EBOK 010</t>
  </si>
  <si>
    <t>201400010022</t>
  </si>
  <si>
    <t>STANBIC IBTC</t>
  </si>
  <si>
    <t xml:space="preserve">ORIENTAL ENERGY </t>
  </si>
  <si>
    <t>EBOK BLEND CRUDE OIL</t>
  </si>
  <si>
    <t>ASTRO ARCTURUS</t>
  </si>
  <si>
    <t>EBOK</t>
  </si>
  <si>
    <t>UNITED KINGDOM</t>
  </si>
  <si>
    <t>TETNEY</t>
  </si>
  <si>
    <t>STANDARD CHARTERED</t>
  </si>
  <si>
    <t>EBOK 011</t>
  </si>
  <si>
    <t>ORIENTAL EBOK 011</t>
  </si>
  <si>
    <t>201400010033</t>
  </si>
  <si>
    <t>MARE AEGEUM</t>
  </si>
  <si>
    <t>USA</t>
  </si>
  <si>
    <t>ONE OR MORE SAFE PORT(S), US GULF COAST</t>
  </si>
  <si>
    <t>EBOK 012</t>
  </si>
  <si>
    <t>ORIENTAL EBOK 012</t>
  </si>
  <si>
    <t>201400010034</t>
  </si>
  <si>
    <t>YOHO 086</t>
  </si>
  <si>
    <t>MOBIL YOHO 035</t>
  </si>
  <si>
    <t>201300010493</t>
  </si>
  <si>
    <t>MOBIL PRODUCING</t>
  </si>
  <si>
    <t>YOHO BLEND CRUDE OIL</t>
  </si>
  <si>
    <t>TIANLONG SPIRIT</t>
  </si>
  <si>
    <t>YOHO</t>
  </si>
  <si>
    <t>INDIA</t>
  </si>
  <si>
    <t>ONE OR MORE SAFE PORTS, INDIA</t>
  </si>
  <si>
    <t>UBA</t>
  </si>
  <si>
    <t>YOHO 089</t>
  </si>
  <si>
    <t>MOBIL YOHO 036</t>
  </si>
  <si>
    <t>201300010531</t>
  </si>
  <si>
    <t>PATROCLUS</t>
  </si>
  <si>
    <t>SPAIN</t>
  </si>
  <si>
    <t>ONE OR MORE SAFE PORTS, HUELVA</t>
  </si>
  <si>
    <t>YOHO 093</t>
  </si>
  <si>
    <t>NNPC YOHO 056</t>
  </si>
  <si>
    <t>40412109C48/226</t>
  </si>
  <si>
    <t>CENTRAL BANK</t>
  </si>
  <si>
    <t>NNPC</t>
  </si>
  <si>
    <t>PRISCO MIZAR</t>
  </si>
  <si>
    <t>FRANCE</t>
  </si>
  <si>
    <t>DONGES</t>
  </si>
  <si>
    <t>ANTAN 091</t>
  </si>
  <si>
    <t>NNPC ANTAN 041</t>
  </si>
  <si>
    <t>40412111C19/16A</t>
  </si>
  <si>
    <t>PINK</t>
  </si>
  <si>
    <t>DEMARK</t>
  </si>
  <si>
    <t>KALUNDBORG</t>
  </si>
  <si>
    <t>ANTAN 092</t>
  </si>
  <si>
    <t>NNPC ANTAN 042</t>
  </si>
  <si>
    <t>40412111C19/16B</t>
  </si>
  <si>
    <t>OKONO 069</t>
  </si>
  <si>
    <t>NNPC OKONO 054</t>
  </si>
  <si>
    <t>40412115C38/62</t>
  </si>
  <si>
    <t>OKONO BLEND CRUDE OIL</t>
  </si>
  <si>
    <t>AFRODITI</t>
  </si>
  <si>
    <t>OKONO</t>
  </si>
  <si>
    <t>FINNART</t>
  </si>
  <si>
    <t>BRASS 436</t>
  </si>
  <si>
    <t>NNPC BRASS 140</t>
  </si>
  <si>
    <t>40412105C13/53</t>
  </si>
  <si>
    <t>BRASS BLEND CRUDE OIL</t>
  </si>
  <si>
    <t>GRENA</t>
  </si>
  <si>
    <t>BRASS</t>
  </si>
  <si>
    <t>SWEDEN</t>
  </si>
  <si>
    <t>GOTHENBURG</t>
  </si>
  <si>
    <t>ADDAX PETROLEUM</t>
  </si>
  <si>
    <t>SOUTH AFRICA</t>
  </si>
  <si>
    <t>SKYE BANK</t>
  </si>
  <si>
    <t>ZENITH BANK</t>
  </si>
  <si>
    <t>NIGERIAN AGIP</t>
  </si>
  <si>
    <t>OYO BLEND CRUDE OIL</t>
  </si>
  <si>
    <t>OYO</t>
  </si>
  <si>
    <t>ITALY</t>
  </si>
  <si>
    <t>NOT YET ISSUED</t>
  </si>
  <si>
    <t>SEAVOYAGER</t>
  </si>
  <si>
    <t>ALLIED ENERGY</t>
  </si>
  <si>
    <t>MIDWESTERN OIL</t>
  </si>
  <si>
    <t>PLATFORM PETROLEUM</t>
  </si>
  <si>
    <t>HUELVA</t>
  </si>
  <si>
    <t>DURBAN FOR ORDERS</t>
  </si>
  <si>
    <t>LE HAVRE</t>
  </si>
  <si>
    <t>GEORGE S</t>
  </si>
  <si>
    <t>GUARANTY TRUST BANK</t>
  </si>
  <si>
    <t>THAILAND</t>
  </si>
  <si>
    <t>ATLANTIC ENERGY</t>
  </si>
  <si>
    <t>GENOA</t>
  </si>
  <si>
    <t>FOUR SMILE</t>
  </si>
  <si>
    <t>STERLING BANK</t>
  </si>
  <si>
    <t>BRASS 429</t>
  </si>
  <si>
    <t>201300010582</t>
  </si>
  <si>
    <t>RELIANCE TERMINAL, SIKKA PORT</t>
  </si>
  <si>
    <t>BRASS 430</t>
  </si>
  <si>
    <t>201400020001</t>
  </si>
  <si>
    <t>PRINCIMAR LOYALTY</t>
  </si>
  <si>
    <t>BRASS 431</t>
  </si>
  <si>
    <t>201401010048</t>
  </si>
  <si>
    <t>BRASS 432</t>
  </si>
  <si>
    <t>201401010049</t>
  </si>
  <si>
    <t>BRASS 433</t>
  </si>
  <si>
    <t>201409030001</t>
  </si>
  <si>
    <t>BRASS 434</t>
  </si>
  <si>
    <t>201400010003</t>
  </si>
  <si>
    <t>BRASS 435</t>
  </si>
  <si>
    <t>YET RECEIVED A</t>
  </si>
  <si>
    <t>OYO 012</t>
  </si>
  <si>
    <t>201400010008</t>
  </si>
  <si>
    <t>EBOK 013</t>
  </si>
  <si>
    <t>YET RECEIVED B</t>
  </si>
  <si>
    <t>ORIENTAL ENERGY</t>
  </si>
  <si>
    <t>SC SARA</t>
  </si>
  <si>
    <t>YOHO 094</t>
  </si>
  <si>
    <t>YET RECEIVED C</t>
  </si>
  <si>
    <t>ANTAN 093</t>
  </si>
  <si>
    <t>201400020002</t>
  </si>
  <si>
    <t>EAGLE SAN DIEGO</t>
  </si>
  <si>
    <t>ONE OR MORE SAFE PORT(S)</t>
  </si>
  <si>
    <t>COMPREHENSIVE INSPECTION REPORT FOR THE PERIOD OF  JANUARY 2014</t>
  </si>
  <si>
    <t>NON-COMPLIANT INSPECTION REPORT FOR THE PERIOD OF  JANUARY 2014</t>
  </si>
  <si>
    <t xml:space="preserve">STANDARD CHARTERED 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</si>
</sst>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0.0000"/>
    <numFmt numFmtId="165" formatCode="0000000"/>
    <numFmt numFmtId="166" formatCode="00000000000000"/>
    <numFmt numFmtId="167" formatCode="_-* #,##0_-;\-* #,##0_-;_-* &quot;-&quot;??_-;_-@_-"/>
    <numFmt numFmtId="168" formatCode="00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64" fontId="6" fillId="0" borderId="5" xfId="0" applyNumberFormat="1" applyFont="1" applyFill="1" applyBorder="1" applyAlignment="1">
      <alignment horizontal="center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7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164" fontId="7" fillId="0" borderId="0" xfId="0" applyNumberFormat="1" applyFont="1" applyFill="1" applyAlignment="1">
      <alignment horizontal="center"/>
    </xf>
    <xf numFmtId="0" fontId="9" fillId="0" borderId="0" xfId="0" applyFont="1" applyFill="1"/>
    <xf numFmtId="0" fontId="10" fillId="0" borderId="2" xfId="2" applyFont="1" applyFill="1" applyBorder="1" applyAlignment="1">
      <alignment horizontal="center" vertical="center" wrapText="1"/>
    </xf>
    <xf numFmtId="0" fontId="10" fillId="0" borderId="3" xfId="2" applyFont="1" applyFill="1" applyBorder="1" applyAlignment="1">
      <alignment horizontal="center" vertical="center" wrapText="1"/>
    </xf>
    <xf numFmtId="49" fontId="10" fillId="0" borderId="3" xfId="2" applyNumberFormat="1" applyFont="1" applyFill="1" applyBorder="1" applyAlignment="1">
      <alignment horizontal="center" vertical="center"/>
    </xf>
    <xf numFmtId="49" fontId="10" fillId="0" borderId="3" xfId="2" applyNumberFormat="1" applyFont="1" applyFill="1" applyBorder="1" applyAlignment="1">
      <alignment horizontal="center" vertical="center" wrapText="1"/>
    </xf>
    <xf numFmtId="164" fontId="10" fillId="0" borderId="3" xfId="2" applyNumberFormat="1" applyFont="1" applyFill="1" applyBorder="1" applyAlignment="1">
      <alignment horizontal="center" vertical="center" wrapText="1"/>
    </xf>
    <xf numFmtId="0" fontId="10" fillId="0" borderId="4" xfId="2" applyFont="1" applyFill="1" applyBorder="1" applyAlignment="1">
      <alignment horizontal="center" vertical="center" wrapText="1"/>
    </xf>
    <xf numFmtId="0" fontId="6" fillId="0" borderId="5" xfId="0" applyFont="1" applyFill="1" applyBorder="1"/>
    <xf numFmtId="0" fontId="6" fillId="0" borderId="5" xfId="0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 wrapText="1"/>
    </xf>
    <xf numFmtId="49" fontId="6" fillId="0" borderId="5" xfId="0" applyNumberFormat="1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164" fontId="6" fillId="0" borderId="5" xfId="0" applyNumberFormat="1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vertical="center" wrapText="1"/>
    </xf>
    <xf numFmtId="3" fontId="6" fillId="0" borderId="5" xfId="0" applyNumberFormat="1" applyFont="1" applyFill="1" applyBorder="1"/>
    <xf numFmtId="4" fontId="6" fillId="0" borderId="5" xfId="0" applyNumberFormat="1" applyFont="1" applyFill="1" applyBorder="1" applyAlignment="1">
      <alignment horizontal="right"/>
    </xf>
    <xf numFmtId="4" fontId="6" fillId="0" borderId="5" xfId="0" applyNumberFormat="1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/>
    </xf>
    <xf numFmtId="4" fontId="6" fillId="0" borderId="5" xfId="0" applyNumberFormat="1" applyFont="1" applyFill="1" applyBorder="1"/>
    <xf numFmtId="2" fontId="6" fillId="0" borderId="5" xfId="0" applyNumberFormat="1" applyFont="1" applyFill="1" applyBorder="1"/>
    <xf numFmtId="14" fontId="6" fillId="0" borderId="5" xfId="0" applyNumberFormat="1" applyFont="1" applyFill="1" applyBorder="1" applyAlignment="1">
      <alignment horizontal="center" vertical="center" wrapText="1"/>
    </xf>
    <xf numFmtId="43" fontId="6" fillId="0" borderId="5" xfId="1" applyFont="1" applyFill="1" applyBorder="1"/>
    <xf numFmtId="4" fontId="6" fillId="0" borderId="5" xfId="0" applyNumberFormat="1" applyFont="1" applyFill="1" applyBorder="1" applyAlignment="1">
      <alignment horizontal="center" wrapText="1"/>
    </xf>
    <xf numFmtId="164" fontId="6" fillId="0" borderId="5" xfId="4" applyNumberFormat="1" applyFont="1" applyFill="1" applyBorder="1" applyAlignment="1">
      <alignment horizontal="center"/>
    </xf>
    <xf numFmtId="49" fontId="6" fillId="0" borderId="8" xfId="0" applyNumberFormat="1" applyFont="1" applyFill="1" applyBorder="1" applyAlignment="1">
      <alignment horizontal="center" wrapText="1"/>
    </xf>
    <xf numFmtId="0" fontId="6" fillId="0" borderId="9" xfId="0" applyFont="1" applyFill="1" applyBorder="1" applyAlignment="1">
      <alignment horizontal="center" wrapText="1"/>
    </xf>
    <xf numFmtId="14" fontId="6" fillId="0" borderId="8" xfId="0" applyNumberFormat="1" applyFont="1" applyFill="1" applyBorder="1" applyAlignment="1">
      <alignment horizontal="center" wrapText="1"/>
    </xf>
    <xf numFmtId="0" fontId="6" fillId="0" borderId="8" xfId="0" applyFont="1" applyFill="1" applyBorder="1" applyAlignment="1">
      <alignment horizontal="center" wrapText="1"/>
    </xf>
    <xf numFmtId="167" fontId="6" fillId="0" borderId="6" xfId="5" applyNumberFormat="1" applyFont="1" applyFill="1" applyBorder="1"/>
    <xf numFmtId="4" fontId="6" fillId="0" borderId="6" xfId="0" applyNumberFormat="1" applyFont="1" applyFill="1" applyBorder="1" applyAlignment="1">
      <alignment horizontal="right"/>
    </xf>
    <xf numFmtId="4" fontId="6" fillId="0" borderId="6" xfId="0" applyNumberFormat="1" applyFont="1" applyFill="1" applyBorder="1"/>
    <xf numFmtId="2" fontId="6" fillId="0" borderId="6" xfId="0" applyNumberFormat="1" applyFont="1" applyFill="1" applyBorder="1"/>
    <xf numFmtId="0" fontId="9" fillId="0" borderId="0" xfId="0" applyFont="1" applyFill="1" applyAlignment="1">
      <alignment horizontal="center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>
      <alignment horizontal="center" wrapText="1"/>
    </xf>
    <xf numFmtId="0" fontId="10" fillId="0" borderId="0" xfId="0" applyFont="1" applyFill="1" applyAlignment="1">
      <alignment horizontal="center" wrapText="1"/>
    </xf>
    <xf numFmtId="3" fontId="10" fillId="0" borderId="7" xfId="0" applyNumberFormat="1" applyFont="1" applyFill="1" applyBorder="1"/>
    <xf numFmtId="4" fontId="10" fillId="0" borderId="7" xfId="0" applyNumberFormat="1" applyFont="1" applyFill="1" applyBorder="1"/>
    <xf numFmtId="0" fontId="10" fillId="0" borderId="0" xfId="0" applyFont="1" applyFill="1"/>
    <xf numFmtId="164" fontId="10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horizontal="center"/>
    </xf>
    <xf numFmtId="43" fontId="10" fillId="0" borderId="7" xfId="0" applyNumberFormat="1" applyFont="1" applyFill="1" applyBorder="1"/>
    <xf numFmtId="165" fontId="6" fillId="0" borderId="5" xfId="0" applyNumberFormat="1" applyFont="1" applyFill="1" applyBorder="1" applyAlignment="1">
      <alignment horizontal="center"/>
    </xf>
    <xf numFmtId="1" fontId="6" fillId="0" borderId="5" xfId="0" applyNumberFormat="1" applyFont="1" applyFill="1" applyBorder="1" applyAlignment="1">
      <alignment horizontal="center" wrapText="1"/>
    </xf>
    <xf numFmtId="43" fontId="6" fillId="0" borderId="6" xfId="1" applyFont="1" applyFill="1" applyBorder="1"/>
    <xf numFmtId="3" fontId="6" fillId="0" borderId="6" xfId="0" applyNumberFormat="1" applyFont="1" applyFill="1" applyBorder="1"/>
    <xf numFmtId="2" fontId="6" fillId="0" borderId="5" xfId="0" applyNumberFormat="1" applyFont="1" applyFill="1" applyBorder="1" applyAlignment="1">
      <alignment horizontal="center"/>
    </xf>
    <xf numFmtId="14" fontId="6" fillId="0" borderId="8" xfId="0" applyNumberFormat="1" applyFont="1" applyFill="1" applyBorder="1" applyAlignment="1">
      <alignment horizontal="center" vertical="center" wrapText="1"/>
    </xf>
    <xf numFmtId="167" fontId="6" fillId="0" borderId="5" xfId="5" applyNumberFormat="1" applyFont="1" applyFill="1" applyBorder="1"/>
    <xf numFmtId="168" fontId="6" fillId="0" borderId="5" xfId="0" applyNumberFormat="1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 wrapText="1"/>
    </xf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0</xdr:row>
      <xdr:rowOff>85725</xdr:rowOff>
    </xdr:from>
    <xdr:to>
      <xdr:col>4</xdr:col>
      <xdr:colOff>28575</xdr:colOff>
      <xdr:row>2</xdr:row>
      <xdr:rowOff>66676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200" y="85725"/>
          <a:ext cx="466725" cy="371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38099</xdr:rowOff>
    </xdr:from>
    <xdr:to>
      <xdr:col>4</xdr:col>
      <xdr:colOff>76200</xdr:colOff>
      <xdr:row>2</xdr:row>
      <xdr:rowOff>285749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200" y="228599"/>
          <a:ext cx="51435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1</xdr:row>
      <xdr:rowOff>66674</xdr:rowOff>
    </xdr:from>
    <xdr:to>
      <xdr:col>4</xdr:col>
      <xdr:colOff>257175</xdr:colOff>
      <xdr:row>3</xdr:row>
      <xdr:rowOff>9524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62025" y="257174"/>
          <a:ext cx="51435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A21"/>
  <sheetViews>
    <sheetView topLeftCell="A4" workbookViewId="0">
      <selection activeCell="AC4" sqref="AC4"/>
    </sheetView>
  </sheetViews>
  <sheetFormatPr defaultRowHeight="15"/>
  <cols>
    <col min="1" max="1" width="3.140625" style="9" customWidth="1"/>
    <col min="2" max="2" width="3.5703125" style="9" customWidth="1"/>
    <col min="3" max="3" width="5.42578125" style="10" customWidth="1"/>
    <col min="4" max="4" width="7.140625" style="10" customWidth="1"/>
    <col min="5" max="5" width="5.7109375" style="10" customWidth="1"/>
    <col min="6" max="6" width="11" style="10" customWidth="1"/>
    <col min="7" max="7" width="8.5703125" style="10" customWidth="1"/>
    <col min="8" max="8" width="8.140625" style="10" customWidth="1"/>
    <col min="9" max="9" width="8.85546875" style="10" customWidth="1"/>
    <col min="10" max="10" width="6.28515625" style="9" customWidth="1"/>
    <col min="11" max="11" width="6.140625" style="11" customWidth="1"/>
    <col min="12" max="12" width="8.28515625" style="10" customWidth="1"/>
    <col min="13" max="13" width="6.28515625" style="10" customWidth="1"/>
    <col min="14" max="14" width="6.5703125" style="13" customWidth="1"/>
    <col min="15" max="15" width="8.7109375" style="14" customWidth="1"/>
    <col min="16" max="16" width="7.7109375" style="9" customWidth="1"/>
    <col min="17" max="17" width="11.28515625" style="9" customWidth="1"/>
    <col min="18" max="18" width="7.28515625" style="9" customWidth="1"/>
    <col min="19" max="19" width="6.85546875" style="15" customWidth="1"/>
    <col min="20" max="20" width="7.140625" style="11" customWidth="1"/>
    <col min="21" max="21" width="8.28515625" style="10" customWidth="1"/>
    <col min="22" max="22" width="9.42578125" style="9" customWidth="1"/>
    <col min="23" max="23" width="6.85546875" style="9" customWidth="1"/>
    <col min="24" max="24" width="10.140625" style="9" customWidth="1"/>
    <col min="25" max="25" width="12.28515625" style="9" customWidth="1"/>
    <col min="26" max="26" width="8.42578125" style="9" customWidth="1"/>
    <col min="27" max="27" width="9" style="9" customWidth="1"/>
    <col min="28" max="16384" width="9.140625" style="9"/>
  </cols>
  <sheetData>
    <row r="2" spans="2:27" ht="15.75">
      <c r="L2" s="12" t="s">
        <v>0</v>
      </c>
    </row>
    <row r="3" spans="2:27" ht="23.25" customHeight="1" thickBot="1">
      <c r="L3" s="12" t="s">
        <v>163</v>
      </c>
      <c r="P3" s="16"/>
    </row>
    <row r="4" spans="2:27" s="10" customFormat="1" ht="42.6" customHeight="1" thickBot="1">
      <c r="B4" s="17" t="s">
        <v>1</v>
      </c>
      <c r="C4" s="18" t="s">
        <v>2</v>
      </c>
      <c r="D4" s="18" t="s">
        <v>3</v>
      </c>
      <c r="E4" s="18" t="s">
        <v>4</v>
      </c>
      <c r="F4" s="19" t="s">
        <v>5</v>
      </c>
      <c r="G4" s="20" t="s">
        <v>6</v>
      </c>
      <c r="H4" s="18" t="s">
        <v>7</v>
      </c>
      <c r="I4" s="18" t="s">
        <v>8</v>
      </c>
      <c r="J4" s="18" t="s">
        <v>9</v>
      </c>
      <c r="K4" s="18" t="s">
        <v>10</v>
      </c>
      <c r="L4" s="18" t="s">
        <v>11</v>
      </c>
      <c r="M4" s="18" t="s">
        <v>12</v>
      </c>
      <c r="N4" s="18" t="s">
        <v>13</v>
      </c>
      <c r="O4" s="18" t="s">
        <v>14</v>
      </c>
      <c r="P4" s="18" t="s">
        <v>15</v>
      </c>
      <c r="Q4" s="18" t="s">
        <v>16</v>
      </c>
      <c r="R4" s="18" t="s">
        <v>17</v>
      </c>
      <c r="S4" s="21" t="s">
        <v>18</v>
      </c>
      <c r="T4" s="18" t="s">
        <v>19</v>
      </c>
      <c r="U4" s="18" t="s">
        <v>20</v>
      </c>
      <c r="V4" s="18" t="s">
        <v>21</v>
      </c>
      <c r="W4" s="18" t="s">
        <v>22</v>
      </c>
      <c r="X4" s="18" t="s">
        <v>23</v>
      </c>
      <c r="Y4" s="18" t="s">
        <v>24</v>
      </c>
      <c r="Z4" s="18" t="s">
        <v>25</v>
      </c>
      <c r="AA4" s="22" t="s">
        <v>26</v>
      </c>
    </row>
    <row r="5" spans="2:27" ht="26.25">
      <c r="B5" s="23">
        <v>1</v>
      </c>
      <c r="C5" s="27" t="s">
        <v>135</v>
      </c>
      <c r="D5" s="25" t="s">
        <v>120</v>
      </c>
      <c r="E5" s="25"/>
      <c r="F5" s="26" t="s">
        <v>136</v>
      </c>
      <c r="G5" s="27" t="s">
        <v>47</v>
      </c>
      <c r="H5" s="27" t="s">
        <v>131</v>
      </c>
      <c r="I5" s="27" t="s">
        <v>107</v>
      </c>
      <c r="J5" s="28">
        <v>801.22</v>
      </c>
      <c r="K5" s="25">
        <v>41645</v>
      </c>
      <c r="L5" s="27" t="s">
        <v>133</v>
      </c>
      <c r="M5" s="27" t="s">
        <v>109</v>
      </c>
      <c r="N5" s="27" t="s">
        <v>71</v>
      </c>
      <c r="O5" s="29" t="s">
        <v>137</v>
      </c>
      <c r="P5" s="30">
        <v>950057</v>
      </c>
      <c r="Q5" s="31">
        <f t="shared" ref="Q5:Q20" si="0">SUM(P5*S5)</f>
        <v>102945326.34899999</v>
      </c>
      <c r="R5" s="32" t="s">
        <v>30</v>
      </c>
      <c r="S5" s="8">
        <v>108.357</v>
      </c>
      <c r="T5" s="33">
        <f t="shared" ref="T5:T8" si="1">SUM(K5)+89</f>
        <v>41734</v>
      </c>
      <c r="U5" s="27" t="s">
        <v>54</v>
      </c>
      <c r="V5" s="34">
        <f t="shared" ref="V5:V17" si="2">SUM(Q5*0.12%)</f>
        <v>123534.39161879999</v>
      </c>
      <c r="W5" s="24">
        <v>155.75</v>
      </c>
      <c r="X5" s="31">
        <f t="shared" ref="X5:X20" si="3">SUM(V5*W5)</f>
        <v>19240481.494628098</v>
      </c>
      <c r="Y5" s="35">
        <v>0</v>
      </c>
      <c r="Z5" s="24"/>
      <c r="AA5" s="24"/>
    </row>
    <row r="6" spans="2:27" ht="20.25" customHeight="1">
      <c r="B6" s="23">
        <f t="shared" ref="B6:B8" si="4">B5+1</f>
        <v>2</v>
      </c>
      <c r="C6" s="27" t="s">
        <v>80</v>
      </c>
      <c r="D6" s="36" t="s">
        <v>81</v>
      </c>
      <c r="E6" s="33">
        <v>41670</v>
      </c>
      <c r="F6" s="26" t="s">
        <v>82</v>
      </c>
      <c r="G6" s="27" t="s">
        <v>83</v>
      </c>
      <c r="H6" s="27" t="s">
        <v>84</v>
      </c>
      <c r="I6" s="27" t="s">
        <v>68</v>
      </c>
      <c r="J6" s="28">
        <v>801.22</v>
      </c>
      <c r="K6" s="25">
        <v>41650</v>
      </c>
      <c r="L6" s="27" t="s">
        <v>85</v>
      </c>
      <c r="M6" s="24" t="s">
        <v>70</v>
      </c>
      <c r="N6" s="27" t="s">
        <v>86</v>
      </c>
      <c r="O6" s="29" t="s">
        <v>87</v>
      </c>
      <c r="P6" s="30">
        <v>949520</v>
      </c>
      <c r="Q6" s="31">
        <f t="shared" si="0"/>
        <v>103951550.55999999</v>
      </c>
      <c r="R6" s="32" t="s">
        <v>30</v>
      </c>
      <c r="S6" s="8">
        <v>109.47799999999999</v>
      </c>
      <c r="T6" s="33">
        <f t="shared" si="1"/>
        <v>41739</v>
      </c>
      <c r="U6" s="27" t="s">
        <v>83</v>
      </c>
      <c r="V6" s="34">
        <f t="shared" si="2"/>
        <v>124741.86067199998</v>
      </c>
      <c r="W6" s="24">
        <v>155.75</v>
      </c>
      <c r="X6" s="31">
        <f t="shared" si="3"/>
        <v>19428544.799663998</v>
      </c>
      <c r="Y6" s="37">
        <f t="shared" ref="Y6:Y8" si="5">X6</f>
        <v>19428544.799663998</v>
      </c>
      <c r="Z6" s="24"/>
      <c r="AA6" s="24"/>
    </row>
    <row r="7" spans="2:27" ht="27.75" customHeight="1">
      <c r="B7" s="23">
        <f t="shared" si="4"/>
        <v>3</v>
      </c>
      <c r="C7" s="27" t="s">
        <v>88</v>
      </c>
      <c r="D7" s="36" t="s">
        <v>89</v>
      </c>
      <c r="E7" s="33">
        <v>41670</v>
      </c>
      <c r="F7" s="26" t="s">
        <v>90</v>
      </c>
      <c r="G7" s="27" t="s">
        <v>83</v>
      </c>
      <c r="H7" s="27" t="s">
        <v>84</v>
      </c>
      <c r="I7" s="27" t="s">
        <v>28</v>
      </c>
      <c r="J7" s="28">
        <v>801.22</v>
      </c>
      <c r="K7" s="25">
        <v>41653</v>
      </c>
      <c r="L7" s="27" t="s">
        <v>91</v>
      </c>
      <c r="M7" s="27" t="s">
        <v>29</v>
      </c>
      <c r="N7" s="27" t="s">
        <v>92</v>
      </c>
      <c r="O7" s="29" t="s">
        <v>93</v>
      </c>
      <c r="P7" s="30">
        <v>548568</v>
      </c>
      <c r="Q7" s="31">
        <f t="shared" si="0"/>
        <v>59455994.112000003</v>
      </c>
      <c r="R7" s="32" t="s">
        <v>30</v>
      </c>
      <c r="S7" s="8">
        <v>108.384</v>
      </c>
      <c r="T7" s="33">
        <f t="shared" si="1"/>
        <v>41742</v>
      </c>
      <c r="U7" s="27" t="s">
        <v>83</v>
      </c>
      <c r="V7" s="34">
        <f t="shared" si="2"/>
        <v>71347.192934399995</v>
      </c>
      <c r="W7" s="24">
        <v>155.75</v>
      </c>
      <c r="X7" s="31">
        <f t="shared" si="3"/>
        <v>11112325.299532799</v>
      </c>
      <c r="Y7" s="37">
        <f t="shared" si="5"/>
        <v>11112325.299532799</v>
      </c>
      <c r="Z7" s="24"/>
      <c r="AA7" s="24"/>
    </row>
    <row r="8" spans="2:27" ht="27.75" customHeight="1">
      <c r="B8" s="23">
        <f t="shared" si="4"/>
        <v>4</v>
      </c>
      <c r="C8" s="27" t="s">
        <v>94</v>
      </c>
      <c r="D8" s="36" t="s">
        <v>95</v>
      </c>
      <c r="E8" s="33">
        <v>41670</v>
      </c>
      <c r="F8" s="26" t="s">
        <v>96</v>
      </c>
      <c r="G8" s="27" t="s">
        <v>83</v>
      </c>
      <c r="H8" s="27" t="s">
        <v>84</v>
      </c>
      <c r="I8" s="27" t="s">
        <v>28</v>
      </c>
      <c r="J8" s="28">
        <v>801.22</v>
      </c>
      <c r="K8" s="25">
        <v>41653</v>
      </c>
      <c r="L8" s="27" t="s">
        <v>91</v>
      </c>
      <c r="M8" s="27" t="s">
        <v>29</v>
      </c>
      <c r="N8" s="27" t="s">
        <v>92</v>
      </c>
      <c r="O8" s="29" t="s">
        <v>93</v>
      </c>
      <c r="P8" s="30">
        <v>400000</v>
      </c>
      <c r="Q8" s="31">
        <f t="shared" si="0"/>
        <v>43353600</v>
      </c>
      <c r="R8" s="32" t="s">
        <v>30</v>
      </c>
      <c r="S8" s="8">
        <v>108.384</v>
      </c>
      <c r="T8" s="33">
        <f t="shared" si="1"/>
        <v>41742</v>
      </c>
      <c r="U8" s="27" t="s">
        <v>83</v>
      </c>
      <c r="V8" s="34">
        <f t="shared" si="2"/>
        <v>52024.319999999992</v>
      </c>
      <c r="W8" s="24">
        <v>155.75</v>
      </c>
      <c r="X8" s="31">
        <f t="shared" si="3"/>
        <v>8102787.8399999989</v>
      </c>
      <c r="Y8" s="37">
        <f t="shared" si="5"/>
        <v>8102787.8399999989</v>
      </c>
      <c r="Z8" s="24"/>
      <c r="AA8" s="24"/>
    </row>
    <row r="9" spans="2:27" ht="20.25" customHeight="1">
      <c r="B9" s="23">
        <f t="shared" ref="B9:B20" si="6">B8+1</f>
        <v>5</v>
      </c>
      <c r="C9" s="27" t="s">
        <v>138</v>
      </c>
      <c r="D9" s="25" t="s">
        <v>120</v>
      </c>
      <c r="E9" s="25"/>
      <c r="F9" s="26" t="s">
        <v>139</v>
      </c>
      <c r="G9" s="27" t="s">
        <v>33</v>
      </c>
      <c r="H9" s="27" t="s">
        <v>112</v>
      </c>
      <c r="I9" s="27" t="s">
        <v>107</v>
      </c>
      <c r="J9" s="28">
        <v>801.22</v>
      </c>
      <c r="K9" s="25">
        <v>41655</v>
      </c>
      <c r="L9" s="27" t="s">
        <v>140</v>
      </c>
      <c r="M9" s="27" t="s">
        <v>109</v>
      </c>
      <c r="N9" s="27" t="s">
        <v>113</v>
      </c>
      <c r="O9" s="29" t="s">
        <v>126</v>
      </c>
      <c r="P9" s="30">
        <v>500000</v>
      </c>
      <c r="Q9" s="31">
        <f t="shared" si="0"/>
        <v>54801000</v>
      </c>
      <c r="R9" s="32" t="s">
        <v>30</v>
      </c>
      <c r="S9" s="8">
        <v>109.602</v>
      </c>
      <c r="T9" s="33">
        <f t="shared" ref="T9:T20" si="7">SUM(K9)+89</f>
        <v>41744</v>
      </c>
      <c r="U9" s="27" t="s">
        <v>33</v>
      </c>
      <c r="V9" s="34">
        <f t="shared" si="2"/>
        <v>65761.2</v>
      </c>
      <c r="W9" s="24">
        <v>155.75</v>
      </c>
      <c r="X9" s="31">
        <f t="shared" si="3"/>
        <v>10242306.9</v>
      </c>
      <c r="Y9" s="35">
        <v>0</v>
      </c>
      <c r="Z9" s="24"/>
      <c r="AA9" s="24"/>
    </row>
    <row r="10" spans="2:27" ht="20.25" customHeight="1">
      <c r="B10" s="23">
        <f t="shared" si="6"/>
        <v>6</v>
      </c>
      <c r="C10" s="27" t="s">
        <v>141</v>
      </c>
      <c r="D10" s="25" t="s">
        <v>120</v>
      </c>
      <c r="E10" s="25"/>
      <c r="F10" s="26" t="s">
        <v>142</v>
      </c>
      <c r="G10" s="38" t="s">
        <v>114</v>
      </c>
      <c r="H10" s="27" t="s">
        <v>124</v>
      </c>
      <c r="I10" s="27" t="s">
        <v>107</v>
      </c>
      <c r="J10" s="28">
        <v>801.22</v>
      </c>
      <c r="K10" s="25">
        <v>41655</v>
      </c>
      <c r="L10" s="27" t="s">
        <v>140</v>
      </c>
      <c r="M10" s="27" t="s">
        <v>109</v>
      </c>
      <c r="N10" s="27" t="s">
        <v>113</v>
      </c>
      <c r="O10" s="29" t="s">
        <v>126</v>
      </c>
      <c r="P10" s="30">
        <v>60000</v>
      </c>
      <c r="Q10" s="31">
        <f t="shared" si="0"/>
        <v>6576120</v>
      </c>
      <c r="R10" s="32" t="s">
        <v>30</v>
      </c>
      <c r="S10" s="8">
        <v>109.602</v>
      </c>
      <c r="T10" s="33">
        <f t="shared" si="7"/>
        <v>41744</v>
      </c>
      <c r="U10" s="27" t="s">
        <v>114</v>
      </c>
      <c r="V10" s="34">
        <f t="shared" si="2"/>
        <v>7891.3439999999991</v>
      </c>
      <c r="W10" s="24">
        <v>155.75</v>
      </c>
      <c r="X10" s="31">
        <f t="shared" si="3"/>
        <v>1229076.828</v>
      </c>
      <c r="Y10" s="35">
        <v>0</v>
      </c>
      <c r="Z10" s="24"/>
      <c r="AA10" s="24"/>
    </row>
    <row r="11" spans="2:27" ht="20.25" customHeight="1">
      <c r="B11" s="23">
        <f t="shared" si="6"/>
        <v>7</v>
      </c>
      <c r="C11" s="27" t="s">
        <v>143</v>
      </c>
      <c r="D11" s="25" t="s">
        <v>120</v>
      </c>
      <c r="E11" s="25"/>
      <c r="F11" s="26" t="s">
        <v>144</v>
      </c>
      <c r="G11" s="38" t="s">
        <v>114</v>
      </c>
      <c r="H11" s="27" t="s">
        <v>124</v>
      </c>
      <c r="I11" s="27" t="s">
        <v>107</v>
      </c>
      <c r="J11" s="28">
        <v>801.22</v>
      </c>
      <c r="K11" s="25">
        <v>41655</v>
      </c>
      <c r="L11" s="27" t="s">
        <v>140</v>
      </c>
      <c r="M11" s="27" t="s">
        <v>109</v>
      </c>
      <c r="N11" s="27" t="s">
        <v>113</v>
      </c>
      <c r="O11" s="29" t="s">
        <v>126</v>
      </c>
      <c r="P11" s="30">
        <v>29500</v>
      </c>
      <c r="Q11" s="31">
        <f t="shared" si="0"/>
        <v>3233259</v>
      </c>
      <c r="R11" s="32" t="s">
        <v>30</v>
      </c>
      <c r="S11" s="8">
        <v>109.602</v>
      </c>
      <c r="T11" s="33">
        <f t="shared" si="7"/>
        <v>41744</v>
      </c>
      <c r="U11" s="27" t="s">
        <v>114</v>
      </c>
      <c r="V11" s="34">
        <f t="shared" si="2"/>
        <v>3879.9107999999997</v>
      </c>
      <c r="W11" s="24">
        <v>155.75</v>
      </c>
      <c r="X11" s="31">
        <f t="shared" si="3"/>
        <v>604296.10709999991</v>
      </c>
      <c r="Y11" s="35">
        <v>0</v>
      </c>
      <c r="Z11" s="24"/>
      <c r="AA11" s="24"/>
    </row>
    <row r="12" spans="2:27" ht="20.25" customHeight="1">
      <c r="B12" s="23">
        <f t="shared" si="6"/>
        <v>8</v>
      </c>
      <c r="C12" s="27" t="s">
        <v>145</v>
      </c>
      <c r="D12" s="25" t="s">
        <v>120</v>
      </c>
      <c r="E12" s="25"/>
      <c r="F12" s="26" t="s">
        <v>146</v>
      </c>
      <c r="G12" s="27" t="s">
        <v>134</v>
      </c>
      <c r="H12" s="27" t="s">
        <v>124</v>
      </c>
      <c r="I12" s="27" t="s">
        <v>107</v>
      </c>
      <c r="J12" s="28">
        <v>801.22</v>
      </c>
      <c r="K12" s="25">
        <v>41655</v>
      </c>
      <c r="L12" s="27" t="s">
        <v>140</v>
      </c>
      <c r="M12" s="27" t="s">
        <v>109</v>
      </c>
      <c r="N12" s="27" t="s">
        <v>113</v>
      </c>
      <c r="O12" s="29" t="s">
        <v>126</v>
      </c>
      <c r="P12" s="30">
        <v>24000</v>
      </c>
      <c r="Q12" s="31">
        <f t="shared" si="0"/>
        <v>2630448</v>
      </c>
      <c r="R12" s="32" t="s">
        <v>30</v>
      </c>
      <c r="S12" s="8">
        <v>109.602</v>
      </c>
      <c r="T12" s="33">
        <f t="shared" si="7"/>
        <v>41744</v>
      </c>
      <c r="U12" s="27" t="s">
        <v>134</v>
      </c>
      <c r="V12" s="34">
        <f t="shared" si="2"/>
        <v>3156.5375999999997</v>
      </c>
      <c r="W12" s="24">
        <v>155.75</v>
      </c>
      <c r="X12" s="31">
        <f t="shared" si="3"/>
        <v>491630.73119999992</v>
      </c>
      <c r="Y12" s="35">
        <v>0</v>
      </c>
      <c r="Z12" s="24"/>
      <c r="AA12" s="24"/>
    </row>
    <row r="13" spans="2:27" ht="20.25" customHeight="1">
      <c r="B13" s="23">
        <f t="shared" si="6"/>
        <v>9</v>
      </c>
      <c r="C13" s="27" t="s">
        <v>147</v>
      </c>
      <c r="D13" s="25" t="s">
        <v>120</v>
      </c>
      <c r="E13" s="25"/>
      <c r="F13" s="26" t="s">
        <v>148</v>
      </c>
      <c r="G13" s="27" t="s">
        <v>33</v>
      </c>
      <c r="H13" s="27" t="s">
        <v>116</v>
      </c>
      <c r="I13" s="27" t="s">
        <v>107</v>
      </c>
      <c r="J13" s="28">
        <v>801.22</v>
      </c>
      <c r="K13" s="25">
        <v>41655</v>
      </c>
      <c r="L13" s="27" t="s">
        <v>140</v>
      </c>
      <c r="M13" s="27" t="s">
        <v>109</v>
      </c>
      <c r="N13" s="27" t="s">
        <v>113</v>
      </c>
      <c r="O13" s="29" t="s">
        <v>126</v>
      </c>
      <c r="P13" s="30">
        <v>120284</v>
      </c>
      <c r="Q13" s="31">
        <f t="shared" si="0"/>
        <v>13183366.968</v>
      </c>
      <c r="R13" s="32" t="s">
        <v>30</v>
      </c>
      <c r="S13" s="8">
        <v>109.602</v>
      </c>
      <c r="T13" s="33">
        <f t="shared" si="7"/>
        <v>41744</v>
      </c>
      <c r="U13" s="27" t="s">
        <v>73</v>
      </c>
      <c r="V13" s="34">
        <f t="shared" si="2"/>
        <v>15820.040361599999</v>
      </c>
      <c r="W13" s="24">
        <v>155.75</v>
      </c>
      <c r="X13" s="31">
        <f t="shared" si="3"/>
        <v>2463971.2863191999</v>
      </c>
      <c r="Y13" s="35">
        <v>0</v>
      </c>
      <c r="Z13" s="24"/>
      <c r="AA13" s="24"/>
    </row>
    <row r="14" spans="2:27" ht="20.25" customHeight="1">
      <c r="B14" s="23">
        <f t="shared" si="6"/>
        <v>10</v>
      </c>
      <c r="C14" s="27" t="s">
        <v>149</v>
      </c>
      <c r="D14" s="25" t="s">
        <v>120</v>
      </c>
      <c r="E14" s="25"/>
      <c r="F14" s="26" t="s">
        <v>150</v>
      </c>
      <c r="G14" s="27" t="s">
        <v>129</v>
      </c>
      <c r="H14" s="27" t="s">
        <v>123</v>
      </c>
      <c r="I14" s="27" t="s">
        <v>107</v>
      </c>
      <c r="J14" s="28">
        <v>801.22</v>
      </c>
      <c r="K14" s="25">
        <v>41655</v>
      </c>
      <c r="L14" s="27" t="s">
        <v>140</v>
      </c>
      <c r="M14" s="27" t="s">
        <v>109</v>
      </c>
      <c r="N14" s="27" t="s">
        <v>113</v>
      </c>
      <c r="O14" s="29" t="s">
        <v>126</v>
      </c>
      <c r="P14" s="30">
        <v>216000</v>
      </c>
      <c r="Q14" s="31">
        <f t="shared" si="0"/>
        <v>23674032</v>
      </c>
      <c r="R14" s="32" t="s">
        <v>30</v>
      </c>
      <c r="S14" s="8">
        <v>109.602</v>
      </c>
      <c r="T14" s="33">
        <f t="shared" si="7"/>
        <v>41744</v>
      </c>
      <c r="U14" s="27" t="s">
        <v>129</v>
      </c>
      <c r="V14" s="34">
        <f t="shared" si="2"/>
        <v>28408.838399999997</v>
      </c>
      <c r="W14" s="24">
        <v>155.75</v>
      </c>
      <c r="X14" s="31">
        <f t="shared" si="3"/>
        <v>4424676.5807999996</v>
      </c>
      <c r="Y14" s="35">
        <v>0</v>
      </c>
      <c r="Z14" s="24"/>
      <c r="AA14" s="24"/>
    </row>
    <row r="15" spans="2:27" ht="27.75" customHeight="1">
      <c r="B15" s="23">
        <f t="shared" si="6"/>
        <v>11</v>
      </c>
      <c r="C15" s="27" t="s">
        <v>97</v>
      </c>
      <c r="D15" s="36" t="s">
        <v>98</v>
      </c>
      <c r="E15" s="33">
        <v>41670</v>
      </c>
      <c r="F15" s="26" t="s">
        <v>99</v>
      </c>
      <c r="G15" s="27" t="s">
        <v>83</v>
      </c>
      <c r="H15" s="27" t="s">
        <v>84</v>
      </c>
      <c r="I15" s="27" t="s">
        <v>100</v>
      </c>
      <c r="J15" s="28">
        <v>801.22</v>
      </c>
      <c r="K15" s="25">
        <v>41659</v>
      </c>
      <c r="L15" s="27" t="s">
        <v>101</v>
      </c>
      <c r="M15" s="27" t="s">
        <v>102</v>
      </c>
      <c r="N15" s="27" t="s">
        <v>52</v>
      </c>
      <c r="O15" s="29" t="s">
        <v>103</v>
      </c>
      <c r="P15" s="30">
        <v>899812</v>
      </c>
      <c r="Q15" s="31">
        <f t="shared" si="0"/>
        <v>100006005.492</v>
      </c>
      <c r="R15" s="32" t="s">
        <v>30</v>
      </c>
      <c r="S15" s="39">
        <v>111.14100000000001</v>
      </c>
      <c r="T15" s="33">
        <f t="shared" si="7"/>
        <v>41748</v>
      </c>
      <c r="U15" s="27" t="s">
        <v>83</v>
      </c>
      <c r="V15" s="34">
        <f t="shared" si="2"/>
        <v>120007.20659039999</v>
      </c>
      <c r="W15" s="24">
        <v>155.75</v>
      </c>
      <c r="X15" s="31">
        <f t="shared" si="3"/>
        <v>18691122.426454797</v>
      </c>
      <c r="Y15" s="37">
        <f>X15</f>
        <v>18691122.426454797</v>
      </c>
      <c r="Z15" s="24"/>
      <c r="AA15" s="24"/>
    </row>
    <row r="16" spans="2:27" ht="20.25" customHeight="1">
      <c r="B16" s="23">
        <f t="shared" si="6"/>
        <v>12</v>
      </c>
      <c r="C16" s="67" t="s">
        <v>151</v>
      </c>
      <c r="D16" s="25" t="s">
        <v>120</v>
      </c>
      <c r="E16" s="25"/>
      <c r="F16" s="26" t="s">
        <v>152</v>
      </c>
      <c r="G16" s="27" t="s">
        <v>115</v>
      </c>
      <c r="H16" s="27" t="s">
        <v>122</v>
      </c>
      <c r="I16" s="27" t="s">
        <v>117</v>
      </c>
      <c r="J16" s="28">
        <v>801.22</v>
      </c>
      <c r="K16" s="25">
        <v>41663</v>
      </c>
      <c r="L16" s="27" t="s">
        <v>121</v>
      </c>
      <c r="M16" s="27" t="s">
        <v>118</v>
      </c>
      <c r="N16" s="27" t="s">
        <v>86</v>
      </c>
      <c r="O16" s="29" t="s">
        <v>127</v>
      </c>
      <c r="P16" s="30">
        <v>207196</v>
      </c>
      <c r="Q16" s="31">
        <f t="shared" si="0"/>
        <v>22917327.971999999</v>
      </c>
      <c r="R16" s="32" t="s">
        <v>30</v>
      </c>
      <c r="S16" s="39">
        <v>110.607</v>
      </c>
      <c r="T16" s="33">
        <f t="shared" si="7"/>
        <v>41752</v>
      </c>
      <c r="U16" s="27" t="s">
        <v>115</v>
      </c>
      <c r="V16" s="34">
        <f t="shared" si="2"/>
        <v>27500.793566399996</v>
      </c>
      <c r="W16" s="24">
        <v>155.75</v>
      </c>
      <c r="X16" s="31">
        <f t="shared" si="3"/>
        <v>4283248.5979667995</v>
      </c>
      <c r="Y16" s="35">
        <v>0</v>
      </c>
      <c r="Z16" s="24"/>
      <c r="AA16" s="24"/>
    </row>
    <row r="17" spans="2:27" ht="20.25" customHeight="1">
      <c r="B17" s="23">
        <f t="shared" si="6"/>
        <v>13</v>
      </c>
      <c r="C17" s="27" t="s">
        <v>153</v>
      </c>
      <c r="D17" s="25" t="s">
        <v>120</v>
      </c>
      <c r="E17" s="25"/>
      <c r="F17" s="26" t="s">
        <v>154</v>
      </c>
      <c r="G17" s="27" t="s">
        <v>47</v>
      </c>
      <c r="H17" s="27" t="s">
        <v>155</v>
      </c>
      <c r="I17" s="27" t="s">
        <v>49</v>
      </c>
      <c r="J17" s="28">
        <v>801.22</v>
      </c>
      <c r="K17" s="25">
        <v>41664</v>
      </c>
      <c r="L17" s="27" t="s">
        <v>156</v>
      </c>
      <c r="M17" s="27" t="s">
        <v>51</v>
      </c>
      <c r="N17" s="27" t="s">
        <v>119</v>
      </c>
      <c r="O17" s="29" t="s">
        <v>132</v>
      </c>
      <c r="P17" s="30">
        <v>628846</v>
      </c>
      <c r="Q17" s="31">
        <f t="shared" si="0"/>
        <v>65969089.630000003</v>
      </c>
      <c r="R17" s="32" t="s">
        <v>30</v>
      </c>
      <c r="S17" s="39">
        <v>104.905</v>
      </c>
      <c r="T17" s="33">
        <f t="shared" si="7"/>
        <v>41753</v>
      </c>
      <c r="U17" s="27" t="s">
        <v>54</v>
      </c>
      <c r="V17" s="34">
        <f t="shared" si="2"/>
        <v>79162.907555999991</v>
      </c>
      <c r="W17" s="24">
        <v>155.75</v>
      </c>
      <c r="X17" s="31">
        <f t="shared" si="3"/>
        <v>12329622.851846999</v>
      </c>
      <c r="Y17" s="35">
        <v>0</v>
      </c>
      <c r="Z17" s="24"/>
      <c r="AA17" s="24"/>
    </row>
    <row r="18" spans="2:27" ht="20.25" customHeight="1">
      <c r="B18" s="23">
        <f t="shared" si="6"/>
        <v>14</v>
      </c>
      <c r="C18" s="27" t="s">
        <v>157</v>
      </c>
      <c r="D18" s="25" t="s">
        <v>120</v>
      </c>
      <c r="E18" s="25"/>
      <c r="F18" s="26" t="s">
        <v>158</v>
      </c>
      <c r="G18" s="27" t="s">
        <v>54</v>
      </c>
      <c r="H18" s="27" t="s">
        <v>67</v>
      </c>
      <c r="I18" s="27" t="s">
        <v>68</v>
      </c>
      <c r="J18" s="28">
        <v>801.22</v>
      </c>
      <c r="K18" s="25">
        <v>41665</v>
      </c>
      <c r="L18" s="27" t="s">
        <v>128</v>
      </c>
      <c r="M18" s="27" t="s">
        <v>70</v>
      </c>
      <c r="N18" s="27" t="s">
        <v>78</v>
      </c>
      <c r="O18" s="29" t="s">
        <v>125</v>
      </c>
      <c r="P18" s="30">
        <v>950131</v>
      </c>
      <c r="Q18" s="31">
        <f t="shared" si="0"/>
        <v>105465491.131</v>
      </c>
      <c r="R18" s="32" t="s">
        <v>30</v>
      </c>
      <c r="S18" s="39">
        <v>111.001</v>
      </c>
      <c r="T18" s="33">
        <f t="shared" si="7"/>
        <v>41754</v>
      </c>
      <c r="U18" s="27" t="s">
        <v>73</v>
      </c>
      <c r="V18" s="34">
        <f t="shared" ref="V18:V20" si="8">SUM(Q18*0.12%)</f>
        <v>126558.58935719999</v>
      </c>
      <c r="W18" s="24">
        <v>155.75</v>
      </c>
      <c r="X18" s="31">
        <f t="shared" si="3"/>
        <v>19711500.292383898</v>
      </c>
      <c r="Y18" s="35">
        <v>0</v>
      </c>
      <c r="Z18" s="24"/>
      <c r="AA18" s="24"/>
    </row>
    <row r="19" spans="2:27" ht="20.25" customHeight="1">
      <c r="B19" s="23">
        <f t="shared" si="6"/>
        <v>15</v>
      </c>
      <c r="C19" s="27" t="s">
        <v>104</v>
      </c>
      <c r="D19" s="36" t="s">
        <v>105</v>
      </c>
      <c r="E19" s="33">
        <v>41670</v>
      </c>
      <c r="F19" s="26" t="s">
        <v>106</v>
      </c>
      <c r="G19" s="27" t="s">
        <v>83</v>
      </c>
      <c r="H19" s="27" t="s">
        <v>84</v>
      </c>
      <c r="I19" s="27" t="s">
        <v>107</v>
      </c>
      <c r="J19" s="28">
        <v>801.22</v>
      </c>
      <c r="K19" s="25">
        <v>41667</v>
      </c>
      <c r="L19" s="27" t="s">
        <v>108</v>
      </c>
      <c r="M19" s="27" t="s">
        <v>109</v>
      </c>
      <c r="N19" s="27" t="s">
        <v>110</v>
      </c>
      <c r="O19" s="29" t="s">
        <v>111</v>
      </c>
      <c r="P19" s="30">
        <v>949725</v>
      </c>
      <c r="Q19" s="31">
        <f t="shared" si="0"/>
        <v>104909472.675</v>
      </c>
      <c r="R19" s="32" t="s">
        <v>30</v>
      </c>
      <c r="S19" s="39">
        <v>110.46299999999999</v>
      </c>
      <c r="T19" s="33">
        <f t="shared" si="7"/>
        <v>41756</v>
      </c>
      <c r="U19" s="27" t="s">
        <v>83</v>
      </c>
      <c r="V19" s="34">
        <f t="shared" si="8"/>
        <v>125891.36720999998</v>
      </c>
      <c r="W19" s="24">
        <v>155.75</v>
      </c>
      <c r="X19" s="31">
        <f t="shared" si="3"/>
        <v>19607580.442957498</v>
      </c>
      <c r="Y19" s="37">
        <f>X19</f>
        <v>19607580.442957498</v>
      </c>
      <c r="Z19" s="24"/>
      <c r="AA19" s="24"/>
    </row>
    <row r="20" spans="2:27" ht="31.5" customHeight="1" thickBot="1">
      <c r="B20" s="23">
        <f t="shared" si="6"/>
        <v>16</v>
      </c>
      <c r="C20" s="27" t="s">
        <v>159</v>
      </c>
      <c r="D20" s="25" t="s">
        <v>120</v>
      </c>
      <c r="E20" s="25"/>
      <c r="F20" s="40" t="s">
        <v>160</v>
      </c>
      <c r="G20" s="27" t="s">
        <v>33</v>
      </c>
      <c r="H20" s="27" t="s">
        <v>112</v>
      </c>
      <c r="I20" s="41" t="s">
        <v>28</v>
      </c>
      <c r="J20" s="28">
        <v>801.22</v>
      </c>
      <c r="K20" s="42">
        <v>41669</v>
      </c>
      <c r="L20" s="43" t="s">
        <v>161</v>
      </c>
      <c r="M20" s="43" t="s">
        <v>29</v>
      </c>
      <c r="N20" s="43" t="s">
        <v>130</v>
      </c>
      <c r="O20" s="29" t="s">
        <v>162</v>
      </c>
      <c r="P20" s="44">
        <v>948817</v>
      </c>
      <c r="Q20" s="45">
        <f t="shared" si="0"/>
        <v>103522576.419</v>
      </c>
      <c r="R20" s="32" t="s">
        <v>30</v>
      </c>
      <c r="S20" s="39">
        <v>109.107</v>
      </c>
      <c r="T20" s="33">
        <f t="shared" si="7"/>
        <v>41758</v>
      </c>
      <c r="U20" s="27" t="s">
        <v>33</v>
      </c>
      <c r="V20" s="46">
        <f t="shared" si="8"/>
        <v>124227.09170279998</v>
      </c>
      <c r="W20" s="24">
        <v>155.75</v>
      </c>
      <c r="X20" s="45">
        <f t="shared" si="3"/>
        <v>19348369.532711096</v>
      </c>
      <c r="Y20" s="47">
        <v>0</v>
      </c>
      <c r="Z20" s="24"/>
      <c r="AA20" s="24"/>
    </row>
    <row r="21" spans="2:27" s="16" customFormat="1" ht="15.75" thickBot="1">
      <c r="C21" s="48"/>
      <c r="D21" s="48"/>
      <c r="E21" s="48"/>
      <c r="F21" s="48"/>
      <c r="G21" s="48"/>
      <c r="H21" s="48"/>
      <c r="I21" s="48"/>
      <c r="K21" s="49"/>
      <c r="L21" s="48"/>
      <c r="M21" s="48"/>
      <c r="N21" s="50"/>
      <c r="O21" s="51"/>
      <c r="P21" s="52">
        <f>SUM(P5:P20)</f>
        <v>8382456</v>
      </c>
      <c r="Q21" s="53">
        <f>SUM(Q5:Q20)</f>
        <v>916594660.30799997</v>
      </c>
      <c r="R21" s="54"/>
      <c r="S21" s="55"/>
      <c r="T21" s="56"/>
      <c r="U21" s="57"/>
      <c r="V21" s="53">
        <f>SUM(V5:V20)</f>
        <v>1099913.5923695997</v>
      </c>
      <c r="W21" s="54"/>
      <c r="X21" s="53">
        <f>SUM(X5:X20)</f>
        <v>171311542.01156515</v>
      </c>
      <c r="Y21" s="58">
        <f>SUM(Y5:Y20)</f>
        <v>76942360.808609098</v>
      </c>
    </row>
  </sheetData>
  <pageMargins left="0" right="0" top="0" bottom="0" header="0.31496062992125984" footer="0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A18"/>
  <sheetViews>
    <sheetView tabSelected="1" topLeftCell="A3" workbookViewId="0">
      <selection activeCell="Y18" sqref="Y18"/>
    </sheetView>
  </sheetViews>
  <sheetFormatPr defaultRowHeight="15"/>
  <cols>
    <col min="1" max="1" width="3.28515625" style="9" customWidth="1"/>
    <col min="2" max="2" width="3.42578125" style="9" customWidth="1"/>
    <col min="3" max="3" width="5.5703125" style="9" customWidth="1"/>
    <col min="4" max="4" width="7.140625" style="10" customWidth="1"/>
    <col min="5" max="5" width="5.5703125" style="10" customWidth="1"/>
    <col min="6" max="6" width="10.5703125" style="10" customWidth="1"/>
    <col min="7" max="7" width="8.85546875" style="10" customWidth="1"/>
    <col min="8" max="8" width="9" style="10" customWidth="1"/>
    <col min="9" max="9" width="9.140625" style="10" customWidth="1"/>
    <col min="10" max="10" width="5.7109375" style="9" customWidth="1"/>
    <col min="11" max="11" width="6.140625" style="11" customWidth="1"/>
    <col min="12" max="12" width="8.28515625" style="10" customWidth="1"/>
    <col min="13" max="13" width="6.42578125" style="11" customWidth="1"/>
    <col min="14" max="14" width="7.85546875" style="13" customWidth="1"/>
    <col min="15" max="15" width="12.42578125" style="14" customWidth="1"/>
    <col min="16" max="16" width="7.7109375" style="9" customWidth="1"/>
    <col min="17" max="17" width="11.28515625" style="9" customWidth="1"/>
    <col min="18" max="18" width="6.5703125" style="9" customWidth="1"/>
    <col min="19" max="19" width="6.85546875" style="15" customWidth="1"/>
    <col min="20" max="20" width="7.140625" style="11" customWidth="1"/>
    <col min="21" max="21" width="8.140625" style="10" customWidth="1"/>
    <col min="22" max="22" width="9.140625" style="9" customWidth="1"/>
    <col min="23" max="23" width="6.85546875" style="9" customWidth="1"/>
    <col min="24" max="25" width="10.85546875" style="9" customWidth="1"/>
    <col min="26" max="26" width="6.28515625" style="9" customWidth="1"/>
    <col min="27" max="27" width="6.140625" style="9" customWidth="1"/>
    <col min="28" max="16384" width="9.140625" style="9"/>
  </cols>
  <sheetData>
    <row r="2" spans="2:27" ht="15.75">
      <c r="L2" s="12" t="s">
        <v>0</v>
      </c>
    </row>
    <row r="3" spans="2:27" ht="23.25" customHeight="1">
      <c r="L3" s="12" t="s">
        <v>43</v>
      </c>
      <c r="P3" s="16"/>
    </row>
    <row r="4" spans="2:27" ht="13.15" customHeight="1" thickBot="1">
      <c r="F4" s="48"/>
    </row>
    <row r="5" spans="2:27" s="10" customFormat="1" ht="42.6" customHeight="1" thickBot="1">
      <c r="B5" s="17" t="s">
        <v>1</v>
      </c>
      <c r="C5" s="18" t="s">
        <v>2</v>
      </c>
      <c r="D5" s="18" t="s">
        <v>3</v>
      </c>
      <c r="E5" s="18" t="s">
        <v>4</v>
      </c>
      <c r="F5" s="19" t="s">
        <v>5</v>
      </c>
      <c r="G5" s="20" t="s">
        <v>6</v>
      </c>
      <c r="H5" s="18" t="s">
        <v>7</v>
      </c>
      <c r="I5" s="18" t="s">
        <v>8</v>
      </c>
      <c r="J5" s="18" t="s">
        <v>9</v>
      </c>
      <c r="K5" s="18" t="s">
        <v>10</v>
      </c>
      <c r="L5" s="18" t="s">
        <v>11</v>
      </c>
      <c r="M5" s="18" t="s">
        <v>12</v>
      </c>
      <c r="N5" s="18" t="s">
        <v>13</v>
      </c>
      <c r="O5" s="18" t="s">
        <v>14</v>
      </c>
      <c r="P5" s="18" t="s">
        <v>15</v>
      </c>
      <c r="Q5" s="18" t="s">
        <v>16</v>
      </c>
      <c r="R5" s="18" t="s">
        <v>17</v>
      </c>
      <c r="S5" s="21" t="s">
        <v>18</v>
      </c>
      <c r="T5" s="18" t="s">
        <v>19</v>
      </c>
      <c r="U5" s="18" t="s">
        <v>20</v>
      </c>
      <c r="V5" s="18" t="s">
        <v>21</v>
      </c>
      <c r="W5" s="18" t="s">
        <v>22</v>
      </c>
      <c r="X5" s="18" t="s">
        <v>23</v>
      </c>
      <c r="Y5" s="18" t="s">
        <v>24</v>
      </c>
      <c r="Z5" s="18" t="s">
        <v>25</v>
      </c>
      <c r="AA5" s="22" t="s">
        <v>26</v>
      </c>
    </row>
    <row r="6" spans="2:27" ht="26.25">
      <c r="B6" s="23">
        <v>1</v>
      </c>
      <c r="C6" s="27" t="s">
        <v>35</v>
      </c>
      <c r="D6" s="29" t="s">
        <v>36</v>
      </c>
      <c r="E6" s="25">
        <v>41655</v>
      </c>
      <c r="F6" s="26" t="s">
        <v>37</v>
      </c>
      <c r="G6" s="27" t="s">
        <v>33</v>
      </c>
      <c r="H6" s="27" t="s">
        <v>32</v>
      </c>
      <c r="I6" s="27" t="s">
        <v>28</v>
      </c>
      <c r="J6" s="28">
        <v>801.22</v>
      </c>
      <c r="K6" s="25">
        <v>41593</v>
      </c>
      <c r="L6" s="27" t="s">
        <v>38</v>
      </c>
      <c r="M6" s="27" t="s">
        <v>29</v>
      </c>
      <c r="N6" s="27" t="s">
        <v>31</v>
      </c>
      <c r="O6" s="29" t="s">
        <v>39</v>
      </c>
      <c r="P6" s="30">
        <v>947844</v>
      </c>
      <c r="Q6" s="31">
        <f t="shared" ref="Q6:Q7" si="0">SUM(P6*S6)</f>
        <v>104224926.23999999</v>
      </c>
      <c r="R6" s="32" t="s">
        <v>30</v>
      </c>
      <c r="S6" s="39">
        <v>109.96</v>
      </c>
      <c r="T6" s="33">
        <f t="shared" ref="T6:T7" si="1">SUM(K6)+89</f>
        <v>41682</v>
      </c>
      <c r="U6" s="24" t="s">
        <v>27</v>
      </c>
      <c r="V6" s="34">
        <f t="shared" ref="V6:V8" si="2">SUM(Q6*0.12%)</f>
        <v>125069.91148799998</v>
      </c>
      <c r="W6" s="24">
        <v>155.72</v>
      </c>
      <c r="X6" s="31">
        <f t="shared" ref="X6:X17" si="3">SUM(V6*W6)</f>
        <v>19475886.616911355</v>
      </c>
      <c r="Y6" s="37">
        <v>19475886.390000001</v>
      </c>
      <c r="Z6" s="33">
        <v>41647</v>
      </c>
      <c r="AA6" s="59">
        <v>1230</v>
      </c>
    </row>
    <row r="7" spans="2:27" ht="21" customHeight="1">
      <c r="B7" s="23">
        <f t="shared" ref="B7:B17" si="4">B6+1</f>
        <v>2</v>
      </c>
      <c r="C7" s="27" t="s">
        <v>35</v>
      </c>
      <c r="D7" s="29" t="s">
        <v>40</v>
      </c>
      <c r="E7" s="25">
        <v>41655</v>
      </c>
      <c r="F7" s="60">
        <v>201300020022</v>
      </c>
      <c r="G7" s="27" t="s">
        <v>33</v>
      </c>
      <c r="H7" s="27" t="s">
        <v>32</v>
      </c>
      <c r="I7" s="27" t="s">
        <v>28</v>
      </c>
      <c r="J7" s="28">
        <v>801.22</v>
      </c>
      <c r="K7" s="33">
        <v>41608</v>
      </c>
      <c r="L7" s="27" t="s">
        <v>41</v>
      </c>
      <c r="M7" s="24" t="s">
        <v>29</v>
      </c>
      <c r="N7" s="27" t="s">
        <v>34</v>
      </c>
      <c r="O7" s="29" t="s">
        <v>42</v>
      </c>
      <c r="P7" s="44">
        <v>947973</v>
      </c>
      <c r="Q7" s="45">
        <f t="shared" si="0"/>
        <v>107188255.083</v>
      </c>
      <c r="R7" s="32" t="s">
        <v>30</v>
      </c>
      <c r="S7" s="8">
        <v>113.071</v>
      </c>
      <c r="T7" s="33">
        <f t="shared" si="1"/>
        <v>41697</v>
      </c>
      <c r="U7" s="24" t="s">
        <v>27</v>
      </c>
      <c r="V7" s="46">
        <f t="shared" si="2"/>
        <v>128625.90609959999</v>
      </c>
      <c r="W7" s="24">
        <v>155.72</v>
      </c>
      <c r="X7" s="45">
        <f t="shared" si="3"/>
        <v>20029626.097829711</v>
      </c>
      <c r="Y7" s="61">
        <v>20029626.710000001</v>
      </c>
      <c r="Z7" s="33">
        <v>41647</v>
      </c>
      <c r="AA7" s="59">
        <v>1231</v>
      </c>
    </row>
    <row r="8" spans="2:27" ht="18.75" customHeight="1">
      <c r="B8" s="23">
        <f t="shared" si="4"/>
        <v>3</v>
      </c>
      <c r="C8" s="27" t="s">
        <v>44</v>
      </c>
      <c r="D8" s="36" t="s">
        <v>45</v>
      </c>
      <c r="E8" s="25">
        <v>41669</v>
      </c>
      <c r="F8" s="40" t="s">
        <v>46</v>
      </c>
      <c r="G8" s="27" t="s">
        <v>47</v>
      </c>
      <c r="H8" s="29" t="s">
        <v>48</v>
      </c>
      <c r="I8" s="29" t="s">
        <v>49</v>
      </c>
      <c r="J8" s="28">
        <v>801.22</v>
      </c>
      <c r="K8" s="25">
        <v>41626</v>
      </c>
      <c r="L8" s="27" t="s">
        <v>50</v>
      </c>
      <c r="M8" s="24" t="s">
        <v>51</v>
      </c>
      <c r="N8" s="29" t="s">
        <v>52</v>
      </c>
      <c r="O8" s="29" t="s">
        <v>53</v>
      </c>
      <c r="P8" s="62">
        <v>600250</v>
      </c>
      <c r="Q8" s="45">
        <f t="shared" ref="Q8:Q11" si="5">SUM(P8*S8)</f>
        <v>62822165</v>
      </c>
      <c r="R8" s="32" t="s">
        <v>30</v>
      </c>
      <c r="S8" s="39">
        <v>104.66</v>
      </c>
      <c r="T8" s="33">
        <f t="shared" ref="T8" si="6">SUM(K8)+89</f>
        <v>41715</v>
      </c>
      <c r="U8" s="29" t="s">
        <v>54</v>
      </c>
      <c r="V8" s="46">
        <f t="shared" si="2"/>
        <v>75386.597999999998</v>
      </c>
      <c r="W8" s="63">
        <v>155.69999999999999</v>
      </c>
      <c r="X8" s="45">
        <f t="shared" si="3"/>
        <v>11737693.308599999</v>
      </c>
      <c r="Y8" s="61">
        <v>11739201.35</v>
      </c>
      <c r="Z8" s="33">
        <v>41652</v>
      </c>
      <c r="AA8" s="59">
        <v>3814</v>
      </c>
    </row>
    <row r="9" spans="2:27" ht="20.25" customHeight="1">
      <c r="B9" s="23">
        <f t="shared" si="4"/>
        <v>4</v>
      </c>
      <c r="C9" s="27" t="s">
        <v>64</v>
      </c>
      <c r="D9" s="25" t="s">
        <v>65</v>
      </c>
      <c r="E9" s="64">
        <v>41669</v>
      </c>
      <c r="F9" s="26" t="s">
        <v>66</v>
      </c>
      <c r="G9" s="38" t="s">
        <v>165</v>
      </c>
      <c r="H9" s="27" t="s">
        <v>67</v>
      </c>
      <c r="I9" s="27" t="s">
        <v>68</v>
      </c>
      <c r="J9" s="28">
        <v>801.22</v>
      </c>
      <c r="K9" s="25">
        <v>41554</v>
      </c>
      <c r="L9" s="27" t="s">
        <v>69</v>
      </c>
      <c r="M9" s="27" t="s">
        <v>70</v>
      </c>
      <c r="N9" s="27" t="s">
        <v>71</v>
      </c>
      <c r="O9" s="29" t="s">
        <v>72</v>
      </c>
      <c r="P9" s="62">
        <v>995611</v>
      </c>
      <c r="Q9" s="45">
        <f t="shared" ref="Q9" si="7">SUM(P9*S9)</f>
        <v>110516305.63850001</v>
      </c>
      <c r="R9" s="32" t="s">
        <v>30</v>
      </c>
      <c r="S9" s="8">
        <v>111.0035</v>
      </c>
      <c r="T9" s="33">
        <f>SUM(K9)+89</f>
        <v>41643</v>
      </c>
      <c r="U9" s="24" t="s">
        <v>73</v>
      </c>
      <c r="V9" s="46">
        <f>SUM(Q9*0.12%)</f>
        <v>132619.56676620001</v>
      </c>
      <c r="W9" s="63">
        <v>155.80000000000001</v>
      </c>
      <c r="X9" s="45">
        <f t="shared" ref="X9" si="8">SUM(V9*W9)</f>
        <v>20662128.502173964</v>
      </c>
      <c r="Y9" s="61">
        <v>20862052.5</v>
      </c>
      <c r="Z9" s="33">
        <v>41635</v>
      </c>
      <c r="AA9" s="59">
        <v>10971</v>
      </c>
    </row>
    <row r="10" spans="2:27" s="16" customFormat="1" ht="24.75">
      <c r="B10" s="23">
        <f t="shared" si="4"/>
        <v>5</v>
      </c>
      <c r="C10" s="67" t="s">
        <v>55</v>
      </c>
      <c r="D10" s="36" t="s">
        <v>56</v>
      </c>
      <c r="E10" s="42">
        <v>41670</v>
      </c>
      <c r="F10" s="40" t="s">
        <v>57</v>
      </c>
      <c r="G10" s="27" t="s">
        <v>47</v>
      </c>
      <c r="H10" s="27" t="s">
        <v>48</v>
      </c>
      <c r="I10" s="27" t="s">
        <v>49</v>
      </c>
      <c r="J10" s="28">
        <v>801.22</v>
      </c>
      <c r="K10" s="33">
        <v>41634</v>
      </c>
      <c r="L10" s="27" t="s">
        <v>58</v>
      </c>
      <c r="M10" s="24" t="s">
        <v>51</v>
      </c>
      <c r="N10" s="27" t="s">
        <v>59</v>
      </c>
      <c r="O10" s="29" t="s">
        <v>60</v>
      </c>
      <c r="P10" s="65">
        <v>349806</v>
      </c>
      <c r="Q10" s="31">
        <f t="shared" si="5"/>
        <v>37340741.082000002</v>
      </c>
      <c r="R10" s="32" t="s">
        <v>30</v>
      </c>
      <c r="S10" s="39">
        <v>106.747</v>
      </c>
      <c r="T10" s="33">
        <f t="shared" ref="T10:T11" si="9">SUM(K10)+89</f>
        <v>41723</v>
      </c>
      <c r="U10" s="27" t="s">
        <v>54</v>
      </c>
      <c r="V10" s="34">
        <f t="shared" ref="V10:V12" si="10">SUM(Q10*0.12%)</f>
        <v>44808.889298399998</v>
      </c>
      <c r="W10" s="63">
        <v>155.69999999999999</v>
      </c>
      <c r="X10" s="31">
        <f t="shared" si="3"/>
        <v>6976744.0637608794</v>
      </c>
      <c r="Y10" s="37">
        <v>6978536.5300000003</v>
      </c>
      <c r="Z10" s="33">
        <v>41660</v>
      </c>
      <c r="AA10" s="66">
        <v>3828</v>
      </c>
    </row>
    <row r="11" spans="2:27" ht="24.75">
      <c r="B11" s="23">
        <f t="shared" si="4"/>
        <v>6</v>
      </c>
      <c r="C11" s="27" t="s">
        <v>61</v>
      </c>
      <c r="D11" s="36" t="s">
        <v>62</v>
      </c>
      <c r="E11" s="42">
        <v>41670</v>
      </c>
      <c r="F11" s="40" t="s">
        <v>63</v>
      </c>
      <c r="G11" s="27" t="s">
        <v>47</v>
      </c>
      <c r="H11" s="27" t="s">
        <v>48</v>
      </c>
      <c r="I11" s="27" t="s">
        <v>49</v>
      </c>
      <c r="J11" s="28">
        <v>801.22</v>
      </c>
      <c r="K11" s="33">
        <v>41639</v>
      </c>
      <c r="L11" s="27" t="s">
        <v>58</v>
      </c>
      <c r="M11" s="24" t="s">
        <v>51</v>
      </c>
      <c r="N11" s="27" t="s">
        <v>59</v>
      </c>
      <c r="O11" s="29" t="s">
        <v>60</v>
      </c>
      <c r="P11" s="44">
        <v>183435</v>
      </c>
      <c r="Q11" s="45">
        <f t="shared" si="5"/>
        <v>19653409.335000001</v>
      </c>
      <c r="R11" s="32" t="s">
        <v>30</v>
      </c>
      <c r="S11" s="8">
        <v>107.14100000000001</v>
      </c>
      <c r="T11" s="33">
        <f t="shared" si="9"/>
        <v>41728</v>
      </c>
      <c r="U11" s="27" t="s">
        <v>54</v>
      </c>
      <c r="V11" s="46">
        <f t="shared" si="10"/>
        <v>23584.091202</v>
      </c>
      <c r="W11" s="63">
        <v>155.69999999999999</v>
      </c>
      <c r="X11" s="45">
        <f t="shared" si="3"/>
        <v>3672043.0001513995</v>
      </c>
      <c r="Y11" s="37">
        <v>3672986.36</v>
      </c>
      <c r="Z11" s="33">
        <v>41660</v>
      </c>
      <c r="AA11" s="66">
        <v>3828</v>
      </c>
    </row>
    <row r="12" spans="2:27" ht="24.75">
      <c r="B12" s="23">
        <f t="shared" si="4"/>
        <v>7</v>
      </c>
      <c r="C12" s="27" t="s">
        <v>74</v>
      </c>
      <c r="D12" s="29" t="s">
        <v>75</v>
      </c>
      <c r="E12" s="42">
        <v>41670</v>
      </c>
      <c r="F12" s="40" t="s">
        <v>76</v>
      </c>
      <c r="G12" s="27" t="s">
        <v>54</v>
      </c>
      <c r="H12" s="27" t="s">
        <v>67</v>
      </c>
      <c r="I12" s="27" t="s">
        <v>68</v>
      </c>
      <c r="J12" s="28">
        <v>801.22</v>
      </c>
      <c r="K12" s="25">
        <v>41594</v>
      </c>
      <c r="L12" s="27" t="s">
        <v>77</v>
      </c>
      <c r="M12" s="27" t="s">
        <v>70</v>
      </c>
      <c r="N12" s="27" t="s">
        <v>78</v>
      </c>
      <c r="O12" s="29" t="s">
        <v>79</v>
      </c>
      <c r="P12" s="30">
        <v>950395</v>
      </c>
      <c r="Q12" s="31">
        <f t="shared" ref="Q12" si="11">SUM(P12*S12)</f>
        <v>103794823.8585</v>
      </c>
      <c r="R12" s="32" t="s">
        <v>30</v>
      </c>
      <c r="S12" s="39">
        <v>109.2123</v>
      </c>
      <c r="T12" s="33">
        <f t="shared" ref="T12" si="12">SUM(K12)+89</f>
        <v>41683</v>
      </c>
      <c r="U12" s="24" t="s">
        <v>73</v>
      </c>
      <c r="V12" s="34">
        <f t="shared" si="10"/>
        <v>124553.7886302</v>
      </c>
      <c r="W12" s="24">
        <v>155.72</v>
      </c>
      <c r="X12" s="31">
        <f t="shared" si="3"/>
        <v>19395515.965494744</v>
      </c>
      <c r="Y12" s="37">
        <v>19599535.07</v>
      </c>
      <c r="Z12" s="33">
        <v>41670</v>
      </c>
      <c r="AA12" s="59">
        <v>10526</v>
      </c>
    </row>
    <row r="13" spans="2:27" ht="20.25" customHeight="1">
      <c r="B13" s="23">
        <f t="shared" si="4"/>
        <v>8</v>
      </c>
      <c r="C13" s="27" t="s">
        <v>80</v>
      </c>
      <c r="D13" s="36" t="s">
        <v>81</v>
      </c>
      <c r="E13" s="33">
        <v>41670</v>
      </c>
      <c r="F13" s="26" t="s">
        <v>82</v>
      </c>
      <c r="G13" s="27" t="s">
        <v>83</v>
      </c>
      <c r="H13" s="27" t="s">
        <v>84</v>
      </c>
      <c r="I13" s="27" t="s">
        <v>68</v>
      </c>
      <c r="J13" s="28">
        <v>801.22</v>
      </c>
      <c r="K13" s="25">
        <v>41650</v>
      </c>
      <c r="L13" s="27" t="s">
        <v>85</v>
      </c>
      <c r="M13" s="24" t="s">
        <v>70</v>
      </c>
      <c r="N13" s="27" t="s">
        <v>86</v>
      </c>
      <c r="O13" s="29" t="s">
        <v>87</v>
      </c>
      <c r="P13" s="30">
        <v>949520</v>
      </c>
      <c r="Q13" s="31">
        <f t="shared" ref="Q13:Q17" si="13">SUM(P13*S13)</f>
        <v>103951550.55999999</v>
      </c>
      <c r="R13" s="32" t="s">
        <v>30</v>
      </c>
      <c r="S13" s="8">
        <v>109.47799999999999</v>
      </c>
      <c r="T13" s="33">
        <f t="shared" ref="T13:T17" si="14">SUM(K13)+89</f>
        <v>41739</v>
      </c>
      <c r="U13" s="27" t="s">
        <v>83</v>
      </c>
      <c r="V13" s="34">
        <f t="shared" ref="V13:V17" si="15">SUM(Q13*0.12%)</f>
        <v>124741.86067199998</v>
      </c>
      <c r="W13" s="24">
        <v>155.75</v>
      </c>
      <c r="X13" s="31">
        <f t="shared" si="3"/>
        <v>19428544.799663998</v>
      </c>
      <c r="Y13" s="37">
        <f t="shared" ref="Y13:Y15" si="16">X13</f>
        <v>19428544.799663998</v>
      </c>
      <c r="Z13" s="24"/>
      <c r="AA13" s="24"/>
    </row>
    <row r="14" spans="2:27" ht="20.25" customHeight="1">
      <c r="B14" s="23">
        <f t="shared" si="4"/>
        <v>9</v>
      </c>
      <c r="C14" s="27" t="s">
        <v>88</v>
      </c>
      <c r="D14" s="36" t="s">
        <v>89</v>
      </c>
      <c r="E14" s="33">
        <v>41670</v>
      </c>
      <c r="F14" s="26" t="s">
        <v>90</v>
      </c>
      <c r="G14" s="27" t="s">
        <v>83</v>
      </c>
      <c r="H14" s="27" t="s">
        <v>84</v>
      </c>
      <c r="I14" s="27" t="s">
        <v>28</v>
      </c>
      <c r="J14" s="28">
        <v>801.22</v>
      </c>
      <c r="K14" s="25">
        <v>41653</v>
      </c>
      <c r="L14" s="27" t="s">
        <v>91</v>
      </c>
      <c r="M14" s="27" t="s">
        <v>29</v>
      </c>
      <c r="N14" s="27" t="s">
        <v>92</v>
      </c>
      <c r="O14" s="29" t="s">
        <v>93</v>
      </c>
      <c r="P14" s="30">
        <v>548568</v>
      </c>
      <c r="Q14" s="31">
        <f t="shared" si="13"/>
        <v>59455994.112000003</v>
      </c>
      <c r="R14" s="32" t="s">
        <v>30</v>
      </c>
      <c r="S14" s="8">
        <v>108.384</v>
      </c>
      <c r="T14" s="33">
        <f t="shared" si="14"/>
        <v>41742</v>
      </c>
      <c r="U14" s="27" t="s">
        <v>83</v>
      </c>
      <c r="V14" s="34">
        <f t="shared" si="15"/>
        <v>71347.192934399995</v>
      </c>
      <c r="W14" s="24">
        <v>155.75</v>
      </c>
      <c r="X14" s="31">
        <f t="shared" si="3"/>
        <v>11112325.299532799</v>
      </c>
      <c r="Y14" s="37">
        <f t="shared" si="16"/>
        <v>11112325.299532799</v>
      </c>
      <c r="Z14" s="24"/>
      <c r="AA14" s="24"/>
    </row>
    <row r="15" spans="2:27" ht="20.25" customHeight="1">
      <c r="B15" s="23">
        <f t="shared" si="4"/>
        <v>10</v>
      </c>
      <c r="C15" s="27" t="s">
        <v>94</v>
      </c>
      <c r="D15" s="36" t="s">
        <v>95</v>
      </c>
      <c r="E15" s="33">
        <v>41670</v>
      </c>
      <c r="F15" s="26" t="s">
        <v>96</v>
      </c>
      <c r="G15" s="27" t="s">
        <v>83</v>
      </c>
      <c r="H15" s="27" t="s">
        <v>84</v>
      </c>
      <c r="I15" s="27" t="s">
        <v>28</v>
      </c>
      <c r="J15" s="28">
        <v>801.22</v>
      </c>
      <c r="K15" s="25">
        <v>41653</v>
      </c>
      <c r="L15" s="27" t="s">
        <v>91</v>
      </c>
      <c r="M15" s="27" t="s">
        <v>29</v>
      </c>
      <c r="N15" s="27" t="s">
        <v>92</v>
      </c>
      <c r="O15" s="29" t="s">
        <v>93</v>
      </c>
      <c r="P15" s="30">
        <v>400000</v>
      </c>
      <c r="Q15" s="31">
        <f t="shared" si="13"/>
        <v>43353600</v>
      </c>
      <c r="R15" s="32" t="s">
        <v>30</v>
      </c>
      <c r="S15" s="8">
        <v>108.384</v>
      </c>
      <c r="T15" s="33">
        <f t="shared" si="14"/>
        <v>41742</v>
      </c>
      <c r="U15" s="27" t="s">
        <v>83</v>
      </c>
      <c r="V15" s="34">
        <f t="shared" si="15"/>
        <v>52024.319999999992</v>
      </c>
      <c r="W15" s="24">
        <v>155.75</v>
      </c>
      <c r="X15" s="31">
        <f t="shared" si="3"/>
        <v>8102787.8399999989</v>
      </c>
      <c r="Y15" s="37">
        <f t="shared" si="16"/>
        <v>8102787.8399999989</v>
      </c>
      <c r="Z15" s="24"/>
      <c r="AA15" s="24"/>
    </row>
    <row r="16" spans="2:27" ht="20.25" customHeight="1">
      <c r="B16" s="23">
        <f t="shared" si="4"/>
        <v>11</v>
      </c>
      <c r="C16" s="27" t="s">
        <v>97</v>
      </c>
      <c r="D16" s="36" t="s">
        <v>98</v>
      </c>
      <c r="E16" s="33">
        <v>41670</v>
      </c>
      <c r="F16" s="26" t="s">
        <v>99</v>
      </c>
      <c r="G16" s="27" t="s">
        <v>83</v>
      </c>
      <c r="H16" s="27" t="s">
        <v>84</v>
      </c>
      <c r="I16" s="27" t="s">
        <v>100</v>
      </c>
      <c r="J16" s="28">
        <v>801.22</v>
      </c>
      <c r="K16" s="25">
        <v>41659</v>
      </c>
      <c r="L16" s="27" t="s">
        <v>101</v>
      </c>
      <c r="M16" s="27" t="s">
        <v>102</v>
      </c>
      <c r="N16" s="27" t="s">
        <v>52</v>
      </c>
      <c r="O16" s="29" t="s">
        <v>103</v>
      </c>
      <c r="P16" s="30">
        <v>899812</v>
      </c>
      <c r="Q16" s="31">
        <f t="shared" si="13"/>
        <v>100006005.492</v>
      </c>
      <c r="R16" s="32" t="s">
        <v>30</v>
      </c>
      <c r="S16" s="39">
        <v>111.14100000000001</v>
      </c>
      <c r="T16" s="33">
        <f t="shared" si="14"/>
        <v>41748</v>
      </c>
      <c r="U16" s="27" t="s">
        <v>83</v>
      </c>
      <c r="V16" s="34">
        <f t="shared" si="15"/>
        <v>120007.20659039999</v>
      </c>
      <c r="W16" s="24">
        <v>155.75</v>
      </c>
      <c r="X16" s="31">
        <f t="shared" si="3"/>
        <v>18691122.426454797</v>
      </c>
      <c r="Y16" s="37">
        <f>X16</f>
        <v>18691122.426454797</v>
      </c>
      <c r="Z16" s="24"/>
      <c r="AA16" s="24"/>
    </row>
    <row r="17" spans="2:27" ht="20.25" customHeight="1" thickBot="1">
      <c r="B17" s="23">
        <f t="shared" si="4"/>
        <v>12</v>
      </c>
      <c r="C17" s="27" t="s">
        <v>104</v>
      </c>
      <c r="D17" s="36" t="s">
        <v>105</v>
      </c>
      <c r="E17" s="33">
        <v>41670</v>
      </c>
      <c r="F17" s="26" t="s">
        <v>106</v>
      </c>
      <c r="G17" s="27" t="s">
        <v>83</v>
      </c>
      <c r="H17" s="27" t="s">
        <v>84</v>
      </c>
      <c r="I17" s="27" t="s">
        <v>107</v>
      </c>
      <c r="J17" s="28">
        <v>801.22</v>
      </c>
      <c r="K17" s="25">
        <v>41667</v>
      </c>
      <c r="L17" s="27" t="s">
        <v>108</v>
      </c>
      <c r="M17" s="27" t="s">
        <v>109</v>
      </c>
      <c r="N17" s="27" t="s">
        <v>110</v>
      </c>
      <c r="O17" s="29" t="s">
        <v>111</v>
      </c>
      <c r="P17" s="30">
        <v>949725</v>
      </c>
      <c r="Q17" s="31">
        <f t="shared" si="13"/>
        <v>104909472.675</v>
      </c>
      <c r="R17" s="32" t="s">
        <v>30</v>
      </c>
      <c r="S17" s="39">
        <v>110.46299999999999</v>
      </c>
      <c r="T17" s="33">
        <f t="shared" si="14"/>
        <v>41756</v>
      </c>
      <c r="U17" s="27" t="s">
        <v>83</v>
      </c>
      <c r="V17" s="34">
        <f t="shared" si="15"/>
        <v>125891.36720999998</v>
      </c>
      <c r="W17" s="24">
        <v>155.75</v>
      </c>
      <c r="X17" s="31">
        <f t="shared" si="3"/>
        <v>19607580.442957498</v>
      </c>
      <c r="Y17" s="37">
        <f>X17</f>
        <v>19607580.442957498</v>
      </c>
      <c r="Z17" s="24"/>
      <c r="AA17" s="24"/>
    </row>
    <row r="18" spans="2:27" ht="15.75" thickBot="1">
      <c r="P18" s="52">
        <f>SUM(P6:P17)</f>
        <v>8722939</v>
      </c>
      <c r="Q18" s="53">
        <f>SUM(Q6:Q17)</f>
        <v>957217249.07599986</v>
      </c>
      <c r="R18" s="54"/>
      <c r="S18" s="55"/>
      <c r="T18" s="56"/>
      <c r="U18" s="57"/>
      <c r="V18" s="53">
        <f>SUM(V6:V17)</f>
        <v>1148660.6988911999</v>
      </c>
      <c r="W18" s="54"/>
      <c r="X18" s="53">
        <f t="shared" ref="X18:Y18" si="17">SUM(X6:X17)</f>
        <v>178891998.36353114</v>
      </c>
      <c r="Y18" s="53">
        <f t="shared" si="17"/>
        <v>179300185.71860906</v>
      </c>
    </row>
  </sheetData>
  <pageMargins left="0" right="0" top="0" bottom="0" header="0.31496062992125984" footer="0"/>
  <pageSetup paperSize="8" orientation="landscape" r:id="rId1"/>
  <ignoredErrors>
    <ignoredError sqref="F6 F8:F12" numberStoredAsText="1"/>
    <ignoredError sqref="Q9 Q12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AA17"/>
  <sheetViews>
    <sheetView workbookViewId="0">
      <selection activeCell="J23" sqref="J23"/>
    </sheetView>
  </sheetViews>
  <sheetFormatPr defaultRowHeight="15"/>
  <cols>
    <col min="1" max="1" width="3.5703125" customWidth="1"/>
    <col min="2" max="2" width="3.28515625" customWidth="1"/>
    <col min="3" max="3" width="5.7109375" customWidth="1"/>
    <col min="4" max="4" width="6.28515625" customWidth="1"/>
    <col min="5" max="5" width="4.7109375" style="2" customWidth="1"/>
    <col min="6" max="6" width="10.28515625" style="1" customWidth="1"/>
    <col min="7" max="7" width="8.85546875" style="1" customWidth="1"/>
    <col min="8" max="8" width="9" style="1" customWidth="1"/>
    <col min="9" max="9" width="8.85546875" style="1" customWidth="1"/>
    <col min="10" max="10" width="6.140625" customWidth="1"/>
    <col min="11" max="11" width="6" style="2" customWidth="1"/>
    <col min="12" max="12" width="8.5703125" style="1" customWidth="1"/>
    <col min="13" max="13" width="6.140625" style="1" customWidth="1"/>
    <col min="14" max="14" width="7.5703125" style="4" customWidth="1"/>
    <col min="15" max="15" width="10.7109375" style="5" customWidth="1"/>
    <col min="16" max="16" width="8.28515625" customWidth="1"/>
    <col min="17" max="17" width="11.42578125" customWidth="1"/>
    <col min="18" max="18" width="8" customWidth="1"/>
    <col min="19" max="19" width="7" style="1" customWidth="1"/>
    <col min="20" max="20" width="8.42578125" style="2" customWidth="1"/>
    <col min="21" max="21" width="8.5703125" style="1" customWidth="1"/>
    <col min="22" max="22" width="9.42578125" customWidth="1"/>
    <col min="23" max="23" width="7.5703125" customWidth="1"/>
    <col min="24" max="24" width="10.140625" customWidth="1"/>
    <col min="25" max="25" width="8" customWidth="1"/>
    <col min="26" max="26" width="6.85546875" customWidth="1"/>
    <col min="27" max="27" width="7" customWidth="1"/>
  </cols>
  <sheetData>
    <row r="2" spans="2:27" ht="15.75">
      <c r="L2" s="3" t="s">
        <v>0</v>
      </c>
    </row>
    <row r="3" spans="2:27" ht="22.5" customHeight="1">
      <c r="L3" s="3" t="s">
        <v>164</v>
      </c>
      <c r="P3" s="6"/>
    </row>
    <row r="4" spans="2:27" ht="13.15" customHeight="1" thickBot="1">
      <c r="F4" s="7"/>
    </row>
    <row r="5" spans="2:27" s="1" customFormat="1" ht="42.6" customHeight="1" thickBot="1">
      <c r="B5" s="17" t="s">
        <v>1</v>
      </c>
      <c r="C5" s="18" t="s">
        <v>2</v>
      </c>
      <c r="D5" s="18" t="s">
        <v>3</v>
      </c>
      <c r="E5" s="18" t="s">
        <v>4</v>
      </c>
      <c r="F5" s="19" t="s">
        <v>5</v>
      </c>
      <c r="G5" s="20" t="s">
        <v>6</v>
      </c>
      <c r="H5" s="18" t="s">
        <v>7</v>
      </c>
      <c r="I5" s="18" t="s">
        <v>8</v>
      </c>
      <c r="J5" s="18" t="s">
        <v>9</v>
      </c>
      <c r="K5" s="18" t="s">
        <v>10</v>
      </c>
      <c r="L5" s="18" t="s">
        <v>11</v>
      </c>
      <c r="M5" s="18" t="s">
        <v>12</v>
      </c>
      <c r="N5" s="18" t="s">
        <v>13</v>
      </c>
      <c r="O5" s="18" t="s">
        <v>14</v>
      </c>
      <c r="P5" s="18" t="s">
        <v>15</v>
      </c>
      <c r="Q5" s="18" t="s">
        <v>16</v>
      </c>
      <c r="R5" s="18" t="s">
        <v>17</v>
      </c>
      <c r="S5" s="18" t="s">
        <v>18</v>
      </c>
      <c r="T5" s="18" t="s">
        <v>19</v>
      </c>
      <c r="U5" s="18" t="s">
        <v>20</v>
      </c>
      <c r="V5" s="18" t="s">
        <v>21</v>
      </c>
      <c r="W5" s="18" t="s">
        <v>22</v>
      </c>
      <c r="X5" s="18" t="s">
        <v>23</v>
      </c>
      <c r="Y5" s="18" t="s">
        <v>24</v>
      </c>
      <c r="Z5" s="18" t="s">
        <v>25</v>
      </c>
      <c r="AA5" s="22" t="s">
        <v>26</v>
      </c>
    </row>
    <row r="6" spans="2:27" ht="26.25">
      <c r="B6" s="23">
        <v>1</v>
      </c>
      <c r="C6" s="27" t="s">
        <v>135</v>
      </c>
      <c r="D6" s="25" t="s">
        <v>120</v>
      </c>
      <c r="E6" s="25"/>
      <c r="F6" s="26" t="s">
        <v>136</v>
      </c>
      <c r="G6" s="27" t="s">
        <v>47</v>
      </c>
      <c r="H6" s="27" t="s">
        <v>131</v>
      </c>
      <c r="I6" s="27" t="s">
        <v>107</v>
      </c>
      <c r="J6" s="28">
        <v>801.22</v>
      </c>
      <c r="K6" s="25">
        <v>41645</v>
      </c>
      <c r="L6" s="27" t="s">
        <v>133</v>
      </c>
      <c r="M6" s="27" t="s">
        <v>109</v>
      </c>
      <c r="N6" s="27" t="s">
        <v>71</v>
      </c>
      <c r="O6" s="29" t="s">
        <v>137</v>
      </c>
      <c r="P6" s="30">
        <v>950057</v>
      </c>
      <c r="Q6" s="31">
        <f t="shared" ref="Q6:Q16" si="0">SUM(P6*S6)</f>
        <v>102945326.34899999</v>
      </c>
      <c r="R6" s="32" t="s">
        <v>30</v>
      </c>
      <c r="S6" s="8">
        <v>108.357</v>
      </c>
      <c r="T6" s="33">
        <f t="shared" ref="T6:T16" si="1">SUM(K6)+89</f>
        <v>41734</v>
      </c>
      <c r="U6" s="27" t="s">
        <v>54</v>
      </c>
      <c r="V6" s="34">
        <f t="shared" ref="V6:V15" si="2">SUM(Q6*0.12%)</f>
        <v>123534.39161879999</v>
      </c>
      <c r="W6" s="24">
        <v>155.75</v>
      </c>
      <c r="X6" s="31">
        <f t="shared" ref="X6:X16" si="3">SUM(V6*W6)</f>
        <v>19240481.494628098</v>
      </c>
      <c r="Y6" s="35">
        <v>0</v>
      </c>
      <c r="Z6" s="24"/>
      <c r="AA6" s="24"/>
    </row>
    <row r="7" spans="2:27" ht="20.25" customHeight="1">
      <c r="B7" s="23">
        <f t="shared" ref="B7:B13" si="4">B6+1</f>
        <v>2</v>
      </c>
      <c r="C7" s="27" t="s">
        <v>138</v>
      </c>
      <c r="D7" s="25" t="s">
        <v>120</v>
      </c>
      <c r="E7" s="25"/>
      <c r="F7" s="26" t="s">
        <v>139</v>
      </c>
      <c r="G7" s="27" t="s">
        <v>33</v>
      </c>
      <c r="H7" s="27" t="s">
        <v>112</v>
      </c>
      <c r="I7" s="27" t="s">
        <v>107</v>
      </c>
      <c r="J7" s="28">
        <v>801.22</v>
      </c>
      <c r="K7" s="25">
        <v>41655</v>
      </c>
      <c r="L7" s="27" t="s">
        <v>140</v>
      </c>
      <c r="M7" s="27" t="s">
        <v>109</v>
      </c>
      <c r="N7" s="27" t="s">
        <v>113</v>
      </c>
      <c r="O7" s="29" t="s">
        <v>126</v>
      </c>
      <c r="P7" s="30">
        <v>500000</v>
      </c>
      <c r="Q7" s="31">
        <f t="shared" si="0"/>
        <v>54801000</v>
      </c>
      <c r="R7" s="32" t="s">
        <v>30</v>
      </c>
      <c r="S7" s="8">
        <v>109.602</v>
      </c>
      <c r="T7" s="33">
        <f t="shared" si="1"/>
        <v>41744</v>
      </c>
      <c r="U7" s="27" t="s">
        <v>33</v>
      </c>
      <c r="V7" s="34">
        <f t="shared" si="2"/>
        <v>65761.2</v>
      </c>
      <c r="W7" s="24">
        <v>155.75</v>
      </c>
      <c r="X7" s="31">
        <f t="shared" si="3"/>
        <v>10242306.9</v>
      </c>
      <c r="Y7" s="35">
        <v>0</v>
      </c>
      <c r="Z7" s="24"/>
      <c r="AA7" s="24"/>
    </row>
    <row r="8" spans="2:27" ht="20.25" customHeight="1">
      <c r="B8" s="23">
        <f t="shared" si="4"/>
        <v>3</v>
      </c>
      <c r="C8" s="27" t="s">
        <v>141</v>
      </c>
      <c r="D8" s="25" t="s">
        <v>120</v>
      </c>
      <c r="E8" s="25"/>
      <c r="F8" s="26" t="s">
        <v>142</v>
      </c>
      <c r="G8" s="38" t="s">
        <v>114</v>
      </c>
      <c r="H8" s="27" t="s">
        <v>124</v>
      </c>
      <c r="I8" s="27" t="s">
        <v>107</v>
      </c>
      <c r="J8" s="28">
        <v>801.22</v>
      </c>
      <c r="K8" s="25">
        <v>41655</v>
      </c>
      <c r="L8" s="27" t="s">
        <v>140</v>
      </c>
      <c r="M8" s="27" t="s">
        <v>109</v>
      </c>
      <c r="N8" s="27" t="s">
        <v>113</v>
      </c>
      <c r="O8" s="29" t="s">
        <v>126</v>
      </c>
      <c r="P8" s="30">
        <v>60000</v>
      </c>
      <c r="Q8" s="31">
        <f t="shared" si="0"/>
        <v>6576120</v>
      </c>
      <c r="R8" s="32" t="s">
        <v>30</v>
      </c>
      <c r="S8" s="8">
        <v>109.602</v>
      </c>
      <c r="T8" s="33">
        <f t="shared" si="1"/>
        <v>41744</v>
      </c>
      <c r="U8" s="27" t="s">
        <v>114</v>
      </c>
      <c r="V8" s="34">
        <f t="shared" si="2"/>
        <v>7891.3439999999991</v>
      </c>
      <c r="W8" s="24">
        <v>155.75</v>
      </c>
      <c r="X8" s="31">
        <f t="shared" si="3"/>
        <v>1229076.828</v>
      </c>
      <c r="Y8" s="35">
        <v>0</v>
      </c>
      <c r="Z8" s="24"/>
      <c r="AA8" s="24"/>
    </row>
    <row r="9" spans="2:27" ht="20.25" customHeight="1">
      <c r="B9" s="23">
        <f t="shared" si="4"/>
        <v>4</v>
      </c>
      <c r="C9" s="27" t="s">
        <v>143</v>
      </c>
      <c r="D9" s="25" t="s">
        <v>120</v>
      </c>
      <c r="E9" s="25"/>
      <c r="F9" s="26" t="s">
        <v>144</v>
      </c>
      <c r="G9" s="38" t="s">
        <v>114</v>
      </c>
      <c r="H9" s="27" t="s">
        <v>124</v>
      </c>
      <c r="I9" s="27" t="s">
        <v>107</v>
      </c>
      <c r="J9" s="28">
        <v>801.22</v>
      </c>
      <c r="K9" s="25">
        <v>41655</v>
      </c>
      <c r="L9" s="27" t="s">
        <v>140</v>
      </c>
      <c r="M9" s="27" t="s">
        <v>109</v>
      </c>
      <c r="N9" s="27" t="s">
        <v>113</v>
      </c>
      <c r="O9" s="29" t="s">
        <v>126</v>
      </c>
      <c r="P9" s="30">
        <v>29500</v>
      </c>
      <c r="Q9" s="31">
        <f t="shared" si="0"/>
        <v>3233259</v>
      </c>
      <c r="R9" s="32" t="s">
        <v>30</v>
      </c>
      <c r="S9" s="8">
        <v>109.602</v>
      </c>
      <c r="T9" s="33">
        <f t="shared" si="1"/>
        <v>41744</v>
      </c>
      <c r="U9" s="27" t="s">
        <v>114</v>
      </c>
      <c r="V9" s="34">
        <f t="shared" si="2"/>
        <v>3879.9107999999997</v>
      </c>
      <c r="W9" s="24">
        <v>155.75</v>
      </c>
      <c r="X9" s="31">
        <f t="shared" si="3"/>
        <v>604296.10709999991</v>
      </c>
      <c r="Y9" s="35">
        <v>0</v>
      </c>
      <c r="Z9" s="24"/>
      <c r="AA9" s="24"/>
    </row>
    <row r="10" spans="2:27" ht="20.25" customHeight="1">
      <c r="B10" s="23">
        <f t="shared" si="4"/>
        <v>5</v>
      </c>
      <c r="C10" s="27" t="s">
        <v>145</v>
      </c>
      <c r="D10" s="25" t="s">
        <v>120</v>
      </c>
      <c r="E10" s="25"/>
      <c r="F10" s="26" t="s">
        <v>146</v>
      </c>
      <c r="G10" s="27" t="s">
        <v>134</v>
      </c>
      <c r="H10" s="27" t="s">
        <v>124</v>
      </c>
      <c r="I10" s="27" t="s">
        <v>107</v>
      </c>
      <c r="J10" s="28">
        <v>801.22</v>
      </c>
      <c r="K10" s="25">
        <v>41655</v>
      </c>
      <c r="L10" s="27" t="s">
        <v>140</v>
      </c>
      <c r="M10" s="27" t="s">
        <v>109</v>
      </c>
      <c r="N10" s="27" t="s">
        <v>113</v>
      </c>
      <c r="O10" s="29" t="s">
        <v>126</v>
      </c>
      <c r="P10" s="30">
        <v>24000</v>
      </c>
      <c r="Q10" s="31">
        <f t="shared" si="0"/>
        <v>2630448</v>
      </c>
      <c r="R10" s="32" t="s">
        <v>30</v>
      </c>
      <c r="S10" s="8">
        <v>109.602</v>
      </c>
      <c r="T10" s="33">
        <f t="shared" si="1"/>
        <v>41744</v>
      </c>
      <c r="U10" s="27" t="s">
        <v>134</v>
      </c>
      <c r="V10" s="34">
        <f t="shared" si="2"/>
        <v>3156.5375999999997</v>
      </c>
      <c r="W10" s="24">
        <v>155.75</v>
      </c>
      <c r="X10" s="31">
        <f t="shared" si="3"/>
        <v>491630.73119999992</v>
      </c>
      <c r="Y10" s="35">
        <v>0</v>
      </c>
      <c r="Z10" s="24"/>
      <c r="AA10" s="24"/>
    </row>
    <row r="11" spans="2:27" ht="20.25" customHeight="1">
      <c r="B11" s="23">
        <f t="shared" si="4"/>
        <v>6</v>
      </c>
      <c r="C11" s="27" t="s">
        <v>147</v>
      </c>
      <c r="D11" s="25" t="s">
        <v>120</v>
      </c>
      <c r="E11" s="25"/>
      <c r="F11" s="26" t="s">
        <v>148</v>
      </c>
      <c r="G11" s="27" t="s">
        <v>33</v>
      </c>
      <c r="H11" s="27" t="s">
        <v>116</v>
      </c>
      <c r="I11" s="27" t="s">
        <v>107</v>
      </c>
      <c r="J11" s="28">
        <v>801.22</v>
      </c>
      <c r="K11" s="25">
        <v>41655</v>
      </c>
      <c r="L11" s="27" t="s">
        <v>140</v>
      </c>
      <c r="M11" s="27" t="s">
        <v>109</v>
      </c>
      <c r="N11" s="27" t="s">
        <v>113</v>
      </c>
      <c r="O11" s="29" t="s">
        <v>126</v>
      </c>
      <c r="P11" s="30">
        <v>120284</v>
      </c>
      <c r="Q11" s="31">
        <f t="shared" si="0"/>
        <v>13183366.968</v>
      </c>
      <c r="R11" s="32" t="s">
        <v>30</v>
      </c>
      <c r="S11" s="8">
        <v>109.602</v>
      </c>
      <c r="T11" s="33">
        <f t="shared" si="1"/>
        <v>41744</v>
      </c>
      <c r="U11" s="27" t="s">
        <v>73</v>
      </c>
      <c r="V11" s="34">
        <f t="shared" si="2"/>
        <v>15820.040361599999</v>
      </c>
      <c r="W11" s="24">
        <v>155.75</v>
      </c>
      <c r="X11" s="31">
        <f t="shared" si="3"/>
        <v>2463971.2863191999</v>
      </c>
      <c r="Y11" s="35">
        <v>0</v>
      </c>
      <c r="Z11" s="24"/>
      <c r="AA11" s="24"/>
    </row>
    <row r="12" spans="2:27" ht="20.25" customHeight="1">
      <c r="B12" s="23">
        <f t="shared" si="4"/>
        <v>7</v>
      </c>
      <c r="C12" s="27" t="s">
        <v>149</v>
      </c>
      <c r="D12" s="25" t="s">
        <v>120</v>
      </c>
      <c r="E12" s="25"/>
      <c r="F12" s="26" t="s">
        <v>150</v>
      </c>
      <c r="G12" s="27" t="s">
        <v>129</v>
      </c>
      <c r="H12" s="27" t="s">
        <v>123</v>
      </c>
      <c r="I12" s="27" t="s">
        <v>107</v>
      </c>
      <c r="J12" s="28">
        <v>801.22</v>
      </c>
      <c r="K12" s="25">
        <v>41655</v>
      </c>
      <c r="L12" s="27" t="s">
        <v>140</v>
      </c>
      <c r="M12" s="27" t="s">
        <v>109</v>
      </c>
      <c r="N12" s="27" t="s">
        <v>113</v>
      </c>
      <c r="O12" s="29" t="s">
        <v>126</v>
      </c>
      <c r="P12" s="30">
        <v>216000</v>
      </c>
      <c r="Q12" s="31">
        <f t="shared" si="0"/>
        <v>23674032</v>
      </c>
      <c r="R12" s="32" t="s">
        <v>30</v>
      </c>
      <c r="S12" s="8">
        <v>109.602</v>
      </c>
      <c r="T12" s="33">
        <f t="shared" si="1"/>
        <v>41744</v>
      </c>
      <c r="U12" s="27" t="s">
        <v>129</v>
      </c>
      <c r="V12" s="34">
        <f t="shared" si="2"/>
        <v>28408.838399999997</v>
      </c>
      <c r="W12" s="24">
        <v>155.75</v>
      </c>
      <c r="X12" s="31">
        <f t="shared" si="3"/>
        <v>4424676.5807999996</v>
      </c>
      <c r="Y12" s="35">
        <v>0</v>
      </c>
      <c r="Z12" s="24"/>
      <c r="AA12" s="24"/>
    </row>
    <row r="13" spans="2:27" ht="20.25" customHeight="1">
      <c r="B13" s="23">
        <f t="shared" si="4"/>
        <v>8</v>
      </c>
      <c r="C13" s="67" t="s">
        <v>151</v>
      </c>
      <c r="D13" s="25" t="s">
        <v>120</v>
      </c>
      <c r="E13" s="25"/>
      <c r="F13" s="26" t="s">
        <v>152</v>
      </c>
      <c r="G13" s="27" t="s">
        <v>115</v>
      </c>
      <c r="H13" s="27" t="s">
        <v>122</v>
      </c>
      <c r="I13" s="27" t="s">
        <v>117</v>
      </c>
      <c r="J13" s="28">
        <v>801.22</v>
      </c>
      <c r="K13" s="25">
        <v>41663</v>
      </c>
      <c r="L13" s="27" t="s">
        <v>121</v>
      </c>
      <c r="M13" s="27" t="s">
        <v>118</v>
      </c>
      <c r="N13" s="27" t="s">
        <v>86</v>
      </c>
      <c r="O13" s="29" t="s">
        <v>127</v>
      </c>
      <c r="P13" s="30">
        <v>207196</v>
      </c>
      <c r="Q13" s="31">
        <f t="shared" si="0"/>
        <v>22917327.971999999</v>
      </c>
      <c r="R13" s="32" t="s">
        <v>30</v>
      </c>
      <c r="S13" s="39">
        <v>110.607</v>
      </c>
      <c r="T13" s="33">
        <f t="shared" si="1"/>
        <v>41752</v>
      </c>
      <c r="U13" s="27" t="s">
        <v>115</v>
      </c>
      <c r="V13" s="34">
        <f t="shared" si="2"/>
        <v>27500.793566399996</v>
      </c>
      <c r="W13" s="24">
        <v>155.75</v>
      </c>
      <c r="X13" s="31">
        <f t="shared" si="3"/>
        <v>4283248.5979667995</v>
      </c>
      <c r="Y13" s="35">
        <v>0</v>
      </c>
      <c r="Z13" s="24"/>
      <c r="AA13" s="24"/>
    </row>
    <row r="14" spans="2:27" ht="20.25" customHeight="1">
      <c r="B14" s="23">
        <f t="shared" ref="B14:B16" si="5">B13+1</f>
        <v>9</v>
      </c>
      <c r="C14" s="27" t="s">
        <v>153</v>
      </c>
      <c r="D14" s="25" t="s">
        <v>120</v>
      </c>
      <c r="E14" s="25"/>
      <c r="F14" s="26" t="s">
        <v>154</v>
      </c>
      <c r="G14" s="27" t="s">
        <v>47</v>
      </c>
      <c r="H14" s="27" t="s">
        <v>155</v>
      </c>
      <c r="I14" s="27" t="s">
        <v>49</v>
      </c>
      <c r="J14" s="28">
        <v>801.22</v>
      </c>
      <c r="K14" s="25">
        <v>41664</v>
      </c>
      <c r="L14" s="27" t="s">
        <v>156</v>
      </c>
      <c r="M14" s="27" t="s">
        <v>51</v>
      </c>
      <c r="N14" s="27" t="s">
        <v>119</v>
      </c>
      <c r="O14" s="29" t="s">
        <v>132</v>
      </c>
      <c r="P14" s="30">
        <v>628846</v>
      </c>
      <c r="Q14" s="31">
        <f t="shared" si="0"/>
        <v>65969089.630000003</v>
      </c>
      <c r="R14" s="32" t="s">
        <v>30</v>
      </c>
      <c r="S14" s="39">
        <v>104.905</v>
      </c>
      <c r="T14" s="33">
        <f t="shared" si="1"/>
        <v>41753</v>
      </c>
      <c r="U14" s="27" t="s">
        <v>54</v>
      </c>
      <c r="V14" s="34">
        <f t="shared" si="2"/>
        <v>79162.907555999991</v>
      </c>
      <c r="W14" s="24">
        <v>155.75</v>
      </c>
      <c r="X14" s="31">
        <f t="shared" si="3"/>
        <v>12329622.851846999</v>
      </c>
      <c r="Y14" s="35">
        <v>0</v>
      </c>
      <c r="Z14" s="24"/>
      <c r="AA14" s="24"/>
    </row>
    <row r="15" spans="2:27" ht="20.25" customHeight="1">
      <c r="B15" s="23">
        <f t="shared" si="5"/>
        <v>10</v>
      </c>
      <c r="C15" s="27" t="s">
        <v>157</v>
      </c>
      <c r="D15" s="25" t="s">
        <v>120</v>
      </c>
      <c r="E15" s="25"/>
      <c r="F15" s="26" t="s">
        <v>158</v>
      </c>
      <c r="G15" s="27" t="s">
        <v>54</v>
      </c>
      <c r="H15" s="27" t="s">
        <v>67</v>
      </c>
      <c r="I15" s="27" t="s">
        <v>68</v>
      </c>
      <c r="J15" s="28">
        <v>801.22</v>
      </c>
      <c r="K15" s="25">
        <v>41665</v>
      </c>
      <c r="L15" s="27" t="s">
        <v>128</v>
      </c>
      <c r="M15" s="27" t="s">
        <v>70</v>
      </c>
      <c r="N15" s="27" t="s">
        <v>78</v>
      </c>
      <c r="O15" s="29" t="s">
        <v>125</v>
      </c>
      <c r="P15" s="30">
        <v>950131</v>
      </c>
      <c r="Q15" s="31">
        <f t="shared" si="0"/>
        <v>105465491.131</v>
      </c>
      <c r="R15" s="32" t="s">
        <v>30</v>
      </c>
      <c r="S15" s="39">
        <v>111.001</v>
      </c>
      <c r="T15" s="33">
        <f t="shared" si="1"/>
        <v>41754</v>
      </c>
      <c r="U15" s="27" t="s">
        <v>73</v>
      </c>
      <c r="V15" s="34">
        <f t="shared" si="2"/>
        <v>126558.58935719999</v>
      </c>
      <c r="W15" s="24">
        <v>155.75</v>
      </c>
      <c r="X15" s="31">
        <f t="shared" si="3"/>
        <v>19711500.292383898</v>
      </c>
      <c r="Y15" s="35">
        <v>0</v>
      </c>
      <c r="Z15" s="24"/>
      <c r="AA15" s="24"/>
    </row>
    <row r="16" spans="2:27" ht="20.25" customHeight="1" thickBot="1">
      <c r="B16" s="23">
        <f t="shared" si="5"/>
        <v>11</v>
      </c>
      <c r="C16" s="27" t="s">
        <v>159</v>
      </c>
      <c r="D16" s="25" t="s">
        <v>120</v>
      </c>
      <c r="E16" s="25"/>
      <c r="F16" s="40" t="s">
        <v>160</v>
      </c>
      <c r="G16" s="27" t="s">
        <v>33</v>
      </c>
      <c r="H16" s="27" t="s">
        <v>112</v>
      </c>
      <c r="I16" s="41" t="s">
        <v>28</v>
      </c>
      <c r="J16" s="28">
        <v>801.22</v>
      </c>
      <c r="K16" s="42">
        <v>41669</v>
      </c>
      <c r="L16" s="43" t="s">
        <v>161</v>
      </c>
      <c r="M16" s="43" t="s">
        <v>29</v>
      </c>
      <c r="N16" s="43" t="s">
        <v>130</v>
      </c>
      <c r="O16" s="29" t="s">
        <v>162</v>
      </c>
      <c r="P16" s="44">
        <v>948817</v>
      </c>
      <c r="Q16" s="45">
        <f t="shared" si="0"/>
        <v>103522576.419</v>
      </c>
      <c r="R16" s="32" t="s">
        <v>30</v>
      </c>
      <c r="S16" s="39">
        <v>109.107</v>
      </c>
      <c r="T16" s="33">
        <f t="shared" si="1"/>
        <v>41758</v>
      </c>
      <c r="U16" s="27" t="s">
        <v>33</v>
      </c>
      <c r="V16" s="46">
        <f t="shared" ref="V16" si="6">SUM(Q16*0.12%)</f>
        <v>124227.09170279998</v>
      </c>
      <c r="W16" s="24">
        <v>155.75</v>
      </c>
      <c r="X16" s="45">
        <f t="shared" si="3"/>
        <v>19348369.532711096</v>
      </c>
      <c r="Y16" s="47">
        <v>0</v>
      </c>
      <c r="Z16" s="24"/>
      <c r="AA16" s="24"/>
    </row>
    <row r="17" spans="2:27" ht="15.75" thickBot="1">
      <c r="B17" s="54"/>
      <c r="C17" s="54"/>
      <c r="D17" s="54"/>
      <c r="E17" s="56"/>
      <c r="F17" s="57"/>
      <c r="G17" s="57"/>
      <c r="H17" s="57"/>
      <c r="I17" s="57"/>
      <c r="J17" s="54"/>
      <c r="K17" s="56"/>
      <c r="L17" s="57"/>
      <c r="M17" s="57"/>
      <c r="N17" s="51"/>
      <c r="O17" s="51"/>
      <c r="P17" s="52">
        <f>SUM(P6:P16)</f>
        <v>4634831</v>
      </c>
      <c r="Q17" s="53">
        <f>SUM(Q6:Q16)</f>
        <v>504918037.46899998</v>
      </c>
      <c r="R17" s="54"/>
      <c r="S17" s="57"/>
      <c r="T17" s="56"/>
      <c r="U17" s="57"/>
      <c r="V17" s="53">
        <f>SUM(V6:V16)</f>
        <v>605901.64496279997</v>
      </c>
      <c r="W17" s="54"/>
      <c r="X17" s="53">
        <f>SUM(X6:X16)</f>
        <v>94369181.20295608</v>
      </c>
      <c r="Y17" s="53">
        <f>SUM(Y6:Y16)</f>
        <v>0</v>
      </c>
      <c r="Z17" s="54"/>
      <c r="AA17" s="54"/>
    </row>
  </sheetData>
  <pageMargins left="0" right="0" top="0" bottom="0" header="0.31496062992125984" footer="0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(JAN'14)</vt:lpstr>
      <vt:lpstr>COMPLIANT (JAN'14)</vt:lpstr>
      <vt:lpstr>NON-COMPLIANT (JAN'14)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2014-02-05T09:37:16Z</cp:lastPrinted>
  <dcterms:created xsi:type="dcterms:W3CDTF">2014-01-15T08:36:53Z</dcterms:created>
  <dcterms:modified xsi:type="dcterms:W3CDTF">2014-02-13T09:32:20Z</dcterms:modified>
</cp:coreProperties>
</file>