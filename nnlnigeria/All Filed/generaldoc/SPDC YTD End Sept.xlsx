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23250" windowHeight="6780" tabRatio="907" activeTab="2"/>
  </bookViews>
  <sheets>
    <sheet name="Template - Q1_Returns" sheetId="15" r:id="rId1"/>
    <sheet name="Template - Q2_Returns" sheetId="18" r:id="rId2"/>
    <sheet name="Template - Q3_Returns" sheetId="19" r:id="rId3"/>
    <sheet name="TEMPLATE - Proceeds Bonny" sheetId="2" r:id="rId4"/>
    <sheet name="TEMPLATE - Lifting Bonny" sheetId="5" r:id="rId5"/>
    <sheet name="TEMPLATE - Proceeds Forcados" sheetId="8" r:id="rId6"/>
    <sheet name="TEMPLATE - Lifting Forcados" sheetId="9" r:id="rId7"/>
    <sheet name="TEMPLATE - Proceeds EA" sheetId="10" r:id="rId8"/>
    <sheet name="TEMPLATE - Lifting EA" sheetId="11" r:id="rId9"/>
    <sheet name="TEMPLATE - Proceeds BRASS" sheetId="16" r:id="rId10"/>
    <sheet name="TEMPLATE - Lifting BRASS" sheetId="17" r:id="rId11"/>
  </sheets>
  <externalReferences>
    <externalReference r:id="rId12"/>
  </externalReferences>
  <definedNames>
    <definedName name="Brass_GrossUnitisation">[1]Calculation!$H$15</definedName>
    <definedName name="_xlnm.Print_Area" localSheetId="4">'TEMPLATE - Lifting Bonny'!#REF!</definedName>
    <definedName name="_xlnm.Print_Area" localSheetId="10">'TEMPLATE - Lifting BRASS'!#REF!</definedName>
    <definedName name="_xlnm.Print_Area" localSheetId="8">'TEMPLATE - Lifting EA'!#REF!</definedName>
    <definedName name="_xlnm.Print_Area" localSheetId="6">'TEMPLATE - Lifting Forcados'!#REF!</definedName>
    <definedName name="_xlnm.Print_Area" localSheetId="3">'TEMPLATE - Proceeds Bonny'!#REF!</definedName>
    <definedName name="_xlnm.Print_Area" localSheetId="9">'TEMPLATE - Proceeds BRASS'!#REF!</definedName>
    <definedName name="_xlnm.Print_Area" localSheetId="7">'TEMPLATE - Proceeds EA'!#REF!</definedName>
    <definedName name="_xlnm.Print_Area" localSheetId="5">'TEMPLATE - Proceeds Forcados'!#REF!</definedName>
    <definedName name="_xlnm.Print_Area" localSheetId="0">'Template - Q1_Returns'!$B$1:$T$11</definedName>
    <definedName name="_xlnm.Print_Area" localSheetId="1">'Template - Q2_Returns'!$B$1:$T$11</definedName>
    <definedName name="_xlnm.Print_Area" localSheetId="2">'Template - Q3_Returns'!$B$1:$T$12</definedName>
    <definedName name="_xlnm.Print_Titles" localSheetId="4">'TEMPLATE - Lifting Bonny'!#REF!</definedName>
    <definedName name="_xlnm.Print_Titles" localSheetId="10">'TEMPLATE - Lifting BRASS'!#REF!</definedName>
    <definedName name="_xlnm.Print_Titles" localSheetId="8">'TEMPLATE - Lifting EA'!#REF!</definedName>
    <definedName name="_xlnm.Print_Titles" localSheetId="6">'TEMPLATE - Lifting Forcados'!#REF!</definedName>
    <definedName name="_xlnm.Print_Titles" localSheetId="3">'TEMPLATE - Proceeds Bonny'!#REF!</definedName>
    <definedName name="_xlnm.Print_Titles" localSheetId="9">'TEMPLATE - Proceeds BRASS'!#REF!</definedName>
    <definedName name="_xlnm.Print_Titles" localSheetId="7">'TEMPLATE - Proceeds EA'!#REF!</definedName>
    <definedName name="_xlnm.Print_Titles" localSheetId="5">'TEMPLATE - Proceeds Forcados'!#REF!</definedName>
    <definedName name="_xlnm.Print_Titles" localSheetId="0">'Template - Q1_Returns'!$39:$39</definedName>
    <definedName name="_xlnm.Print_Titles" localSheetId="1">'Template - Q2_Returns'!$39:$39</definedName>
    <definedName name="_xlnm.Print_Titles" localSheetId="2">'Template - Q3_Returns'!$40:$40</definedName>
  </definedNames>
  <calcPr calcId="125725"/>
</workbook>
</file>

<file path=xl/calcChain.xml><?xml version="1.0" encoding="utf-8"?>
<calcChain xmlns="http://schemas.openxmlformats.org/spreadsheetml/2006/main">
  <c r="I9" i="19"/>
  <c r="E9"/>
  <c r="K13" i="8"/>
  <c r="K12"/>
  <c r="K11"/>
  <c r="K10"/>
  <c r="P7" i="19"/>
  <c r="P6"/>
  <c r="N7"/>
  <c r="N6"/>
  <c r="M7"/>
  <c r="M6"/>
  <c r="L9" l="1"/>
  <c r="L8"/>
  <c r="L7"/>
  <c r="L6"/>
  <c r="J8"/>
  <c r="J6"/>
  <c r="H9"/>
  <c r="H8"/>
  <c r="H7"/>
  <c r="H6"/>
  <c r="J9"/>
  <c r="I7"/>
  <c r="J7" s="1"/>
  <c r="I6"/>
  <c r="E7"/>
  <c r="E6"/>
  <c r="M7" i="18" l="1"/>
  <c r="M6"/>
  <c r="I7"/>
  <c r="I6"/>
  <c r="E7"/>
  <c r="E6"/>
  <c r="P9" l="1"/>
  <c r="P8"/>
  <c r="P7"/>
  <c r="P6"/>
  <c r="L9"/>
  <c r="L8"/>
  <c r="L7"/>
  <c r="L6"/>
  <c r="H9"/>
  <c r="H8"/>
  <c r="H7"/>
  <c r="H6"/>
  <c r="M9" l="1"/>
  <c r="M8"/>
  <c r="I9" l="1"/>
  <c r="I8"/>
  <c r="N9" l="1"/>
  <c r="N8"/>
  <c r="N7"/>
  <c r="N6"/>
  <c r="J9"/>
  <c r="J8"/>
  <c r="J7"/>
  <c r="J6"/>
  <c r="E9"/>
  <c r="E8"/>
  <c r="T9" i="19" l="1"/>
  <c r="S9"/>
  <c r="V9" s="1"/>
  <c r="F9"/>
  <c r="D9"/>
  <c r="T8"/>
  <c r="S8"/>
  <c r="V8" s="1"/>
  <c r="Q8"/>
  <c r="D8"/>
  <c r="T7"/>
  <c r="S7"/>
  <c r="V7" s="1"/>
  <c r="F7"/>
  <c r="D7"/>
  <c r="T6"/>
  <c r="S6"/>
  <c r="V6" s="1"/>
  <c r="Q6"/>
  <c r="D6"/>
  <c r="R9" l="1"/>
  <c r="R7"/>
  <c r="F6"/>
  <c r="R6" s="1"/>
  <c r="F8"/>
  <c r="R8" s="1"/>
  <c r="Q7"/>
  <c r="Q9"/>
  <c r="T9" i="18" l="1"/>
  <c r="S9"/>
  <c r="V9" s="1"/>
  <c r="Q9"/>
  <c r="F9"/>
  <c r="D9"/>
  <c r="T8"/>
  <c r="S8"/>
  <c r="V8" s="1"/>
  <c r="Q8"/>
  <c r="F8"/>
  <c r="D8"/>
  <c r="T7"/>
  <c r="S7"/>
  <c r="V7" s="1"/>
  <c r="Q7"/>
  <c r="F7"/>
  <c r="D7"/>
  <c r="T6"/>
  <c r="S6"/>
  <c r="V6" s="1"/>
  <c r="Q6"/>
  <c r="F6"/>
  <c r="D6"/>
  <c r="R9" l="1"/>
  <c r="R8"/>
  <c r="R7"/>
  <c r="R6"/>
  <c r="N9" i="15" l="1"/>
  <c r="M8"/>
  <c r="N8" s="1"/>
  <c r="M7"/>
  <c r="N7" s="1"/>
  <c r="M6"/>
  <c r="N6" s="1"/>
  <c r="J20" i="17"/>
  <c r="I20"/>
  <c r="H20"/>
  <c r="G20"/>
  <c r="K21" i="16"/>
  <c r="J21"/>
  <c r="D4"/>
  <c r="J20" i="11"/>
  <c r="I20"/>
  <c r="H20"/>
  <c r="G20"/>
  <c r="K21" i="10"/>
  <c r="J21"/>
  <c r="D4"/>
  <c r="J25" i="9"/>
  <c r="I25"/>
  <c r="H25"/>
  <c r="G25"/>
  <c r="K21" i="8"/>
  <c r="J21"/>
  <c r="D3"/>
  <c r="J19" i="5"/>
  <c r="I19"/>
  <c r="H19"/>
  <c r="G19"/>
  <c r="K24" i="2"/>
  <c r="J24"/>
  <c r="D4"/>
  <c r="T9" i="15"/>
  <c r="S9"/>
  <c r="V9" s="1"/>
  <c r="Q9"/>
  <c r="J9"/>
  <c r="F9"/>
  <c r="D9"/>
  <c r="V8"/>
  <c r="T8"/>
  <c r="S8"/>
  <c r="Q8"/>
  <c r="I8"/>
  <c r="J8" s="1"/>
  <c r="F8"/>
  <c r="D8"/>
  <c r="T7"/>
  <c r="S7"/>
  <c r="V7" s="1"/>
  <c r="I7"/>
  <c r="J7" s="1"/>
  <c r="F7"/>
  <c r="R7" s="1"/>
  <c r="D7"/>
  <c r="T6"/>
  <c r="S6"/>
  <c r="V6" s="1"/>
  <c r="I6"/>
  <c r="Q6" s="1"/>
  <c r="F6"/>
  <c r="D6"/>
  <c r="R8" l="1"/>
  <c r="Q7"/>
  <c r="J6"/>
  <c r="R6" s="1"/>
  <c r="R9"/>
</calcChain>
</file>

<file path=xl/sharedStrings.xml><?xml version="1.0" encoding="utf-8"?>
<sst xmlns="http://schemas.openxmlformats.org/spreadsheetml/2006/main" count="470" uniqueCount="130">
  <si>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</si>
  <si>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</si>
  <si>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</si>
  <si>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</si>
  <si>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</si>
  <si>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</si>
  <si>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</si>
  <si>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</si>
  <si>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</si>
  <si>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</si>
  <si>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</si>
  <si>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</si>
  <si>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</si>
  <si>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</si>
  <si>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</si>
  <si>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</si>
  <si>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</si>
  <si>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</si>
  <si>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</si>
  <si>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</si>
  <si>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</si>
  <si>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</si>
  <si>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</si>
  <si>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</si>
  <si>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</si>
  <si>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</si>
  <si>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</si>
  <si>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</si>
  <si>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</si>
  <si>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</si>
  <si>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</si>
  <si>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</si>
  <si>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</si>
  <si>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</si>
  <si>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</si>
  <si>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</si>
  <si>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</si>
  <si>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</si>
  <si>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</si>
  <si>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</si>
  <si>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</si>
  <si>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</si>
  <si>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</si>
  <si>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</si>
  <si>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</si>
  <si>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</si>
  <si>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</si>
  <si>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</si>
  <si>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</si>
  <si>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</si>
  <si>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</si>
  <si>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</si>
  <si>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</si>
  <si>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</si>
  <si>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</si>
  <si>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</si>
  <si>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</si>
  <si>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</si>
  <si>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</si>
  <si>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</si>
  <si>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</si>
  <si>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</si>
  <si>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INTERTEK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</si>
  <si>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</si>
  <si>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</si>
  <si>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</si>
  <si>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</si>
  <si>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</si>
  <si>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</si>
  <si>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</si>
  <si>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</si>
  <si>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</si>
  <si>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</si>
  <si>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</si>
  <si>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</si>
  <si>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</si>
  <si>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</si>
  <si>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</si>
  <si>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</si>
  <si>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</si>
  <si>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</si>
  <si>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</si>
  <si>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</si>
  <si>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</si>
  <si>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</si>
  <si>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</si>
  <si>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</si>
  <si>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</si>
  <si>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</si>
  <si>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</si>
  <si>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</si>
  <si>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</si>
  <si>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</si>
  <si>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</si>
  <si>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</si>
  <si>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</si>
  <si>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SPDC Q1 2014 PRODUCTION AND EXPORT SUMMARY</t>
  </si>
  <si>
    <t>Q1 2014 SUMMARY</t>
  </si>
  <si>
    <t>Q1 2014 EXPORT  PERMIT VOLUMES</t>
  </si>
  <si>
    <t>Bonny Light</t>
  </si>
  <si>
    <t>Forcados Blend</t>
  </si>
  <si>
    <t>DADDO MARITIME</t>
  </si>
  <si>
    <t>APRIL</t>
  </si>
  <si>
    <t>MAY</t>
  </si>
  <si>
    <t>JUNE</t>
  </si>
  <si>
    <t>Q2 2014 SUMMARY</t>
  </si>
  <si>
    <t>SPDC Q2 2014 PRODUCTION AND EXPORT SUMMARY</t>
  </si>
  <si>
    <t>SPDC Q3 2014 PRODUCTION AND EXPORT SUMMARY</t>
  </si>
  <si>
    <t>JULY</t>
  </si>
  <si>
    <t>AUGUST</t>
  </si>
  <si>
    <t>SEPTEMBER</t>
  </si>
  <si>
    <t>Q3 2014 SUMMARY</t>
  </si>
  <si>
    <t>Q2 2014 EXPORT  PERMIT VOLUMES</t>
  </si>
  <si>
    <t>WILHELMSHAVEN, GERMANY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</si>
  <si>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AUGUST 2014 (SEPTEMBER 2014 NUMBERS NOT YET AVAILABLE)</t>
    </r>
  </si>
  <si>
    <t>VADELA</t>
  </si>
  <si>
    <t>TOTAL SPDC (BRASS) LIFTINGS</t>
  </si>
  <si>
    <t>Q3 2014 EXPORT  PERMIT VOLUMES</t>
  </si>
  <si>
    <t>PROFIT</t>
  </si>
  <si>
    <t>SONANGOL PORTO AMBOIM</t>
  </si>
  <si>
    <t>PRINCIMAR FAITH</t>
  </si>
  <si>
    <t>EVGENIA I</t>
  </si>
  <si>
    <t>JOSE IGNACIO, URUGUAY</t>
  </si>
  <si>
    <t>TUTUNCIFLIK/IZMIT REFINERY</t>
  </si>
  <si>
    <t>WILHELMSHAVEN FOR ORDERS</t>
  </si>
  <si>
    <t>08/302014</t>
  </si>
  <si>
    <t>AMOUREUX</t>
  </si>
  <si>
    <t>MARE SICULUM</t>
  </si>
  <si>
    <t>OMSP(S) IVORY COAST</t>
  </si>
  <si>
    <t>LAVERA, FRANCE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</si>
</sst>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dd\-mmm\-yyyy"/>
    <numFmt numFmtId="167" formatCode="\$0.0000"/>
    <numFmt numFmtId="168" formatCode="_(* #,##0_);_(* \(#,##0\);_(* &quot;-&quot;??_);_(@_)"/>
    <numFmt numFmtId="169" formatCode="_-* #,##0.00000_-;\-* #,##0.00000_-;_-* &quot;-&quot;??_-;_-@_-"/>
  </numFmts>
  <fonts count="34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0"/>
      <name val="Helv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1" fillId="0" borderId="0"/>
    <xf numFmtId="0" fontId="1" fillId="0" borderId="0"/>
  </cellStyleXfs>
  <cellXfs count="171">
    <xf numFmtId="0" fontId="0" fillId="0" borderId="0" xfId="0"/>
    <xf numFmtId="43" fontId="1" fillId="0" borderId="0" xfId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 applyBorder="1"/>
    <xf numFmtId="0" fontId="9" fillId="0" borderId="0" xfId="0" applyFont="1"/>
    <xf numFmtId="0" fontId="0" fillId="0" borderId="0" xfId="0" applyAlignment="1">
      <alignment vertical="center" wrapText="1"/>
    </xf>
    <xf numFmtId="43" fontId="1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5" fontId="13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8" fillId="0" borderId="0" xfId="0" applyFont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13" fillId="0" borderId="0" xfId="0" applyFont="1" applyAlignment="1">
      <alignment vertical="center"/>
    </xf>
    <xf numFmtId="3" fontId="13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Fill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2" applyNumberFormat="1" applyFont="1"/>
    <xf numFmtId="2" fontId="5" fillId="0" borderId="0" xfId="2" applyNumberFormat="1" applyFont="1"/>
    <xf numFmtId="0" fontId="7" fillId="3" borderId="0" xfId="0" applyFont="1" applyFill="1" applyAlignment="1">
      <alignment horizontal="left"/>
    </xf>
    <xf numFmtId="0" fontId="8" fillId="3" borderId="0" xfId="0" applyFont="1" applyFill="1" applyBorder="1"/>
    <xf numFmtId="166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5" fontId="11" fillId="0" borderId="0" xfId="1" applyNumberFormat="1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15" fontId="18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68" fontId="28" fillId="0" borderId="0" xfId="1" applyNumberFormat="1" applyFont="1" applyFill="1" applyAlignment="1">
      <alignment horizontal="center"/>
    </xf>
    <xf numFmtId="168" fontId="28" fillId="0" borderId="0" xfId="1" applyNumberFormat="1" applyFont="1"/>
    <xf numFmtId="0" fontId="28" fillId="0" borderId="0" xfId="0" applyFont="1" applyAlignment="1"/>
    <xf numFmtId="168" fontId="28" fillId="0" borderId="0" xfId="1" applyNumberFormat="1" applyFont="1" applyAlignment="1"/>
    <xf numFmtId="164" fontId="28" fillId="0" borderId="0" xfId="1" applyNumberFormat="1" applyFont="1" applyFill="1" applyAlignment="1">
      <alignment horizontal="center"/>
    </xf>
    <xf numFmtId="164" fontId="28" fillId="0" borderId="0" xfId="1" applyNumberFormat="1" applyFont="1"/>
    <xf numFmtId="168" fontId="28" fillId="0" borderId="0" xfId="1" applyNumberFormat="1" applyFont="1" applyAlignment="1">
      <alignment horizontal="right"/>
    </xf>
    <xf numFmtId="43" fontId="30" fillId="0" borderId="0" xfId="1" applyFont="1"/>
    <xf numFmtId="43" fontId="30" fillId="0" borderId="0" xfId="1" applyFont="1" applyAlignment="1">
      <alignment horizontal="center"/>
    </xf>
    <xf numFmtId="3" fontId="18" fillId="0" borderId="12" xfId="0" applyNumberFormat="1" applyFont="1" applyBorder="1" applyAlignment="1">
      <alignment horizontal="right" vertical="center"/>
    </xf>
    <xf numFmtId="165" fontId="28" fillId="0" borderId="0" xfId="1" applyNumberFormat="1" applyFont="1" applyAlignment="1"/>
    <xf numFmtId="165" fontId="0" fillId="4" borderId="0" xfId="1" applyNumberFormat="1" applyFont="1" applyFill="1"/>
    <xf numFmtId="3" fontId="5" fillId="5" borderId="0" xfId="0" applyNumberFormat="1" applyFont="1" applyFill="1" applyAlignment="1">
      <alignment vertical="center"/>
    </xf>
    <xf numFmtId="3" fontId="12" fillId="5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8" fillId="0" borderId="13" xfId="0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15" fontId="18" fillId="0" borderId="1" xfId="0" applyNumberFormat="1" applyFont="1" applyBorder="1" applyAlignment="1">
      <alignment horizontal="left" vertical="center"/>
    </xf>
    <xf numFmtId="15" fontId="18" fillId="0" borderId="15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Continuous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3" fontId="13" fillId="0" borderId="21" xfId="0" applyNumberFormat="1" applyFont="1" applyBorder="1" applyAlignment="1">
      <alignment horizontal="right" vertical="center"/>
    </xf>
    <xf numFmtId="3" fontId="13" fillId="0" borderId="22" xfId="0" applyNumberFormat="1" applyFont="1" applyBorder="1" applyAlignment="1">
      <alignment horizontal="right" vertical="center"/>
    </xf>
    <xf numFmtId="169" fontId="5" fillId="0" borderId="0" xfId="1" applyNumberFormat="1" applyFont="1" applyAlignment="1">
      <alignment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22" xfId="0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5" fontId="0" fillId="0" borderId="0" xfId="1" applyNumberFormat="1" applyFont="1"/>
    <xf numFmtId="165" fontId="13" fillId="0" borderId="19" xfId="1" applyNumberFormat="1" applyFont="1" applyBorder="1" applyAlignment="1">
      <alignment horizontal="right" vertical="center"/>
    </xf>
    <xf numFmtId="14" fontId="28" fillId="0" borderId="0" xfId="0" applyNumberFormat="1" applyFont="1" applyFill="1" applyAlignment="1">
      <alignment horizontal="left"/>
    </xf>
    <xf numFmtId="0" fontId="28" fillId="0" borderId="0" xfId="0" applyFont="1" applyFill="1"/>
    <xf numFmtId="168" fontId="28" fillId="0" borderId="0" xfId="1" applyNumberFormat="1" applyFont="1" applyFill="1" applyAlignment="1">
      <alignment horizontal="left"/>
    </xf>
    <xf numFmtId="14" fontId="28" fillId="0" borderId="0" xfId="0" applyNumberFormat="1" applyFont="1" applyFill="1"/>
    <xf numFmtId="165" fontId="28" fillId="0" borderId="0" xfId="1" applyNumberFormat="1" applyFont="1" applyAlignment="1">
      <alignment horizontal="right"/>
    </xf>
    <xf numFmtId="165" fontId="28" fillId="0" borderId="0" xfId="1" applyNumberFormat="1" applyFont="1" applyFill="1" applyAlignment="1">
      <alignment horizontal="center"/>
    </xf>
    <xf numFmtId="0" fontId="3" fillId="0" borderId="16" xfId="3" applyFont="1" applyBorder="1" applyAlignment="1">
      <alignment horizontal="centerContinuous" wrapText="1"/>
    </xf>
    <xf numFmtId="0" fontId="31" fillId="0" borderId="0" xfId="0" applyFont="1" applyFill="1"/>
    <xf numFmtId="14" fontId="31" fillId="0" borderId="0" xfId="0" applyNumberFormat="1" applyFont="1" applyFill="1" applyAlignment="1">
      <alignment horizontal="left"/>
    </xf>
    <xf numFmtId="164" fontId="31" fillId="0" borderId="0" xfId="1" applyNumberFormat="1" applyFont="1" applyFill="1" applyAlignment="1">
      <alignment horizontal="center"/>
    </xf>
    <xf numFmtId="168" fontId="28" fillId="0" borderId="0" xfId="1" applyNumberFormat="1" applyFont="1" applyFill="1" applyAlignment="1">
      <alignment horizontal="right"/>
    </xf>
    <xf numFmtId="168" fontId="31" fillId="0" borderId="0" xfId="1" applyNumberFormat="1" applyFont="1" applyFill="1" applyAlignment="1">
      <alignment horizontal="right"/>
    </xf>
    <xf numFmtId="168" fontId="31" fillId="0" borderId="0" xfId="1" applyNumberFormat="1" applyFont="1" applyFill="1"/>
    <xf numFmtId="164" fontId="31" fillId="0" borderId="0" xfId="1" applyNumberFormat="1" applyFont="1" applyFill="1"/>
    <xf numFmtId="168" fontId="31" fillId="0" borderId="0" xfId="1" applyNumberFormat="1" applyFont="1" applyFill="1" applyAlignment="1">
      <alignment horizontal="center"/>
    </xf>
    <xf numFmtId="168" fontId="31" fillId="0" borderId="0" xfId="1" applyNumberFormat="1" applyFont="1" applyFill="1" applyAlignment="1">
      <alignment horizontal="left"/>
    </xf>
    <xf numFmtId="164" fontId="31" fillId="0" borderId="0" xfId="1" applyNumberFormat="1" applyFont="1" applyFill="1" applyAlignment="1">
      <alignment horizontal="right"/>
    </xf>
    <xf numFmtId="2" fontId="31" fillId="0" borderId="0" xfId="0" applyNumberFormat="1" applyFont="1" applyFill="1" applyAlignment="1">
      <alignment horizontal="right"/>
    </xf>
    <xf numFmtId="14" fontId="28" fillId="0" borderId="0" xfId="0" applyNumberFormat="1" applyFont="1" applyFill="1" applyAlignment="1">
      <alignment horizontal="right"/>
    </xf>
    <xf numFmtId="164" fontId="28" fillId="0" borderId="0" xfId="1" applyNumberFormat="1" applyFont="1" applyFill="1"/>
    <xf numFmtId="164" fontId="28" fillId="0" borderId="0" xfId="1" applyNumberFormat="1" applyFont="1" applyFill="1" applyAlignment="1"/>
    <xf numFmtId="15" fontId="32" fillId="0" borderId="0" xfId="0" applyNumberFormat="1" applyFont="1" applyBorder="1" applyAlignment="1">
      <alignment horizontal="left" vertical="center"/>
    </xf>
    <xf numFmtId="43" fontId="28" fillId="0" borderId="0" xfId="1" applyFont="1" applyFill="1" applyAlignment="1">
      <alignment horizontal="center"/>
    </xf>
    <xf numFmtId="168" fontId="28" fillId="0" borderId="0" xfId="1" applyNumberFormat="1" applyFont="1" applyFill="1"/>
    <xf numFmtId="168" fontId="28" fillId="0" borderId="0" xfId="1" applyNumberFormat="1" applyFont="1" applyFill="1" applyAlignment="1"/>
    <xf numFmtId="0" fontId="28" fillId="0" borderId="0" xfId="0" applyFont="1" applyFill="1" applyAlignment="1">
      <alignment horizontal="right"/>
    </xf>
    <xf numFmtId="43" fontId="31" fillId="0" borderId="0" xfId="1" applyFont="1" applyFill="1" applyAlignment="1">
      <alignment horizontal="center"/>
    </xf>
    <xf numFmtId="38" fontId="33" fillId="0" borderId="0" xfId="0" applyNumberFormat="1" applyFont="1" applyFill="1" applyBorder="1" applyAlignment="1" applyProtection="1">
      <alignment horizontal="right"/>
      <protection locked="0"/>
    </xf>
    <xf numFmtId="0" fontId="18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3" fillId="0" borderId="16" xfId="3" applyFont="1" applyBorder="1" applyAlignment="1">
      <alignment horizont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Departmental%20Files/TRN.01.03%20Statements%20&amp;%20Reconciliations/TRN.01.03.01%20Schedule%201B/2014%20Finals/July%202014(Final)_Schedule%201B_3%206(30.%2006.%202014-PeterDirisu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ocumentation"/>
      <sheetName val="Admin"/>
      <sheetName val="Tracker(MCA)_Input"/>
      <sheetName val="Tracker(NNPC &amp; NPDC)_Input "/>
      <sheetName val="Input "/>
      <sheetName val="Calculation"/>
      <sheetName val="All Stream"/>
      <sheetName val="Light"/>
      <sheetName val="SPDC Bonny Farmor Share"/>
      <sheetName val="Forcados"/>
      <sheetName val="SPDC Forc Farmor Share"/>
      <sheetName val="Forc Condens"/>
      <sheetName val="EA"/>
      <sheetName val="Brass"/>
      <sheetName val="3rd Party Bonny"/>
      <sheetName val="3rd Party Forcados"/>
      <sheetName val="Summary"/>
      <sheetName val="SPDC_Closing stock_Calculation"/>
      <sheetName val="SPDC_Prod Calculation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5">
          <cell r="H15">
            <v>151153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view="pageLayout" zoomScale="85" zoomScaleNormal="100" zoomScalePageLayoutView="85" workbookViewId="0">
      <selection activeCell="H16" sqref="H16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10.85546875" bestFit="1" customWidth="1"/>
    <col min="6" max="6" width="7.5703125" customWidth="1"/>
    <col min="7" max="7" width="9.1406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56" t="s">
        <v>96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6" ht="15.75" thickBot="1">
      <c r="E2" s="110" t="s">
        <v>67</v>
      </c>
      <c r="F2" s="110"/>
      <c r="G2" s="110"/>
      <c r="H2" s="110"/>
      <c r="I2" s="110" t="s">
        <v>68</v>
      </c>
      <c r="J2" s="110"/>
      <c r="K2" s="110"/>
      <c r="L2" s="110"/>
      <c r="M2" s="110" t="s">
        <v>69</v>
      </c>
      <c r="N2" s="110"/>
      <c r="O2" s="110"/>
      <c r="P2" s="110"/>
      <c r="Q2" s="157" t="s">
        <v>97</v>
      </c>
      <c r="R2" s="157"/>
      <c r="S2" s="157"/>
      <c r="T2" s="157"/>
    </row>
    <row r="3" spans="1:26" s="13" customFormat="1" ht="27.95" customHeight="1">
      <c r="B3" s="158" t="s">
        <v>6</v>
      </c>
      <c r="C3" s="152" t="s">
        <v>98</v>
      </c>
      <c r="D3" s="153"/>
      <c r="E3" s="152" t="s">
        <v>88</v>
      </c>
      <c r="F3" s="153"/>
      <c r="G3" s="152" t="s">
        <v>89</v>
      </c>
      <c r="H3" s="153"/>
      <c r="I3" s="152" t="s">
        <v>88</v>
      </c>
      <c r="J3" s="153"/>
      <c r="K3" s="152" t="s">
        <v>89</v>
      </c>
      <c r="L3" s="153"/>
      <c r="M3" s="152" t="s">
        <v>88</v>
      </c>
      <c r="N3" s="153"/>
      <c r="O3" s="152" t="s">
        <v>89</v>
      </c>
      <c r="P3" s="153"/>
      <c r="Q3" s="152" t="s">
        <v>88</v>
      </c>
      <c r="R3" s="153"/>
      <c r="S3" s="152" t="s">
        <v>89</v>
      </c>
      <c r="T3" s="153"/>
      <c r="U3" s="12"/>
      <c r="V3" s="102"/>
      <c r="Z3" s="14"/>
    </row>
    <row r="4" spans="1:26" s="13" customFormat="1" ht="51.75" customHeight="1">
      <c r="B4" s="159"/>
      <c r="C4" s="154"/>
      <c r="D4" s="155"/>
      <c r="E4" s="154"/>
      <c r="F4" s="155"/>
      <c r="G4" s="154"/>
      <c r="H4" s="155"/>
      <c r="I4" s="154"/>
      <c r="J4" s="155"/>
      <c r="K4" s="154"/>
      <c r="L4" s="155"/>
      <c r="M4" s="154"/>
      <c r="N4" s="155"/>
      <c r="O4" s="154"/>
      <c r="P4" s="155"/>
      <c r="Q4" s="154"/>
      <c r="R4" s="155"/>
      <c r="S4" s="154"/>
      <c r="T4" s="155"/>
      <c r="U4" s="12"/>
      <c r="V4" s="103" t="s">
        <v>87</v>
      </c>
      <c r="Z4" s="14"/>
    </row>
    <row r="5" spans="1:26" s="13" customFormat="1" ht="37.5" customHeight="1">
      <c r="A5" s="104"/>
      <c r="B5" s="105"/>
      <c r="C5" s="111" t="s">
        <v>90</v>
      </c>
      <c r="D5" s="112" t="s">
        <v>91</v>
      </c>
      <c r="E5" s="111" t="s">
        <v>90</v>
      </c>
      <c r="F5" s="112" t="s">
        <v>91</v>
      </c>
      <c r="G5" s="111" t="s">
        <v>90</v>
      </c>
      <c r="H5" s="112" t="s">
        <v>91</v>
      </c>
      <c r="I5" s="111" t="s">
        <v>90</v>
      </c>
      <c r="J5" s="112" t="s">
        <v>91</v>
      </c>
      <c r="K5" s="111" t="s">
        <v>90</v>
      </c>
      <c r="L5" s="112" t="s">
        <v>91</v>
      </c>
      <c r="M5" s="111" t="s">
        <v>90</v>
      </c>
      <c r="N5" s="112" t="s">
        <v>91</v>
      </c>
      <c r="O5" s="111" t="s">
        <v>90</v>
      </c>
      <c r="P5" s="112" t="s">
        <v>91</v>
      </c>
      <c r="Q5" s="111" t="s">
        <v>90</v>
      </c>
      <c r="R5" s="112" t="s">
        <v>91</v>
      </c>
      <c r="S5" s="111" t="s">
        <v>90</v>
      </c>
      <c r="T5" s="112" t="s">
        <v>91</v>
      </c>
      <c r="U5" s="106"/>
      <c r="V5" s="107"/>
      <c r="W5"/>
      <c r="X5"/>
      <c r="Z5" s="14"/>
    </row>
    <row r="6" spans="1:26" s="13" customFormat="1" ht="37.5" customHeight="1">
      <c r="B6" s="108" t="s">
        <v>63</v>
      </c>
      <c r="C6" s="113">
        <v>8500000</v>
      </c>
      <c r="D6" s="114">
        <f>C6*0.133774139</f>
        <v>1137080.1814999999</v>
      </c>
      <c r="E6" s="123">
        <v>2048641.8922799998</v>
      </c>
      <c r="F6" s="114">
        <f>E6*0.133774139</f>
        <v>274055.30525908771</v>
      </c>
      <c r="G6" s="113">
        <v>832120</v>
      </c>
      <c r="H6" s="114">
        <v>111868</v>
      </c>
      <c r="I6" s="113">
        <f>5527218.4465*0.3</f>
        <v>1658165.5339499998</v>
      </c>
      <c r="J6" s="114">
        <f>I6*0.13377</f>
        <v>221812.80347649148</v>
      </c>
      <c r="K6" s="113">
        <v>2636099</v>
      </c>
      <c r="L6" s="114">
        <v>357094</v>
      </c>
      <c r="M6" s="113">
        <f>5836718.337043*0.3</f>
        <v>1751015.5011129</v>
      </c>
      <c r="N6" s="114">
        <f>0.133774139*M6</f>
        <v>234240.5910370317</v>
      </c>
      <c r="O6" s="113">
        <v>1555804</v>
      </c>
      <c r="P6" s="114">
        <v>208911</v>
      </c>
      <c r="Q6" s="113">
        <f t="shared" ref="Q6:T9" si="0">+E6+I6+M6</f>
        <v>5457822.9273428991</v>
      </c>
      <c r="R6" s="114">
        <f t="shared" si="0"/>
        <v>730108.69977261091</v>
      </c>
      <c r="S6" s="113">
        <f t="shared" si="0"/>
        <v>5024023</v>
      </c>
      <c r="T6" s="114">
        <f t="shared" si="0"/>
        <v>677873</v>
      </c>
      <c r="U6"/>
      <c r="V6" s="101">
        <f>C6-S6</f>
        <v>3475977</v>
      </c>
      <c r="W6"/>
      <c r="X6"/>
      <c r="Z6" s="117"/>
    </row>
    <row r="7" spans="1:26" s="13" customFormat="1" ht="37.5" customHeight="1">
      <c r="B7" s="108" t="s">
        <v>64</v>
      </c>
      <c r="C7" s="113">
        <v>4000000</v>
      </c>
      <c r="D7" s="114">
        <f t="shared" ref="D7:F9" si="1">C7*0.133774139</f>
        <v>535096.55599999998</v>
      </c>
      <c r="E7" s="113">
        <v>994353.89999999991</v>
      </c>
      <c r="F7" s="114">
        <f t="shared" si="1"/>
        <v>133018.83683379207</v>
      </c>
      <c r="G7" s="113">
        <v>0</v>
      </c>
      <c r="H7" s="114">
        <v>0</v>
      </c>
      <c r="I7" s="113">
        <f>2352052*0.3</f>
        <v>705615.6</v>
      </c>
      <c r="J7" s="114">
        <f>I7*0.13377</f>
        <v>94390.198812000002</v>
      </c>
      <c r="K7" s="113">
        <v>1774416</v>
      </c>
      <c r="L7" s="114">
        <v>243413</v>
      </c>
      <c r="M7" s="113">
        <f>1622768*0.3</f>
        <v>486830.39999999997</v>
      </c>
      <c r="N7" s="114">
        <f t="shared" ref="N7:N9" si="2">0.133774139*M7</f>
        <v>65125.317599025591</v>
      </c>
      <c r="O7" s="113">
        <v>0</v>
      </c>
      <c r="P7" s="114">
        <v>0</v>
      </c>
      <c r="Q7" s="113">
        <f t="shared" si="0"/>
        <v>2186799.9</v>
      </c>
      <c r="R7" s="114">
        <f t="shared" si="0"/>
        <v>292534.3532448177</v>
      </c>
      <c r="S7" s="113">
        <f t="shared" si="0"/>
        <v>1774416</v>
      </c>
      <c r="T7" s="114">
        <f t="shared" si="0"/>
        <v>243413</v>
      </c>
      <c r="U7"/>
      <c r="V7" s="101">
        <f>C7-S7</f>
        <v>2225584</v>
      </c>
      <c r="W7"/>
      <c r="X7"/>
      <c r="Z7" s="14"/>
    </row>
    <row r="8" spans="1:26" s="13" customFormat="1" ht="37.5" customHeight="1">
      <c r="B8" s="108" t="s">
        <v>66</v>
      </c>
      <c r="C8" s="113">
        <v>2500000</v>
      </c>
      <c r="D8" s="114">
        <f t="shared" si="1"/>
        <v>334435.34749999997</v>
      </c>
      <c r="E8" s="113">
        <v>391378.8</v>
      </c>
      <c r="F8" s="114">
        <f t="shared" si="1"/>
        <v>52356.361992853192</v>
      </c>
      <c r="G8" s="113">
        <v>948910</v>
      </c>
      <c r="H8" s="114">
        <v>130480</v>
      </c>
      <c r="I8" s="113">
        <f>1220750*0.3</f>
        <v>366225</v>
      </c>
      <c r="J8" s="114">
        <f>I8*0.13377</f>
        <v>48989.918250000002</v>
      </c>
      <c r="K8" s="113">
        <v>0</v>
      </c>
      <c r="L8" s="114">
        <v>0</v>
      </c>
      <c r="M8" s="113">
        <f>1166808*0.3</f>
        <v>350042.39999999997</v>
      </c>
      <c r="N8" s="114">
        <f t="shared" si="2"/>
        <v>46826.620673493591</v>
      </c>
      <c r="O8" s="113">
        <v>0</v>
      </c>
      <c r="P8" s="114">
        <v>0</v>
      </c>
      <c r="Q8" s="113">
        <f t="shared" si="0"/>
        <v>1107646.2</v>
      </c>
      <c r="R8" s="114">
        <f t="shared" si="0"/>
        <v>148172.90091634679</v>
      </c>
      <c r="S8" s="113">
        <f t="shared" si="0"/>
        <v>948910</v>
      </c>
      <c r="T8" s="114">
        <f t="shared" si="0"/>
        <v>130480</v>
      </c>
      <c r="U8"/>
      <c r="V8" s="101">
        <f>C8-S8</f>
        <v>1551090</v>
      </c>
      <c r="W8"/>
      <c r="X8"/>
      <c r="Z8" s="14"/>
    </row>
    <row r="9" spans="1:26" s="13" customFormat="1" ht="27" customHeight="1" thickBot="1">
      <c r="B9" s="109" t="s">
        <v>65</v>
      </c>
      <c r="C9" s="115">
        <v>0</v>
      </c>
      <c r="D9" s="116">
        <f t="shared" si="1"/>
        <v>0</v>
      </c>
      <c r="E9" s="115">
        <v>31630.799999999999</v>
      </c>
      <c r="F9" s="116">
        <f t="shared" si="1"/>
        <v>4231.3830358811992</v>
      </c>
      <c r="G9" s="115">
        <v>0</v>
      </c>
      <c r="H9" s="116">
        <v>0</v>
      </c>
      <c r="I9" s="115">
        <v>22992</v>
      </c>
      <c r="J9" s="116">
        <f>I9*0.13377</f>
        <v>3075.6398399999998</v>
      </c>
      <c r="K9" s="115">
        <v>0</v>
      </c>
      <c r="L9" s="119">
        <v>0</v>
      </c>
      <c r="M9" s="118">
        <v>20049</v>
      </c>
      <c r="N9" s="116">
        <f t="shared" si="2"/>
        <v>2682.0377128109999</v>
      </c>
      <c r="O9" s="115">
        <v>0</v>
      </c>
      <c r="P9" s="116">
        <v>0</v>
      </c>
      <c r="Q9" s="115">
        <f t="shared" si="0"/>
        <v>74671.8</v>
      </c>
      <c r="R9" s="116">
        <f t="shared" si="0"/>
        <v>9989.0605886921985</v>
      </c>
      <c r="S9" s="115">
        <f t="shared" si="0"/>
        <v>0</v>
      </c>
      <c r="T9" s="116">
        <f t="shared" si="0"/>
        <v>0</v>
      </c>
      <c r="U9"/>
      <c r="V9" s="101">
        <f>C9-S9</f>
        <v>0</v>
      </c>
      <c r="W9"/>
      <c r="X9"/>
      <c r="Z9" s="14"/>
    </row>
    <row r="10" spans="1:26" s="13" customFormat="1" ht="25.5" customHeight="1">
      <c r="B10" s="88" t="s">
        <v>82</v>
      </c>
      <c r="C10" s="88"/>
      <c r="D10" s="88" t="s">
        <v>86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92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showGridLines="0" view="pageLayout" zoomScale="85" zoomScaleNormal="100" zoomScalePageLayoutView="85" workbookViewId="0">
      <selection activeCell="M9" sqref="M9"/>
    </sheetView>
  </sheetViews>
  <sheetFormatPr defaultRowHeight="12.75"/>
  <cols>
    <col min="1" max="1" width="1.42578125" customWidth="1"/>
    <col min="2" max="2" width="13" customWidth="1"/>
    <col min="3" max="3" width="10" customWidth="1"/>
    <col min="4" max="4" width="8.7109375" customWidth="1"/>
    <col min="5" max="5" width="11" bestFit="1" customWidth="1"/>
    <col min="6" max="6" width="7.5703125" customWidth="1"/>
    <col min="7" max="7" width="9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56" t="s">
        <v>106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6" ht="15.75" customHeight="1" thickBot="1">
      <c r="E2" s="130" t="s">
        <v>102</v>
      </c>
      <c r="F2" s="130"/>
      <c r="G2" s="130"/>
      <c r="H2" s="130"/>
      <c r="I2" s="130" t="s">
        <v>103</v>
      </c>
      <c r="J2" s="130"/>
      <c r="K2" s="130"/>
      <c r="L2" s="130"/>
      <c r="M2" s="130" t="s">
        <v>104</v>
      </c>
      <c r="N2" s="130"/>
      <c r="O2" s="130"/>
      <c r="P2" s="130"/>
      <c r="Q2" s="160" t="s">
        <v>105</v>
      </c>
      <c r="R2" s="160"/>
      <c r="S2" s="160"/>
      <c r="T2" s="160"/>
    </row>
    <row r="3" spans="1:26" s="13" customFormat="1" ht="27.95" customHeight="1">
      <c r="B3" s="158" t="s">
        <v>6</v>
      </c>
      <c r="C3" s="152" t="s">
        <v>112</v>
      </c>
      <c r="D3" s="153"/>
      <c r="E3" s="152" t="s">
        <v>88</v>
      </c>
      <c r="F3" s="153"/>
      <c r="G3" s="152" t="s">
        <v>89</v>
      </c>
      <c r="H3" s="153"/>
      <c r="I3" s="152" t="s">
        <v>88</v>
      </c>
      <c r="J3" s="153"/>
      <c r="K3" s="152" t="s">
        <v>89</v>
      </c>
      <c r="L3" s="153"/>
      <c r="M3" s="152" t="s">
        <v>88</v>
      </c>
      <c r="N3" s="153"/>
      <c r="O3" s="152" t="s">
        <v>89</v>
      </c>
      <c r="P3" s="153"/>
      <c r="Q3" s="152" t="s">
        <v>88</v>
      </c>
      <c r="R3" s="153"/>
      <c r="S3" s="152" t="s">
        <v>89</v>
      </c>
      <c r="T3" s="153"/>
      <c r="U3" s="12"/>
      <c r="V3" s="102"/>
      <c r="Z3" s="14"/>
    </row>
    <row r="4" spans="1:26" s="13" customFormat="1" ht="51.75" customHeight="1">
      <c r="B4" s="159"/>
      <c r="C4" s="154"/>
      <c r="D4" s="155"/>
      <c r="E4" s="154"/>
      <c r="F4" s="155"/>
      <c r="G4" s="154"/>
      <c r="H4" s="155"/>
      <c r="I4" s="154"/>
      <c r="J4" s="155"/>
      <c r="K4" s="154"/>
      <c r="L4" s="155"/>
      <c r="M4" s="154"/>
      <c r="N4" s="155"/>
      <c r="O4" s="154"/>
      <c r="P4" s="155"/>
      <c r="Q4" s="154"/>
      <c r="R4" s="155"/>
      <c r="S4" s="154"/>
      <c r="T4" s="155"/>
      <c r="U4" s="12"/>
      <c r="V4" s="103" t="s">
        <v>87</v>
      </c>
      <c r="Z4" s="14"/>
    </row>
    <row r="5" spans="1:26" s="13" customFormat="1" ht="37.5" customHeight="1">
      <c r="A5" s="104"/>
      <c r="B5" s="105"/>
      <c r="C5" s="111" t="s">
        <v>90</v>
      </c>
      <c r="D5" s="112" t="s">
        <v>91</v>
      </c>
      <c r="E5" s="111" t="s">
        <v>90</v>
      </c>
      <c r="F5" s="112" t="s">
        <v>91</v>
      </c>
      <c r="G5" s="111" t="s">
        <v>90</v>
      </c>
      <c r="H5" s="112" t="s">
        <v>91</v>
      </c>
      <c r="I5" s="111" t="s">
        <v>90</v>
      </c>
      <c r="J5" s="112" t="s">
        <v>91</v>
      </c>
      <c r="K5" s="111" t="s">
        <v>90</v>
      </c>
      <c r="L5" s="112" t="s">
        <v>91</v>
      </c>
      <c r="M5" s="111" t="s">
        <v>90</v>
      </c>
      <c r="N5" s="112" t="s">
        <v>91</v>
      </c>
      <c r="O5" s="111" t="s">
        <v>90</v>
      </c>
      <c r="P5" s="112" t="s">
        <v>91</v>
      </c>
      <c r="Q5" s="111" t="s">
        <v>90</v>
      </c>
      <c r="R5" s="112" t="s">
        <v>91</v>
      </c>
      <c r="S5" s="111" t="s">
        <v>90</v>
      </c>
      <c r="T5" s="112" t="s">
        <v>91</v>
      </c>
      <c r="U5" s="106"/>
      <c r="V5" s="107"/>
      <c r="W5"/>
      <c r="X5"/>
      <c r="Z5" s="14"/>
    </row>
    <row r="6" spans="1:26" s="13" customFormat="1" ht="37.5" customHeight="1">
      <c r="B6" s="108" t="s">
        <v>63</v>
      </c>
      <c r="C6" s="113">
        <v>8000000</v>
      </c>
      <c r="D6" s="114">
        <f>C6*0.133774139</f>
        <v>1070193.112</v>
      </c>
      <c r="E6" s="113">
        <f>6098453.14321335*0.3</f>
        <v>1829535.9429640051</v>
      </c>
      <c r="F6" s="114">
        <f>E6*0.133774139</f>
        <v>244744.59553956287</v>
      </c>
      <c r="G6" s="113">
        <v>2613893</v>
      </c>
      <c r="H6" s="114">
        <f>G6*0.133774139</f>
        <v>349671.28551312699</v>
      </c>
      <c r="I6" s="113">
        <f>5550191*0.3</f>
        <v>1665057.3</v>
      </c>
      <c r="J6" s="114">
        <f>I6*0.133774139</f>
        <v>222741.60669316468</v>
      </c>
      <c r="K6" s="113">
        <v>566447</v>
      </c>
      <c r="L6" s="114">
        <f>K6*0.133774139</f>
        <v>75775.959714132987</v>
      </c>
      <c r="M6" s="113">
        <f>6281351*0.3</f>
        <v>1884405.3</v>
      </c>
      <c r="N6" s="114">
        <f>M6*0.133774139</f>
        <v>252084.69653453669</v>
      </c>
      <c r="O6" s="113">
        <v>2102118</v>
      </c>
      <c r="P6" s="114">
        <f>O6*0.133774139</f>
        <v>281209.02552640199</v>
      </c>
      <c r="Q6" s="113">
        <f t="shared" ref="Q6:T9" si="0">+E6+I6+M6</f>
        <v>5378998.5429640049</v>
      </c>
      <c r="R6" s="114">
        <f t="shared" si="0"/>
        <v>719570.89876726421</v>
      </c>
      <c r="S6" s="113">
        <f t="shared" si="0"/>
        <v>5282458</v>
      </c>
      <c r="T6" s="114">
        <f t="shared" si="0"/>
        <v>706656.27075366199</v>
      </c>
      <c r="U6"/>
      <c r="V6" s="101">
        <f>C6-S6</f>
        <v>2717542</v>
      </c>
      <c r="W6"/>
      <c r="X6"/>
      <c r="Z6" s="117"/>
    </row>
    <row r="7" spans="1:26" s="13" customFormat="1" ht="37.5" customHeight="1">
      <c r="B7" s="108" t="s">
        <v>64</v>
      </c>
      <c r="C7" s="113">
        <v>5000000</v>
      </c>
      <c r="D7" s="114">
        <f t="shared" ref="D7:H9" si="1">C7*0.133774139</f>
        <v>668870.69499999995</v>
      </c>
      <c r="E7" s="113">
        <f>2756249.85609078*0.3</f>
        <v>826874.95682723389</v>
      </c>
      <c r="F7" s="114">
        <f t="shared" si="1"/>
        <v>110614.48541022537</v>
      </c>
      <c r="G7" s="113">
        <v>643920</v>
      </c>
      <c r="H7" s="114">
        <f t="shared" si="1"/>
        <v>86139.843584879985</v>
      </c>
      <c r="I7" s="113">
        <f>3030740.30098899*0.3</f>
        <v>909222.09029669699</v>
      </c>
      <c r="J7" s="114">
        <f t="shared" ref="J7:J9" si="2">I7*0.133774139</f>
        <v>121630.40228922089</v>
      </c>
      <c r="K7" s="113">
        <v>120527</v>
      </c>
      <c r="L7" s="114">
        <f t="shared" ref="L7:L9" si="3">K7*0.133774139</f>
        <v>16123.395651252999</v>
      </c>
      <c r="M7" s="113">
        <f>2939246*0.3</f>
        <v>881773.79999999993</v>
      </c>
      <c r="N7" s="114">
        <f t="shared" ref="N7:N9" si="4">M7*0.133774139</f>
        <v>117958.53088775818</v>
      </c>
      <c r="O7" s="113">
        <v>1544415</v>
      </c>
      <c r="P7" s="114">
        <f t="shared" ref="P7:P9" si="5">O7*0.133774139</f>
        <v>206602.78688368498</v>
      </c>
      <c r="Q7" s="113">
        <f t="shared" si="0"/>
        <v>2617870.8471239307</v>
      </c>
      <c r="R7" s="114">
        <f t="shared" si="0"/>
        <v>350203.41858720442</v>
      </c>
      <c r="S7" s="113">
        <f t="shared" si="0"/>
        <v>2308862</v>
      </c>
      <c r="T7" s="114">
        <f t="shared" si="0"/>
        <v>308866.02611981798</v>
      </c>
      <c r="U7"/>
      <c r="V7" s="101">
        <f>C7-S7</f>
        <v>2691138</v>
      </c>
      <c r="W7"/>
      <c r="X7"/>
      <c r="Z7" s="14"/>
    </row>
    <row r="8" spans="1:26" s="13" customFormat="1" ht="37.5" customHeight="1">
      <c r="B8" s="108" t="s">
        <v>66</v>
      </c>
      <c r="C8" s="113">
        <v>2500000</v>
      </c>
      <c r="D8" s="114">
        <f t="shared" si="1"/>
        <v>334435.34749999997</v>
      </c>
      <c r="E8" s="113">
        <f>1282718*0.3</f>
        <v>384815.39999999997</v>
      </c>
      <c r="F8" s="114">
        <f t="shared" si="1"/>
        <v>51478.348808940587</v>
      </c>
      <c r="G8" s="113">
        <v>947760</v>
      </c>
      <c r="H8" s="114">
        <f t="shared" si="1"/>
        <v>126785.77797863999</v>
      </c>
      <c r="I8" s="113">
        <f>1305695*0.3</f>
        <v>391708.5</v>
      </c>
      <c r="J8" s="114">
        <f t="shared" si="2"/>
        <v>52400.467326481492</v>
      </c>
      <c r="K8" s="113">
        <v>0</v>
      </c>
      <c r="L8" s="114">
        <f t="shared" si="3"/>
        <v>0</v>
      </c>
      <c r="M8" s="113">
        <f>243999*0.3</f>
        <v>73199.7</v>
      </c>
      <c r="N8" s="114">
        <f t="shared" si="4"/>
        <v>9792.2268425582988</v>
      </c>
      <c r="O8" s="113">
        <v>648604</v>
      </c>
      <c r="P8" s="114">
        <f t="shared" si="5"/>
        <v>86766.441651955989</v>
      </c>
      <c r="Q8" s="113">
        <f t="shared" si="0"/>
        <v>849723.59999999986</v>
      </c>
      <c r="R8" s="114">
        <f t="shared" si="0"/>
        <v>113671.04297798038</v>
      </c>
      <c r="S8" s="113">
        <f t="shared" si="0"/>
        <v>1596364</v>
      </c>
      <c r="T8" s="114">
        <f t="shared" si="0"/>
        <v>213552.219630596</v>
      </c>
      <c r="U8"/>
      <c r="V8" s="101">
        <f>C8-S8</f>
        <v>903636</v>
      </c>
      <c r="W8"/>
      <c r="X8"/>
      <c r="Z8" s="14"/>
    </row>
    <row r="9" spans="1:26" s="13" customFormat="1" ht="27" customHeight="1" thickBot="1">
      <c r="B9" s="109" t="s">
        <v>65</v>
      </c>
      <c r="C9" s="115">
        <v>0</v>
      </c>
      <c r="D9" s="116">
        <f t="shared" si="1"/>
        <v>0</v>
      </c>
      <c r="E9" s="118">
        <f>59968.0078*0.3</f>
        <v>17990.402340000001</v>
      </c>
      <c r="F9" s="116">
        <f t="shared" si="1"/>
        <v>2406.6505832970852</v>
      </c>
      <c r="G9" s="115">
        <v>0</v>
      </c>
      <c r="H9" s="116">
        <f t="shared" si="1"/>
        <v>0</v>
      </c>
      <c r="I9" s="118">
        <f>55834*0.3</f>
        <v>16750.2</v>
      </c>
      <c r="J9" s="116">
        <f t="shared" si="2"/>
        <v>2240.7435830777999</v>
      </c>
      <c r="K9" s="115">
        <v>0</v>
      </c>
      <c r="L9" s="116">
        <f t="shared" si="3"/>
        <v>0</v>
      </c>
      <c r="M9" s="118">
        <f>86236.399742*0.3</f>
        <v>25870.919922599998</v>
      </c>
      <c r="N9" s="116">
        <f t="shared" si="4"/>
        <v>3460.8600377837611</v>
      </c>
      <c r="O9" s="115">
        <v>0</v>
      </c>
      <c r="P9" s="116">
        <f t="shared" si="5"/>
        <v>0</v>
      </c>
      <c r="Q9" s="115">
        <f t="shared" si="0"/>
        <v>60611.522262599996</v>
      </c>
      <c r="R9" s="116">
        <f t="shared" si="0"/>
        <v>8108.2542041586457</v>
      </c>
      <c r="S9" s="115">
        <f t="shared" si="0"/>
        <v>0</v>
      </c>
      <c r="T9" s="116">
        <f t="shared" si="0"/>
        <v>0</v>
      </c>
      <c r="U9"/>
      <c r="V9" s="101">
        <f>C9-S9</f>
        <v>0</v>
      </c>
      <c r="W9"/>
      <c r="X9"/>
      <c r="Z9" s="14"/>
    </row>
    <row r="10" spans="1:26" s="13" customFormat="1" ht="25.5" customHeight="1">
      <c r="B10" s="88" t="s">
        <v>82</v>
      </c>
      <c r="C10" s="88"/>
      <c r="D10" s="88" t="s">
        <v>86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92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9"/>
  <sheetViews>
    <sheetView showGridLines="0" tabSelected="1" view="pageLayout" topLeftCell="A4" zoomScale="85" zoomScaleNormal="100" zoomScalePageLayoutView="85" workbookViewId="0">
      <selection activeCell="G11" sqref="G11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5703125" customWidth="1"/>
    <col min="6" max="6" width="7.5703125" customWidth="1"/>
    <col min="7" max="7" width="9.5703125" customWidth="1"/>
    <col min="8" max="8" width="7.5703125" customWidth="1"/>
    <col min="9" max="9" width="9" customWidth="1"/>
    <col min="10" max="10" width="7.42578125" customWidth="1"/>
    <col min="11" max="11" width="9.5703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56" t="s">
        <v>107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1:26" ht="15.75" customHeight="1" thickBot="1">
      <c r="E2" s="130" t="s">
        <v>108</v>
      </c>
      <c r="F2" s="130"/>
      <c r="G2" s="130"/>
      <c r="H2" s="130"/>
      <c r="I2" s="130" t="s">
        <v>109</v>
      </c>
      <c r="J2" s="130"/>
      <c r="K2" s="130"/>
      <c r="L2" s="130"/>
      <c r="M2" s="130" t="s">
        <v>110</v>
      </c>
      <c r="N2" s="130"/>
      <c r="O2" s="130"/>
      <c r="P2" s="130"/>
      <c r="Q2" s="160" t="s">
        <v>111</v>
      </c>
      <c r="R2" s="160"/>
      <c r="S2" s="160"/>
      <c r="T2" s="160"/>
    </row>
    <row r="3" spans="1:26" s="13" customFormat="1" ht="27.95" customHeight="1">
      <c r="B3" s="158" t="s">
        <v>6</v>
      </c>
      <c r="C3" s="152" t="s">
        <v>117</v>
      </c>
      <c r="D3" s="153"/>
      <c r="E3" s="152" t="s">
        <v>88</v>
      </c>
      <c r="F3" s="153"/>
      <c r="G3" s="152" t="s">
        <v>89</v>
      </c>
      <c r="H3" s="153"/>
      <c r="I3" s="152" t="s">
        <v>88</v>
      </c>
      <c r="J3" s="153"/>
      <c r="K3" s="152" t="s">
        <v>89</v>
      </c>
      <c r="L3" s="153"/>
      <c r="M3" s="152" t="s">
        <v>88</v>
      </c>
      <c r="N3" s="153"/>
      <c r="O3" s="152" t="s">
        <v>89</v>
      </c>
      <c r="P3" s="153"/>
      <c r="Q3" s="152" t="s">
        <v>88</v>
      </c>
      <c r="R3" s="153"/>
      <c r="S3" s="152" t="s">
        <v>89</v>
      </c>
      <c r="T3" s="153"/>
      <c r="U3" s="12"/>
      <c r="V3" s="102"/>
      <c r="Z3" s="14"/>
    </row>
    <row r="4" spans="1:26" s="13" customFormat="1" ht="51.75" customHeight="1">
      <c r="B4" s="159"/>
      <c r="C4" s="154"/>
      <c r="D4" s="155"/>
      <c r="E4" s="154"/>
      <c r="F4" s="155"/>
      <c r="G4" s="154"/>
      <c r="H4" s="155"/>
      <c r="I4" s="154"/>
      <c r="J4" s="155"/>
      <c r="K4" s="154"/>
      <c r="L4" s="155"/>
      <c r="M4" s="154"/>
      <c r="N4" s="155"/>
      <c r="O4" s="154"/>
      <c r="P4" s="155"/>
      <c r="Q4" s="154"/>
      <c r="R4" s="155"/>
      <c r="S4" s="154"/>
      <c r="T4" s="155"/>
      <c r="U4" s="12"/>
      <c r="V4" s="103" t="s">
        <v>87</v>
      </c>
      <c r="Z4" s="14"/>
    </row>
    <row r="5" spans="1:26" s="13" customFormat="1" ht="37.5" customHeight="1">
      <c r="A5" s="104"/>
      <c r="B5" s="105"/>
      <c r="C5" s="111" t="s">
        <v>90</v>
      </c>
      <c r="D5" s="112" t="s">
        <v>91</v>
      </c>
      <c r="E5" s="111" t="s">
        <v>90</v>
      </c>
      <c r="F5" s="112" t="s">
        <v>91</v>
      </c>
      <c r="G5" s="111" t="s">
        <v>90</v>
      </c>
      <c r="H5" s="112" t="s">
        <v>91</v>
      </c>
      <c r="I5" s="111" t="s">
        <v>90</v>
      </c>
      <c r="J5" s="112" t="s">
        <v>91</v>
      </c>
      <c r="K5" s="111" t="s">
        <v>90</v>
      </c>
      <c r="L5" s="112" t="s">
        <v>91</v>
      </c>
      <c r="M5" s="111" t="s">
        <v>90</v>
      </c>
      <c r="N5" s="112" t="s">
        <v>91</v>
      </c>
      <c r="O5" s="111" t="s">
        <v>90</v>
      </c>
      <c r="P5" s="112" t="s">
        <v>91</v>
      </c>
      <c r="Q5" s="111" t="s">
        <v>90</v>
      </c>
      <c r="R5" s="112" t="s">
        <v>91</v>
      </c>
      <c r="S5" s="111" t="s">
        <v>90</v>
      </c>
      <c r="T5" s="112" t="s">
        <v>91</v>
      </c>
      <c r="U5" s="106"/>
      <c r="V5" s="107"/>
      <c r="W5"/>
      <c r="X5"/>
      <c r="Z5" s="14"/>
    </row>
    <row r="6" spans="1:26" s="13" customFormat="1" ht="37.5" customHeight="1">
      <c r="B6" s="108" t="s">
        <v>63</v>
      </c>
      <c r="C6" s="113">
        <v>8500000</v>
      </c>
      <c r="D6" s="114">
        <f>C6*0.133774139</f>
        <v>1137080.1814999999</v>
      </c>
      <c r="E6" s="113">
        <f>5467782.50062378*0.3</f>
        <v>1640334.7501871341</v>
      </c>
      <c r="F6" s="114">
        <f>E6*0.133774139</f>
        <v>219434.36887806395</v>
      </c>
      <c r="G6" s="113">
        <v>1618421</v>
      </c>
      <c r="H6" s="114">
        <f>G6*0.133774139</f>
        <v>216502.87581451898</v>
      </c>
      <c r="I6" s="113">
        <f>4923640*0.3</f>
        <v>1477092</v>
      </c>
      <c r="J6" s="114">
        <f>I6*0.133774139</f>
        <v>197596.71052378797</v>
      </c>
      <c r="K6" s="113">
        <v>1548822</v>
      </c>
      <c r="L6" s="114">
        <f>K6*0.133774139</f>
        <v>207192.32951425799</v>
      </c>
      <c r="M6" s="113">
        <f>3164423*0.3</f>
        <v>949326.89999999991</v>
      </c>
      <c r="N6" s="114">
        <f>M6*0.133774139</f>
        <v>126995.38867703908</v>
      </c>
      <c r="O6" s="113">
        <v>1745754</v>
      </c>
      <c r="P6" s="114">
        <f>O6*0.133774139</f>
        <v>233536.73825580598</v>
      </c>
      <c r="Q6" s="113">
        <f t="shared" ref="Q6:T9" si="0">+E6+I6+M6</f>
        <v>4066753.6501871343</v>
      </c>
      <c r="R6" s="114">
        <f t="shared" si="0"/>
        <v>544026.46807889105</v>
      </c>
      <c r="S6" s="113">
        <f t="shared" si="0"/>
        <v>4912997</v>
      </c>
      <c r="T6" s="114">
        <f t="shared" si="0"/>
        <v>657231.943584583</v>
      </c>
      <c r="U6"/>
      <c r="V6" s="101">
        <f>C6-S6</f>
        <v>3587003</v>
      </c>
      <c r="W6"/>
      <c r="X6"/>
      <c r="Z6" s="117"/>
    </row>
    <row r="7" spans="1:26" s="13" customFormat="1" ht="37.5" customHeight="1">
      <c r="B7" s="108" t="s">
        <v>64</v>
      </c>
      <c r="C7" s="113">
        <v>4500000</v>
      </c>
      <c r="D7" s="114">
        <f t="shared" ref="D7:L9" si="1">C7*0.133774139</f>
        <v>601983.62549999997</v>
      </c>
      <c r="E7" s="113">
        <f>2830215.98011149*0.3</f>
        <v>849064.79403344693</v>
      </c>
      <c r="F7" s="114">
        <f t="shared" si="1"/>
        <v>113582.91177703669</v>
      </c>
      <c r="G7" s="113">
        <v>1246742</v>
      </c>
      <c r="H7" s="114">
        <f t="shared" si="1"/>
        <v>166781.83760513799</v>
      </c>
      <c r="I7" s="113">
        <f>2727846*0.3</f>
        <v>818353.79999999993</v>
      </c>
      <c r="J7" s="114">
        <f t="shared" si="1"/>
        <v>109474.57499237818</v>
      </c>
      <c r="K7" s="113">
        <v>1543325</v>
      </c>
      <c r="L7" s="114">
        <f t="shared" si="1"/>
        <v>206456.97307217497</v>
      </c>
      <c r="M7" s="113">
        <f>2742494.9*0.3</f>
        <v>822748.47</v>
      </c>
      <c r="N7" s="114">
        <f>M7*0.133774139</f>
        <v>110062.46818781731</v>
      </c>
      <c r="O7" s="113">
        <v>0</v>
      </c>
      <c r="P7" s="114">
        <f>O7*0.133774139</f>
        <v>0</v>
      </c>
      <c r="Q7" s="113">
        <f t="shared" si="0"/>
        <v>2490167.0640334468</v>
      </c>
      <c r="R7" s="114">
        <f t="shared" si="0"/>
        <v>333119.95495723217</v>
      </c>
      <c r="S7" s="113">
        <f t="shared" si="0"/>
        <v>2790067</v>
      </c>
      <c r="T7" s="114">
        <f t="shared" si="0"/>
        <v>373238.81067731295</v>
      </c>
      <c r="U7"/>
      <c r="V7" s="101">
        <f>C7-S7</f>
        <v>1709933</v>
      </c>
      <c r="W7"/>
      <c r="X7"/>
      <c r="Z7" s="14"/>
    </row>
    <row r="8" spans="1:26" s="13" customFormat="1" ht="37.5" customHeight="1">
      <c r="B8" s="108" t="s">
        <v>66</v>
      </c>
      <c r="C8" s="113">
        <v>1000000</v>
      </c>
      <c r="D8" s="114">
        <f t="shared" si="1"/>
        <v>133774.139</v>
      </c>
      <c r="E8" s="113">
        <v>0</v>
      </c>
      <c r="F8" s="114">
        <f t="shared" si="1"/>
        <v>0</v>
      </c>
      <c r="G8" s="113">
        <v>0</v>
      </c>
      <c r="H8" s="114">
        <f t="shared" si="1"/>
        <v>0</v>
      </c>
      <c r="I8" s="113">
        <v>0</v>
      </c>
      <c r="J8" s="114">
        <f t="shared" si="1"/>
        <v>0</v>
      </c>
      <c r="K8" s="113">
        <v>0</v>
      </c>
      <c r="L8" s="114">
        <f t="shared" si="1"/>
        <v>0</v>
      </c>
      <c r="M8" s="113">
        <v>0</v>
      </c>
      <c r="N8" s="114">
        <v>0</v>
      </c>
      <c r="O8" s="113">
        <v>0</v>
      </c>
      <c r="P8" s="114">
        <v>0</v>
      </c>
      <c r="Q8" s="113">
        <f t="shared" si="0"/>
        <v>0</v>
      </c>
      <c r="R8" s="114">
        <f t="shared" si="0"/>
        <v>0</v>
      </c>
      <c r="S8" s="113">
        <f t="shared" si="0"/>
        <v>0</v>
      </c>
      <c r="T8" s="114">
        <f t="shared" si="0"/>
        <v>0</v>
      </c>
      <c r="U8"/>
      <c r="V8" s="101">
        <f>C8-S8</f>
        <v>1000000</v>
      </c>
      <c r="W8"/>
      <c r="X8"/>
      <c r="Z8" s="14"/>
    </row>
    <row r="9" spans="1:26" s="13" customFormat="1" ht="27" customHeight="1" thickBot="1">
      <c r="B9" s="109" t="s">
        <v>65</v>
      </c>
      <c r="C9" s="115">
        <v>0</v>
      </c>
      <c r="D9" s="116">
        <f t="shared" si="1"/>
        <v>0</v>
      </c>
      <c r="E9" s="118">
        <f>151153*0.3</f>
        <v>45345.9</v>
      </c>
      <c r="F9" s="116">
        <f t="shared" si="1"/>
        <v>6066.1087296800997</v>
      </c>
      <c r="G9" s="115">
        <v>0</v>
      </c>
      <c r="H9" s="116">
        <f t="shared" si="1"/>
        <v>0</v>
      </c>
      <c r="I9" s="115">
        <f>144014*0.3</f>
        <v>43204.2</v>
      </c>
      <c r="J9" s="116">
        <f t="shared" si="1"/>
        <v>5779.6046561837993</v>
      </c>
      <c r="K9" s="115">
        <v>0</v>
      </c>
      <c r="L9" s="116">
        <f t="shared" si="1"/>
        <v>0</v>
      </c>
      <c r="M9" s="115">
        <v>0</v>
      </c>
      <c r="N9" s="116">
        <v>0</v>
      </c>
      <c r="O9" s="115">
        <v>0</v>
      </c>
      <c r="P9" s="116">
        <v>0</v>
      </c>
      <c r="Q9" s="115">
        <f t="shared" si="0"/>
        <v>88550.1</v>
      </c>
      <c r="R9" s="116">
        <f t="shared" si="0"/>
        <v>11845.713385863899</v>
      </c>
      <c r="S9" s="115">
        <f t="shared" si="0"/>
        <v>0</v>
      </c>
      <c r="T9" s="116">
        <f t="shared" si="0"/>
        <v>0</v>
      </c>
      <c r="U9"/>
      <c r="V9" s="101">
        <f>C9-S9</f>
        <v>0</v>
      </c>
      <c r="W9"/>
      <c r="X9"/>
      <c r="Z9" s="14"/>
    </row>
    <row r="10" spans="1:26" s="13" customFormat="1" ht="25.5" customHeight="1">
      <c r="B10" s="88" t="s">
        <v>82</v>
      </c>
      <c r="C10" s="88"/>
      <c r="D10" s="88" t="s">
        <v>86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B11" s="88"/>
      <c r="C11" s="88"/>
      <c r="D11" s="145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D12" s="88" t="s">
        <v>92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151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s="13" customFormat="1" ht="25.5" customHeight="1"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/>
      <c r="V25"/>
      <c r="W25"/>
      <c r="X25"/>
      <c r="Z25" s="14"/>
    </row>
    <row r="26" spans="1:26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75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7.5" customHeight="1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>
      <c r="Z40" s="10"/>
    </row>
    <row r="41" spans="1:26" s="13" customFormat="1" ht="12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/>
    <row r="47" spans="1:26" ht="12" customHeight="1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75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>
      <c r="U50"/>
      <c r="V50"/>
      <c r="W50"/>
      <c r="X50"/>
      <c r="Z50" s="3"/>
    </row>
    <row r="51" spans="1:26" s="2" customFormat="1" ht="15" customHeight="1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 s="2" customFormat="1">
      <c r="U53"/>
      <c r="V53"/>
      <c r="W53"/>
      <c r="X53"/>
      <c r="Z53" s="3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75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2:20" ht="1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2:20" ht="1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ht="14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2:20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.7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2:20" ht="15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ht="15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2:20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2:20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2:20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2:20" ht="15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2:20" ht="1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20" ht="1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5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2:20" ht="14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.7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2:20" ht="15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ht="15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2:20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2:20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spans="2:20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2:20" ht="15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2:20" ht="1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2:20" ht="1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2:20" ht="15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2:20" ht="14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.7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2:20" ht="15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ht="15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2:20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2:20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spans="2:20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2:20" ht="15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2:20" ht="1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2:20" ht="1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2:20" ht="15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2:20" ht="14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.7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2:20" ht="15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ht="15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2:20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2:20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spans="2:20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2:20" ht="21" customHeight="1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2:20" ht="1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2:20" ht="1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2:20" ht="15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ht="14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  <row r="279" spans="2:20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L204"/>
  <sheetViews>
    <sheetView view="pageLayout" zoomScale="85" zoomScaleNormal="110" zoomScalePageLayoutView="85" workbookViewId="0">
      <selection activeCell="F35" sqref="F35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6.7109375" customWidth="1"/>
    <col min="10" max="10" width="15.28515625" bestFit="1" customWidth="1"/>
    <col min="11" max="11" width="18" bestFit="1" customWidth="1"/>
  </cols>
  <sheetData>
    <row r="1" spans="1:12" s="1" customFormat="1" ht="15.75">
      <c r="A1"/>
      <c r="B1" s="5" t="s">
        <v>70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1" t="s">
        <v>14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1:12" s="1" customFormat="1" ht="17.25">
      <c r="A3"/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2" s="1" customFormat="1" ht="15">
      <c r="A4"/>
      <c r="B4" s="33" t="s">
        <v>15</v>
      </c>
      <c r="C4" s="34" t="s">
        <v>16</v>
      </c>
      <c r="D4" s="52">
        <f ca="1">NOW()</f>
        <v>41940.317036458335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>
        <v>41883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71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72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63" t="s">
        <v>84</v>
      </c>
      <c r="K10" s="163"/>
      <c r="L10" s="98" t="s">
        <v>83</v>
      </c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>
      <c r="A12"/>
      <c r="B12" s="124">
        <v>41707</v>
      </c>
      <c r="C12" s="125" t="s">
        <v>118</v>
      </c>
      <c r="D12" s="146">
        <v>35.92</v>
      </c>
      <c r="E12" s="146">
        <v>5.0028061959124133E-2</v>
      </c>
      <c r="F12" s="147">
        <v>475495</v>
      </c>
      <c r="G12" s="80"/>
      <c r="H12" s="147">
        <v>63749</v>
      </c>
      <c r="I12" s="125" t="s">
        <v>122</v>
      </c>
      <c r="J12" s="147">
        <v>46700361.028999999</v>
      </c>
      <c r="K12" s="87">
        <v>7249912638.1997795</v>
      </c>
      <c r="L12" s="97"/>
    </row>
    <row r="13" spans="1:12" s="1" customFormat="1">
      <c r="A13"/>
      <c r="B13" s="124">
        <v>41707</v>
      </c>
      <c r="C13" s="125" t="s">
        <v>118</v>
      </c>
      <c r="D13" s="146">
        <v>35.92</v>
      </c>
      <c r="E13" s="146">
        <v>4.9818101134931701E-2</v>
      </c>
      <c r="F13" s="147">
        <v>477500</v>
      </c>
      <c r="G13" s="80"/>
      <c r="H13" s="147">
        <v>64017</v>
      </c>
      <c r="I13" s="125" t="s">
        <v>122</v>
      </c>
      <c r="J13" s="147">
        <v>46897280.5</v>
      </c>
      <c r="K13" s="87">
        <v>7280483043.4397726</v>
      </c>
      <c r="L13" s="97"/>
    </row>
    <row r="14" spans="1:12" s="1" customFormat="1">
      <c r="A14"/>
      <c r="B14" s="124">
        <v>41952</v>
      </c>
      <c r="C14" s="125" t="s">
        <v>119</v>
      </c>
      <c r="D14" s="146">
        <v>34.99</v>
      </c>
      <c r="E14" s="146">
        <v>8.8420412121519437E-2</v>
      </c>
      <c r="F14" s="147">
        <v>315259</v>
      </c>
      <c r="G14" s="80"/>
      <c r="H14" s="147">
        <v>42501</v>
      </c>
      <c r="I14" s="125" t="s">
        <v>113</v>
      </c>
      <c r="J14" s="147">
        <v>30962910.4778</v>
      </c>
      <c r="K14" s="87">
        <v>4806780740.9251928</v>
      </c>
      <c r="L14" s="97"/>
    </row>
    <row r="15" spans="1:12" s="1" customFormat="1">
      <c r="A15"/>
      <c r="B15" s="124">
        <v>41952</v>
      </c>
      <c r="C15" s="125" t="s">
        <v>119</v>
      </c>
      <c r="D15" s="146">
        <v>34.99</v>
      </c>
      <c r="E15" s="146">
        <v>8.8507981411231521E-2</v>
      </c>
      <c r="F15" s="147">
        <v>477500</v>
      </c>
      <c r="G15" s="80"/>
      <c r="H15" s="147">
        <v>64375</v>
      </c>
      <c r="I15" s="125" t="s">
        <v>113</v>
      </c>
      <c r="J15" s="147">
        <v>46897280.5</v>
      </c>
      <c r="K15" s="87">
        <v>7280483043.4397726</v>
      </c>
      <c r="L15" s="97"/>
    </row>
    <row r="16" spans="1:12" s="1" customFormat="1">
      <c r="A16"/>
      <c r="B16" s="124">
        <v>41899</v>
      </c>
      <c r="C16" s="125" t="s">
        <v>120</v>
      </c>
      <c r="D16" s="146">
        <v>35.880000000000003</v>
      </c>
      <c r="E16" s="146">
        <v>7.9737966065107593E-2</v>
      </c>
      <c r="F16" s="147">
        <v>453625</v>
      </c>
      <c r="G16" s="80"/>
      <c r="H16" s="147">
        <v>60837</v>
      </c>
      <c r="I16" s="125" t="s">
        <v>123</v>
      </c>
      <c r="J16" s="147">
        <v>44552416.475000001</v>
      </c>
      <c r="K16" s="87">
        <v>6916458891.2677851</v>
      </c>
      <c r="L16" s="97"/>
    </row>
    <row r="17" spans="1:12" s="1" customFormat="1">
      <c r="A17"/>
      <c r="B17" s="124">
        <v>41899</v>
      </c>
      <c r="C17" s="125" t="s">
        <v>120</v>
      </c>
      <c r="D17" s="146">
        <v>35.880000000000003</v>
      </c>
      <c r="E17" s="146">
        <v>7.9635446622129805E-2</v>
      </c>
      <c r="F17" s="147">
        <v>451700</v>
      </c>
      <c r="G17" s="80"/>
      <c r="H17" s="147">
        <v>60578</v>
      </c>
      <c r="I17" s="125" t="s">
        <v>123</v>
      </c>
      <c r="J17" s="147">
        <v>44363354.140000001</v>
      </c>
      <c r="K17" s="87">
        <v>6887108252.8204098</v>
      </c>
      <c r="L17" s="97"/>
    </row>
    <row r="18" spans="1:12" s="1" customFormat="1">
      <c r="A18"/>
      <c r="B18" s="124">
        <v>41910</v>
      </c>
      <c r="C18" s="125" t="s">
        <v>121</v>
      </c>
      <c r="D18" s="146">
        <v>32.94</v>
      </c>
      <c r="E18" s="146">
        <v>5.0010244389269168E-2</v>
      </c>
      <c r="F18" s="147">
        <v>907360</v>
      </c>
      <c r="G18" s="80"/>
      <c r="H18" s="147">
        <v>123847</v>
      </c>
      <c r="I18" s="125" t="s">
        <v>124</v>
      </c>
      <c r="J18" s="147">
        <v>89115636.512000009</v>
      </c>
      <c r="K18" s="87">
        <v>13834594961.87542</v>
      </c>
      <c r="L18" s="97"/>
    </row>
    <row r="19" spans="1:12" ht="14.25">
      <c r="B19" s="79"/>
      <c r="C19" s="78"/>
      <c r="D19" s="81"/>
      <c r="E19" s="86"/>
      <c r="F19" s="80"/>
      <c r="G19" s="27"/>
      <c r="H19" s="80"/>
      <c r="I19" s="78"/>
      <c r="J19" s="87"/>
      <c r="K19" s="87"/>
      <c r="L19" s="97"/>
    </row>
    <row r="20" spans="1:12" ht="14.25">
      <c r="B20" s="79"/>
      <c r="C20" s="78"/>
      <c r="D20" s="81"/>
      <c r="E20" s="121"/>
      <c r="F20" s="80"/>
      <c r="G20" s="27"/>
      <c r="H20" s="91"/>
      <c r="I20" s="78"/>
      <c r="J20" s="87"/>
      <c r="K20" s="87"/>
      <c r="L20" s="97"/>
    </row>
    <row r="21" spans="1:12" ht="14.25">
      <c r="B21" s="79"/>
      <c r="C21" s="78"/>
      <c r="D21" s="81"/>
      <c r="E21" s="86"/>
      <c r="F21" s="80"/>
      <c r="G21" s="27"/>
      <c r="H21" s="80"/>
      <c r="I21" s="78"/>
      <c r="J21" s="87"/>
      <c r="K21" s="87"/>
      <c r="L21" s="97"/>
    </row>
    <row r="22" spans="1:12" ht="14.25">
      <c r="B22" s="79"/>
      <c r="C22" s="78"/>
      <c r="D22" s="81"/>
      <c r="E22" s="86"/>
      <c r="F22" s="80"/>
      <c r="G22" s="27"/>
      <c r="H22" s="91"/>
      <c r="I22" s="78"/>
      <c r="J22" s="87"/>
      <c r="K22" s="87"/>
      <c r="L22" s="97"/>
    </row>
    <row r="23" spans="1:12" ht="14.25">
      <c r="B23" s="79"/>
      <c r="C23" s="78"/>
      <c r="D23" s="81"/>
      <c r="E23" s="86"/>
      <c r="F23" s="80"/>
      <c r="G23" s="27"/>
      <c r="H23" s="91"/>
      <c r="I23" s="78"/>
      <c r="J23" s="87"/>
      <c r="K23" s="87"/>
      <c r="L23" s="97"/>
    </row>
    <row r="24" spans="1:12">
      <c r="B24" s="82" t="s">
        <v>35</v>
      </c>
      <c r="C24" s="83"/>
      <c r="D24" s="83"/>
      <c r="E24" s="84"/>
      <c r="F24" s="85"/>
      <c r="G24" s="85"/>
      <c r="H24" s="85"/>
      <c r="I24" s="85"/>
      <c r="J24" s="85">
        <f>SUM(J12:J23)</f>
        <v>349489239.63380003</v>
      </c>
      <c r="K24" s="85">
        <f>SUM(K12:K23)</f>
        <v>54255821571.968132</v>
      </c>
    </row>
    <row r="25" spans="1:12" ht="15">
      <c r="B25" s="22"/>
      <c r="C25" s="7"/>
      <c r="D25" s="7"/>
      <c r="E25" s="7"/>
      <c r="F25" s="7"/>
      <c r="G25" s="7"/>
    </row>
    <row r="26" spans="1:12" ht="15">
      <c r="B26" s="19"/>
      <c r="C26" s="19"/>
      <c r="D26" s="19"/>
      <c r="E26" s="19"/>
      <c r="F26" s="19"/>
      <c r="G26" s="19"/>
    </row>
    <row r="27" spans="1:12" ht="15">
      <c r="B27" s="19"/>
      <c r="C27" s="19"/>
      <c r="D27" s="19"/>
      <c r="E27" s="19"/>
      <c r="F27" s="19"/>
      <c r="G27" s="19"/>
    </row>
    <row r="28" spans="1:12" ht="15">
      <c r="B28" s="19"/>
      <c r="C28" s="19"/>
      <c r="D28" s="19"/>
      <c r="E28" s="19"/>
      <c r="F28" s="19"/>
      <c r="G28" s="19"/>
    </row>
    <row r="29" spans="1:12" ht="15">
      <c r="B29" s="19"/>
      <c r="C29" s="19"/>
      <c r="D29" s="19"/>
      <c r="E29" s="19"/>
      <c r="F29" s="19"/>
      <c r="G29" s="19"/>
    </row>
    <row r="30" spans="1:12">
      <c r="B30" s="23"/>
      <c r="C30" s="23"/>
      <c r="D30" s="23"/>
      <c r="E30" s="23"/>
      <c r="F30" s="23"/>
      <c r="G30" s="23"/>
    </row>
    <row r="31" spans="1:12">
      <c r="B31" s="24"/>
      <c r="C31" s="25"/>
      <c r="D31" s="25"/>
      <c r="E31" s="25"/>
      <c r="F31" s="25"/>
      <c r="G31" s="25"/>
    </row>
    <row r="32" spans="1:12">
      <c r="B32" s="26"/>
      <c r="C32" s="25"/>
      <c r="D32" s="25"/>
      <c r="E32" s="25"/>
      <c r="F32" s="25"/>
      <c r="G32" s="25"/>
    </row>
    <row r="33" spans="2:7">
      <c r="B33" s="26"/>
      <c r="C33" s="26"/>
      <c r="D33" s="26"/>
      <c r="E33" s="26"/>
      <c r="F33" s="26"/>
      <c r="G33" s="26"/>
    </row>
    <row r="34" spans="2:7" ht="15">
      <c r="B34" s="19"/>
      <c r="C34" s="19"/>
      <c r="D34" s="19"/>
      <c r="E34" s="19"/>
      <c r="F34" s="19"/>
      <c r="G34" s="19"/>
    </row>
    <row r="35" spans="2:7" ht="15">
      <c r="B35" s="7"/>
      <c r="C35" s="7"/>
      <c r="D35" s="7"/>
      <c r="E35" s="7"/>
      <c r="F35" s="7"/>
      <c r="G35" s="19"/>
    </row>
    <row r="36" spans="2:7" ht="15">
      <c r="B36" s="19"/>
      <c r="C36" s="19"/>
      <c r="D36" s="19"/>
      <c r="E36" s="19"/>
      <c r="F36" s="19"/>
      <c r="G36" s="19"/>
    </row>
    <row r="37" spans="2:7" ht="15">
      <c r="B37" s="19"/>
      <c r="C37" s="19"/>
      <c r="D37" s="19"/>
      <c r="E37" s="19"/>
      <c r="F37" s="19"/>
      <c r="G37" s="19"/>
    </row>
    <row r="38" spans="2:7" ht="15">
      <c r="B38" s="19"/>
      <c r="C38" s="19"/>
      <c r="D38" s="19"/>
      <c r="E38" s="19"/>
      <c r="F38" s="19"/>
      <c r="G38" s="19"/>
    </row>
    <row r="39" spans="2:7" ht="15">
      <c r="B39" s="19"/>
      <c r="C39" s="19"/>
      <c r="D39" s="19"/>
      <c r="E39" s="19"/>
      <c r="F39" s="19"/>
      <c r="G39" s="19"/>
    </row>
    <row r="40" spans="2:7" ht="15">
      <c r="B40" s="19"/>
      <c r="C40" s="19"/>
      <c r="D40" s="19"/>
      <c r="E40" s="19"/>
      <c r="F40" s="19"/>
      <c r="G40" s="19"/>
    </row>
    <row r="41" spans="2:7" ht="15">
      <c r="B41" s="7"/>
      <c r="C41" s="7"/>
      <c r="D41" s="7"/>
      <c r="E41" s="7"/>
      <c r="F41" s="7"/>
      <c r="G41" s="7"/>
    </row>
    <row r="42" spans="2:7" ht="15">
      <c r="B42" s="19"/>
      <c r="C42" s="19"/>
      <c r="D42" s="19"/>
      <c r="E42" s="19"/>
      <c r="F42" s="19"/>
      <c r="G42" s="19"/>
    </row>
    <row r="43" spans="2:7" ht="15">
      <c r="B43" s="19"/>
      <c r="C43" s="19"/>
      <c r="D43" s="19"/>
      <c r="E43" s="19"/>
      <c r="F43" s="19"/>
      <c r="G43" s="19"/>
    </row>
    <row r="44" spans="2:7" ht="15">
      <c r="B44" s="19"/>
      <c r="C44" s="19"/>
      <c r="D44" s="19"/>
      <c r="E44" s="19"/>
      <c r="F44" s="19"/>
      <c r="G44" s="19"/>
    </row>
    <row r="45" spans="2:7" ht="15">
      <c r="B45" s="19"/>
      <c r="C45" s="19"/>
      <c r="D45" s="19"/>
      <c r="E45" s="19"/>
      <c r="F45" s="19"/>
      <c r="G45" s="19"/>
    </row>
    <row r="46" spans="2:7" ht="15">
      <c r="B46" s="19"/>
      <c r="C46" s="19"/>
      <c r="D46" s="19"/>
      <c r="E46" s="19"/>
      <c r="F46" s="19"/>
      <c r="G46" s="19"/>
    </row>
    <row r="47" spans="2:7" ht="15">
      <c r="B47" s="19"/>
      <c r="C47" s="19"/>
      <c r="D47" s="19"/>
      <c r="E47" s="19"/>
      <c r="F47" s="19"/>
      <c r="G47" s="19"/>
    </row>
    <row r="48" spans="2:7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4.25">
      <c r="B53" s="27"/>
      <c r="C53" s="27"/>
      <c r="D53" s="27"/>
      <c r="E53" s="27"/>
      <c r="F53" s="27"/>
      <c r="G53" s="27"/>
    </row>
    <row r="54" spans="2:7">
      <c r="B54" s="21"/>
      <c r="C54" s="21"/>
      <c r="D54" s="21"/>
      <c r="E54" s="21"/>
      <c r="F54" s="21"/>
      <c r="G54" s="21"/>
    </row>
    <row r="55" spans="2:7">
      <c r="B55" s="21"/>
      <c r="C55" s="21"/>
      <c r="D55" s="21"/>
      <c r="E55" s="21"/>
      <c r="F55" s="21"/>
      <c r="G55" s="21"/>
    </row>
    <row r="56" spans="2:7">
      <c r="B56" s="21"/>
      <c r="C56" s="21"/>
      <c r="D56" s="21"/>
      <c r="E56" s="21"/>
      <c r="F56" s="21"/>
      <c r="G56" s="21"/>
    </row>
    <row r="57" spans="2:7">
      <c r="B57" s="21"/>
      <c r="C57" s="21"/>
      <c r="D57" s="21"/>
      <c r="E57" s="21"/>
      <c r="F57" s="21"/>
      <c r="G57" s="21"/>
    </row>
    <row r="58" spans="2:7">
      <c r="B58" s="21"/>
      <c r="C58" s="21"/>
      <c r="D58" s="21"/>
      <c r="E58" s="21"/>
      <c r="F58" s="21"/>
      <c r="G58" s="21"/>
    </row>
    <row r="59" spans="2:7">
      <c r="B59" s="21"/>
      <c r="C59" s="21"/>
      <c r="D59" s="21"/>
      <c r="E59" s="21"/>
      <c r="F59" s="21"/>
      <c r="G59" s="21"/>
    </row>
    <row r="60" spans="2:7">
      <c r="B60" s="21"/>
      <c r="C60" s="21"/>
      <c r="D60" s="21"/>
      <c r="E60" s="21"/>
      <c r="F60" s="21"/>
      <c r="G60" s="21"/>
    </row>
    <row r="61" spans="2:7" ht="15.75">
      <c r="B61" s="18"/>
      <c r="C61" s="18"/>
      <c r="D61" s="18"/>
      <c r="E61" s="18"/>
      <c r="F61" s="18"/>
      <c r="G61" s="18"/>
    </row>
    <row r="62" spans="2:7" ht="15.75">
      <c r="B62" s="18"/>
      <c r="C62" s="18"/>
      <c r="D62" s="18"/>
      <c r="E62" s="18"/>
      <c r="F62" s="18"/>
      <c r="G62" s="18"/>
    </row>
    <row r="63" spans="2:7" ht="15.75">
      <c r="B63" s="18"/>
      <c r="C63" s="18"/>
      <c r="D63" s="18"/>
      <c r="E63" s="18"/>
      <c r="F63" s="18"/>
      <c r="G63" s="18"/>
    </row>
    <row r="64" spans="2:7" ht="15">
      <c r="B64" s="19"/>
      <c r="C64" s="19"/>
      <c r="D64" s="19"/>
      <c r="E64" s="19"/>
      <c r="F64" s="20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22"/>
      <c r="C74" s="7"/>
      <c r="D74" s="7"/>
      <c r="E74" s="7"/>
      <c r="F74" s="7"/>
      <c r="G74" s="7"/>
    </row>
    <row r="75" spans="2:7" ht="15">
      <c r="B75" s="19"/>
      <c r="C75" s="19"/>
      <c r="D75" s="19"/>
      <c r="E75" s="19"/>
      <c r="F75" s="19"/>
      <c r="G75" s="19"/>
    </row>
    <row r="76" spans="2:7" ht="15">
      <c r="B76" s="19"/>
      <c r="C76" s="19"/>
      <c r="D76" s="19"/>
      <c r="E76" s="19"/>
      <c r="F76" s="19"/>
      <c r="G76" s="19"/>
    </row>
    <row r="77" spans="2:7" ht="15">
      <c r="B77" s="19"/>
      <c r="C77" s="19"/>
      <c r="D77" s="19"/>
      <c r="E77" s="19"/>
      <c r="F77" s="19"/>
      <c r="G77" s="19"/>
    </row>
    <row r="78" spans="2:7" ht="15">
      <c r="B78" s="19"/>
      <c r="C78" s="19"/>
      <c r="D78" s="19"/>
      <c r="E78" s="19"/>
      <c r="F78" s="19"/>
      <c r="G78" s="19"/>
    </row>
    <row r="79" spans="2:7">
      <c r="B79" s="23"/>
      <c r="C79" s="23"/>
      <c r="D79" s="23"/>
      <c r="E79" s="23"/>
      <c r="F79" s="23"/>
      <c r="G79" s="23"/>
    </row>
    <row r="80" spans="2:7">
      <c r="B80" s="24"/>
      <c r="C80" s="25"/>
      <c r="D80" s="25"/>
      <c r="E80" s="25"/>
      <c r="F80" s="25"/>
      <c r="G80" s="25"/>
    </row>
    <row r="81" spans="2:7">
      <c r="B81" s="26"/>
      <c r="C81" s="25"/>
      <c r="D81" s="25"/>
      <c r="E81" s="25"/>
      <c r="F81" s="25"/>
      <c r="G81" s="25"/>
    </row>
    <row r="82" spans="2:7">
      <c r="B82" s="26"/>
      <c r="C82" s="26"/>
      <c r="D82" s="26"/>
      <c r="E82" s="26"/>
      <c r="F82" s="26"/>
      <c r="G82" s="26"/>
    </row>
    <row r="83" spans="2:7" ht="15">
      <c r="B83" s="19"/>
      <c r="C83" s="19"/>
      <c r="D83" s="19"/>
      <c r="E83" s="19"/>
      <c r="F83" s="19"/>
      <c r="G83" s="19"/>
    </row>
    <row r="84" spans="2:7" ht="15">
      <c r="B84" s="7"/>
      <c r="C84" s="7"/>
      <c r="D84" s="7"/>
      <c r="E84" s="7"/>
      <c r="F84" s="7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7"/>
      <c r="C90" s="7"/>
      <c r="D90" s="7"/>
      <c r="E90" s="7"/>
      <c r="F90" s="7"/>
      <c r="G90" s="7"/>
    </row>
    <row r="91" spans="2:7" ht="15">
      <c r="B91" s="19"/>
      <c r="C91" s="19"/>
      <c r="D91" s="19"/>
      <c r="E91" s="19"/>
      <c r="F91" s="19"/>
      <c r="G91" s="19"/>
    </row>
    <row r="92" spans="2:7" ht="14.25">
      <c r="B92" s="27"/>
      <c r="C92" s="27"/>
      <c r="D92" s="27"/>
      <c r="E92" s="27"/>
      <c r="F92" s="27"/>
      <c r="G92" s="27"/>
    </row>
    <row r="93" spans="2:7">
      <c r="B93" s="21"/>
      <c r="C93" s="21"/>
      <c r="D93" s="21"/>
      <c r="E93" s="21"/>
      <c r="F93" s="21"/>
      <c r="G93" s="21"/>
    </row>
    <row r="94" spans="2:7">
      <c r="B94" s="21"/>
      <c r="C94" s="21"/>
      <c r="D94" s="21"/>
      <c r="E94" s="21"/>
      <c r="F94" s="21"/>
      <c r="G94" s="21"/>
    </row>
    <row r="95" spans="2:7">
      <c r="B95" s="21"/>
      <c r="C95" s="21"/>
      <c r="D95" s="21"/>
      <c r="E95" s="21"/>
      <c r="F95" s="21"/>
      <c r="G95" s="21"/>
    </row>
    <row r="96" spans="2:7">
      <c r="B96" s="21"/>
      <c r="C96" s="21"/>
      <c r="D96" s="21"/>
      <c r="E96" s="21"/>
      <c r="F96" s="21"/>
      <c r="G96" s="21"/>
    </row>
    <row r="97" spans="2:7">
      <c r="B97" s="21"/>
      <c r="C97" s="21"/>
      <c r="D97" s="21"/>
      <c r="E97" s="21"/>
      <c r="F97" s="21"/>
      <c r="G97" s="21"/>
    </row>
    <row r="98" spans="2:7">
      <c r="B98" s="21"/>
      <c r="C98" s="21"/>
      <c r="D98" s="21"/>
      <c r="E98" s="21"/>
      <c r="F98" s="21"/>
      <c r="G98" s="21"/>
    </row>
    <row r="99" spans="2:7">
      <c r="B99" s="21"/>
      <c r="C99" s="21"/>
      <c r="D99" s="21"/>
      <c r="E99" s="21"/>
      <c r="F99" s="21"/>
      <c r="G99" s="21"/>
    </row>
    <row r="100" spans="2:7">
      <c r="B100" s="21"/>
      <c r="C100" s="21"/>
      <c r="D100" s="21"/>
      <c r="E100" s="21"/>
      <c r="F100" s="21"/>
      <c r="G100" s="21"/>
    </row>
    <row r="101" spans="2:7" ht="15.75">
      <c r="B101" s="18"/>
      <c r="C101" s="18"/>
      <c r="D101" s="18"/>
      <c r="E101" s="18"/>
      <c r="F101" s="18"/>
      <c r="G101" s="18"/>
    </row>
    <row r="102" spans="2:7" ht="15.75">
      <c r="B102" s="18"/>
      <c r="C102" s="18"/>
      <c r="D102" s="18"/>
      <c r="E102" s="18"/>
      <c r="F102" s="18"/>
      <c r="G102" s="18"/>
    </row>
    <row r="103" spans="2:7" ht="15.75">
      <c r="B103" s="18"/>
      <c r="C103" s="18"/>
      <c r="D103" s="18"/>
      <c r="E103" s="18"/>
      <c r="F103" s="18"/>
      <c r="G103" s="18"/>
    </row>
    <row r="104" spans="2:7" ht="15">
      <c r="B104" s="19"/>
      <c r="C104" s="19"/>
      <c r="D104" s="19"/>
      <c r="E104" s="19"/>
      <c r="F104" s="20"/>
      <c r="G104" s="19"/>
    </row>
    <row r="105" spans="2:7" ht="15">
      <c r="B105" s="19"/>
      <c r="C105" s="19"/>
      <c r="D105" s="19"/>
      <c r="E105" s="19"/>
      <c r="F105" s="19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22"/>
      <c r="C114" s="7"/>
      <c r="D114" s="7"/>
      <c r="E114" s="7"/>
      <c r="F114" s="7"/>
      <c r="G114" s="7"/>
    </row>
    <row r="115" spans="2:7" ht="15">
      <c r="B115" s="19"/>
      <c r="C115" s="19"/>
      <c r="D115" s="19"/>
      <c r="E115" s="19"/>
      <c r="F115" s="19"/>
      <c r="G115" s="19"/>
    </row>
    <row r="116" spans="2:7" ht="15">
      <c r="B116" s="19"/>
      <c r="C116" s="19"/>
      <c r="D116" s="19"/>
      <c r="E116" s="19"/>
      <c r="F116" s="19"/>
      <c r="G116" s="19"/>
    </row>
    <row r="117" spans="2:7" ht="15">
      <c r="B117" s="19"/>
      <c r="C117" s="19"/>
      <c r="D117" s="19"/>
      <c r="E117" s="19"/>
      <c r="F117" s="19"/>
      <c r="G117" s="19"/>
    </row>
    <row r="118" spans="2:7" ht="15">
      <c r="B118" s="19"/>
      <c r="C118" s="19"/>
      <c r="D118" s="19"/>
      <c r="E118" s="19"/>
      <c r="F118" s="19"/>
      <c r="G118" s="19"/>
    </row>
    <row r="119" spans="2:7">
      <c r="B119" s="23"/>
      <c r="C119" s="23"/>
      <c r="D119" s="23"/>
      <c r="E119" s="23"/>
      <c r="F119" s="23"/>
      <c r="G119" s="23"/>
    </row>
    <row r="120" spans="2:7">
      <c r="B120" s="24"/>
      <c r="C120" s="25"/>
      <c r="D120" s="25"/>
      <c r="E120" s="25"/>
      <c r="F120" s="25"/>
      <c r="G120" s="25"/>
    </row>
    <row r="121" spans="2:7">
      <c r="B121" s="26"/>
      <c r="C121" s="25"/>
      <c r="D121" s="25"/>
      <c r="E121" s="25"/>
      <c r="F121" s="25"/>
      <c r="G121" s="25"/>
    </row>
    <row r="122" spans="2:7">
      <c r="B122" s="26"/>
      <c r="C122" s="26"/>
      <c r="D122" s="26"/>
      <c r="E122" s="26"/>
      <c r="F122" s="26"/>
      <c r="G122" s="26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7"/>
      <c r="C124" s="7"/>
      <c r="D124" s="7"/>
      <c r="E124" s="7"/>
      <c r="F124" s="7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7"/>
      <c r="C130" s="7"/>
      <c r="D130" s="7"/>
      <c r="E130" s="7"/>
      <c r="F130" s="7"/>
      <c r="G130" s="7"/>
    </row>
    <row r="131" spans="2:7" ht="15">
      <c r="B131" s="19"/>
      <c r="C131" s="19"/>
      <c r="D131" s="19"/>
      <c r="E131" s="19"/>
      <c r="F131" s="19"/>
      <c r="G131" s="19"/>
    </row>
    <row r="132" spans="2:7" ht="14.25">
      <c r="B132" s="27"/>
      <c r="C132" s="27"/>
      <c r="D132" s="27"/>
      <c r="E132" s="27"/>
      <c r="F132" s="27"/>
      <c r="G132" s="27"/>
    </row>
    <row r="133" spans="2:7">
      <c r="B133" s="21"/>
      <c r="C133" s="21"/>
      <c r="D133" s="21"/>
      <c r="E133" s="21"/>
      <c r="F133" s="21"/>
      <c r="G133" s="21"/>
    </row>
    <row r="134" spans="2:7">
      <c r="B134" s="21"/>
      <c r="C134" s="21"/>
      <c r="D134" s="21"/>
      <c r="E134" s="21"/>
      <c r="F134" s="21"/>
      <c r="G134" s="21"/>
    </row>
    <row r="135" spans="2:7" ht="15.75">
      <c r="B135" s="18"/>
      <c r="C135" s="18"/>
      <c r="D135" s="18"/>
      <c r="E135" s="18"/>
      <c r="F135" s="18"/>
      <c r="G135" s="18"/>
    </row>
    <row r="136" spans="2:7" ht="15.75">
      <c r="B136" s="18"/>
      <c r="C136" s="18"/>
      <c r="D136" s="18"/>
      <c r="E136" s="18"/>
      <c r="F136" s="18"/>
      <c r="G136" s="18"/>
    </row>
    <row r="137" spans="2:7" ht="15.75">
      <c r="B137" s="18"/>
      <c r="C137" s="18"/>
      <c r="D137" s="18"/>
      <c r="E137" s="18"/>
      <c r="F137" s="18"/>
      <c r="G137" s="18"/>
    </row>
    <row r="138" spans="2:7" ht="15">
      <c r="B138" s="19"/>
      <c r="C138" s="19"/>
      <c r="D138" s="19"/>
      <c r="E138" s="19"/>
      <c r="F138" s="20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 ht="15">
      <c r="B140" s="19"/>
      <c r="C140" s="19"/>
      <c r="D140" s="19"/>
      <c r="E140" s="19"/>
      <c r="F140" s="19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22"/>
      <c r="C148" s="7"/>
      <c r="D148" s="7"/>
      <c r="E148" s="7"/>
      <c r="F148" s="7"/>
      <c r="G148" s="7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>
      <c r="B153" s="23"/>
      <c r="C153" s="23"/>
      <c r="D153" s="23"/>
      <c r="E153" s="23"/>
      <c r="F153" s="23"/>
      <c r="G153" s="23"/>
    </row>
    <row r="154" spans="2:7">
      <c r="B154" s="24"/>
      <c r="C154" s="25"/>
      <c r="D154" s="25"/>
      <c r="E154" s="25"/>
      <c r="F154" s="25"/>
      <c r="G154" s="25"/>
    </row>
    <row r="155" spans="2:7">
      <c r="B155" s="26"/>
      <c r="C155" s="25"/>
      <c r="D155" s="25"/>
      <c r="E155" s="25"/>
      <c r="F155" s="25"/>
      <c r="G155" s="25"/>
    </row>
    <row r="156" spans="2:7">
      <c r="B156" s="26"/>
      <c r="C156" s="26"/>
      <c r="D156" s="26"/>
      <c r="E156" s="26"/>
      <c r="F156" s="26"/>
      <c r="G156" s="26"/>
    </row>
    <row r="157" spans="2:7" ht="15">
      <c r="B157" s="19"/>
      <c r="C157" s="19"/>
      <c r="D157" s="19"/>
      <c r="E157" s="19"/>
      <c r="F157" s="19"/>
      <c r="G157" s="19"/>
    </row>
    <row r="158" spans="2:7" ht="21" customHeight="1">
      <c r="B158" s="7"/>
      <c r="C158" s="7"/>
      <c r="D158" s="7"/>
      <c r="E158" s="7"/>
      <c r="F158" s="7"/>
      <c r="G158" s="19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7"/>
      <c r="C164" s="7"/>
      <c r="D164" s="7"/>
      <c r="E164" s="7"/>
      <c r="F164" s="7"/>
      <c r="G164" s="7"/>
    </row>
    <row r="165" spans="2:7" ht="15">
      <c r="B165" s="19"/>
      <c r="C165" s="19"/>
      <c r="D165" s="19"/>
      <c r="E165" s="19"/>
      <c r="F165" s="19"/>
      <c r="G165" s="19"/>
    </row>
    <row r="166" spans="2:7" ht="14.25">
      <c r="B166" s="27"/>
      <c r="C166" s="27"/>
      <c r="D166" s="27"/>
      <c r="E166" s="27"/>
      <c r="F166" s="27"/>
      <c r="G166" s="27"/>
    </row>
    <row r="167" spans="2:7" ht="14.25">
      <c r="B167" s="27"/>
      <c r="C167" s="27"/>
      <c r="D167" s="27"/>
      <c r="E167" s="27"/>
      <c r="F167" s="27"/>
      <c r="G167" s="26"/>
    </row>
    <row r="168" spans="2:7" ht="14.25">
      <c r="B168" s="27"/>
      <c r="C168" s="27"/>
      <c r="D168" s="27"/>
      <c r="E168" s="27"/>
      <c r="F168" s="27"/>
      <c r="G168" s="27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>
      <c r="B171" s="21"/>
      <c r="C171" s="21"/>
      <c r="D171" s="21"/>
      <c r="E171" s="21"/>
      <c r="F171" s="21"/>
      <c r="G171" s="21"/>
    </row>
    <row r="172" spans="2:7">
      <c r="B172" s="21"/>
      <c r="C172" s="21"/>
      <c r="D172" s="21"/>
      <c r="E172" s="21"/>
      <c r="F172" s="21"/>
      <c r="G172" s="21"/>
    </row>
    <row r="173" spans="2:7">
      <c r="B173" s="21"/>
      <c r="C173" s="21"/>
      <c r="D173" s="21"/>
      <c r="E173" s="21"/>
      <c r="F173" s="21"/>
      <c r="G173" s="21"/>
    </row>
    <row r="174" spans="2:7">
      <c r="B174" s="21"/>
      <c r="C174" s="21"/>
      <c r="D174" s="21"/>
      <c r="E174" s="21"/>
      <c r="F174" s="21"/>
      <c r="G174" s="21"/>
    </row>
    <row r="175" spans="2:7">
      <c r="B175" s="21"/>
      <c r="C175" s="21"/>
      <c r="D175" s="21"/>
      <c r="E175" s="21"/>
      <c r="F175" s="21"/>
      <c r="G175" s="21"/>
    </row>
    <row r="176" spans="2:7">
      <c r="B176" s="21"/>
      <c r="C176" s="21"/>
      <c r="D176" s="21"/>
      <c r="E176" s="21"/>
      <c r="F176" s="21"/>
      <c r="G176" s="21"/>
    </row>
    <row r="177" spans="2:7">
      <c r="B177" s="21"/>
      <c r="C177" s="21"/>
      <c r="D177" s="21"/>
      <c r="E177" s="21"/>
      <c r="F177" s="21"/>
      <c r="G177" s="21"/>
    </row>
    <row r="178" spans="2:7">
      <c r="B178" s="21"/>
      <c r="C178" s="21"/>
      <c r="D178" s="21"/>
      <c r="E178" s="21"/>
      <c r="F178" s="21"/>
      <c r="G178" s="21"/>
    </row>
    <row r="179" spans="2:7">
      <c r="B179" s="21"/>
      <c r="C179" s="21"/>
      <c r="D179" s="21"/>
      <c r="E179" s="21"/>
      <c r="F179" s="21"/>
      <c r="G179" s="21"/>
    </row>
    <row r="180" spans="2:7">
      <c r="B180" s="21"/>
      <c r="C180" s="21"/>
      <c r="D180" s="21"/>
      <c r="E180" s="21"/>
      <c r="F180" s="21"/>
      <c r="G180" s="21"/>
    </row>
    <row r="181" spans="2:7">
      <c r="B181" s="21"/>
      <c r="C181" s="21"/>
      <c r="D181" s="21"/>
      <c r="E181" s="21"/>
      <c r="F181" s="21"/>
      <c r="G181" s="21"/>
    </row>
    <row r="182" spans="2:7">
      <c r="B182" s="21"/>
      <c r="C182" s="21"/>
      <c r="D182" s="21"/>
      <c r="E182" s="21"/>
      <c r="F182" s="21"/>
      <c r="G182" s="21"/>
    </row>
    <row r="183" spans="2:7">
      <c r="B183" s="21"/>
      <c r="C183" s="21"/>
      <c r="D183" s="21"/>
      <c r="E183" s="21"/>
      <c r="F183" s="21"/>
      <c r="G183" s="21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O233"/>
  <sheetViews>
    <sheetView view="pageLayout" zoomScaleNormal="110" workbookViewId="0">
      <selection activeCell="A3" sqref="A3"/>
    </sheetView>
  </sheetViews>
  <sheetFormatPr defaultColWidth="9.140625" defaultRowHeight="11.25"/>
  <cols>
    <col min="1" max="1" width="9.85546875" style="32" customWidth="1"/>
    <col min="2" max="2" width="6.85546875" style="32" bestFit="1" customWidth="1"/>
    <col min="3" max="3" width="13.140625" style="32" bestFit="1" customWidth="1"/>
    <col min="4" max="4" width="10.42578125" style="32" customWidth="1"/>
    <col min="5" max="5" width="13.7109375" style="32" bestFit="1" customWidth="1"/>
    <col min="6" max="6" width="11.140625" style="32" customWidth="1"/>
    <col min="7" max="7" width="9.7109375" style="32" customWidth="1"/>
    <col min="8" max="8" width="8.7109375" style="32" customWidth="1"/>
    <col min="9" max="9" width="10" style="32" hidden="1" customWidth="1"/>
    <col min="10" max="10" width="7.5703125" style="32" customWidth="1"/>
    <col min="11" max="11" width="7.7109375" style="32" customWidth="1"/>
    <col min="12" max="12" width="9" style="32" bestFit="1" customWidth="1"/>
    <col min="13" max="13" width="20.28515625" style="32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5" t="s">
        <v>73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5" ht="21.75" customHeight="1">
      <c r="A2" s="166">
        <v>41883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67" t="s">
        <v>38</v>
      </c>
      <c r="D4" s="60" t="s">
        <v>39</v>
      </c>
      <c r="E4" s="167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9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68"/>
      <c r="D5" s="65" t="s">
        <v>46</v>
      </c>
      <c r="E5" s="168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0"/>
      <c r="N5" s="54"/>
      <c r="O5" s="32"/>
    </row>
    <row r="6" spans="1:15">
      <c r="A6" s="78" t="s">
        <v>99</v>
      </c>
      <c r="B6" s="78" t="s">
        <v>72</v>
      </c>
      <c r="C6" s="125" t="s">
        <v>118</v>
      </c>
      <c r="D6" s="149" t="s">
        <v>125</v>
      </c>
      <c r="E6" s="125" t="s">
        <v>60</v>
      </c>
      <c r="F6" s="125" t="s">
        <v>61</v>
      </c>
      <c r="G6" s="148">
        <v>475733</v>
      </c>
      <c r="H6" s="148">
        <v>475495</v>
      </c>
      <c r="I6" s="80"/>
      <c r="J6" s="136">
        <v>63749</v>
      </c>
      <c r="K6" s="150">
        <v>35.92</v>
      </c>
      <c r="L6" s="124">
        <v>41707</v>
      </c>
      <c r="M6" s="125" t="s">
        <v>122</v>
      </c>
      <c r="N6" s="54"/>
      <c r="O6" s="32"/>
    </row>
    <row r="7" spans="1:15">
      <c r="A7" s="78"/>
      <c r="B7" s="125" t="s">
        <v>72</v>
      </c>
      <c r="C7" s="125" t="s">
        <v>118</v>
      </c>
      <c r="D7" s="149" t="s">
        <v>125</v>
      </c>
      <c r="E7" s="125" t="s">
        <v>60</v>
      </c>
      <c r="F7" s="125" t="s">
        <v>61</v>
      </c>
      <c r="G7" s="148">
        <v>477738</v>
      </c>
      <c r="H7" s="147">
        <v>477500</v>
      </c>
      <c r="I7" s="80"/>
      <c r="J7" s="136">
        <v>64017</v>
      </c>
      <c r="K7" s="150">
        <v>35.92</v>
      </c>
      <c r="L7" s="124">
        <v>41707</v>
      </c>
      <c r="M7" s="125" t="s">
        <v>122</v>
      </c>
      <c r="N7" s="54"/>
      <c r="O7" s="32"/>
    </row>
    <row r="8" spans="1:15">
      <c r="A8" s="78"/>
      <c r="B8" s="78" t="s">
        <v>72</v>
      </c>
      <c r="C8" s="125" t="s">
        <v>119</v>
      </c>
      <c r="D8" s="127">
        <v>41891</v>
      </c>
      <c r="E8" s="125" t="s">
        <v>60</v>
      </c>
      <c r="F8" s="125" t="s">
        <v>62</v>
      </c>
      <c r="G8" s="148">
        <v>315538</v>
      </c>
      <c r="H8" s="147">
        <v>315259</v>
      </c>
      <c r="I8" s="80"/>
      <c r="J8" s="136">
        <v>42501</v>
      </c>
      <c r="K8" s="150">
        <v>34.99</v>
      </c>
      <c r="L8" s="124">
        <v>41952</v>
      </c>
      <c r="M8" s="125" t="s">
        <v>113</v>
      </c>
      <c r="N8" s="54"/>
      <c r="O8" s="32"/>
    </row>
    <row r="9" spans="1:15">
      <c r="A9" s="78"/>
      <c r="B9" s="78" t="s">
        <v>72</v>
      </c>
      <c r="C9" s="125" t="s">
        <v>119</v>
      </c>
      <c r="D9" s="127">
        <v>41891</v>
      </c>
      <c r="E9" s="125" t="s">
        <v>60</v>
      </c>
      <c r="F9" s="125" t="s">
        <v>61</v>
      </c>
      <c r="G9" s="148">
        <v>477923</v>
      </c>
      <c r="H9" s="147">
        <v>477500</v>
      </c>
      <c r="I9" s="80"/>
      <c r="J9" s="136">
        <v>64375</v>
      </c>
      <c r="K9" s="150">
        <v>34.99</v>
      </c>
      <c r="L9" s="124">
        <v>41952</v>
      </c>
      <c r="M9" s="125" t="s">
        <v>113</v>
      </c>
      <c r="N9" s="54"/>
      <c r="O9" s="32"/>
    </row>
    <row r="10" spans="1:15">
      <c r="A10" s="78"/>
      <c r="B10" s="78" t="s">
        <v>72</v>
      </c>
      <c r="C10" s="125" t="s">
        <v>120</v>
      </c>
      <c r="D10" s="127">
        <v>41895</v>
      </c>
      <c r="E10" s="125" t="s">
        <v>60</v>
      </c>
      <c r="F10" s="125" t="s">
        <v>61</v>
      </c>
      <c r="G10" s="148">
        <v>453987</v>
      </c>
      <c r="H10" s="147">
        <v>453625</v>
      </c>
      <c r="I10" s="80"/>
      <c r="J10" s="136">
        <v>60837</v>
      </c>
      <c r="K10" s="150">
        <v>35.880000000000003</v>
      </c>
      <c r="L10" s="124">
        <v>41899</v>
      </c>
      <c r="M10" s="125" t="s">
        <v>123</v>
      </c>
      <c r="N10" s="54"/>
      <c r="O10" s="32"/>
    </row>
    <row r="11" spans="1:15">
      <c r="A11" s="78"/>
      <c r="B11" s="78" t="s">
        <v>72</v>
      </c>
      <c r="C11" s="125" t="s">
        <v>120</v>
      </c>
      <c r="D11" s="127">
        <v>41895</v>
      </c>
      <c r="E11" s="125" t="s">
        <v>60</v>
      </c>
      <c r="F11" s="125" t="s">
        <v>61</v>
      </c>
      <c r="G11" s="148">
        <v>452060</v>
      </c>
      <c r="H11" s="147">
        <v>451700</v>
      </c>
      <c r="I11" s="80"/>
      <c r="J11" s="136">
        <v>60578</v>
      </c>
      <c r="K11" s="150">
        <v>35.880000000000003</v>
      </c>
      <c r="L11" s="124">
        <v>41899</v>
      </c>
      <c r="M11" s="125" t="s">
        <v>123</v>
      </c>
      <c r="N11" s="54"/>
      <c r="O11" s="32"/>
    </row>
    <row r="12" spans="1:15">
      <c r="A12" s="78"/>
      <c r="B12" s="78" t="s">
        <v>72</v>
      </c>
      <c r="C12" s="125" t="s">
        <v>121</v>
      </c>
      <c r="D12" s="127">
        <v>41901</v>
      </c>
      <c r="E12" s="125" t="s">
        <v>101</v>
      </c>
      <c r="F12" s="125" t="s">
        <v>61</v>
      </c>
      <c r="G12" s="148">
        <v>907814</v>
      </c>
      <c r="H12" s="147">
        <v>907360</v>
      </c>
      <c r="I12" s="80"/>
      <c r="J12" s="136">
        <v>123847</v>
      </c>
      <c r="K12" s="150">
        <v>32.94</v>
      </c>
      <c r="L12" s="124">
        <v>41910</v>
      </c>
      <c r="M12" s="125" t="s">
        <v>124</v>
      </c>
      <c r="N12" s="54"/>
      <c r="O12" s="32"/>
    </row>
    <row r="13" spans="1:15">
      <c r="A13" s="78"/>
      <c r="B13" s="78"/>
      <c r="C13" s="78"/>
      <c r="D13" s="78"/>
      <c r="E13" s="78"/>
      <c r="F13" s="125"/>
      <c r="G13" s="93"/>
      <c r="H13" s="80"/>
      <c r="I13" s="80"/>
      <c r="J13" s="91"/>
      <c r="K13" s="81"/>
      <c r="L13" s="79"/>
      <c r="M13" s="78"/>
    </row>
    <row r="14" spans="1:15">
      <c r="A14" s="78"/>
      <c r="B14" s="78"/>
      <c r="C14" s="78"/>
      <c r="D14" s="78"/>
      <c r="E14" s="78"/>
      <c r="F14" s="78"/>
      <c r="G14" s="93"/>
      <c r="H14" s="80"/>
      <c r="I14" s="80"/>
      <c r="J14" s="91"/>
      <c r="K14" s="81"/>
      <c r="L14" s="79"/>
      <c r="M14" s="78"/>
    </row>
    <row r="15" spans="1:15">
      <c r="A15" s="78"/>
      <c r="B15" s="78"/>
      <c r="C15" s="78"/>
      <c r="D15" s="78"/>
      <c r="E15" s="78"/>
      <c r="F15" s="78"/>
      <c r="G15" s="93"/>
      <c r="H15" s="80"/>
      <c r="I15" s="80"/>
      <c r="J15" s="91"/>
      <c r="K15" s="81"/>
      <c r="L15" s="79"/>
      <c r="M15" s="78"/>
    </row>
    <row r="16" spans="1:15">
      <c r="A16" s="78"/>
      <c r="B16" s="78"/>
      <c r="C16" s="78"/>
      <c r="D16" s="78"/>
      <c r="E16" s="78"/>
      <c r="F16" s="78"/>
      <c r="G16" s="93"/>
      <c r="H16" s="80"/>
      <c r="I16" s="80"/>
      <c r="J16" s="91"/>
      <c r="K16" s="81"/>
      <c r="L16" s="79"/>
      <c r="M16" s="78"/>
    </row>
    <row r="17" spans="1:15">
      <c r="A17" s="78"/>
      <c r="B17" s="78"/>
      <c r="C17" s="78"/>
      <c r="D17" s="78"/>
      <c r="E17" s="78"/>
      <c r="F17" s="78"/>
      <c r="G17" s="93"/>
      <c r="H17" s="80"/>
      <c r="I17" s="80"/>
      <c r="J17" s="91"/>
      <c r="K17" s="81"/>
      <c r="L17" s="79"/>
      <c r="M17" s="78"/>
    </row>
    <row r="18" spans="1:15" ht="12" thickBot="1">
      <c r="A18" s="78"/>
      <c r="B18" s="78"/>
      <c r="C18" s="78"/>
      <c r="D18" s="78"/>
      <c r="E18" s="78"/>
      <c r="F18" s="78"/>
      <c r="G18" s="93"/>
      <c r="H18" s="80"/>
      <c r="I18" s="80"/>
      <c r="J18" s="91"/>
      <c r="K18" s="81"/>
      <c r="L18" s="79"/>
      <c r="M18" s="78"/>
    </row>
    <row r="19" spans="1:15" ht="14.25" customHeight="1" thickTop="1" thickBot="1">
      <c r="A19" s="164" t="s">
        <v>74</v>
      </c>
      <c r="B19" s="164"/>
      <c r="C19" s="164"/>
      <c r="D19" s="164"/>
      <c r="E19" s="164"/>
      <c r="F19" s="164"/>
      <c r="G19" s="68">
        <f>SUM(G6:G18)</f>
        <v>3560793</v>
      </c>
      <c r="H19" s="68">
        <f>SUM(H6:H18)</f>
        <v>3558439</v>
      </c>
      <c r="I19" s="68">
        <f>SUM(I6:I18)</f>
        <v>0</v>
      </c>
      <c r="J19" s="68">
        <f>SUM(J6:J18)</f>
        <v>479904</v>
      </c>
      <c r="K19" s="68"/>
      <c r="L19" s="68"/>
      <c r="M19" s="69"/>
      <c r="N19" s="54"/>
      <c r="O19" s="32"/>
    </row>
    <row r="20" spans="1:15">
      <c r="A20" s="72"/>
      <c r="B20" s="72"/>
      <c r="C20" s="72"/>
      <c r="D20" s="72"/>
      <c r="E20" s="72"/>
      <c r="F20" s="72"/>
      <c r="G20" s="72"/>
      <c r="H20" s="72"/>
      <c r="I20" s="72"/>
    </row>
    <row r="21" spans="1:15">
      <c r="A21" s="71"/>
      <c r="B21" s="71"/>
      <c r="C21" s="71"/>
      <c r="D21" s="71"/>
      <c r="E21" s="71"/>
      <c r="F21" s="71"/>
      <c r="G21" s="71"/>
      <c r="H21" s="71"/>
      <c r="I21" s="71"/>
    </row>
    <row r="22" spans="1:15">
      <c r="A22" s="72"/>
      <c r="B22" s="72"/>
      <c r="C22" s="72"/>
      <c r="D22" s="72"/>
      <c r="E22" s="72"/>
      <c r="F22" s="72"/>
      <c r="G22" s="72"/>
      <c r="H22" s="72"/>
      <c r="I22" s="72"/>
    </row>
    <row r="23" spans="1:15">
      <c r="A23" s="53"/>
      <c r="B23" s="53"/>
      <c r="C23" s="53"/>
      <c r="D23" s="53"/>
      <c r="E23" s="53"/>
      <c r="F23" s="53"/>
      <c r="G23" s="53"/>
      <c r="H23" s="53"/>
      <c r="I23" s="53"/>
    </row>
    <row r="24" spans="1:15">
      <c r="A24" s="53"/>
      <c r="B24" s="53"/>
      <c r="C24" s="53"/>
      <c r="D24" s="53"/>
      <c r="E24" s="53"/>
      <c r="F24" s="53"/>
      <c r="G24" s="53"/>
      <c r="H24" s="53"/>
      <c r="I24" s="53"/>
    </row>
    <row r="25" spans="1:15">
      <c r="A25" s="53"/>
      <c r="B25" s="53"/>
      <c r="C25" s="53"/>
      <c r="D25" s="53"/>
      <c r="E25" s="53"/>
      <c r="F25" s="53"/>
      <c r="G25" s="53"/>
      <c r="H25" s="53"/>
      <c r="I25" s="53"/>
    </row>
    <row r="26" spans="1:15">
      <c r="A26" s="53"/>
      <c r="B26" s="53"/>
      <c r="C26" s="53"/>
      <c r="D26" s="53"/>
      <c r="E26" s="53"/>
      <c r="F26" s="53"/>
      <c r="G26" s="53"/>
      <c r="H26" s="53"/>
      <c r="I26" s="53"/>
    </row>
    <row r="27" spans="1:15">
      <c r="A27" s="53"/>
      <c r="B27" s="53"/>
      <c r="C27" s="53"/>
      <c r="D27" s="53"/>
      <c r="E27" s="53"/>
      <c r="F27" s="53"/>
      <c r="G27" s="53"/>
      <c r="H27" s="53"/>
      <c r="I27" s="53"/>
    </row>
    <row r="28" spans="1:15">
      <c r="A28" s="53"/>
      <c r="B28" s="53"/>
      <c r="C28" s="53"/>
      <c r="D28" s="53"/>
      <c r="E28" s="53"/>
      <c r="F28" s="53"/>
      <c r="G28" s="53"/>
      <c r="H28" s="53"/>
      <c r="I28" s="53"/>
    </row>
    <row r="29" spans="1:15">
      <c r="A29" s="53"/>
      <c r="B29" s="53"/>
      <c r="C29" s="53"/>
      <c r="D29" s="53"/>
      <c r="E29" s="53"/>
      <c r="F29" s="53"/>
      <c r="G29" s="53"/>
      <c r="H29" s="53"/>
      <c r="I29" s="53"/>
    </row>
    <row r="30" spans="1:15">
      <c r="A30" s="53"/>
      <c r="B30" s="53"/>
      <c r="C30" s="53"/>
      <c r="D30" s="53"/>
      <c r="E30" s="53"/>
      <c r="F30" s="53"/>
      <c r="G30" s="53"/>
      <c r="H30" s="53"/>
      <c r="I30" s="53"/>
    </row>
    <row r="31" spans="1:15">
      <c r="A31" s="53"/>
      <c r="B31" s="53"/>
      <c r="C31" s="53"/>
      <c r="D31" s="53"/>
      <c r="E31" s="53"/>
      <c r="F31" s="53"/>
      <c r="G31" s="53"/>
      <c r="H31" s="53"/>
      <c r="I31" s="53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77"/>
      <c r="B41" s="77"/>
      <c r="C41" s="77"/>
      <c r="D41" s="77"/>
      <c r="E41" s="77"/>
      <c r="F41" s="77"/>
      <c r="G41" s="77"/>
      <c r="H41" s="77"/>
      <c r="I41" s="77"/>
    </row>
    <row r="42" spans="1:9">
      <c r="A42" s="77"/>
      <c r="B42" s="77"/>
      <c r="C42" s="77"/>
      <c r="D42" s="77"/>
      <c r="E42" s="77"/>
      <c r="F42" s="77"/>
      <c r="G42" s="77"/>
      <c r="H42" s="77"/>
      <c r="I42" s="77"/>
    </row>
    <row r="43" spans="1:9">
      <c r="A43" s="77"/>
      <c r="B43" s="77"/>
      <c r="C43" s="77"/>
      <c r="D43" s="77"/>
      <c r="E43" s="77"/>
      <c r="F43" s="77"/>
      <c r="G43" s="77"/>
      <c r="H43" s="77"/>
      <c r="I43" s="77"/>
    </row>
    <row r="44" spans="1:9">
      <c r="A44" s="72"/>
      <c r="B44" s="72"/>
      <c r="C44" s="72"/>
      <c r="D44" s="72"/>
      <c r="E44" s="72"/>
      <c r="F44" s="72"/>
      <c r="G44" s="72"/>
      <c r="H44" s="53"/>
      <c r="I44" s="72"/>
    </row>
    <row r="45" spans="1:9">
      <c r="A45" s="72"/>
      <c r="B45" s="72"/>
      <c r="C45" s="72"/>
      <c r="D45" s="72"/>
      <c r="E45" s="72"/>
      <c r="F45" s="72"/>
      <c r="G45" s="72"/>
      <c r="H45" s="72"/>
      <c r="I45" s="72"/>
    </row>
    <row r="46" spans="1:9">
      <c r="A46" s="72"/>
      <c r="B46" s="72"/>
      <c r="C46" s="72"/>
      <c r="D46" s="72"/>
      <c r="E46" s="72"/>
      <c r="F46" s="72"/>
      <c r="G46" s="72"/>
      <c r="H46" s="72"/>
      <c r="I46" s="72"/>
    </row>
    <row r="47" spans="1:9">
      <c r="A47" s="72"/>
      <c r="B47" s="72"/>
      <c r="C47" s="72"/>
      <c r="D47" s="72"/>
      <c r="E47" s="72"/>
      <c r="F47" s="72"/>
      <c r="G47" s="72"/>
      <c r="H47" s="72"/>
      <c r="I47" s="72"/>
    </row>
    <row r="48" spans="1:9">
      <c r="A48" s="72"/>
      <c r="B48" s="72"/>
      <c r="C48" s="72"/>
      <c r="D48" s="72"/>
      <c r="E48" s="72"/>
      <c r="F48" s="72"/>
      <c r="G48" s="72"/>
      <c r="H48" s="72"/>
      <c r="I48" s="72"/>
    </row>
    <row r="49" spans="1:9">
      <c r="A49" s="72"/>
      <c r="B49" s="72"/>
      <c r="C49" s="72"/>
      <c r="D49" s="72"/>
      <c r="E49" s="72"/>
      <c r="F49" s="72"/>
      <c r="G49" s="72"/>
      <c r="H49" s="72"/>
      <c r="I49" s="72"/>
    </row>
    <row r="50" spans="1:9">
      <c r="A50" s="72"/>
      <c r="B50" s="72"/>
      <c r="C50" s="72"/>
      <c r="D50" s="72"/>
      <c r="E50" s="72"/>
      <c r="F50" s="72"/>
      <c r="G50" s="72"/>
      <c r="H50" s="72"/>
      <c r="I50" s="72"/>
    </row>
    <row r="51" spans="1:9">
      <c r="A51" s="72"/>
      <c r="B51" s="72"/>
      <c r="C51" s="72"/>
      <c r="D51" s="72"/>
      <c r="E51" s="72"/>
      <c r="F51" s="72"/>
      <c r="G51" s="72"/>
      <c r="H51" s="72"/>
      <c r="I51" s="72"/>
    </row>
    <row r="52" spans="1:9">
      <c r="A52" s="72"/>
      <c r="B52" s="72"/>
      <c r="C52" s="72"/>
      <c r="D52" s="72"/>
      <c r="E52" s="72"/>
      <c r="F52" s="72"/>
      <c r="G52" s="72"/>
      <c r="H52" s="72"/>
      <c r="I52" s="72"/>
    </row>
    <row r="53" spans="1:9">
      <c r="A53" s="72"/>
      <c r="B53" s="72"/>
      <c r="C53" s="72"/>
      <c r="D53" s="72"/>
      <c r="E53" s="72"/>
      <c r="F53" s="72"/>
      <c r="G53" s="72"/>
      <c r="H53" s="72"/>
      <c r="I53" s="72"/>
    </row>
    <row r="54" spans="1:9">
      <c r="A54" s="70"/>
      <c r="B54" s="71"/>
      <c r="C54" s="71"/>
      <c r="D54" s="71"/>
      <c r="E54" s="71"/>
      <c r="F54" s="71"/>
      <c r="G54" s="71"/>
      <c r="H54" s="71"/>
      <c r="I54" s="71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3"/>
      <c r="B59" s="73"/>
      <c r="C59" s="73"/>
      <c r="D59" s="73"/>
      <c r="E59" s="73"/>
      <c r="F59" s="73"/>
      <c r="G59" s="73"/>
      <c r="H59" s="73"/>
      <c r="I59" s="73"/>
    </row>
    <row r="60" spans="1:9">
      <c r="A60" s="74"/>
      <c r="B60" s="75"/>
      <c r="C60" s="75"/>
      <c r="D60" s="75"/>
      <c r="E60" s="75"/>
      <c r="F60" s="75"/>
      <c r="G60" s="75"/>
      <c r="H60" s="75"/>
      <c r="I60" s="75"/>
    </row>
    <row r="61" spans="1:9">
      <c r="A61" s="76"/>
      <c r="B61" s="75"/>
      <c r="C61" s="75"/>
      <c r="D61" s="75"/>
      <c r="E61" s="75"/>
      <c r="F61" s="75"/>
      <c r="G61" s="75"/>
      <c r="H61" s="75"/>
      <c r="I61" s="75"/>
    </row>
    <row r="62" spans="1:9">
      <c r="A62" s="76"/>
      <c r="B62" s="76"/>
      <c r="C62" s="76"/>
      <c r="D62" s="76"/>
      <c r="E62" s="76"/>
      <c r="F62" s="76"/>
      <c r="G62" s="76"/>
      <c r="H62" s="76"/>
      <c r="I62" s="76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1"/>
      <c r="B64" s="71"/>
      <c r="C64" s="71"/>
      <c r="D64" s="71"/>
      <c r="E64" s="71"/>
      <c r="F64" s="71"/>
      <c r="G64" s="71"/>
      <c r="H64" s="71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1"/>
      <c r="B70" s="71"/>
      <c r="C70" s="71"/>
      <c r="D70" s="71"/>
      <c r="E70" s="71"/>
      <c r="F70" s="71"/>
      <c r="G70" s="71"/>
      <c r="H70" s="71"/>
      <c r="I70" s="71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2"/>
      <c r="B79" s="72"/>
      <c r="C79" s="72"/>
      <c r="D79" s="72"/>
      <c r="E79" s="72"/>
      <c r="F79" s="72"/>
      <c r="G79" s="72"/>
      <c r="H79" s="72"/>
      <c r="I79" s="72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53"/>
      <c r="B82" s="53"/>
      <c r="C82" s="53"/>
      <c r="D82" s="53"/>
      <c r="E82" s="53"/>
      <c r="F82" s="53"/>
      <c r="G82" s="53"/>
      <c r="H82" s="53"/>
      <c r="I82" s="53"/>
    </row>
    <row r="83" spans="1:9">
      <c r="A83" s="53"/>
      <c r="B83" s="53"/>
      <c r="C83" s="53"/>
      <c r="D83" s="53"/>
      <c r="E83" s="53"/>
      <c r="F83" s="53"/>
      <c r="G83" s="53"/>
      <c r="H83" s="53"/>
      <c r="I83" s="53"/>
    </row>
    <row r="84" spans="1:9">
      <c r="A84" s="53"/>
      <c r="B84" s="53"/>
      <c r="C84" s="53"/>
      <c r="D84" s="53"/>
      <c r="E84" s="53"/>
      <c r="F84" s="53"/>
      <c r="G84" s="53"/>
      <c r="H84" s="53"/>
      <c r="I84" s="53"/>
    </row>
    <row r="85" spans="1:9">
      <c r="A85" s="53"/>
      <c r="B85" s="53"/>
      <c r="C85" s="53"/>
      <c r="D85" s="53"/>
      <c r="E85" s="53"/>
      <c r="F85" s="53"/>
      <c r="G85" s="53"/>
      <c r="H85" s="53"/>
      <c r="I85" s="53"/>
    </row>
    <row r="86" spans="1:9">
      <c r="A86" s="53"/>
      <c r="B86" s="53"/>
      <c r="C86" s="53"/>
      <c r="D86" s="53"/>
      <c r="E86" s="53"/>
      <c r="F86" s="53"/>
      <c r="G86" s="53"/>
      <c r="H86" s="53"/>
      <c r="I86" s="53"/>
    </row>
    <row r="87" spans="1:9">
      <c r="A87" s="53"/>
      <c r="B87" s="53"/>
      <c r="C87" s="53"/>
      <c r="D87" s="53"/>
      <c r="E87" s="53"/>
      <c r="F87" s="53"/>
      <c r="G87" s="53"/>
      <c r="H87" s="53"/>
      <c r="I87" s="53"/>
    </row>
    <row r="88" spans="1:9">
      <c r="A88" s="53"/>
      <c r="B88" s="53"/>
      <c r="C88" s="53"/>
      <c r="D88" s="53"/>
      <c r="E88" s="53"/>
      <c r="F88" s="53"/>
      <c r="G88" s="53"/>
      <c r="H88" s="53"/>
      <c r="I88" s="53"/>
    </row>
    <row r="89" spans="1:9">
      <c r="A89" s="53"/>
      <c r="B89" s="53"/>
      <c r="C89" s="53"/>
      <c r="D89" s="53"/>
      <c r="E89" s="53"/>
      <c r="F89" s="53"/>
      <c r="G89" s="53"/>
      <c r="H89" s="53"/>
      <c r="I89" s="53"/>
    </row>
    <row r="90" spans="1:9">
      <c r="A90" s="77"/>
      <c r="B90" s="77"/>
      <c r="C90" s="77"/>
      <c r="D90" s="77"/>
      <c r="E90" s="77"/>
      <c r="F90" s="77"/>
      <c r="G90" s="77"/>
      <c r="H90" s="77"/>
      <c r="I90" s="77"/>
    </row>
    <row r="91" spans="1:9">
      <c r="A91" s="77"/>
      <c r="B91" s="77"/>
      <c r="C91" s="77"/>
      <c r="D91" s="77"/>
      <c r="E91" s="77"/>
      <c r="F91" s="77"/>
      <c r="G91" s="77"/>
      <c r="H91" s="77"/>
      <c r="I91" s="77"/>
    </row>
    <row r="92" spans="1:9">
      <c r="A92" s="77"/>
      <c r="B92" s="77"/>
      <c r="C92" s="77"/>
      <c r="D92" s="77"/>
      <c r="E92" s="77"/>
      <c r="F92" s="77"/>
      <c r="G92" s="77"/>
      <c r="H92" s="77"/>
      <c r="I92" s="77"/>
    </row>
    <row r="93" spans="1:9">
      <c r="A93" s="72"/>
      <c r="B93" s="72"/>
      <c r="C93" s="72"/>
      <c r="D93" s="72"/>
      <c r="E93" s="72"/>
      <c r="F93" s="72"/>
      <c r="G93" s="72"/>
      <c r="H93" s="53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2"/>
      <c r="B98" s="72"/>
      <c r="C98" s="72"/>
      <c r="D98" s="72"/>
      <c r="E98" s="72"/>
      <c r="F98" s="72"/>
      <c r="G98" s="72"/>
      <c r="H98" s="72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>
      <c r="A101" s="72"/>
      <c r="B101" s="72"/>
      <c r="C101" s="72"/>
      <c r="D101" s="72"/>
      <c r="E101" s="72"/>
      <c r="F101" s="72"/>
      <c r="G101" s="72"/>
      <c r="H101" s="72"/>
      <c r="I101" s="72"/>
    </row>
    <row r="102" spans="1:9">
      <c r="A102" s="72"/>
      <c r="B102" s="72"/>
      <c r="C102" s="72"/>
      <c r="D102" s="72"/>
      <c r="E102" s="72"/>
      <c r="F102" s="72"/>
      <c r="G102" s="72"/>
      <c r="H102" s="72"/>
      <c r="I102" s="72"/>
    </row>
    <row r="103" spans="1:9">
      <c r="A103" s="70"/>
      <c r="B103" s="71"/>
      <c r="C103" s="71"/>
      <c r="D103" s="71"/>
      <c r="E103" s="71"/>
      <c r="F103" s="71"/>
      <c r="G103" s="71"/>
      <c r="H103" s="71"/>
      <c r="I103" s="71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3"/>
      <c r="B108" s="73"/>
      <c r="C108" s="73"/>
      <c r="D108" s="73"/>
      <c r="E108" s="73"/>
      <c r="F108" s="73"/>
      <c r="G108" s="73"/>
      <c r="H108" s="73"/>
      <c r="I108" s="73"/>
    </row>
    <row r="109" spans="1:9">
      <c r="A109" s="74"/>
      <c r="B109" s="75"/>
      <c r="C109" s="75"/>
      <c r="D109" s="75"/>
      <c r="E109" s="75"/>
      <c r="F109" s="75"/>
      <c r="G109" s="75"/>
      <c r="H109" s="75"/>
      <c r="I109" s="75"/>
    </row>
    <row r="110" spans="1:9">
      <c r="A110" s="76"/>
      <c r="B110" s="75"/>
      <c r="C110" s="75"/>
      <c r="D110" s="75"/>
      <c r="E110" s="75"/>
      <c r="F110" s="75"/>
      <c r="G110" s="75"/>
      <c r="H110" s="75"/>
      <c r="I110" s="75"/>
    </row>
    <row r="111" spans="1:9">
      <c r="A111" s="76"/>
      <c r="B111" s="76"/>
      <c r="C111" s="76"/>
      <c r="D111" s="76"/>
      <c r="E111" s="76"/>
      <c r="F111" s="76"/>
      <c r="G111" s="76"/>
      <c r="H111" s="76"/>
      <c r="I111" s="76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1"/>
      <c r="B113" s="71"/>
      <c r="C113" s="71"/>
      <c r="D113" s="71"/>
      <c r="E113" s="71"/>
      <c r="F113" s="71"/>
      <c r="G113" s="71"/>
      <c r="H113" s="71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2"/>
      <c r="B118" s="72"/>
      <c r="C118" s="72"/>
      <c r="D118" s="72"/>
      <c r="E118" s="72"/>
      <c r="F118" s="72"/>
      <c r="G118" s="72"/>
      <c r="H118" s="72"/>
      <c r="I118" s="72"/>
    </row>
    <row r="119" spans="1:9">
      <c r="A119" s="71"/>
      <c r="B119" s="71"/>
      <c r="C119" s="71"/>
      <c r="D119" s="71"/>
      <c r="E119" s="71"/>
      <c r="F119" s="71"/>
      <c r="G119" s="71"/>
      <c r="H119" s="71"/>
      <c r="I119" s="71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>
      <c r="A123" s="53"/>
      <c r="B123" s="53"/>
      <c r="C123" s="53"/>
      <c r="D123" s="53"/>
      <c r="E123" s="53"/>
      <c r="F123" s="53"/>
      <c r="G123" s="53"/>
      <c r="H123" s="53"/>
      <c r="I123" s="53"/>
    </row>
    <row r="124" spans="1:9">
      <c r="A124" s="53"/>
      <c r="B124" s="53"/>
      <c r="C124" s="53"/>
      <c r="D124" s="53"/>
      <c r="E124" s="53"/>
      <c r="F124" s="53"/>
      <c r="G124" s="53"/>
      <c r="H124" s="53"/>
      <c r="I124" s="53"/>
    </row>
    <row r="125" spans="1:9">
      <c r="A125" s="53"/>
      <c r="B125" s="53"/>
      <c r="C125" s="53"/>
      <c r="D125" s="53"/>
      <c r="E125" s="53"/>
      <c r="F125" s="53"/>
      <c r="G125" s="53"/>
      <c r="H125" s="53"/>
      <c r="I125" s="53"/>
    </row>
    <row r="126" spans="1:9">
      <c r="A126" s="53"/>
      <c r="B126" s="53"/>
      <c r="C126" s="53"/>
      <c r="D126" s="53"/>
      <c r="E126" s="53"/>
      <c r="F126" s="53"/>
      <c r="G126" s="53"/>
      <c r="H126" s="53"/>
      <c r="I126" s="53"/>
    </row>
    <row r="127" spans="1:9">
      <c r="A127" s="53"/>
      <c r="B127" s="53"/>
      <c r="C127" s="53"/>
      <c r="D127" s="53"/>
      <c r="E127" s="53"/>
      <c r="F127" s="53"/>
      <c r="G127" s="53"/>
      <c r="H127" s="53"/>
      <c r="I127" s="53"/>
    </row>
    <row r="128" spans="1:9">
      <c r="A128" s="53"/>
      <c r="B128" s="53"/>
      <c r="C128" s="53"/>
      <c r="D128" s="53"/>
      <c r="E128" s="53"/>
      <c r="F128" s="53"/>
      <c r="G128" s="53"/>
      <c r="H128" s="53"/>
      <c r="I128" s="53"/>
    </row>
    <row r="129" spans="1:9">
      <c r="A129" s="53"/>
      <c r="B129" s="53"/>
      <c r="C129" s="53"/>
      <c r="D129" s="53"/>
      <c r="E129" s="53"/>
      <c r="F129" s="53"/>
      <c r="G129" s="53"/>
      <c r="H129" s="53"/>
      <c r="I129" s="53"/>
    </row>
    <row r="130" spans="1:9">
      <c r="A130" s="77"/>
      <c r="B130" s="77"/>
      <c r="C130" s="77"/>
      <c r="D130" s="77"/>
      <c r="E130" s="77"/>
      <c r="F130" s="77"/>
      <c r="G130" s="77"/>
      <c r="H130" s="77"/>
      <c r="I130" s="77"/>
    </row>
    <row r="131" spans="1:9">
      <c r="A131" s="77"/>
      <c r="B131" s="77"/>
      <c r="C131" s="77"/>
      <c r="D131" s="77"/>
      <c r="E131" s="77"/>
      <c r="F131" s="77"/>
      <c r="G131" s="77"/>
      <c r="H131" s="77"/>
      <c r="I131" s="77"/>
    </row>
    <row r="132" spans="1:9">
      <c r="A132" s="77"/>
      <c r="B132" s="77"/>
      <c r="C132" s="77"/>
      <c r="D132" s="77"/>
      <c r="E132" s="77"/>
      <c r="F132" s="77"/>
      <c r="G132" s="77"/>
      <c r="H132" s="77"/>
      <c r="I132" s="77"/>
    </row>
    <row r="133" spans="1:9">
      <c r="A133" s="72"/>
      <c r="B133" s="72"/>
      <c r="C133" s="72"/>
      <c r="D133" s="72"/>
      <c r="E133" s="72"/>
      <c r="F133" s="72"/>
      <c r="G133" s="72"/>
      <c r="H133" s="53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>
      <c r="A141" s="72"/>
      <c r="B141" s="72"/>
      <c r="C141" s="72"/>
      <c r="D141" s="72"/>
      <c r="E141" s="72"/>
      <c r="F141" s="72"/>
      <c r="G141" s="72"/>
      <c r="H141" s="72"/>
      <c r="I141" s="72"/>
    </row>
    <row r="142" spans="1:9">
      <c r="A142" s="72"/>
      <c r="B142" s="72"/>
      <c r="C142" s="72"/>
      <c r="D142" s="72"/>
      <c r="E142" s="72"/>
      <c r="F142" s="72"/>
      <c r="G142" s="72"/>
      <c r="H142" s="72"/>
      <c r="I142" s="72"/>
    </row>
    <row r="143" spans="1:9">
      <c r="A143" s="70"/>
      <c r="B143" s="71"/>
      <c r="C143" s="71"/>
      <c r="D143" s="71"/>
      <c r="E143" s="71"/>
      <c r="F143" s="71"/>
      <c r="G143" s="71"/>
      <c r="H143" s="71"/>
      <c r="I143" s="71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3"/>
      <c r="B148" s="73"/>
      <c r="C148" s="73"/>
      <c r="D148" s="73"/>
      <c r="E148" s="73"/>
      <c r="F148" s="73"/>
      <c r="G148" s="73"/>
      <c r="H148" s="73"/>
      <c r="I148" s="73"/>
    </row>
    <row r="149" spans="1:9">
      <c r="A149" s="74"/>
      <c r="B149" s="75"/>
      <c r="C149" s="75"/>
      <c r="D149" s="75"/>
      <c r="E149" s="75"/>
      <c r="F149" s="75"/>
      <c r="G149" s="75"/>
      <c r="H149" s="75"/>
      <c r="I149" s="75"/>
    </row>
    <row r="150" spans="1:9">
      <c r="A150" s="76"/>
      <c r="B150" s="75"/>
      <c r="C150" s="75"/>
      <c r="D150" s="75"/>
      <c r="E150" s="75"/>
      <c r="F150" s="75"/>
      <c r="G150" s="75"/>
      <c r="H150" s="75"/>
      <c r="I150" s="75"/>
    </row>
    <row r="151" spans="1:9">
      <c r="A151" s="76"/>
      <c r="B151" s="76"/>
      <c r="C151" s="76"/>
      <c r="D151" s="76"/>
      <c r="E151" s="76"/>
      <c r="F151" s="76"/>
      <c r="G151" s="76"/>
      <c r="H151" s="76"/>
      <c r="I151" s="76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1"/>
      <c r="B153" s="71"/>
      <c r="C153" s="71"/>
      <c r="D153" s="71"/>
      <c r="E153" s="71"/>
      <c r="F153" s="71"/>
      <c r="G153" s="71"/>
      <c r="H153" s="71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>
      <c r="A159" s="71"/>
      <c r="B159" s="71"/>
      <c r="C159" s="71"/>
      <c r="D159" s="71"/>
      <c r="E159" s="71"/>
      <c r="F159" s="71"/>
      <c r="G159" s="71"/>
      <c r="H159" s="71"/>
      <c r="I159" s="71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53"/>
      <c r="B161" s="53"/>
      <c r="C161" s="53"/>
      <c r="D161" s="53"/>
      <c r="E161" s="53"/>
      <c r="F161" s="53"/>
      <c r="G161" s="53"/>
      <c r="H161" s="53"/>
      <c r="I161" s="53"/>
    </row>
    <row r="162" spans="1:9">
      <c r="A162" s="53"/>
      <c r="B162" s="53"/>
      <c r="C162" s="53"/>
      <c r="D162" s="53"/>
      <c r="E162" s="53"/>
      <c r="F162" s="53"/>
      <c r="G162" s="53"/>
      <c r="H162" s="53"/>
      <c r="I162" s="53"/>
    </row>
    <row r="163" spans="1:9">
      <c r="A163" s="53"/>
      <c r="B163" s="53"/>
      <c r="C163" s="53"/>
      <c r="D163" s="53"/>
      <c r="E163" s="53"/>
      <c r="F163" s="53"/>
      <c r="G163" s="53"/>
      <c r="H163" s="53"/>
      <c r="I163" s="53"/>
    </row>
    <row r="164" spans="1:9">
      <c r="A164" s="77"/>
      <c r="B164" s="77"/>
      <c r="C164" s="77"/>
      <c r="D164" s="77"/>
      <c r="E164" s="77"/>
      <c r="F164" s="77"/>
      <c r="G164" s="77"/>
      <c r="H164" s="77"/>
      <c r="I164" s="77"/>
    </row>
    <row r="165" spans="1:9">
      <c r="A165" s="77"/>
      <c r="B165" s="77"/>
      <c r="C165" s="77"/>
      <c r="D165" s="77"/>
      <c r="E165" s="77"/>
      <c r="F165" s="77"/>
      <c r="G165" s="77"/>
      <c r="H165" s="77"/>
      <c r="I165" s="77"/>
    </row>
    <row r="166" spans="1:9">
      <c r="A166" s="77"/>
      <c r="B166" s="77"/>
      <c r="C166" s="77"/>
      <c r="D166" s="77"/>
      <c r="E166" s="77"/>
      <c r="F166" s="77"/>
      <c r="G166" s="77"/>
      <c r="H166" s="77"/>
      <c r="I166" s="77"/>
    </row>
    <row r="167" spans="1:9">
      <c r="A167" s="72"/>
      <c r="B167" s="72"/>
      <c r="C167" s="72"/>
      <c r="D167" s="72"/>
      <c r="E167" s="72"/>
      <c r="F167" s="72"/>
      <c r="G167" s="72"/>
      <c r="H167" s="53"/>
      <c r="I167" s="72"/>
    </row>
    <row r="168" spans="1:9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0"/>
      <c r="B177" s="71"/>
      <c r="C177" s="71"/>
      <c r="D177" s="71"/>
      <c r="E177" s="71"/>
      <c r="F177" s="71"/>
      <c r="G177" s="71"/>
      <c r="H177" s="71"/>
      <c r="I177" s="71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3"/>
      <c r="B182" s="73"/>
      <c r="C182" s="73"/>
      <c r="D182" s="73"/>
      <c r="E182" s="73"/>
      <c r="F182" s="73"/>
      <c r="G182" s="73"/>
      <c r="H182" s="73"/>
      <c r="I182" s="73"/>
    </row>
    <row r="183" spans="1:9">
      <c r="A183" s="74"/>
      <c r="B183" s="75"/>
      <c r="C183" s="75"/>
      <c r="D183" s="75"/>
      <c r="E183" s="75"/>
      <c r="F183" s="75"/>
      <c r="G183" s="75"/>
      <c r="H183" s="75"/>
      <c r="I183" s="75"/>
    </row>
    <row r="184" spans="1:9">
      <c r="A184" s="76"/>
      <c r="B184" s="75"/>
      <c r="C184" s="75"/>
      <c r="D184" s="75"/>
      <c r="E184" s="75"/>
      <c r="F184" s="75"/>
      <c r="G184" s="75"/>
      <c r="H184" s="75"/>
      <c r="I184" s="75"/>
    </row>
    <row r="185" spans="1:9">
      <c r="A185" s="76"/>
      <c r="B185" s="76"/>
      <c r="C185" s="76"/>
      <c r="D185" s="76"/>
      <c r="E185" s="76"/>
      <c r="F185" s="76"/>
      <c r="G185" s="76"/>
      <c r="H185" s="76"/>
      <c r="I185" s="76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 ht="21" customHeight="1">
      <c r="A187" s="71"/>
      <c r="B187" s="71"/>
      <c r="C187" s="71"/>
      <c r="D187" s="71"/>
      <c r="E187" s="71"/>
      <c r="F187" s="71"/>
      <c r="G187" s="71"/>
      <c r="H187" s="71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2"/>
      <c r="B192" s="72"/>
      <c r="C192" s="72"/>
      <c r="D192" s="72"/>
      <c r="E192" s="72"/>
      <c r="F192" s="72"/>
      <c r="G192" s="72"/>
      <c r="H192" s="72"/>
      <c r="I192" s="72"/>
    </row>
    <row r="193" spans="1:9">
      <c r="A193" s="71"/>
      <c r="B193" s="71"/>
      <c r="C193" s="71"/>
      <c r="D193" s="71"/>
      <c r="E193" s="71"/>
      <c r="F193" s="71"/>
      <c r="G193" s="71"/>
      <c r="H193" s="71"/>
      <c r="I193" s="71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>
      <c r="A196" s="53"/>
      <c r="B196" s="53"/>
      <c r="C196" s="53"/>
      <c r="D196" s="53"/>
      <c r="E196" s="53"/>
      <c r="F196" s="53"/>
      <c r="G196" s="53"/>
      <c r="H196" s="53"/>
      <c r="I196" s="76"/>
    </row>
    <row r="197" spans="1:9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</sheetData>
  <mergeCells count="6">
    <mergeCell ref="A19:F19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M210"/>
  <sheetViews>
    <sheetView view="pageLayout" topLeftCell="A4" zoomScale="85" zoomScaleNormal="110" zoomScalePageLayoutView="85" workbookViewId="0">
      <selection activeCell="I10" sqref="I10:I13"/>
    </sheetView>
  </sheetViews>
  <sheetFormatPr defaultRowHeight="12.75"/>
  <cols>
    <col min="1" max="1" width="4" customWidth="1"/>
    <col min="2" max="2" width="13" customWidth="1"/>
    <col min="3" max="3" width="19.85546875" bestFit="1" customWidth="1"/>
    <col min="4" max="4" width="14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7.7109375" bestFit="1" customWidth="1"/>
    <col min="12" max="12" width="11.28515625" style="1" bestFit="1" customWidth="1"/>
  </cols>
  <sheetData>
    <row r="1" spans="1:13" s="1" customFormat="1" ht="15.75">
      <c r="A1"/>
      <c r="B1" s="5" t="s">
        <v>75</v>
      </c>
      <c r="C1" s="2"/>
      <c r="D1" s="31"/>
      <c r="E1" s="2"/>
      <c r="F1" s="2"/>
      <c r="G1" s="2"/>
      <c r="H1" s="2"/>
      <c r="I1" s="2"/>
      <c r="J1" s="2"/>
      <c r="K1" s="2"/>
    </row>
    <row r="2" spans="1:13" s="1" customFormat="1" ht="17.25">
      <c r="A2"/>
      <c r="B2" s="161" t="s">
        <v>14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1:13" s="1" customFormat="1" ht="15">
      <c r="A3"/>
      <c r="B3" s="33" t="s">
        <v>15</v>
      </c>
      <c r="C3" s="34" t="s">
        <v>16</v>
      </c>
      <c r="D3" s="52">
        <f ca="1">NOW()</f>
        <v>41940.317036458335</v>
      </c>
      <c r="E3" s="35"/>
      <c r="F3" s="35"/>
      <c r="G3" s="35"/>
      <c r="H3" s="35"/>
      <c r="I3" s="35"/>
      <c r="J3" s="35"/>
      <c r="K3" s="35"/>
    </row>
    <row r="4" spans="1:13" s="1" customFormat="1" ht="15">
      <c r="A4"/>
      <c r="B4" s="33" t="s">
        <v>17</v>
      </c>
      <c r="C4" s="34" t="s">
        <v>16</v>
      </c>
      <c r="D4" s="36">
        <v>41883</v>
      </c>
      <c r="E4" s="35"/>
      <c r="F4" s="35"/>
      <c r="G4" s="35"/>
      <c r="H4" s="35"/>
      <c r="I4" s="35"/>
      <c r="J4" s="35"/>
      <c r="K4" s="35"/>
    </row>
    <row r="5" spans="1:13" s="1" customFormat="1" ht="15">
      <c r="A5"/>
      <c r="B5" s="33" t="s">
        <v>18</v>
      </c>
      <c r="C5" s="34" t="s">
        <v>16</v>
      </c>
      <c r="D5" s="33" t="s">
        <v>76</v>
      </c>
      <c r="E5" s="35"/>
      <c r="F5" s="35"/>
      <c r="G5" s="35"/>
      <c r="H5" s="35"/>
      <c r="I5" s="35"/>
      <c r="J5" s="35"/>
      <c r="K5" s="35"/>
    </row>
    <row r="6" spans="1:13" s="1" customFormat="1" ht="15">
      <c r="A6"/>
      <c r="B6" s="33" t="s">
        <v>19</v>
      </c>
      <c r="C6" s="34" t="s">
        <v>16</v>
      </c>
      <c r="D6" s="33" t="s">
        <v>72</v>
      </c>
      <c r="E6" s="35"/>
      <c r="F6" s="35"/>
      <c r="G6" s="35"/>
      <c r="H6" s="35"/>
      <c r="I6" s="35"/>
      <c r="J6" s="35"/>
      <c r="K6" s="35"/>
    </row>
    <row r="7" spans="1:13" s="1" customFormat="1" ht="15">
      <c r="A7"/>
      <c r="B7" s="33" t="s">
        <v>20</v>
      </c>
      <c r="C7" s="34" t="s">
        <v>16</v>
      </c>
      <c r="D7" s="37"/>
      <c r="E7" s="35"/>
      <c r="F7" s="35"/>
      <c r="G7" s="35"/>
      <c r="H7" s="35"/>
      <c r="I7" s="35"/>
      <c r="J7" s="35"/>
      <c r="K7" s="35"/>
    </row>
    <row r="8" spans="1:13" s="1" customFormat="1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63" t="s">
        <v>26</v>
      </c>
      <c r="K8" s="163"/>
    </row>
    <row r="9" spans="1:13" s="1" customFormat="1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3" s="1" customFormat="1" ht="9.75" customHeight="1">
      <c r="A10"/>
      <c r="B10" s="124">
        <v>41896</v>
      </c>
      <c r="C10" s="125" t="s">
        <v>115</v>
      </c>
      <c r="D10" s="133">
        <v>32.44</v>
      </c>
      <c r="E10" s="137">
        <v>0.21941280952878489</v>
      </c>
      <c r="F10" s="135">
        <v>28650</v>
      </c>
      <c r="G10" s="80"/>
      <c r="H10" s="136">
        <v>3923</v>
      </c>
      <c r="I10" s="125" t="s">
        <v>128</v>
      </c>
      <c r="J10" s="87">
        <v>2820420.6</v>
      </c>
      <c r="K10" s="87">
        <f>J10*M10</f>
        <v>437851068.00954551</v>
      </c>
      <c r="L10" s="97"/>
      <c r="M10" s="1">
        <v>155.24318181818182</v>
      </c>
    </row>
    <row r="11" spans="1:13" s="1" customFormat="1" ht="9.75" customHeight="1">
      <c r="A11"/>
      <c r="B11" s="124">
        <v>41896</v>
      </c>
      <c r="C11" s="125" t="s">
        <v>115</v>
      </c>
      <c r="D11" s="133">
        <v>32.44</v>
      </c>
      <c r="E11" s="137">
        <v>0.22012239123146943</v>
      </c>
      <c r="F11" s="135">
        <v>878028</v>
      </c>
      <c r="G11" s="80"/>
      <c r="H11" s="136">
        <v>120222</v>
      </c>
      <c r="I11" s="125" t="s">
        <v>128</v>
      </c>
      <c r="J11" s="87">
        <v>86436588.431999996</v>
      </c>
      <c r="K11" s="87">
        <f>J11*M10</f>
        <v>13418691013.692327</v>
      </c>
      <c r="L11" s="97"/>
    </row>
    <row r="12" spans="1:13" s="1" customFormat="1" ht="9.75" customHeight="1">
      <c r="A12"/>
      <c r="B12" s="124">
        <v>41899</v>
      </c>
      <c r="C12" s="125" t="s">
        <v>126</v>
      </c>
      <c r="D12" s="133">
        <v>32.69</v>
      </c>
      <c r="E12" s="137">
        <v>0.35113409496671155</v>
      </c>
      <c r="F12" s="135">
        <v>906430</v>
      </c>
      <c r="G12" s="80"/>
      <c r="H12" s="136">
        <v>123919</v>
      </c>
      <c r="I12" s="125" t="s">
        <v>129</v>
      </c>
      <c r="J12" s="87">
        <v>89232594.920000002</v>
      </c>
      <c r="K12" s="87">
        <f>J12*M10</f>
        <v>13852751957.273727</v>
      </c>
      <c r="L12" s="97"/>
    </row>
    <row r="13" spans="1:13" s="1" customFormat="1" ht="9.75" customHeight="1">
      <c r="A13"/>
      <c r="B13" s="124">
        <v>41903</v>
      </c>
      <c r="C13" s="125" t="s">
        <v>127</v>
      </c>
      <c r="D13" s="133">
        <v>32.06</v>
      </c>
      <c r="E13" s="140">
        <v>0.23077557982777119</v>
      </c>
      <c r="F13" s="135">
        <v>906578</v>
      </c>
      <c r="G13" s="80"/>
      <c r="H13" s="136">
        <v>124405</v>
      </c>
      <c r="I13" s="125" t="s">
        <v>124</v>
      </c>
      <c r="J13" s="87">
        <v>89247164.631999999</v>
      </c>
      <c r="K13" s="87">
        <f>J13*M10</f>
        <v>13855013805.722782</v>
      </c>
      <c r="L13" s="97"/>
    </row>
    <row r="14" spans="1:13" s="1" customFormat="1" ht="9.7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  <c r="M14" s="97">
        <v>155.249</v>
      </c>
    </row>
    <row r="15" spans="1:13" s="1" customFormat="1" ht="9.7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  <c r="M15" s="97"/>
    </row>
    <row r="16" spans="1:13" s="1" customFormat="1" ht="9.75" customHeight="1">
      <c r="A16"/>
      <c r="B16" s="79"/>
      <c r="C16" s="78"/>
      <c r="D16" s="94"/>
      <c r="E16" s="95"/>
      <c r="F16" s="96"/>
      <c r="G16" s="80"/>
      <c r="H16" s="90"/>
      <c r="I16" s="78"/>
      <c r="J16" s="87"/>
      <c r="K16" s="87"/>
      <c r="L16" s="97"/>
      <c r="M16" s="97"/>
    </row>
    <row r="17" spans="1:13" s="1" customFormat="1" ht="9.75" customHeight="1">
      <c r="A17"/>
      <c r="B17" s="79"/>
      <c r="C17" s="78"/>
      <c r="D17" s="94"/>
      <c r="E17" s="95"/>
      <c r="F17" s="96"/>
      <c r="G17" s="80"/>
      <c r="H17" s="90"/>
      <c r="I17" s="78"/>
      <c r="J17" s="87"/>
      <c r="K17" s="87"/>
      <c r="L17" s="97"/>
      <c r="M17" s="97"/>
    </row>
    <row r="18" spans="1:13" ht="9.75" customHeight="1">
      <c r="B18" s="79"/>
      <c r="C18" s="78"/>
      <c r="D18" s="94"/>
      <c r="E18" s="95"/>
      <c r="F18" s="96"/>
      <c r="G18" s="80"/>
      <c r="H18" s="90"/>
      <c r="I18" s="78"/>
      <c r="J18" s="87"/>
      <c r="K18" s="87"/>
      <c r="L18" s="97"/>
    </row>
    <row r="19" spans="1:13" ht="9.75" customHeight="1">
      <c r="B19" s="79"/>
      <c r="C19" s="78"/>
      <c r="D19" s="94"/>
      <c r="E19" s="95"/>
      <c r="F19" s="96"/>
      <c r="G19" s="80"/>
      <c r="H19" s="90"/>
      <c r="I19" s="78"/>
      <c r="J19" s="87"/>
      <c r="K19" s="87"/>
      <c r="L19" s="97"/>
    </row>
    <row r="20" spans="1:13" ht="9.75" customHeight="1">
      <c r="B20" s="79"/>
      <c r="C20" s="78"/>
      <c r="D20" s="94"/>
      <c r="E20" s="95"/>
      <c r="F20" s="96"/>
      <c r="G20" s="80"/>
      <c r="H20" s="90"/>
      <c r="I20" s="78"/>
      <c r="J20" s="87"/>
      <c r="K20" s="87"/>
      <c r="L20" s="97"/>
    </row>
    <row r="21" spans="1:13" s="1" customForma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99">
        <f>SUM(J10:J20)</f>
        <v>267736768.58399999</v>
      </c>
      <c r="K21" s="99">
        <f>SUM(K10:K20)</f>
        <v>41564307844.69838</v>
      </c>
    </row>
    <row r="22" spans="1:13" ht="15">
      <c r="B22" s="19"/>
      <c r="C22" s="19"/>
      <c r="D22" s="19"/>
      <c r="E22" s="19"/>
      <c r="F22" s="19"/>
      <c r="G22" s="19"/>
    </row>
    <row r="23" spans="1:13" ht="15">
      <c r="B23" s="19"/>
      <c r="C23" s="19"/>
      <c r="D23" s="19"/>
      <c r="E23" s="19"/>
      <c r="F23" s="19"/>
      <c r="G23" s="19"/>
    </row>
    <row r="24" spans="1:13" ht="15">
      <c r="B24" s="19"/>
      <c r="C24" s="19"/>
      <c r="D24" s="19"/>
      <c r="E24" s="19"/>
      <c r="F24" s="19"/>
      <c r="G24" s="19"/>
    </row>
    <row r="25" spans="1:13" ht="15">
      <c r="B25" s="19"/>
      <c r="C25" s="19"/>
      <c r="D25" s="19"/>
      <c r="E25" s="19"/>
      <c r="F25" s="19"/>
      <c r="G25" s="19"/>
    </row>
    <row r="26" spans="1:13" ht="15">
      <c r="B26" s="19"/>
      <c r="C26" s="19"/>
      <c r="D26" s="19"/>
      <c r="E26" s="19"/>
      <c r="F26" s="19"/>
      <c r="G26" s="19"/>
    </row>
    <row r="27" spans="1:13" ht="15">
      <c r="B27" s="19"/>
      <c r="C27" s="19"/>
      <c r="D27" s="19"/>
      <c r="E27" s="19"/>
      <c r="F27" s="19"/>
      <c r="G27" s="19"/>
    </row>
    <row r="28" spans="1:13" ht="15">
      <c r="B28" s="19"/>
      <c r="C28" s="19"/>
      <c r="D28" s="19"/>
      <c r="E28" s="19"/>
      <c r="F28" s="19"/>
      <c r="G28" s="19"/>
    </row>
    <row r="29" spans="1:13" ht="15">
      <c r="B29" s="19"/>
      <c r="C29" s="19"/>
      <c r="D29" s="19"/>
      <c r="E29" s="19"/>
      <c r="F29" s="19"/>
      <c r="G29" s="19"/>
    </row>
    <row r="30" spans="1:13" ht="15">
      <c r="B30" s="19"/>
      <c r="C30" s="19"/>
      <c r="D30" s="19"/>
      <c r="E30" s="19"/>
      <c r="F30" s="19"/>
      <c r="G30" s="19"/>
    </row>
    <row r="31" spans="1:13" ht="15">
      <c r="B31" s="22"/>
      <c r="C31" s="7"/>
      <c r="D31" s="7"/>
      <c r="E31" s="7"/>
      <c r="F31" s="7"/>
      <c r="G31" s="7"/>
    </row>
    <row r="32" spans="1:13" ht="15">
      <c r="B32" s="19"/>
      <c r="C32" s="19"/>
      <c r="D32" s="19"/>
      <c r="E32" s="19"/>
      <c r="F32" s="19"/>
      <c r="G32" s="19"/>
    </row>
    <row r="33" spans="2:7" ht="15">
      <c r="B33" s="19"/>
      <c r="C33" s="19"/>
      <c r="D33" s="19"/>
      <c r="E33" s="19"/>
      <c r="F33" s="19"/>
      <c r="G33" s="19"/>
    </row>
    <row r="34" spans="2:7" ht="15">
      <c r="B34" s="19"/>
      <c r="C34" s="19"/>
      <c r="D34" s="19"/>
      <c r="E34" s="19"/>
      <c r="F34" s="19"/>
      <c r="G34" s="19"/>
    </row>
    <row r="35" spans="2:7" ht="15">
      <c r="B35" s="19"/>
      <c r="C35" s="19"/>
      <c r="D35" s="19"/>
      <c r="E35" s="19"/>
      <c r="F35" s="19"/>
      <c r="G35" s="19"/>
    </row>
    <row r="36" spans="2:7">
      <c r="B36" s="23"/>
      <c r="C36" s="23"/>
      <c r="D36" s="23"/>
      <c r="E36" s="23"/>
      <c r="F36" s="23"/>
      <c r="G36" s="23"/>
    </row>
    <row r="37" spans="2:7">
      <c r="B37" s="24"/>
      <c r="C37" s="25"/>
      <c r="D37" s="25"/>
      <c r="E37" s="25"/>
      <c r="F37" s="25"/>
      <c r="G37" s="25"/>
    </row>
    <row r="38" spans="2:7">
      <c r="B38" s="26"/>
      <c r="C38" s="25"/>
      <c r="D38" s="25"/>
      <c r="E38" s="25"/>
      <c r="F38" s="25"/>
      <c r="G38" s="25"/>
    </row>
    <row r="39" spans="2:7">
      <c r="B39" s="26"/>
      <c r="C39" s="26"/>
      <c r="D39" s="26"/>
      <c r="E39" s="26"/>
      <c r="F39" s="26"/>
      <c r="G39" s="26"/>
    </row>
    <row r="40" spans="2:7" ht="15">
      <c r="B40" s="19"/>
      <c r="C40" s="19"/>
      <c r="D40" s="19"/>
      <c r="E40" s="19"/>
      <c r="F40" s="19"/>
      <c r="G40" s="19"/>
    </row>
    <row r="41" spans="2:7" ht="15">
      <c r="B41" s="7"/>
      <c r="C41" s="7"/>
      <c r="D41" s="7"/>
      <c r="E41" s="7"/>
      <c r="F41" s="7"/>
      <c r="G41" s="19"/>
    </row>
    <row r="42" spans="2:7" ht="15">
      <c r="B42" s="19"/>
      <c r="C42" s="19"/>
      <c r="D42" s="19"/>
      <c r="E42" s="19"/>
      <c r="F42" s="19"/>
      <c r="G42" s="19"/>
    </row>
    <row r="43" spans="2:7" ht="15">
      <c r="B43" s="19"/>
      <c r="C43" s="19"/>
      <c r="D43" s="19"/>
      <c r="E43" s="19"/>
      <c r="F43" s="19"/>
      <c r="G43" s="19"/>
    </row>
    <row r="44" spans="2:7" ht="15">
      <c r="B44" s="19"/>
      <c r="C44" s="19"/>
      <c r="D44" s="19"/>
      <c r="E44" s="19"/>
      <c r="F44" s="19"/>
      <c r="G44" s="19"/>
    </row>
    <row r="45" spans="2:7" ht="15">
      <c r="B45" s="19"/>
      <c r="C45" s="19"/>
      <c r="D45" s="19"/>
      <c r="E45" s="19"/>
      <c r="F45" s="19"/>
      <c r="G45" s="19"/>
    </row>
    <row r="46" spans="2:7" ht="15">
      <c r="B46" s="19"/>
      <c r="C46" s="19"/>
      <c r="D46" s="19"/>
      <c r="E46" s="19"/>
      <c r="F46" s="19"/>
      <c r="G46" s="19"/>
    </row>
    <row r="47" spans="2:7" ht="15">
      <c r="B47" s="7"/>
      <c r="C47" s="7"/>
      <c r="D47" s="7"/>
      <c r="E47" s="7"/>
      <c r="F47" s="7"/>
      <c r="G47" s="7"/>
    </row>
    <row r="48" spans="2:7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5">
      <c r="B53" s="19"/>
      <c r="C53" s="19"/>
      <c r="D53" s="19"/>
      <c r="E53" s="19"/>
      <c r="F53" s="19"/>
      <c r="G53" s="19"/>
    </row>
    <row r="54" spans="2:7" ht="15">
      <c r="B54" s="19"/>
      <c r="C54" s="19"/>
      <c r="D54" s="19"/>
      <c r="E54" s="19"/>
      <c r="F54" s="19"/>
      <c r="G54" s="19"/>
    </row>
    <row r="55" spans="2:7" ht="15">
      <c r="B55" s="19"/>
      <c r="C55" s="19"/>
      <c r="D55" s="19"/>
      <c r="E55" s="19"/>
      <c r="F55" s="19"/>
      <c r="G55" s="19"/>
    </row>
    <row r="56" spans="2:7" ht="15">
      <c r="B56" s="19"/>
      <c r="C56" s="19"/>
      <c r="D56" s="19"/>
      <c r="E56" s="19"/>
      <c r="F56" s="19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4.25">
      <c r="B59" s="27"/>
      <c r="C59" s="27"/>
      <c r="D59" s="27"/>
      <c r="E59" s="27"/>
      <c r="F59" s="27"/>
      <c r="G59" s="27"/>
    </row>
    <row r="60" spans="2:7">
      <c r="B60" s="21"/>
      <c r="C60" s="21"/>
      <c r="D60" s="21"/>
      <c r="E60" s="21"/>
      <c r="F60" s="21"/>
      <c r="G60" s="21"/>
    </row>
    <row r="61" spans="2:7">
      <c r="B61" s="21"/>
      <c r="C61" s="21"/>
      <c r="D61" s="21"/>
      <c r="E61" s="21"/>
      <c r="F61" s="21"/>
      <c r="G61" s="21"/>
    </row>
    <row r="62" spans="2:7">
      <c r="B62" s="21"/>
      <c r="C62" s="21"/>
      <c r="D62" s="21"/>
      <c r="E62" s="21"/>
      <c r="F62" s="21"/>
      <c r="G62" s="21"/>
    </row>
    <row r="63" spans="2:7">
      <c r="B63" s="21"/>
      <c r="C63" s="21"/>
      <c r="D63" s="21"/>
      <c r="E63" s="21"/>
      <c r="F63" s="21"/>
      <c r="G63" s="21"/>
    </row>
    <row r="64" spans="2:7">
      <c r="B64" s="21"/>
      <c r="C64" s="21"/>
      <c r="D64" s="21"/>
      <c r="E64" s="21"/>
      <c r="F64" s="21"/>
      <c r="G64" s="21"/>
    </row>
    <row r="65" spans="2:7">
      <c r="B65" s="21"/>
      <c r="C65" s="21"/>
      <c r="D65" s="21"/>
      <c r="E65" s="21"/>
      <c r="F65" s="21"/>
      <c r="G65" s="21"/>
    </row>
    <row r="66" spans="2:7">
      <c r="B66" s="21"/>
      <c r="C66" s="21"/>
      <c r="D66" s="21"/>
      <c r="E66" s="21"/>
      <c r="F66" s="21"/>
      <c r="G66" s="21"/>
    </row>
    <row r="67" spans="2:7" ht="15.75">
      <c r="B67" s="18"/>
      <c r="C67" s="18"/>
      <c r="D67" s="18"/>
      <c r="E67" s="18"/>
      <c r="F67" s="18"/>
      <c r="G67" s="18"/>
    </row>
    <row r="68" spans="2:7" ht="15.75">
      <c r="B68" s="18"/>
      <c r="C68" s="18"/>
      <c r="D68" s="18"/>
      <c r="E68" s="18"/>
      <c r="F68" s="18"/>
      <c r="G68" s="18"/>
    </row>
    <row r="69" spans="2:7" ht="15.75">
      <c r="B69" s="18"/>
      <c r="C69" s="18"/>
      <c r="D69" s="18"/>
      <c r="E69" s="18"/>
      <c r="F69" s="18"/>
      <c r="G69" s="18"/>
    </row>
    <row r="70" spans="2:7" ht="15">
      <c r="B70" s="19"/>
      <c r="C70" s="19"/>
      <c r="D70" s="19"/>
      <c r="E70" s="19"/>
      <c r="F70" s="20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19"/>
      <c r="C74" s="19"/>
      <c r="D74" s="19"/>
      <c r="E74" s="19"/>
      <c r="F74" s="19"/>
      <c r="G74" s="19"/>
    </row>
    <row r="75" spans="2:7" ht="15">
      <c r="B75" s="19"/>
      <c r="C75" s="19"/>
      <c r="D75" s="19"/>
      <c r="E75" s="19"/>
      <c r="F75" s="19"/>
      <c r="G75" s="19"/>
    </row>
    <row r="76" spans="2:7" ht="15">
      <c r="B76" s="19"/>
      <c r="C76" s="19"/>
      <c r="D76" s="19"/>
      <c r="E76" s="19"/>
      <c r="F76" s="19"/>
      <c r="G76" s="19"/>
    </row>
    <row r="77" spans="2:7" ht="15">
      <c r="B77" s="19"/>
      <c r="C77" s="19"/>
      <c r="D77" s="19"/>
      <c r="E77" s="19"/>
      <c r="F77" s="19"/>
      <c r="G77" s="19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 ht="15">
      <c r="B80" s="22"/>
      <c r="C80" s="7"/>
      <c r="D80" s="7"/>
      <c r="E80" s="7"/>
      <c r="F80" s="7"/>
      <c r="G80" s="7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>
      <c r="B85" s="23"/>
      <c r="C85" s="23"/>
      <c r="D85" s="23"/>
      <c r="E85" s="23"/>
      <c r="F85" s="23"/>
      <c r="G85" s="23"/>
    </row>
    <row r="86" spans="2:7">
      <c r="B86" s="24"/>
      <c r="C86" s="25"/>
      <c r="D86" s="25"/>
      <c r="E86" s="25"/>
      <c r="F86" s="25"/>
      <c r="G86" s="25"/>
    </row>
    <row r="87" spans="2:7">
      <c r="B87" s="26"/>
      <c r="C87" s="25"/>
      <c r="D87" s="25"/>
      <c r="E87" s="25"/>
      <c r="F87" s="25"/>
      <c r="G87" s="25"/>
    </row>
    <row r="88" spans="2:7">
      <c r="B88" s="26"/>
      <c r="C88" s="26"/>
      <c r="D88" s="26"/>
      <c r="E88" s="26"/>
      <c r="F88" s="26"/>
      <c r="G88" s="26"/>
    </row>
    <row r="89" spans="2:7" ht="15">
      <c r="B89" s="19"/>
      <c r="C89" s="19"/>
      <c r="D89" s="19"/>
      <c r="E89" s="19"/>
      <c r="F89" s="19"/>
      <c r="G89" s="19"/>
    </row>
    <row r="90" spans="2:7" ht="15">
      <c r="B90" s="7"/>
      <c r="C90" s="7"/>
      <c r="D90" s="7"/>
      <c r="E90" s="7"/>
      <c r="F90" s="7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19"/>
      <c r="C95" s="19"/>
      <c r="D95" s="19"/>
      <c r="E95" s="19"/>
      <c r="F95" s="19"/>
      <c r="G95" s="19"/>
    </row>
    <row r="96" spans="2:7" ht="15">
      <c r="B96" s="7"/>
      <c r="C96" s="7"/>
      <c r="D96" s="7"/>
      <c r="E96" s="7"/>
      <c r="F96" s="7"/>
      <c r="G96" s="7"/>
    </row>
    <row r="97" spans="2:7" ht="15">
      <c r="B97" s="19"/>
      <c r="C97" s="19"/>
      <c r="D97" s="19"/>
      <c r="E97" s="19"/>
      <c r="F97" s="19"/>
      <c r="G97" s="19"/>
    </row>
    <row r="98" spans="2:7" ht="14.25">
      <c r="B98" s="27"/>
      <c r="C98" s="27"/>
      <c r="D98" s="27"/>
      <c r="E98" s="27"/>
      <c r="F98" s="27"/>
      <c r="G98" s="27"/>
    </row>
    <row r="99" spans="2:7">
      <c r="B99" s="21"/>
      <c r="C99" s="21"/>
      <c r="D99" s="21"/>
      <c r="E99" s="21"/>
      <c r="F99" s="21"/>
      <c r="G99" s="21"/>
    </row>
    <row r="100" spans="2:7">
      <c r="B100" s="21"/>
      <c r="C100" s="21"/>
      <c r="D100" s="21"/>
      <c r="E100" s="21"/>
      <c r="F100" s="21"/>
      <c r="G100" s="21"/>
    </row>
    <row r="101" spans="2:7">
      <c r="B101" s="21"/>
      <c r="C101" s="21"/>
      <c r="D101" s="21"/>
      <c r="E101" s="21"/>
      <c r="F101" s="21"/>
      <c r="G101" s="21"/>
    </row>
    <row r="102" spans="2:7">
      <c r="B102" s="21"/>
      <c r="C102" s="21"/>
      <c r="D102" s="21"/>
      <c r="E102" s="21"/>
      <c r="F102" s="21"/>
      <c r="G102" s="21"/>
    </row>
    <row r="103" spans="2:7">
      <c r="B103" s="21"/>
      <c r="C103" s="21"/>
      <c r="D103" s="21"/>
      <c r="E103" s="21"/>
      <c r="F103" s="21"/>
      <c r="G103" s="21"/>
    </row>
    <row r="104" spans="2:7">
      <c r="B104" s="21"/>
      <c r="C104" s="21"/>
      <c r="D104" s="21"/>
      <c r="E104" s="21"/>
      <c r="F104" s="21"/>
      <c r="G104" s="21"/>
    </row>
    <row r="105" spans="2:7">
      <c r="B105" s="21"/>
      <c r="C105" s="21"/>
      <c r="D105" s="21"/>
      <c r="E105" s="21"/>
      <c r="F105" s="21"/>
      <c r="G105" s="21"/>
    </row>
    <row r="106" spans="2:7">
      <c r="B106" s="21"/>
      <c r="C106" s="21"/>
      <c r="D106" s="21"/>
      <c r="E106" s="21"/>
      <c r="F106" s="21"/>
      <c r="G106" s="21"/>
    </row>
    <row r="107" spans="2:7" ht="15.75">
      <c r="B107" s="18"/>
      <c r="C107" s="18"/>
      <c r="D107" s="18"/>
      <c r="E107" s="18"/>
      <c r="F107" s="18"/>
      <c r="G107" s="18"/>
    </row>
    <row r="108" spans="2:7" ht="15.75">
      <c r="B108" s="18"/>
      <c r="C108" s="18"/>
      <c r="D108" s="18"/>
      <c r="E108" s="18"/>
      <c r="F108" s="18"/>
      <c r="G108" s="18"/>
    </row>
    <row r="109" spans="2:7" ht="15.75">
      <c r="B109" s="18"/>
      <c r="C109" s="18"/>
      <c r="D109" s="18"/>
      <c r="E109" s="18"/>
      <c r="F109" s="18"/>
      <c r="G109" s="18"/>
    </row>
    <row r="110" spans="2:7" ht="15">
      <c r="B110" s="19"/>
      <c r="C110" s="19"/>
      <c r="D110" s="19"/>
      <c r="E110" s="19"/>
      <c r="F110" s="20"/>
      <c r="G110" s="19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19"/>
      <c r="C114" s="19"/>
      <c r="D114" s="19"/>
      <c r="E114" s="19"/>
      <c r="F114" s="19"/>
      <c r="G114" s="19"/>
    </row>
    <row r="115" spans="2:7" ht="15">
      <c r="B115" s="19"/>
      <c r="C115" s="19"/>
      <c r="D115" s="19"/>
      <c r="E115" s="19"/>
      <c r="F115" s="19"/>
      <c r="G115" s="19"/>
    </row>
    <row r="116" spans="2:7" ht="15">
      <c r="B116" s="19"/>
      <c r="C116" s="19"/>
      <c r="D116" s="19"/>
      <c r="E116" s="19"/>
      <c r="F116" s="19"/>
      <c r="G116" s="19"/>
    </row>
    <row r="117" spans="2:7" ht="15">
      <c r="B117" s="19"/>
      <c r="C117" s="19"/>
      <c r="D117" s="19"/>
      <c r="E117" s="19"/>
      <c r="F117" s="19"/>
      <c r="G117" s="19"/>
    </row>
    <row r="118" spans="2:7" ht="15">
      <c r="B118" s="19"/>
      <c r="C118" s="19"/>
      <c r="D118" s="19"/>
      <c r="E118" s="19"/>
      <c r="F118" s="19"/>
      <c r="G118" s="19"/>
    </row>
    <row r="119" spans="2:7" ht="15">
      <c r="B119" s="19"/>
      <c r="C119" s="19"/>
      <c r="D119" s="19"/>
      <c r="E119" s="19"/>
      <c r="F119" s="19"/>
      <c r="G119" s="19"/>
    </row>
    <row r="120" spans="2:7" ht="15">
      <c r="B120" s="22"/>
      <c r="C120" s="7"/>
      <c r="D120" s="7"/>
      <c r="E120" s="7"/>
      <c r="F120" s="7"/>
      <c r="G120" s="7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>
      <c r="B125" s="23"/>
      <c r="C125" s="23"/>
      <c r="D125" s="23"/>
      <c r="E125" s="23"/>
      <c r="F125" s="23"/>
      <c r="G125" s="23"/>
    </row>
    <row r="126" spans="2:7">
      <c r="B126" s="24"/>
      <c r="C126" s="25"/>
      <c r="D126" s="25"/>
      <c r="E126" s="25"/>
      <c r="F126" s="25"/>
      <c r="G126" s="25"/>
    </row>
    <row r="127" spans="2:7">
      <c r="B127" s="26"/>
      <c r="C127" s="25"/>
      <c r="D127" s="25"/>
      <c r="E127" s="25"/>
      <c r="F127" s="25"/>
      <c r="G127" s="25"/>
    </row>
    <row r="128" spans="2:7">
      <c r="B128" s="26"/>
      <c r="C128" s="26"/>
      <c r="D128" s="26"/>
      <c r="E128" s="26"/>
      <c r="F128" s="26"/>
      <c r="G128" s="26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7"/>
      <c r="C130" s="7"/>
      <c r="D130" s="7"/>
      <c r="E130" s="7"/>
      <c r="F130" s="7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19"/>
      <c r="C135" s="19"/>
      <c r="D135" s="19"/>
      <c r="E135" s="19"/>
      <c r="F135" s="19"/>
      <c r="G135" s="19"/>
    </row>
    <row r="136" spans="2:7" ht="15">
      <c r="B136" s="7"/>
      <c r="C136" s="7"/>
      <c r="D136" s="7"/>
      <c r="E136" s="7"/>
      <c r="F136" s="7"/>
      <c r="G136" s="7"/>
    </row>
    <row r="137" spans="2:7" ht="15">
      <c r="B137" s="19"/>
      <c r="C137" s="19"/>
      <c r="D137" s="19"/>
      <c r="E137" s="19"/>
      <c r="F137" s="19"/>
      <c r="G137" s="19"/>
    </row>
    <row r="138" spans="2:7" ht="14.25">
      <c r="B138" s="27"/>
      <c r="C138" s="27"/>
      <c r="D138" s="27"/>
      <c r="E138" s="27"/>
      <c r="F138" s="27"/>
      <c r="G138" s="27"/>
    </row>
    <row r="139" spans="2:7">
      <c r="B139" s="21"/>
      <c r="C139" s="21"/>
      <c r="D139" s="21"/>
      <c r="E139" s="21"/>
      <c r="F139" s="21"/>
      <c r="G139" s="21"/>
    </row>
    <row r="140" spans="2:7">
      <c r="B140" s="21"/>
      <c r="C140" s="21"/>
      <c r="D140" s="21"/>
      <c r="E140" s="21"/>
      <c r="F140" s="21"/>
      <c r="G140" s="21"/>
    </row>
    <row r="141" spans="2:7" ht="15.75">
      <c r="B141" s="18"/>
      <c r="C141" s="18"/>
      <c r="D141" s="18"/>
      <c r="E141" s="18"/>
      <c r="F141" s="18"/>
      <c r="G141" s="18"/>
    </row>
    <row r="142" spans="2:7" ht="15.75">
      <c r="B142" s="18"/>
      <c r="C142" s="18"/>
      <c r="D142" s="18"/>
      <c r="E142" s="18"/>
      <c r="F142" s="18"/>
      <c r="G142" s="18"/>
    </row>
    <row r="143" spans="2:7" ht="15.75">
      <c r="B143" s="18"/>
      <c r="C143" s="18"/>
      <c r="D143" s="18"/>
      <c r="E143" s="18"/>
      <c r="F143" s="18"/>
      <c r="G143" s="18"/>
    </row>
    <row r="144" spans="2:7" ht="15">
      <c r="B144" s="19"/>
      <c r="C144" s="19"/>
      <c r="D144" s="19"/>
      <c r="E144" s="19"/>
      <c r="F144" s="20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 ht="15">
      <c r="B154" s="22"/>
      <c r="C154" s="7"/>
      <c r="D154" s="7"/>
      <c r="E154" s="7"/>
      <c r="F154" s="7"/>
      <c r="G154" s="7"/>
    </row>
    <row r="155" spans="2:7" ht="15">
      <c r="B155" s="19"/>
      <c r="C155" s="19"/>
      <c r="D155" s="19"/>
      <c r="E155" s="19"/>
      <c r="F155" s="19"/>
      <c r="G155" s="19"/>
    </row>
    <row r="156" spans="2:7" ht="15">
      <c r="B156" s="19"/>
      <c r="C156" s="19"/>
      <c r="D156" s="19"/>
      <c r="E156" s="19"/>
      <c r="F156" s="19"/>
      <c r="G156" s="19"/>
    </row>
    <row r="157" spans="2:7" ht="15">
      <c r="B157" s="19"/>
      <c r="C157" s="19"/>
      <c r="D157" s="19"/>
      <c r="E157" s="19"/>
      <c r="F157" s="19"/>
      <c r="G157" s="19"/>
    </row>
    <row r="158" spans="2:7" ht="15">
      <c r="B158" s="19"/>
      <c r="C158" s="19"/>
      <c r="D158" s="19"/>
      <c r="E158" s="19"/>
      <c r="F158" s="19"/>
      <c r="G158" s="19"/>
    </row>
    <row r="159" spans="2:7">
      <c r="B159" s="23"/>
      <c r="C159" s="23"/>
      <c r="D159" s="23"/>
      <c r="E159" s="23"/>
      <c r="F159" s="23"/>
      <c r="G159" s="23"/>
    </row>
    <row r="160" spans="2:7">
      <c r="B160" s="24"/>
      <c r="C160" s="25"/>
      <c r="D160" s="25"/>
      <c r="E160" s="25"/>
      <c r="F160" s="25"/>
      <c r="G160" s="25"/>
    </row>
    <row r="161" spans="2:7">
      <c r="B161" s="26"/>
      <c r="C161" s="25"/>
      <c r="D161" s="25"/>
      <c r="E161" s="25"/>
      <c r="F161" s="25"/>
      <c r="G161" s="25"/>
    </row>
    <row r="162" spans="2:7">
      <c r="B162" s="26"/>
      <c r="C162" s="26"/>
      <c r="D162" s="26"/>
      <c r="E162" s="26"/>
      <c r="F162" s="26"/>
      <c r="G162" s="26"/>
    </row>
    <row r="163" spans="2:7" ht="15">
      <c r="B163" s="19"/>
      <c r="C163" s="19"/>
      <c r="D163" s="19"/>
      <c r="E163" s="19"/>
      <c r="F163" s="19"/>
      <c r="G163" s="19"/>
    </row>
    <row r="164" spans="2:7" ht="21" customHeight="1">
      <c r="B164" s="7"/>
      <c r="C164" s="7"/>
      <c r="D164" s="7"/>
      <c r="E164" s="7"/>
      <c r="F164" s="7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19"/>
      <c r="C169" s="19"/>
      <c r="D169" s="19"/>
      <c r="E169" s="19"/>
      <c r="F169" s="19"/>
      <c r="G169" s="19"/>
    </row>
    <row r="170" spans="2:7" ht="15">
      <c r="B170" s="7"/>
      <c r="C170" s="7"/>
      <c r="D170" s="7"/>
      <c r="E170" s="7"/>
      <c r="F170" s="7"/>
      <c r="G170" s="7"/>
    </row>
    <row r="171" spans="2:7" ht="15">
      <c r="B171" s="19"/>
      <c r="C171" s="19"/>
      <c r="D171" s="19"/>
      <c r="E171" s="19"/>
      <c r="F171" s="19"/>
      <c r="G171" s="19"/>
    </row>
    <row r="172" spans="2:7" ht="14.25">
      <c r="B172" s="27"/>
      <c r="C172" s="27"/>
      <c r="D172" s="27"/>
      <c r="E172" s="27"/>
      <c r="F172" s="27"/>
      <c r="G172" s="27"/>
    </row>
    <row r="173" spans="2:7" ht="14.25">
      <c r="B173" s="27"/>
      <c r="C173" s="27"/>
      <c r="D173" s="27"/>
      <c r="E173" s="27"/>
      <c r="F173" s="27"/>
      <c r="G173" s="26"/>
    </row>
    <row r="174" spans="2:7" ht="14.25">
      <c r="B174" s="27"/>
      <c r="C174" s="27"/>
      <c r="D174" s="27"/>
      <c r="E174" s="27"/>
      <c r="F174" s="27"/>
      <c r="G174" s="27"/>
    </row>
    <row r="175" spans="2:7">
      <c r="B175" s="21"/>
      <c r="C175" s="21"/>
      <c r="D175" s="21"/>
      <c r="E175" s="21"/>
      <c r="F175" s="21"/>
      <c r="G175" s="21"/>
    </row>
    <row r="176" spans="2:7">
      <c r="B176" s="21"/>
      <c r="C176" s="21"/>
      <c r="D176" s="21"/>
      <c r="E176" s="21"/>
      <c r="F176" s="21"/>
      <c r="G176" s="21"/>
    </row>
    <row r="177" spans="2:7">
      <c r="B177" s="21"/>
      <c r="C177" s="21"/>
      <c r="D177" s="21"/>
      <c r="E177" s="21"/>
      <c r="F177" s="21"/>
      <c r="G177" s="21"/>
    </row>
    <row r="178" spans="2:7">
      <c r="B178" s="21"/>
      <c r="C178" s="21"/>
      <c r="D178" s="21"/>
      <c r="E178" s="21"/>
      <c r="F178" s="21"/>
      <c r="G178" s="21"/>
    </row>
    <row r="179" spans="2:7">
      <c r="B179" s="21"/>
      <c r="C179" s="21"/>
      <c r="D179" s="21"/>
      <c r="E179" s="21"/>
      <c r="F179" s="21"/>
      <c r="G179" s="21"/>
    </row>
    <row r="180" spans="2:7">
      <c r="B180" s="21"/>
      <c r="C180" s="21"/>
      <c r="D180" s="21"/>
      <c r="E180" s="21"/>
      <c r="F180" s="21"/>
      <c r="G180" s="21"/>
    </row>
    <row r="181" spans="2:7">
      <c r="B181" s="21"/>
      <c r="C181" s="21"/>
      <c r="D181" s="21"/>
      <c r="E181" s="21"/>
      <c r="F181" s="21"/>
      <c r="G181" s="21"/>
    </row>
    <row r="182" spans="2:7">
      <c r="B182" s="21"/>
      <c r="C182" s="21"/>
      <c r="D182" s="21"/>
      <c r="E182" s="21"/>
      <c r="F182" s="21"/>
      <c r="G182" s="21"/>
    </row>
    <row r="183" spans="2:7">
      <c r="B183" s="21"/>
      <c r="C183" s="21"/>
      <c r="D183" s="21"/>
      <c r="E183" s="21"/>
      <c r="F183" s="21"/>
      <c r="G183" s="21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</sheetData>
  <mergeCells count="2">
    <mergeCell ref="B2:K2"/>
    <mergeCell ref="J8:K8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O228"/>
  <sheetViews>
    <sheetView view="pageLayout" zoomScaleNormal="110" workbookViewId="0">
      <selection activeCell="N15" sqref="N15"/>
    </sheetView>
  </sheetViews>
  <sheetFormatPr defaultColWidth="9.140625" defaultRowHeight="11.25"/>
  <cols>
    <col min="1" max="1" width="12.42578125" style="32" customWidth="1"/>
    <col min="2" max="2" width="6.85546875" style="32" bestFit="1" customWidth="1"/>
    <col min="3" max="3" width="13.28515625" style="32" customWidth="1"/>
    <col min="4" max="4" width="10.28515625" style="32" customWidth="1"/>
    <col min="5" max="5" width="18.5703125" style="32" customWidth="1"/>
    <col min="6" max="6" width="11" style="32" customWidth="1"/>
    <col min="7" max="7" width="9.42578125" style="32" customWidth="1"/>
    <col min="8" max="8" width="9" style="32" customWidth="1"/>
    <col min="9" max="9" width="10" style="32" hidden="1" customWidth="1"/>
    <col min="10" max="10" width="8.28515625" style="32" customWidth="1"/>
    <col min="11" max="11" width="8" style="32" bestFit="1" customWidth="1"/>
    <col min="12" max="12" width="9" style="32" bestFit="1" customWidth="1"/>
    <col min="13" max="13" width="25.57031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5" t="s">
        <v>77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5" ht="21.75" customHeight="1">
      <c r="A2" s="166" t="s">
        <v>114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67" t="s">
        <v>38</v>
      </c>
      <c r="D4" s="60" t="s">
        <v>39</v>
      </c>
      <c r="E4" s="167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9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68"/>
      <c r="D5" s="65" t="s">
        <v>46</v>
      </c>
      <c r="E5" s="168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0"/>
      <c r="N5" s="54"/>
      <c r="O5" s="32"/>
    </row>
    <row r="6" spans="1:15" ht="10.5" customHeight="1">
      <c r="A6" s="78" t="s">
        <v>100</v>
      </c>
      <c r="B6" s="78" t="s">
        <v>72</v>
      </c>
      <c r="C6" s="125" t="s">
        <v>115</v>
      </c>
      <c r="D6" s="127">
        <v>41887</v>
      </c>
      <c r="E6" s="125" t="s">
        <v>60</v>
      </c>
      <c r="F6" s="125" t="s">
        <v>61</v>
      </c>
      <c r="G6" s="100">
        <v>28713</v>
      </c>
      <c r="H6" s="128">
        <v>28650</v>
      </c>
      <c r="I6" s="80"/>
      <c r="J6" s="129">
        <v>3923</v>
      </c>
      <c r="K6" s="94">
        <v>32.44</v>
      </c>
      <c r="L6" s="124">
        <v>41896</v>
      </c>
      <c r="M6" s="125" t="s">
        <v>128</v>
      </c>
      <c r="N6" s="54"/>
      <c r="O6" s="32"/>
    </row>
    <row r="7" spans="1:15" ht="10.5" customHeight="1">
      <c r="A7" s="78" t="s">
        <v>100</v>
      </c>
      <c r="B7" s="78" t="s">
        <v>72</v>
      </c>
      <c r="C7" s="125" t="s">
        <v>115</v>
      </c>
      <c r="D7" s="127">
        <v>41887</v>
      </c>
      <c r="E7" s="125" t="s">
        <v>60</v>
      </c>
      <c r="F7" s="125" t="s">
        <v>61</v>
      </c>
      <c r="G7" s="100">
        <v>879965</v>
      </c>
      <c r="H7" s="128">
        <v>878028</v>
      </c>
      <c r="I7" s="80"/>
      <c r="J7" s="129">
        <v>120222</v>
      </c>
      <c r="K7" s="94">
        <v>32.44</v>
      </c>
      <c r="L7" s="124">
        <v>41896</v>
      </c>
      <c r="M7" s="125" t="s">
        <v>128</v>
      </c>
      <c r="N7" s="54"/>
      <c r="O7" s="32"/>
    </row>
    <row r="8" spans="1:15" ht="10.5" customHeight="1">
      <c r="A8" s="78" t="s">
        <v>100</v>
      </c>
      <c r="B8" s="78" t="s">
        <v>72</v>
      </c>
      <c r="C8" s="125" t="s">
        <v>126</v>
      </c>
      <c r="D8" s="127">
        <v>41891</v>
      </c>
      <c r="E8" s="125" t="s">
        <v>60</v>
      </c>
      <c r="F8" s="125" t="s">
        <v>61</v>
      </c>
      <c r="G8" s="100">
        <v>909624</v>
      </c>
      <c r="H8" s="128">
        <v>906430</v>
      </c>
      <c r="I8" s="80"/>
      <c r="J8" s="129">
        <v>123919</v>
      </c>
      <c r="K8" s="94">
        <v>32.69</v>
      </c>
      <c r="L8" s="124">
        <v>41899</v>
      </c>
      <c r="M8" s="125" t="s">
        <v>129</v>
      </c>
      <c r="N8" s="54"/>
      <c r="O8" s="32"/>
    </row>
    <row r="9" spans="1:15" ht="10.5" customHeight="1">
      <c r="A9" s="78" t="s">
        <v>100</v>
      </c>
      <c r="B9" s="78" t="s">
        <v>72</v>
      </c>
      <c r="C9" s="125" t="s">
        <v>127</v>
      </c>
      <c r="D9" s="127">
        <v>41895</v>
      </c>
      <c r="E9" s="125" t="s">
        <v>60</v>
      </c>
      <c r="F9" s="125" t="s">
        <v>61</v>
      </c>
      <c r="G9" s="92">
        <v>908675</v>
      </c>
      <c r="H9" s="96">
        <v>906578</v>
      </c>
      <c r="I9" s="80"/>
      <c r="J9" s="90">
        <v>124405</v>
      </c>
      <c r="K9" s="94">
        <v>32.06</v>
      </c>
      <c r="L9" s="124">
        <v>41903</v>
      </c>
      <c r="M9" s="125" t="s">
        <v>124</v>
      </c>
      <c r="N9" s="54"/>
      <c r="O9" s="32"/>
    </row>
    <row r="10" spans="1:15" ht="10.5" customHeight="1">
      <c r="A10" s="78"/>
      <c r="B10" s="78"/>
      <c r="C10" s="78"/>
      <c r="D10" s="78"/>
      <c r="E10" s="78"/>
      <c r="F10" s="78"/>
      <c r="G10" s="93"/>
      <c r="H10" s="96"/>
      <c r="I10" s="72"/>
      <c r="J10" s="90"/>
      <c r="K10" s="94"/>
      <c r="L10" s="79"/>
      <c r="M10" s="78"/>
      <c r="O10" s="78"/>
    </row>
    <row r="11" spans="1:15" ht="10.5" customHeight="1">
      <c r="A11" s="78"/>
      <c r="B11" s="78"/>
      <c r="C11" s="78"/>
      <c r="D11" s="78"/>
      <c r="E11" s="78"/>
      <c r="F11" s="78"/>
      <c r="G11" s="93"/>
      <c r="H11" s="96"/>
      <c r="I11" s="72"/>
      <c r="J11" s="90"/>
      <c r="K11" s="94"/>
      <c r="L11" s="79"/>
      <c r="M11" s="78"/>
      <c r="O11" s="78"/>
    </row>
    <row r="12" spans="1:15" ht="10.5" customHeight="1">
      <c r="A12" s="78"/>
      <c r="B12" s="78"/>
      <c r="C12" s="78"/>
      <c r="D12" s="78"/>
      <c r="E12" s="78"/>
      <c r="F12" s="78"/>
      <c r="G12" s="93"/>
      <c r="H12" s="96"/>
      <c r="I12" s="72"/>
      <c r="J12" s="90"/>
      <c r="K12" s="94"/>
      <c r="L12" s="79"/>
      <c r="M12" s="78"/>
    </row>
    <row r="13" spans="1:15" ht="10.5" customHeight="1">
      <c r="A13" s="78"/>
      <c r="B13" s="78"/>
      <c r="C13" s="78"/>
      <c r="D13" s="78"/>
      <c r="E13" s="78"/>
      <c r="F13" s="78"/>
      <c r="G13" s="93"/>
      <c r="H13" s="96"/>
      <c r="I13" s="72"/>
      <c r="J13" s="90"/>
      <c r="K13" s="94"/>
      <c r="L13" s="79"/>
      <c r="M13" s="78"/>
    </row>
    <row r="14" spans="1:15" ht="10.5" customHeight="1">
      <c r="A14" s="78"/>
      <c r="B14" s="78"/>
      <c r="C14" s="78"/>
      <c r="D14" s="78"/>
      <c r="E14" s="78"/>
      <c r="F14" s="78"/>
      <c r="G14" s="96"/>
      <c r="H14" s="96"/>
      <c r="I14" s="72"/>
      <c r="J14" s="90"/>
      <c r="K14" s="94"/>
      <c r="L14" s="79"/>
      <c r="M14" s="78"/>
    </row>
    <row r="15" spans="1:15" ht="10.5" customHeight="1">
      <c r="A15" s="78"/>
      <c r="B15" s="78"/>
      <c r="C15" s="78"/>
      <c r="D15" s="78"/>
      <c r="E15" s="78"/>
      <c r="F15" s="78"/>
      <c r="G15" s="96"/>
      <c r="H15" s="96"/>
      <c r="I15" s="72"/>
      <c r="J15" s="90"/>
      <c r="K15" s="94"/>
      <c r="L15" s="79"/>
      <c r="M15" s="78"/>
    </row>
    <row r="16" spans="1:15" ht="10.5" customHeight="1">
      <c r="A16" s="78"/>
      <c r="B16" s="78"/>
      <c r="C16" s="78"/>
      <c r="D16" s="78"/>
      <c r="E16" s="78"/>
      <c r="F16" s="78"/>
      <c r="G16" s="96"/>
      <c r="H16" s="96"/>
      <c r="I16" s="72"/>
      <c r="J16" s="90"/>
      <c r="K16" s="94"/>
      <c r="L16" s="79"/>
      <c r="M16" s="78"/>
    </row>
    <row r="17" spans="1:13" ht="10.5" customHeight="1">
      <c r="A17" s="78"/>
      <c r="B17" s="78"/>
      <c r="C17" s="78"/>
      <c r="D17" s="78"/>
      <c r="E17" s="78"/>
      <c r="F17" s="78"/>
      <c r="G17" s="96"/>
      <c r="H17" s="96"/>
      <c r="I17" s="72"/>
      <c r="J17" s="90"/>
      <c r="K17" s="94"/>
      <c r="L17" s="79"/>
      <c r="M17" s="78"/>
    </row>
    <row r="18" spans="1:13" ht="10.5" customHeight="1">
      <c r="A18" s="78"/>
      <c r="B18" s="78"/>
      <c r="C18" s="78"/>
      <c r="D18" s="78"/>
      <c r="E18" s="78"/>
      <c r="F18" s="78"/>
      <c r="G18" s="96"/>
      <c r="H18" s="96"/>
      <c r="I18" s="72"/>
      <c r="J18" s="90"/>
      <c r="K18" s="94"/>
      <c r="L18" s="79"/>
      <c r="M18" s="78"/>
    </row>
    <row r="19" spans="1:13" ht="10.5" customHeight="1">
      <c r="A19" s="78"/>
      <c r="B19" s="78"/>
      <c r="C19" s="78"/>
      <c r="D19" s="78"/>
      <c r="E19" s="78"/>
      <c r="F19" s="78"/>
      <c r="G19" s="96"/>
      <c r="H19" s="96"/>
      <c r="I19" s="72"/>
      <c r="J19" s="90"/>
      <c r="K19" s="94"/>
      <c r="L19" s="79"/>
      <c r="M19" s="78"/>
    </row>
    <row r="20" spans="1:13" ht="10.5" customHeight="1">
      <c r="A20" s="78"/>
      <c r="B20" s="78"/>
      <c r="C20" s="78"/>
      <c r="D20" s="78"/>
      <c r="E20" s="78"/>
      <c r="F20" s="78"/>
      <c r="G20" s="96"/>
      <c r="H20" s="96"/>
      <c r="I20" s="72"/>
      <c r="J20" s="90"/>
      <c r="K20" s="94"/>
      <c r="L20" s="79"/>
      <c r="M20" s="78"/>
    </row>
    <row r="21" spans="1:13" ht="10.5" customHeight="1">
      <c r="A21" s="78"/>
      <c r="B21" s="78"/>
      <c r="C21" s="78"/>
      <c r="D21" s="78"/>
      <c r="E21" s="78"/>
      <c r="F21" s="78"/>
      <c r="G21" s="96"/>
      <c r="H21" s="96"/>
      <c r="I21" s="72"/>
      <c r="J21" s="90"/>
      <c r="K21" s="94"/>
      <c r="L21" s="79"/>
      <c r="M21" s="78"/>
    </row>
    <row r="22" spans="1:13" ht="10.5" customHeight="1">
      <c r="A22" s="78"/>
      <c r="B22" s="78"/>
      <c r="C22" s="78"/>
      <c r="D22" s="78"/>
      <c r="E22" s="78"/>
      <c r="F22" s="78"/>
      <c r="G22" s="96"/>
      <c r="H22" s="96"/>
      <c r="I22" s="72"/>
      <c r="J22" s="90"/>
      <c r="K22" s="94"/>
      <c r="L22" s="79"/>
      <c r="M22" s="78"/>
    </row>
    <row r="23" spans="1:13" ht="10.5" customHeight="1">
      <c r="A23" s="78"/>
      <c r="B23" s="78"/>
      <c r="C23" s="78"/>
      <c r="D23" s="78"/>
      <c r="E23" s="78"/>
      <c r="F23" s="78"/>
      <c r="G23" s="96"/>
      <c r="H23" s="96"/>
      <c r="I23" s="72"/>
      <c r="J23" s="90"/>
      <c r="K23" s="94"/>
      <c r="L23" s="79"/>
      <c r="M23" s="78"/>
    </row>
    <row r="24" spans="1:13" ht="12" thickBot="1">
      <c r="A24" s="78"/>
      <c r="B24" s="78"/>
      <c r="C24" s="78"/>
      <c r="D24" s="78"/>
      <c r="E24" s="78"/>
      <c r="F24" s="78"/>
      <c r="G24" s="93"/>
      <c r="H24" s="96"/>
      <c r="I24" s="72"/>
      <c r="J24" s="90"/>
      <c r="K24" s="94"/>
      <c r="L24" s="79"/>
      <c r="M24" s="78"/>
    </row>
    <row r="25" spans="1:13" ht="20.25" customHeight="1" thickTop="1" thickBot="1">
      <c r="A25" s="164" t="s">
        <v>78</v>
      </c>
      <c r="B25" s="164"/>
      <c r="C25" s="164"/>
      <c r="D25" s="164"/>
      <c r="E25" s="164"/>
      <c r="F25" s="164"/>
      <c r="G25" s="68">
        <f>SUM(G6:G24)</f>
        <v>2726977</v>
      </c>
      <c r="H25" s="68">
        <f>SUM(H6:H24)</f>
        <v>2719686</v>
      </c>
      <c r="I25" s="68">
        <f>SUM(I6:I24)</f>
        <v>0</v>
      </c>
      <c r="J25" s="68">
        <f>SUM(J6:J24)</f>
        <v>372469</v>
      </c>
      <c r="K25" s="68"/>
      <c r="L25" s="68"/>
      <c r="M25" s="69"/>
    </row>
    <row r="26" spans="1:13">
      <c r="A26" s="53"/>
      <c r="B26" s="53"/>
      <c r="C26" s="53"/>
      <c r="D26" s="53"/>
      <c r="E26" s="53"/>
      <c r="F26" s="53"/>
      <c r="G26" s="53"/>
      <c r="H26" s="53"/>
      <c r="I26" s="53"/>
    </row>
    <row r="27" spans="1:13">
      <c r="A27" s="53"/>
      <c r="B27" s="53"/>
      <c r="C27" s="53"/>
      <c r="D27" s="53"/>
      <c r="E27" s="53"/>
      <c r="F27" s="53"/>
      <c r="G27" s="53"/>
      <c r="H27" s="53"/>
      <c r="I27" s="53"/>
    </row>
    <row r="28" spans="1:13">
      <c r="A28" s="53"/>
      <c r="B28" s="53"/>
      <c r="C28" s="53"/>
      <c r="D28" s="53"/>
      <c r="E28" s="53"/>
      <c r="F28" s="53"/>
      <c r="G28" s="53"/>
      <c r="H28" s="53"/>
      <c r="I28" s="53"/>
    </row>
    <row r="29" spans="1:13">
      <c r="A29" s="53"/>
      <c r="B29" s="53"/>
      <c r="C29" s="53"/>
      <c r="D29" s="53"/>
      <c r="E29" s="53"/>
      <c r="F29" s="53"/>
      <c r="G29" s="53"/>
      <c r="H29" s="53"/>
      <c r="I29" s="53"/>
    </row>
    <row r="30" spans="1:13">
      <c r="A30" s="53"/>
      <c r="B30" s="53"/>
      <c r="C30" s="53"/>
      <c r="D30" s="53"/>
      <c r="E30" s="53"/>
      <c r="F30" s="53"/>
      <c r="G30" s="53"/>
      <c r="H30" s="53"/>
      <c r="I30" s="53"/>
    </row>
    <row r="31" spans="1:13">
      <c r="A31" s="53"/>
      <c r="B31" s="53"/>
      <c r="C31" s="53"/>
      <c r="D31" s="53"/>
      <c r="E31" s="53"/>
      <c r="F31" s="53"/>
      <c r="G31" s="53"/>
      <c r="H31" s="53"/>
      <c r="I31" s="53"/>
    </row>
    <row r="32" spans="1:13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77"/>
      <c r="B36" s="77"/>
      <c r="C36" s="77"/>
      <c r="D36" s="77"/>
      <c r="E36" s="77"/>
      <c r="F36" s="77"/>
      <c r="G36" s="77"/>
      <c r="H36" s="77"/>
      <c r="I36" s="77"/>
    </row>
    <row r="37" spans="1:9">
      <c r="A37" s="77"/>
      <c r="B37" s="77"/>
      <c r="C37" s="77"/>
      <c r="D37" s="77"/>
      <c r="E37" s="77"/>
      <c r="F37" s="77"/>
      <c r="G37" s="77"/>
      <c r="H37" s="77"/>
      <c r="I37" s="77"/>
    </row>
    <row r="38" spans="1:9">
      <c r="A38" s="77"/>
      <c r="B38" s="77"/>
      <c r="C38" s="77"/>
      <c r="D38" s="77"/>
      <c r="E38" s="77"/>
      <c r="F38" s="77"/>
      <c r="G38" s="77"/>
      <c r="H38" s="77"/>
      <c r="I38" s="77"/>
    </row>
    <row r="39" spans="1:9">
      <c r="A39" s="72"/>
      <c r="B39" s="72"/>
      <c r="C39" s="72"/>
      <c r="D39" s="72"/>
      <c r="E39" s="72"/>
      <c r="F39" s="72"/>
      <c r="G39" s="72"/>
      <c r="H39" s="53"/>
      <c r="I39" s="72"/>
    </row>
    <row r="40" spans="1:9">
      <c r="A40" s="72"/>
      <c r="B40" s="72"/>
      <c r="C40" s="72"/>
      <c r="D40" s="72"/>
      <c r="E40" s="72"/>
      <c r="F40" s="72"/>
      <c r="G40" s="72"/>
      <c r="H40" s="72"/>
      <c r="I40" s="72"/>
    </row>
    <row r="41" spans="1:9">
      <c r="A41" s="72"/>
      <c r="B41" s="72"/>
      <c r="C41" s="72"/>
      <c r="D41" s="72"/>
      <c r="E41" s="72"/>
      <c r="F41" s="72"/>
      <c r="G41" s="72"/>
      <c r="H41" s="72"/>
      <c r="I41" s="72"/>
    </row>
    <row r="42" spans="1:9">
      <c r="A42" s="72"/>
      <c r="B42" s="72"/>
      <c r="C42" s="72"/>
      <c r="D42" s="72"/>
      <c r="E42" s="72"/>
      <c r="F42" s="72"/>
      <c r="G42" s="72"/>
      <c r="H42" s="72"/>
      <c r="I42" s="72"/>
    </row>
    <row r="43" spans="1:9">
      <c r="A43" s="72"/>
      <c r="B43" s="72"/>
      <c r="C43" s="72"/>
      <c r="D43" s="72"/>
      <c r="E43" s="72"/>
      <c r="F43" s="72"/>
      <c r="G43" s="72"/>
      <c r="H43" s="72"/>
      <c r="I43" s="72"/>
    </row>
    <row r="44" spans="1:9">
      <c r="A44" s="72"/>
      <c r="B44" s="72"/>
      <c r="C44" s="72"/>
      <c r="D44" s="72"/>
      <c r="E44" s="72"/>
      <c r="F44" s="72"/>
      <c r="G44" s="72"/>
      <c r="H44" s="72"/>
      <c r="I44" s="72"/>
    </row>
    <row r="45" spans="1:9">
      <c r="A45" s="72"/>
      <c r="B45" s="72"/>
      <c r="C45" s="72"/>
      <c r="D45" s="72"/>
      <c r="E45" s="72"/>
      <c r="F45" s="72"/>
      <c r="G45" s="72"/>
      <c r="H45" s="72"/>
      <c r="I45" s="72"/>
    </row>
    <row r="46" spans="1:9">
      <c r="A46" s="72"/>
      <c r="B46" s="72"/>
      <c r="C46" s="72"/>
      <c r="D46" s="72"/>
      <c r="E46" s="72"/>
      <c r="F46" s="72"/>
      <c r="G46" s="72"/>
      <c r="H46" s="72"/>
      <c r="I46" s="72"/>
    </row>
    <row r="47" spans="1:9">
      <c r="A47" s="72"/>
      <c r="B47" s="72"/>
      <c r="C47" s="72"/>
      <c r="D47" s="72"/>
      <c r="E47" s="72"/>
      <c r="F47" s="72"/>
      <c r="G47" s="72"/>
      <c r="H47" s="72"/>
      <c r="I47" s="72"/>
    </row>
    <row r="48" spans="1:9">
      <c r="A48" s="72"/>
      <c r="B48" s="72"/>
      <c r="C48" s="72"/>
      <c r="D48" s="72"/>
      <c r="E48" s="72"/>
      <c r="F48" s="72"/>
      <c r="G48" s="72"/>
      <c r="H48" s="72"/>
      <c r="I48" s="72"/>
    </row>
    <row r="49" spans="1:9">
      <c r="A49" s="70"/>
      <c r="B49" s="71"/>
      <c r="C49" s="71"/>
      <c r="D49" s="71"/>
      <c r="E49" s="71"/>
      <c r="F49" s="71"/>
      <c r="G49" s="71"/>
      <c r="H49" s="71"/>
      <c r="I49" s="71"/>
    </row>
    <row r="50" spans="1:9">
      <c r="A50" s="72"/>
      <c r="B50" s="72"/>
      <c r="C50" s="72"/>
      <c r="D50" s="72"/>
      <c r="E50" s="72"/>
      <c r="F50" s="72"/>
      <c r="G50" s="72"/>
      <c r="H50" s="72"/>
      <c r="I50" s="72"/>
    </row>
    <row r="51" spans="1:9">
      <c r="A51" s="72"/>
      <c r="B51" s="72"/>
      <c r="C51" s="72"/>
      <c r="D51" s="72"/>
      <c r="E51" s="72"/>
      <c r="F51" s="72"/>
      <c r="G51" s="72"/>
      <c r="H51" s="72"/>
      <c r="I51" s="72"/>
    </row>
    <row r="52" spans="1:9">
      <c r="A52" s="72"/>
      <c r="B52" s="72"/>
      <c r="C52" s="72"/>
      <c r="D52" s="72"/>
      <c r="E52" s="72"/>
      <c r="F52" s="72"/>
      <c r="G52" s="72"/>
      <c r="H52" s="72"/>
      <c r="I52" s="72"/>
    </row>
    <row r="53" spans="1:9">
      <c r="A53" s="72"/>
      <c r="B53" s="72"/>
      <c r="C53" s="72"/>
      <c r="D53" s="72"/>
      <c r="E53" s="72"/>
      <c r="F53" s="72"/>
      <c r="G53" s="72"/>
      <c r="H53" s="72"/>
      <c r="I53" s="72"/>
    </row>
    <row r="54" spans="1:9">
      <c r="A54" s="73"/>
      <c r="B54" s="73"/>
      <c r="C54" s="73"/>
      <c r="D54" s="73"/>
      <c r="E54" s="73"/>
      <c r="F54" s="73"/>
      <c r="G54" s="73"/>
      <c r="H54" s="73"/>
      <c r="I54" s="73"/>
    </row>
    <row r="55" spans="1:9">
      <c r="A55" s="74"/>
      <c r="B55" s="75"/>
      <c r="C55" s="75"/>
      <c r="D55" s="75"/>
      <c r="E55" s="75"/>
      <c r="F55" s="75"/>
      <c r="G55" s="75"/>
      <c r="H55" s="75"/>
      <c r="I55" s="75"/>
    </row>
    <row r="56" spans="1:9">
      <c r="A56" s="76"/>
      <c r="B56" s="75"/>
      <c r="C56" s="75"/>
      <c r="D56" s="75"/>
      <c r="E56" s="75"/>
      <c r="F56" s="75"/>
      <c r="G56" s="75"/>
      <c r="H56" s="75"/>
      <c r="I56" s="75"/>
    </row>
    <row r="57" spans="1:9">
      <c r="A57" s="76"/>
      <c r="B57" s="76"/>
      <c r="C57" s="76"/>
      <c r="D57" s="76"/>
      <c r="E57" s="76"/>
      <c r="F57" s="76"/>
      <c r="G57" s="76"/>
      <c r="H57" s="76"/>
      <c r="I57" s="76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1"/>
      <c r="B59" s="71"/>
      <c r="C59" s="71"/>
      <c r="D59" s="71"/>
      <c r="E59" s="71"/>
      <c r="F59" s="71"/>
      <c r="G59" s="71"/>
      <c r="H59" s="71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1"/>
      <c r="B65" s="71"/>
      <c r="C65" s="71"/>
      <c r="D65" s="71"/>
      <c r="E65" s="71"/>
      <c r="F65" s="71"/>
      <c r="G65" s="71"/>
      <c r="H65" s="71"/>
      <c r="I65" s="71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53"/>
      <c r="B77" s="53"/>
      <c r="C77" s="53"/>
      <c r="D77" s="53"/>
      <c r="E77" s="53"/>
      <c r="F77" s="53"/>
      <c r="G77" s="53"/>
      <c r="H77" s="53"/>
      <c r="I77" s="53"/>
    </row>
    <row r="78" spans="1:9">
      <c r="A78" s="53"/>
      <c r="B78" s="53"/>
      <c r="C78" s="53"/>
      <c r="D78" s="53"/>
      <c r="E78" s="53"/>
      <c r="F78" s="53"/>
      <c r="G78" s="53"/>
      <c r="H78" s="53"/>
      <c r="I78" s="53"/>
    </row>
    <row r="79" spans="1:9">
      <c r="A79" s="53"/>
      <c r="B79" s="53"/>
      <c r="C79" s="53"/>
      <c r="D79" s="53"/>
      <c r="E79" s="53"/>
      <c r="F79" s="53"/>
      <c r="G79" s="53"/>
      <c r="H79" s="53"/>
      <c r="I79" s="53"/>
    </row>
    <row r="80" spans="1:9">
      <c r="A80" s="53"/>
      <c r="B80" s="53"/>
      <c r="C80" s="53"/>
      <c r="D80" s="53"/>
      <c r="E80" s="53"/>
      <c r="F80" s="53"/>
      <c r="G80" s="53"/>
      <c r="H80" s="53"/>
      <c r="I80" s="53"/>
    </row>
    <row r="81" spans="1:9">
      <c r="A81" s="53"/>
      <c r="B81" s="53"/>
      <c r="C81" s="53"/>
      <c r="D81" s="53"/>
      <c r="E81" s="53"/>
      <c r="F81" s="53"/>
      <c r="G81" s="53"/>
      <c r="H81" s="53"/>
      <c r="I81" s="53"/>
    </row>
    <row r="82" spans="1:9">
      <c r="A82" s="53"/>
      <c r="B82" s="53"/>
      <c r="C82" s="53"/>
      <c r="D82" s="53"/>
      <c r="E82" s="53"/>
      <c r="F82" s="53"/>
      <c r="G82" s="53"/>
      <c r="H82" s="53"/>
      <c r="I82" s="53"/>
    </row>
    <row r="83" spans="1:9">
      <c r="A83" s="53"/>
      <c r="B83" s="53"/>
      <c r="C83" s="53"/>
      <c r="D83" s="53"/>
      <c r="E83" s="53"/>
      <c r="F83" s="53"/>
      <c r="G83" s="53"/>
      <c r="H83" s="53"/>
      <c r="I83" s="53"/>
    </row>
    <row r="84" spans="1:9">
      <c r="A84" s="53"/>
      <c r="B84" s="53"/>
      <c r="C84" s="53"/>
      <c r="D84" s="53"/>
      <c r="E84" s="53"/>
      <c r="F84" s="53"/>
      <c r="G84" s="53"/>
      <c r="H84" s="53"/>
      <c r="I84" s="53"/>
    </row>
    <row r="85" spans="1:9">
      <c r="A85" s="77"/>
      <c r="B85" s="77"/>
      <c r="C85" s="77"/>
      <c r="D85" s="77"/>
      <c r="E85" s="77"/>
      <c r="F85" s="77"/>
      <c r="G85" s="77"/>
      <c r="H85" s="77"/>
      <c r="I85" s="77"/>
    </row>
    <row r="86" spans="1:9">
      <c r="A86" s="77"/>
      <c r="B86" s="77"/>
      <c r="C86" s="77"/>
      <c r="D86" s="77"/>
      <c r="E86" s="77"/>
      <c r="F86" s="77"/>
      <c r="G86" s="77"/>
      <c r="H86" s="77"/>
      <c r="I86" s="77"/>
    </row>
    <row r="87" spans="1:9">
      <c r="A87" s="77"/>
      <c r="B87" s="77"/>
      <c r="C87" s="77"/>
      <c r="D87" s="77"/>
      <c r="E87" s="77"/>
      <c r="F87" s="77"/>
      <c r="G87" s="77"/>
      <c r="H87" s="77"/>
      <c r="I87" s="77"/>
    </row>
    <row r="88" spans="1:9">
      <c r="A88" s="72"/>
      <c r="B88" s="72"/>
      <c r="C88" s="72"/>
      <c r="D88" s="72"/>
      <c r="E88" s="72"/>
      <c r="F88" s="72"/>
      <c r="G88" s="72"/>
      <c r="H88" s="53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0"/>
      <c r="B98" s="71"/>
      <c r="C98" s="71"/>
      <c r="D98" s="71"/>
      <c r="E98" s="71"/>
      <c r="F98" s="71"/>
      <c r="G98" s="71"/>
      <c r="H98" s="71"/>
      <c r="I98" s="71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>
      <c r="A101" s="72"/>
      <c r="B101" s="72"/>
      <c r="C101" s="72"/>
      <c r="D101" s="72"/>
      <c r="E101" s="72"/>
      <c r="F101" s="72"/>
      <c r="G101" s="72"/>
      <c r="H101" s="72"/>
      <c r="I101" s="72"/>
    </row>
    <row r="102" spans="1:9">
      <c r="A102" s="72"/>
      <c r="B102" s="72"/>
      <c r="C102" s="72"/>
      <c r="D102" s="72"/>
      <c r="E102" s="72"/>
      <c r="F102" s="72"/>
      <c r="G102" s="72"/>
      <c r="H102" s="72"/>
      <c r="I102" s="72"/>
    </row>
    <row r="103" spans="1:9">
      <c r="A103" s="73"/>
      <c r="B103" s="73"/>
      <c r="C103" s="73"/>
      <c r="D103" s="73"/>
      <c r="E103" s="73"/>
      <c r="F103" s="73"/>
      <c r="G103" s="73"/>
      <c r="H103" s="73"/>
      <c r="I103" s="73"/>
    </row>
    <row r="104" spans="1:9">
      <c r="A104" s="74"/>
      <c r="B104" s="75"/>
      <c r="C104" s="75"/>
      <c r="D104" s="75"/>
      <c r="E104" s="75"/>
      <c r="F104" s="75"/>
      <c r="G104" s="75"/>
      <c r="H104" s="75"/>
      <c r="I104" s="75"/>
    </row>
    <row r="105" spans="1:9">
      <c r="A105" s="76"/>
      <c r="B105" s="75"/>
      <c r="C105" s="75"/>
      <c r="D105" s="75"/>
      <c r="E105" s="75"/>
      <c r="F105" s="75"/>
      <c r="G105" s="75"/>
      <c r="H105" s="75"/>
      <c r="I105" s="75"/>
    </row>
    <row r="106" spans="1:9">
      <c r="A106" s="76"/>
      <c r="B106" s="76"/>
      <c r="C106" s="76"/>
      <c r="D106" s="76"/>
      <c r="E106" s="76"/>
      <c r="F106" s="76"/>
      <c r="G106" s="76"/>
      <c r="H106" s="76"/>
      <c r="I106" s="76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1"/>
      <c r="B108" s="71"/>
      <c r="C108" s="71"/>
      <c r="D108" s="71"/>
      <c r="E108" s="71"/>
      <c r="F108" s="71"/>
      <c r="G108" s="71"/>
      <c r="H108" s="71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1"/>
      <c r="B114" s="71"/>
      <c r="C114" s="71"/>
      <c r="D114" s="71"/>
      <c r="E114" s="71"/>
      <c r="F114" s="71"/>
      <c r="G114" s="71"/>
      <c r="H114" s="71"/>
      <c r="I114" s="71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>
      <c r="A123" s="53"/>
      <c r="B123" s="53"/>
      <c r="C123" s="53"/>
      <c r="D123" s="53"/>
      <c r="E123" s="53"/>
      <c r="F123" s="53"/>
      <c r="G123" s="53"/>
      <c r="H123" s="53"/>
      <c r="I123" s="53"/>
    </row>
    <row r="124" spans="1:9">
      <c r="A124" s="53"/>
      <c r="B124" s="53"/>
      <c r="C124" s="53"/>
      <c r="D124" s="53"/>
      <c r="E124" s="53"/>
      <c r="F124" s="53"/>
      <c r="G124" s="53"/>
      <c r="H124" s="53"/>
      <c r="I124" s="53"/>
    </row>
    <row r="125" spans="1:9">
      <c r="A125" s="77"/>
      <c r="B125" s="77"/>
      <c r="C125" s="77"/>
      <c r="D125" s="77"/>
      <c r="E125" s="77"/>
      <c r="F125" s="77"/>
      <c r="G125" s="77"/>
      <c r="H125" s="77"/>
      <c r="I125" s="77"/>
    </row>
    <row r="126" spans="1:9">
      <c r="A126" s="77"/>
      <c r="B126" s="77"/>
      <c r="C126" s="77"/>
      <c r="D126" s="77"/>
      <c r="E126" s="77"/>
      <c r="F126" s="77"/>
      <c r="G126" s="77"/>
      <c r="H126" s="77"/>
      <c r="I126" s="77"/>
    </row>
    <row r="127" spans="1:9">
      <c r="A127" s="77"/>
      <c r="B127" s="77"/>
      <c r="C127" s="77"/>
      <c r="D127" s="77"/>
      <c r="E127" s="77"/>
      <c r="F127" s="77"/>
      <c r="G127" s="77"/>
      <c r="H127" s="77"/>
      <c r="I127" s="77"/>
    </row>
    <row r="128" spans="1:9">
      <c r="A128" s="72"/>
      <c r="B128" s="72"/>
      <c r="C128" s="72"/>
      <c r="D128" s="72"/>
      <c r="E128" s="72"/>
      <c r="F128" s="72"/>
      <c r="G128" s="72"/>
      <c r="H128" s="53"/>
      <c r="I128" s="72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>
      <c r="A138" s="70"/>
      <c r="B138" s="71"/>
      <c r="C138" s="71"/>
      <c r="D138" s="71"/>
      <c r="E138" s="71"/>
      <c r="F138" s="71"/>
      <c r="G138" s="71"/>
      <c r="H138" s="71"/>
      <c r="I138" s="71"/>
    </row>
    <row r="139" spans="1:9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>
      <c r="A141" s="72"/>
      <c r="B141" s="72"/>
      <c r="C141" s="72"/>
      <c r="D141" s="72"/>
      <c r="E141" s="72"/>
      <c r="F141" s="72"/>
      <c r="G141" s="72"/>
      <c r="H141" s="72"/>
      <c r="I141" s="72"/>
    </row>
    <row r="142" spans="1:9">
      <c r="A142" s="72"/>
      <c r="B142" s="72"/>
      <c r="C142" s="72"/>
      <c r="D142" s="72"/>
      <c r="E142" s="72"/>
      <c r="F142" s="72"/>
      <c r="G142" s="72"/>
      <c r="H142" s="72"/>
      <c r="I142" s="72"/>
    </row>
    <row r="143" spans="1:9">
      <c r="A143" s="73"/>
      <c r="B143" s="73"/>
      <c r="C143" s="73"/>
      <c r="D143" s="73"/>
      <c r="E143" s="73"/>
      <c r="F143" s="73"/>
      <c r="G143" s="73"/>
      <c r="H143" s="73"/>
      <c r="I143" s="73"/>
    </row>
    <row r="144" spans="1:9">
      <c r="A144" s="74"/>
      <c r="B144" s="75"/>
      <c r="C144" s="75"/>
      <c r="D144" s="75"/>
      <c r="E144" s="75"/>
      <c r="F144" s="75"/>
      <c r="G144" s="75"/>
      <c r="H144" s="75"/>
      <c r="I144" s="75"/>
    </row>
    <row r="145" spans="1:9">
      <c r="A145" s="76"/>
      <c r="B145" s="75"/>
      <c r="C145" s="75"/>
      <c r="D145" s="75"/>
      <c r="E145" s="75"/>
      <c r="F145" s="75"/>
      <c r="G145" s="75"/>
      <c r="H145" s="75"/>
      <c r="I145" s="75"/>
    </row>
    <row r="146" spans="1:9">
      <c r="A146" s="76"/>
      <c r="B146" s="76"/>
      <c r="C146" s="76"/>
      <c r="D146" s="76"/>
      <c r="E146" s="76"/>
      <c r="F146" s="76"/>
      <c r="G146" s="76"/>
      <c r="H146" s="76"/>
      <c r="I146" s="76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1"/>
      <c r="B148" s="71"/>
      <c r="C148" s="71"/>
      <c r="D148" s="71"/>
      <c r="E148" s="71"/>
      <c r="F148" s="71"/>
      <c r="G148" s="71"/>
      <c r="H148" s="71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1"/>
      <c r="B154" s="71"/>
      <c r="C154" s="71"/>
      <c r="D154" s="71"/>
      <c r="E154" s="71"/>
      <c r="F154" s="71"/>
      <c r="G154" s="71"/>
      <c r="H154" s="71"/>
      <c r="I154" s="71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>
      <c r="A157" s="53"/>
      <c r="B157" s="53"/>
      <c r="C157" s="53"/>
      <c r="D157" s="53"/>
      <c r="E157" s="53"/>
      <c r="F157" s="53"/>
      <c r="G157" s="53"/>
      <c r="H157" s="53"/>
      <c r="I157" s="53"/>
    </row>
    <row r="158" spans="1:9">
      <c r="A158" s="53"/>
      <c r="B158" s="53"/>
      <c r="C158" s="53"/>
      <c r="D158" s="53"/>
      <c r="E158" s="53"/>
      <c r="F158" s="53"/>
      <c r="G158" s="53"/>
      <c r="H158" s="53"/>
      <c r="I158" s="53"/>
    </row>
    <row r="159" spans="1:9">
      <c r="A159" s="77"/>
      <c r="B159" s="77"/>
      <c r="C159" s="77"/>
      <c r="D159" s="77"/>
      <c r="E159" s="77"/>
      <c r="F159" s="77"/>
      <c r="G159" s="77"/>
      <c r="H159" s="77"/>
      <c r="I159" s="77"/>
    </row>
    <row r="160" spans="1:9">
      <c r="A160" s="77"/>
      <c r="B160" s="77"/>
      <c r="C160" s="77"/>
      <c r="D160" s="77"/>
      <c r="E160" s="77"/>
      <c r="F160" s="77"/>
      <c r="G160" s="77"/>
      <c r="H160" s="77"/>
      <c r="I160" s="77"/>
    </row>
    <row r="161" spans="1:9">
      <c r="A161" s="77"/>
      <c r="B161" s="77"/>
      <c r="C161" s="77"/>
      <c r="D161" s="77"/>
      <c r="E161" s="77"/>
      <c r="F161" s="77"/>
      <c r="G161" s="77"/>
      <c r="H161" s="77"/>
      <c r="I161" s="77"/>
    </row>
    <row r="162" spans="1:9">
      <c r="A162" s="72"/>
      <c r="B162" s="72"/>
      <c r="C162" s="72"/>
      <c r="D162" s="72"/>
      <c r="E162" s="72"/>
      <c r="F162" s="72"/>
      <c r="G162" s="72"/>
      <c r="H162" s="53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0"/>
      <c r="B172" s="71"/>
      <c r="C172" s="71"/>
      <c r="D172" s="71"/>
      <c r="E172" s="71"/>
      <c r="F172" s="71"/>
      <c r="G172" s="71"/>
      <c r="H172" s="71"/>
      <c r="I172" s="71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3"/>
      <c r="B177" s="73"/>
      <c r="C177" s="73"/>
      <c r="D177" s="73"/>
      <c r="E177" s="73"/>
      <c r="F177" s="73"/>
      <c r="G177" s="73"/>
      <c r="H177" s="73"/>
      <c r="I177" s="73"/>
    </row>
    <row r="178" spans="1:9">
      <c r="A178" s="74"/>
      <c r="B178" s="75"/>
      <c r="C178" s="75"/>
      <c r="D178" s="75"/>
      <c r="E178" s="75"/>
      <c r="F178" s="75"/>
      <c r="G178" s="75"/>
      <c r="H178" s="75"/>
      <c r="I178" s="75"/>
    </row>
    <row r="179" spans="1:9">
      <c r="A179" s="76"/>
      <c r="B179" s="75"/>
      <c r="C179" s="75"/>
      <c r="D179" s="75"/>
      <c r="E179" s="75"/>
      <c r="F179" s="75"/>
      <c r="G179" s="75"/>
      <c r="H179" s="75"/>
      <c r="I179" s="75"/>
    </row>
    <row r="180" spans="1:9">
      <c r="A180" s="76"/>
      <c r="B180" s="76"/>
      <c r="C180" s="76"/>
      <c r="D180" s="76"/>
      <c r="E180" s="76"/>
      <c r="F180" s="76"/>
      <c r="G180" s="76"/>
      <c r="H180" s="76"/>
      <c r="I180" s="76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ht="21" customHeight="1">
      <c r="A182" s="71"/>
      <c r="B182" s="71"/>
      <c r="C182" s="71"/>
      <c r="D182" s="71"/>
      <c r="E182" s="71"/>
      <c r="F182" s="71"/>
      <c r="G182" s="71"/>
      <c r="H182" s="71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1"/>
      <c r="B188" s="71"/>
      <c r="C188" s="71"/>
      <c r="D188" s="71"/>
      <c r="E188" s="71"/>
      <c r="F188" s="71"/>
      <c r="G188" s="71"/>
      <c r="H188" s="71"/>
      <c r="I188" s="71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>
      <c r="A191" s="53"/>
      <c r="B191" s="53"/>
      <c r="C191" s="53"/>
      <c r="D191" s="53"/>
      <c r="E191" s="53"/>
      <c r="F191" s="53"/>
      <c r="G191" s="53"/>
      <c r="H191" s="53"/>
      <c r="I191" s="76"/>
    </row>
    <row r="192" spans="1:9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</sheetData>
  <sortState ref="O25:O34">
    <sortCondition ref="O25"/>
  </sortState>
  <mergeCells count="6">
    <mergeCell ref="A25:F25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H24" sqref="H24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79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1" t="s">
        <v>14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1:12" s="1" customFormat="1" ht="17.25">
      <c r="A3"/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2" s="1" customFormat="1" ht="15">
      <c r="A4"/>
      <c r="B4" s="33" t="s">
        <v>15</v>
      </c>
      <c r="C4" s="34" t="s">
        <v>16</v>
      </c>
      <c r="D4" s="52">
        <f ca="1">NOW()</f>
        <v>41940.317036458335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>
        <v>41883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80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72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63" t="s">
        <v>26</v>
      </c>
      <c r="K10" s="163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132"/>
      <c r="C12" s="131"/>
      <c r="D12" s="133"/>
      <c r="E12" s="137"/>
      <c r="F12" s="135"/>
      <c r="G12" s="80"/>
      <c r="H12" s="138"/>
      <c r="I12" s="139"/>
      <c r="J12" s="87"/>
      <c r="K12" s="87"/>
      <c r="L12" s="97"/>
    </row>
    <row r="13" spans="1:12" s="1" customFormat="1" ht="19.5" customHeight="1">
      <c r="A13"/>
      <c r="B13" s="132"/>
      <c r="C13" s="131"/>
      <c r="D13" s="133"/>
      <c r="E13" s="140"/>
      <c r="F13" s="135"/>
      <c r="G13" s="80"/>
      <c r="H13" s="136"/>
      <c r="I13" s="131"/>
      <c r="J13" s="87"/>
      <c r="K13" s="87"/>
      <c r="L13" s="97"/>
    </row>
    <row r="14" spans="1:12" s="1" customFormat="1" ht="19.5" customHeight="1">
      <c r="A14"/>
      <c r="B14" s="132"/>
      <c r="C14" s="131"/>
      <c r="D14" s="133"/>
      <c r="E14" s="141"/>
      <c r="F14" s="135"/>
      <c r="G14" s="80"/>
      <c r="H14" s="136"/>
      <c r="I14" s="131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ht="20.25" customHeight="1">
      <c r="A16" s="21"/>
      <c r="B16" s="79"/>
      <c r="C16" s="78"/>
      <c r="D16" s="94"/>
      <c r="E16" s="95"/>
      <c r="F16" s="96"/>
      <c r="G16" s="23"/>
      <c r="H16" s="32"/>
      <c r="I16" s="78"/>
      <c r="J16" s="122"/>
      <c r="K16" s="87"/>
      <c r="L16" s="97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A3" sqref="A3"/>
    </sheetView>
  </sheetViews>
  <sheetFormatPr defaultColWidth="9.140625" defaultRowHeight="11.25"/>
  <cols>
    <col min="1" max="1" width="7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5" t="s">
        <v>81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5" ht="21.75" customHeight="1">
      <c r="A2" s="166">
        <v>41883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67" t="s">
        <v>38</v>
      </c>
      <c r="D4" s="60" t="s">
        <v>39</v>
      </c>
      <c r="E4" s="167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9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68"/>
      <c r="D5" s="65" t="s">
        <v>46</v>
      </c>
      <c r="E5" s="168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0"/>
      <c r="N5" s="54"/>
      <c r="O5" s="32"/>
    </row>
    <row r="6" spans="1:15" ht="21.75" customHeight="1">
      <c r="A6" s="78"/>
      <c r="B6" s="78"/>
      <c r="C6" s="125"/>
      <c r="D6" s="127"/>
      <c r="E6" s="125"/>
      <c r="F6" s="125"/>
      <c r="G6" s="143"/>
      <c r="H6" s="134"/>
      <c r="I6" s="80"/>
      <c r="J6" s="138"/>
      <c r="K6" s="94"/>
      <c r="L6" s="124"/>
      <c r="M6" s="126"/>
      <c r="N6" s="54"/>
      <c r="O6" s="32"/>
    </row>
    <row r="7" spans="1:15" ht="21.75" customHeight="1">
      <c r="A7" s="78"/>
      <c r="B7" s="78"/>
      <c r="C7" s="125"/>
      <c r="D7" s="127"/>
      <c r="E7" s="125"/>
      <c r="F7" s="125"/>
      <c r="G7" s="143"/>
      <c r="H7" s="134"/>
      <c r="I7" s="80"/>
      <c r="J7" s="136"/>
      <c r="K7" s="94"/>
      <c r="L7" s="124"/>
      <c r="M7" s="125"/>
      <c r="N7" s="54"/>
      <c r="O7" s="32"/>
    </row>
    <row r="8" spans="1:15" ht="21.75" customHeight="1">
      <c r="A8" s="78"/>
      <c r="B8" s="78"/>
      <c r="C8" s="125"/>
      <c r="D8" s="142"/>
      <c r="E8" s="125"/>
      <c r="F8" s="125"/>
      <c r="G8" s="144"/>
      <c r="H8" s="134"/>
      <c r="I8" s="80"/>
      <c r="J8" s="136"/>
      <c r="K8" s="94"/>
      <c r="L8" s="124"/>
      <c r="M8" s="125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>
      <c r="A11" s="72"/>
      <c r="B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64" t="s">
        <v>85</v>
      </c>
      <c r="B20" s="164"/>
      <c r="C20" s="164"/>
      <c r="D20" s="164"/>
      <c r="E20" s="164"/>
      <c r="F20" s="164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D6" sqref="D6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94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61" t="s">
        <v>14</v>
      </c>
      <c r="C2" s="161"/>
      <c r="D2" s="161"/>
      <c r="E2" s="161"/>
      <c r="F2" s="161"/>
      <c r="G2" s="161"/>
      <c r="H2" s="161"/>
      <c r="I2" s="161"/>
      <c r="J2" s="161"/>
      <c r="K2" s="161"/>
    </row>
    <row r="3" spans="1:12" s="1" customFormat="1" ht="17.25">
      <c r="A3"/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2" s="1" customFormat="1" ht="15">
      <c r="A4"/>
      <c r="B4" s="33" t="s">
        <v>15</v>
      </c>
      <c r="C4" s="34" t="s">
        <v>16</v>
      </c>
      <c r="D4" s="52">
        <f ca="1">NOW()</f>
        <v>41940.317036458335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>
        <v>41883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95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72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120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63" t="s">
        <v>26</v>
      </c>
      <c r="K10" s="163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zoomScaleNormal="110" workbookViewId="0">
      <selection activeCell="E8" sqref="E8"/>
    </sheetView>
  </sheetViews>
  <sheetFormatPr defaultColWidth="9.140625" defaultRowHeight="11.25"/>
  <cols>
    <col min="1" max="1" width="8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65" t="s">
        <v>93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15" ht="21.75" customHeight="1">
      <c r="A2" s="166">
        <v>41883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67" t="s">
        <v>38</v>
      </c>
      <c r="D4" s="60" t="s">
        <v>39</v>
      </c>
      <c r="E4" s="167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69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68"/>
      <c r="D5" s="65" t="s">
        <v>46</v>
      </c>
      <c r="E5" s="168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70"/>
      <c r="N5" s="54"/>
      <c r="O5" s="32"/>
    </row>
    <row r="6" spans="1:15" ht="21.75" customHeight="1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>
      <c r="A10" s="72"/>
      <c r="B10" s="72"/>
      <c r="C10" s="72"/>
      <c r="D10" s="72"/>
      <c r="E10" s="72"/>
      <c r="F10" s="72"/>
      <c r="G10" s="72"/>
      <c r="H10" s="72"/>
      <c r="I10" s="72"/>
    </row>
    <row r="11" spans="1:15">
      <c r="A11" s="72"/>
      <c r="B11" s="72"/>
      <c r="C11" s="72"/>
      <c r="D11" s="72"/>
      <c r="E11" s="72"/>
      <c r="F11" s="72"/>
      <c r="G11" s="72"/>
      <c r="H11" s="72"/>
      <c r="I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64" t="s">
        <v>116</v>
      </c>
      <c r="B20" s="164"/>
      <c r="C20" s="164"/>
      <c r="D20" s="164"/>
      <c r="E20" s="164"/>
      <c r="F20" s="164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Template - Q1_Returns</vt:lpstr>
      <vt:lpstr>Template - Q2_Returns</vt:lpstr>
      <vt:lpstr>Template - Q3_Returns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Q2_Returns'!Print_Area</vt:lpstr>
      <vt:lpstr>'Template - Q3_Returns'!Print_Area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Peter.Dirisu</cp:lastModifiedBy>
  <cp:lastPrinted>2014-10-17T10:31:04Z</cp:lastPrinted>
  <dcterms:created xsi:type="dcterms:W3CDTF">2010-03-05T08:19:24Z</dcterms:created>
  <dcterms:modified xsi:type="dcterms:W3CDTF">2014-10-28T06:37:06Z</dcterms:modified>
</cp:coreProperties>
</file>