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30" windowWidth="19335" windowHeight="7080"/>
  </bookViews>
  <sheets>
    <sheet name="COMPREHENSIVE (MAY'14)" sheetId="3" r:id="rId1"/>
    <sheet name="COMPLIANT (MAY'14)" sheetId="2" r:id="rId2"/>
    <sheet name="NON-COMPLIANT (MAY'14)" sheetId="5" r:id="rId3"/>
  </sheets>
  <calcPr calcId="125725"/>
</workbook>
</file>

<file path=xl/calcChain.xml><?xml version="1.0" encoding="utf-8"?>
<calcChain xmlns="http://schemas.openxmlformats.org/spreadsheetml/2006/main">
  <c r="B6" i="5"/>
  <c r="P15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T5"/>
  <c r="Q5"/>
  <c r="V5" s="1"/>
  <c r="X5" s="1"/>
  <c r="B7"/>
  <c r="B8" s="1"/>
  <c r="B9" s="1"/>
  <c r="B10" s="1"/>
  <c r="B11" s="1"/>
  <c r="B12" s="1"/>
  <c r="B13" s="1"/>
  <c r="B14" s="1"/>
  <c r="Q15"/>
  <c r="V15" l="1"/>
  <c r="P25" i="3"/>
  <c r="T24"/>
  <c r="Q24"/>
  <c r="V24" s="1"/>
  <c r="X24" s="1"/>
  <c r="Y24" s="1"/>
  <c r="T23"/>
  <c r="Q23"/>
  <c r="V23" s="1"/>
  <c r="X23" s="1"/>
  <c r="Y23" s="1"/>
  <c r="T22"/>
  <c r="Q22"/>
  <c r="V22" s="1"/>
  <c r="X22" s="1"/>
  <c r="T21"/>
  <c r="Q21"/>
  <c r="V21" s="1"/>
  <c r="X21" s="1"/>
  <c r="T20"/>
  <c r="Q20"/>
  <c r="V20" s="1"/>
  <c r="X20" s="1"/>
  <c r="T19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Y13" s="1"/>
  <c r="T12"/>
  <c r="Q12"/>
  <c r="V12" s="1"/>
  <c r="X12" s="1"/>
  <c r="Y12" s="1"/>
  <c r="T11"/>
  <c r="Q11"/>
  <c r="V11" s="1"/>
  <c r="X11" s="1"/>
  <c r="Y11" s="1"/>
  <c r="T10"/>
  <c r="Q10"/>
  <c r="V10" s="1"/>
  <c r="X10" s="1"/>
  <c r="T9"/>
  <c r="Q9"/>
  <c r="V9" s="1"/>
  <c r="X9" s="1"/>
  <c r="Y9" s="1"/>
  <c r="T8"/>
  <c r="Q8"/>
  <c r="V8" s="1"/>
  <c r="X8" s="1"/>
  <c r="Y8" s="1"/>
  <c r="T7"/>
  <c r="Q7"/>
  <c r="V7" s="1"/>
  <c r="X7" s="1"/>
  <c r="Y7" s="1"/>
  <c r="T6"/>
  <c r="Q6"/>
  <c r="V6" s="1"/>
  <c r="X6" s="1"/>
  <c r="Y6" s="1"/>
  <c r="T5"/>
  <c r="Q5"/>
  <c r="V5" s="1"/>
  <c r="X5" s="1"/>
  <c r="Y5" s="1"/>
  <c r="Y2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P25" i="2"/>
  <c r="T24"/>
  <c r="Q24"/>
  <c r="V24" s="1"/>
  <c r="X24" s="1"/>
  <c r="Y24" s="1"/>
  <c r="T23"/>
  <c r="Q23"/>
  <c r="V23" s="1"/>
  <c r="X23" s="1"/>
  <c r="Y23" s="1"/>
  <c r="T22"/>
  <c r="Q22"/>
  <c r="V22" s="1"/>
  <c r="X22" s="1"/>
  <c r="Y22" s="1"/>
  <c r="T21"/>
  <c r="Q21"/>
  <c r="V21" s="1"/>
  <c r="X21" s="1"/>
  <c r="Y21" s="1"/>
  <c r="T20"/>
  <c r="Q20"/>
  <c r="V20" s="1"/>
  <c r="X20" s="1"/>
  <c r="Y20" s="1"/>
  <c r="T19"/>
  <c r="Q19"/>
  <c r="V19" s="1"/>
  <c r="X19" s="1"/>
  <c r="Y19" s="1"/>
  <c r="T18"/>
  <c r="Q18"/>
  <c r="V18" s="1"/>
  <c r="X18" s="1"/>
  <c r="Y18" s="1"/>
  <c r="T17"/>
  <c r="Q17"/>
  <c r="V17" s="1"/>
  <c r="X17" s="1"/>
  <c r="Y17" s="1"/>
  <c r="T16"/>
  <c r="Q16"/>
  <c r="V16" s="1"/>
  <c r="X16" s="1"/>
  <c r="Y16" s="1"/>
  <c r="T15"/>
  <c r="Q15"/>
  <c r="V15" s="1"/>
  <c r="X15" s="1"/>
  <c r="Y15" s="1"/>
  <c r="X15" i="5" l="1"/>
  <c r="Y15"/>
  <c r="Q25" i="3"/>
  <c r="T14" i="2"/>
  <c r="Q14"/>
  <c r="V14" s="1"/>
  <c r="X14" s="1"/>
  <c r="V25" i="3" l="1"/>
  <c r="X25"/>
  <c r="T13" i="2"/>
  <c r="Q13"/>
  <c r="V13" s="1"/>
  <c r="X13" s="1"/>
  <c r="T12"/>
  <c r="Q12"/>
  <c r="V12" s="1"/>
  <c r="X12" s="1"/>
  <c r="T11"/>
  <c r="Q11"/>
  <c r="V11" s="1"/>
  <c r="X11" s="1"/>
  <c r="T10" l="1"/>
  <c r="Q10"/>
  <c r="V10" s="1"/>
  <c r="X10" s="1"/>
  <c r="T9" l="1"/>
  <c r="Q9"/>
  <c r="V9" s="1"/>
  <c r="X9" s="1"/>
  <c r="Y9" s="1"/>
  <c r="Y25" s="1"/>
  <c r="T8"/>
  <c r="Q8"/>
  <c r="V8" s="1"/>
  <c r="X8" s="1"/>
  <c r="T7"/>
  <c r="Q7"/>
  <c r="V7" s="1"/>
  <c r="X7" s="1"/>
  <c r="T6"/>
  <c r="Q6"/>
  <c r="V6" s="1"/>
  <c r="X6" s="1"/>
  <c r="T5"/>
  <c r="Q5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V5" l="1"/>
  <c r="Q25"/>
  <c r="X5" l="1"/>
  <c r="X25" s="1"/>
  <c r="V25"/>
</calcChain>
</file>

<file path=xl/sharedStrings.xml><?xml version="1.0" encoding="utf-8"?>
<sst xmlns="http://schemas.openxmlformats.org/spreadsheetml/2006/main" count="683" uniqueCount="188">
  <si>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</si>
  <si>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</si>
  <si>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</si>
  <si>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</si>
  <si>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</si>
  <si>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</si>
  <si>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</si>
  <si>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</si>
  <si>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</si>
  <si>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</si>
  <si>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</si>
  <si>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</si>
  <si>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</si>
  <si>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</si>
  <si>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</si>
  <si>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</si>
  <si>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</si>
  <si>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</si>
  <si>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</si>
  <si>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</si>
  <si>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DESIGNATED BANK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</si>
  <si>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</si>
  <si>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</si>
  <si>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</si>
  <si>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</si>
  <si>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</si>
  <si>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</si>
  <si>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CITI BANK</t>
  </si>
  <si>
    <t>ADDAX PETROLEUM</t>
  </si>
  <si>
    <t>ANTAN BLEND CRUDE OIL</t>
  </si>
  <si>
    <t>ANTAN</t>
  </si>
  <si>
    <t>C182</t>
  </si>
  <si>
    <t>USA</t>
  </si>
  <si>
    <t>GERMANY</t>
  </si>
  <si>
    <t>WILHELMSHAVEN</t>
  </si>
  <si>
    <t>NNPC</t>
  </si>
  <si>
    <t>BRASS</t>
  </si>
  <si>
    <t>ZENITH BANK</t>
  </si>
  <si>
    <t>OYO BLEND CRUDE OIL</t>
  </si>
  <si>
    <t>OYO</t>
  </si>
  <si>
    <t>GHANA</t>
  </si>
  <si>
    <t>FRANCE</t>
  </si>
  <si>
    <t>SEAVOYAGER</t>
  </si>
  <si>
    <t>ALLIED ENERGY</t>
  </si>
  <si>
    <t>NIPPON PRINCESS</t>
  </si>
  <si>
    <t>ABOADZE</t>
  </si>
  <si>
    <t>SKS SINNI</t>
  </si>
  <si>
    <t>DENMARK</t>
  </si>
  <si>
    <t>CITI BANK OF NIG</t>
  </si>
  <si>
    <t>FOS</t>
  </si>
  <si>
    <t>BRASS BLEND CRUDE OIL</t>
  </si>
  <si>
    <t>EBOK BLEND CRUDE OIL</t>
  </si>
  <si>
    <t>EBOK</t>
  </si>
  <si>
    <t>STANDARD CHARTERED</t>
  </si>
  <si>
    <t>INTENTION KALUNDBORG</t>
  </si>
  <si>
    <t>EAGLE SAN ANTONIO</t>
  </si>
  <si>
    <t>CENTRAL BANK</t>
  </si>
  <si>
    <t>ORIENTAL ENERGY</t>
  </si>
  <si>
    <t>201400020004</t>
  </si>
  <si>
    <t>201400020006</t>
  </si>
  <si>
    <t>BRASS 449</t>
  </si>
  <si>
    <t>ANTAN 098</t>
  </si>
  <si>
    <t>201400010251</t>
  </si>
  <si>
    <t>201400010131</t>
  </si>
  <si>
    <t>BERGINA</t>
  </si>
  <si>
    <t>ONE OR MORE SAFE PORT(S) USGC</t>
  </si>
  <si>
    <t>BRASS 467</t>
  </si>
  <si>
    <t>EBOK 017</t>
  </si>
  <si>
    <t>OYO 013</t>
  </si>
  <si>
    <t>41703101C42/5C</t>
  </si>
  <si>
    <t>ORIENTAL EBOK 017</t>
  </si>
  <si>
    <t>ALLIED OYO 011</t>
  </si>
  <si>
    <t>ADDAX BRASS 011</t>
  </si>
  <si>
    <t>ADDAX ANTAN 034</t>
  </si>
  <si>
    <t>NNPC BRASS 150</t>
  </si>
  <si>
    <t>COMPLIANT INSPECTION REPORT FOR THE PERIOD OF  MAY 2014</t>
  </si>
  <si>
    <t>YOHO 096</t>
  </si>
  <si>
    <t>MOBIL YOHO 039</t>
  </si>
  <si>
    <t>201400010115</t>
  </si>
  <si>
    <t>MOBIL PRODUCING</t>
  </si>
  <si>
    <t>YOHO BLEND CRUDE OIL</t>
  </si>
  <si>
    <t>FRONT KATHRINE</t>
  </si>
  <si>
    <t>YOHO</t>
  </si>
  <si>
    <t>NETHERLANDS</t>
  </si>
  <si>
    <t>ROTTERDAM</t>
  </si>
  <si>
    <t>UBA</t>
  </si>
  <si>
    <t>BRASS 399</t>
  </si>
  <si>
    <t>PHILLIPS BRASS 038</t>
  </si>
  <si>
    <t>201300010450</t>
  </si>
  <si>
    <t>PHILLIPS OIL</t>
  </si>
  <si>
    <t>FOUR SMILE</t>
  </si>
  <si>
    <t>TURKEY</t>
  </si>
  <si>
    <t>IZMIT/TUTUNCIFTLIK REFINERY</t>
  </si>
  <si>
    <t>BRASS 425</t>
  </si>
  <si>
    <t>PHILLIPS BRASS 040</t>
  </si>
  <si>
    <t>EXPLORER</t>
  </si>
  <si>
    <t>THAILAND</t>
  </si>
  <si>
    <t>ONE OR MORE SAFE PORT(S), THAILAND</t>
  </si>
  <si>
    <t>BRASS 437</t>
  </si>
  <si>
    <t>PHILLIPS BRASS 041</t>
  </si>
  <si>
    <t>201400010025</t>
  </si>
  <si>
    <t>AFRA HAWTHORN</t>
  </si>
  <si>
    <t>PORTLAND, MAINE</t>
  </si>
  <si>
    <t>BRASS 450</t>
  </si>
  <si>
    <t>PHILLIPS BRASS 042</t>
  </si>
  <si>
    <t>201400010057</t>
  </si>
  <si>
    <t>OKONO 074</t>
  </si>
  <si>
    <t>NNPC OKONO 059</t>
  </si>
  <si>
    <t>41003115C38/71</t>
  </si>
  <si>
    <t>OKONO BLEND CRUDE OIL</t>
  </si>
  <si>
    <t>CAPTAIN MICHAEL</t>
  </si>
  <si>
    <t>OKONO</t>
  </si>
  <si>
    <t>AUSTRALIA</t>
  </si>
  <si>
    <t>OMSP(S), AUSTRALIA</t>
  </si>
  <si>
    <t>BRASS 474</t>
  </si>
  <si>
    <t>NNPC BRASS 152</t>
  </si>
  <si>
    <t>41404105C60/17A</t>
  </si>
  <si>
    <t>MATALA</t>
  </si>
  <si>
    <t>SWEDEN</t>
  </si>
  <si>
    <t>GOTHENBURG</t>
  </si>
  <si>
    <t>BRASS 475</t>
  </si>
  <si>
    <t>NNPC BRASS 153</t>
  </si>
  <si>
    <t>41404105C60/17B</t>
  </si>
  <si>
    <t>BRASS 476</t>
  </si>
  <si>
    <t>NNPC BRASS 154</t>
  </si>
  <si>
    <t>41404105C60/17C</t>
  </si>
  <si>
    <t>BRASS 477</t>
  </si>
  <si>
    <t>NNPC BRASS 155</t>
  </si>
  <si>
    <t>41404105C60/17D</t>
  </si>
  <si>
    <t>YOHO 100</t>
  </si>
  <si>
    <t>NNPC YOHO 060</t>
  </si>
  <si>
    <t>41703109C48/266</t>
  </si>
  <si>
    <t>NETHERLSNDS</t>
  </si>
  <si>
    <t>ANTAN 101</t>
  </si>
  <si>
    <t>NNPC ANTAN 047</t>
  </si>
  <si>
    <t>41404111C62/7A</t>
  </si>
  <si>
    <t>DELTA POSEIDON</t>
  </si>
  <si>
    <t>PORTUGAL</t>
  </si>
  <si>
    <t>LEIXOES</t>
  </si>
  <si>
    <t>ANTAN 102</t>
  </si>
  <si>
    <t>NNPC ANTAN 048</t>
  </si>
  <si>
    <t>41404111C62/7B</t>
  </si>
  <si>
    <t>OKONO 075</t>
  </si>
  <si>
    <t>NNPC OKONO 060</t>
  </si>
  <si>
    <t>41404115C38/75</t>
  </si>
  <si>
    <t>SOUTH SEA</t>
  </si>
  <si>
    <t>BRASS 487</t>
  </si>
  <si>
    <t>NNPC BRASS 156</t>
  </si>
  <si>
    <t>41404105C40/41</t>
  </si>
  <si>
    <t>BERMUDA SPIRIT</t>
  </si>
  <si>
    <t>SINES</t>
  </si>
  <si>
    <t>SKYE BANK</t>
  </si>
  <si>
    <t>AGIP ENERGY</t>
  </si>
  <si>
    <t>NIGERIAN AGIP</t>
  </si>
  <si>
    <t>INDIA</t>
  </si>
  <si>
    <t>NOT YET ISSUED</t>
  </si>
  <si>
    <t>MIDWESTERN OIL</t>
  </si>
  <si>
    <t>PLATFORM PETROLEUM</t>
  </si>
  <si>
    <t>GUARANTY TRUST BANK</t>
  </si>
  <si>
    <t>GTB</t>
  </si>
  <si>
    <t>STANBIC IBTC</t>
  </si>
  <si>
    <t>EBOK 018</t>
  </si>
  <si>
    <t>GREEN WARRIOR</t>
  </si>
  <si>
    <t>MUNDRA</t>
  </si>
  <si>
    <t>BRASS 478</t>
  </si>
  <si>
    <t>201400010188</t>
  </si>
  <si>
    <t>EUROVISION</t>
  </si>
  <si>
    <t>BRASS 479</t>
  </si>
  <si>
    <t>201400010189</t>
  </si>
  <si>
    <t>BRASS 480</t>
  </si>
  <si>
    <t>201400010190</t>
  </si>
  <si>
    <t>BRASS 481</t>
  </si>
  <si>
    <t>201400010163</t>
  </si>
  <si>
    <t>BRUNSBUETTEL, GERMANY FOR ORDERS</t>
  </si>
  <si>
    <t>BRASS 482</t>
  </si>
  <si>
    <t>201401010069</t>
  </si>
  <si>
    <t>BRASS 483</t>
  </si>
  <si>
    <t>201401010070</t>
  </si>
  <si>
    <t>BRASS 484</t>
  </si>
  <si>
    <t>20149030005</t>
  </si>
  <si>
    <t>BRASS 485</t>
  </si>
  <si>
    <t>YET RECEIVED 2</t>
  </si>
  <si>
    <t>BRASS 486</t>
  </si>
  <si>
    <t>YET RECEIVED 3</t>
  </si>
  <si>
    <t>NON-COMPLIANT INSPECTION REPORT FOR THE PERIOD OF MAY 2014</t>
  </si>
  <si>
    <t>COMPREHENSIVE INSPECTION REPORT FOR THE PERIOD OF  MAY 2014</t>
  </si>
  <si>
    <t>STERLING BANK</t>
  </si>
  <si>
    <t>201400010338</t>
  </si>
</sst>
</file>

<file path=xl/styles.xml><?xml version="1.0" encoding="utf-8"?>
<styleSheet xmlns="http://schemas.openxmlformats.org/spreadsheetml/2006/main">
  <numFmts count="7">
    <numFmt numFmtId="43" formatCode="_(* #,##0.00_);_(* \(#,##0.00\);_(* &quot;-&quot;??_);_(@_)"/>
    <numFmt numFmtId="164" formatCode="0.0000"/>
    <numFmt numFmtId="165" formatCode="0000000"/>
    <numFmt numFmtId="166" formatCode="00000000000000"/>
    <numFmt numFmtId="167" formatCode="000000"/>
    <numFmt numFmtId="168" formatCode="_-* #,##0_-;\-* #,##0_-;_-* &quot;-&quot;??_-;_-@_-"/>
    <numFmt numFmtId="169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6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164" fontId="6" fillId="0" borderId="5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6" xfId="0" applyNumberFormat="1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 wrapText="1"/>
    </xf>
    <xf numFmtId="1" fontId="6" fillId="0" borderId="6" xfId="0" applyNumberFormat="1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>
      <alignment horizontal="center" vertical="center" wrapText="1"/>
    </xf>
    <xf numFmtId="0" fontId="7" fillId="0" borderId="3" xfId="2" applyFont="1" applyFill="1" applyBorder="1" applyAlignment="1">
      <alignment horizontal="center" vertical="center" wrapText="1"/>
    </xf>
    <xf numFmtId="49" fontId="7" fillId="0" borderId="3" xfId="2" applyNumberFormat="1" applyFont="1" applyFill="1" applyBorder="1" applyAlignment="1">
      <alignment horizontal="center" vertical="center"/>
    </xf>
    <xf numFmtId="49" fontId="7" fillId="0" borderId="3" xfId="2" applyNumberFormat="1" applyFont="1" applyFill="1" applyBorder="1" applyAlignment="1">
      <alignment horizontal="center" vertical="center" wrapText="1"/>
    </xf>
    <xf numFmtId="164" fontId="7" fillId="0" borderId="3" xfId="2" applyNumberFormat="1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6" fillId="0" borderId="6" xfId="0" applyFont="1" applyFill="1" applyBorder="1"/>
    <xf numFmtId="0" fontId="6" fillId="0" borderId="6" xfId="0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164" fontId="6" fillId="0" borderId="6" xfId="0" applyNumberFormat="1" applyFont="1" applyFill="1" applyBorder="1" applyAlignment="1">
      <alignment horizontal="center" wrapText="1"/>
    </xf>
    <xf numFmtId="3" fontId="6" fillId="0" borderId="6" xfId="0" applyNumberFormat="1" applyFont="1" applyFill="1" applyBorder="1"/>
    <xf numFmtId="4" fontId="6" fillId="0" borderId="6" xfId="0" applyNumberFormat="1" applyFont="1" applyFill="1" applyBorder="1" applyAlignment="1">
      <alignment horizontal="right"/>
    </xf>
    <xf numFmtId="4" fontId="6" fillId="0" borderId="6" xfId="0" applyNumberFormat="1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/>
    </xf>
    <xf numFmtId="4" fontId="6" fillId="0" borderId="6" xfId="0" applyNumberFormat="1" applyFont="1" applyFill="1" applyBorder="1"/>
    <xf numFmtId="43" fontId="6" fillId="0" borderId="7" xfId="1" applyFont="1" applyFill="1" applyBorder="1"/>
    <xf numFmtId="14" fontId="6" fillId="0" borderId="6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wrapText="1"/>
    </xf>
    <xf numFmtId="2" fontId="6" fillId="0" borderId="6" xfId="0" applyNumberFormat="1" applyFont="1" applyFill="1" applyBorder="1"/>
    <xf numFmtId="164" fontId="6" fillId="0" borderId="6" xfId="4" applyNumberFormat="1" applyFont="1" applyFill="1" applyBorder="1" applyAlignment="1">
      <alignment horizontal="center"/>
    </xf>
    <xf numFmtId="3" fontId="6" fillId="0" borderId="6" xfId="0" applyNumberFormat="1" applyFont="1" applyFill="1" applyBorder="1" applyAlignment="1" applyProtection="1">
      <protection locked="0"/>
    </xf>
    <xf numFmtId="3" fontId="6" fillId="0" borderId="7" xfId="0" applyNumberFormat="1" applyFont="1" applyFill="1" applyBorder="1"/>
    <xf numFmtId="4" fontId="6" fillId="0" borderId="7" xfId="0" applyNumberFormat="1" applyFont="1" applyFill="1" applyBorder="1" applyAlignment="1">
      <alignment horizontal="right"/>
    </xf>
    <xf numFmtId="4" fontId="6" fillId="0" borderId="7" xfId="0" applyNumberFormat="1" applyFont="1" applyFill="1" applyBorder="1"/>
    <xf numFmtId="0" fontId="8" fillId="0" borderId="0" xfId="0" applyFont="1" applyFill="1"/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8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169" fontId="7" fillId="0" borderId="8" xfId="0" applyNumberFormat="1" applyFont="1" applyFill="1" applyBorder="1"/>
    <xf numFmtId="43" fontId="7" fillId="0" borderId="8" xfId="0" applyNumberFormat="1" applyFont="1" applyFill="1" applyBorder="1"/>
    <xf numFmtId="0" fontId="6" fillId="0" borderId="0" xfId="0" applyFont="1" applyFill="1"/>
    <xf numFmtId="164" fontId="6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center"/>
    </xf>
    <xf numFmtId="0" fontId="9" fillId="0" borderId="0" xfId="0" applyFont="1" applyFill="1" applyAlignment="1">
      <alignment horizontal="left"/>
    </xf>
    <xf numFmtId="164" fontId="8" fillId="0" borderId="0" xfId="0" applyNumberFormat="1" applyFont="1" applyFill="1" applyAlignment="1">
      <alignment horizontal="center"/>
    </xf>
    <xf numFmtId="0" fontId="10" fillId="0" borderId="0" xfId="0" applyFont="1" applyFill="1"/>
    <xf numFmtId="43" fontId="6" fillId="0" borderId="6" xfId="1" applyFont="1" applyFill="1" applyBorder="1"/>
    <xf numFmtId="165" fontId="6" fillId="0" borderId="6" xfId="0" applyNumberFormat="1" applyFont="1" applyFill="1" applyBorder="1" applyAlignment="1">
      <alignment horizontal="center"/>
    </xf>
    <xf numFmtId="167" fontId="6" fillId="0" borderId="6" xfId="0" applyNumberFormat="1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1" fontId="6" fillId="0" borderId="6" xfId="0" applyNumberFormat="1" applyFont="1" applyFill="1" applyBorder="1" applyAlignment="1">
      <alignment horizontal="center"/>
    </xf>
    <xf numFmtId="168" fontId="6" fillId="0" borderId="6" xfId="5" applyNumberFormat="1" applyFont="1" applyFill="1" applyBorder="1"/>
    <xf numFmtId="2" fontId="6" fillId="0" borderId="6" xfId="0" applyNumberFormat="1" applyFont="1" applyFill="1" applyBorder="1" applyAlignment="1">
      <alignment horizontal="center"/>
    </xf>
    <xf numFmtId="3" fontId="6" fillId="0" borderId="5" xfId="0" applyNumberFormat="1" applyFont="1" applyFill="1" applyBorder="1"/>
    <xf numFmtId="3" fontId="7" fillId="0" borderId="8" xfId="0" applyNumberFormat="1" applyFont="1" applyFill="1" applyBorder="1"/>
    <xf numFmtId="4" fontId="7" fillId="0" borderId="8" xfId="0" applyNumberFormat="1" applyFont="1" applyFill="1" applyBorder="1"/>
    <xf numFmtId="0" fontId="7" fillId="0" borderId="0" xfId="0" applyFont="1" applyFill="1"/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/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180975</xdr:rowOff>
    </xdr:from>
    <xdr:to>
      <xdr:col>4</xdr:col>
      <xdr:colOff>0</xdr:colOff>
      <xdr:row>2</xdr:row>
      <xdr:rowOff>142876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5350" y="180975"/>
          <a:ext cx="476250" cy="3524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114299</xdr:rowOff>
    </xdr:from>
    <xdr:to>
      <xdr:col>3</xdr:col>
      <xdr:colOff>514350</xdr:colOff>
      <xdr:row>2</xdr:row>
      <xdr:rowOff>123825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62025" y="114299"/>
          <a:ext cx="466725" cy="4000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152400</xdr:rowOff>
    </xdr:from>
    <xdr:to>
      <xdr:col>3</xdr:col>
      <xdr:colOff>438150</xdr:colOff>
      <xdr:row>2</xdr:row>
      <xdr:rowOff>133351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14400" y="152400"/>
          <a:ext cx="419100" cy="371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A25"/>
  <sheetViews>
    <sheetView tabSelected="1" workbookViewId="0">
      <selection activeCell="G14" sqref="G14"/>
    </sheetView>
  </sheetViews>
  <sheetFormatPr defaultRowHeight="15"/>
  <cols>
    <col min="1" max="1" width="3.42578125" customWidth="1"/>
    <col min="2" max="2" width="4.140625" customWidth="1"/>
    <col min="3" max="3" width="5.85546875" style="3" customWidth="1"/>
    <col min="4" max="4" width="7.140625" style="3" customWidth="1"/>
    <col min="5" max="5" width="5.7109375" style="3" customWidth="1"/>
    <col min="6" max="6" width="11.140625" style="3" customWidth="1"/>
    <col min="7" max="7" width="8.5703125" style="3" customWidth="1"/>
    <col min="8" max="8" width="8.28515625" style="3" customWidth="1"/>
    <col min="9" max="9" width="8.140625" style="3" customWidth="1"/>
    <col min="10" max="10" width="5.85546875" customWidth="1"/>
    <col min="11" max="11" width="6.7109375" style="1" customWidth="1"/>
    <col min="12" max="12" width="8.42578125" style="3" customWidth="1"/>
    <col min="13" max="13" width="6.42578125" style="3" customWidth="1"/>
    <col min="14" max="14" width="7.5703125" style="5" customWidth="1"/>
    <col min="15" max="15" width="12.42578125" style="6" customWidth="1"/>
    <col min="16" max="16" width="8.140625" customWidth="1"/>
    <col min="17" max="17" width="12.7109375" customWidth="1"/>
    <col min="18" max="18" width="6.28515625" customWidth="1"/>
    <col min="19" max="19" width="7.140625" style="8" customWidth="1"/>
    <col min="20" max="20" width="8.42578125" style="1" customWidth="1"/>
    <col min="21" max="21" width="8" style="3" customWidth="1"/>
    <col min="22" max="22" width="9.5703125" customWidth="1"/>
    <col min="23" max="23" width="5.85546875" customWidth="1"/>
    <col min="24" max="24" width="11.85546875" customWidth="1"/>
    <col min="25" max="25" width="11.5703125" customWidth="1"/>
    <col min="26" max="27" width="5.85546875" customWidth="1"/>
  </cols>
  <sheetData>
    <row r="2" spans="2:27" ht="15.75">
      <c r="L2" s="4" t="s">
        <v>0</v>
      </c>
    </row>
    <row r="3" spans="2:27" ht="23.25" customHeight="1" thickBot="1">
      <c r="L3" s="4" t="s">
        <v>185</v>
      </c>
      <c r="P3" s="2"/>
    </row>
    <row r="4" spans="2:27" s="3" customFormat="1" ht="42.6" customHeight="1" thickBot="1">
      <c r="B4" s="13" t="s">
        <v>1</v>
      </c>
      <c r="C4" s="14" t="s">
        <v>2</v>
      </c>
      <c r="D4" s="14" t="s">
        <v>3</v>
      </c>
      <c r="E4" s="14" t="s">
        <v>4</v>
      </c>
      <c r="F4" s="15" t="s">
        <v>5</v>
      </c>
      <c r="G4" s="16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15</v>
      </c>
      <c r="Q4" s="14" t="s">
        <v>16</v>
      </c>
      <c r="R4" s="14" t="s">
        <v>17</v>
      </c>
      <c r="S4" s="17" t="s">
        <v>18</v>
      </c>
      <c r="T4" s="14" t="s">
        <v>19</v>
      </c>
      <c r="U4" s="14" t="s">
        <v>20</v>
      </c>
      <c r="V4" s="14" t="s">
        <v>21</v>
      </c>
      <c r="W4" s="14" t="s">
        <v>22</v>
      </c>
      <c r="X4" s="14" t="s">
        <v>23</v>
      </c>
      <c r="Y4" s="14" t="s">
        <v>24</v>
      </c>
      <c r="Z4" s="14" t="s">
        <v>25</v>
      </c>
      <c r="AA4" s="18" t="s">
        <v>26</v>
      </c>
    </row>
    <row r="5" spans="2:27" ht="29.25" customHeight="1">
      <c r="B5" s="19">
        <v>1</v>
      </c>
      <c r="C5" s="10" t="s">
        <v>106</v>
      </c>
      <c r="D5" s="21" t="s">
        <v>107</v>
      </c>
      <c r="E5" s="21">
        <v>41789</v>
      </c>
      <c r="F5" s="22" t="s">
        <v>108</v>
      </c>
      <c r="G5" s="10" t="s">
        <v>56</v>
      </c>
      <c r="H5" s="10" t="s">
        <v>35</v>
      </c>
      <c r="I5" s="10" t="s">
        <v>109</v>
      </c>
      <c r="J5" s="23">
        <v>801.22</v>
      </c>
      <c r="K5" s="21">
        <v>41764</v>
      </c>
      <c r="L5" s="10" t="s">
        <v>110</v>
      </c>
      <c r="M5" s="10" t="s">
        <v>111</v>
      </c>
      <c r="N5" s="10" t="s">
        <v>112</v>
      </c>
      <c r="O5" s="12" t="s">
        <v>113</v>
      </c>
      <c r="P5" s="24">
        <v>899633</v>
      </c>
      <c r="Q5" s="25">
        <f t="shared" ref="Q5:Q24" si="0">SUM(P5*S5)</f>
        <v>100128793.0468</v>
      </c>
      <c r="R5" s="26" t="s">
        <v>31</v>
      </c>
      <c r="S5" s="9">
        <v>111.2996</v>
      </c>
      <c r="T5" s="27">
        <f t="shared" ref="T5:T24" si="1">SUM(K5)+89</f>
        <v>41853</v>
      </c>
      <c r="U5" s="10" t="s">
        <v>56</v>
      </c>
      <c r="V5" s="28">
        <f t="shared" ref="V5:V7" si="2">SUM(Q5*0.12%)</f>
        <v>120154.55165615999</v>
      </c>
      <c r="W5" s="20">
        <v>155.72999999999999</v>
      </c>
      <c r="X5" s="25">
        <f t="shared" ref="X5:X12" si="3">SUM(V5*W5)</f>
        <v>18711668.329413794</v>
      </c>
      <c r="Y5" s="29">
        <f t="shared" ref="Y5:Y13" si="4">X5</f>
        <v>18711668.329413794</v>
      </c>
      <c r="Z5" s="20"/>
      <c r="AA5" s="20"/>
    </row>
    <row r="6" spans="2:27" ht="29.25" customHeight="1">
      <c r="B6" s="19">
        <f t="shared" ref="B6:B24" si="5">B5+1</f>
        <v>2</v>
      </c>
      <c r="C6" s="10" t="s">
        <v>114</v>
      </c>
      <c r="D6" s="21" t="s">
        <v>115</v>
      </c>
      <c r="E6" s="21">
        <v>41789</v>
      </c>
      <c r="F6" s="22" t="s">
        <v>116</v>
      </c>
      <c r="G6" s="10" t="s">
        <v>56</v>
      </c>
      <c r="H6" s="10" t="s">
        <v>35</v>
      </c>
      <c r="I6" s="10" t="s">
        <v>50</v>
      </c>
      <c r="J6" s="23">
        <v>801.22</v>
      </c>
      <c r="K6" s="21">
        <v>41766</v>
      </c>
      <c r="L6" s="10" t="s">
        <v>117</v>
      </c>
      <c r="M6" s="10" t="s">
        <v>36</v>
      </c>
      <c r="N6" s="10" t="s">
        <v>118</v>
      </c>
      <c r="O6" s="12" t="s">
        <v>119</v>
      </c>
      <c r="P6" s="24">
        <v>46000</v>
      </c>
      <c r="Q6" s="25">
        <f t="shared" si="0"/>
        <v>5082632</v>
      </c>
      <c r="R6" s="26" t="s">
        <v>31</v>
      </c>
      <c r="S6" s="9">
        <v>110.492</v>
      </c>
      <c r="T6" s="27">
        <f t="shared" si="1"/>
        <v>41855</v>
      </c>
      <c r="U6" s="10" t="s">
        <v>56</v>
      </c>
      <c r="V6" s="28">
        <f t="shared" si="2"/>
        <v>6099.1583999999993</v>
      </c>
      <c r="W6" s="20">
        <v>155.72999999999999</v>
      </c>
      <c r="X6" s="25">
        <f t="shared" si="3"/>
        <v>949821.93763199984</v>
      </c>
      <c r="Y6" s="29">
        <f t="shared" si="4"/>
        <v>949821.93763199984</v>
      </c>
      <c r="Z6" s="20"/>
      <c r="AA6" s="20"/>
    </row>
    <row r="7" spans="2:27" ht="29.25" customHeight="1">
      <c r="B7" s="19">
        <f t="shared" si="5"/>
        <v>3</v>
      </c>
      <c r="C7" s="10" t="s">
        <v>120</v>
      </c>
      <c r="D7" s="21" t="s">
        <v>121</v>
      </c>
      <c r="E7" s="21">
        <v>41789</v>
      </c>
      <c r="F7" s="22" t="s">
        <v>122</v>
      </c>
      <c r="G7" s="10" t="s">
        <v>56</v>
      </c>
      <c r="H7" s="10" t="s">
        <v>35</v>
      </c>
      <c r="I7" s="10" t="s">
        <v>50</v>
      </c>
      <c r="J7" s="23">
        <v>801.22</v>
      </c>
      <c r="K7" s="21">
        <v>41766</v>
      </c>
      <c r="L7" s="10" t="s">
        <v>117</v>
      </c>
      <c r="M7" s="10" t="s">
        <v>36</v>
      </c>
      <c r="N7" s="10" t="s">
        <v>118</v>
      </c>
      <c r="O7" s="12" t="s">
        <v>119</v>
      </c>
      <c r="P7" s="24">
        <v>42000</v>
      </c>
      <c r="Q7" s="25">
        <f t="shared" si="0"/>
        <v>4640664</v>
      </c>
      <c r="R7" s="26" t="s">
        <v>31</v>
      </c>
      <c r="S7" s="9">
        <v>110.492</v>
      </c>
      <c r="T7" s="27">
        <f t="shared" si="1"/>
        <v>41855</v>
      </c>
      <c r="U7" s="10" t="s">
        <v>56</v>
      </c>
      <c r="V7" s="28">
        <f t="shared" si="2"/>
        <v>5568.7967999999992</v>
      </c>
      <c r="W7" s="20">
        <v>155.72999999999999</v>
      </c>
      <c r="X7" s="25">
        <f t="shared" si="3"/>
        <v>867228.72566399979</v>
      </c>
      <c r="Y7" s="29">
        <f t="shared" si="4"/>
        <v>867228.72566399979</v>
      </c>
      <c r="Z7" s="20"/>
      <c r="AA7" s="20"/>
    </row>
    <row r="8" spans="2:27" ht="29.25" customHeight="1">
      <c r="B8" s="19">
        <f t="shared" si="5"/>
        <v>4</v>
      </c>
      <c r="C8" s="10" t="s">
        <v>123</v>
      </c>
      <c r="D8" s="21" t="s">
        <v>124</v>
      </c>
      <c r="E8" s="21">
        <v>41789</v>
      </c>
      <c r="F8" s="22" t="s">
        <v>125</v>
      </c>
      <c r="G8" s="10" t="s">
        <v>56</v>
      </c>
      <c r="H8" s="10" t="s">
        <v>35</v>
      </c>
      <c r="I8" s="10" t="s">
        <v>50</v>
      </c>
      <c r="J8" s="23">
        <v>801.22</v>
      </c>
      <c r="K8" s="21">
        <v>41766</v>
      </c>
      <c r="L8" s="10" t="s">
        <v>117</v>
      </c>
      <c r="M8" s="10" t="s">
        <v>36</v>
      </c>
      <c r="N8" s="10" t="s">
        <v>118</v>
      </c>
      <c r="O8" s="12" t="s">
        <v>119</v>
      </c>
      <c r="P8" s="24">
        <v>78000</v>
      </c>
      <c r="Q8" s="25">
        <f t="shared" si="0"/>
        <v>8618376</v>
      </c>
      <c r="R8" s="26" t="s">
        <v>31</v>
      </c>
      <c r="S8" s="9">
        <v>110.492</v>
      </c>
      <c r="T8" s="27">
        <f t="shared" si="1"/>
        <v>41855</v>
      </c>
      <c r="U8" s="10" t="s">
        <v>56</v>
      </c>
      <c r="V8" s="28">
        <f t="shared" ref="V8:V24" si="6">SUM(Q8*0.12%)</f>
        <v>10342.0512</v>
      </c>
      <c r="W8" s="20">
        <v>155.72999999999999</v>
      </c>
      <c r="X8" s="25">
        <f t="shared" si="3"/>
        <v>1610567.633376</v>
      </c>
      <c r="Y8" s="29">
        <f t="shared" si="4"/>
        <v>1610567.633376</v>
      </c>
      <c r="Z8" s="20"/>
      <c r="AA8" s="20"/>
    </row>
    <row r="9" spans="2:27" ht="29.25" customHeight="1">
      <c r="B9" s="19">
        <f t="shared" si="5"/>
        <v>5</v>
      </c>
      <c r="C9" s="10" t="s">
        <v>126</v>
      </c>
      <c r="D9" s="21" t="s">
        <v>127</v>
      </c>
      <c r="E9" s="21">
        <v>41789</v>
      </c>
      <c r="F9" s="22" t="s">
        <v>128</v>
      </c>
      <c r="G9" s="10" t="s">
        <v>56</v>
      </c>
      <c r="H9" s="10" t="s">
        <v>35</v>
      </c>
      <c r="I9" s="10" t="s">
        <v>50</v>
      </c>
      <c r="J9" s="23">
        <v>801.22</v>
      </c>
      <c r="K9" s="21">
        <v>41766</v>
      </c>
      <c r="L9" s="10" t="s">
        <v>117</v>
      </c>
      <c r="M9" s="10" t="s">
        <v>36</v>
      </c>
      <c r="N9" s="10" t="s">
        <v>118</v>
      </c>
      <c r="O9" s="12" t="s">
        <v>119</v>
      </c>
      <c r="P9" s="24">
        <v>83641</v>
      </c>
      <c r="Q9" s="25">
        <f t="shared" si="0"/>
        <v>9241661.3719999995</v>
      </c>
      <c r="R9" s="26" t="s">
        <v>31</v>
      </c>
      <c r="S9" s="9">
        <v>110.492</v>
      </c>
      <c r="T9" s="27">
        <f t="shared" si="1"/>
        <v>41855</v>
      </c>
      <c r="U9" s="10" t="s">
        <v>56</v>
      </c>
      <c r="V9" s="28">
        <f t="shared" si="6"/>
        <v>11089.993646399998</v>
      </c>
      <c r="W9" s="20">
        <v>155.72999999999999</v>
      </c>
      <c r="X9" s="25">
        <f t="shared" si="3"/>
        <v>1727044.7105538717</v>
      </c>
      <c r="Y9" s="29">
        <f t="shared" si="4"/>
        <v>1727044.7105538717</v>
      </c>
      <c r="Z9" s="20"/>
      <c r="AA9" s="20"/>
    </row>
    <row r="10" spans="2:27" ht="29.25" customHeight="1">
      <c r="B10" s="19">
        <f t="shared" si="5"/>
        <v>6</v>
      </c>
      <c r="C10" s="10" t="s">
        <v>161</v>
      </c>
      <c r="D10" s="30" t="s">
        <v>155</v>
      </c>
      <c r="E10" s="21"/>
      <c r="F10" s="31" t="s">
        <v>187</v>
      </c>
      <c r="G10" s="10" t="s">
        <v>160</v>
      </c>
      <c r="H10" s="10" t="s">
        <v>57</v>
      </c>
      <c r="I10" s="10" t="s">
        <v>51</v>
      </c>
      <c r="J10" s="23">
        <v>801.22</v>
      </c>
      <c r="K10" s="21">
        <v>41768</v>
      </c>
      <c r="L10" s="10" t="s">
        <v>162</v>
      </c>
      <c r="M10" s="10" t="s">
        <v>52</v>
      </c>
      <c r="N10" s="10" t="s">
        <v>154</v>
      </c>
      <c r="O10" s="12" t="s">
        <v>163</v>
      </c>
      <c r="P10" s="24">
        <v>631195</v>
      </c>
      <c r="Q10" s="25">
        <f t="shared" si="0"/>
        <v>66642830.489999995</v>
      </c>
      <c r="R10" s="26" t="s">
        <v>31</v>
      </c>
      <c r="S10" s="7">
        <v>105.58199999999999</v>
      </c>
      <c r="T10" s="27">
        <f t="shared" si="1"/>
        <v>41857</v>
      </c>
      <c r="U10" s="10" t="s">
        <v>53</v>
      </c>
      <c r="V10" s="28">
        <f t="shared" si="6"/>
        <v>79971.396587999989</v>
      </c>
      <c r="W10" s="20">
        <v>155.72999999999999</v>
      </c>
      <c r="X10" s="25">
        <f t="shared" si="3"/>
        <v>12453945.590649238</v>
      </c>
      <c r="Y10" s="32">
        <v>0</v>
      </c>
      <c r="Z10" s="20"/>
      <c r="AA10" s="20"/>
    </row>
    <row r="11" spans="2:27" ht="29.25" customHeight="1">
      <c r="B11" s="19">
        <f t="shared" si="5"/>
        <v>7</v>
      </c>
      <c r="C11" s="10" t="s">
        <v>129</v>
      </c>
      <c r="D11" s="21" t="s">
        <v>130</v>
      </c>
      <c r="E11" s="21">
        <v>41789</v>
      </c>
      <c r="F11" s="11" t="s">
        <v>131</v>
      </c>
      <c r="G11" s="10" t="s">
        <v>56</v>
      </c>
      <c r="H11" s="10" t="s">
        <v>35</v>
      </c>
      <c r="I11" s="10" t="s">
        <v>80</v>
      </c>
      <c r="J11" s="23">
        <v>801.22</v>
      </c>
      <c r="K11" s="21">
        <v>41770</v>
      </c>
      <c r="L11" s="10" t="s">
        <v>42</v>
      </c>
      <c r="M11" s="10" t="s">
        <v>82</v>
      </c>
      <c r="N11" s="10" t="s">
        <v>132</v>
      </c>
      <c r="O11" s="12" t="s">
        <v>84</v>
      </c>
      <c r="P11" s="24">
        <v>950065</v>
      </c>
      <c r="Q11" s="25">
        <f t="shared" si="0"/>
        <v>105371709.14999999</v>
      </c>
      <c r="R11" s="26" t="s">
        <v>31</v>
      </c>
      <c r="S11" s="9">
        <v>110.91</v>
      </c>
      <c r="T11" s="27">
        <f t="shared" si="1"/>
        <v>41859</v>
      </c>
      <c r="U11" s="10" t="s">
        <v>56</v>
      </c>
      <c r="V11" s="28">
        <f t="shared" si="6"/>
        <v>126446.05097999999</v>
      </c>
      <c r="W11" s="20">
        <v>155.72999999999999</v>
      </c>
      <c r="X11" s="25">
        <f t="shared" si="3"/>
        <v>19691443.519115396</v>
      </c>
      <c r="Y11" s="29">
        <f t="shared" si="4"/>
        <v>19691443.519115396</v>
      </c>
      <c r="Z11" s="20"/>
      <c r="AA11" s="20"/>
    </row>
    <row r="12" spans="2:27" ht="29.25" customHeight="1">
      <c r="B12" s="19">
        <f t="shared" si="5"/>
        <v>8</v>
      </c>
      <c r="C12" s="10" t="s">
        <v>133</v>
      </c>
      <c r="D12" s="21" t="s">
        <v>134</v>
      </c>
      <c r="E12" s="21">
        <v>41789</v>
      </c>
      <c r="F12" s="11" t="s">
        <v>135</v>
      </c>
      <c r="G12" s="10" t="s">
        <v>56</v>
      </c>
      <c r="H12" s="10" t="s">
        <v>35</v>
      </c>
      <c r="I12" s="10" t="s">
        <v>29</v>
      </c>
      <c r="J12" s="23">
        <v>801.22</v>
      </c>
      <c r="K12" s="21">
        <v>41776</v>
      </c>
      <c r="L12" s="10" t="s">
        <v>136</v>
      </c>
      <c r="M12" s="10" t="s">
        <v>30</v>
      </c>
      <c r="N12" s="10" t="s">
        <v>137</v>
      </c>
      <c r="O12" s="12" t="s">
        <v>138</v>
      </c>
      <c r="P12" s="24">
        <v>548502</v>
      </c>
      <c r="Q12" s="25">
        <f t="shared" si="0"/>
        <v>60799801.193999998</v>
      </c>
      <c r="R12" s="26" t="s">
        <v>31</v>
      </c>
      <c r="S12" s="33">
        <v>110.84699999999999</v>
      </c>
      <c r="T12" s="27">
        <f t="shared" si="1"/>
        <v>41865</v>
      </c>
      <c r="U12" s="10" t="s">
        <v>56</v>
      </c>
      <c r="V12" s="28">
        <f t="shared" si="6"/>
        <v>72959.761432799991</v>
      </c>
      <c r="W12" s="20">
        <v>155.72999999999999</v>
      </c>
      <c r="X12" s="25">
        <f t="shared" si="3"/>
        <v>11362023.647929942</v>
      </c>
      <c r="Y12" s="29">
        <f t="shared" si="4"/>
        <v>11362023.647929942</v>
      </c>
      <c r="Z12" s="20"/>
      <c r="AA12" s="20"/>
    </row>
    <row r="13" spans="2:27" ht="29.25" customHeight="1">
      <c r="B13" s="19">
        <f t="shared" si="5"/>
        <v>9</v>
      </c>
      <c r="C13" s="10" t="s">
        <v>139</v>
      </c>
      <c r="D13" s="21" t="s">
        <v>140</v>
      </c>
      <c r="E13" s="21">
        <v>41789</v>
      </c>
      <c r="F13" s="11" t="s">
        <v>141</v>
      </c>
      <c r="G13" s="10" t="s">
        <v>56</v>
      </c>
      <c r="H13" s="10" t="s">
        <v>35</v>
      </c>
      <c r="I13" s="10" t="s">
        <v>29</v>
      </c>
      <c r="J13" s="23">
        <v>801.22</v>
      </c>
      <c r="K13" s="21">
        <v>41776</v>
      </c>
      <c r="L13" s="10" t="s">
        <v>136</v>
      </c>
      <c r="M13" s="10" t="s">
        <v>30</v>
      </c>
      <c r="N13" s="10" t="s">
        <v>137</v>
      </c>
      <c r="O13" s="12" t="s">
        <v>138</v>
      </c>
      <c r="P13" s="24">
        <v>400000</v>
      </c>
      <c r="Q13" s="25">
        <f t="shared" si="0"/>
        <v>44338800</v>
      </c>
      <c r="R13" s="26" t="s">
        <v>31</v>
      </c>
      <c r="S13" s="33">
        <v>110.84699999999999</v>
      </c>
      <c r="T13" s="27">
        <f t="shared" si="1"/>
        <v>41865</v>
      </c>
      <c r="U13" s="10" t="s">
        <v>56</v>
      </c>
      <c r="V13" s="28">
        <f t="shared" si="6"/>
        <v>53206.559999999998</v>
      </c>
      <c r="W13" s="20">
        <v>155.72999999999999</v>
      </c>
      <c r="X13" s="25">
        <f t="shared" ref="X13:X24" si="7">SUM(V13*W13)</f>
        <v>8285857.5887999991</v>
      </c>
      <c r="Y13" s="29">
        <f t="shared" si="4"/>
        <v>8285857.5887999991</v>
      </c>
      <c r="Z13" s="20"/>
      <c r="AA13" s="20"/>
    </row>
    <row r="14" spans="2:27" ht="29.25" customHeight="1">
      <c r="B14" s="19">
        <f t="shared" si="5"/>
        <v>10</v>
      </c>
      <c r="C14" s="10" t="s">
        <v>164</v>
      </c>
      <c r="D14" s="30" t="s">
        <v>155</v>
      </c>
      <c r="E14" s="21"/>
      <c r="F14" s="22" t="s">
        <v>165</v>
      </c>
      <c r="G14" s="10" t="s">
        <v>48</v>
      </c>
      <c r="H14" s="10" t="s">
        <v>153</v>
      </c>
      <c r="I14" s="10" t="s">
        <v>50</v>
      </c>
      <c r="J14" s="23">
        <v>801.22</v>
      </c>
      <c r="K14" s="21">
        <v>42872</v>
      </c>
      <c r="L14" s="10" t="s">
        <v>166</v>
      </c>
      <c r="M14" s="10" t="s">
        <v>36</v>
      </c>
      <c r="N14" s="10" t="s">
        <v>132</v>
      </c>
      <c r="O14" s="12" t="s">
        <v>84</v>
      </c>
      <c r="P14" s="24">
        <v>101000</v>
      </c>
      <c r="Q14" s="25">
        <f t="shared" si="0"/>
        <v>11397547</v>
      </c>
      <c r="R14" s="26" t="s">
        <v>31</v>
      </c>
      <c r="S14" s="33">
        <v>112.84699999999999</v>
      </c>
      <c r="T14" s="27">
        <f t="shared" si="1"/>
        <v>42961</v>
      </c>
      <c r="U14" s="12" t="s">
        <v>85</v>
      </c>
      <c r="V14" s="28">
        <f t="shared" si="6"/>
        <v>13677.056399999999</v>
      </c>
      <c r="W14" s="20">
        <v>155.72999999999999</v>
      </c>
      <c r="X14" s="25">
        <f t="shared" si="7"/>
        <v>2129927.9931719997</v>
      </c>
      <c r="Y14" s="32">
        <v>0</v>
      </c>
      <c r="Z14" s="20"/>
      <c r="AA14" s="20"/>
    </row>
    <row r="15" spans="2:27" ht="29.25" customHeight="1">
      <c r="B15" s="19">
        <f t="shared" si="5"/>
        <v>11</v>
      </c>
      <c r="C15" s="10" t="s">
        <v>167</v>
      </c>
      <c r="D15" s="30" t="s">
        <v>155</v>
      </c>
      <c r="E15" s="21"/>
      <c r="F15" s="22" t="s">
        <v>168</v>
      </c>
      <c r="G15" s="10" t="s">
        <v>48</v>
      </c>
      <c r="H15" s="10" t="s">
        <v>153</v>
      </c>
      <c r="I15" s="10" t="s">
        <v>50</v>
      </c>
      <c r="J15" s="23">
        <v>801.22</v>
      </c>
      <c r="K15" s="21">
        <v>42872</v>
      </c>
      <c r="L15" s="10" t="s">
        <v>166</v>
      </c>
      <c r="M15" s="10" t="s">
        <v>36</v>
      </c>
      <c r="N15" s="10" t="s">
        <v>132</v>
      </c>
      <c r="O15" s="12" t="s">
        <v>84</v>
      </c>
      <c r="P15" s="24">
        <v>119592</v>
      </c>
      <c r="Q15" s="25">
        <f t="shared" si="0"/>
        <v>13495598.423999999</v>
      </c>
      <c r="R15" s="26" t="s">
        <v>31</v>
      </c>
      <c r="S15" s="33">
        <v>112.84699999999999</v>
      </c>
      <c r="T15" s="27">
        <f t="shared" si="1"/>
        <v>42961</v>
      </c>
      <c r="U15" s="12" t="s">
        <v>85</v>
      </c>
      <c r="V15" s="28">
        <f t="shared" si="6"/>
        <v>16194.718108799998</v>
      </c>
      <c r="W15" s="20">
        <v>155.72999999999999</v>
      </c>
      <c r="X15" s="25">
        <f t="shared" si="7"/>
        <v>2522003.4510834236</v>
      </c>
      <c r="Y15" s="32">
        <v>0</v>
      </c>
      <c r="Z15" s="20"/>
      <c r="AA15" s="20"/>
    </row>
    <row r="16" spans="2:27" ht="29.25" customHeight="1">
      <c r="B16" s="19">
        <f t="shared" si="5"/>
        <v>12</v>
      </c>
      <c r="C16" s="10" t="s">
        <v>169</v>
      </c>
      <c r="D16" s="30" t="s">
        <v>155</v>
      </c>
      <c r="E16" s="21"/>
      <c r="F16" s="22" t="s">
        <v>170</v>
      </c>
      <c r="G16" s="10" t="s">
        <v>48</v>
      </c>
      <c r="H16" s="10" t="s">
        <v>152</v>
      </c>
      <c r="I16" s="10" t="s">
        <v>50</v>
      </c>
      <c r="J16" s="23">
        <v>801.22</v>
      </c>
      <c r="K16" s="21">
        <v>42872</v>
      </c>
      <c r="L16" s="10" t="s">
        <v>166</v>
      </c>
      <c r="M16" s="10" t="s">
        <v>36</v>
      </c>
      <c r="N16" s="10" t="s">
        <v>132</v>
      </c>
      <c r="O16" s="12" t="s">
        <v>84</v>
      </c>
      <c r="P16" s="24">
        <v>70000</v>
      </c>
      <c r="Q16" s="25">
        <f t="shared" si="0"/>
        <v>7899290</v>
      </c>
      <c r="R16" s="26" t="s">
        <v>31</v>
      </c>
      <c r="S16" s="33">
        <v>112.84699999999999</v>
      </c>
      <c r="T16" s="27">
        <f t="shared" si="1"/>
        <v>42961</v>
      </c>
      <c r="U16" s="12" t="s">
        <v>85</v>
      </c>
      <c r="V16" s="28">
        <f t="shared" si="6"/>
        <v>9479.1479999999992</v>
      </c>
      <c r="W16" s="20">
        <v>155.72999999999999</v>
      </c>
      <c r="X16" s="25">
        <f t="shared" si="7"/>
        <v>1476187.7180399997</v>
      </c>
      <c r="Y16" s="32">
        <v>0</v>
      </c>
      <c r="Z16" s="20"/>
      <c r="AA16" s="20"/>
    </row>
    <row r="17" spans="2:27" ht="29.25" customHeight="1">
      <c r="B17" s="19">
        <f t="shared" si="5"/>
        <v>13</v>
      </c>
      <c r="C17" s="10" t="s">
        <v>171</v>
      </c>
      <c r="D17" s="30" t="s">
        <v>155</v>
      </c>
      <c r="E17" s="21"/>
      <c r="F17" s="22" t="s">
        <v>172</v>
      </c>
      <c r="G17" s="10" t="s">
        <v>53</v>
      </c>
      <c r="H17" s="10" t="s">
        <v>89</v>
      </c>
      <c r="I17" s="10" t="s">
        <v>50</v>
      </c>
      <c r="J17" s="23">
        <v>801.22</v>
      </c>
      <c r="K17" s="21">
        <v>42872</v>
      </c>
      <c r="L17" s="10" t="s">
        <v>166</v>
      </c>
      <c r="M17" s="10" t="s">
        <v>36</v>
      </c>
      <c r="N17" s="10" t="s">
        <v>33</v>
      </c>
      <c r="O17" s="12" t="s">
        <v>173</v>
      </c>
      <c r="P17" s="24">
        <v>359000</v>
      </c>
      <c r="Q17" s="25">
        <f t="shared" si="0"/>
        <v>40551922</v>
      </c>
      <c r="R17" s="26" t="s">
        <v>31</v>
      </c>
      <c r="S17" s="33">
        <v>112.958</v>
      </c>
      <c r="T17" s="27">
        <f t="shared" si="1"/>
        <v>42961</v>
      </c>
      <c r="U17" s="12" t="s">
        <v>85</v>
      </c>
      <c r="V17" s="28">
        <f t="shared" si="6"/>
        <v>48662.306399999994</v>
      </c>
      <c r="W17" s="20">
        <v>155.72999999999999</v>
      </c>
      <c r="X17" s="25">
        <f t="shared" si="7"/>
        <v>7578180.9756719982</v>
      </c>
      <c r="Y17" s="32">
        <v>0</v>
      </c>
      <c r="Z17" s="20"/>
      <c r="AA17" s="20"/>
    </row>
    <row r="18" spans="2:27" ht="29.25" customHeight="1">
      <c r="B18" s="19">
        <f t="shared" si="5"/>
        <v>14</v>
      </c>
      <c r="C18" s="10" t="s">
        <v>174</v>
      </c>
      <c r="D18" s="30" t="s">
        <v>155</v>
      </c>
      <c r="E18" s="21"/>
      <c r="F18" s="22" t="s">
        <v>175</v>
      </c>
      <c r="G18" s="10" t="s">
        <v>151</v>
      </c>
      <c r="H18" s="10" t="s">
        <v>157</v>
      </c>
      <c r="I18" s="10" t="s">
        <v>50</v>
      </c>
      <c r="J18" s="23">
        <v>801.22</v>
      </c>
      <c r="K18" s="21">
        <v>42872</v>
      </c>
      <c r="L18" s="10" t="s">
        <v>166</v>
      </c>
      <c r="M18" s="10" t="s">
        <v>36</v>
      </c>
      <c r="N18" s="10" t="s">
        <v>33</v>
      </c>
      <c r="O18" s="12" t="s">
        <v>173</v>
      </c>
      <c r="P18" s="24">
        <v>18000</v>
      </c>
      <c r="Q18" s="25">
        <f t="shared" si="0"/>
        <v>2031246</v>
      </c>
      <c r="R18" s="26" t="s">
        <v>31</v>
      </c>
      <c r="S18" s="33">
        <v>112.84699999999999</v>
      </c>
      <c r="T18" s="27">
        <f t="shared" si="1"/>
        <v>42961</v>
      </c>
      <c r="U18" s="12" t="s">
        <v>151</v>
      </c>
      <c r="V18" s="28">
        <f t="shared" si="6"/>
        <v>2437.4951999999998</v>
      </c>
      <c r="W18" s="20">
        <v>155.72999999999999</v>
      </c>
      <c r="X18" s="25">
        <f t="shared" si="7"/>
        <v>379591.12749599997</v>
      </c>
      <c r="Y18" s="32">
        <v>0</v>
      </c>
      <c r="Z18" s="20"/>
      <c r="AA18" s="20"/>
    </row>
    <row r="19" spans="2:27" ht="29.25" customHeight="1">
      <c r="B19" s="19">
        <f t="shared" si="5"/>
        <v>15</v>
      </c>
      <c r="C19" s="10" t="s">
        <v>176</v>
      </c>
      <c r="D19" s="30" t="s">
        <v>155</v>
      </c>
      <c r="E19" s="21"/>
      <c r="F19" s="22" t="s">
        <v>177</v>
      </c>
      <c r="G19" s="10" t="s">
        <v>151</v>
      </c>
      <c r="H19" s="10" t="s">
        <v>157</v>
      </c>
      <c r="I19" s="10" t="s">
        <v>50</v>
      </c>
      <c r="J19" s="23">
        <v>801.22</v>
      </c>
      <c r="K19" s="21">
        <v>42872</v>
      </c>
      <c r="L19" s="10" t="s">
        <v>166</v>
      </c>
      <c r="M19" s="10" t="s">
        <v>36</v>
      </c>
      <c r="N19" s="10" t="s">
        <v>33</v>
      </c>
      <c r="O19" s="12" t="s">
        <v>173</v>
      </c>
      <c r="P19" s="24">
        <v>57000</v>
      </c>
      <c r="Q19" s="25">
        <f t="shared" si="0"/>
        <v>6432279</v>
      </c>
      <c r="R19" s="26" t="s">
        <v>31</v>
      </c>
      <c r="S19" s="33">
        <v>112.84699999999999</v>
      </c>
      <c r="T19" s="27">
        <f t="shared" si="1"/>
        <v>42961</v>
      </c>
      <c r="U19" s="12" t="s">
        <v>151</v>
      </c>
      <c r="V19" s="28">
        <f t="shared" si="6"/>
        <v>7718.7347999999993</v>
      </c>
      <c r="W19" s="20">
        <v>155.72999999999999</v>
      </c>
      <c r="X19" s="25">
        <f t="shared" si="7"/>
        <v>1202038.5704039999</v>
      </c>
      <c r="Y19" s="32">
        <v>0</v>
      </c>
      <c r="Z19" s="20"/>
      <c r="AA19" s="20"/>
    </row>
    <row r="20" spans="2:27" ht="29.25" customHeight="1">
      <c r="B20" s="19">
        <f t="shared" si="5"/>
        <v>16</v>
      </c>
      <c r="C20" s="10" t="s">
        <v>178</v>
      </c>
      <c r="D20" s="30" t="s">
        <v>155</v>
      </c>
      <c r="E20" s="21"/>
      <c r="F20" s="22" t="s">
        <v>179</v>
      </c>
      <c r="G20" s="10" t="s">
        <v>186</v>
      </c>
      <c r="H20" s="10" t="s">
        <v>157</v>
      </c>
      <c r="I20" s="10" t="s">
        <v>50</v>
      </c>
      <c r="J20" s="23">
        <v>801.22</v>
      </c>
      <c r="K20" s="21">
        <v>42872</v>
      </c>
      <c r="L20" s="10" t="s">
        <v>166</v>
      </c>
      <c r="M20" s="10" t="s">
        <v>36</v>
      </c>
      <c r="N20" s="10" t="s">
        <v>33</v>
      </c>
      <c r="O20" s="12" t="s">
        <v>173</v>
      </c>
      <c r="P20" s="24">
        <v>39000</v>
      </c>
      <c r="Q20" s="25">
        <f t="shared" si="0"/>
        <v>4401033</v>
      </c>
      <c r="R20" s="26" t="s">
        <v>31</v>
      </c>
      <c r="S20" s="33">
        <v>112.84699999999999</v>
      </c>
      <c r="T20" s="27">
        <f t="shared" si="1"/>
        <v>42961</v>
      </c>
      <c r="U20" s="12" t="s">
        <v>151</v>
      </c>
      <c r="V20" s="28">
        <f t="shared" si="6"/>
        <v>5281.2395999999999</v>
      </c>
      <c r="W20" s="20">
        <v>155.72999999999999</v>
      </c>
      <c r="X20" s="25">
        <f t="shared" si="7"/>
        <v>822447.44290799997</v>
      </c>
      <c r="Y20" s="32">
        <v>0</v>
      </c>
      <c r="Z20" s="20"/>
      <c r="AA20" s="20"/>
    </row>
    <row r="21" spans="2:27" ht="29.25" customHeight="1">
      <c r="B21" s="19">
        <f t="shared" si="5"/>
        <v>17</v>
      </c>
      <c r="C21" s="10" t="s">
        <v>180</v>
      </c>
      <c r="D21" s="30" t="s">
        <v>155</v>
      </c>
      <c r="E21" s="21"/>
      <c r="F21" s="22" t="s">
        <v>181</v>
      </c>
      <c r="G21" s="10" t="s">
        <v>158</v>
      </c>
      <c r="H21" s="10" t="s">
        <v>156</v>
      </c>
      <c r="I21" s="10" t="s">
        <v>50</v>
      </c>
      <c r="J21" s="23">
        <v>801.22</v>
      </c>
      <c r="K21" s="21">
        <v>42872</v>
      </c>
      <c r="L21" s="10" t="s">
        <v>166</v>
      </c>
      <c r="M21" s="10" t="s">
        <v>36</v>
      </c>
      <c r="N21" s="10" t="s">
        <v>33</v>
      </c>
      <c r="O21" s="12" t="s">
        <v>173</v>
      </c>
      <c r="P21" s="24">
        <v>177000</v>
      </c>
      <c r="Q21" s="25">
        <f t="shared" si="0"/>
        <v>19973919</v>
      </c>
      <c r="R21" s="26" t="s">
        <v>31</v>
      </c>
      <c r="S21" s="33">
        <v>112.84699999999999</v>
      </c>
      <c r="T21" s="27">
        <f t="shared" si="1"/>
        <v>42961</v>
      </c>
      <c r="U21" s="10" t="s">
        <v>159</v>
      </c>
      <c r="V21" s="28">
        <f t="shared" si="6"/>
        <v>23968.702799999999</v>
      </c>
      <c r="W21" s="20">
        <v>155.72999999999999</v>
      </c>
      <c r="X21" s="25">
        <f t="shared" si="7"/>
        <v>3732646.0870439997</v>
      </c>
      <c r="Y21" s="32">
        <v>0</v>
      </c>
      <c r="Z21" s="20"/>
      <c r="AA21" s="20"/>
    </row>
    <row r="22" spans="2:27" ht="29.25" customHeight="1">
      <c r="B22" s="19">
        <f t="shared" si="5"/>
        <v>18</v>
      </c>
      <c r="C22" s="10" t="s">
        <v>182</v>
      </c>
      <c r="D22" s="30" t="s">
        <v>155</v>
      </c>
      <c r="E22" s="21"/>
      <c r="F22" s="22" t="s">
        <v>183</v>
      </c>
      <c r="G22" s="10" t="s">
        <v>158</v>
      </c>
      <c r="H22" s="10" t="s">
        <v>156</v>
      </c>
      <c r="I22" s="10" t="s">
        <v>50</v>
      </c>
      <c r="J22" s="23">
        <v>801.22</v>
      </c>
      <c r="K22" s="21">
        <v>42872</v>
      </c>
      <c r="L22" s="10" t="s">
        <v>166</v>
      </c>
      <c r="M22" s="10" t="s">
        <v>36</v>
      </c>
      <c r="N22" s="10" t="s">
        <v>132</v>
      </c>
      <c r="O22" s="12" t="s">
        <v>84</v>
      </c>
      <c r="P22" s="24">
        <v>59000</v>
      </c>
      <c r="Q22" s="25">
        <f t="shared" si="0"/>
        <v>6657973</v>
      </c>
      <c r="R22" s="26" t="s">
        <v>31</v>
      </c>
      <c r="S22" s="33">
        <v>112.84699999999999</v>
      </c>
      <c r="T22" s="27">
        <f t="shared" si="1"/>
        <v>42961</v>
      </c>
      <c r="U22" s="10" t="s">
        <v>159</v>
      </c>
      <c r="V22" s="28">
        <f t="shared" si="6"/>
        <v>7989.5675999999994</v>
      </c>
      <c r="W22" s="20">
        <v>155.72999999999999</v>
      </c>
      <c r="X22" s="25">
        <f t="shared" si="7"/>
        <v>1244215.3623479998</v>
      </c>
      <c r="Y22" s="32">
        <v>0</v>
      </c>
      <c r="Z22" s="20"/>
      <c r="AA22" s="20"/>
    </row>
    <row r="23" spans="2:27" ht="29.25" customHeight="1">
      <c r="B23" s="19">
        <f t="shared" si="5"/>
        <v>19</v>
      </c>
      <c r="C23" s="10" t="s">
        <v>142</v>
      </c>
      <c r="D23" s="21" t="s">
        <v>143</v>
      </c>
      <c r="E23" s="21">
        <v>41789</v>
      </c>
      <c r="F23" s="22" t="s">
        <v>144</v>
      </c>
      <c r="G23" s="10" t="s">
        <v>56</v>
      </c>
      <c r="H23" s="10" t="s">
        <v>35</v>
      </c>
      <c r="I23" s="10" t="s">
        <v>109</v>
      </c>
      <c r="J23" s="23">
        <v>801.22</v>
      </c>
      <c r="K23" s="21">
        <v>41786</v>
      </c>
      <c r="L23" s="10" t="s">
        <v>145</v>
      </c>
      <c r="M23" s="10" t="s">
        <v>111</v>
      </c>
      <c r="N23" s="10" t="s">
        <v>112</v>
      </c>
      <c r="O23" s="12" t="s">
        <v>113</v>
      </c>
      <c r="P23" s="34">
        <v>899866</v>
      </c>
      <c r="Q23" s="25">
        <f t="shared" si="0"/>
        <v>101288557.01360001</v>
      </c>
      <c r="R23" s="26" t="s">
        <v>31</v>
      </c>
      <c r="S23" s="9">
        <v>112.5596</v>
      </c>
      <c r="T23" s="27">
        <f t="shared" si="1"/>
        <v>41875</v>
      </c>
      <c r="U23" s="10" t="s">
        <v>56</v>
      </c>
      <c r="V23" s="28">
        <f t="shared" si="6"/>
        <v>121546.26841632</v>
      </c>
      <c r="W23" s="20">
        <v>155.72999999999999</v>
      </c>
      <c r="X23" s="25">
        <f t="shared" si="7"/>
        <v>18928400.380473513</v>
      </c>
      <c r="Y23" s="29">
        <f t="shared" ref="Y23:Y24" si="8">X23</f>
        <v>18928400.380473513</v>
      </c>
      <c r="Z23" s="20"/>
      <c r="AA23" s="20"/>
    </row>
    <row r="24" spans="2:27" ht="29.25" customHeight="1" thickBot="1">
      <c r="B24" s="19">
        <f t="shared" si="5"/>
        <v>20</v>
      </c>
      <c r="C24" s="10" t="s">
        <v>146</v>
      </c>
      <c r="D24" s="21" t="s">
        <v>147</v>
      </c>
      <c r="E24" s="21">
        <v>41789</v>
      </c>
      <c r="F24" s="22" t="s">
        <v>148</v>
      </c>
      <c r="G24" s="10" t="s">
        <v>56</v>
      </c>
      <c r="H24" s="10" t="s">
        <v>35</v>
      </c>
      <c r="I24" s="10" t="s">
        <v>50</v>
      </c>
      <c r="J24" s="23">
        <v>801.22</v>
      </c>
      <c r="K24" s="21">
        <v>41788</v>
      </c>
      <c r="L24" s="10" t="s">
        <v>149</v>
      </c>
      <c r="M24" s="10" t="s">
        <v>36</v>
      </c>
      <c r="N24" s="10" t="s">
        <v>137</v>
      </c>
      <c r="O24" s="12" t="s">
        <v>150</v>
      </c>
      <c r="P24" s="35">
        <v>949623</v>
      </c>
      <c r="Q24" s="36">
        <f t="shared" si="0"/>
        <v>106066241.73899999</v>
      </c>
      <c r="R24" s="26" t="s">
        <v>31</v>
      </c>
      <c r="S24" s="33">
        <v>111.693</v>
      </c>
      <c r="T24" s="27">
        <f t="shared" si="1"/>
        <v>41877</v>
      </c>
      <c r="U24" s="10" t="s">
        <v>56</v>
      </c>
      <c r="V24" s="37">
        <f t="shared" si="6"/>
        <v>127279.49008679998</v>
      </c>
      <c r="W24" s="20">
        <v>155.72999999999999</v>
      </c>
      <c r="X24" s="36">
        <f t="shared" si="7"/>
        <v>19821234.99121736</v>
      </c>
      <c r="Y24" s="29">
        <f t="shared" si="8"/>
        <v>19821234.99121736</v>
      </c>
      <c r="Z24" s="20"/>
      <c r="AA24" s="20"/>
    </row>
    <row r="25" spans="2:27" ht="15.75" thickBot="1">
      <c r="B25" s="38"/>
      <c r="C25" s="39"/>
      <c r="D25" s="39"/>
      <c r="E25" s="39"/>
      <c r="F25" s="39"/>
      <c r="G25" s="39"/>
      <c r="H25" s="39"/>
      <c r="I25" s="39"/>
      <c r="J25" s="38"/>
      <c r="K25" s="40"/>
      <c r="L25" s="39"/>
      <c r="M25" s="39"/>
      <c r="N25" s="41"/>
      <c r="O25" s="42"/>
      <c r="P25" s="43">
        <f>SUM(P5:P24)</f>
        <v>6528117</v>
      </c>
      <c r="Q25" s="44">
        <f>SUM(Q5:Q24)</f>
        <v>725060873.42939997</v>
      </c>
      <c r="R25" s="45"/>
      <c r="S25" s="46"/>
      <c r="T25" s="47"/>
      <c r="U25" s="48"/>
      <c r="V25" s="44">
        <f>SUM(V5:V24)</f>
        <v>870073.04811527976</v>
      </c>
      <c r="W25" s="45"/>
      <c r="X25" s="44">
        <f>SUM(X5:X24)</f>
        <v>135496475.78299254</v>
      </c>
      <c r="Y25" s="44">
        <f>SUM(Y5:Y24)</f>
        <v>101955291.46417588</v>
      </c>
      <c r="Z25" s="38"/>
      <c r="AA25" s="38"/>
    </row>
  </sheetData>
  <pageMargins left="0" right="0" top="0" bottom="0" header="0.31496062992125984" footer="0"/>
  <pageSetup paperSize="8" orientation="landscape" r:id="rId1"/>
  <ignoredErrors>
    <ignoredError sqref="F14:F20 F10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A33"/>
  <sheetViews>
    <sheetView workbookViewId="0">
      <selection activeCell="D18" sqref="D18"/>
    </sheetView>
  </sheetViews>
  <sheetFormatPr defaultRowHeight="15"/>
  <cols>
    <col min="1" max="1" width="3.7109375" style="38" customWidth="1"/>
    <col min="2" max="2" width="4.140625" style="38" customWidth="1"/>
    <col min="3" max="3" width="5.85546875" style="38" customWidth="1"/>
    <col min="4" max="4" width="8.85546875" style="39" customWidth="1"/>
    <col min="5" max="5" width="5.85546875" style="39" customWidth="1"/>
    <col min="6" max="6" width="10.28515625" style="39" customWidth="1"/>
    <col min="7" max="7" width="8" style="39" customWidth="1"/>
    <col min="8" max="8" width="7.85546875" style="39" customWidth="1"/>
    <col min="9" max="9" width="10.140625" style="39" customWidth="1"/>
    <col min="10" max="10" width="6.28515625" style="38" customWidth="1"/>
    <col min="11" max="11" width="6.28515625" style="40" customWidth="1"/>
    <col min="12" max="12" width="9.7109375" style="39" customWidth="1"/>
    <col min="13" max="13" width="6" style="40" customWidth="1"/>
    <col min="14" max="14" width="8.5703125" style="41" customWidth="1"/>
    <col min="15" max="15" width="12.42578125" style="42" customWidth="1"/>
    <col min="16" max="16" width="6.5703125" style="38" customWidth="1"/>
    <col min="17" max="17" width="12.28515625" style="38" customWidth="1"/>
    <col min="18" max="18" width="4.85546875" style="38" customWidth="1"/>
    <col min="19" max="19" width="5.85546875" style="50" customWidth="1"/>
    <col min="20" max="20" width="6.28515625" style="40" customWidth="1"/>
    <col min="21" max="21" width="8.85546875" style="39" customWidth="1"/>
    <col min="22" max="22" width="9.28515625" style="38" customWidth="1"/>
    <col min="23" max="23" width="6" style="38" customWidth="1"/>
    <col min="24" max="24" width="10.140625" style="38" customWidth="1"/>
    <col min="25" max="25" width="10.85546875" style="38" customWidth="1"/>
    <col min="26" max="27" width="5.7109375" style="38" customWidth="1"/>
    <col min="28" max="16384" width="9.140625" style="38"/>
  </cols>
  <sheetData>
    <row r="2" spans="2:27" ht="15.75">
      <c r="L2" s="49" t="s">
        <v>0</v>
      </c>
    </row>
    <row r="3" spans="2:27" ht="23.25" customHeight="1" thickBot="1">
      <c r="L3" s="49" t="s">
        <v>75</v>
      </c>
      <c r="P3" s="51"/>
    </row>
    <row r="4" spans="2:27" s="39" customFormat="1" ht="42.6" customHeight="1" thickBot="1">
      <c r="B4" s="13" t="s">
        <v>1</v>
      </c>
      <c r="C4" s="14" t="s">
        <v>2</v>
      </c>
      <c r="D4" s="14" t="s">
        <v>3</v>
      </c>
      <c r="E4" s="14" t="s">
        <v>4</v>
      </c>
      <c r="F4" s="15" t="s">
        <v>5</v>
      </c>
      <c r="G4" s="16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15</v>
      </c>
      <c r="Q4" s="14" t="s">
        <v>16</v>
      </c>
      <c r="R4" s="14" t="s">
        <v>17</v>
      </c>
      <c r="S4" s="17" t="s">
        <v>18</v>
      </c>
      <c r="T4" s="14" t="s">
        <v>19</v>
      </c>
      <c r="U4" s="14" t="s">
        <v>20</v>
      </c>
      <c r="V4" s="14" t="s">
        <v>21</v>
      </c>
      <c r="W4" s="14" t="s">
        <v>22</v>
      </c>
      <c r="X4" s="14" t="s">
        <v>23</v>
      </c>
      <c r="Y4" s="14" t="s">
        <v>24</v>
      </c>
      <c r="Z4" s="14" t="s">
        <v>25</v>
      </c>
      <c r="AA4" s="18" t="s">
        <v>26</v>
      </c>
    </row>
    <row r="5" spans="2:27" ht="21" customHeight="1">
      <c r="B5" s="19">
        <v>1</v>
      </c>
      <c r="C5" s="10" t="s">
        <v>67</v>
      </c>
      <c r="D5" s="21" t="s">
        <v>70</v>
      </c>
      <c r="E5" s="21">
        <v>41771</v>
      </c>
      <c r="F5" s="22" t="s">
        <v>62</v>
      </c>
      <c r="G5" s="10" t="s">
        <v>53</v>
      </c>
      <c r="H5" s="10" t="s">
        <v>57</v>
      </c>
      <c r="I5" s="10" t="s">
        <v>51</v>
      </c>
      <c r="J5" s="23">
        <v>801.22</v>
      </c>
      <c r="K5" s="21">
        <v>41743</v>
      </c>
      <c r="L5" s="10" t="s">
        <v>64</v>
      </c>
      <c r="M5" s="10" t="s">
        <v>52</v>
      </c>
      <c r="N5" s="10" t="s">
        <v>32</v>
      </c>
      <c r="O5" s="12" t="s">
        <v>65</v>
      </c>
      <c r="P5" s="24">
        <v>649457</v>
      </c>
      <c r="Q5" s="25">
        <f t="shared" ref="Q5:Q6" si="0">SUM(P5*S5)</f>
        <v>66604413.178000003</v>
      </c>
      <c r="R5" s="26" t="s">
        <v>31</v>
      </c>
      <c r="S5" s="33">
        <v>102.554</v>
      </c>
      <c r="T5" s="27">
        <f t="shared" ref="T5" si="1">SUM(K5)+89</f>
        <v>41832</v>
      </c>
      <c r="U5" s="10" t="s">
        <v>53</v>
      </c>
      <c r="V5" s="28">
        <f t="shared" ref="V5:V9" si="2">SUM(Q5*0.12%)</f>
        <v>79925.295813599994</v>
      </c>
      <c r="W5" s="20">
        <v>155.72999999999999</v>
      </c>
      <c r="X5" s="25">
        <f t="shared" ref="X5:X24" si="3">SUM(V5*W5)</f>
        <v>12446766.317051927</v>
      </c>
      <c r="Y5" s="52">
        <v>12446766.970000001</v>
      </c>
      <c r="Z5" s="27">
        <v>41766</v>
      </c>
      <c r="AA5" s="53">
        <v>4648</v>
      </c>
    </row>
    <row r="6" spans="2:27" ht="20.25" customHeight="1">
      <c r="B6" s="19">
        <f t="shared" ref="B6:B24" si="4">B5+1</f>
        <v>2</v>
      </c>
      <c r="C6" s="10" t="s">
        <v>68</v>
      </c>
      <c r="D6" s="10" t="s">
        <v>71</v>
      </c>
      <c r="E6" s="21">
        <v>41771</v>
      </c>
      <c r="F6" s="22" t="s">
        <v>63</v>
      </c>
      <c r="G6" s="10" t="s">
        <v>37</v>
      </c>
      <c r="H6" s="10" t="s">
        <v>43</v>
      </c>
      <c r="I6" s="10" t="s">
        <v>38</v>
      </c>
      <c r="J6" s="23">
        <v>801.22</v>
      </c>
      <c r="K6" s="21">
        <v>41749</v>
      </c>
      <c r="L6" s="10" t="s">
        <v>55</v>
      </c>
      <c r="M6" s="10" t="s">
        <v>39</v>
      </c>
      <c r="N6" s="10" t="s">
        <v>41</v>
      </c>
      <c r="O6" s="12" t="s">
        <v>49</v>
      </c>
      <c r="P6" s="24">
        <v>153776</v>
      </c>
      <c r="Q6" s="25">
        <f t="shared" si="0"/>
        <v>16977331.728</v>
      </c>
      <c r="R6" s="26" t="s">
        <v>31</v>
      </c>
      <c r="S6" s="33">
        <v>110.40300000000001</v>
      </c>
      <c r="T6" s="27">
        <f t="shared" ref="T6" si="5">SUM(K6)+89</f>
        <v>41838</v>
      </c>
      <c r="U6" s="10" t="s">
        <v>37</v>
      </c>
      <c r="V6" s="28">
        <f t="shared" si="2"/>
        <v>20372.798073599999</v>
      </c>
      <c r="W6" s="20">
        <v>155.72999999999999</v>
      </c>
      <c r="X6" s="25">
        <f t="shared" si="3"/>
        <v>3172655.8440017276</v>
      </c>
      <c r="Y6" s="52">
        <v>3172655.84</v>
      </c>
      <c r="Z6" s="27">
        <v>41765</v>
      </c>
      <c r="AA6" s="54">
        <v>15442</v>
      </c>
    </row>
    <row r="7" spans="2:27" s="51" customFormat="1" ht="21" customHeight="1">
      <c r="B7" s="19">
        <f t="shared" si="4"/>
        <v>3</v>
      </c>
      <c r="C7" s="10" t="s">
        <v>60</v>
      </c>
      <c r="D7" s="30" t="s">
        <v>72</v>
      </c>
      <c r="E7" s="21">
        <v>41778</v>
      </c>
      <c r="F7" s="31" t="s">
        <v>58</v>
      </c>
      <c r="G7" s="10" t="s">
        <v>48</v>
      </c>
      <c r="H7" s="10" t="s">
        <v>28</v>
      </c>
      <c r="I7" s="10" t="s">
        <v>50</v>
      </c>
      <c r="J7" s="23">
        <v>801.22</v>
      </c>
      <c r="K7" s="55">
        <v>41703</v>
      </c>
      <c r="L7" s="56" t="s">
        <v>46</v>
      </c>
      <c r="M7" s="56" t="s">
        <v>36</v>
      </c>
      <c r="N7" s="10" t="s">
        <v>33</v>
      </c>
      <c r="O7" s="12" t="s">
        <v>34</v>
      </c>
      <c r="P7" s="24">
        <v>180000</v>
      </c>
      <c r="Q7" s="36">
        <f t="shared" ref="Q7" si="6">SUM(P7*S7)</f>
        <v>19768320</v>
      </c>
      <c r="R7" s="26" t="s">
        <v>31</v>
      </c>
      <c r="S7" s="7">
        <v>109.824</v>
      </c>
      <c r="T7" s="27">
        <f t="shared" ref="T7:T9" si="7">SUM(K7)+89</f>
        <v>41792</v>
      </c>
      <c r="U7" s="10" t="s">
        <v>27</v>
      </c>
      <c r="V7" s="37">
        <f t="shared" si="2"/>
        <v>23721.983999999997</v>
      </c>
      <c r="W7" s="20">
        <v>155.74</v>
      </c>
      <c r="X7" s="36">
        <f t="shared" si="3"/>
        <v>3694461.7881599995</v>
      </c>
      <c r="Y7" s="52">
        <v>3694461.17</v>
      </c>
      <c r="Z7" s="27">
        <v>41773</v>
      </c>
      <c r="AA7" s="53">
        <v>1439</v>
      </c>
    </row>
    <row r="8" spans="2:27" ht="20.25" customHeight="1">
      <c r="B8" s="19">
        <f t="shared" si="4"/>
        <v>4</v>
      </c>
      <c r="C8" s="10" t="s">
        <v>61</v>
      </c>
      <c r="D8" s="30" t="s">
        <v>73</v>
      </c>
      <c r="E8" s="21">
        <v>41778</v>
      </c>
      <c r="F8" s="22" t="s">
        <v>59</v>
      </c>
      <c r="G8" s="10" t="s">
        <v>48</v>
      </c>
      <c r="H8" s="10" t="s">
        <v>28</v>
      </c>
      <c r="I8" s="10" t="s">
        <v>29</v>
      </c>
      <c r="J8" s="23">
        <v>801.22</v>
      </c>
      <c r="K8" s="21">
        <v>41727</v>
      </c>
      <c r="L8" s="10" t="s">
        <v>42</v>
      </c>
      <c r="M8" s="10" t="s">
        <v>30</v>
      </c>
      <c r="N8" s="10" t="s">
        <v>47</v>
      </c>
      <c r="O8" s="12" t="s">
        <v>54</v>
      </c>
      <c r="P8" s="24">
        <v>947026</v>
      </c>
      <c r="Q8" s="25">
        <f t="shared" ref="Q8:Q9" si="8">SUM(P8*S8)</f>
        <v>99519174.236000001</v>
      </c>
      <c r="R8" s="26" t="s">
        <v>31</v>
      </c>
      <c r="S8" s="33">
        <v>105.086</v>
      </c>
      <c r="T8" s="27">
        <f t="shared" si="7"/>
        <v>41816</v>
      </c>
      <c r="U8" s="10" t="s">
        <v>27</v>
      </c>
      <c r="V8" s="28">
        <f t="shared" si="2"/>
        <v>119423.00908319998</v>
      </c>
      <c r="W8" s="20">
        <v>155.74</v>
      </c>
      <c r="X8" s="25">
        <f t="shared" si="3"/>
        <v>18598939.434617568</v>
      </c>
      <c r="Y8" s="52">
        <v>18598939.579999998</v>
      </c>
      <c r="Z8" s="27">
        <v>41774</v>
      </c>
      <c r="AA8" s="53">
        <v>1440</v>
      </c>
    </row>
    <row r="9" spans="2:27" ht="21.75" customHeight="1">
      <c r="B9" s="19">
        <f t="shared" si="4"/>
        <v>5</v>
      </c>
      <c r="C9" s="10" t="s">
        <v>66</v>
      </c>
      <c r="D9" s="21" t="s">
        <v>74</v>
      </c>
      <c r="E9" s="55">
        <v>41778</v>
      </c>
      <c r="F9" s="31" t="s">
        <v>69</v>
      </c>
      <c r="G9" s="10" t="s">
        <v>56</v>
      </c>
      <c r="H9" s="10" t="s">
        <v>35</v>
      </c>
      <c r="I9" s="10" t="s">
        <v>50</v>
      </c>
      <c r="J9" s="23">
        <v>801.22</v>
      </c>
      <c r="K9" s="21">
        <v>41742</v>
      </c>
      <c r="L9" s="10" t="s">
        <v>44</v>
      </c>
      <c r="M9" s="10" t="s">
        <v>36</v>
      </c>
      <c r="N9" s="10" t="s">
        <v>40</v>
      </c>
      <c r="O9" s="12" t="s">
        <v>45</v>
      </c>
      <c r="P9" s="24">
        <v>78386</v>
      </c>
      <c r="Q9" s="25">
        <f t="shared" si="8"/>
        <v>8615875.5759999994</v>
      </c>
      <c r="R9" s="26" t="s">
        <v>31</v>
      </c>
      <c r="S9" s="33">
        <v>109.916</v>
      </c>
      <c r="T9" s="27">
        <f t="shared" si="7"/>
        <v>41831</v>
      </c>
      <c r="U9" s="10" t="s">
        <v>56</v>
      </c>
      <c r="V9" s="28">
        <f t="shared" si="2"/>
        <v>10339.050691199998</v>
      </c>
      <c r="W9" s="20">
        <v>155.72999999999999</v>
      </c>
      <c r="X9" s="25">
        <f t="shared" si="3"/>
        <v>1610100.3641405755</v>
      </c>
      <c r="Y9" s="52">
        <f t="shared" ref="Y9" si="9">X9</f>
        <v>1610100.3641405755</v>
      </c>
      <c r="Z9" s="20"/>
      <c r="AA9" s="20"/>
    </row>
    <row r="10" spans="2:27" ht="21" customHeight="1">
      <c r="B10" s="19">
        <f t="shared" si="4"/>
        <v>6</v>
      </c>
      <c r="C10" s="10" t="s">
        <v>76</v>
      </c>
      <c r="D10" s="30" t="s">
        <v>77</v>
      </c>
      <c r="E10" s="21">
        <v>41785</v>
      </c>
      <c r="F10" s="31" t="s">
        <v>78</v>
      </c>
      <c r="G10" s="12" t="s">
        <v>53</v>
      </c>
      <c r="H10" s="12" t="s">
        <v>79</v>
      </c>
      <c r="I10" s="12" t="s">
        <v>80</v>
      </c>
      <c r="J10" s="23">
        <v>801.22</v>
      </c>
      <c r="K10" s="21">
        <v>41696</v>
      </c>
      <c r="L10" s="10" t="s">
        <v>81</v>
      </c>
      <c r="M10" s="10" t="s">
        <v>82</v>
      </c>
      <c r="N10" s="10" t="s">
        <v>83</v>
      </c>
      <c r="O10" s="10" t="s">
        <v>84</v>
      </c>
      <c r="P10" s="24">
        <v>945742</v>
      </c>
      <c r="Q10" s="25">
        <f t="shared" ref="Q10" si="10">SUM(P10*S10)</f>
        <v>104519433.7236</v>
      </c>
      <c r="R10" s="26" t="s">
        <v>31</v>
      </c>
      <c r="S10" s="33">
        <v>110.5158</v>
      </c>
      <c r="T10" s="27">
        <f t="shared" ref="T10" si="11">SUM(K10)+89</f>
        <v>41785</v>
      </c>
      <c r="U10" s="12" t="s">
        <v>85</v>
      </c>
      <c r="V10" s="28">
        <f t="shared" ref="V10" si="12">SUM(Q10*0.12%)</f>
        <v>125423.32046831999</v>
      </c>
      <c r="W10" s="20">
        <v>155.75</v>
      </c>
      <c r="X10" s="25">
        <f t="shared" si="3"/>
        <v>19534682.162940837</v>
      </c>
      <c r="Y10" s="52">
        <v>19730028.98</v>
      </c>
      <c r="Z10" s="27">
        <v>41768</v>
      </c>
      <c r="AA10" s="53">
        <v>9966</v>
      </c>
    </row>
    <row r="11" spans="2:27" ht="21" customHeight="1">
      <c r="B11" s="19">
        <f t="shared" si="4"/>
        <v>7</v>
      </c>
      <c r="C11" s="10" t="s">
        <v>86</v>
      </c>
      <c r="D11" s="12" t="s">
        <v>87</v>
      </c>
      <c r="E11" s="21">
        <v>41789</v>
      </c>
      <c r="F11" s="22" t="s">
        <v>88</v>
      </c>
      <c r="G11" s="10" t="s">
        <v>53</v>
      </c>
      <c r="H11" s="10" t="s">
        <v>89</v>
      </c>
      <c r="I11" s="10" t="s">
        <v>50</v>
      </c>
      <c r="J11" s="23">
        <v>801.22</v>
      </c>
      <c r="K11" s="21">
        <v>41584</v>
      </c>
      <c r="L11" s="10" t="s">
        <v>90</v>
      </c>
      <c r="M11" s="10" t="s">
        <v>36</v>
      </c>
      <c r="N11" s="10" t="s">
        <v>91</v>
      </c>
      <c r="O11" s="12" t="s">
        <v>92</v>
      </c>
      <c r="P11" s="24">
        <v>397000</v>
      </c>
      <c r="Q11" s="25">
        <f t="shared" ref="Q11:Q14" si="13">SUM(P11*S11)</f>
        <v>42709260</v>
      </c>
      <c r="R11" s="26" t="s">
        <v>31</v>
      </c>
      <c r="S11" s="33">
        <v>107.58</v>
      </c>
      <c r="T11" s="27">
        <f t="shared" ref="T11:T12" si="14">SUM(K11)+89</f>
        <v>41673</v>
      </c>
      <c r="U11" s="20" t="s">
        <v>85</v>
      </c>
      <c r="V11" s="28">
        <f t="shared" ref="V11:V14" si="15">SUM(Q11*0.12%)</f>
        <v>51251.111999999994</v>
      </c>
      <c r="W11" s="20">
        <v>155.72</v>
      </c>
      <c r="X11" s="25">
        <f t="shared" si="3"/>
        <v>7980823.1606399985</v>
      </c>
      <c r="Y11" s="52">
        <v>8201710.3300000001</v>
      </c>
      <c r="Z11" s="27">
        <v>41787</v>
      </c>
      <c r="AA11" s="53">
        <v>7710</v>
      </c>
    </row>
    <row r="12" spans="2:27" ht="21" customHeight="1">
      <c r="B12" s="19">
        <f t="shared" si="4"/>
        <v>8</v>
      </c>
      <c r="C12" s="10" t="s">
        <v>93</v>
      </c>
      <c r="D12" s="12" t="s">
        <v>94</v>
      </c>
      <c r="E12" s="21">
        <v>41789</v>
      </c>
      <c r="F12" s="57">
        <v>201300010516</v>
      </c>
      <c r="G12" s="10" t="s">
        <v>53</v>
      </c>
      <c r="H12" s="10" t="s">
        <v>89</v>
      </c>
      <c r="I12" s="10" t="s">
        <v>50</v>
      </c>
      <c r="J12" s="23">
        <v>801.22</v>
      </c>
      <c r="K12" s="21">
        <v>41628</v>
      </c>
      <c r="L12" s="10" t="s">
        <v>95</v>
      </c>
      <c r="M12" s="10" t="s">
        <v>36</v>
      </c>
      <c r="N12" s="10" t="s">
        <v>96</v>
      </c>
      <c r="O12" s="12" t="s">
        <v>97</v>
      </c>
      <c r="P12" s="58">
        <v>319000</v>
      </c>
      <c r="Q12" s="25">
        <f t="shared" si="13"/>
        <v>36031050</v>
      </c>
      <c r="R12" s="26" t="s">
        <v>31</v>
      </c>
      <c r="S12" s="33">
        <v>112.95</v>
      </c>
      <c r="T12" s="27">
        <f t="shared" si="14"/>
        <v>41717</v>
      </c>
      <c r="U12" s="20" t="s">
        <v>85</v>
      </c>
      <c r="V12" s="28">
        <f t="shared" si="15"/>
        <v>43237.259999999995</v>
      </c>
      <c r="W12" s="59">
        <v>155.69999999999999</v>
      </c>
      <c r="X12" s="25">
        <f t="shared" si="3"/>
        <v>6732041.3819999984</v>
      </c>
      <c r="Y12" s="52">
        <v>6919254.3899999997</v>
      </c>
      <c r="Z12" s="27">
        <v>41787</v>
      </c>
      <c r="AA12" s="53">
        <v>7712</v>
      </c>
    </row>
    <row r="13" spans="2:27" s="51" customFormat="1" ht="21" customHeight="1">
      <c r="B13" s="19">
        <f t="shared" si="4"/>
        <v>9</v>
      </c>
      <c r="C13" s="10" t="s">
        <v>98</v>
      </c>
      <c r="D13" s="12" t="s">
        <v>99</v>
      </c>
      <c r="E13" s="21">
        <v>41789</v>
      </c>
      <c r="F13" s="22" t="s">
        <v>100</v>
      </c>
      <c r="G13" s="12" t="s">
        <v>53</v>
      </c>
      <c r="H13" s="12" t="s">
        <v>89</v>
      </c>
      <c r="I13" s="12" t="s">
        <v>50</v>
      </c>
      <c r="J13" s="23">
        <v>801.22</v>
      </c>
      <c r="K13" s="21">
        <v>41677</v>
      </c>
      <c r="L13" s="10" t="s">
        <v>101</v>
      </c>
      <c r="M13" s="10" t="s">
        <v>36</v>
      </c>
      <c r="N13" s="10" t="s">
        <v>32</v>
      </c>
      <c r="O13" s="10" t="s">
        <v>102</v>
      </c>
      <c r="P13" s="24">
        <v>255000</v>
      </c>
      <c r="Q13" s="25">
        <f t="shared" si="13"/>
        <v>28191270</v>
      </c>
      <c r="R13" s="26" t="s">
        <v>31</v>
      </c>
      <c r="S13" s="9">
        <v>110.554</v>
      </c>
      <c r="T13" s="27">
        <f t="shared" ref="T13:T14" si="16">SUM(K13)+89</f>
        <v>41766</v>
      </c>
      <c r="U13" s="12" t="s">
        <v>85</v>
      </c>
      <c r="V13" s="28">
        <f t="shared" si="15"/>
        <v>33829.523999999998</v>
      </c>
      <c r="W13" s="20">
        <v>155.75</v>
      </c>
      <c r="X13" s="25">
        <f t="shared" si="3"/>
        <v>5268948.3629999999</v>
      </c>
      <c r="Y13" s="52">
        <v>5573414.0800000001</v>
      </c>
      <c r="Z13" s="27">
        <v>41787</v>
      </c>
      <c r="AA13" s="53">
        <v>7713</v>
      </c>
    </row>
    <row r="14" spans="2:27" ht="21.75" customHeight="1">
      <c r="B14" s="19">
        <f t="shared" si="4"/>
        <v>10</v>
      </c>
      <c r="C14" s="10" t="s">
        <v>103</v>
      </c>
      <c r="D14" s="12" t="s">
        <v>104</v>
      </c>
      <c r="E14" s="21">
        <v>41789</v>
      </c>
      <c r="F14" s="31" t="s">
        <v>105</v>
      </c>
      <c r="G14" s="10" t="s">
        <v>53</v>
      </c>
      <c r="H14" s="10" t="s">
        <v>89</v>
      </c>
      <c r="I14" s="10" t="s">
        <v>50</v>
      </c>
      <c r="J14" s="23">
        <v>801.22</v>
      </c>
      <c r="K14" s="55">
        <v>41703</v>
      </c>
      <c r="L14" s="56" t="s">
        <v>46</v>
      </c>
      <c r="M14" s="56" t="s">
        <v>36</v>
      </c>
      <c r="N14" s="10" t="s">
        <v>33</v>
      </c>
      <c r="O14" s="12" t="s">
        <v>34</v>
      </c>
      <c r="P14" s="60">
        <v>349000</v>
      </c>
      <c r="Q14" s="36">
        <f t="shared" si="13"/>
        <v>38328576</v>
      </c>
      <c r="R14" s="26" t="s">
        <v>31</v>
      </c>
      <c r="S14" s="7">
        <v>109.824</v>
      </c>
      <c r="T14" s="27">
        <f t="shared" si="16"/>
        <v>41792</v>
      </c>
      <c r="U14" s="12" t="s">
        <v>85</v>
      </c>
      <c r="V14" s="37">
        <f t="shared" si="15"/>
        <v>45994.291199999992</v>
      </c>
      <c r="W14" s="20">
        <v>155.74</v>
      </c>
      <c r="X14" s="36">
        <f t="shared" si="3"/>
        <v>7163150.9114879994</v>
      </c>
      <c r="Y14" s="52">
        <v>7388058.4000000004</v>
      </c>
      <c r="Z14" s="27">
        <v>41787</v>
      </c>
      <c r="AA14" s="53">
        <v>7714</v>
      </c>
    </row>
    <row r="15" spans="2:27" ht="21.75" customHeight="1">
      <c r="B15" s="19">
        <f t="shared" si="4"/>
        <v>11</v>
      </c>
      <c r="C15" s="10" t="s">
        <v>106</v>
      </c>
      <c r="D15" s="21" t="s">
        <v>107</v>
      </c>
      <c r="E15" s="21">
        <v>41789</v>
      </c>
      <c r="F15" s="22" t="s">
        <v>108</v>
      </c>
      <c r="G15" s="10" t="s">
        <v>56</v>
      </c>
      <c r="H15" s="10" t="s">
        <v>35</v>
      </c>
      <c r="I15" s="10" t="s">
        <v>109</v>
      </c>
      <c r="J15" s="23">
        <v>801.22</v>
      </c>
      <c r="K15" s="21">
        <v>41764</v>
      </c>
      <c r="L15" s="10" t="s">
        <v>110</v>
      </c>
      <c r="M15" s="10" t="s">
        <v>111</v>
      </c>
      <c r="N15" s="10" t="s">
        <v>112</v>
      </c>
      <c r="O15" s="12" t="s">
        <v>113</v>
      </c>
      <c r="P15" s="24">
        <v>899633</v>
      </c>
      <c r="Q15" s="25">
        <f t="shared" ref="Q15:Q24" si="17">SUM(P15*S15)</f>
        <v>100128793.0468</v>
      </c>
      <c r="R15" s="26" t="s">
        <v>31</v>
      </c>
      <c r="S15" s="9">
        <v>111.2996</v>
      </c>
      <c r="T15" s="27">
        <f t="shared" ref="T15:T24" si="18">SUM(K15)+89</f>
        <v>41853</v>
      </c>
      <c r="U15" s="10" t="s">
        <v>56</v>
      </c>
      <c r="V15" s="28">
        <f t="shared" ref="V15:V24" si="19">SUM(Q15*0.12%)</f>
        <v>120154.55165615999</v>
      </c>
      <c r="W15" s="20">
        <v>155.72999999999999</v>
      </c>
      <c r="X15" s="25">
        <f t="shared" si="3"/>
        <v>18711668.329413794</v>
      </c>
      <c r="Y15" s="29">
        <f t="shared" ref="Y15:Y24" si="20">X15</f>
        <v>18711668.329413794</v>
      </c>
      <c r="Z15" s="20"/>
      <c r="AA15" s="20"/>
    </row>
    <row r="16" spans="2:27" ht="21.75" customHeight="1">
      <c r="B16" s="19">
        <f t="shared" si="4"/>
        <v>12</v>
      </c>
      <c r="C16" s="10" t="s">
        <v>114</v>
      </c>
      <c r="D16" s="21" t="s">
        <v>115</v>
      </c>
      <c r="E16" s="21">
        <v>41789</v>
      </c>
      <c r="F16" s="22" t="s">
        <v>116</v>
      </c>
      <c r="G16" s="10" t="s">
        <v>56</v>
      </c>
      <c r="H16" s="10" t="s">
        <v>35</v>
      </c>
      <c r="I16" s="10" t="s">
        <v>50</v>
      </c>
      <c r="J16" s="23">
        <v>801.22</v>
      </c>
      <c r="K16" s="21">
        <v>41766</v>
      </c>
      <c r="L16" s="10" t="s">
        <v>117</v>
      </c>
      <c r="M16" s="10" t="s">
        <v>36</v>
      </c>
      <c r="N16" s="10" t="s">
        <v>118</v>
      </c>
      <c r="O16" s="12" t="s">
        <v>119</v>
      </c>
      <c r="P16" s="24">
        <v>46000</v>
      </c>
      <c r="Q16" s="25">
        <f t="shared" si="17"/>
        <v>5082632</v>
      </c>
      <c r="R16" s="26" t="s">
        <v>31</v>
      </c>
      <c r="S16" s="9">
        <v>110.492</v>
      </c>
      <c r="T16" s="27">
        <f t="shared" si="18"/>
        <v>41855</v>
      </c>
      <c r="U16" s="10" t="s">
        <v>56</v>
      </c>
      <c r="V16" s="28">
        <f t="shared" si="19"/>
        <v>6099.1583999999993</v>
      </c>
      <c r="W16" s="20">
        <v>155.72999999999999</v>
      </c>
      <c r="X16" s="25">
        <f t="shared" si="3"/>
        <v>949821.93763199984</v>
      </c>
      <c r="Y16" s="29">
        <f t="shared" si="20"/>
        <v>949821.93763199984</v>
      </c>
      <c r="Z16" s="20"/>
      <c r="AA16" s="20"/>
    </row>
    <row r="17" spans="2:27" ht="21.75" customHeight="1">
      <c r="B17" s="19">
        <f t="shared" si="4"/>
        <v>13</v>
      </c>
      <c r="C17" s="10" t="s">
        <v>120</v>
      </c>
      <c r="D17" s="21" t="s">
        <v>121</v>
      </c>
      <c r="E17" s="21">
        <v>41789</v>
      </c>
      <c r="F17" s="22" t="s">
        <v>122</v>
      </c>
      <c r="G17" s="10" t="s">
        <v>56</v>
      </c>
      <c r="H17" s="10" t="s">
        <v>35</v>
      </c>
      <c r="I17" s="10" t="s">
        <v>50</v>
      </c>
      <c r="J17" s="23">
        <v>801.22</v>
      </c>
      <c r="K17" s="21">
        <v>41766</v>
      </c>
      <c r="L17" s="10" t="s">
        <v>117</v>
      </c>
      <c r="M17" s="10" t="s">
        <v>36</v>
      </c>
      <c r="N17" s="10" t="s">
        <v>118</v>
      </c>
      <c r="O17" s="12" t="s">
        <v>119</v>
      </c>
      <c r="P17" s="24">
        <v>42000</v>
      </c>
      <c r="Q17" s="25">
        <f t="shared" si="17"/>
        <v>4640664</v>
      </c>
      <c r="R17" s="26" t="s">
        <v>31</v>
      </c>
      <c r="S17" s="9">
        <v>110.492</v>
      </c>
      <c r="T17" s="27">
        <f t="shared" si="18"/>
        <v>41855</v>
      </c>
      <c r="U17" s="10" t="s">
        <v>56</v>
      </c>
      <c r="V17" s="28">
        <f t="shared" si="19"/>
        <v>5568.7967999999992</v>
      </c>
      <c r="W17" s="20">
        <v>155.72999999999999</v>
      </c>
      <c r="X17" s="25">
        <f t="shared" si="3"/>
        <v>867228.72566399979</v>
      </c>
      <c r="Y17" s="29">
        <f t="shared" si="20"/>
        <v>867228.72566399979</v>
      </c>
      <c r="Z17" s="20"/>
      <c r="AA17" s="20"/>
    </row>
    <row r="18" spans="2:27" ht="21.75" customHeight="1">
      <c r="B18" s="19">
        <f t="shared" si="4"/>
        <v>14</v>
      </c>
      <c r="C18" s="10" t="s">
        <v>123</v>
      </c>
      <c r="D18" s="21" t="s">
        <v>124</v>
      </c>
      <c r="E18" s="21">
        <v>41789</v>
      </c>
      <c r="F18" s="22" t="s">
        <v>125</v>
      </c>
      <c r="G18" s="10" t="s">
        <v>56</v>
      </c>
      <c r="H18" s="10" t="s">
        <v>35</v>
      </c>
      <c r="I18" s="10" t="s">
        <v>50</v>
      </c>
      <c r="J18" s="23">
        <v>801.22</v>
      </c>
      <c r="K18" s="21">
        <v>41766</v>
      </c>
      <c r="L18" s="10" t="s">
        <v>117</v>
      </c>
      <c r="M18" s="10" t="s">
        <v>36</v>
      </c>
      <c r="N18" s="10" t="s">
        <v>118</v>
      </c>
      <c r="O18" s="12" t="s">
        <v>119</v>
      </c>
      <c r="P18" s="24">
        <v>78000</v>
      </c>
      <c r="Q18" s="25">
        <f t="shared" si="17"/>
        <v>8618376</v>
      </c>
      <c r="R18" s="26" t="s">
        <v>31</v>
      </c>
      <c r="S18" s="9">
        <v>110.492</v>
      </c>
      <c r="T18" s="27">
        <f t="shared" si="18"/>
        <v>41855</v>
      </c>
      <c r="U18" s="10" t="s">
        <v>56</v>
      </c>
      <c r="V18" s="28">
        <f t="shared" si="19"/>
        <v>10342.0512</v>
      </c>
      <c r="W18" s="20">
        <v>155.72999999999999</v>
      </c>
      <c r="X18" s="25">
        <f t="shared" si="3"/>
        <v>1610567.633376</v>
      </c>
      <c r="Y18" s="29">
        <f t="shared" si="20"/>
        <v>1610567.633376</v>
      </c>
      <c r="Z18" s="20"/>
      <c r="AA18" s="20"/>
    </row>
    <row r="19" spans="2:27" ht="21.75" customHeight="1">
      <c r="B19" s="19">
        <f t="shared" si="4"/>
        <v>15</v>
      </c>
      <c r="C19" s="10" t="s">
        <v>126</v>
      </c>
      <c r="D19" s="21" t="s">
        <v>127</v>
      </c>
      <c r="E19" s="21">
        <v>41789</v>
      </c>
      <c r="F19" s="22" t="s">
        <v>128</v>
      </c>
      <c r="G19" s="10" t="s">
        <v>56</v>
      </c>
      <c r="H19" s="10" t="s">
        <v>35</v>
      </c>
      <c r="I19" s="10" t="s">
        <v>50</v>
      </c>
      <c r="J19" s="23">
        <v>801.22</v>
      </c>
      <c r="K19" s="21">
        <v>41766</v>
      </c>
      <c r="L19" s="10" t="s">
        <v>117</v>
      </c>
      <c r="M19" s="10" t="s">
        <v>36</v>
      </c>
      <c r="N19" s="10" t="s">
        <v>118</v>
      </c>
      <c r="O19" s="12" t="s">
        <v>119</v>
      </c>
      <c r="P19" s="24">
        <v>83641</v>
      </c>
      <c r="Q19" s="25">
        <f t="shared" si="17"/>
        <v>9241661.3719999995</v>
      </c>
      <c r="R19" s="26" t="s">
        <v>31</v>
      </c>
      <c r="S19" s="9">
        <v>110.492</v>
      </c>
      <c r="T19" s="27">
        <f t="shared" si="18"/>
        <v>41855</v>
      </c>
      <c r="U19" s="10" t="s">
        <v>56</v>
      </c>
      <c r="V19" s="28">
        <f t="shared" si="19"/>
        <v>11089.993646399998</v>
      </c>
      <c r="W19" s="20">
        <v>155.72999999999999</v>
      </c>
      <c r="X19" s="25">
        <f t="shared" si="3"/>
        <v>1727044.7105538717</v>
      </c>
      <c r="Y19" s="29">
        <f t="shared" si="20"/>
        <v>1727044.7105538717</v>
      </c>
      <c r="Z19" s="20"/>
      <c r="AA19" s="20"/>
    </row>
    <row r="20" spans="2:27" ht="24.75" customHeight="1">
      <c r="B20" s="19">
        <f t="shared" si="4"/>
        <v>16</v>
      </c>
      <c r="C20" s="10" t="s">
        <v>129</v>
      </c>
      <c r="D20" s="21" t="s">
        <v>130</v>
      </c>
      <c r="E20" s="21">
        <v>41789</v>
      </c>
      <c r="F20" s="11" t="s">
        <v>131</v>
      </c>
      <c r="G20" s="10" t="s">
        <v>56</v>
      </c>
      <c r="H20" s="10" t="s">
        <v>35</v>
      </c>
      <c r="I20" s="10" t="s">
        <v>80</v>
      </c>
      <c r="J20" s="23">
        <v>801.22</v>
      </c>
      <c r="K20" s="21">
        <v>41770</v>
      </c>
      <c r="L20" s="10" t="s">
        <v>42</v>
      </c>
      <c r="M20" s="10" t="s">
        <v>82</v>
      </c>
      <c r="N20" s="10" t="s">
        <v>132</v>
      </c>
      <c r="O20" s="12" t="s">
        <v>84</v>
      </c>
      <c r="P20" s="24">
        <v>950065</v>
      </c>
      <c r="Q20" s="25">
        <f t="shared" si="17"/>
        <v>105371709.14999999</v>
      </c>
      <c r="R20" s="26" t="s">
        <v>31</v>
      </c>
      <c r="S20" s="9">
        <v>110.91</v>
      </c>
      <c r="T20" s="27">
        <f t="shared" si="18"/>
        <v>41859</v>
      </c>
      <c r="U20" s="10" t="s">
        <v>56</v>
      </c>
      <c r="V20" s="28">
        <f t="shared" si="19"/>
        <v>126446.05097999999</v>
      </c>
      <c r="W20" s="20">
        <v>155.72999999999999</v>
      </c>
      <c r="X20" s="25">
        <f t="shared" si="3"/>
        <v>19691443.519115396</v>
      </c>
      <c r="Y20" s="29">
        <f t="shared" si="20"/>
        <v>19691443.519115396</v>
      </c>
      <c r="Z20" s="20"/>
      <c r="AA20" s="20"/>
    </row>
    <row r="21" spans="2:27" ht="24.75" customHeight="1">
      <c r="B21" s="19">
        <f t="shared" si="4"/>
        <v>17</v>
      </c>
      <c r="C21" s="10" t="s">
        <v>133</v>
      </c>
      <c r="D21" s="21" t="s">
        <v>134</v>
      </c>
      <c r="E21" s="21">
        <v>41789</v>
      </c>
      <c r="F21" s="11" t="s">
        <v>135</v>
      </c>
      <c r="G21" s="10" t="s">
        <v>56</v>
      </c>
      <c r="H21" s="10" t="s">
        <v>35</v>
      </c>
      <c r="I21" s="10" t="s">
        <v>29</v>
      </c>
      <c r="J21" s="23">
        <v>801.22</v>
      </c>
      <c r="K21" s="21">
        <v>41776</v>
      </c>
      <c r="L21" s="10" t="s">
        <v>136</v>
      </c>
      <c r="M21" s="10" t="s">
        <v>30</v>
      </c>
      <c r="N21" s="10" t="s">
        <v>137</v>
      </c>
      <c r="O21" s="12" t="s">
        <v>138</v>
      </c>
      <c r="P21" s="24">
        <v>548502</v>
      </c>
      <c r="Q21" s="25">
        <f t="shared" si="17"/>
        <v>60799801.193999998</v>
      </c>
      <c r="R21" s="26" t="s">
        <v>31</v>
      </c>
      <c r="S21" s="33">
        <v>110.84699999999999</v>
      </c>
      <c r="T21" s="27">
        <f t="shared" si="18"/>
        <v>41865</v>
      </c>
      <c r="U21" s="10" t="s">
        <v>56</v>
      </c>
      <c r="V21" s="28">
        <f t="shared" si="19"/>
        <v>72959.761432799991</v>
      </c>
      <c r="W21" s="20">
        <v>155.72999999999999</v>
      </c>
      <c r="X21" s="25">
        <f t="shared" si="3"/>
        <v>11362023.647929942</v>
      </c>
      <c r="Y21" s="29">
        <f t="shared" si="20"/>
        <v>11362023.647929942</v>
      </c>
      <c r="Z21" s="20"/>
      <c r="AA21" s="20"/>
    </row>
    <row r="22" spans="2:27" ht="24.75" customHeight="1">
      <c r="B22" s="19">
        <f t="shared" si="4"/>
        <v>18</v>
      </c>
      <c r="C22" s="10" t="s">
        <v>139</v>
      </c>
      <c r="D22" s="21" t="s">
        <v>140</v>
      </c>
      <c r="E22" s="21">
        <v>41789</v>
      </c>
      <c r="F22" s="11" t="s">
        <v>141</v>
      </c>
      <c r="G22" s="10" t="s">
        <v>56</v>
      </c>
      <c r="H22" s="10" t="s">
        <v>35</v>
      </c>
      <c r="I22" s="10" t="s">
        <v>29</v>
      </c>
      <c r="J22" s="23">
        <v>801.22</v>
      </c>
      <c r="K22" s="21">
        <v>41776</v>
      </c>
      <c r="L22" s="10" t="s">
        <v>136</v>
      </c>
      <c r="M22" s="10" t="s">
        <v>30</v>
      </c>
      <c r="N22" s="10" t="s">
        <v>137</v>
      </c>
      <c r="O22" s="12" t="s">
        <v>138</v>
      </c>
      <c r="P22" s="24">
        <v>400000</v>
      </c>
      <c r="Q22" s="25">
        <f t="shared" si="17"/>
        <v>44338800</v>
      </c>
      <c r="R22" s="26" t="s">
        <v>31</v>
      </c>
      <c r="S22" s="33">
        <v>110.84699999999999</v>
      </c>
      <c r="T22" s="27">
        <f t="shared" si="18"/>
        <v>41865</v>
      </c>
      <c r="U22" s="10" t="s">
        <v>56</v>
      </c>
      <c r="V22" s="28">
        <f t="shared" si="19"/>
        <v>53206.559999999998</v>
      </c>
      <c r="W22" s="20">
        <v>155.72999999999999</v>
      </c>
      <c r="X22" s="25">
        <f t="shared" si="3"/>
        <v>8285857.5887999991</v>
      </c>
      <c r="Y22" s="29">
        <f t="shared" si="20"/>
        <v>8285857.5887999991</v>
      </c>
      <c r="Z22" s="20"/>
      <c r="AA22" s="20"/>
    </row>
    <row r="23" spans="2:27" ht="24.75" customHeight="1">
      <c r="B23" s="19">
        <f t="shared" si="4"/>
        <v>19</v>
      </c>
      <c r="C23" s="10" t="s">
        <v>142</v>
      </c>
      <c r="D23" s="21" t="s">
        <v>143</v>
      </c>
      <c r="E23" s="21">
        <v>41789</v>
      </c>
      <c r="F23" s="22" t="s">
        <v>144</v>
      </c>
      <c r="G23" s="10" t="s">
        <v>56</v>
      </c>
      <c r="H23" s="10" t="s">
        <v>35</v>
      </c>
      <c r="I23" s="10" t="s">
        <v>109</v>
      </c>
      <c r="J23" s="23">
        <v>801.22</v>
      </c>
      <c r="K23" s="21">
        <v>41786</v>
      </c>
      <c r="L23" s="10" t="s">
        <v>145</v>
      </c>
      <c r="M23" s="10" t="s">
        <v>111</v>
      </c>
      <c r="N23" s="10" t="s">
        <v>112</v>
      </c>
      <c r="O23" s="12" t="s">
        <v>113</v>
      </c>
      <c r="P23" s="34">
        <v>899866</v>
      </c>
      <c r="Q23" s="25">
        <f t="shared" si="17"/>
        <v>101288557.01360001</v>
      </c>
      <c r="R23" s="26" t="s">
        <v>31</v>
      </c>
      <c r="S23" s="9">
        <v>112.5596</v>
      </c>
      <c r="T23" s="27">
        <f t="shared" si="18"/>
        <v>41875</v>
      </c>
      <c r="U23" s="10" t="s">
        <v>56</v>
      </c>
      <c r="V23" s="28">
        <f t="shared" si="19"/>
        <v>121546.26841632</v>
      </c>
      <c r="W23" s="20">
        <v>155.72999999999999</v>
      </c>
      <c r="X23" s="25">
        <f t="shared" si="3"/>
        <v>18928400.380473513</v>
      </c>
      <c r="Y23" s="29">
        <f t="shared" si="20"/>
        <v>18928400.380473513</v>
      </c>
      <c r="Z23" s="20"/>
      <c r="AA23" s="20"/>
    </row>
    <row r="24" spans="2:27" ht="24.75" customHeight="1" thickBot="1">
      <c r="B24" s="19">
        <f t="shared" si="4"/>
        <v>20</v>
      </c>
      <c r="C24" s="10" t="s">
        <v>146</v>
      </c>
      <c r="D24" s="21" t="s">
        <v>147</v>
      </c>
      <c r="E24" s="21">
        <v>41789</v>
      </c>
      <c r="F24" s="22" t="s">
        <v>148</v>
      </c>
      <c r="G24" s="10" t="s">
        <v>56</v>
      </c>
      <c r="H24" s="10" t="s">
        <v>35</v>
      </c>
      <c r="I24" s="10" t="s">
        <v>50</v>
      </c>
      <c r="J24" s="23">
        <v>801.22</v>
      </c>
      <c r="K24" s="21">
        <v>41788</v>
      </c>
      <c r="L24" s="10" t="s">
        <v>149</v>
      </c>
      <c r="M24" s="10" t="s">
        <v>36</v>
      </c>
      <c r="N24" s="10" t="s">
        <v>137</v>
      </c>
      <c r="O24" s="12" t="s">
        <v>150</v>
      </c>
      <c r="P24" s="35">
        <v>949623</v>
      </c>
      <c r="Q24" s="36">
        <f t="shared" si="17"/>
        <v>106066241.73899999</v>
      </c>
      <c r="R24" s="26" t="s">
        <v>31</v>
      </c>
      <c r="S24" s="33">
        <v>111.693</v>
      </c>
      <c r="T24" s="27">
        <f t="shared" si="18"/>
        <v>41877</v>
      </c>
      <c r="U24" s="10" t="s">
        <v>56</v>
      </c>
      <c r="V24" s="37">
        <f t="shared" si="19"/>
        <v>127279.49008679998</v>
      </c>
      <c r="W24" s="20">
        <v>155.72999999999999</v>
      </c>
      <c r="X24" s="36">
        <f t="shared" si="3"/>
        <v>19821234.99121736</v>
      </c>
      <c r="Y24" s="29">
        <f t="shared" si="20"/>
        <v>19821234.99121736</v>
      </c>
      <c r="Z24" s="20"/>
      <c r="AA24" s="20"/>
    </row>
    <row r="25" spans="2:27" ht="15.75" thickBot="1">
      <c r="P25" s="61">
        <f>SUM(P5:P24)</f>
        <v>9171717</v>
      </c>
      <c r="Q25" s="62">
        <f>SUM(Q5:Q24)</f>
        <v>1006841939.9569999</v>
      </c>
      <c r="R25" s="63"/>
      <c r="S25" s="64"/>
      <c r="T25" s="65"/>
      <c r="U25" s="66"/>
      <c r="V25" s="62">
        <f>SUM(V5:V24)</f>
        <v>1208210.3279483998</v>
      </c>
      <c r="W25" s="63"/>
      <c r="X25" s="62">
        <f t="shared" ref="X25:Y25" si="21">SUM(X5:X24)</f>
        <v>188157861.19221652</v>
      </c>
      <c r="Y25" s="62">
        <f t="shared" si="21"/>
        <v>189290681.56831646</v>
      </c>
    </row>
    <row r="32" spans="2:27">
      <c r="D32" s="67"/>
    </row>
    <row r="33" spans="4:4">
      <c r="D33" s="67"/>
    </row>
  </sheetData>
  <pageMargins left="0" right="0" top="0" bottom="0" header="0.31496062992125984" footer="0"/>
  <pageSetup paperSize="8" orientation="landscape" r:id="rId1"/>
  <ignoredErrors>
    <ignoredError sqref="F5:F6 F7:F8 F10 F11:F14" numberStoredAsText="1"/>
    <ignoredError sqref="Q7 T6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AA32"/>
  <sheetViews>
    <sheetView workbookViewId="0">
      <selection activeCell="A36" sqref="A36:XFD43"/>
    </sheetView>
  </sheetViews>
  <sheetFormatPr defaultRowHeight="15"/>
  <cols>
    <col min="1" max="1" width="3.42578125" customWidth="1"/>
    <col min="2" max="2" width="4.140625" customWidth="1"/>
    <col min="3" max="3" width="5.85546875" style="3" customWidth="1"/>
    <col min="4" max="4" width="7.140625" style="3" customWidth="1"/>
    <col min="5" max="5" width="5.7109375" style="3" customWidth="1"/>
    <col min="6" max="6" width="11.140625" style="3" customWidth="1"/>
    <col min="7" max="7" width="8.5703125" style="3" customWidth="1"/>
    <col min="8" max="8" width="8.28515625" style="3" customWidth="1"/>
    <col min="9" max="9" width="8.140625" style="3" customWidth="1"/>
    <col min="10" max="10" width="5.85546875" customWidth="1"/>
    <col min="11" max="11" width="6.7109375" style="1" customWidth="1"/>
    <col min="12" max="12" width="8.42578125" style="3" customWidth="1"/>
    <col min="13" max="13" width="6.42578125" style="3" customWidth="1"/>
    <col min="14" max="14" width="7.5703125" style="5" customWidth="1"/>
    <col min="15" max="15" width="12.42578125" style="6" customWidth="1"/>
    <col min="16" max="16" width="8.7109375" customWidth="1"/>
    <col min="17" max="17" width="12.7109375" customWidth="1"/>
    <col min="18" max="18" width="6.28515625" customWidth="1"/>
    <col min="19" max="19" width="7.140625" style="8" customWidth="1"/>
    <col min="20" max="20" width="8.42578125" style="1" customWidth="1"/>
    <col min="21" max="21" width="8" style="3" customWidth="1"/>
    <col min="22" max="22" width="9.5703125" customWidth="1"/>
    <col min="23" max="23" width="5.85546875" customWidth="1"/>
    <col min="24" max="24" width="11.85546875" customWidth="1"/>
    <col min="25" max="25" width="11.5703125" customWidth="1"/>
    <col min="26" max="27" width="5.85546875" customWidth="1"/>
  </cols>
  <sheetData>
    <row r="2" spans="2:27" ht="15.75">
      <c r="L2" s="4" t="s">
        <v>0</v>
      </c>
    </row>
    <row r="3" spans="2:27" ht="23.25" customHeight="1" thickBot="1">
      <c r="L3" s="49" t="s">
        <v>184</v>
      </c>
      <c r="P3" s="2"/>
    </row>
    <row r="4" spans="2:27" s="3" customFormat="1" ht="42.6" customHeight="1" thickBot="1">
      <c r="B4" s="13" t="s">
        <v>1</v>
      </c>
      <c r="C4" s="14" t="s">
        <v>2</v>
      </c>
      <c r="D4" s="14" t="s">
        <v>3</v>
      </c>
      <c r="E4" s="14" t="s">
        <v>4</v>
      </c>
      <c r="F4" s="15" t="s">
        <v>5</v>
      </c>
      <c r="G4" s="16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15</v>
      </c>
      <c r="Q4" s="14" t="s">
        <v>16</v>
      </c>
      <c r="R4" s="14" t="s">
        <v>17</v>
      </c>
      <c r="S4" s="17" t="s">
        <v>18</v>
      </c>
      <c r="T4" s="14" t="s">
        <v>19</v>
      </c>
      <c r="U4" s="14" t="s">
        <v>20</v>
      </c>
      <c r="V4" s="14" t="s">
        <v>21</v>
      </c>
      <c r="W4" s="14" t="s">
        <v>22</v>
      </c>
      <c r="X4" s="14" t="s">
        <v>23</v>
      </c>
      <c r="Y4" s="14" t="s">
        <v>24</v>
      </c>
      <c r="Z4" s="14" t="s">
        <v>25</v>
      </c>
      <c r="AA4" s="18" t="s">
        <v>26</v>
      </c>
    </row>
    <row r="5" spans="2:27" ht="29.25" customHeight="1">
      <c r="B5" s="19">
        <v>1</v>
      </c>
      <c r="C5" s="10" t="s">
        <v>161</v>
      </c>
      <c r="D5" s="30" t="s">
        <v>155</v>
      </c>
      <c r="E5" s="21"/>
      <c r="F5" s="31" t="s">
        <v>187</v>
      </c>
      <c r="G5" s="10" t="s">
        <v>160</v>
      </c>
      <c r="H5" s="10" t="s">
        <v>57</v>
      </c>
      <c r="I5" s="10" t="s">
        <v>51</v>
      </c>
      <c r="J5" s="23">
        <v>801.22</v>
      </c>
      <c r="K5" s="21">
        <v>41768</v>
      </c>
      <c r="L5" s="10" t="s">
        <v>162</v>
      </c>
      <c r="M5" s="10" t="s">
        <v>52</v>
      </c>
      <c r="N5" s="10" t="s">
        <v>154</v>
      </c>
      <c r="O5" s="12" t="s">
        <v>163</v>
      </c>
      <c r="P5" s="24">
        <v>631195</v>
      </c>
      <c r="Q5" s="25">
        <f t="shared" ref="Q5:Q14" si="0">SUM(P5*S5)</f>
        <v>66642830.489999995</v>
      </c>
      <c r="R5" s="26" t="s">
        <v>31</v>
      </c>
      <c r="S5" s="7">
        <v>105.58199999999999</v>
      </c>
      <c r="T5" s="27">
        <f t="shared" ref="T5:T14" si="1">SUM(K5)+89</f>
        <v>41857</v>
      </c>
      <c r="U5" s="10" t="s">
        <v>53</v>
      </c>
      <c r="V5" s="28">
        <f t="shared" ref="V5:V14" si="2">SUM(Q5*0.12%)</f>
        <v>79971.396587999989</v>
      </c>
      <c r="W5" s="20">
        <v>155.72999999999999</v>
      </c>
      <c r="X5" s="25">
        <f t="shared" ref="X5:X14" si="3">SUM(V5*W5)</f>
        <v>12453945.590649238</v>
      </c>
      <c r="Y5" s="32">
        <v>0</v>
      </c>
      <c r="Z5" s="20"/>
      <c r="AA5" s="20"/>
    </row>
    <row r="6" spans="2:27" ht="29.25" customHeight="1">
      <c r="B6" s="19">
        <f>B5+1</f>
        <v>2</v>
      </c>
      <c r="C6" s="10" t="s">
        <v>164</v>
      </c>
      <c r="D6" s="30" t="s">
        <v>155</v>
      </c>
      <c r="E6" s="21"/>
      <c r="F6" s="22" t="s">
        <v>165</v>
      </c>
      <c r="G6" s="10" t="s">
        <v>48</v>
      </c>
      <c r="H6" s="10" t="s">
        <v>153</v>
      </c>
      <c r="I6" s="10" t="s">
        <v>50</v>
      </c>
      <c r="J6" s="23">
        <v>801.22</v>
      </c>
      <c r="K6" s="21">
        <v>42872</v>
      </c>
      <c r="L6" s="10" t="s">
        <v>166</v>
      </c>
      <c r="M6" s="10" t="s">
        <v>36</v>
      </c>
      <c r="N6" s="10" t="s">
        <v>132</v>
      </c>
      <c r="O6" s="12" t="s">
        <v>84</v>
      </c>
      <c r="P6" s="24">
        <v>101000</v>
      </c>
      <c r="Q6" s="25">
        <f t="shared" si="0"/>
        <v>11397547</v>
      </c>
      <c r="R6" s="26" t="s">
        <v>31</v>
      </c>
      <c r="S6" s="33">
        <v>112.84699999999999</v>
      </c>
      <c r="T6" s="27">
        <f t="shared" si="1"/>
        <v>42961</v>
      </c>
      <c r="U6" s="12" t="s">
        <v>85</v>
      </c>
      <c r="V6" s="28">
        <f t="shared" si="2"/>
        <v>13677.056399999999</v>
      </c>
      <c r="W6" s="20">
        <v>155.72999999999999</v>
      </c>
      <c r="X6" s="25">
        <f t="shared" si="3"/>
        <v>2129927.9931719997</v>
      </c>
      <c r="Y6" s="32">
        <v>0</v>
      </c>
      <c r="Z6" s="20"/>
      <c r="AA6" s="20"/>
    </row>
    <row r="7" spans="2:27" ht="29.25" customHeight="1">
      <c r="B7" s="19">
        <f t="shared" ref="B7:B14" si="4">B6+1</f>
        <v>3</v>
      </c>
      <c r="C7" s="10" t="s">
        <v>167</v>
      </c>
      <c r="D7" s="30" t="s">
        <v>155</v>
      </c>
      <c r="E7" s="21"/>
      <c r="F7" s="22" t="s">
        <v>168</v>
      </c>
      <c r="G7" s="10" t="s">
        <v>48</v>
      </c>
      <c r="H7" s="10" t="s">
        <v>153</v>
      </c>
      <c r="I7" s="10" t="s">
        <v>50</v>
      </c>
      <c r="J7" s="23">
        <v>801.22</v>
      </c>
      <c r="K7" s="21">
        <v>42872</v>
      </c>
      <c r="L7" s="10" t="s">
        <v>166</v>
      </c>
      <c r="M7" s="10" t="s">
        <v>36</v>
      </c>
      <c r="N7" s="10" t="s">
        <v>132</v>
      </c>
      <c r="O7" s="12" t="s">
        <v>84</v>
      </c>
      <c r="P7" s="24">
        <v>119592</v>
      </c>
      <c r="Q7" s="25">
        <f t="shared" si="0"/>
        <v>13495598.423999999</v>
      </c>
      <c r="R7" s="26" t="s">
        <v>31</v>
      </c>
      <c r="S7" s="33">
        <v>112.84699999999999</v>
      </c>
      <c r="T7" s="27">
        <f t="shared" si="1"/>
        <v>42961</v>
      </c>
      <c r="U7" s="12" t="s">
        <v>85</v>
      </c>
      <c r="V7" s="28">
        <f t="shared" si="2"/>
        <v>16194.718108799998</v>
      </c>
      <c r="W7" s="20">
        <v>155.72999999999999</v>
      </c>
      <c r="X7" s="25">
        <f t="shared" si="3"/>
        <v>2522003.4510834236</v>
      </c>
      <c r="Y7" s="32">
        <v>0</v>
      </c>
      <c r="Z7" s="20"/>
      <c r="AA7" s="20"/>
    </row>
    <row r="8" spans="2:27" ht="29.25" customHeight="1">
      <c r="B8" s="19">
        <f t="shared" si="4"/>
        <v>4</v>
      </c>
      <c r="C8" s="10" t="s">
        <v>169</v>
      </c>
      <c r="D8" s="30" t="s">
        <v>155</v>
      </c>
      <c r="E8" s="21"/>
      <c r="F8" s="22" t="s">
        <v>170</v>
      </c>
      <c r="G8" s="10" t="s">
        <v>48</v>
      </c>
      <c r="H8" s="10" t="s">
        <v>152</v>
      </c>
      <c r="I8" s="10" t="s">
        <v>50</v>
      </c>
      <c r="J8" s="23">
        <v>801.22</v>
      </c>
      <c r="K8" s="21">
        <v>42872</v>
      </c>
      <c r="L8" s="10" t="s">
        <v>166</v>
      </c>
      <c r="M8" s="10" t="s">
        <v>36</v>
      </c>
      <c r="N8" s="10" t="s">
        <v>132</v>
      </c>
      <c r="O8" s="12" t="s">
        <v>84</v>
      </c>
      <c r="P8" s="24">
        <v>70000</v>
      </c>
      <c r="Q8" s="25">
        <f t="shared" si="0"/>
        <v>7899290</v>
      </c>
      <c r="R8" s="26" t="s">
        <v>31</v>
      </c>
      <c r="S8" s="33">
        <v>112.84699999999999</v>
      </c>
      <c r="T8" s="27">
        <f t="shared" si="1"/>
        <v>42961</v>
      </c>
      <c r="U8" s="12" t="s">
        <v>85</v>
      </c>
      <c r="V8" s="28">
        <f t="shared" si="2"/>
        <v>9479.1479999999992</v>
      </c>
      <c r="W8" s="20">
        <v>155.72999999999999</v>
      </c>
      <c r="X8" s="25">
        <f t="shared" si="3"/>
        <v>1476187.7180399997</v>
      </c>
      <c r="Y8" s="32">
        <v>0</v>
      </c>
      <c r="Z8" s="20"/>
      <c r="AA8" s="20"/>
    </row>
    <row r="9" spans="2:27" ht="29.25" customHeight="1">
      <c r="B9" s="19">
        <f t="shared" si="4"/>
        <v>5</v>
      </c>
      <c r="C9" s="10" t="s">
        <v>171</v>
      </c>
      <c r="D9" s="30" t="s">
        <v>155</v>
      </c>
      <c r="E9" s="21"/>
      <c r="F9" s="22" t="s">
        <v>172</v>
      </c>
      <c r="G9" s="10" t="s">
        <v>53</v>
      </c>
      <c r="H9" s="10" t="s">
        <v>89</v>
      </c>
      <c r="I9" s="10" t="s">
        <v>50</v>
      </c>
      <c r="J9" s="23">
        <v>801.22</v>
      </c>
      <c r="K9" s="21">
        <v>42872</v>
      </c>
      <c r="L9" s="10" t="s">
        <v>166</v>
      </c>
      <c r="M9" s="10" t="s">
        <v>36</v>
      </c>
      <c r="N9" s="10" t="s">
        <v>33</v>
      </c>
      <c r="O9" s="12" t="s">
        <v>173</v>
      </c>
      <c r="P9" s="24">
        <v>359000</v>
      </c>
      <c r="Q9" s="25">
        <f t="shared" si="0"/>
        <v>40551922</v>
      </c>
      <c r="R9" s="26" t="s">
        <v>31</v>
      </c>
      <c r="S9" s="33">
        <v>112.958</v>
      </c>
      <c r="T9" s="27">
        <f t="shared" si="1"/>
        <v>42961</v>
      </c>
      <c r="U9" s="12" t="s">
        <v>85</v>
      </c>
      <c r="V9" s="28">
        <f t="shared" si="2"/>
        <v>48662.306399999994</v>
      </c>
      <c r="W9" s="20">
        <v>155.72999999999999</v>
      </c>
      <c r="X9" s="25">
        <f t="shared" si="3"/>
        <v>7578180.9756719982</v>
      </c>
      <c r="Y9" s="32">
        <v>0</v>
      </c>
      <c r="Z9" s="20"/>
      <c r="AA9" s="20"/>
    </row>
    <row r="10" spans="2:27" ht="29.25" customHeight="1">
      <c r="B10" s="19">
        <f t="shared" si="4"/>
        <v>6</v>
      </c>
      <c r="C10" s="10" t="s">
        <v>174</v>
      </c>
      <c r="D10" s="30" t="s">
        <v>155</v>
      </c>
      <c r="E10" s="21"/>
      <c r="F10" s="22" t="s">
        <v>175</v>
      </c>
      <c r="G10" s="10" t="s">
        <v>151</v>
      </c>
      <c r="H10" s="10" t="s">
        <v>157</v>
      </c>
      <c r="I10" s="10" t="s">
        <v>50</v>
      </c>
      <c r="J10" s="23">
        <v>801.22</v>
      </c>
      <c r="K10" s="21">
        <v>42872</v>
      </c>
      <c r="L10" s="10" t="s">
        <v>166</v>
      </c>
      <c r="M10" s="10" t="s">
        <v>36</v>
      </c>
      <c r="N10" s="10" t="s">
        <v>33</v>
      </c>
      <c r="O10" s="12" t="s">
        <v>173</v>
      </c>
      <c r="P10" s="24">
        <v>18000</v>
      </c>
      <c r="Q10" s="25">
        <f t="shared" si="0"/>
        <v>2031246</v>
      </c>
      <c r="R10" s="26" t="s">
        <v>31</v>
      </c>
      <c r="S10" s="33">
        <v>112.84699999999999</v>
      </c>
      <c r="T10" s="27">
        <f t="shared" si="1"/>
        <v>42961</v>
      </c>
      <c r="U10" s="12" t="s">
        <v>151</v>
      </c>
      <c r="V10" s="28">
        <f t="shared" si="2"/>
        <v>2437.4951999999998</v>
      </c>
      <c r="W10" s="20">
        <v>155.72999999999999</v>
      </c>
      <c r="X10" s="25">
        <f t="shared" si="3"/>
        <v>379591.12749599997</v>
      </c>
      <c r="Y10" s="32">
        <v>0</v>
      </c>
      <c r="Z10" s="20"/>
      <c r="AA10" s="20"/>
    </row>
    <row r="11" spans="2:27" ht="29.25" customHeight="1">
      <c r="B11" s="19">
        <f t="shared" si="4"/>
        <v>7</v>
      </c>
      <c r="C11" s="10" t="s">
        <v>176</v>
      </c>
      <c r="D11" s="30" t="s">
        <v>155</v>
      </c>
      <c r="E11" s="21"/>
      <c r="F11" s="22" t="s">
        <v>177</v>
      </c>
      <c r="G11" s="10" t="s">
        <v>151</v>
      </c>
      <c r="H11" s="10" t="s">
        <v>157</v>
      </c>
      <c r="I11" s="10" t="s">
        <v>50</v>
      </c>
      <c r="J11" s="23">
        <v>801.22</v>
      </c>
      <c r="K11" s="21">
        <v>42872</v>
      </c>
      <c r="L11" s="10" t="s">
        <v>166</v>
      </c>
      <c r="M11" s="10" t="s">
        <v>36</v>
      </c>
      <c r="N11" s="10" t="s">
        <v>33</v>
      </c>
      <c r="O11" s="12" t="s">
        <v>173</v>
      </c>
      <c r="P11" s="24">
        <v>57000</v>
      </c>
      <c r="Q11" s="25">
        <f t="shared" si="0"/>
        <v>6432279</v>
      </c>
      <c r="R11" s="26" t="s">
        <v>31</v>
      </c>
      <c r="S11" s="33">
        <v>112.84699999999999</v>
      </c>
      <c r="T11" s="27">
        <f t="shared" si="1"/>
        <v>42961</v>
      </c>
      <c r="U11" s="12" t="s">
        <v>151</v>
      </c>
      <c r="V11" s="28">
        <f t="shared" si="2"/>
        <v>7718.7347999999993</v>
      </c>
      <c r="W11" s="20">
        <v>155.72999999999999</v>
      </c>
      <c r="X11" s="25">
        <f t="shared" si="3"/>
        <v>1202038.5704039999</v>
      </c>
      <c r="Y11" s="32">
        <v>0</v>
      </c>
      <c r="Z11" s="20"/>
      <c r="AA11" s="20"/>
    </row>
    <row r="12" spans="2:27" ht="29.25" customHeight="1">
      <c r="B12" s="19">
        <f t="shared" si="4"/>
        <v>8</v>
      </c>
      <c r="C12" s="10" t="s">
        <v>178</v>
      </c>
      <c r="D12" s="30" t="s">
        <v>155</v>
      </c>
      <c r="E12" s="21"/>
      <c r="F12" s="22" t="s">
        <v>179</v>
      </c>
      <c r="G12" s="10" t="s">
        <v>186</v>
      </c>
      <c r="H12" s="10" t="s">
        <v>157</v>
      </c>
      <c r="I12" s="10" t="s">
        <v>50</v>
      </c>
      <c r="J12" s="23">
        <v>801.22</v>
      </c>
      <c r="K12" s="21">
        <v>42872</v>
      </c>
      <c r="L12" s="10" t="s">
        <v>166</v>
      </c>
      <c r="M12" s="10" t="s">
        <v>36</v>
      </c>
      <c r="N12" s="10" t="s">
        <v>33</v>
      </c>
      <c r="O12" s="12" t="s">
        <v>173</v>
      </c>
      <c r="P12" s="24">
        <v>39000</v>
      </c>
      <c r="Q12" s="25">
        <f t="shared" si="0"/>
        <v>4401033</v>
      </c>
      <c r="R12" s="26" t="s">
        <v>31</v>
      </c>
      <c r="S12" s="33">
        <v>112.84699999999999</v>
      </c>
      <c r="T12" s="27">
        <f t="shared" si="1"/>
        <v>42961</v>
      </c>
      <c r="U12" s="12" t="s">
        <v>151</v>
      </c>
      <c r="V12" s="28">
        <f t="shared" si="2"/>
        <v>5281.2395999999999</v>
      </c>
      <c r="W12" s="20">
        <v>155.72999999999999</v>
      </c>
      <c r="X12" s="25">
        <f t="shared" si="3"/>
        <v>822447.44290799997</v>
      </c>
      <c r="Y12" s="32">
        <v>0</v>
      </c>
      <c r="Z12" s="20"/>
      <c r="AA12" s="20"/>
    </row>
    <row r="13" spans="2:27" ht="29.25" customHeight="1">
      <c r="B13" s="19">
        <f t="shared" si="4"/>
        <v>9</v>
      </c>
      <c r="C13" s="10" t="s">
        <v>180</v>
      </c>
      <c r="D13" s="30" t="s">
        <v>155</v>
      </c>
      <c r="E13" s="21"/>
      <c r="F13" s="22" t="s">
        <v>181</v>
      </c>
      <c r="G13" s="10" t="s">
        <v>158</v>
      </c>
      <c r="H13" s="10" t="s">
        <v>156</v>
      </c>
      <c r="I13" s="10" t="s">
        <v>50</v>
      </c>
      <c r="J13" s="23">
        <v>801.22</v>
      </c>
      <c r="K13" s="21">
        <v>42872</v>
      </c>
      <c r="L13" s="10" t="s">
        <v>166</v>
      </c>
      <c r="M13" s="10" t="s">
        <v>36</v>
      </c>
      <c r="N13" s="10" t="s">
        <v>33</v>
      </c>
      <c r="O13" s="12" t="s">
        <v>173</v>
      </c>
      <c r="P13" s="24">
        <v>177000</v>
      </c>
      <c r="Q13" s="25">
        <f t="shared" si="0"/>
        <v>19973919</v>
      </c>
      <c r="R13" s="26" t="s">
        <v>31</v>
      </c>
      <c r="S13" s="33">
        <v>112.84699999999999</v>
      </c>
      <c r="T13" s="27">
        <f t="shared" si="1"/>
        <v>42961</v>
      </c>
      <c r="U13" s="10" t="s">
        <v>159</v>
      </c>
      <c r="V13" s="28">
        <f t="shared" si="2"/>
        <v>23968.702799999999</v>
      </c>
      <c r="W13" s="20">
        <v>155.72999999999999</v>
      </c>
      <c r="X13" s="25">
        <f t="shared" si="3"/>
        <v>3732646.0870439997</v>
      </c>
      <c r="Y13" s="32">
        <v>0</v>
      </c>
      <c r="Z13" s="20"/>
      <c r="AA13" s="20"/>
    </row>
    <row r="14" spans="2:27" ht="29.25" customHeight="1" thickBot="1">
      <c r="B14" s="19">
        <f t="shared" si="4"/>
        <v>10</v>
      </c>
      <c r="C14" s="10" t="s">
        <v>182</v>
      </c>
      <c r="D14" s="30" t="s">
        <v>155</v>
      </c>
      <c r="E14" s="21"/>
      <c r="F14" s="22" t="s">
        <v>183</v>
      </c>
      <c r="G14" s="10" t="s">
        <v>158</v>
      </c>
      <c r="H14" s="10" t="s">
        <v>156</v>
      </c>
      <c r="I14" s="10" t="s">
        <v>50</v>
      </c>
      <c r="J14" s="23">
        <v>801.22</v>
      </c>
      <c r="K14" s="21">
        <v>42872</v>
      </c>
      <c r="L14" s="10" t="s">
        <v>166</v>
      </c>
      <c r="M14" s="10" t="s">
        <v>36</v>
      </c>
      <c r="N14" s="10" t="s">
        <v>132</v>
      </c>
      <c r="O14" s="12" t="s">
        <v>84</v>
      </c>
      <c r="P14" s="24">
        <v>59000</v>
      </c>
      <c r="Q14" s="25">
        <f t="shared" si="0"/>
        <v>6657973</v>
      </c>
      <c r="R14" s="26" t="s">
        <v>31</v>
      </c>
      <c r="S14" s="33">
        <v>112.84699999999999</v>
      </c>
      <c r="T14" s="27">
        <f t="shared" si="1"/>
        <v>42961</v>
      </c>
      <c r="U14" s="10" t="s">
        <v>159</v>
      </c>
      <c r="V14" s="28">
        <f t="shared" si="2"/>
        <v>7989.5675999999994</v>
      </c>
      <c r="W14" s="20">
        <v>155.72999999999999</v>
      </c>
      <c r="X14" s="25">
        <f t="shared" si="3"/>
        <v>1244215.3623479998</v>
      </c>
      <c r="Y14" s="32">
        <v>0</v>
      </c>
      <c r="Z14" s="20"/>
      <c r="AA14" s="20"/>
    </row>
    <row r="15" spans="2:27" ht="15.75" thickBot="1">
      <c r="B15" s="38"/>
      <c r="C15" s="39"/>
      <c r="D15" s="39"/>
      <c r="E15" s="39"/>
      <c r="F15" s="39"/>
      <c r="G15" s="39"/>
      <c r="H15" s="39"/>
      <c r="I15" s="39"/>
      <c r="J15" s="38"/>
      <c r="K15" s="40"/>
      <c r="L15" s="39"/>
      <c r="M15" s="39"/>
      <c r="N15" s="41"/>
      <c r="O15" s="42"/>
      <c r="P15" s="43">
        <f>SUM(P5:P14)</f>
        <v>1630787</v>
      </c>
      <c r="Q15" s="44">
        <f>SUM(Q5:Q14)</f>
        <v>179483637.91399997</v>
      </c>
      <c r="R15" s="45"/>
      <c r="S15" s="46"/>
      <c r="T15" s="47"/>
      <c r="U15" s="48"/>
      <c r="V15" s="44">
        <f>SUM(V5:V14)</f>
        <v>215380.36549679999</v>
      </c>
      <c r="W15" s="45"/>
      <c r="X15" s="44">
        <f>SUM(X5:X14)</f>
        <v>33541184.318816662</v>
      </c>
      <c r="Y15" s="44">
        <f>SUM(Y5:Y14)</f>
        <v>0</v>
      </c>
      <c r="Z15" s="38"/>
      <c r="AA15" s="38"/>
    </row>
    <row r="29" spans="4:4">
      <c r="D29" s="67"/>
    </row>
    <row r="30" spans="4:4">
      <c r="D30" s="67"/>
    </row>
    <row r="31" spans="4:4">
      <c r="D31" s="68"/>
    </row>
    <row r="32" spans="4:4">
      <c r="D32" s="67"/>
    </row>
  </sheetData>
  <pageMargins left="0" right="0" top="0" bottom="0" header="0.31496062992125984" footer="0"/>
  <pageSetup paperSize="8" orientation="landscape" r:id="rId1"/>
  <ignoredErrors>
    <ignoredError sqref="F5:F1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(MAY'14)</vt:lpstr>
      <vt:lpstr>COMPLIANT (MAY'14)</vt:lpstr>
      <vt:lpstr>NON-COMPLIANT (MAY'14)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2014-06-06T09:27:17Z</cp:lastPrinted>
  <dcterms:created xsi:type="dcterms:W3CDTF">2013-10-09T11:18:50Z</dcterms:created>
  <dcterms:modified xsi:type="dcterms:W3CDTF">2014-06-09T14:10:43Z</dcterms:modified>
</cp:coreProperties>
</file>