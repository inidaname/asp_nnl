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960" yWindow="930" windowWidth="19335" windowHeight="7080"/>
  </bookViews>
  <sheets>
    <sheet name="COMPREHENSIVE (YEAR 2014)" sheetId="1" r:id="rId1"/>
    <sheet name="COMPLIANT (YEAR 2014)" sheetId="2" r:id="rId2"/>
    <sheet name="NON-COMPLIANT (YEAR 2014)" sheetId="3" r:id="rId3"/>
  </sheets>
  <calcPr calcId="125725"/>
</workbook>
</file>

<file path=xl/calcChain.xml><?xml version="1.0" encoding="utf-8"?>
<calcChain xmlns="http://schemas.openxmlformats.org/spreadsheetml/2006/main">
  <c r="S8" i="2"/>
  <c r="W8"/>
  <c r="X44" i="3"/>
  <c r="O44"/>
  <c r="S43"/>
  <c r="P43"/>
  <c r="U43" s="1"/>
  <c r="W43" s="1"/>
  <c r="S42"/>
  <c r="P42"/>
  <c r="U42" s="1"/>
  <c r="W42" s="1"/>
  <c r="S41"/>
  <c r="P41"/>
  <c r="U41" s="1"/>
  <c r="W41" s="1"/>
  <c r="S40"/>
  <c r="P40"/>
  <c r="U40" s="1"/>
  <c r="W40" s="1"/>
  <c r="S39"/>
  <c r="P39"/>
  <c r="U39" s="1"/>
  <c r="W39" s="1"/>
  <c r="S38"/>
  <c r="P38"/>
  <c r="U38" s="1"/>
  <c r="W38" s="1"/>
  <c r="S37"/>
  <c r="P37"/>
  <c r="U37" s="1"/>
  <c r="W37" s="1"/>
  <c r="S36"/>
  <c r="P36"/>
  <c r="U36" s="1"/>
  <c r="W36" s="1"/>
  <c r="S35"/>
  <c r="P35"/>
  <c r="U35" s="1"/>
  <c r="W35" s="1"/>
  <c r="S34"/>
  <c r="P34"/>
  <c r="U34" s="1"/>
  <c r="W34" s="1"/>
  <c r="S33"/>
  <c r="P33"/>
  <c r="U33" s="1"/>
  <c r="W33" s="1"/>
  <c r="S32"/>
  <c r="P32"/>
  <c r="U32" s="1"/>
  <c r="W32" s="1"/>
  <c r="S31"/>
  <c r="P31"/>
  <c r="U31" s="1"/>
  <c r="W31" s="1"/>
  <c r="O264" i="2"/>
  <c r="S263"/>
  <c r="P263"/>
  <c r="U263" s="1"/>
  <c r="W263" s="1"/>
  <c r="X263" s="1"/>
  <c r="S262"/>
  <c r="P262"/>
  <c r="U262" s="1"/>
  <c r="W262" s="1"/>
  <c r="X262" s="1"/>
  <c r="S261"/>
  <c r="P261"/>
  <c r="U261" s="1"/>
  <c r="W261" s="1"/>
  <c r="X261" s="1"/>
  <c r="S260"/>
  <c r="P260"/>
  <c r="U260" s="1"/>
  <c r="W260" s="1"/>
  <c r="X260" s="1"/>
  <c r="S259"/>
  <c r="P259"/>
  <c r="U259" s="1"/>
  <c r="W259" s="1"/>
  <c r="X259" s="1"/>
  <c r="S258"/>
  <c r="P258"/>
  <c r="U258" s="1"/>
  <c r="W258" s="1"/>
  <c r="X258" s="1"/>
  <c r="S257"/>
  <c r="P257"/>
  <c r="U257" s="1"/>
  <c r="W257" s="1"/>
  <c r="X257" s="1"/>
  <c r="S256"/>
  <c r="P256"/>
  <c r="U256" s="1"/>
  <c r="W256" s="1"/>
  <c r="X256" s="1"/>
  <c r="S255"/>
  <c r="P255"/>
  <c r="U255" s="1"/>
  <c r="W255" s="1"/>
  <c r="X255" s="1"/>
  <c r="S254"/>
  <c r="P254"/>
  <c r="U254" s="1"/>
  <c r="W254" s="1"/>
  <c r="X254" s="1"/>
  <c r="O259" i="1" l="1"/>
  <c r="S258" l="1"/>
  <c r="S257"/>
  <c r="S256"/>
  <c r="S255"/>
  <c r="S254"/>
  <c r="S253"/>
  <c r="S252"/>
  <c r="S251"/>
  <c r="S250"/>
  <c r="S249"/>
  <c r="S248"/>
  <c r="S247"/>
  <c r="S246"/>
  <c r="S245"/>
  <c r="S244"/>
  <c r="S243"/>
  <c r="S242"/>
  <c r="S241"/>
  <c r="S240"/>
  <c r="S239"/>
  <c r="S238"/>
  <c r="S237"/>
  <c r="S236"/>
  <c r="P258"/>
  <c r="U258" s="1"/>
  <c r="W258" s="1"/>
  <c r="P257"/>
  <c r="U257" s="1"/>
  <c r="W257" s="1"/>
  <c r="X257" s="1"/>
  <c r="P256"/>
  <c r="U256" s="1"/>
  <c r="W256" s="1"/>
  <c r="X256" s="1"/>
  <c r="P255"/>
  <c r="U255" s="1"/>
  <c r="W255" s="1"/>
  <c r="X255" s="1"/>
  <c r="P254"/>
  <c r="U254" s="1"/>
  <c r="W254" s="1"/>
  <c r="X254" s="1"/>
  <c r="P253"/>
  <c r="U253" s="1"/>
  <c r="W253" s="1"/>
  <c r="X253" s="1"/>
  <c r="P252"/>
  <c r="U252" s="1"/>
  <c r="W252" s="1"/>
  <c r="P251"/>
  <c r="U251" s="1"/>
  <c r="W251" s="1"/>
  <c r="P250"/>
  <c r="U250" s="1"/>
  <c r="W250" s="1"/>
  <c r="P249"/>
  <c r="U249" s="1"/>
  <c r="W249" s="1"/>
  <c r="P248"/>
  <c r="U248" s="1"/>
  <c r="W248" s="1"/>
  <c r="P247"/>
  <c r="U247" s="1"/>
  <c r="W247" s="1"/>
  <c r="P246"/>
  <c r="U246" s="1"/>
  <c r="W246" s="1"/>
  <c r="P245"/>
  <c r="U245" s="1"/>
  <c r="W245" s="1"/>
  <c r="P244"/>
  <c r="U244" s="1"/>
  <c r="W244" s="1"/>
  <c r="X244" s="1"/>
  <c r="P243"/>
  <c r="U243" s="1"/>
  <c r="W243" s="1"/>
  <c r="X243" s="1"/>
  <c r="P242"/>
  <c r="U242" s="1"/>
  <c r="W242" s="1"/>
  <c r="P241"/>
  <c r="U241" s="1"/>
  <c r="W241" s="1"/>
  <c r="P240"/>
  <c r="U240" s="1"/>
  <c r="W240" s="1"/>
  <c r="P239"/>
  <c r="U239" s="1"/>
  <c r="W239" s="1"/>
  <c r="X239" s="1"/>
  <c r="P238"/>
  <c r="U238" s="1"/>
  <c r="W238" s="1"/>
  <c r="X238" s="1"/>
  <c r="P237"/>
  <c r="U237" s="1"/>
  <c r="W237" s="1"/>
  <c r="X237" s="1"/>
  <c r="P236"/>
  <c r="U236" s="1"/>
  <c r="W236" s="1"/>
  <c r="S253" i="2" l="1"/>
  <c r="P253"/>
  <c r="U253" s="1"/>
  <c r="W253" s="1"/>
  <c r="S252"/>
  <c r="P252"/>
  <c r="U252" s="1"/>
  <c r="W252" s="1"/>
  <c r="S251"/>
  <c r="P251"/>
  <c r="U251" s="1"/>
  <c r="W251" s="1"/>
  <c r="S250"/>
  <c r="P250"/>
  <c r="U250" s="1"/>
  <c r="W250" s="1"/>
  <c r="S9" i="3" l="1"/>
  <c r="S30" l="1"/>
  <c r="P30"/>
  <c r="U30" s="1"/>
  <c r="W30" s="1"/>
  <c r="S29"/>
  <c r="P29"/>
  <c r="U29" s="1"/>
  <c r="W29" s="1"/>
  <c r="S28"/>
  <c r="P28"/>
  <c r="U28" s="1"/>
  <c r="W28" s="1"/>
  <c r="S27"/>
  <c r="P27"/>
  <c r="U27" s="1"/>
  <c r="W27" s="1"/>
  <c r="S26"/>
  <c r="P26"/>
  <c r="U26" s="1"/>
  <c r="W26" s="1"/>
  <c r="S25"/>
  <c r="P25"/>
  <c r="U25" s="1"/>
  <c r="W25" s="1"/>
  <c r="S24"/>
  <c r="P24"/>
  <c r="U24" s="1"/>
  <c r="W24" s="1"/>
  <c r="S23"/>
  <c r="P23"/>
  <c r="U23" s="1"/>
  <c r="W23" s="1"/>
  <c r="S22"/>
  <c r="P22"/>
  <c r="U22" s="1"/>
  <c r="W22" s="1"/>
  <c r="S21"/>
  <c r="P21"/>
  <c r="U21" s="1"/>
  <c r="W21" s="1"/>
  <c r="S20"/>
  <c r="P20"/>
  <c r="U20" s="1"/>
  <c r="W20" s="1"/>
  <c r="S19"/>
  <c r="P19"/>
  <c r="U19" s="1"/>
  <c r="W19" s="1"/>
  <c r="S18"/>
  <c r="P18"/>
  <c r="U18" s="1"/>
  <c r="W18" s="1"/>
  <c r="S249" i="2"/>
  <c r="P249"/>
  <c r="U249" s="1"/>
  <c r="W249" s="1"/>
  <c r="X249" s="1"/>
  <c r="S248"/>
  <c r="P248"/>
  <c r="U248" s="1"/>
  <c r="W248" s="1"/>
  <c r="X248" s="1"/>
  <c r="S247"/>
  <c r="P247"/>
  <c r="U247" s="1"/>
  <c r="W247" s="1"/>
  <c r="X247" s="1"/>
  <c r="S246"/>
  <c r="P246"/>
  <c r="U246" s="1"/>
  <c r="W246" s="1"/>
  <c r="X246" s="1"/>
  <c r="S245"/>
  <c r="P245"/>
  <c r="U245" s="1"/>
  <c r="W245" s="1"/>
  <c r="X245" s="1"/>
  <c r="S244"/>
  <c r="P244"/>
  <c r="U244" s="1"/>
  <c r="W244" s="1"/>
  <c r="X244" s="1"/>
  <c r="S235" i="1"/>
  <c r="S234"/>
  <c r="S233"/>
  <c r="S232"/>
  <c r="S231"/>
  <c r="S230"/>
  <c r="S229"/>
  <c r="S228"/>
  <c r="S227"/>
  <c r="S226"/>
  <c r="S225"/>
  <c r="S224"/>
  <c r="S223"/>
  <c r="S222"/>
  <c r="S221"/>
  <c r="S220"/>
  <c r="S219"/>
  <c r="S218"/>
  <c r="S217"/>
  <c r="P235"/>
  <c r="U235" s="1"/>
  <c r="W235" s="1"/>
  <c r="P234"/>
  <c r="U234" s="1"/>
  <c r="W234" s="1"/>
  <c r="P233"/>
  <c r="U233" s="1"/>
  <c r="W233" s="1"/>
  <c r="P232"/>
  <c r="U232" s="1"/>
  <c r="W232" s="1"/>
  <c r="P231"/>
  <c r="U231" s="1"/>
  <c r="W231" s="1"/>
  <c r="P230"/>
  <c r="U230" s="1"/>
  <c r="W230" s="1"/>
  <c r="P229"/>
  <c r="U229" s="1"/>
  <c r="W229" s="1"/>
  <c r="P228"/>
  <c r="U228" s="1"/>
  <c r="W228" s="1"/>
  <c r="X228" s="1"/>
  <c r="P227"/>
  <c r="U227" s="1"/>
  <c r="W227" s="1"/>
  <c r="X227" s="1"/>
  <c r="P226"/>
  <c r="U226" s="1"/>
  <c r="W226" s="1"/>
  <c r="P225"/>
  <c r="U225" s="1"/>
  <c r="W225" s="1"/>
  <c r="P224"/>
  <c r="U224" s="1"/>
  <c r="W224" s="1"/>
  <c r="P223"/>
  <c r="U223" s="1"/>
  <c r="W223" s="1"/>
  <c r="X223" s="1"/>
  <c r="P222"/>
  <c r="U222" s="1"/>
  <c r="W222" s="1"/>
  <c r="X222" s="1"/>
  <c r="P221"/>
  <c r="U221" s="1"/>
  <c r="W221" s="1"/>
  <c r="P220"/>
  <c r="U220" s="1"/>
  <c r="W220" s="1"/>
  <c r="P219"/>
  <c r="U219" s="1"/>
  <c r="W219" s="1"/>
  <c r="X219" s="1"/>
  <c r="P218"/>
  <c r="U218" s="1"/>
  <c r="W218" s="1"/>
  <c r="X218" s="1"/>
  <c r="P217"/>
  <c r="U217" s="1"/>
  <c r="W217" s="1"/>
  <c r="S243" i="2" l="1"/>
  <c r="P243"/>
  <c r="U243" s="1"/>
  <c r="W243" s="1"/>
  <c r="S242" l="1"/>
  <c r="P242"/>
  <c r="U242" s="1"/>
  <c r="W242" s="1"/>
  <c r="S241" l="1"/>
  <c r="P241"/>
  <c r="U241" s="1"/>
  <c r="W241" s="1"/>
  <c r="S240"/>
  <c r="P240"/>
  <c r="U240" s="1"/>
  <c r="W240" s="1"/>
  <c r="S239"/>
  <c r="P239"/>
  <c r="U239" s="1"/>
  <c r="W239" s="1"/>
  <c r="S238"/>
  <c r="P238"/>
  <c r="U238" s="1"/>
  <c r="W238" s="1"/>
  <c r="S237" l="1"/>
  <c r="P237"/>
  <c r="U237" s="1"/>
  <c r="W237" s="1"/>
  <c r="S17" i="3" l="1"/>
  <c r="P17"/>
  <c r="U17" s="1"/>
  <c r="W17" s="1"/>
  <c r="S16"/>
  <c r="P16"/>
  <c r="U16" s="1"/>
  <c r="W16" s="1"/>
  <c r="S15"/>
  <c r="P15"/>
  <c r="U15" s="1"/>
  <c r="W15" s="1"/>
  <c r="S14"/>
  <c r="P14"/>
  <c r="S236" i="2"/>
  <c r="P236"/>
  <c r="U236" s="1"/>
  <c r="W236" s="1"/>
  <c r="X236" s="1"/>
  <c r="S235"/>
  <c r="P235"/>
  <c r="U235" s="1"/>
  <c r="W235" s="1"/>
  <c r="X235" s="1"/>
  <c r="S234"/>
  <c r="P234"/>
  <c r="U234" s="1"/>
  <c r="W234" s="1"/>
  <c r="X234" s="1"/>
  <c r="S233"/>
  <c r="P233"/>
  <c r="U233" s="1"/>
  <c r="W233" s="1"/>
  <c r="X233" s="1"/>
  <c r="S232"/>
  <c r="P232"/>
  <c r="U232" s="1"/>
  <c r="W232" s="1"/>
  <c r="X232" s="1"/>
  <c r="S231"/>
  <c r="P231"/>
  <c r="U231" s="1"/>
  <c r="W231" s="1"/>
  <c r="X231" s="1"/>
  <c r="S230"/>
  <c r="P230"/>
  <c r="U230" s="1"/>
  <c r="W230" s="1"/>
  <c r="X230" s="1"/>
  <c r="S229"/>
  <c r="P229"/>
  <c r="U229" s="1"/>
  <c r="W229" s="1"/>
  <c r="X229" s="1"/>
  <c r="S228"/>
  <c r="P228"/>
  <c r="U228" s="1"/>
  <c r="W228" s="1"/>
  <c r="X228" s="1"/>
  <c r="S216" i="1"/>
  <c r="S215"/>
  <c r="S214"/>
  <c r="S213"/>
  <c r="S212"/>
  <c r="S211"/>
  <c r="S210"/>
  <c r="S209"/>
  <c r="S208"/>
  <c r="S207"/>
  <c r="S206"/>
  <c r="S205"/>
  <c r="S204"/>
  <c r="S203"/>
  <c r="S202"/>
  <c r="S201"/>
  <c r="S200"/>
  <c r="S199"/>
  <c r="S198"/>
  <c r="S197"/>
  <c r="P216"/>
  <c r="U216" s="1"/>
  <c r="W216" s="1"/>
  <c r="P215"/>
  <c r="U215" s="1"/>
  <c r="W215" s="1"/>
  <c r="X215" s="1"/>
  <c r="P214"/>
  <c r="U214" s="1"/>
  <c r="W214" s="1"/>
  <c r="X214" s="1"/>
  <c r="P213"/>
  <c r="U213" s="1"/>
  <c r="W213" s="1"/>
  <c r="X213" s="1"/>
  <c r="P212"/>
  <c r="U212" s="1"/>
  <c r="W212" s="1"/>
  <c r="P211"/>
  <c r="U211" s="1"/>
  <c r="W211" s="1"/>
  <c r="P210"/>
  <c r="U210" s="1"/>
  <c r="W210" s="1"/>
  <c r="P209"/>
  <c r="U209" s="1"/>
  <c r="W209" s="1"/>
  <c r="P208"/>
  <c r="U208" s="1"/>
  <c r="W208" s="1"/>
  <c r="P207"/>
  <c r="P206"/>
  <c r="U206" s="1"/>
  <c r="W206" s="1"/>
  <c r="X206" s="1"/>
  <c r="P205"/>
  <c r="U205" s="1"/>
  <c r="W205" s="1"/>
  <c r="P204"/>
  <c r="U204" s="1"/>
  <c r="W204" s="1"/>
  <c r="X204" s="1"/>
  <c r="P203"/>
  <c r="U203" s="1"/>
  <c r="W203" s="1"/>
  <c r="X203" s="1"/>
  <c r="P202"/>
  <c r="U202" s="1"/>
  <c r="W202" s="1"/>
  <c r="X202" s="1"/>
  <c r="P201"/>
  <c r="U201" s="1"/>
  <c r="W201" s="1"/>
  <c r="X201" s="1"/>
  <c r="P200"/>
  <c r="U200" s="1"/>
  <c r="W200" s="1"/>
  <c r="P199"/>
  <c r="U199" s="1"/>
  <c r="W199" s="1"/>
  <c r="P198"/>
  <c r="U198" s="1"/>
  <c r="W198" s="1"/>
  <c r="P197"/>
  <c r="U197" s="1"/>
  <c r="W197" s="1"/>
  <c r="X197" s="1"/>
  <c r="U14" i="3" l="1"/>
  <c r="U207" i="1"/>
  <c r="P218" i="2"/>
  <c r="W14" i="3" l="1"/>
  <c r="W207" i="1"/>
  <c r="S227" i="2"/>
  <c r="P227"/>
  <c r="U227" s="1"/>
  <c r="W227" s="1"/>
  <c r="S195"/>
  <c r="P226"/>
  <c r="U226" s="1"/>
  <c r="W226" s="1"/>
  <c r="P225"/>
  <c r="P196" i="1"/>
  <c r="P195"/>
  <c r="P194"/>
  <c r="P193"/>
  <c r="P192"/>
  <c r="P191"/>
  <c r="P190"/>
  <c r="P189"/>
  <c r="P188"/>
  <c r="P187"/>
  <c r="P186"/>
  <c r="P185"/>
  <c r="P184"/>
  <c r="P183"/>
  <c r="P182"/>
  <c r="P181"/>
  <c r="P180"/>
  <c r="P179"/>
  <c r="P178"/>
  <c r="P177"/>
  <c r="P176"/>
  <c r="P175"/>
  <c r="P174"/>
  <c r="P173"/>
  <c r="P172"/>
  <c r="P171"/>
  <c r="P170"/>
  <c r="P169"/>
  <c r="P168"/>
  <c r="P167"/>
  <c r="P166"/>
  <c r="P165"/>
  <c r="P164"/>
  <c r="P163"/>
  <c r="P162"/>
  <c r="P161"/>
  <c r="P160"/>
  <c r="P159"/>
  <c r="P158"/>
  <c r="P157"/>
  <c r="S226" i="2"/>
  <c r="S225" l="1"/>
  <c r="U225"/>
  <c r="W225" s="1"/>
  <c r="S224"/>
  <c r="P224"/>
  <c r="U224" s="1"/>
  <c r="W224" s="1"/>
  <c r="S223"/>
  <c r="P223"/>
  <c r="U223" s="1"/>
  <c r="W223" s="1"/>
  <c r="S222"/>
  <c r="P222"/>
  <c r="U222" s="1"/>
  <c r="W222" s="1"/>
  <c r="S221"/>
  <c r="P221"/>
  <c r="U221" s="1"/>
  <c r="W221" s="1"/>
  <c r="S220"/>
  <c r="P220"/>
  <c r="U220" s="1"/>
  <c r="W220" s="1"/>
  <c r="S218" l="1"/>
  <c r="U218"/>
  <c r="W218" s="1"/>
  <c r="S217"/>
  <c r="P217"/>
  <c r="U217" s="1"/>
  <c r="W217" s="1"/>
  <c r="P156" i="1"/>
  <c r="S216" i="2" l="1"/>
  <c r="P216"/>
  <c r="U216" s="1"/>
  <c r="W216" s="1"/>
  <c r="X216" s="1"/>
  <c r="S215"/>
  <c r="P215"/>
  <c r="U215" s="1"/>
  <c r="W215" s="1"/>
  <c r="X215" s="1"/>
  <c r="S214"/>
  <c r="P214"/>
  <c r="U214" s="1"/>
  <c r="W214" s="1"/>
  <c r="X214" s="1"/>
  <c r="S213"/>
  <c r="P213"/>
  <c r="U213" s="1"/>
  <c r="W213" s="1"/>
  <c r="X213" s="1"/>
  <c r="S212"/>
  <c r="P212"/>
  <c r="U212" s="1"/>
  <c r="W212" s="1"/>
  <c r="X212" s="1"/>
  <c r="S211"/>
  <c r="P211"/>
  <c r="U211" s="1"/>
  <c r="W211" s="1"/>
  <c r="X211" s="1"/>
  <c r="S210"/>
  <c r="P210"/>
  <c r="U210" s="1"/>
  <c r="W210" s="1"/>
  <c r="X210" s="1"/>
  <c r="S209"/>
  <c r="P209"/>
  <c r="U209" s="1"/>
  <c r="W209" s="1"/>
  <c r="X209" s="1"/>
  <c r="S208"/>
  <c r="P208"/>
  <c r="U208" s="1"/>
  <c r="W208" s="1"/>
  <c r="X208" s="1"/>
  <c r="S207"/>
  <c r="P207"/>
  <c r="U207" s="1"/>
  <c r="W207" s="1"/>
  <c r="X207" s="1"/>
  <c r="S206"/>
  <c r="P206"/>
  <c r="U206" s="1"/>
  <c r="W206" s="1"/>
  <c r="X206" s="1"/>
  <c r="S205"/>
  <c r="P205"/>
  <c r="U205" s="1"/>
  <c r="W205" s="1"/>
  <c r="X205" s="1"/>
  <c r="S204"/>
  <c r="P204"/>
  <c r="U204" s="1"/>
  <c r="W204" s="1"/>
  <c r="X204" s="1"/>
  <c r="S203"/>
  <c r="P203"/>
  <c r="U203" s="1"/>
  <c r="W203" s="1"/>
  <c r="X203" s="1"/>
  <c r="S202"/>
  <c r="P202"/>
  <c r="U202" s="1"/>
  <c r="W202" s="1"/>
  <c r="X202" s="1"/>
  <c r="S201" l="1"/>
  <c r="P201"/>
  <c r="U201" s="1"/>
  <c r="W201" s="1"/>
  <c r="S200"/>
  <c r="P200"/>
  <c r="U200" s="1"/>
  <c r="W200" s="1"/>
  <c r="S199"/>
  <c r="P199"/>
  <c r="U199" s="1"/>
  <c r="W199" s="1"/>
  <c r="S198"/>
  <c r="P198"/>
  <c r="U198" s="1"/>
  <c r="W198" s="1"/>
  <c r="S197"/>
  <c r="P197"/>
  <c r="U197" s="1"/>
  <c r="W197" s="1"/>
  <c r="S196"/>
  <c r="P196"/>
  <c r="U196" s="1"/>
  <c r="W196" s="1"/>
  <c r="S219"/>
  <c r="P219"/>
  <c r="U219" s="1"/>
  <c r="W219" s="1"/>
  <c r="P195" l="1"/>
  <c r="U195" s="1"/>
  <c r="W195" s="1"/>
  <c r="S194" l="1"/>
  <c r="P194"/>
  <c r="U194" s="1"/>
  <c r="W194" s="1"/>
  <c r="S13" i="3" l="1"/>
  <c r="P13"/>
  <c r="U13" s="1"/>
  <c r="W13" s="1"/>
  <c r="S12"/>
  <c r="P12"/>
  <c r="U12" s="1"/>
  <c r="W12" s="1"/>
  <c r="S11"/>
  <c r="P11"/>
  <c r="U11" s="1"/>
  <c r="W11" s="1"/>
  <c r="S193" i="2"/>
  <c r="P193"/>
  <c r="U193" s="1"/>
  <c r="W193" s="1"/>
  <c r="X193" s="1"/>
  <c r="S192"/>
  <c r="P192"/>
  <c r="U192" s="1"/>
  <c r="W192" s="1"/>
  <c r="X192" s="1"/>
  <c r="S191"/>
  <c r="P191"/>
  <c r="U191" s="1"/>
  <c r="W191" s="1"/>
  <c r="X191" s="1"/>
  <c r="U195" i="1"/>
  <c r="W195" s="1"/>
  <c r="X195" s="1"/>
  <c r="U194"/>
  <c r="W194" s="1"/>
  <c r="X194" s="1"/>
  <c r="U193"/>
  <c r="W193" s="1"/>
  <c r="X193" s="1"/>
  <c r="U191"/>
  <c r="W191" s="1"/>
  <c r="X191" s="1"/>
  <c r="U190"/>
  <c r="W190" s="1"/>
  <c r="X190" s="1"/>
  <c r="U189"/>
  <c r="W189" s="1"/>
  <c r="X189" s="1"/>
  <c r="U187"/>
  <c r="W187" s="1"/>
  <c r="X187" s="1"/>
  <c r="U186"/>
  <c r="W186" s="1"/>
  <c r="X186" s="1"/>
  <c r="U185"/>
  <c r="W185" s="1"/>
  <c r="U183"/>
  <c r="W183" s="1"/>
  <c r="U182"/>
  <c r="W182" s="1"/>
  <c r="U181"/>
  <c r="U179"/>
  <c r="W179" s="1"/>
  <c r="U178"/>
  <c r="W178" s="1"/>
  <c r="X178" s="1"/>
  <c r="U177"/>
  <c r="W177" s="1"/>
  <c r="X177" s="1"/>
  <c r="U175"/>
  <c r="W175" s="1"/>
  <c r="X175" s="1"/>
  <c r="U174"/>
  <c r="W174" s="1"/>
  <c r="X174" s="1"/>
  <c r="U173"/>
  <c r="W173" s="1"/>
  <c r="X173" s="1"/>
  <c r="U171"/>
  <c r="W171" s="1"/>
  <c r="X171" s="1"/>
  <c r="U170"/>
  <c r="U169"/>
  <c r="W169" s="1"/>
  <c r="X169" s="1"/>
  <c r="S196"/>
  <c r="S195"/>
  <c r="S194"/>
  <c r="S193"/>
  <c r="S192"/>
  <c r="S191"/>
  <c r="S190"/>
  <c r="S189"/>
  <c r="S188"/>
  <c r="S187"/>
  <c r="S186"/>
  <c r="S185"/>
  <c r="S184"/>
  <c r="S183"/>
  <c r="S182"/>
  <c r="S181"/>
  <c r="S180"/>
  <c r="S179"/>
  <c r="S178"/>
  <c r="S177"/>
  <c r="S176"/>
  <c r="S175"/>
  <c r="S174"/>
  <c r="S173"/>
  <c r="S172"/>
  <c r="S171"/>
  <c r="S170"/>
  <c r="S169"/>
  <c r="S168"/>
  <c r="U196"/>
  <c r="W196" s="1"/>
  <c r="X196" s="1"/>
  <c r="U192"/>
  <c r="W192" s="1"/>
  <c r="X192" s="1"/>
  <c r="U188"/>
  <c r="W188" s="1"/>
  <c r="U184"/>
  <c r="W184" s="1"/>
  <c r="U180"/>
  <c r="W180" s="1"/>
  <c r="U176"/>
  <c r="W176" s="1"/>
  <c r="X176" s="1"/>
  <c r="U172"/>
  <c r="W172" s="1"/>
  <c r="U168"/>
  <c r="W168" s="1"/>
  <c r="W181" l="1"/>
  <c r="W170"/>
  <c r="S190" i="2"/>
  <c r="P190"/>
  <c r="U190" s="1"/>
  <c r="W190" s="1"/>
  <c r="S189"/>
  <c r="P189"/>
  <c r="U189" s="1"/>
  <c r="W189" s="1"/>
  <c r="S188" l="1"/>
  <c r="P188"/>
  <c r="U188" s="1"/>
  <c r="W188" s="1"/>
  <c r="S187"/>
  <c r="P187"/>
  <c r="U187" s="1"/>
  <c r="W187" s="1"/>
  <c r="S186"/>
  <c r="P186"/>
  <c r="U186" s="1"/>
  <c r="W186" s="1"/>
  <c r="S185"/>
  <c r="P185"/>
  <c r="U185" s="1"/>
  <c r="W185" s="1"/>
  <c r="S184" l="1"/>
  <c r="P184"/>
  <c r="U184" s="1"/>
  <c r="W184" s="1"/>
  <c r="S183" l="1"/>
  <c r="P183"/>
  <c r="U183" s="1"/>
  <c r="W183" s="1"/>
  <c r="S182" l="1"/>
  <c r="P182"/>
  <c r="U182" s="1"/>
  <c r="W182" s="1"/>
  <c r="X182" s="1"/>
  <c r="S181"/>
  <c r="P181"/>
  <c r="U181" s="1"/>
  <c r="W181" s="1"/>
  <c r="X181" s="1"/>
  <c r="S180"/>
  <c r="P180"/>
  <c r="U180" s="1"/>
  <c r="W180" s="1"/>
  <c r="X180" s="1"/>
  <c r="S179"/>
  <c r="P179"/>
  <c r="U179" s="1"/>
  <c r="W179" s="1"/>
  <c r="X179" s="1"/>
  <c r="S178"/>
  <c r="P178"/>
  <c r="U178" s="1"/>
  <c r="W178" s="1"/>
  <c r="X178" s="1"/>
  <c r="S177"/>
  <c r="P177"/>
  <c r="U177" s="1"/>
  <c r="W177" s="1"/>
  <c r="X177" s="1"/>
  <c r="S10" i="3"/>
  <c r="P10"/>
  <c r="U10" s="1"/>
  <c r="W10" s="1"/>
  <c r="S167" i="1"/>
  <c r="S166"/>
  <c r="S165"/>
  <c r="S164"/>
  <c r="S163"/>
  <c r="S162"/>
  <c r="S161"/>
  <c r="S160"/>
  <c r="S159"/>
  <c r="S158"/>
  <c r="S157"/>
  <c r="S156"/>
  <c r="S155"/>
  <c r="S154"/>
  <c r="S153"/>
  <c r="S152"/>
  <c r="S151"/>
  <c r="S150"/>
  <c r="S149"/>
  <c r="S148"/>
  <c r="U167"/>
  <c r="W167" s="1"/>
  <c r="U166"/>
  <c r="W166" s="1"/>
  <c r="X166" s="1"/>
  <c r="U165"/>
  <c r="W165" s="1"/>
  <c r="X165" s="1"/>
  <c r="U164"/>
  <c r="U163"/>
  <c r="U162"/>
  <c r="W162" s="1"/>
  <c r="U161"/>
  <c r="W161" s="1"/>
  <c r="U160"/>
  <c r="W160" s="1"/>
  <c r="U159"/>
  <c r="W159" s="1"/>
  <c r="U158"/>
  <c r="W158" s="1"/>
  <c r="U157"/>
  <c r="W157" s="1"/>
  <c r="U156"/>
  <c r="W156" s="1"/>
  <c r="P155"/>
  <c r="U155" s="1"/>
  <c r="W155" s="1"/>
  <c r="P154"/>
  <c r="U154" s="1"/>
  <c r="W154" s="1"/>
  <c r="P153"/>
  <c r="U153" s="1"/>
  <c r="W153" s="1"/>
  <c r="X153" s="1"/>
  <c r="P152"/>
  <c r="U152" s="1"/>
  <c r="W152" s="1"/>
  <c r="X152" s="1"/>
  <c r="P151"/>
  <c r="U151" s="1"/>
  <c r="W151" s="1"/>
  <c r="X151" s="1"/>
  <c r="P150"/>
  <c r="U150" s="1"/>
  <c r="W150" s="1"/>
  <c r="P149"/>
  <c r="U149" s="1"/>
  <c r="W149" s="1"/>
  <c r="P148"/>
  <c r="U148" s="1"/>
  <c r="W148" s="1"/>
  <c r="S176" i="2"/>
  <c r="P176"/>
  <c r="U176" s="1"/>
  <c r="W176" s="1"/>
  <c r="W163" i="1" l="1"/>
  <c r="W164"/>
  <c r="S175" i="2"/>
  <c r="P175"/>
  <c r="U175" s="1"/>
  <c r="W175" s="1"/>
  <c r="S174"/>
  <c r="P174"/>
  <c r="U174" s="1"/>
  <c r="W174" s="1"/>
  <c r="S173"/>
  <c r="P173"/>
  <c r="U173" s="1"/>
  <c r="W173" s="1"/>
  <c r="S172"/>
  <c r="P172"/>
  <c r="U172" s="1"/>
  <c r="W172" s="1"/>
  <c r="X163" i="1" l="1"/>
  <c r="S171" i="2"/>
  <c r="P171"/>
  <c r="U171" s="1"/>
  <c r="W171" s="1"/>
  <c r="S170"/>
  <c r="P170"/>
  <c r="U170" s="1"/>
  <c r="W170" s="1"/>
  <c r="S169"/>
  <c r="P169"/>
  <c r="U169" s="1"/>
  <c r="W169" s="1"/>
  <c r="S168" l="1"/>
  <c r="P168"/>
  <c r="U168" s="1"/>
  <c r="W168" s="1"/>
  <c r="S167" l="1"/>
  <c r="P167"/>
  <c r="U167" s="1"/>
  <c r="W167" s="1"/>
  <c r="S166"/>
  <c r="P166"/>
  <c r="U166" s="1"/>
  <c r="W166" s="1"/>
  <c r="S165" l="1"/>
  <c r="P165"/>
  <c r="U165" s="1"/>
  <c r="W165" s="1"/>
  <c r="S164"/>
  <c r="P164"/>
  <c r="U164" s="1"/>
  <c r="W164" s="1"/>
  <c r="S163" l="1"/>
  <c r="P163"/>
  <c r="U163" s="1"/>
  <c r="W163" s="1"/>
  <c r="S162" l="1"/>
  <c r="P162"/>
  <c r="U162" s="1"/>
  <c r="W162" s="1"/>
  <c r="S161"/>
  <c r="P161"/>
  <c r="U161" s="1"/>
  <c r="W161" s="1"/>
  <c r="S160" l="1"/>
  <c r="P160"/>
  <c r="U160" s="1"/>
  <c r="W160" s="1"/>
  <c r="X160" s="1"/>
  <c r="S159"/>
  <c r="P159"/>
  <c r="U159" s="1"/>
  <c r="W159" s="1"/>
  <c r="X159" s="1"/>
  <c r="S158"/>
  <c r="P158"/>
  <c r="U158" s="1"/>
  <c r="W158" s="1"/>
  <c r="X158" s="1"/>
  <c r="S157"/>
  <c r="P157"/>
  <c r="U157" s="1"/>
  <c r="W157" s="1"/>
  <c r="X157" s="1"/>
  <c r="S156"/>
  <c r="P156"/>
  <c r="U156" s="1"/>
  <c r="W156" s="1"/>
  <c r="X156" s="1"/>
  <c r="S155"/>
  <c r="P155"/>
  <c r="U155" s="1"/>
  <c r="W155" s="1"/>
  <c r="X155" s="1"/>
  <c r="S154"/>
  <c r="P154"/>
  <c r="U154" s="1"/>
  <c r="W154" s="1"/>
  <c r="X154" s="1"/>
  <c r="S153"/>
  <c r="P153"/>
  <c r="U153" s="1"/>
  <c r="W153" s="1"/>
  <c r="X153" s="1"/>
  <c r="S152"/>
  <c r="P152"/>
  <c r="U152" s="1"/>
  <c r="W152" s="1"/>
  <c r="X152" s="1"/>
  <c r="S151"/>
  <c r="P151"/>
  <c r="U151" s="1"/>
  <c r="W151" s="1"/>
  <c r="X151" s="1"/>
  <c r="S150"/>
  <c r="P150"/>
  <c r="U150" s="1"/>
  <c r="W150" s="1"/>
  <c r="X150" s="1"/>
  <c r="S149"/>
  <c r="P149"/>
  <c r="U149" s="1"/>
  <c r="W149" s="1"/>
  <c r="X149" s="1"/>
  <c r="S148"/>
  <c r="P148"/>
  <c r="U148" s="1"/>
  <c r="W148" s="1"/>
  <c r="X148" s="1"/>
  <c r="S147"/>
  <c r="P147"/>
  <c r="U147" s="1"/>
  <c r="W147" s="1"/>
  <c r="X147" s="1"/>
  <c r="S147" i="1"/>
  <c r="S146"/>
  <c r="S145"/>
  <c r="S144"/>
  <c r="S143"/>
  <c r="S142"/>
  <c r="S141"/>
  <c r="S140"/>
  <c r="S139"/>
  <c r="S138"/>
  <c r="S137"/>
  <c r="S136"/>
  <c r="S135"/>
  <c r="S134"/>
  <c r="S133"/>
  <c r="S132"/>
  <c r="S131"/>
  <c r="S130"/>
  <c r="S129"/>
  <c r="S128"/>
  <c r="S127"/>
  <c r="S126"/>
  <c r="S125"/>
  <c r="S124"/>
  <c r="S123"/>
  <c r="S122"/>
  <c r="P147"/>
  <c r="P146"/>
  <c r="U146" s="1"/>
  <c r="P145"/>
  <c r="U145" s="1"/>
  <c r="W145" s="1"/>
  <c r="P144"/>
  <c r="U144" s="1"/>
  <c r="W144" s="1"/>
  <c r="P143"/>
  <c r="U143" s="1"/>
  <c r="W143" s="1"/>
  <c r="P142"/>
  <c r="U142" s="1"/>
  <c r="W142" s="1"/>
  <c r="P141"/>
  <c r="P140"/>
  <c r="U140" s="1"/>
  <c r="W140" s="1"/>
  <c r="P139"/>
  <c r="U139" s="1"/>
  <c r="W139" s="1"/>
  <c r="P138"/>
  <c r="P137"/>
  <c r="U137" s="1"/>
  <c r="W137" s="1"/>
  <c r="X137" s="1"/>
  <c r="P136"/>
  <c r="U136" s="1"/>
  <c r="W136" s="1"/>
  <c r="X136" s="1"/>
  <c r="P135"/>
  <c r="U135" s="1"/>
  <c r="W135" s="1"/>
  <c r="P134"/>
  <c r="U134" s="1"/>
  <c r="W134" s="1"/>
  <c r="P133"/>
  <c r="U133" s="1"/>
  <c r="W133" s="1"/>
  <c r="X133" s="1"/>
  <c r="P132"/>
  <c r="U132" s="1"/>
  <c r="W132" s="1"/>
  <c r="X132" s="1"/>
  <c r="P131"/>
  <c r="U131" s="1"/>
  <c r="W131" s="1"/>
  <c r="X131" s="1"/>
  <c r="P130"/>
  <c r="U130" s="1"/>
  <c r="W130" s="1"/>
  <c r="X130" s="1"/>
  <c r="P129"/>
  <c r="U129" s="1"/>
  <c r="W129" s="1"/>
  <c r="X129" s="1"/>
  <c r="P128"/>
  <c r="U128" s="1"/>
  <c r="W128" s="1"/>
  <c r="X128" s="1"/>
  <c r="P127"/>
  <c r="U127" s="1"/>
  <c r="W127" s="1"/>
  <c r="X127" s="1"/>
  <c r="P126"/>
  <c r="U126" s="1"/>
  <c r="W126" s="1"/>
  <c r="X126" s="1"/>
  <c r="P125"/>
  <c r="U125" s="1"/>
  <c r="W125" s="1"/>
  <c r="X125" s="1"/>
  <c r="P124"/>
  <c r="U124" s="1"/>
  <c r="W124" s="1"/>
  <c r="X124" s="1"/>
  <c r="P123"/>
  <c r="U123" s="1"/>
  <c r="W123" s="1"/>
  <c r="X123" s="1"/>
  <c r="P122"/>
  <c r="U122" s="1"/>
  <c r="W122" s="1"/>
  <c r="X122" s="1"/>
  <c r="W146" l="1"/>
  <c r="U138"/>
  <c r="U141"/>
  <c r="U147"/>
  <c r="S146" i="2"/>
  <c r="P146"/>
  <c r="U146" s="1"/>
  <c r="W146" s="1"/>
  <c r="W138" i="1" l="1"/>
  <c r="W141"/>
  <c r="W147"/>
  <c r="S142" i="2"/>
  <c r="P142"/>
  <c r="U142" s="1"/>
  <c r="W142" s="1"/>
  <c r="S145" l="1"/>
  <c r="P145"/>
  <c r="U145" s="1"/>
  <c r="W145" s="1"/>
  <c r="S144"/>
  <c r="P144"/>
  <c r="U144" s="1"/>
  <c r="W144" s="1"/>
  <c r="S143"/>
  <c r="P143"/>
  <c r="U143" s="1"/>
  <c r="W143" s="1"/>
  <c r="S141"/>
  <c r="P141"/>
  <c r="U141" s="1"/>
  <c r="W141" s="1"/>
  <c r="S140"/>
  <c r="P140"/>
  <c r="U140" s="1"/>
  <c r="W140" s="1"/>
  <c r="S139" l="1"/>
  <c r="P139"/>
  <c r="U139" s="1"/>
  <c r="W139" s="1"/>
  <c r="S138"/>
  <c r="P138"/>
  <c r="U138" s="1"/>
  <c r="W138" s="1"/>
  <c r="S137"/>
  <c r="P137"/>
  <c r="U137" s="1"/>
  <c r="W137" s="1"/>
  <c r="S136"/>
  <c r="P136"/>
  <c r="U136" s="1"/>
  <c r="W136" s="1"/>
  <c r="S135"/>
  <c r="P135"/>
  <c r="U135" s="1"/>
  <c r="W135" s="1"/>
  <c r="S134"/>
  <c r="P134"/>
  <c r="U134" s="1"/>
  <c r="W134" s="1"/>
  <c r="S133"/>
  <c r="P133"/>
  <c r="U133" s="1"/>
  <c r="W133" s="1"/>
  <c r="S132" l="1"/>
  <c r="P132"/>
  <c r="U132" s="1"/>
  <c r="W132" s="1"/>
  <c r="S131" l="1"/>
  <c r="P131"/>
  <c r="U131" s="1"/>
  <c r="W131" s="1"/>
  <c r="S130"/>
  <c r="P130"/>
  <c r="U130" s="1"/>
  <c r="W130" s="1"/>
  <c r="S129"/>
  <c r="P129"/>
  <c r="U129" s="1"/>
  <c r="W129" s="1"/>
  <c r="S127"/>
  <c r="P127"/>
  <c r="U127" s="1"/>
  <c r="W127" s="1"/>
  <c r="S125" l="1"/>
  <c r="P125"/>
  <c r="U125" s="1"/>
  <c r="W125" s="1"/>
  <c r="S128"/>
  <c r="P128"/>
  <c r="U128" s="1"/>
  <c r="W128" s="1"/>
  <c r="S126"/>
  <c r="P126"/>
  <c r="U126" s="1"/>
  <c r="W126" s="1"/>
  <c r="P9" i="3" l="1"/>
  <c r="U9" s="1"/>
  <c r="W9" s="1"/>
  <c r="S124" i="2"/>
  <c r="P124"/>
  <c r="U124" s="1"/>
  <c r="W124" s="1"/>
  <c r="X124" s="1"/>
  <c r="S123"/>
  <c r="P123"/>
  <c r="U123" s="1"/>
  <c r="W123" s="1"/>
  <c r="X123" s="1"/>
  <c r="S122"/>
  <c r="P122"/>
  <c r="U122" s="1"/>
  <c r="W122" s="1"/>
  <c r="X122" s="1"/>
  <c r="S121"/>
  <c r="P121"/>
  <c r="U121" s="1"/>
  <c r="W121" s="1"/>
  <c r="X121" s="1"/>
  <c r="S120"/>
  <c r="P120"/>
  <c r="U120" s="1"/>
  <c r="W120" s="1"/>
  <c r="X120" s="1"/>
  <c r="S119"/>
  <c r="P119"/>
  <c r="U119" s="1"/>
  <c r="W119" s="1"/>
  <c r="X119" s="1"/>
  <c r="S118"/>
  <c r="P118"/>
  <c r="U118" s="1"/>
  <c r="W118" s="1"/>
  <c r="X118" s="1"/>
  <c r="P121" i="1"/>
  <c r="P120"/>
  <c r="U120" s="1"/>
  <c r="W120" s="1"/>
  <c r="X120" s="1"/>
  <c r="P119"/>
  <c r="P118"/>
  <c r="U118" s="1"/>
  <c r="W118" s="1"/>
  <c r="X118" s="1"/>
  <c r="P117"/>
  <c r="P116"/>
  <c r="U116" s="1"/>
  <c r="W116" s="1"/>
  <c r="P115"/>
  <c r="P114"/>
  <c r="P113"/>
  <c r="P112"/>
  <c r="P111"/>
  <c r="U111" s="1"/>
  <c r="W111" s="1"/>
  <c r="P110"/>
  <c r="U110" s="1"/>
  <c r="W110" s="1"/>
  <c r="X110" s="1"/>
  <c r="P109"/>
  <c r="P108"/>
  <c r="U108" s="1"/>
  <c r="W108" s="1"/>
  <c r="X108" s="1"/>
  <c r="P107"/>
  <c r="P106"/>
  <c r="U106" s="1"/>
  <c r="W106" s="1"/>
  <c r="P105"/>
  <c r="P104"/>
  <c r="U104" s="1"/>
  <c r="W104" s="1"/>
  <c r="P103"/>
  <c r="U103" s="1"/>
  <c r="W103" s="1"/>
  <c r="P102"/>
  <c r="U102" s="1"/>
  <c r="W102" s="1"/>
  <c r="P101"/>
  <c r="P100"/>
  <c r="U100" s="1"/>
  <c r="W100" s="1"/>
  <c r="P99"/>
  <c r="S121"/>
  <c r="S120"/>
  <c r="S119"/>
  <c r="S118"/>
  <c r="S117"/>
  <c r="S116"/>
  <c r="S115"/>
  <c r="S114"/>
  <c r="S113"/>
  <c r="S112"/>
  <c r="S111"/>
  <c r="S110"/>
  <c r="S109"/>
  <c r="S108"/>
  <c r="S107"/>
  <c r="S106"/>
  <c r="S105"/>
  <c r="S104"/>
  <c r="S103"/>
  <c r="S102"/>
  <c r="S101"/>
  <c r="S100"/>
  <c r="U121"/>
  <c r="W121" s="1"/>
  <c r="U119"/>
  <c r="W119" s="1"/>
  <c r="X119" s="1"/>
  <c r="U117"/>
  <c r="W117" s="1"/>
  <c r="U115"/>
  <c r="W115" s="1"/>
  <c r="U114"/>
  <c r="W114" s="1"/>
  <c r="U113"/>
  <c r="W113" s="1"/>
  <c r="U112"/>
  <c r="W112" s="1"/>
  <c r="U109"/>
  <c r="W109" s="1"/>
  <c r="X109" s="1"/>
  <c r="U107"/>
  <c r="W107" s="1"/>
  <c r="X107" s="1"/>
  <c r="U105"/>
  <c r="W105" s="1"/>
  <c r="U101"/>
  <c r="W101" s="1"/>
  <c r="S117" i="2" l="1"/>
  <c r="P117"/>
  <c r="U117" s="1"/>
  <c r="W117" s="1"/>
  <c r="S116"/>
  <c r="P116"/>
  <c r="U116" s="1"/>
  <c r="W116" s="1"/>
  <c r="S115"/>
  <c r="P115"/>
  <c r="U115" s="1"/>
  <c r="W115" s="1"/>
  <c r="S114"/>
  <c r="P114"/>
  <c r="U114" s="1"/>
  <c r="W114" s="1"/>
  <c r="S113"/>
  <c r="P113"/>
  <c r="U113" s="1"/>
  <c r="W113" s="1"/>
  <c r="S112" l="1"/>
  <c r="P112"/>
  <c r="U112" s="1"/>
  <c r="W112" s="1"/>
  <c r="S111" l="1"/>
  <c r="P111"/>
  <c r="U111" s="1"/>
  <c r="W111" s="1"/>
  <c r="S110" l="1"/>
  <c r="P110"/>
  <c r="U110" s="1"/>
  <c r="W110" s="1"/>
  <c r="S109" l="1"/>
  <c r="P109"/>
  <c r="U109" s="1"/>
  <c r="W109" s="1"/>
  <c r="S108" l="1"/>
  <c r="P108"/>
  <c r="U108" s="1"/>
  <c r="W108" s="1"/>
  <c r="S107"/>
  <c r="P107"/>
  <c r="U107" s="1"/>
  <c r="W107" s="1"/>
  <c r="S75" i="1"/>
  <c r="P75"/>
  <c r="U75" s="1"/>
  <c r="W75" s="1"/>
  <c r="S61"/>
  <c r="P61"/>
  <c r="U61" s="1"/>
  <c r="W61" s="1"/>
  <c r="S106" i="2"/>
  <c r="P106"/>
  <c r="U106" s="1"/>
  <c r="W106" s="1"/>
  <c r="X106" s="1"/>
  <c r="S105"/>
  <c r="P105"/>
  <c r="U105" s="1"/>
  <c r="W105" s="1"/>
  <c r="X105" s="1"/>
  <c r="S104"/>
  <c r="P104"/>
  <c r="U104" s="1"/>
  <c r="W104" s="1"/>
  <c r="X104" s="1"/>
  <c r="S103"/>
  <c r="P103"/>
  <c r="U103" s="1"/>
  <c r="W103" s="1"/>
  <c r="X103" s="1"/>
  <c r="S102"/>
  <c r="P102"/>
  <c r="U102" s="1"/>
  <c r="W102" s="1"/>
  <c r="X102" s="1"/>
  <c r="S101"/>
  <c r="P101"/>
  <c r="U101" s="1"/>
  <c r="W101" s="1"/>
  <c r="X101" s="1"/>
  <c r="S100"/>
  <c r="P100"/>
  <c r="U100" s="1"/>
  <c r="W100" s="1"/>
  <c r="X100" s="1"/>
  <c r="S99"/>
  <c r="P99"/>
  <c r="U99" s="1"/>
  <c r="W99" s="1"/>
  <c r="X99" s="1"/>
  <c r="S98"/>
  <c r="P98"/>
  <c r="U98" s="1"/>
  <c r="W98" s="1"/>
  <c r="X98" s="1"/>
  <c r="S97"/>
  <c r="P97"/>
  <c r="U97" s="1"/>
  <c r="W97" s="1"/>
  <c r="X97" s="1"/>
  <c r="U99" i="1"/>
  <c r="W99" s="1"/>
  <c r="X99" s="1"/>
  <c r="S99"/>
  <c r="S98"/>
  <c r="S97"/>
  <c r="S96"/>
  <c r="S95"/>
  <c r="S94"/>
  <c r="S93"/>
  <c r="S92"/>
  <c r="S91"/>
  <c r="S90"/>
  <c r="S89"/>
  <c r="S88"/>
  <c r="S87"/>
  <c r="S86"/>
  <c r="S85"/>
  <c r="S84"/>
  <c r="S83"/>
  <c r="S82"/>
  <c r="S81"/>
  <c r="S80"/>
  <c r="P98"/>
  <c r="U98" s="1"/>
  <c r="W98" s="1"/>
  <c r="X98" s="1"/>
  <c r="P97"/>
  <c r="U97" s="1"/>
  <c r="W97" s="1"/>
  <c r="P96"/>
  <c r="U96" s="1"/>
  <c r="W96" s="1"/>
  <c r="P95"/>
  <c r="U95" s="1"/>
  <c r="W95" s="1"/>
  <c r="P94"/>
  <c r="U94" s="1"/>
  <c r="W94" s="1"/>
  <c r="P93"/>
  <c r="U93" s="1"/>
  <c r="W93" s="1"/>
  <c r="P92"/>
  <c r="U92" s="1"/>
  <c r="W92" s="1"/>
  <c r="P91"/>
  <c r="U91" s="1"/>
  <c r="W91" s="1"/>
  <c r="P90"/>
  <c r="U90" s="1"/>
  <c r="W90" s="1"/>
  <c r="P89"/>
  <c r="U89" s="1"/>
  <c r="W89" s="1"/>
  <c r="P88"/>
  <c r="U88" s="1"/>
  <c r="W88" s="1"/>
  <c r="X88" s="1"/>
  <c r="P87"/>
  <c r="U87" s="1"/>
  <c r="W87" s="1"/>
  <c r="X87" s="1"/>
  <c r="P86"/>
  <c r="U86" s="1"/>
  <c r="W86" s="1"/>
  <c r="X86" s="1"/>
  <c r="P85"/>
  <c r="P84"/>
  <c r="U84" s="1"/>
  <c r="W84" s="1"/>
  <c r="X84" s="1"/>
  <c r="P83"/>
  <c r="U83" s="1"/>
  <c r="W83" s="1"/>
  <c r="X83" s="1"/>
  <c r="P82"/>
  <c r="U82" s="1"/>
  <c r="W82" s="1"/>
  <c r="X82" s="1"/>
  <c r="P81"/>
  <c r="U81" s="1"/>
  <c r="W81" s="1"/>
  <c r="X81" s="1"/>
  <c r="P80"/>
  <c r="U80" s="1"/>
  <c r="W80" s="1"/>
  <c r="X80" s="1"/>
  <c r="U85" l="1"/>
  <c r="S96" i="2"/>
  <c r="P96"/>
  <c r="U96" s="1"/>
  <c r="W96" s="1"/>
  <c r="W85" i="1" l="1"/>
  <c r="S95" i="2"/>
  <c r="P95"/>
  <c r="U95" s="1"/>
  <c r="W95" s="1"/>
  <c r="S94"/>
  <c r="P94"/>
  <c r="U94" s="1"/>
  <c r="W94" s="1"/>
  <c r="S93"/>
  <c r="P93"/>
  <c r="U93" s="1"/>
  <c r="W93" s="1"/>
  <c r="S92" l="1"/>
  <c r="P92"/>
  <c r="U92" s="1"/>
  <c r="W92" s="1"/>
  <c r="S91" l="1"/>
  <c r="P91"/>
  <c r="U91" s="1"/>
  <c r="W91" s="1"/>
  <c r="X91" s="1"/>
  <c r="S90"/>
  <c r="P90"/>
  <c r="U90" s="1"/>
  <c r="W90" s="1"/>
  <c r="S89"/>
  <c r="P89"/>
  <c r="U89" s="1"/>
  <c r="W89" s="1"/>
  <c r="S88"/>
  <c r="P88"/>
  <c r="U88" s="1"/>
  <c r="W88" s="1"/>
  <c r="S87"/>
  <c r="P87"/>
  <c r="U87" s="1"/>
  <c r="W87" s="1"/>
  <c r="S86" l="1"/>
  <c r="P86"/>
  <c r="U86" s="1"/>
  <c r="W86" s="1"/>
  <c r="X86" s="1"/>
  <c r="S85"/>
  <c r="P85"/>
  <c r="U85" s="1"/>
  <c r="W85" s="1"/>
  <c r="X85" s="1"/>
  <c r="S84"/>
  <c r="P84"/>
  <c r="U84" s="1"/>
  <c r="W84" s="1"/>
  <c r="X84" s="1"/>
  <c r="S83"/>
  <c r="P83"/>
  <c r="U83" s="1"/>
  <c r="W83" s="1"/>
  <c r="X83" s="1"/>
  <c r="S82"/>
  <c r="P82"/>
  <c r="U82" s="1"/>
  <c r="W82" s="1"/>
  <c r="X82" s="1"/>
  <c r="S81"/>
  <c r="P81"/>
  <c r="U81" s="1"/>
  <c r="W81" s="1"/>
  <c r="X81" s="1"/>
  <c r="S8" i="3"/>
  <c r="P8"/>
  <c r="U8" s="1"/>
  <c r="W8" s="1"/>
  <c r="P79" i="1" l="1"/>
  <c r="U79" s="1"/>
  <c r="W79" s="1"/>
  <c r="X79" s="1"/>
  <c r="P78"/>
  <c r="U78" s="1"/>
  <c r="W78" s="1"/>
  <c r="P77"/>
  <c r="P76"/>
  <c r="U76" s="1"/>
  <c r="W76" s="1"/>
  <c r="P74"/>
  <c r="U74" s="1"/>
  <c r="W74" s="1"/>
  <c r="P73"/>
  <c r="P72"/>
  <c r="U72" s="1"/>
  <c r="W72" s="1"/>
  <c r="P71"/>
  <c r="U71" s="1"/>
  <c r="W71" s="1"/>
  <c r="P70"/>
  <c r="U70" s="1"/>
  <c r="W70" s="1"/>
  <c r="P69"/>
  <c r="P68"/>
  <c r="U68" s="1"/>
  <c r="W68" s="1"/>
  <c r="X68" s="1"/>
  <c r="P67"/>
  <c r="P66"/>
  <c r="U66" s="1"/>
  <c r="W66" s="1"/>
  <c r="X66" s="1"/>
  <c r="P65"/>
  <c r="P64"/>
  <c r="U64" s="1"/>
  <c r="W64" s="1"/>
  <c r="X64" s="1"/>
  <c r="P63"/>
  <c r="P62"/>
  <c r="U62" s="1"/>
  <c r="W62" s="1"/>
  <c r="P60"/>
  <c r="U60" s="1"/>
  <c r="W60" s="1"/>
  <c r="P59"/>
  <c r="P58"/>
  <c r="P57"/>
  <c r="U57" s="1"/>
  <c r="W57" s="1"/>
  <c r="U77"/>
  <c r="W77" s="1"/>
  <c r="U73"/>
  <c r="U69"/>
  <c r="W69" s="1"/>
  <c r="U67"/>
  <c r="U65"/>
  <c r="W65" s="1"/>
  <c r="X65" s="1"/>
  <c r="U63"/>
  <c r="U59"/>
  <c r="W59" s="1"/>
  <c r="S79"/>
  <c r="S78"/>
  <c r="S77"/>
  <c r="S76"/>
  <c r="S74"/>
  <c r="S73"/>
  <c r="S72"/>
  <c r="S71"/>
  <c r="S70"/>
  <c r="S69"/>
  <c r="S68"/>
  <c r="S67"/>
  <c r="S66"/>
  <c r="S65"/>
  <c r="S64"/>
  <c r="S63"/>
  <c r="S62"/>
  <c r="S60"/>
  <c r="S59"/>
  <c r="S58"/>
  <c r="S57"/>
  <c r="W73"/>
  <c r="W67"/>
  <c r="X67" s="1"/>
  <c r="W63"/>
  <c r="X63" s="1"/>
  <c r="U58" l="1"/>
  <c r="S80" i="2"/>
  <c r="P80"/>
  <c r="U80" s="1"/>
  <c r="W80" s="1"/>
  <c r="S79"/>
  <c r="P79"/>
  <c r="U79" s="1"/>
  <c r="W79" s="1"/>
  <c r="S78"/>
  <c r="P78"/>
  <c r="U78" s="1"/>
  <c r="W78" s="1"/>
  <c r="W58" i="1" l="1"/>
  <c r="S77" i="2"/>
  <c r="P77"/>
  <c r="U77" s="1"/>
  <c r="W77" s="1"/>
  <c r="X77" s="1"/>
  <c r="S76"/>
  <c r="P76"/>
  <c r="U76" s="1"/>
  <c r="W76" s="1"/>
  <c r="X76" s="1"/>
  <c r="S75"/>
  <c r="P75"/>
  <c r="U75" s="1"/>
  <c r="W75" s="1"/>
  <c r="X75" s="1"/>
  <c r="S74"/>
  <c r="P74"/>
  <c r="U74" s="1"/>
  <c r="W74" s="1"/>
  <c r="X74" s="1"/>
  <c r="S73"/>
  <c r="P73"/>
  <c r="U73" s="1"/>
  <c r="W73" s="1"/>
  <c r="X73" s="1"/>
  <c r="S70" l="1"/>
  <c r="P70"/>
  <c r="U70" s="1"/>
  <c r="W70" s="1"/>
  <c r="S69"/>
  <c r="P69"/>
  <c r="U69" s="1"/>
  <c r="W69" s="1"/>
  <c r="S68"/>
  <c r="P68"/>
  <c r="U68" s="1"/>
  <c r="W68" s="1"/>
  <c r="S67"/>
  <c r="P67"/>
  <c r="U67" s="1"/>
  <c r="W67" s="1"/>
  <c r="S66"/>
  <c r="P66"/>
  <c r="U66" s="1"/>
  <c r="W66" s="1"/>
  <c r="S72"/>
  <c r="P72"/>
  <c r="U72" s="1"/>
  <c r="W72" s="1"/>
  <c r="S71"/>
  <c r="P71"/>
  <c r="U71" s="1"/>
  <c r="W71" s="1"/>
  <c r="S65" l="1"/>
  <c r="P65"/>
  <c r="U65" s="1"/>
  <c r="W65" s="1"/>
  <c r="X65" s="1"/>
  <c r="S64"/>
  <c r="P64"/>
  <c r="U64" s="1"/>
  <c r="W64" s="1"/>
  <c r="X64" s="1"/>
  <c r="S63"/>
  <c r="P63"/>
  <c r="U63" s="1"/>
  <c r="W63" s="1"/>
  <c r="X63" s="1"/>
  <c r="S62"/>
  <c r="P62"/>
  <c r="U62" s="1"/>
  <c r="W62" s="1"/>
  <c r="X62" s="1"/>
  <c r="S61"/>
  <c r="P61"/>
  <c r="U61" s="1"/>
  <c r="W61" s="1"/>
  <c r="X61" s="1"/>
  <c r="S7" i="3"/>
  <c r="P7"/>
  <c r="U7" s="1"/>
  <c r="W7" s="1"/>
  <c r="P56" i="1"/>
  <c r="P55"/>
  <c r="U55" s="1"/>
  <c r="W55" s="1"/>
  <c r="P54"/>
  <c r="U54" s="1"/>
  <c r="W54" s="1"/>
  <c r="P53"/>
  <c r="P52"/>
  <c r="U52" s="1"/>
  <c r="W52" s="1"/>
  <c r="P51"/>
  <c r="U51" s="1"/>
  <c r="W51" s="1"/>
  <c r="X51" s="1"/>
  <c r="P50"/>
  <c r="P49"/>
  <c r="U49" s="1"/>
  <c r="W49" s="1"/>
  <c r="P48"/>
  <c r="P47"/>
  <c r="U47" s="1"/>
  <c r="W47" s="1"/>
  <c r="X47" s="1"/>
  <c r="P46"/>
  <c r="P45"/>
  <c r="U45" s="1"/>
  <c r="W45" s="1"/>
  <c r="P44"/>
  <c r="U44" s="1"/>
  <c r="W44" s="1"/>
  <c r="P43"/>
  <c r="U43" s="1"/>
  <c r="W43" s="1"/>
  <c r="P42"/>
  <c r="U42" s="1"/>
  <c r="W42" s="1"/>
  <c r="S56"/>
  <c r="S55"/>
  <c r="S54"/>
  <c r="S53"/>
  <c r="S52"/>
  <c r="S51"/>
  <c r="S50"/>
  <c r="S49"/>
  <c r="S48"/>
  <c r="S47"/>
  <c r="S46"/>
  <c r="S45"/>
  <c r="S44"/>
  <c r="S43"/>
  <c r="S42"/>
  <c r="U56"/>
  <c r="U53"/>
  <c r="U50"/>
  <c r="U48"/>
  <c r="U46"/>
  <c r="W56"/>
  <c r="W53"/>
  <c r="X53" s="1"/>
  <c r="W50"/>
  <c r="W48"/>
  <c r="X48" s="1"/>
  <c r="W46"/>
  <c r="X46" s="1"/>
  <c r="S60" i="2" l="1"/>
  <c r="P60"/>
  <c r="U60" s="1"/>
  <c r="W60" s="1"/>
  <c r="S57"/>
  <c r="P57"/>
  <c r="U57" s="1"/>
  <c r="W57" s="1"/>
  <c r="S58"/>
  <c r="P58"/>
  <c r="U58" s="1"/>
  <c r="W58" s="1"/>
  <c r="S59"/>
  <c r="P59"/>
  <c r="U59" s="1"/>
  <c r="W59" s="1"/>
  <c r="S56" l="1"/>
  <c r="P56"/>
  <c r="U56" s="1"/>
  <c r="W56" s="1"/>
  <c r="S55"/>
  <c r="P55"/>
  <c r="U55" s="1"/>
  <c r="W55" s="1"/>
  <c r="S54" l="1"/>
  <c r="P54"/>
  <c r="U54" s="1"/>
  <c r="W54" s="1"/>
  <c r="S53"/>
  <c r="P53"/>
  <c r="U53" s="1"/>
  <c r="W53" s="1"/>
  <c r="S52"/>
  <c r="P52"/>
  <c r="U52" s="1"/>
  <c r="W52" s="1"/>
  <c r="S51" l="1"/>
  <c r="P51"/>
  <c r="U51" s="1"/>
  <c r="W51" s="1"/>
  <c r="S50"/>
  <c r="P50"/>
  <c r="U50" s="1"/>
  <c r="W50" s="1"/>
  <c r="S49"/>
  <c r="P49"/>
  <c r="U49" s="1"/>
  <c r="W49" s="1"/>
  <c r="S48" l="1"/>
  <c r="P48"/>
  <c r="U48" s="1"/>
  <c r="W48" s="1"/>
  <c r="S47"/>
  <c r="P47"/>
  <c r="U47" s="1"/>
  <c r="W47" s="1"/>
  <c r="S46"/>
  <c r="P46"/>
  <c r="U46" s="1"/>
  <c r="W46" s="1"/>
  <c r="S45"/>
  <c r="P45"/>
  <c r="U45" s="1"/>
  <c r="W45" s="1"/>
  <c r="S44"/>
  <c r="P44"/>
  <c r="U44" s="1"/>
  <c r="W44" s="1"/>
  <c r="S17" i="1"/>
  <c r="P17"/>
  <c r="U17" s="1"/>
  <c r="W17" s="1"/>
  <c r="S43" i="2"/>
  <c r="P43"/>
  <c r="U43" s="1"/>
  <c r="W43" s="1"/>
  <c r="X43" s="1"/>
  <c r="S42"/>
  <c r="P42"/>
  <c r="U42" s="1"/>
  <c r="W42" s="1"/>
  <c r="X42" s="1"/>
  <c r="S41"/>
  <c r="P41"/>
  <c r="U41" s="1"/>
  <c r="W41" s="1"/>
  <c r="X41" s="1"/>
  <c r="S40"/>
  <c r="P40"/>
  <c r="U40" s="1"/>
  <c r="W40" s="1"/>
  <c r="S39"/>
  <c r="P39"/>
  <c r="U39" s="1"/>
  <c r="W39" s="1"/>
  <c r="X39" s="1"/>
  <c r="S38"/>
  <c r="P38"/>
  <c r="U38" s="1"/>
  <c r="W38" s="1"/>
  <c r="X38" s="1"/>
  <c r="S37"/>
  <c r="P37"/>
  <c r="U37" s="1"/>
  <c r="W37" s="1"/>
  <c r="S41" i="1"/>
  <c r="P41"/>
  <c r="U41" s="1"/>
  <c r="W41" s="1"/>
  <c r="X41" s="1"/>
  <c r="S40"/>
  <c r="P40"/>
  <c r="U40" s="1"/>
  <c r="W40" s="1"/>
  <c r="S39"/>
  <c r="P39"/>
  <c r="U39" s="1"/>
  <c r="W39" s="1"/>
  <c r="S38"/>
  <c r="P38"/>
  <c r="U38" s="1"/>
  <c r="W38" s="1"/>
  <c r="X38" s="1"/>
  <c r="S37"/>
  <c r="P37"/>
  <c r="U37" s="1"/>
  <c r="W37" s="1"/>
  <c r="X37" s="1"/>
  <c r="S36"/>
  <c r="P36"/>
  <c r="U36" s="1"/>
  <c r="W36" s="1"/>
  <c r="X36" s="1"/>
  <c r="S35"/>
  <c r="P35"/>
  <c r="U35" s="1"/>
  <c r="W35" s="1"/>
  <c r="X35" s="1"/>
  <c r="S34"/>
  <c r="P34"/>
  <c r="U34" s="1"/>
  <c r="W34" s="1"/>
  <c r="X34" s="1"/>
  <c r="S33"/>
  <c r="P33"/>
  <c r="U33" s="1"/>
  <c r="W33" s="1"/>
  <c r="X33" s="1"/>
  <c r="S32"/>
  <c r="P32"/>
  <c r="U32" s="1"/>
  <c r="W32" s="1"/>
  <c r="X32" s="1"/>
  <c r="S31"/>
  <c r="P31"/>
  <c r="U31" s="1"/>
  <c r="W31" s="1"/>
  <c r="S30"/>
  <c r="P30"/>
  <c r="U30" s="1"/>
  <c r="W30" s="1"/>
  <c r="X30" s="1"/>
  <c r="S29"/>
  <c r="P29"/>
  <c r="U29" s="1"/>
  <c r="W29" s="1"/>
  <c r="X29" s="1"/>
  <c r="S28"/>
  <c r="P28"/>
  <c r="S27"/>
  <c r="P27"/>
  <c r="U27" s="1"/>
  <c r="W27" s="1"/>
  <c r="S26"/>
  <c r="P26"/>
  <c r="U26" s="1"/>
  <c r="W26" s="1"/>
  <c r="S25"/>
  <c r="P25"/>
  <c r="U25" s="1"/>
  <c r="W25" s="1"/>
  <c r="S24"/>
  <c r="P24"/>
  <c r="U24" s="1"/>
  <c r="W24" s="1"/>
  <c r="S23"/>
  <c r="P23"/>
  <c r="S22"/>
  <c r="P22"/>
  <c r="U22" s="1"/>
  <c r="W22" s="1"/>
  <c r="U28" l="1"/>
  <c r="U23"/>
  <c r="S36" i="2"/>
  <c r="P36"/>
  <c r="U36" s="1"/>
  <c r="W36" s="1"/>
  <c r="S35"/>
  <c r="P35"/>
  <c r="U35" s="1"/>
  <c r="W35" s="1"/>
  <c r="S34"/>
  <c r="P34"/>
  <c r="U34" s="1"/>
  <c r="W34" s="1"/>
  <c r="S33"/>
  <c r="P33"/>
  <c r="U33" s="1"/>
  <c r="W33" s="1"/>
  <c r="S32"/>
  <c r="P32"/>
  <c r="U32" s="1"/>
  <c r="W32" s="1"/>
  <c r="S31"/>
  <c r="P31"/>
  <c r="U31" s="1"/>
  <c r="W31" s="1"/>
  <c r="S30"/>
  <c r="P30"/>
  <c r="U30" s="1"/>
  <c r="W30" s="1"/>
  <c r="S29"/>
  <c r="P29"/>
  <c r="U29" s="1"/>
  <c r="W29" s="1"/>
  <c r="S28"/>
  <c r="P28"/>
  <c r="U28" s="1"/>
  <c r="W28" s="1"/>
  <c r="S27"/>
  <c r="P27"/>
  <c r="U27" s="1"/>
  <c r="W27" s="1"/>
  <c r="S26"/>
  <c r="P26"/>
  <c r="U26" s="1"/>
  <c r="W26" s="1"/>
  <c r="S25"/>
  <c r="P25"/>
  <c r="U25" s="1"/>
  <c r="W25" s="1"/>
  <c r="S24"/>
  <c r="P24"/>
  <c r="U24" s="1"/>
  <c r="W24" s="1"/>
  <c r="S23"/>
  <c r="P23"/>
  <c r="U23" s="1"/>
  <c r="W23" s="1"/>
  <c r="S22"/>
  <c r="P22"/>
  <c r="U22" s="1"/>
  <c r="W22" s="1"/>
  <c r="S21"/>
  <c r="P21"/>
  <c r="U21" s="1"/>
  <c r="W21" s="1"/>
  <c r="S20"/>
  <c r="P20"/>
  <c r="U20" s="1"/>
  <c r="W20" s="1"/>
  <c r="S19"/>
  <c r="P19"/>
  <c r="U19" s="1"/>
  <c r="W19" s="1"/>
  <c r="S18"/>
  <c r="P18"/>
  <c r="U18" s="1"/>
  <c r="W18" s="1"/>
  <c r="S18" i="1"/>
  <c r="P18"/>
  <c r="U18" s="1"/>
  <c r="W18" s="1"/>
  <c r="W28" l="1"/>
  <c r="W23"/>
  <c r="S6" i="3"/>
  <c r="P6"/>
  <c r="S17" i="2"/>
  <c r="P17"/>
  <c r="U17" s="1"/>
  <c r="W17" s="1"/>
  <c r="X17" s="1"/>
  <c r="S16"/>
  <c r="P16"/>
  <c r="U16" s="1"/>
  <c r="W16" s="1"/>
  <c r="X16" s="1"/>
  <c r="S15"/>
  <c r="P15"/>
  <c r="U15" s="1"/>
  <c r="W15" s="1"/>
  <c r="X15" s="1"/>
  <c r="S14"/>
  <c r="P14"/>
  <c r="U14" s="1"/>
  <c r="W14" s="1"/>
  <c r="X14" s="1"/>
  <c r="S13"/>
  <c r="P13"/>
  <c r="U13" s="1"/>
  <c r="W13" s="1"/>
  <c r="X13" s="1"/>
  <c r="X264" s="1"/>
  <c r="U6" i="3" l="1"/>
  <c r="P44"/>
  <c r="S21" i="1"/>
  <c r="S20"/>
  <c r="S19"/>
  <c r="S16"/>
  <c r="S15"/>
  <c r="S14"/>
  <c r="S13"/>
  <c r="S12"/>
  <c r="S11"/>
  <c r="S10"/>
  <c r="S9"/>
  <c r="S8"/>
  <c r="S7"/>
  <c r="S6"/>
  <c r="P21"/>
  <c r="U21" s="1"/>
  <c r="W21" s="1"/>
  <c r="P20"/>
  <c r="U20" s="1"/>
  <c r="W20" s="1"/>
  <c r="X20" s="1"/>
  <c r="P19"/>
  <c r="U19" s="1"/>
  <c r="W19" s="1"/>
  <c r="P16"/>
  <c r="U16" s="1"/>
  <c r="W16" s="1"/>
  <c r="X16" s="1"/>
  <c r="P15"/>
  <c r="P14"/>
  <c r="P13"/>
  <c r="U13" s="1"/>
  <c r="W13" s="1"/>
  <c r="P12"/>
  <c r="U12" s="1"/>
  <c r="W12" s="1"/>
  <c r="P11"/>
  <c r="U11" s="1"/>
  <c r="W11" s="1"/>
  <c r="P10"/>
  <c r="U10" s="1"/>
  <c r="W10" s="1"/>
  <c r="P9"/>
  <c r="U9" s="1"/>
  <c r="W9" s="1"/>
  <c r="X9" s="1"/>
  <c r="P8"/>
  <c r="U8" s="1"/>
  <c r="W8" s="1"/>
  <c r="X8" s="1"/>
  <c r="P7"/>
  <c r="U7" s="1"/>
  <c r="W7" s="1"/>
  <c r="X7" s="1"/>
  <c r="P6"/>
  <c r="W6" i="3" l="1"/>
  <c r="W44" s="1"/>
  <c r="U44"/>
  <c r="U6" i="1"/>
  <c r="P259"/>
  <c r="X259"/>
  <c r="U14"/>
  <c r="U15"/>
  <c r="S12" i="2"/>
  <c r="P12"/>
  <c r="U12" s="1"/>
  <c r="W12" s="1"/>
  <c r="W6" i="1" l="1"/>
  <c r="U259"/>
  <c r="W14"/>
  <c r="W15"/>
  <c r="S9" i="2"/>
  <c r="P9"/>
  <c r="U9" s="1"/>
  <c r="W9" s="1"/>
  <c r="S11"/>
  <c r="P11"/>
  <c r="U11" s="1"/>
  <c r="W11" s="1"/>
  <c r="S10"/>
  <c r="P10"/>
  <c r="U10" s="1"/>
  <c r="W10" s="1"/>
  <c r="W259" i="1" l="1"/>
  <c r="P8" i="2"/>
  <c r="U8" s="1"/>
  <c r="S7" l="1"/>
  <c r="P7"/>
  <c r="U7" s="1"/>
  <c r="W7" s="1"/>
  <c r="S6"/>
  <c r="P6"/>
  <c r="U6" l="1"/>
  <c r="P264"/>
  <c r="W6" l="1"/>
  <c r="W264" s="1"/>
  <c r="U264"/>
  <c r="A7" i="3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7" i="2"/>
  <c r="A8" s="1"/>
  <c r="A9" l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l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l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" i="1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72" i="2" l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A88" s="1"/>
  <c r="A89" s="1"/>
  <c r="A90" s="1"/>
  <c r="A91" s="1"/>
  <c r="A92" s="1"/>
  <c r="A93" s="1"/>
  <c r="A94" s="1"/>
  <c r="A95" s="1"/>
  <c r="A96" s="1"/>
  <c r="A97" s="1"/>
  <c r="A98" s="1"/>
  <c r="A99" s="1"/>
  <c r="A100" s="1"/>
  <c r="A101" s="1"/>
  <c r="A102" s="1"/>
  <c r="A103" s="1"/>
  <c r="A104" s="1"/>
  <c r="A105" s="1"/>
  <c r="A106" s="1"/>
  <c r="A107" s="1"/>
  <c r="A108" s="1"/>
  <c r="A109" s="1"/>
  <c r="A110" s="1"/>
  <c r="A111" s="1"/>
  <c r="A112" s="1"/>
  <c r="A113" s="1"/>
  <c r="A114" s="1"/>
  <c r="A115" s="1"/>
  <c r="A116" s="1"/>
  <c r="A117" s="1"/>
  <c r="A118" s="1"/>
  <c r="A119" s="1"/>
  <c r="A120" s="1"/>
  <c r="A121" s="1"/>
  <c r="A122" s="1"/>
  <c r="A123" s="1"/>
  <c r="A124" s="1"/>
  <c r="A125" s="1"/>
  <c r="A126" s="1"/>
  <c r="A127" s="1"/>
  <c r="A128" s="1"/>
  <c r="A129" s="1"/>
  <c r="A130" s="1"/>
  <c r="A131" s="1"/>
  <c r="A132" s="1"/>
  <c r="A133" s="1"/>
  <c r="A134" s="1"/>
  <c r="A135" s="1"/>
  <c r="A136" s="1"/>
  <c r="A137" s="1"/>
  <c r="A138" s="1"/>
  <c r="A139" s="1"/>
  <c r="A140" s="1"/>
  <c r="A141" s="1"/>
  <c r="A142" s="1"/>
  <c r="A143" s="1"/>
  <c r="A144" s="1"/>
  <c r="A145" s="1"/>
  <c r="A146" s="1"/>
  <c r="A147" s="1"/>
  <c r="A148" s="1"/>
  <c r="A149" s="1"/>
  <c r="A150" s="1"/>
  <c r="A151" s="1"/>
  <c r="A152" s="1"/>
  <c r="A153" s="1"/>
  <c r="A154" s="1"/>
  <c r="A155" s="1"/>
  <c r="A156" s="1"/>
  <c r="A157" s="1"/>
  <c r="A158" s="1"/>
  <c r="A159" s="1"/>
  <c r="A160" s="1"/>
  <c r="A161" s="1"/>
  <c r="A162" s="1"/>
  <c r="A163" s="1"/>
  <c r="A164" s="1"/>
  <c r="A165" s="1"/>
  <c r="A166" s="1"/>
  <c r="A167" s="1"/>
  <c r="A168" s="1"/>
  <c r="A169" s="1"/>
  <c r="A170" s="1"/>
  <c r="A171" s="1"/>
  <c r="A172" s="1"/>
  <c r="A173" s="1"/>
  <c r="A174" s="1"/>
  <c r="A175" s="1"/>
  <c r="A176" s="1"/>
  <c r="A177" s="1"/>
  <c r="A178" s="1"/>
  <c r="A179" s="1"/>
  <c r="A180" s="1"/>
  <c r="A181" s="1"/>
  <c r="A182" s="1"/>
  <c r="A183" s="1"/>
  <c r="A184" s="1"/>
  <c r="A185" s="1"/>
  <c r="A186" s="1"/>
  <c r="A187" s="1"/>
  <c r="A188" s="1"/>
  <c r="A189" s="1"/>
  <c r="A190" s="1"/>
  <c r="A191" s="1"/>
  <c r="A192" s="1"/>
  <c r="A193" s="1"/>
  <c r="A194" s="1"/>
  <c r="A195" s="1"/>
  <c r="A196" s="1"/>
  <c r="A197" s="1"/>
  <c r="A198" s="1"/>
  <c r="A199" s="1"/>
  <c r="A200" s="1"/>
  <c r="A201" s="1"/>
  <c r="A202" s="1"/>
  <c r="A203" s="1"/>
  <c r="A204" s="1"/>
  <c r="A205" s="1"/>
  <c r="A206" s="1"/>
  <c r="A207" s="1"/>
  <c r="A208" s="1"/>
  <c r="A209" s="1"/>
  <c r="A210" s="1"/>
  <c r="A211" s="1"/>
  <c r="A212" s="1"/>
  <c r="A213" s="1"/>
  <c r="A214" s="1"/>
  <c r="A215" s="1"/>
  <c r="A216" s="1"/>
  <c r="A217" s="1"/>
  <c r="A218" s="1"/>
  <c r="A219" s="1"/>
  <c r="A220" s="1"/>
  <c r="A221" s="1"/>
  <c r="A222" s="1"/>
  <c r="A223" s="1"/>
  <c r="A224" s="1"/>
  <c r="A225" s="1"/>
  <c r="A226" s="1"/>
  <c r="A227" s="1"/>
  <c r="A228" s="1"/>
  <c r="A229" s="1"/>
  <c r="A230" s="1"/>
  <c r="A231" s="1"/>
  <c r="A232" s="1"/>
  <c r="A233" s="1"/>
  <c r="A234" s="1"/>
  <c r="A235" s="1"/>
  <c r="A236" s="1"/>
  <c r="A237" s="1"/>
  <c r="A238" s="1"/>
  <c r="A239" s="1"/>
  <c r="A240" s="1"/>
  <c r="A241" s="1"/>
  <c r="A242" s="1"/>
  <c r="A243" s="1"/>
  <c r="A244" s="1"/>
  <c r="A245" s="1"/>
  <c r="A246" s="1"/>
  <c r="A247" s="1"/>
  <c r="A248" s="1"/>
  <c r="A249" s="1"/>
  <c r="A250" s="1"/>
  <c r="A251" s="1"/>
  <c r="A252" s="1"/>
  <c r="A253" s="1"/>
  <c r="A254" s="1"/>
  <c r="A255" s="1"/>
  <c r="A256" s="1"/>
  <c r="A257" s="1"/>
  <c r="A258" s="1"/>
  <c r="A259" s="1"/>
  <c r="A260" s="1"/>
  <c r="A261" s="1"/>
  <c r="A262" s="1"/>
  <c r="A263" s="1"/>
  <c r="A21" i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A88" s="1"/>
  <c r="A89" s="1"/>
  <c r="A90" s="1"/>
  <c r="A91" s="1"/>
  <c r="A92" s="1"/>
  <c r="A93" s="1"/>
  <c r="A94" s="1"/>
  <c r="A95" s="1"/>
  <c r="A96" s="1"/>
  <c r="A97" s="1"/>
  <c r="A98" s="1"/>
  <c r="A99" s="1"/>
  <c r="A100" s="1"/>
  <c r="A101" s="1"/>
  <c r="A102" s="1"/>
  <c r="A103" s="1"/>
  <c r="A104" s="1"/>
  <c r="A105" s="1"/>
  <c r="A106" s="1"/>
  <c r="A107" s="1"/>
  <c r="A108" s="1"/>
  <c r="A109" s="1"/>
  <c r="A110" s="1"/>
  <c r="A111" s="1"/>
  <c r="A112" s="1"/>
  <c r="A113" s="1"/>
  <c r="A114" s="1"/>
  <c r="A115" s="1"/>
  <c r="A116" s="1"/>
  <c r="A117" s="1"/>
  <c r="A118" s="1"/>
  <c r="A119" s="1"/>
  <c r="A120" s="1"/>
  <c r="A121" s="1"/>
  <c r="A122" s="1"/>
  <c r="A123" s="1"/>
  <c r="A124" s="1"/>
  <c r="A125" s="1"/>
  <c r="A126" s="1"/>
  <c r="A127" s="1"/>
  <c r="A128" s="1"/>
  <c r="A129" s="1"/>
  <c r="A130" s="1"/>
  <c r="A131" s="1"/>
  <c r="A132" s="1"/>
  <c r="A133" s="1"/>
  <c r="A134" s="1"/>
  <c r="A135" s="1"/>
  <c r="A136" s="1"/>
  <c r="A137" s="1"/>
  <c r="A138" s="1"/>
  <c r="A139" s="1"/>
  <c r="A140" s="1"/>
  <c r="A141" s="1"/>
  <c r="A142" s="1"/>
  <c r="A143" s="1"/>
  <c r="A144" s="1"/>
  <c r="A145" s="1"/>
  <c r="A146" s="1"/>
  <c r="A147" s="1"/>
  <c r="A148" s="1"/>
  <c r="A149" s="1"/>
  <c r="A150" s="1"/>
  <c r="A151" s="1"/>
  <c r="A152" s="1"/>
  <c r="A153" s="1"/>
  <c r="A154" s="1"/>
  <c r="A155" s="1"/>
  <c r="A156" s="1"/>
  <c r="A157" s="1"/>
  <c r="A158" s="1"/>
  <c r="A159" s="1"/>
  <c r="A160" s="1"/>
  <c r="A161" s="1"/>
  <c r="A162" s="1"/>
  <c r="A163" s="1"/>
  <c r="A164" s="1"/>
  <c r="A165" s="1"/>
  <c r="A166" s="1"/>
  <c r="A167" s="1"/>
  <c r="A168" s="1"/>
  <c r="A169" s="1"/>
  <c r="A170" s="1"/>
  <c r="A171" s="1"/>
  <c r="A172" s="1"/>
  <c r="A173" s="1"/>
  <c r="A174" s="1"/>
  <c r="A175" s="1"/>
  <c r="A176" s="1"/>
  <c r="A177" s="1"/>
  <c r="A178" s="1"/>
  <c r="A179" s="1"/>
  <c r="A180" s="1"/>
  <c r="A181" s="1"/>
  <c r="A182" s="1"/>
  <c r="A183" s="1"/>
  <c r="A184" s="1"/>
  <c r="A185" s="1"/>
  <c r="A186" s="1"/>
  <c r="A187" s="1"/>
  <c r="A188" s="1"/>
  <c r="A189" s="1"/>
  <c r="A190" s="1"/>
  <c r="A191" s="1"/>
  <c r="A192" s="1"/>
  <c r="A193" s="1"/>
  <c r="A194" s="1"/>
  <c r="A195" s="1"/>
  <c r="A196" s="1"/>
  <c r="A197" s="1"/>
  <c r="A198" s="1"/>
  <c r="A199" s="1"/>
  <c r="A200" s="1"/>
  <c r="A201" s="1"/>
  <c r="A202" s="1"/>
  <c r="A203" s="1"/>
  <c r="A204" s="1"/>
  <c r="A205" s="1"/>
  <c r="A206" s="1"/>
  <c r="A207" s="1"/>
  <c r="A208" s="1"/>
  <c r="A209" s="1"/>
  <c r="A210" s="1"/>
  <c r="A211" s="1"/>
  <c r="A212" s="1"/>
  <c r="A213" s="1"/>
  <c r="A214" s="1"/>
  <c r="A215" s="1"/>
  <c r="A216" s="1"/>
  <c r="A217" s="1"/>
  <c r="A218" s="1"/>
  <c r="A219" s="1"/>
  <c r="A220" s="1"/>
  <c r="A221" s="1"/>
  <c r="A222" s="1"/>
  <c r="A223" s="1"/>
  <c r="A224" s="1"/>
  <c r="A225" s="1"/>
  <c r="A226" s="1"/>
  <c r="A227" s="1"/>
  <c r="A228" s="1"/>
  <c r="A229" s="1"/>
  <c r="A230" s="1"/>
  <c r="A231" s="1"/>
  <c r="A232" s="1"/>
  <c r="A233" s="1"/>
  <c r="A234" s="1"/>
  <c r="A235" s="1"/>
  <c r="A236" s="1"/>
  <c r="A237" s="1"/>
  <c r="A238" s="1"/>
  <c r="A239" s="1"/>
  <c r="A240" s="1"/>
  <c r="A241" s="1"/>
  <c r="A242" s="1"/>
  <c r="A243" s="1"/>
  <c r="A244" s="1"/>
  <c r="A245" s="1"/>
  <c r="A246" s="1"/>
  <c r="A247" s="1"/>
  <c r="A248" s="1"/>
  <c r="A249" s="1"/>
  <c r="A250" s="1"/>
  <c r="A251" s="1"/>
  <c r="A252" s="1"/>
  <c r="A253" s="1"/>
  <c r="A254" s="1"/>
  <c r="A255" s="1"/>
  <c r="A256" s="1"/>
  <c r="A257" s="1"/>
  <c r="A258" s="1"/>
</calcChain>
</file>

<file path=xl/comments1.xml><?xml version="1.0" encoding="utf-8"?>
<comments xmlns="http://schemas.openxmlformats.org/spreadsheetml/2006/main">
  <authors>
    <author>hp</author>
  </authors>
  <commentList>
    <comment ref="R170" authorId="0">
      <text>
        <r>
          <rPr>
            <sz val="9"/>
            <color indexed="81"/>
            <rFont val="Tahoma"/>
            <family val="2"/>
          </rPr>
          <t xml:space="preserve">MOBIL PRODUCING USED </t>
        </r>
        <r>
          <rPr>
            <sz val="8"/>
            <color indexed="81"/>
            <rFont val="Tahoma"/>
            <family val="2"/>
          </rPr>
          <t>6 DECIMAL PLACES INSTEAD OF 4 DECIMAL PLACES TO ARRIVED AT 98.082273 INSTEAD OF 98.0823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hp</author>
  </authors>
  <commentList>
    <comment ref="R250" authorId="0">
      <text>
        <r>
          <rPr>
            <sz val="9"/>
            <color indexed="81"/>
            <rFont val="Tahoma"/>
            <family val="2"/>
          </rPr>
          <t xml:space="preserve">MOBIL PRODUCING USED </t>
        </r>
        <r>
          <rPr>
            <sz val="8"/>
            <color indexed="81"/>
            <rFont val="Tahoma"/>
            <family val="2"/>
          </rPr>
          <t>6 DECIMAL PLACES INSTEAD OF 4 DECIMAL PLACES TO ARRIVED AT 98.082273 INSTEAD OF 98.0823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<sst xmlns="http://schemas.openxmlformats.org/spreadsheetml/2006/main" count="6658" uniqueCount="1116">
  <si>
    <t>ROBINSON INTERNATIONAL ENERGY LIMITED</t>
  </si>
  <si>
    <t>S/N</t>
  </si>
  <si>
    <t>REF NO</t>
  </si>
  <si>
    <t>CCI NO.</t>
  </si>
  <si>
    <t>CCI DATE</t>
  </si>
  <si>
    <t>NXP NO</t>
  </si>
  <si>
    <t>NXP ISSUING BANK</t>
  </si>
  <si>
    <t>EXPORTER NAME</t>
  </si>
  <si>
    <t>CRUDE OIL TYPE</t>
  </si>
  <si>
    <t>HS CODE</t>
  </si>
  <si>
    <t>BILL OF LADING DATE</t>
  </si>
  <si>
    <t>VESSEL</t>
  </si>
  <si>
    <t>TERMINAL</t>
  </si>
  <si>
    <t>DESTINATION</t>
  </si>
  <si>
    <t>POINT OF EXIT</t>
  </si>
  <si>
    <t>QUANTITY IN BARREL</t>
  </si>
  <si>
    <t>FOB Value ($)</t>
  </si>
  <si>
    <t>FOB CURRENCY (CCY)</t>
  </si>
  <si>
    <t>PRICE PER BARREL</t>
  </si>
  <si>
    <t>REPATRIATION DUE DATE</t>
  </si>
  <si>
    <t>DESIGNATED BANK</t>
  </si>
  <si>
    <t>NESS FEE PAYABLE  ($)</t>
  </si>
  <si>
    <t>EXCHANGE RATE APPLIED BY PIA</t>
  </si>
  <si>
    <t>NESS FEE PAYABLE (NAIRA)</t>
  </si>
  <si>
    <t>NESS FEE PAID (NAIRA)</t>
  </si>
  <si>
    <t>RECEIPT DATE</t>
  </si>
  <si>
    <t>RECEIPT NO</t>
  </si>
  <si>
    <t>CITI BANK</t>
  </si>
  <si>
    <t>ADDAX PETROLEUM</t>
  </si>
  <si>
    <t>ANTAN BLEND CRUDE OIL</t>
  </si>
  <si>
    <t>ANTAN</t>
  </si>
  <si>
    <t>SOUTH AFRICA</t>
  </si>
  <si>
    <t>C182</t>
  </si>
  <si>
    <t>STANDARD CHARTERED BANK</t>
  </si>
  <si>
    <t>MOBIL PRODUCING</t>
  </si>
  <si>
    <t>YOHO BLEND CRUDE OIL</t>
  </si>
  <si>
    <t>YOHO</t>
  </si>
  <si>
    <t>USA</t>
  </si>
  <si>
    <t>UBA</t>
  </si>
  <si>
    <t>SKYE BANK</t>
  </si>
  <si>
    <t>MONI PULO</t>
  </si>
  <si>
    <t>GERMANY</t>
  </si>
  <si>
    <t>WILHELMSHAVEN</t>
  </si>
  <si>
    <t>CBN</t>
  </si>
  <si>
    <t>NNPC</t>
  </si>
  <si>
    <t>OKONO BLEND CRUDE OIL</t>
  </si>
  <si>
    <t>OKONO</t>
  </si>
  <si>
    <t>AGIP ENERGY</t>
  </si>
  <si>
    <t>BRASS LIGHT CRUDE OIL</t>
  </si>
  <si>
    <t>BRASS</t>
  </si>
  <si>
    <t>NETHERLANDS</t>
  </si>
  <si>
    <t>ROTTERDAM</t>
  </si>
  <si>
    <t>ZENITH BANK</t>
  </si>
  <si>
    <t>NIGERIAN AGIP</t>
  </si>
  <si>
    <t>PORTUGAL</t>
  </si>
  <si>
    <t>LEIXOES</t>
  </si>
  <si>
    <t>CAMEROON</t>
  </si>
  <si>
    <t>CAP LIMBOH</t>
  </si>
  <si>
    <t>OYO BLEND CRUDE OIL</t>
  </si>
  <si>
    <t>OYO</t>
  </si>
  <si>
    <t>ITALY</t>
  </si>
  <si>
    <t>GENOVA</t>
  </si>
  <si>
    <t>DELTA HARMONY</t>
  </si>
  <si>
    <t>SEAPACIS</t>
  </si>
  <si>
    <t>TRIESTE</t>
  </si>
  <si>
    <t>PHILLIPS OIL</t>
  </si>
  <si>
    <t>PHILADELPHIA</t>
  </si>
  <si>
    <t>BRAZIL</t>
  </si>
  <si>
    <t>ONE OR MORE SAFE PORTS, BRAZIL</t>
  </si>
  <si>
    <t>INDIA</t>
  </si>
  <si>
    <t>ONE OR MORE SAFE PORTS, INDIA</t>
  </si>
  <si>
    <t>SOUNION</t>
  </si>
  <si>
    <t>NOT YET ISSUED</t>
  </si>
  <si>
    <t>TEIDE SPIRIT</t>
  </si>
  <si>
    <t>SPAIN</t>
  </si>
  <si>
    <t>TENERIFE</t>
  </si>
  <si>
    <t>ROTTERDAM FOR ORDERS</t>
  </si>
  <si>
    <t>GHANA</t>
  </si>
  <si>
    <t>FRANCE</t>
  </si>
  <si>
    <t>SEAVOYAGER</t>
  </si>
  <si>
    <t>UNITED KINGDOM</t>
  </si>
  <si>
    <t>TAIWAN</t>
  </si>
  <si>
    <t>ALLIED ENERGY</t>
  </si>
  <si>
    <t xml:space="preserve">ROTTERDAM </t>
  </si>
  <si>
    <t>FIRST BANK</t>
  </si>
  <si>
    <t>ARIADNI</t>
  </si>
  <si>
    <t>SINES</t>
  </si>
  <si>
    <t>MIDWESTERN OIL</t>
  </si>
  <si>
    <t>ROMANTIC</t>
  </si>
  <si>
    <t>PHAETHON</t>
  </si>
  <si>
    <t>AUSTRALIA</t>
  </si>
  <si>
    <t>OMSP(S) AUSTRALIA</t>
  </si>
  <si>
    <t>ADDAX PET.</t>
  </si>
  <si>
    <t>FINNART</t>
  </si>
  <si>
    <t>AUTHENTIC</t>
  </si>
  <si>
    <t>WILHELMSHAVEN FOR ORDERS</t>
  </si>
  <si>
    <t>NIPPON PRINCESS</t>
  </si>
  <si>
    <t>PLATFORM PETROLEUM</t>
  </si>
  <si>
    <t>MIDWESTERN OIL &amp; GAS</t>
  </si>
  <si>
    <t>SESTREA</t>
  </si>
  <si>
    <t>BELMAR</t>
  </si>
  <si>
    <t>CHINA</t>
  </si>
  <si>
    <t>CAPE BOWEN</t>
  </si>
  <si>
    <t>ABOADZE</t>
  </si>
  <si>
    <t>ONE OR MORE SAFE PORT(S), THAILAND</t>
  </si>
  <si>
    <t>STAVANGER BLOSSOM</t>
  </si>
  <si>
    <t>HUELVA</t>
  </si>
  <si>
    <t>SKS SINNI</t>
  </si>
  <si>
    <t>DURBAN FOR ORDERS</t>
  </si>
  <si>
    <t>LE HAVRE</t>
  </si>
  <si>
    <t>GEORGE S</t>
  </si>
  <si>
    <t>SKS SATILLA</t>
  </si>
  <si>
    <t>AEGEAN HORIZON</t>
  </si>
  <si>
    <t>SINGAPORE</t>
  </si>
  <si>
    <t>SINGAPORE FOR ORDERS</t>
  </si>
  <si>
    <t>PSERIMOS</t>
  </si>
  <si>
    <t>DENMARK</t>
  </si>
  <si>
    <t>KALUNDBORG</t>
  </si>
  <si>
    <t>CENTRAL BANK OF NIGERIA</t>
  </si>
  <si>
    <t>REEF</t>
  </si>
  <si>
    <t>CITI BANK OF NIG</t>
  </si>
  <si>
    <t>MONTESPERANZA</t>
  </si>
  <si>
    <t>ASTRO PERSEUS</t>
  </si>
  <si>
    <t>BRASS 257</t>
  </si>
  <si>
    <t>CAMEROUN</t>
  </si>
  <si>
    <t>BRASS 266</t>
  </si>
  <si>
    <t>TIANLONG SPIRIT</t>
  </si>
  <si>
    <t>BLANK</t>
  </si>
  <si>
    <t>PINK</t>
  </si>
  <si>
    <t>SHENLONG SPIRIT</t>
  </si>
  <si>
    <t>GUARANTY TRUST BANK</t>
  </si>
  <si>
    <t>FOS</t>
  </si>
  <si>
    <t>MARE AEGEUM</t>
  </si>
  <si>
    <t>BRASS BLEND CRUDE OIL</t>
  </si>
  <si>
    <t xml:space="preserve">BRASS </t>
  </si>
  <si>
    <t>TRANMERE FOR ORDERS</t>
  </si>
  <si>
    <t>BRASS 302</t>
  </si>
  <si>
    <t>201302050001</t>
  </si>
  <si>
    <t>US ATLANTIC COAST FOR ORDERS</t>
  </si>
  <si>
    <t>HUELVA SPIRIT</t>
  </si>
  <si>
    <t>MOUNT FUJI</t>
  </si>
  <si>
    <t>THAILAND</t>
  </si>
  <si>
    <t>GENMAR KARA G</t>
  </si>
  <si>
    <t>MATALA</t>
  </si>
  <si>
    <t>GTB</t>
  </si>
  <si>
    <t>TEMA</t>
  </si>
  <si>
    <t>ELENI</t>
  </si>
  <si>
    <t>BRASS 340</t>
  </si>
  <si>
    <t>ALMI EXPLORER</t>
  </si>
  <si>
    <t>ALGECIRAS</t>
  </si>
  <si>
    <t>STANBIC IBTC</t>
  </si>
  <si>
    <t>ATLANTIC ENERGY</t>
  </si>
  <si>
    <t>COSMIC</t>
  </si>
  <si>
    <t>NORDIC MISTRAL</t>
  </si>
  <si>
    <t>BRASS 352</t>
  </si>
  <si>
    <t xml:space="preserve">STENA PRESIDENT </t>
  </si>
  <si>
    <t>NORDIC FREEDOM</t>
  </si>
  <si>
    <t xml:space="preserve">STANDARD CHARTERED BANK </t>
  </si>
  <si>
    <t xml:space="preserve">ORIENTAL ENERGY </t>
  </si>
  <si>
    <t>EBOK BLEND CRUDE OIL</t>
  </si>
  <si>
    <t>EBOK</t>
  </si>
  <si>
    <t>BLUE SKY</t>
  </si>
  <si>
    <t>GENOA</t>
  </si>
  <si>
    <t>STANDARD CHARTERED</t>
  </si>
  <si>
    <t>CAP JEAN</t>
  </si>
  <si>
    <t>EVGENIA I</t>
  </si>
  <si>
    <t>TETNEY</t>
  </si>
  <si>
    <t>MINERVA DOXA</t>
  </si>
  <si>
    <t>BRASS 390</t>
  </si>
  <si>
    <t>201300010380</t>
  </si>
  <si>
    <t>ENERGY SKIER</t>
  </si>
  <si>
    <t>SKS SALUDA</t>
  </si>
  <si>
    <t>VILAMOURA</t>
  </si>
  <si>
    <t>TOLEDO SPIRIT</t>
  </si>
  <si>
    <t>SAVONA</t>
  </si>
  <si>
    <t>INTENTION KALUNDBORG</t>
  </si>
  <si>
    <t>YOHO 086</t>
  </si>
  <si>
    <t>BRASS 391</t>
  </si>
  <si>
    <t>BRASS 392</t>
  </si>
  <si>
    <t>BRASS 398</t>
  </si>
  <si>
    <t>201300010450</t>
  </si>
  <si>
    <t>201301010039</t>
  </si>
  <si>
    <t>201301010040</t>
  </si>
  <si>
    <t>201301010041</t>
  </si>
  <si>
    <t>201300010319</t>
  </si>
  <si>
    <t>201300010320</t>
  </si>
  <si>
    <t>201300020021</t>
  </si>
  <si>
    <t>STERLING BANK</t>
  </si>
  <si>
    <t>FOUR SMILE</t>
  </si>
  <si>
    <t>MARAN CAPRICORN</t>
  </si>
  <si>
    <t>PATROCLUS</t>
  </si>
  <si>
    <t>SONANGOL CABINDA</t>
  </si>
  <si>
    <t>TURKEY</t>
  </si>
  <si>
    <t>IZMIT/TUTUNCIFTLIK REFINERY</t>
  </si>
  <si>
    <t>ONE OR MORE SAFE PORTS, TAIWAN</t>
  </si>
  <si>
    <t>ONE OR MORE SAFE PORTS, HUELVA</t>
  </si>
  <si>
    <t>QUILIANO (ITALY) FOR ORDERS</t>
  </si>
  <si>
    <t xml:space="preserve">KALUNDBORG </t>
  </si>
  <si>
    <t>BRASS 399</t>
  </si>
  <si>
    <t>BRASS 400</t>
  </si>
  <si>
    <t>BRASS 401</t>
  </si>
  <si>
    <t>BRASS 402</t>
  </si>
  <si>
    <t>BRASS 403</t>
  </si>
  <si>
    <t>BRASS 404</t>
  </si>
  <si>
    <t>BRASS 405</t>
  </si>
  <si>
    <t>BRASS 409</t>
  </si>
  <si>
    <t>BRASS 410</t>
  </si>
  <si>
    <t>BRASS 411</t>
  </si>
  <si>
    <t>BRASS 412</t>
  </si>
  <si>
    <t>BRASS 413</t>
  </si>
  <si>
    <t>ANTAN 088</t>
  </si>
  <si>
    <t>YOHO 089</t>
  </si>
  <si>
    <t>201300010493</t>
  </si>
  <si>
    <t>201300010531</t>
  </si>
  <si>
    <t>201300010349</t>
  </si>
  <si>
    <t>201300010350</t>
  </si>
  <si>
    <t>201301010045</t>
  </si>
  <si>
    <t>201301010046</t>
  </si>
  <si>
    <t>20139030002</t>
  </si>
  <si>
    <t>00201300010370</t>
  </si>
  <si>
    <t>00201300010398</t>
  </si>
  <si>
    <t>201300010399</t>
  </si>
  <si>
    <t>201300010400</t>
  </si>
  <si>
    <t>ITHAKI</t>
  </si>
  <si>
    <t>CAP ROMUALD</t>
  </si>
  <si>
    <t>COSMIC JEWEL</t>
  </si>
  <si>
    <t>ASTRO ARCTURUS</t>
  </si>
  <si>
    <t>EXPLORER</t>
  </si>
  <si>
    <t>EAGLE SAN ANTONIO</t>
  </si>
  <si>
    <t>MAP TA PHUT</t>
  </si>
  <si>
    <t>ONE OR MORE SAFE PORT(S), US GULF COAST</t>
  </si>
  <si>
    <t>BRASS 415</t>
  </si>
  <si>
    <t>BRASS 416</t>
  </si>
  <si>
    <t>BRASS 417</t>
  </si>
  <si>
    <t>BRASS 418</t>
  </si>
  <si>
    <t>BRASS 419</t>
  </si>
  <si>
    <t>BRASS 420</t>
  </si>
  <si>
    <t>BRASS 421</t>
  </si>
  <si>
    <t>BRASS 422</t>
  </si>
  <si>
    <t>BRASS 423</t>
  </si>
  <si>
    <t>BRASS 424</t>
  </si>
  <si>
    <t>BRASS 425</t>
  </si>
  <si>
    <t>BRASS 426</t>
  </si>
  <si>
    <t>OKONO 067</t>
  </si>
  <si>
    <t>YOHO 091</t>
  </si>
  <si>
    <t>EBOK 010</t>
  </si>
  <si>
    <t>EBOK 011</t>
  </si>
  <si>
    <t>EBOK 012</t>
  </si>
  <si>
    <t>ANTAN 089</t>
  </si>
  <si>
    <t>ADDAX ANTAN 031</t>
  </si>
  <si>
    <t>ADDAX ANTAN 030</t>
  </si>
  <si>
    <t>201400010022</t>
  </si>
  <si>
    <t>ORIENTAL EBOK 010</t>
  </si>
  <si>
    <t>201400010033</t>
  </si>
  <si>
    <t>201400010034</t>
  </si>
  <si>
    <t>MOBIL YOHO 035</t>
  </si>
  <si>
    <t>ORIENTAL EBOK 011</t>
  </si>
  <si>
    <t>ORIENTAL EBOK 012</t>
  </si>
  <si>
    <t>201400010031</t>
  </si>
  <si>
    <t>MOBIL YOHO 036</t>
  </si>
  <si>
    <t>NNPC YOHO 056</t>
  </si>
  <si>
    <t>NNPC ANTAN 041</t>
  </si>
  <si>
    <t>NNPC ANTAN 042</t>
  </si>
  <si>
    <t>NNPC OKONO 054</t>
  </si>
  <si>
    <t>NNPC BRASS 140</t>
  </si>
  <si>
    <t>201300010582</t>
  </si>
  <si>
    <t>40412109C48/226</t>
  </si>
  <si>
    <t>40412111C19/16A</t>
  </si>
  <si>
    <t>40412111C19/16B</t>
  </si>
  <si>
    <t>201400020001</t>
  </si>
  <si>
    <t>201401010048</t>
  </si>
  <si>
    <t>201401010049</t>
  </si>
  <si>
    <t>201409030001</t>
  </si>
  <si>
    <t>201400010003</t>
  </si>
  <si>
    <t>40412115C38/62</t>
  </si>
  <si>
    <t>201400010008</t>
  </si>
  <si>
    <t>40412105C13/53</t>
  </si>
  <si>
    <t>201400020002</t>
  </si>
  <si>
    <t>CENTRAL BANK</t>
  </si>
  <si>
    <t>ORIENTAL ENERGY</t>
  </si>
  <si>
    <t>PRISCO MIZAR</t>
  </si>
  <si>
    <t>PRINCIMAR LOYALTY</t>
  </si>
  <si>
    <t>AFRODITI</t>
  </si>
  <si>
    <t>SC SARA</t>
  </si>
  <si>
    <t>GRENA</t>
  </si>
  <si>
    <t>EAGLE SAN DIEGO</t>
  </si>
  <si>
    <t>DEMARK</t>
  </si>
  <si>
    <t>SWEDEN</t>
  </si>
  <si>
    <t>RELIANCE TERMINAL, SIKKA PORT</t>
  </si>
  <si>
    <t>DONGES</t>
  </si>
  <si>
    <t>GOTHENBURG</t>
  </si>
  <si>
    <t>ONE OR MORE SAFE PORT(S)</t>
  </si>
  <si>
    <t>BRASS 429</t>
  </si>
  <si>
    <t>BRASS 430</t>
  </si>
  <si>
    <t>BRASS 431</t>
  </si>
  <si>
    <t>BRASS 432</t>
  </si>
  <si>
    <t>BRASS 433</t>
  </si>
  <si>
    <t>BRASS 434</t>
  </si>
  <si>
    <t>BRASS 435</t>
  </si>
  <si>
    <t>BRASS 436</t>
  </si>
  <si>
    <t>YOHO 093</t>
  </si>
  <si>
    <t>YOHO 094</t>
  </si>
  <si>
    <t>ANTAN 091</t>
  </si>
  <si>
    <t>ANTAN 092</t>
  </si>
  <si>
    <t>OKONO 069</t>
  </si>
  <si>
    <t>OYO 012</t>
  </si>
  <si>
    <t>EBOK 013</t>
  </si>
  <si>
    <t>ANTAN 093</t>
  </si>
  <si>
    <t>201400010066</t>
  </si>
  <si>
    <t>40412116C54/4D</t>
  </si>
  <si>
    <t>ENERGY BRASS 028</t>
  </si>
  <si>
    <t>PLATFORM BRASS 083</t>
  </si>
  <si>
    <t>PLATFORM BRASS 084</t>
  </si>
  <si>
    <t>PLATFORM BRASS 085</t>
  </si>
  <si>
    <t>PLATFORM BRASS 086</t>
  </si>
  <si>
    <t>PLATFORM BRASS 087</t>
  </si>
  <si>
    <t>PLATFORM BRASS 088</t>
  </si>
  <si>
    <t>AGIP BRASS 060</t>
  </si>
  <si>
    <t>ENERGY BRASS 033</t>
  </si>
  <si>
    <t>PLATFORM BRASS 089</t>
  </si>
  <si>
    <t>PLATFORM BRASS 090</t>
  </si>
  <si>
    <t>PLATFORM BRASS 091</t>
  </si>
  <si>
    <t>AGIP BRASS 062</t>
  </si>
  <si>
    <t>AGIP BRASS 063</t>
  </si>
  <si>
    <t>ENERGY OKONO 008</t>
  </si>
  <si>
    <t>AGIP BRASS 064</t>
  </si>
  <si>
    <t>AGIP BRASS 065</t>
  </si>
  <si>
    <t>ENERGY BRASS 034</t>
  </si>
  <si>
    <t>ORIENTAL EBOK 013</t>
  </si>
  <si>
    <t>NNPC BRASS 122</t>
  </si>
  <si>
    <t>201400010064</t>
  </si>
  <si>
    <t>201302050516</t>
  </si>
  <si>
    <t>201302050515</t>
  </si>
  <si>
    <t>BRASS 437</t>
  </si>
  <si>
    <t>201400010025</t>
  </si>
  <si>
    <t>AFRA HAWTHORN</t>
  </si>
  <si>
    <t>PORTLAND, MAINE</t>
  </si>
  <si>
    <t>BRASS 438</t>
  </si>
  <si>
    <t>201401010058</t>
  </si>
  <si>
    <t>BRASS 439</t>
  </si>
  <si>
    <t>201401010059</t>
  </si>
  <si>
    <t>BRASS 440</t>
  </si>
  <si>
    <t>20149030002</t>
  </si>
  <si>
    <t>BRASS 441</t>
  </si>
  <si>
    <t>BRASS 442</t>
  </si>
  <si>
    <t>BRASS 443</t>
  </si>
  <si>
    <t>OKONO 070</t>
  </si>
  <si>
    <t>NNPC OKONO 055</t>
  </si>
  <si>
    <t>41301115C40/34</t>
  </si>
  <si>
    <t>MAERSK HEIWA</t>
  </si>
  <si>
    <t>YOHO 095</t>
  </si>
  <si>
    <t>NNPC YOHO 057</t>
  </si>
  <si>
    <t>41301109C48/240</t>
  </si>
  <si>
    <t>PHOENIX VANGUARD</t>
  </si>
  <si>
    <t>EBOK 014</t>
  </si>
  <si>
    <t>ORIENTAL EBOK 014</t>
  </si>
  <si>
    <t>201400010091</t>
  </si>
  <si>
    <t>PHOENIX STRENGTH</t>
  </si>
  <si>
    <t>CORPUS CHRISTI</t>
  </si>
  <si>
    <t>BRASS 444</t>
  </si>
  <si>
    <t>HS MEDEA</t>
  </si>
  <si>
    <t>ANTAN 094</t>
  </si>
  <si>
    <t>NNPC ANTAN 043</t>
  </si>
  <si>
    <t>41301111C39/12A</t>
  </si>
  <si>
    <t>DELTA TOLMI</t>
  </si>
  <si>
    <t>ANTAN 095</t>
  </si>
  <si>
    <t>NNPC ANTAN 044</t>
  </si>
  <si>
    <t>41301111C39/12B</t>
  </si>
  <si>
    <t>BRASS 445</t>
  </si>
  <si>
    <t>BRASS 446</t>
  </si>
  <si>
    <t>NORDIC ZENITH</t>
  </si>
  <si>
    <t>LAVERA</t>
  </si>
  <si>
    <t>BRASS 447</t>
  </si>
  <si>
    <t>BRASS 448</t>
  </si>
  <si>
    <t>YOHO 096</t>
  </si>
  <si>
    <t>FRONT KATHRINE</t>
  </si>
  <si>
    <t>EBOK 015</t>
  </si>
  <si>
    <t>OKONO 071</t>
  </si>
  <si>
    <t>NNPC OKONO 056</t>
  </si>
  <si>
    <t>41301115C38/65</t>
  </si>
  <si>
    <t>NORDIC APOLLO</t>
  </si>
  <si>
    <t>FOS, LAVERA</t>
  </si>
  <si>
    <t>201400010132</t>
  </si>
  <si>
    <t>AGIP BRASS 061</t>
  </si>
  <si>
    <t>Originally submitted as NXP no:201300010377 but was revised to NXP no:201300010327 by Citi Bank PLC</t>
  </si>
  <si>
    <t>MIDWESTERN BRASS 035</t>
  </si>
  <si>
    <t>MIDWESTERN BRASS 036</t>
  </si>
  <si>
    <t>ALLIED OYO 010</t>
  </si>
  <si>
    <t>ORIENTAL EBOK 015</t>
  </si>
  <si>
    <t>ADDAX ANTAN 032</t>
  </si>
  <si>
    <t>ADDAX BRASS 010</t>
  </si>
  <si>
    <t>ADDAX ANTAN 033</t>
  </si>
  <si>
    <t>PLATFORM BRASS 092</t>
  </si>
  <si>
    <t>PLATFORM BRASS 093</t>
  </si>
  <si>
    <t>PLATFORM BRASS 094</t>
  </si>
  <si>
    <t>201302050472</t>
  </si>
  <si>
    <t>201302050473</t>
  </si>
  <si>
    <t>MIDWESTERN BRASS 033</t>
  </si>
  <si>
    <t>MIDWESTERN BRASS 034</t>
  </si>
  <si>
    <t>MIDWESTERN BRASS 021</t>
  </si>
  <si>
    <t>MIDWESTERN BRASS 022</t>
  </si>
  <si>
    <t>MIDWESTERN BRASS 026</t>
  </si>
  <si>
    <t>MOBIL YOHO 037</t>
  </si>
  <si>
    <t>NNPC ANTAN 045</t>
  </si>
  <si>
    <t>NNPC ANTAN 046</t>
  </si>
  <si>
    <t>NNPC YOHO 058</t>
  </si>
  <si>
    <t>NNPC OKONO 057</t>
  </si>
  <si>
    <t>NNPC YOHO 059</t>
  </si>
  <si>
    <t>201400020004</t>
  </si>
  <si>
    <t>201400010057</t>
  </si>
  <si>
    <t>00201400010064</t>
  </si>
  <si>
    <t>201400010071</t>
  </si>
  <si>
    <t>42002111C60/14A</t>
  </si>
  <si>
    <t>42002111C60/14B</t>
  </si>
  <si>
    <t>42002109C53/6</t>
  </si>
  <si>
    <t>201400010138</t>
  </si>
  <si>
    <t>201400010184</t>
  </si>
  <si>
    <t>42002115C5/10</t>
  </si>
  <si>
    <t>201400020006</t>
  </si>
  <si>
    <t>42002109C48/253</t>
  </si>
  <si>
    <t>ISKMATI SPIRIT</t>
  </si>
  <si>
    <t>CAPE BATA</t>
  </si>
  <si>
    <t>PRINCIMAR PRIDE</t>
  </si>
  <si>
    <t>FLEVES</t>
  </si>
  <si>
    <t>ONE OR MORE SAFE PORTS, THAILAND</t>
  </si>
  <si>
    <t>ALGECIRAS FOR ORDERS</t>
  </si>
  <si>
    <t>OMSP, INDIA</t>
  </si>
  <si>
    <t>BRASS 449</t>
  </si>
  <si>
    <t>BRASS 450</t>
  </si>
  <si>
    <t>BRASS 451</t>
  </si>
  <si>
    <t>BRASS 452</t>
  </si>
  <si>
    <t>BRASS 453</t>
  </si>
  <si>
    <t>BRASS 454</t>
  </si>
  <si>
    <t>BRASS 455</t>
  </si>
  <si>
    <t>BRASS 456</t>
  </si>
  <si>
    <t>ANTAN 096</t>
  </si>
  <si>
    <t>ANTAN 097</t>
  </si>
  <si>
    <t>ANTAN 098</t>
  </si>
  <si>
    <t>YOHO 097</t>
  </si>
  <si>
    <t>EBOK 016</t>
  </si>
  <si>
    <t>OKONO 072</t>
  </si>
  <si>
    <t>YOHO 098</t>
  </si>
  <si>
    <t>NEFT STATEMENT</t>
  </si>
  <si>
    <t>201400010122</t>
  </si>
  <si>
    <t>201400010115</t>
  </si>
  <si>
    <t>201402050034</t>
  </si>
  <si>
    <t>201402050081</t>
  </si>
  <si>
    <t>MIDWESTERN BRASS 037</t>
  </si>
  <si>
    <t>MIDWESTERN BRASS 038</t>
  </si>
  <si>
    <t>MOBIL YOHO 038</t>
  </si>
  <si>
    <t>N/A</t>
  </si>
  <si>
    <t>PLATFORM BRASS 095</t>
  </si>
  <si>
    <t>PLATFORM BRASS 096</t>
  </si>
  <si>
    <t>PLATFORM BRASS 097</t>
  </si>
  <si>
    <t>ORIENTAL EBOK 016</t>
  </si>
  <si>
    <t>41102105C7/78A</t>
  </si>
  <si>
    <t>41102105C7/78B</t>
  </si>
  <si>
    <t>41102105C7/78C</t>
  </si>
  <si>
    <t>41301105C38/66</t>
  </si>
  <si>
    <t>41301105C38/ 66</t>
  </si>
  <si>
    <t>NNPC BRASS 141</t>
  </si>
  <si>
    <t>NNPC BRASS 143</t>
  </si>
  <si>
    <t>NNPC BRASS 144</t>
  </si>
  <si>
    <t>NNPC BRASS 145</t>
  </si>
  <si>
    <t>201300010428</t>
  </si>
  <si>
    <t>20130001042 8</t>
  </si>
  <si>
    <t>ATLANTIC BRASS 005</t>
  </si>
  <si>
    <t>ATLANTIC BRASS 006</t>
  </si>
  <si>
    <t>NNPC BRASS 146</t>
  </si>
  <si>
    <t>NNPC BRASS 147</t>
  </si>
  <si>
    <t>NNPC OKONO 058</t>
  </si>
  <si>
    <t>NNPC BRASS 148</t>
  </si>
  <si>
    <t>NNPC BRASS 149</t>
  </si>
  <si>
    <t>NNPC BRASS 151</t>
  </si>
  <si>
    <t>201401010064</t>
  </si>
  <si>
    <t>201401010065</t>
  </si>
  <si>
    <t>201409030003</t>
  </si>
  <si>
    <t>AWAITING 4A</t>
  </si>
  <si>
    <t>42002105C7/65B</t>
  </si>
  <si>
    <t>42002105C7/65C</t>
  </si>
  <si>
    <t>41703115C40/39</t>
  </si>
  <si>
    <t>41703105C52/5A</t>
  </si>
  <si>
    <t>41703105C52/5B</t>
  </si>
  <si>
    <t>201400010251</t>
  </si>
  <si>
    <t>201400010150</t>
  </si>
  <si>
    <t>201400010133</t>
  </si>
  <si>
    <t>201401010066</t>
  </si>
  <si>
    <t>20149030004</t>
  </si>
  <si>
    <t>201400010131</t>
  </si>
  <si>
    <t>201400020008</t>
  </si>
  <si>
    <t>41703105C38/70</t>
  </si>
  <si>
    <t>BERGINA</t>
  </si>
  <si>
    <t>ONE OR MORE SAFE PORT(S) USGC</t>
  </si>
  <si>
    <t>BRASS 457</t>
  </si>
  <si>
    <t>BRASS 458</t>
  </si>
  <si>
    <t>BRASS 459</t>
  </si>
  <si>
    <t>BRASS 460</t>
  </si>
  <si>
    <t>BRASS 461</t>
  </si>
  <si>
    <t>BRASS 462</t>
  </si>
  <si>
    <t>BRASS 463</t>
  </si>
  <si>
    <t>BRASS 464</t>
  </si>
  <si>
    <t>BRASS 465</t>
  </si>
  <si>
    <t>BRASS 466</t>
  </si>
  <si>
    <t>BRASS 467</t>
  </si>
  <si>
    <t>BRASS 468</t>
  </si>
  <si>
    <t>BRASS 469</t>
  </si>
  <si>
    <t>BRASS 470</t>
  </si>
  <si>
    <t>BRASS 471</t>
  </si>
  <si>
    <t>BRASS 472</t>
  </si>
  <si>
    <t>BRASS 473</t>
  </si>
  <si>
    <t>BRASS 474</t>
  </si>
  <si>
    <t>ANTAN 099</t>
  </si>
  <si>
    <t>ANTAN 100</t>
  </si>
  <si>
    <t>EBOK 017</t>
  </si>
  <si>
    <t>OYO 013</t>
  </si>
  <si>
    <t>YOHO 099</t>
  </si>
  <si>
    <t>Shared 1(One) CCI with another Inspection on Ref no: Brass 445 on 23/02/14</t>
  </si>
  <si>
    <t>Shared 1(One) CCI with another Inspection on Ref no: Brass 444 on 20/02/14</t>
  </si>
  <si>
    <t>Issued with 1(One) CCI for these 2(Two) split inspections</t>
  </si>
  <si>
    <t>201400010165</t>
  </si>
  <si>
    <t>NXP originally advised as NXP no: 201400010148 in our April, 2014 Monthly Report but has been cancelled by Citibank Nig. Ltd as NXP no: 201400010165</t>
  </si>
  <si>
    <t>41703101C42/5C</t>
  </si>
  <si>
    <t>ORIENTAL EBOK 017</t>
  </si>
  <si>
    <t>ALLIED OYO 011</t>
  </si>
  <si>
    <t>ADDAX BRASS 011</t>
  </si>
  <si>
    <t>ADDAX ANTAN 034</t>
  </si>
  <si>
    <t>NNPC BRASS 150</t>
  </si>
  <si>
    <t>MOBIL YOHO 039</t>
  </si>
  <si>
    <t>201400010196</t>
  </si>
  <si>
    <t>201400010224</t>
  </si>
  <si>
    <t>201400010124</t>
  </si>
  <si>
    <t>PHILLIPS BRASS 038</t>
  </si>
  <si>
    <t>PHILLIPS BRASS 040</t>
  </si>
  <si>
    <t>PHILLIPS BRASS 041</t>
  </si>
  <si>
    <t>PHILLIPS BRASS 042</t>
  </si>
  <si>
    <t>NNPC OKONO 059</t>
  </si>
  <si>
    <t>NNPC BRASS 152</t>
  </si>
  <si>
    <t>NNPC BRASS 153</t>
  </si>
  <si>
    <t>NNPC BRASS 154</t>
  </si>
  <si>
    <t>NNPC BRASS 155</t>
  </si>
  <si>
    <t>NNPC YOHO 060</t>
  </si>
  <si>
    <t>NNPC ANTAN 047</t>
  </si>
  <si>
    <t>NNPC ANTAN 048</t>
  </si>
  <si>
    <t>NNPC OKONO 060</t>
  </si>
  <si>
    <t>NNPC BRASS 156</t>
  </si>
  <si>
    <t>41003115C38/71</t>
  </si>
  <si>
    <t>41404105C60/17A</t>
  </si>
  <si>
    <t>41404105C60/17B</t>
  </si>
  <si>
    <t>41404105C60/17C</t>
  </si>
  <si>
    <t>41404105C60/17D</t>
  </si>
  <si>
    <t>41703109C48/266</t>
  </si>
  <si>
    <t>41404111C62/7A</t>
  </si>
  <si>
    <t>41404111C62/7B</t>
  </si>
  <si>
    <t>201400010188</t>
  </si>
  <si>
    <t>201400010189</t>
  </si>
  <si>
    <t>201400010190</t>
  </si>
  <si>
    <t>201400010163</t>
  </si>
  <si>
    <t>201401010069</t>
  </si>
  <si>
    <t>201401010070</t>
  </si>
  <si>
    <t>20149030005</t>
  </si>
  <si>
    <t>41404115C38/75</t>
  </si>
  <si>
    <t>41404105C40/41</t>
  </si>
  <si>
    <t>CAPTAIN MICHAEL</t>
  </si>
  <si>
    <t>GREEN WARRIOR</t>
  </si>
  <si>
    <t>DELTA POSEIDON</t>
  </si>
  <si>
    <t>EUROVISION</t>
  </si>
  <si>
    <t>SOUTH SEA</t>
  </si>
  <si>
    <t>BERMUDA SPIRIT</t>
  </si>
  <si>
    <t>NETHERLSNDS</t>
  </si>
  <si>
    <t>OMSP(S), AUSTRALIA</t>
  </si>
  <si>
    <t>MUNDRA</t>
  </si>
  <si>
    <t>BRUNSBUETTEL, GERMANY FOR ORDERS</t>
  </si>
  <si>
    <t>OKONO 073</t>
  </si>
  <si>
    <t>OKONO 074</t>
  </si>
  <si>
    <t>OKONO 075</t>
  </si>
  <si>
    <t>BRASS 475</t>
  </si>
  <si>
    <t>BRASS 476</t>
  </si>
  <si>
    <t>BRASS 477</t>
  </si>
  <si>
    <t>BRASS 478</t>
  </si>
  <si>
    <t>BRASS 479</t>
  </si>
  <si>
    <t>BRASS 480</t>
  </si>
  <si>
    <t>BRASS 481</t>
  </si>
  <si>
    <t>BRASS 482</t>
  </si>
  <si>
    <t>BRASS 483</t>
  </si>
  <si>
    <t>BRASS 484</t>
  </si>
  <si>
    <t>BRASS 485</t>
  </si>
  <si>
    <t>BRASS 486</t>
  </si>
  <si>
    <t>BRASS 487</t>
  </si>
  <si>
    <t>EBOK 018</t>
  </si>
  <si>
    <t>YOHO 100</t>
  </si>
  <si>
    <t>ANTAN 101</t>
  </si>
  <si>
    <t>ANTAN 102</t>
  </si>
  <si>
    <t>201400010338</t>
  </si>
  <si>
    <t>201402050172</t>
  </si>
  <si>
    <t>201402050184</t>
  </si>
  <si>
    <t>MIDWESTERN BRASS 039</t>
  </si>
  <si>
    <t>MIDWESTERN BRASS 040</t>
  </si>
  <si>
    <t>PHILLIPS BRASS 037</t>
  </si>
  <si>
    <t>ORIENTAL EBOK 018</t>
  </si>
  <si>
    <t>201300010480</t>
  </si>
  <si>
    <t>PHILLIPS BRASS 039</t>
  </si>
  <si>
    <t>ADDAX ANTAN 035</t>
  </si>
  <si>
    <t>PLATFORM BRASS 098</t>
  </si>
  <si>
    <t>PLATFORM BRASS 099</t>
  </si>
  <si>
    <t>PLATFORM BRASS 100</t>
  </si>
  <si>
    <t>PLATFORM BRASS 101</t>
  </si>
  <si>
    <t>PLATFORM BRASS 102</t>
  </si>
  <si>
    <t>NNPC BRASS 157</t>
  </si>
  <si>
    <t>NNPC BRASS 158</t>
  </si>
  <si>
    <t>NNPC YOHO 061</t>
  </si>
  <si>
    <t>NNPC OKONO 061</t>
  </si>
  <si>
    <t>NNPC ANTAN 049</t>
  </si>
  <si>
    <t>NNPC ANTAN 050</t>
  </si>
  <si>
    <t>NNPC ANTAN 051</t>
  </si>
  <si>
    <t>201400020009</t>
  </si>
  <si>
    <t>201400010234</t>
  </si>
  <si>
    <t>201401010072</t>
  </si>
  <si>
    <t>201401010073</t>
  </si>
  <si>
    <t>41405105C38/78</t>
  </si>
  <si>
    <t>41405105C13/60</t>
  </si>
  <si>
    <t>41405109C48/286</t>
  </si>
  <si>
    <t>41405115C42/43</t>
  </si>
  <si>
    <t>201400010263</t>
  </si>
  <si>
    <t>201400010264</t>
  </si>
  <si>
    <t>201400010223</t>
  </si>
  <si>
    <t>00201400010224</t>
  </si>
  <si>
    <t>201401010075</t>
  </si>
  <si>
    <t>1405111C38/790A</t>
  </si>
  <si>
    <t>1405111C38/790B</t>
  </si>
  <si>
    <t>1405111C38/790C</t>
  </si>
  <si>
    <t>AWAITING 05</t>
  </si>
  <si>
    <t xml:space="preserve">PHILLPS OIL </t>
  </si>
  <si>
    <t>DONAT</t>
  </si>
  <si>
    <t>VALTAMED</t>
  </si>
  <si>
    <t>EVERGLADES</t>
  </si>
  <si>
    <t>DELTA MARINER</t>
  </si>
  <si>
    <t>NS BURGAS</t>
  </si>
  <si>
    <t>YOHO 101</t>
  </si>
  <si>
    <t>YOHO 102</t>
  </si>
  <si>
    <t>EBOK 019</t>
  </si>
  <si>
    <t>EBOK 020</t>
  </si>
  <si>
    <t>ANTAN 103</t>
  </si>
  <si>
    <t>ANTAN 104</t>
  </si>
  <si>
    <t>ANTAN 105</t>
  </si>
  <si>
    <t>ANTAN 106</t>
  </si>
  <si>
    <t>ANTAN 107</t>
  </si>
  <si>
    <t>BRASS 488</t>
  </si>
  <si>
    <t>BRASS 489</t>
  </si>
  <si>
    <t>BRASS 490</t>
  </si>
  <si>
    <t>BRASS 491</t>
  </si>
  <si>
    <t>BRASS 492</t>
  </si>
  <si>
    <t>BRASS 493</t>
  </si>
  <si>
    <t>BRASS 494</t>
  </si>
  <si>
    <t>BRASS 495</t>
  </si>
  <si>
    <t>BRASS 496</t>
  </si>
  <si>
    <t>BRASS 497</t>
  </si>
  <si>
    <t>BRASS 498</t>
  </si>
  <si>
    <t>BRASS 499</t>
  </si>
  <si>
    <t>BRASS 500</t>
  </si>
  <si>
    <t>201400010413</t>
  </si>
  <si>
    <t>201400010414</t>
  </si>
  <si>
    <t>AGIP BRASS 067</t>
  </si>
  <si>
    <t>AGIP BRASS 068</t>
  </si>
  <si>
    <t>ENERGY BRASS 035</t>
  </si>
  <si>
    <t>ENERGY BRASS 036</t>
  </si>
  <si>
    <t>ENERGY BRASS 037</t>
  </si>
  <si>
    <t>ORIENTAL EBOK 019</t>
  </si>
  <si>
    <t>ORIENTAL EBOK 020</t>
  </si>
  <si>
    <t>PHILIPS BRASS 044</t>
  </si>
  <si>
    <t>PLATFORM BRASS 103</t>
  </si>
  <si>
    <t>PLATFORM BRASS 104</t>
  </si>
  <si>
    <t>PLATFORM BRASS 105</t>
  </si>
  <si>
    <t>PLATFORM BRASS 106</t>
  </si>
  <si>
    <t>PLATFORM BRASS 107</t>
  </si>
  <si>
    <t>PLATFORM BRASS 108</t>
  </si>
  <si>
    <t>PLATFORM BRASS 109</t>
  </si>
  <si>
    <t>ENERGY BRASS 038</t>
  </si>
  <si>
    <t>AGIP BRASS 070</t>
  </si>
  <si>
    <t>AGIP BRASS 072</t>
  </si>
  <si>
    <t>AGIP BRASS 073</t>
  </si>
  <si>
    <t>ENERGY BRASS 039</t>
  </si>
  <si>
    <t>MOBIL YOHO 040</t>
  </si>
  <si>
    <t>201400010279</t>
  </si>
  <si>
    <t>PHILLIPS BRASS 045</t>
  </si>
  <si>
    <t>NNPC BRASS 159</t>
  </si>
  <si>
    <t>NNPC BRASS 160</t>
  </si>
  <si>
    <t>NNPC BRASS 161</t>
  </si>
  <si>
    <t>NNPC BRASS 162</t>
  </si>
  <si>
    <t>NNPC BRASS 163</t>
  </si>
  <si>
    <t>NNPC BRASS 164</t>
  </si>
  <si>
    <t>NNPC BRASS 165</t>
  </si>
  <si>
    <t>NNPC YOHO 062</t>
  </si>
  <si>
    <t>NNPC OKONO 062</t>
  </si>
  <si>
    <t>NNPC BRASS 166</t>
  </si>
  <si>
    <t>NNPC BRASS 167</t>
  </si>
  <si>
    <t>NNPC ANTAN 052</t>
  </si>
  <si>
    <t>NNPC ANTAN 053</t>
  </si>
  <si>
    <t>40306105C12/4A</t>
  </si>
  <si>
    <t>40306105C12/4B</t>
  </si>
  <si>
    <t>40306105C12/4C</t>
  </si>
  <si>
    <t>40306105C12/4D</t>
  </si>
  <si>
    <t>40306105C12/4E</t>
  </si>
  <si>
    <t>40306105C12/4F</t>
  </si>
  <si>
    <t>40306105C12/4G</t>
  </si>
  <si>
    <t>1405109C48/291</t>
  </si>
  <si>
    <t>40306116C5/11</t>
  </si>
  <si>
    <t>40306105C2/11A</t>
  </si>
  <si>
    <t>40306105C2/11B</t>
  </si>
  <si>
    <t>40306111C17/12A</t>
  </si>
  <si>
    <t>40306111C17/12B</t>
  </si>
  <si>
    <t>201400010312</t>
  </si>
  <si>
    <t>201400010313</t>
  </si>
  <si>
    <t>201400010314</t>
  </si>
  <si>
    <t>201400010252</t>
  </si>
  <si>
    <t>201400020012</t>
  </si>
  <si>
    <t>201409030007</t>
  </si>
  <si>
    <t>SONANGOL PORTO AMBOIM</t>
  </si>
  <si>
    <t>RIDGEBURY CAPTAIN DROGIN</t>
  </si>
  <si>
    <t>DHT TARGET</t>
  </si>
  <si>
    <t>ALMI VOYAGER</t>
  </si>
  <si>
    <t>BROFJORDEN</t>
  </si>
  <si>
    <t>IMMINGHAN</t>
  </si>
  <si>
    <t>QUILIANO, ITALY FOR ORDERS</t>
  </si>
  <si>
    <t>BRASS 501</t>
  </si>
  <si>
    <t>BRASS 502</t>
  </si>
  <si>
    <t>BRASS 503</t>
  </si>
  <si>
    <t>BRASS 504</t>
  </si>
  <si>
    <t>BRASS 505</t>
  </si>
  <si>
    <t>BRASS 506</t>
  </si>
  <si>
    <t>BRASS 507</t>
  </si>
  <si>
    <t>BRASS 508</t>
  </si>
  <si>
    <t>BRASS 509</t>
  </si>
  <si>
    <t>BRASS 510</t>
  </si>
  <si>
    <t>BRASS 511</t>
  </si>
  <si>
    <t>BRASS 512</t>
  </si>
  <si>
    <t>BRASS 513</t>
  </si>
  <si>
    <t>BRASS 514</t>
  </si>
  <si>
    <t>BRASS 515</t>
  </si>
  <si>
    <t>BRASS 516</t>
  </si>
  <si>
    <t>BRASS 517</t>
  </si>
  <si>
    <t>BRASS 518</t>
  </si>
  <si>
    <t>BRASS 519</t>
  </si>
  <si>
    <t>YOHO 103</t>
  </si>
  <si>
    <t>YOHO 104</t>
  </si>
  <si>
    <t>YOHO 105</t>
  </si>
  <si>
    <t>OKONO 076</t>
  </si>
  <si>
    <t>EBOK 021</t>
  </si>
  <si>
    <t>ANTAN 108</t>
  </si>
  <si>
    <t>ANTAN 109</t>
  </si>
  <si>
    <t>201400010512</t>
  </si>
  <si>
    <t>1405109C48/ 291</t>
  </si>
  <si>
    <t>201400010321</t>
  </si>
  <si>
    <t>AGIP BRASS 069</t>
  </si>
  <si>
    <t>AGIP BRASS 071</t>
  </si>
  <si>
    <t>201401010078</t>
  </si>
  <si>
    <t>201401010079</t>
  </si>
  <si>
    <t>ORIENTAL EBOK 021</t>
  </si>
  <si>
    <t>201402050235</t>
  </si>
  <si>
    <t>MIDWESTERN BRASS 041</t>
  </si>
  <si>
    <t>PHILLIPS BRASS 046</t>
  </si>
  <si>
    <t>PHILLIPS BRASS 047</t>
  </si>
  <si>
    <t>20140205023 5</t>
  </si>
  <si>
    <t>201402050293</t>
  </si>
  <si>
    <t>MIDWESTERN BRASS 042</t>
  </si>
  <si>
    <t>AGIP BRASS 074</t>
  </si>
  <si>
    <t>ENERGY BRASS 040</t>
  </si>
  <si>
    <t>AGIP BRASS 075</t>
  </si>
  <si>
    <t>201400010084</t>
  </si>
  <si>
    <t>NXP originally advised as NXP no: 201400010088 in our March, 2014 Monthly Report but has been cancelled by Citibank Nig. Ltd as NXP no: 201400010084</t>
  </si>
  <si>
    <t>PHILLIPS BRASS 043</t>
  </si>
  <si>
    <t>PLATFORM BRASS 110</t>
  </si>
  <si>
    <t>PLATFORM BRASS 111</t>
  </si>
  <si>
    <t>PLATFORM BRASS 112</t>
  </si>
  <si>
    <t>00201400010312</t>
  </si>
  <si>
    <t>AGIP BRASS 066</t>
  </si>
  <si>
    <t>NNPC YOHO 063</t>
  </si>
  <si>
    <t>NNPC OKONO 063</t>
  </si>
  <si>
    <t>NNPC BRASS 168</t>
  </si>
  <si>
    <t>NNPC YOHO 064</t>
  </si>
  <si>
    <t>NNPC BRASS 169</t>
  </si>
  <si>
    <t>NNPC BRASS 170</t>
  </si>
  <si>
    <t>201400010285</t>
  </si>
  <si>
    <t>201401010080</t>
  </si>
  <si>
    <t>40306109C48/301</t>
  </si>
  <si>
    <t>40306115C38/81</t>
  </si>
  <si>
    <t>41607105C38/82</t>
  </si>
  <si>
    <t>201400010541</t>
  </si>
  <si>
    <t>41607109C48/308</t>
  </si>
  <si>
    <t>201400010309</t>
  </si>
  <si>
    <t>41607105C38/84A</t>
  </si>
  <si>
    <t>41607105C38/84B</t>
  </si>
  <si>
    <t>AWAITING 03</t>
  </si>
  <si>
    <t xml:space="preserve">MIDWESTERN OIL </t>
  </si>
  <si>
    <t>RATNA SHRADHA</t>
  </si>
  <si>
    <t>AEGEAN DIGNITY</t>
  </si>
  <si>
    <t>KAROLOS</t>
  </si>
  <si>
    <t>SOPHIE SCHULTE</t>
  </si>
  <si>
    <t>ARION</t>
  </si>
  <si>
    <t>PRINCIMAR TRUTH</t>
  </si>
  <si>
    <t>ONE OR MORE SAFE PORT(S), CHINA</t>
  </si>
  <si>
    <t>FINNART UK FOR ORDERS</t>
  </si>
  <si>
    <t>BRASS 520</t>
  </si>
  <si>
    <t>BRASS 521</t>
  </si>
  <si>
    <t>BRASS 522</t>
  </si>
  <si>
    <t>YOHO 106</t>
  </si>
  <si>
    <t>OKONO 077</t>
  </si>
  <si>
    <t>BRASS 523</t>
  </si>
  <si>
    <t>EBOK 022</t>
  </si>
  <si>
    <t>BRASS 524</t>
  </si>
  <si>
    <t>BRASS 525</t>
  </si>
  <si>
    <t>BRASS 526</t>
  </si>
  <si>
    <t>BRASS 527</t>
  </si>
  <si>
    <t>BRASS 528</t>
  </si>
  <si>
    <t>BRASS 529</t>
  </si>
  <si>
    <t>BRASS 530</t>
  </si>
  <si>
    <t>BRASS 531</t>
  </si>
  <si>
    <t>YOHO 107</t>
  </si>
  <si>
    <t>OYO 014</t>
  </si>
  <si>
    <t>BRASS 532</t>
  </si>
  <si>
    <t>BRASS 533</t>
  </si>
  <si>
    <t>BRASS 534</t>
  </si>
  <si>
    <t>MOBIL YOHO 041</t>
  </si>
  <si>
    <t>ORIENTAL EBOK 022</t>
  </si>
  <si>
    <t>PLATFORM BRASS 113</t>
  </si>
  <si>
    <t>PLATFORM BRASS 114</t>
  </si>
  <si>
    <t>PLATFORM BRASS 115</t>
  </si>
  <si>
    <t>PLATFORM BRASS 116</t>
  </si>
  <si>
    <t>ADDAX ANTAN 036</t>
  </si>
  <si>
    <t>ADDAX BRASS 012</t>
  </si>
  <si>
    <t>NNPC BRASS 174</t>
  </si>
  <si>
    <t>NNPC BRASS 175</t>
  </si>
  <si>
    <t>NNPC BRASS 176</t>
  </si>
  <si>
    <t>201400020015</t>
  </si>
  <si>
    <t>41607105C79/1C</t>
  </si>
  <si>
    <t>41607105C79/1D</t>
  </si>
  <si>
    <t>41607105C79/1E</t>
  </si>
  <si>
    <t>20149030009</t>
  </si>
  <si>
    <t>AWIATING K</t>
  </si>
  <si>
    <t>MARAN CASSIOPEIA</t>
  </si>
  <si>
    <t>AEGEAN NAVIGATOR</t>
  </si>
  <si>
    <t>MONTE TOLEDO</t>
  </si>
  <si>
    <t>GEORGIOS</t>
  </si>
  <si>
    <t>YASA SOUTHERN CROSS</t>
  </si>
  <si>
    <t>FRONT ARIAKE</t>
  </si>
  <si>
    <t>MALAYSIA</t>
  </si>
  <si>
    <t>SPAIN FOR ORDERS</t>
  </si>
  <si>
    <t>ROTTERDAM THE NETHERLANDS FOR ORDERS</t>
  </si>
  <si>
    <t>PORTUGAL FOR ORDERS</t>
  </si>
  <si>
    <t>RELIANCE TERMINAL SIKKA PORT</t>
  </si>
  <si>
    <t>ANTAN 110</t>
  </si>
  <si>
    <t>ANTAN 111</t>
  </si>
  <si>
    <t>ANTAN 112</t>
  </si>
  <si>
    <t>ANTAN 113</t>
  </si>
  <si>
    <t>BRASS 535</t>
  </si>
  <si>
    <t>BRASS 536</t>
  </si>
  <si>
    <t>BRASS 537</t>
  </si>
  <si>
    <t>BRASS 538</t>
  </si>
  <si>
    <t>BRASS 539</t>
  </si>
  <si>
    <t>BRASS 540</t>
  </si>
  <si>
    <t>BRASS 541</t>
  </si>
  <si>
    <t>BRASS 542</t>
  </si>
  <si>
    <t>BRASS 543</t>
  </si>
  <si>
    <t>BRASS 544</t>
  </si>
  <si>
    <t>BRASS 545</t>
  </si>
  <si>
    <t>BRASS 546</t>
  </si>
  <si>
    <t>BRASS 547</t>
  </si>
  <si>
    <t>BRASS 548</t>
  </si>
  <si>
    <t>BRASS 549</t>
  </si>
  <si>
    <t>BRASS 550</t>
  </si>
  <si>
    <t>BRASS 551</t>
  </si>
  <si>
    <t>BRASS 552</t>
  </si>
  <si>
    <t>BRASS 553</t>
  </si>
  <si>
    <t>BRASS 554</t>
  </si>
  <si>
    <t>YOHO 108</t>
  </si>
  <si>
    <t>YOHO 109</t>
  </si>
  <si>
    <t>YOHO 110</t>
  </si>
  <si>
    <t>EBOK 023</t>
  </si>
  <si>
    <t>OKONO 078</t>
  </si>
  <si>
    <t>TOTAL LIFTED QTY WAS PREVIOUSLY REPORTED IN THE MONTH OF JUNE, 2014 AS 949,018 BBLS ON THE B/L  NO: ADX/359/ANT/487 WITH SERIAL NO: 085 BUT HAS BEEN RECALCULATED AS A RUSULT OF THE APPLICATION OF WRONG METER FACTOR AND AGREED BY ALL PARTIES TO BE 949,268 BBLS IN B/L NO: ADX/359/ANT/487 WITH SERIAL NO: 089</t>
  </si>
  <si>
    <t>201400010612</t>
  </si>
  <si>
    <t>ADDAX ANTAN 037</t>
  </si>
  <si>
    <t>ORIENTAL EBOK 023</t>
  </si>
  <si>
    <t>MOBIL YOHO 042</t>
  </si>
  <si>
    <t>ENERGY BRASS 041</t>
  </si>
  <si>
    <t>AGIP BRASS 076</t>
  </si>
  <si>
    <t>AGIP BRASS 077</t>
  </si>
  <si>
    <t>AGIP BRASS 078</t>
  </si>
  <si>
    <t>AGIP BRASS 079</t>
  </si>
  <si>
    <t>AGIP BRASS 080</t>
  </si>
  <si>
    <t>42808105C13/64</t>
  </si>
  <si>
    <t>42808105C40/50</t>
  </si>
  <si>
    <t>42808111C18/20A</t>
  </si>
  <si>
    <t>42808111C18/20B</t>
  </si>
  <si>
    <t>42808115C40/49</t>
  </si>
  <si>
    <t>42808109C48/315</t>
  </si>
  <si>
    <t>42808105C38/88A</t>
  </si>
  <si>
    <t>42808105C38/88B</t>
  </si>
  <si>
    <t>42808105C38/88C</t>
  </si>
  <si>
    <t>42808105C38/88D</t>
  </si>
  <si>
    <t>42808105C38/88E</t>
  </si>
  <si>
    <t>NNPC BRASS 172</t>
  </si>
  <si>
    <t>NNPC BRASS 173</t>
  </si>
  <si>
    <t>NNPC ANTAN 054</t>
  </si>
  <si>
    <t>NNPC ANTAN 055</t>
  </si>
  <si>
    <t>NNPC OKONO 064</t>
  </si>
  <si>
    <t>NNPC YOHO 065</t>
  </si>
  <si>
    <t>NNPC BRASS 177</t>
  </si>
  <si>
    <t>NNPC BRASS 178</t>
  </si>
  <si>
    <t>NNPC BRASS 179</t>
  </si>
  <si>
    <t>NNPC BRASS 180</t>
  </si>
  <si>
    <t>NNPC BRASS 181</t>
  </si>
  <si>
    <t>ENERGY BRASS 042</t>
  </si>
  <si>
    <t>ALLIED OYO 012</t>
  </si>
  <si>
    <t>015541 &amp; 015546</t>
  </si>
  <si>
    <t>10-10-2014 &amp; 20-10-2014</t>
  </si>
  <si>
    <t>PLATFORM BRASS 117</t>
  </si>
  <si>
    <t>PLATFORM BRASS 118</t>
  </si>
  <si>
    <t>PLATFORM BRASS 119</t>
  </si>
  <si>
    <t>PHILLIPS BRASS 048</t>
  </si>
  <si>
    <t xml:space="preserve">PHILLIPS OIL </t>
  </si>
  <si>
    <t>PHILLIPS BRASS 049</t>
  </si>
  <si>
    <t>PHILLIPS BRASS 050</t>
  </si>
  <si>
    <t>201402050404</t>
  </si>
  <si>
    <t>MIDWESTERN BRASS 044</t>
  </si>
  <si>
    <t>MIDWESTERN BRASS 045</t>
  </si>
  <si>
    <t>201400010395</t>
  </si>
  <si>
    <t>NNPC ANTAN 056</t>
  </si>
  <si>
    <t>NNPC ANTAN 057</t>
  </si>
  <si>
    <t>NNPC YOHO 066</t>
  </si>
  <si>
    <t>NNPC BRASS 183</t>
  </si>
  <si>
    <t>NNPC OKONO 065</t>
  </si>
  <si>
    <t>NNPC BRASS 185</t>
  </si>
  <si>
    <t>NNPC BRASS 186</t>
  </si>
  <si>
    <t>NNPC BRASS 187</t>
  </si>
  <si>
    <t>42808105C13/67</t>
  </si>
  <si>
    <t>201401010089</t>
  </si>
  <si>
    <t>201401010090</t>
  </si>
  <si>
    <t>201490300010</t>
  </si>
  <si>
    <t>42808111C69/4A</t>
  </si>
  <si>
    <t>42808111C69/4B</t>
  </si>
  <si>
    <t>42808109C48/323</t>
  </si>
  <si>
    <t>42808105C40/62</t>
  </si>
  <si>
    <t>42808115C38/90</t>
  </si>
  <si>
    <t>201400010384</t>
  </si>
  <si>
    <t>201400010494</t>
  </si>
  <si>
    <t>201400010496</t>
  </si>
  <si>
    <t>201401010091</t>
  </si>
  <si>
    <t>YET RECEIVED 2</t>
  </si>
  <si>
    <t>YET RECEIVED 3</t>
  </si>
  <si>
    <t>42808101C57/9B</t>
  </si>
  <si>
    <t>42808101C57/9C</t>
  </si>
  <si>
    <t>42808101C57/9D</t>
  </si>
  <si>
    <t>201400020017</t>
  </si>
  <si>
    <t>STENA SUEDE</t>
  </si>
  <si>
    <t>HOUSTON</t>
  </si>
  <si>
    <t>LENI P</t>
  </si>
  <si>
    <t>NANTUCKET</t>
  </si>
  <si>
    <t>GENMAR GEORGE T</t>
  </si>
  <si>
    <t>TI TOPAZ</t>
  </si>
  <si>
    <t>ONE OR MORE SAFE PORT(S), BRAZIL</t>
  </si>
  <si>
    <t>SOUTH AFRICA FOR ORDERS</t>
  </si>
  <si>
    <t>BRUNSBUTTEL GERMANY FOR ORDERS</t>
  </si>
  <si>
    <t>BRASS 555</t>
  </si>
  <si>
    <t>BRASS 556</t>
  </si>
  <si>
    <t>BRASS 557</t>
  </si>
  <si>
    <t>BRASS 558</t>
  </si>
  <si>
    <t>BRASS 559</t>
  </si>
  <si>
    <t>BRASS 560</t>
  </si>
  <si>
    <t>BRASS 561</t>
  </si>
  <si>
    <t>BRASS 562</t>
  </si>
  <si>
    <t>BRASS 563</t>
  </si>
  <si>
    <t>BRASS 564</t>
  </si>
  <si>
    <t>BRASS 565</t>
  </si>
  <si>
    <t>BRASS 566</t>
  </si>
  <si>
    <t>BRASS 567</t>
  </si>
  <si>
    <t>BRASS 568</t>
  </si>
  <si>
    <t>ANTAN 114</t>
  </si>
  <si>
    <t>ANTAN 115</t>
  </si>
  <si>
    <t>ANTAN 116</t>
  </si>
  <si>
    <t>YOHO 111</t>
  </si>
  <si>
    <t>EBOK 024</t>
  </si>
  <si>
    <t>OKONO 079</t>
  </si>
  <si>
    <t>Issued with 1(One) CCI for these 4(Four) split inspections</t>
  </si>
  <si>
    <t>201400010696</t>
  </si>
  <si>
    <t>ORIENTAL EBOK 024</t>
  </si>
  <si>
    <t>PLATFORM BRASS 120</t>
  </si>
  <si>
    <t>PLATFORM BRASS 121</t>
  </si>
  <si>
    <t>PLATFORM BRASS 122</t>
  </si>
  <si>
    <t>PLATFORM BRASS 123</t>
  </si>
  <si>
    <t>201402050373</t>
  </si>
  <si>
    <t>MIDWESTERN BRASS 043</t>
  </si>
  <si>
    <t>201402050493</t>
  </si>
  <si>
    <t>MIDWESTERN BRASS 046</t>
  </si>
  <si>
    <t>NNPC BRASS 188</t>
  </si>
  <si>
    <t>NNPC BRASS 189</t>
  </si>
  <si>
    <t>NNPC BRASS 190</t>
  </si>
  <si>
    <t>NNPC BRASS 191</t>
  </si>
  <si>
    <t>NNPC ANTAN 058</t>
  </si>
  <si>
    <t>NNPC ANTAN 059</t>
  </si>
  <si>
    <t>201400010495</t>
  </si>
  <si>
    <t>43010105C38/92B</t>
  </si>
  <si>
    <t>43010105C38/92C</t>
  </si>
  <si>
    <t>AWAITING 001</t>
  </si>
  <si>
    <t>43010105C38/92A</t>
  </si>
  <si>
    <t>43010105C38/92D</t>
  </si>
  <si>
    <t>201400010410</t>
  </si>
  <si>
    <t>AWAITING 04</t>
  </si>
  <si>
    <t>43010111C66/5A</t>
  </si>
  <si>
    <t>43010111C66/5B</t>
  </si>
  <si>
    <t>AWAITING 005</t>
  </si>
  <si>
    <t>201400010538</t>
  </si>
  <si>
    <t>201400010539</t>
  </si>
  <si>
    <t>201401010093</t>
  </si>
  <si>
    <t>201401010094</t>
  </si>
  <si>
    <t>20149030011</t>
  </si>
  <si>
    <t>AWAITING 006</t>
  </si>
  <si>
    <t>MESAIEED</t>
  </si>
  <si>
    <t>VALUE</t>
  </si>
  <si>
    <t>SPORADES</t>
  </si>
  <si>
    <t>OKONO 080</t>
  </si>
  <si>
    <t>BRASS 569</t>
  </si>
  <si>
    <t>BRASS 570</t>
  </si>
  <si>
    <t>EBOK 025</t>
  </si>
  <si>
    <t>EBOK 026</t>
  </si>
  <si>
    <t>BRASS 571</t>
  </si>
  <si>
    <t>BRASS 572</t>
  </si>
  <si>
    <t>YOHO 112</t>
  </si>
  <si>
    <t>BRASS 573</t>
  </si>
  <si>
    <t>BRASS 574</t>
  </si>
  <si>
    <t>ANTAN 117</t>
  </si>
  <si>
    <t>ANTAN 118</t>
  </si>
  <si>
    <t>BRASS 575</t>
  </si>
  <si>
    <t>BRASS 576</t>
  </si>
  <si>
    <t>BRASS 577</t>
  </si>
  <si>
    <t>BRASS 578</t>
  </si>
  <si>
    <t>BRASS 579</t>
  </si>
  <si>
    <t>BRASS 580</t>
  </si>
  <si>
    <t>BRASS 581</t>
  </si>
  <si>
    <t>NNPC BRASS 182</t>
  </si>
  <si>
    <t>MOBIL YOHO 043</t>
  </si>
  <si>
    <t>AGIP BRASS 081</t>
  </si>
  <si>
    <t>AGIP BRASS 082</t>
  </si>
  <si>
    <t>ENERGY BRASS 043</t>
  </si>
  <si>
    <t>201400010487</t>
  </si>
  <si>
    <t>201400010488</t>
  </si>
  <si>
    <t>AWAITING 1</t>
  </si>
  <si>
    <t>43010109C48/334</t>
  </si>
  <si>
    <t>41414105C40/54</t>
  </si>
  <si>
    <t>201400010459</t>
  </si>
  <si>
    <t>201400010576</t>
  </si>
  <si>
    <t>AWAITING 2</t>
  </si>
  <si>
    <t>41414111C66/6A</t>
  </si>
  <si>
    <t>41414111C66/6B</t>
  </si>
  <si>
    <t>201400020020</t>
  </si>
  <si>
    <t>201400010591</t>
  </si>
  <si>
    <t>201400010592</t>
  </si>
  <si>
    <t>201401010095</t>
  </si>
  <si>
    <t>201401010096</t>
  </si>
  <si>
    <t>201490300012</t>
  </si>
  <si>
    <t>AWAITING 3</t>
  </si>
  <si>
    <t>AWAITING 0004</t>
  </si>
  <si>
    <t>41414105C13/68A</t>
  </si>
  <si>
    <t>41414105C13/68B</t>
  </si>
  <si>
    <t>41414105C13/68C</t>
  </si>
  <si>
    <t>41414105C13/68D</t>
  </si>
  <si>
    <t>41414105C13/68E</t>
  </si>
  <si>
    <t>YASA POLARIS</t>
  </si>
  <si>
    <t>RIDGEBURY MARY SELENA</t>
  </si>
  <si>
    <t>OLYMPIC LIGHT</t>
  </si>
  <si>
    <t>ALMI SKY</t>
  </si>
  <si>
    <t>ESTEEM BRILLIANCE</t>
  </si>
  <si>
    <t>SUEZ FUZEYYA</t>
  </si>
  <si>
    <t>UNITED HONOR</t>
  </si>
  <si>
    <t>CHRYSSI</t>
  </si>
  <si>
    <t>OMSP(S), INDIA</t>
  </si>
  <si>
    <t>FINNART, UK FOR ORDERS</t>
  </si>
  <si>
    <t>OMSP(S), THAILAND</t>
  </si>
  <si>
    <t>NNPC YOHO 067</t>
  </si>
  <si>
    <t>NNPC OKONO 066</t>
  </si>
  <si>
    <t>NNPC BRASS 194</t>
  </si>
  <si>
    <t>NNPC ANTAN 060</t>
  </si>
  <si>
    <t>NNPC ANTAN 061</t>
  </si>
  <si>
    <t>NNPC BRASS 195</t>
  </si>
  <si>
    <t>NNPC BRASS 196</t>
  </si>
  <si>
    <t>NNPC BRASS 197</t>
  </si>
  <si>
    <t>NNPC BRASS 198</t>
  </si>
  <si>
    <t>NNPC BRASS 199</t>
  </si>
  <si>
    <t>43010115C5/13</t>
  </si>
  <si>
    <t>EBOK 027</t>
  </si>
  <si>
    <t>EBOK 028</t>
  </si>
  <si>
    <t>YOHO 113</t>
  </si>
  <si>
    <t>YOHO 114</t>
  </si>
  <si>
    <t>BRASS 582</t>
  </si>
  <si>
    <t>OKONO 081</t>
  </si>
  <si>
    <t>BRASS 583</t>
  </si>
  <si>
    <t>BRASS 584</t>
  </si>
  <si>
    <t>BRASS 585</t>
  </si>
  <si>
    <t>BRASS 586</t>
  </si>
  <si>
    <t>BRASS 587</t>
  </si>
  <si>
    <t>BRASS 588</t>
  </si>
  <si>
    <t>BRASS 589</t>
  </si>
  <si>
    <t>BRASS 590</t>
  </si>
  <si>
    <t>BRASS 591</t>
  </si>
  <si>
    <t>BRASS 592</t>
  </si>
  <si>
    <t>BRASS 593</t>
  </si>
  <si>
    <t>BRASS 594</t>
  </si>
  <si>
    <t>BRASS 595</t>
  </si>
  <si>
    <t>BRASS 596</t>
  </si>
  <si>
    <t>ANTAN 119</t>
  </si>
  <si>
    <t>ANTAN 120</t>
  </si>
  <si>
    <t>ANTAN 121</t>
  </si>
  <si>
    <t>201400020021</t>
  </si>
  <si>
    <t>COMPREHENSIVE INSPECTION REPORT FOR THE PERIOD OF JANUARY 2014 TO DECEMBER 2014</t>
  </si>
  <si>
    <t>COMPLIANT INSPECTION REPORT FOR THE PERIOD OF JANUARY 2014 TO DECEMBER 2014</t>
  </si>
  <si>
    <t>NON-COMPLIANT INSPECTION REPORT FOR THE PERIOD OF JANUARY 2014 TO DECEMBER 2014</t>
  </si>
  <si>
    <t>REMARKS</t>
  </si>
</sst>
</file>

<file path=xl/styles.xml><?xml version="1.0" encoding="utf-8"?>
<styleSheet xmlns="http://schemas.openxmlformats.org/spreadsheetml/2006/main">
  <numFmts count="9">
    <numFmt numFmtId="43" formatCode="_(* #,##0.00_);_(* \(#,##0.00\);_(* &quot;-&quot;??_);_(@_)"/>
    <numFmt numFmtId="164" formatCode="0.0000"/>
    <numFmt numFmtId="165" formatCode="#,##0.0000"/>
    <numFmt numFmtId="166" formatCode="0000000"/>
    <numFmt numFmtId="167" formatCode="00000000000000"/>
    <numFmt numFmtId="168" formatCode="000000"/>
    <numFmt numFmtId="169" formatCode="_-* #,##0_-;\-* #,##0_-;_-* &quot;-&quot;??_-;_-@_-"/>
    <numFmt numFmtId="170" formatCode="0.00000"/>
    <numFmt numFmtId="171" formatCode="0.000000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b/>
      <sz val="6"/>
      <color theme="1"/>
      <name val="Calibri"/>
      <family val="2"/>
      <scheme val="minor"/>
    </font>
    <font>
      <sz val="6"/>
      <name val="Calibri"/>
      <family val="2"/>
      <scheme val="minor"/>
    </font>
    <font>
      <sz val="5"/>
      <name val="Calibri"/>
      <family val="2"/>
      <scheme val="minor"/>
    </font>
    <font>
      <sz val="9"/>
      <color indexed="81"/>
      <name val="Tahoma"/>
      <family val="2"/>
    </font>
    <font>
      <sz val="8"/>
      <color indexed="81"/>
      <name val="Tahoma"/>
      <family val="2"/>
    </font>
    <font>
      <b/>
      <sz val="6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15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3">
    <xf numFmtId="0" fontId="0" fillId="0" borderId="0"/>
    <xf numFmtId="43" fontId="1" fillId="0" borderId="0" applyFont="0" applyFill="0" applyBorder="0" applyAlignment="0" applyProtection="0"/>
    <xf numFmtId="0" fontId="2" fillId="2" borderId="1" applyNumberFormat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6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/>
    <xf numFmtId="0" fontId="6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left"/>
    </xf>
    <xf numFmtId="0" fontId="0" fillId="0" borderId="0" xfId="0" applyAlignment="1">
      <alignment horizontal="center" wrapText="1"/>
    </xf>
    <xf numFmtId="0" fontId="5" fillId="0" borderId="0" xfId="0" applyFont="1" applyAlignment="1">
      <alignment horizontal="center" wrapText="1"/>
    </xf>
    <xf numFmtId="164" fontId="7" fillId="0" borderId="6" xfId="0" applyNumberFormat="1" applyFont="1" applyFill="1" applyBorder="1" applyAlignment="1">
      <alignment horizontal="center"/>
    </xf>
    <xf numFmtId="164" fontId="7" fillId="0" borderId="5" xfId="0" applyNumberFormat="1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/>
    <xf numFmtId="0" fontId="0" fillId="0" borderId="0" xfId="0" applyBorder="1"/>
    <xf numFmtId="164" fontId="7" fillId="0" borderId="5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/>
    </xf>
    <xf numFmtId="0" fontId="8" fillId="0" borderId="6" xfId="0" applyFont="1" applyFill="1" applyBorder="1" applyAlignment="1">
      <alignment horizontal="center" wrapText="1"/>
    </xf>
    <xf numFmtId="167" fontId="7" fillId="0" borderId="6" xfId="0" applyNumberFormat="1" applyFont="1" applyFill="1" applyBorder="1" applyAlignment="1">
      <alignment horizontal="center"/>
    </xf>
    <xf numFmtId="1" fontId="7" fillId="0" borderId="6" xfId="0" applyNumberFormat="1" applyFont="1" applyFill="1" applyBorder="1" applyAlignment="1">
      <alignment horizontal="center" wrapText="1"/>
    </xf>
    <xf numFmtId="14" fontId="7" fillId="0" borderId="5" xfId="0" applyNumberFormat="1" applyFont="1" applyFill="1" applyBorder="1" applyAlignment="1">
      <alignment horizontal="center" wrapText="1"/>
    </xf>
    <xf numFmtId="0" fontId="7" fillId="0" borderId="6" xfId="0" applyFont="1" applyFill="1" applyBorder="1" applyAlignment="1">
      <alignment horizontal="center" vertical="center" wrapText="1"/>
    </xf>
    <xf numFmtId="14" fontId="7" fillId="0" borderId="6" xfId="0" applyNumberFormat="1" applyFont="1" applyFill="1" applyBorder="1" applyAlignment="1">
      <alignment horizontal="center" wrapText="1"/>
    </xf>
    <xf numFmtId="0" fontId="7" fillId="0" borderId="6" xfId="0" applyFont="1" applyFill="1" applyBorder="1" applyAlignment="1">
      <alignment horizontal="center" wrapText="1"/>
    </xf>
    <xf numFmtId="3" fontId="7" fillId="0" borderId="6" xfId="0" applyNumberFormat="1" applyFont="1" applyFill="1" applyBorder="1"/>
    <xf numFmtId="0" fontId="7" fillId="0" borderId="7" xfId="0" applyFont="1" applyFill="1" applyBorder="1" applyAlignment="1">
      <alignment horizontal="center" wrapText="1"/>
    </xf>
    <xf numFmtId="0" fontId="7" fillId="0" borderId="7" xfId="0" applyFont="1" applyFill="1" applyBorder="1" applyAlignment="1">
      <alignment horizontal="center" vertical="center" wrapText="1"/>
    </xf>
    <xf numFmtId="49" fontId="7" fillId="0" borderId="6" xfId="0" applyNumberFormat="1" applyFont="1" applyFill="1" applyBorder="1" applyAlignment="1">
      <alignment horizontal="center" wrapText="1"/>
    </xf>
    <xf numFmtId="49" fontId="7" fillId="0" borderId="5" xfId="0" applyNumberFormat="1" applyFont="1" applyFill="1" applyBorder="1" applyAlignment="1">
      <alignment horizontal="center" wrapText="1"/>
    </xf>
    <xf numFmtId="0" fontId="11" fillId="0" borderId="2" xfId="2" applyFont="1" applyFill="1" applyBorder="1" applyAlignment="1">
      <alignment horizontal="center" vertical="center" wrapText="1"/>
    </xf>
    <xf numFmtId="0" fontId="11" fillId="0" borderId="3" xfId="2" applyFont="1" applyFill="1" applyBorder="1" applyAlignment="1">
      <alignment horizontal="center" vertical="center" wrapText="1"/>
    </xf>
    <xf numFmtId="49" fontId="11" fillId="0" borderId="3" xfId="2" applyNumberFormat="1" applyFont="1" applyFill="1" applyBorder="1" applyAlignment="1">
      <alignment horizontal="center" vertical="center"/>
    </xf>
    <xf numFmtId="49" fontId="11" fillId="0" borderId="3" xfId="2" applyNumberFormat="1" applyFont="1" applyFill="1" applyBorder="1" applyAlignment="1">
      <alignment horizontal="center" vertical="center" wrapText="1"/>
    </xf>
    <xf numFmtId="164" fontId="11" fillId="0" borderId="3" xfId="2" applyNumberFormat="1" applyFont="1" applyFill="1" applyBorder="1" applyAlignment="1">
      <alignment horizontal="center" vertical="center" wrapText="1"/>
    </xf>
    <xf numFmtId="0" fontId="11" fillId="0" borderId="4" xfId="2" applyFont="1" applyFill="1" applyBorder="1" applyAlignment="1">
      <alignment horizontal="center" vertical="center" wrapText="1"/>
    </xf>
    <xf numFmtId="0" fontId="12" fillId="0" borderId="0" xfId="0" applyFont="1" applyFill="1" applyAlignment="1">
      <alignment horizontal="center"/>
    </xf>
    <xf numFmtId="0" fontId="7" fillId="0" borderId="6" xfId="0" applyFont="1" applyFill="1" applyBorder="1"/>
    <xf numFmtId="0" fontId="7" fillId="0" borderId="6" xfId="0" applyFont="1" applyFill="1" applyBorder="1" applyAlignment="1">
      <alignment horizontal="center"/>
    </xf>
    <xf numFmtId="164" fontId="7" fillId="0" borderId="6" xfId="0" applyNumberFormat="1" applyFont="1" applyFill="1" applyBorder="1" applyAlignment="1">
      <alignment horizontal="center" wrapText="1"/>
    </xf>
    <xf numFmtId="4" fontId="7" fillId="0" borderId="6" xfId="0" applyNumberFormat="1" applyFont="1" applyFill="1" applyBorder="1" applyAlignment="1">
      <alignment horizontal="right"/>
    </xf>
    <xf numFmtId="4" fontId="7" fillId="0" borderId="6" xfId="0" applyNumberFormat="1" applyFont="1" applyFill="1" applyBorder="1" applyAlignment="1">
      <alignment horizontal="center"/>
    </xf>
    <xf numFmtId="14" fontId="7" fillId="0" borderId="6" xfId="0" applyNumberFormat="1" applyFont="1" applyFill="1" applyBorder="1" applyAlignment="1">
      <alignment horizontal="center"/>
    </xf>
    <xf numFmtId="4" fontId="7" fillId="0" borderId="6" xfId="0" applyNumberFormat="1" applyFont="1" applyFill="1" applyBorder="1"/>
    <xf numFmtId="2" fontId="7" fillId="0" borderId="6" xfId="0" applyNumberFormat="1" applyFont="1" applyFill="1" applyBorder="1"/>
    <xf numFmtId="0" fontId="12" fillId="0" borderId="0" xfId="0" applyFont="1" applyFill="1"/>
    <xf numFmtId="14" fontId="7" fillId="0" borderId="6" xfId="0" applyNumberFormat="1" applyFont="1" applyFill="1" applyBorder="1" applyAlignment="1">
      <alignment horizontal="center" vertical="center" wrapText="1"/>
    </xf>
    <xf numFmtId="43" fontId="7" fillId="0" borderId="6" xfId="1" applyFont="1" applyFill="1" applyBorder="1"/>
    <xf numFmtId="168" fontId="7" fillId="0" borderId="6" xfId="0" applyNumberFormat="1" applyFont="1" applyFill="1" applyBorder="1" applyAlignment="1">
      <alignment horizontal="center"/>
    </xf>
    <xf numFmtId="4" fontId="7" fillId="0" borderId="6" xfId="0" applyNumberFormat="1" applyFont="1" applyFill="1" applyBorder="1" applyAlignment="1">
      <alignment horizontal="center" wrapText="1"/>
    </xf>
    <xf numFmtId="166" fontId="7" fillId="0" borderId="6" xfId="0" applyNumberFormat="1" applyFont="1" applyFill="1" applyBorder="1" applyAlignment="1">
      <alignment horizontal="center"/>
    </xf>
    <xf numFmtId="164" fontId="7" fillId="0" borderId="6" xfId="4" applyNumberFormat="1" applyFont="1" applyFill="1" applyBorder="1" applyAlignment="1">
      <alignment horizontal="center"/>
    </xf>
    <xf numFmtId="0" fontId="7" fillId="0" borderId="8" xfId="0" applyFont="1" applyFill="1" applyBorder="1" applyAlignment="1">
      <alignment horizontal="center" wrapText="1"/>
    </xf>
    <xf numFmtId="0" fontId="7" fillId="0" borderId="5" xfId="0" applyFont="1" applyFill="1" applyBorder="1" applyAlignment="1">
      <alignment horizontal="center" wrapText="1"/>
    </xf>
    <xf numFmtId="169" fontId="7" fillId="0" borderId="7" xfId="5" applyNumberFormat="1" applyFont="1" applyFill="1" applyBorder="1"/>
    <xf numFmtId="4" fontId="7" fillId="0" borderId="7" xfId="0" applyNumberFormat="1" applyFont="1" applyFill="1" applyBorder="1" applyAlignment="1">
      <alignment horizontal="right"/>
    </xf>
    <xf numFmtId="4" fontId="7" fillId="0" borderId="7" xfId="0" applyNumberFormat="1" applyFont="1" applyFill="1" applyBorder="1"/>
    <xf numFmtId="4" fontId="7" fillId="0" borderId="6" xfId="0" applyNumberFormat="1" applyFont="1" applyFill="1" applyBorder="1" applyAlignment="1">
      <alignment horizontal="center" vertical="center" wrapText="1"/>
    </xf>
    <xf numFmtId="14" fontId="7" fillId="0" borderId="5" xfId="0" applyNumberFormat="1" applyFont="1" applyFill="1" applyBorder="1" applyAlignment="1">
      <alignment horizontal="center" vertical="center" wrapText="1"/>
    </xf>
    <xf numFmtId="3" fontId="7" fillId="0" borderId="5" xfId="0" applyNumberFormat="1" applyFont="1" applyFill="1" applyBorder="1"/>
    <xf numFmtId="3" fontId="7" fillId="0" borderId="6" xfId="0" applyNumberFormat="1" applyFont="1" applyFill="1" applyBorder="1" applyAlignment="1" applyProtection="1">
      <protection locked="0"/>
    </xf>
    <xf numFmtId="0" fontId="7" fillId="0" borderId="6" xfId="4" applyNumberFormat="1" applyFont="1" applyFill="1" applyBorder="1" applyAlignment="1">
      <alignment horizontal="center"/>
    </xf>
    <xf numFmtId="3" fontId="7" fillId="0" borderId="6" xfId="0" applyNumberFormat="1" applyFont="1" applyFill="1" applyBorder="1" applyAlignment="1">
      <alignment horizontal="center" wrapText="1"/>
    </xf>
    <xf numFmtId="0" fontId="7" fillId="0" borderId="7" xfId="0" applyFont="1" applyFill="1" applyBorder="1"/>
    <xf numFmtId="14" fontId="7" fillId="0" borderId="7" xfId="0" applyNumberFormat="1" applyFont="1" applyFill="1" applyBorder="1" applyAlignment="1">
      <alignment horizontal="center" wrapText="1"/>
    </xf>
    <xf numFmtId="49" fontId="7" fillId="0" borderId="7" xfId="0" applyNumberFormat="1" applyFont="1" applyFill="1" applyBorder="1" applyAlignment="1">
      <alignment horizontal="center" wrapText="1"/>
    </xf>
    <xf numFmtId="164" fontId="7" fillId="0" borderId="7" xfId="0" applyNumberFormat="1" applyFont="1" applyFill="1" applyBorder="1" applyAlignment="1">
      <alignment horizontal="center" wrapText="1"/>
    </xf>
    <xf numFmtId="3" fontId="7" fillId="0" borderId="7" xfId="0" applyNumberFormat="1" applyFont="1" applyFill="1" applyBorder="1" applyAlignment="1" applyProtection="1">
      <alignment horizontal="right"/>
      <protection locked="0"/>
    </xf>
    <xf numFmtId="4" fontId="7" fillId="0" borderId="7" xfId="0" applyNumberFormat="1" applyFont="1" applyFill="1" applyBorder="1" applyAlignment="1">
      <alignment horizontal="center"/>
    </xf>
    <xf numFmtId="164" fontId="7" fillId="0" borderId="7" xfId="4" applyNumberFormat="1" applyFont="1" applyFill="1" applyBorder="1" applyAlignment="1">
      <alignment horizontal="center"/>
    </xf>
    <xf numFmtId="14" fontId="7" fillId="0" borderId="7" xfId="0" applyNumberFormat="1" applyFont="1" applyFill="1" applyBorder="1" applyAlignment="1">
      <alignment horizontal="center"/>
    </xf>
    <xf numFmtId="0" fontId="7" fillId="0" borderId="7" xfId="0" applyFont="1" applyFill="1" applyBorder="1" applyAlignment="1">
      <alignment horizontal="center"/>
    </xf>
    <xf numFmtId="43" fontId="7" fillId="0" borderId="7" xfId="1" applyFont="1" applyFill="1" applyBorder="1"/>
    <xf numFmtId="3" fontId="7" fillId="0" borderId="7" xfId="0" applyNumberFormat="1" applyFont="1" applyFill="1" applyBorder="1"/>
    <xf numFmtId="43" fontId="7" fillId="0" borderId="12" xfId="1" applyFont="1" applyFill="1" applyBorder="1"/>
    <xf numFmtId="0" fontId="7" fillId="0" borderId="5" xfId="0" applyFont="1" applyFill="1" applyBorder="1" applyAlignment="1">
      <alignment horizontal="center"/>
    </xf>
    <xf numFmtId="0" fontId="7" fillId="0" borderId="13" xfId="0" applyFont="1" applyFill="1" applyBorder="1" applyAlignment="1">
      <alignment horizontal="center" wrapText="1"/>
    </xf>
    <xf numFmtId="170" fontId="7" fillId="0" borderId="6" xfId="4" applyNumberFormat="1" applyFont="1" applyFill="1" applyBorder="1" applyAlignment="1">
      <alignment horizontal="center"/>
    </xf>
    <xf numFmtId="164" fontId="7" fillId="0" borderId="5" xfId="4" applyNumberFormat="1" applyFont="1" applyFill="1" applyBorder="1" applyAlignment="1">
      <alignment horizontal="center"/>
    </xf>
    <xf numFmtId="3" fontId="7" fillId="0" borderId="7" xfId="0" applyNumberFormat="1" applyFont="1" applyFill="1" applyBorder="1" applyAlignment="1" applyProtection="1">
      <protection locked="0"/>
    </xf>
    <xf numFmtId="0" fontId="7" fillId="0" borderId="5" xfId="0" applyFont="1" applyFill="1" applyBorder="1" applyAlignment="1">
      <alignment horizontal="center" vertical="center" wrapText="1"/>
    </xf>
    <xf numFmtId="14" fontId="7" fillId="0" borderId="10" xfId="0" applyNumberFormat="1" applyFont="1" applyFill="1" applyBorder="1" applyAlignment="1">
      <alignment horizontal="center" wrapText="1"/>
    </xf>
    <xf numFmtId="0" fontId="7" fillId="0" borderId="10" xfId="0" applyFont="1" applyFill="1" applyBorder="1" applyAlignment="1">
      <alignment horizontal="center" wrapText="1"/>
    </xf>
    <xf numFmtId="0" fontId="7" fillId="0" borderId="14" xfId="0" applyFont="1" applyFill="1" applyBorder="1" applyAlignment="1">
      <alignment horizontal="center" wrapText="1"/>
    </xf>
    <xf numFmtId="3" fontId="7" fillId="0" borderId="5" xfId="0" applyNumberFormat="1" applyFont="1" applyFill="1" applyBorder="1" applyAlignment="1">
      <alignment horizontal="center" wrapText="1"/>
    </xf>
    <xf numFmtId="2" fontId="7" fillId="0" borderId="7" xfId="0" applyNumberFormat="1" applyFont="1" applyFill="1" applyBorder="1"/>
    <xf numFmtId="171" fontId="7" fillId="0" borderId="5" xfId="0" applyNumberFormat="1" applyFont="1" applyFill="1" applyBorder="1" applyAlignment="1">
      <alignment horizontal="center"/>
    </xf>
    <xf numFmtId="2" fontId="7" fillId="0" borderId="6" xfId="0" applyNumberFormat="1" applyFont="1" applyFill="1" applyBorder="1" applyAlignment="1">
      <alignment horizontal="center"/>
    </xf>
    <xf numFmtId="0" fontId="12" fillId="0" borderId="0" xfId="0" applyFont="1" applyFill="1" applyAlignment="1">
      <alignment horizontal="left"/>
    </xf>
    <xf numFmtId="0" fontId="12" fillId="0" borderId="0" xfId="0" applyFont="1" applyFill="1" applyAlignment="1">
      <alignment horizontal="center" wrapText="1"/>
    </xf>
    <xf numFmtId="0" fontId="7" fillId="0" borderId="0" xfId="0" applyFont="1" applyFill="1" applyAlignment="1">
      <alignment horizontal="center" wrapText="1"/>
    </xf>
    <xf numFmtId="3" fontId="11" fillId="0" borderId="11" xfId="0" applyNumberFormat="1" applyFont="1" applyFill="1" applyBorder="1"/>
    <xf numFmtId="43" fontId="11" fillId="0" borderId="11" xfId="1" applyFont="1" applyFill="1" applyBorder="1"/>
    <xf numFmtId="0" fontId="11" fillId="0" borderId="0" xfId="0" applyFont="1" applyFill="1"/>
    <xf numFmtId="164" fontId="11" fillId="0" borderId="0" xfId="0" applyNumberFormat="1" applyFont="1" applyFill="1" applyAlignment="1">
      <alignment horizontal="center"/>
    </xf>
    <xf numFmtId="0" fontId="11" fillId="0" borderId="0" xfId="0" applyFont="1" applyFill="1" applyAlignment="1">
      <alignment horizontal="left"/>
    </xf>
    <xf numFmtId="0" fontId="11" fillId="0" borderId="0" xfId="0" applyFont="1" applyFill="1" applyAlignment="1">
      <alignment horizontal="center"/>
    </xf>
    <xf numFmtId="164" fontId="7" fillId="0" borderId="6" xfId="0" applyNumberFormat="1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/>
    </xf>
    <xf numFmtId="169" fontId="7" fillId="0" borderId="6" xfId="5" applyNumberFormat="1" applyFont="1" applyFill="1" applyBorder="1"/>
    <xf numFmtId="1" fontId="7" fillId="0" borderId="6" xfId="0" applyNumberFormat="1" applyFont="1" applyFill="1" applyBorder="1" applyAlignment="1">
      <alignment horizontal="center"/>
    </xf>
    <xf numFmtId="169" fontId="7" fillId="0" borderId="6" xfId="5" applyNumberFormat="1" applyFont="1" applyFill="1" applyBorder="1" applyAlignment="1"/>
    <xf numFmtId="4" fontId="7" fillId="0" borderId="6" xfId="0" applyNumberFormat="1" applyFont="1" applyFill="1" applyBorder="1" applyAlignment="1"/>
    <xf numFmtId="43" fontId="7" fillId="0" borderId="6" xfId="1" applyFont="1" applyFill="1" applyBorder="1" applyAlignment="1"/>
    <xf numFmtId="3" fontId="7" fillId="0" borderId="6" xfId="0" applyNumberFormat="1" applyFont="1" applyFill="1" applyBorder="1" applyAlignment="1">
      <alignment horizontal="center" vertical="center" wrapText="1"/>
    </xf>
    <xf numFmtId="1" fontId="7" fillId="0" borderId="7" xfId="0" applyNumberFormat="1" applyFont="1" applyFill="1" applyBorder="1" applyAlignment="1">
      <alignment horizontal="center"/>
    </xf>
    <xf numFmtId="3" fontId="7" fillId="0" borderId="6" xfId="0" applyNumberFormat="1" applyFont="1" applyFill="1" applyBorder="1" applyAlignment="1">
      <alignment horizontal="right"/>
    </xf>
    <xf numFmtId="165" fontId="7" fillId="0" borderId="6" xfId="0" applyNumberFormat="1" applyFont="1" applyFill="1" applyBorder="1" applyAlignment="1">
      <alignment horizontal="center"/>
    </xf>
    <xf numFmtId="2" fontId="7" fillId="0" borderId="9" xfId="0" applyNumberFormat="1" applyFont="1" applyFill="1" applyBorder="1" applyAlignment="1">
      <alignment horizontal="center"/>
    </xf>
    <xf numFmtId="12" fontId="7" fillId="0" borderId="6" xfId="0" applyNumberFormat="1" applyFont="1" applyFill="1" applyBorder="1" applyAlignment="1">
      <alignment horizontal="center"/>
    </xf>
    <xf numFmtId="166" fontId="7" fillId="0" borderId="7" xfId="0" applyNumberFormat="1" applyFont="1" applyFill="1" applyBorder="1" applyAlignment="1">
      <alignment horizontal="center"/>
    </xf>
    <xf numFmtId="0" fontId="7" fillId="0" borderId="12" xfId="0" applyFont="1" applyFill="1" applyBorder="1" applyAlignment="1">
      <alignment horizontal="center" wrapText="1"/>
    </xf>
    <xf numFmtId="0" fontId="11" fillId="0" borderId="0" xfId="0" applyFont="1" applyFill="1" applyAlignment="1">
      <alignment horizontal="center" wrapText="1"/>
    </xf>
    <xf numFmtId="2" fontId="11" fillId="0" borderId="11" xfId="1" applyNumberFormat="1" applyFont="1" applyFill="1" applyBorder="1"/>
    <xf numFmtId="0" fontId="7" fillId="0" borderId="6" xfId="0" applyFont="1" applyFill="1" applyBorder="1" applyAlignment="1">
      <alignment horizontal="center" vertical="center" wrapText="1"/>
    </xf>
    <xf numFmtId="0" fontId="12" fillId="0" borderId="6" xfId="0" applyFont="1" applyFill="1" applyBorder="1"/>
    <xf numFmtId="0" fontId="13" fillId="0" borderId="6" xfId="0" applyFont="1" applyFill="1" applyBorder="1"/>
    <xf numFmtId="0" fontId="11" fillId="0" borderId="6" xfId="0" applyFont="1" applyFill="1" applyBorder="1"/>
  </cellXfs>
  <cellStyles count="13">
    <cellStyle name="Check Cell" xfId="2" builtinId="23"/>
    <cellStyle name="Comma" xfId="1" builtinId="3"/>
    <cellStyle name="Comma 11" xfId="3"/>
    <cellStyle name="Comma 13" xfId="6"/>
    <cellStyle name="Comma 14" xfId="7"/>
    <cellStyle name="Comma 15" xfId="8"/>
    <cellStyle name="Comma 2" xfId="4"/>
    <cellStyle name="Comma 2 2" xfId="9"/>
    <cellStyle name="Comma 2 3" xfId="5"/>
    <cellStyle name="Comma 6" xfId="10"/>
    <cellStyle name="Comma 7" xfId="11"/>
    <cellStyle name="Comma 8" xfId="12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</xdr:colOff>
      <xdr:row>1</xdr:row>
      <xdr:rowOff>38099</xdr:rowOff>
    </xdr:from>
    <xdr:to>
      <xdr:col>2</xdr:col>
      <xdr:colOff>552450</xdr:colOff>
      <xdr:row>2</xdr:row>
      <xdr:rowOff>285749</xdr:rowOff>
    </xdr:to>
    <xdr:pic>
      <xdr:nvPicPr>
        <xdr:cNvPr id="2" name="Picture 1" descr="C:\Documents and Settings\Administrator.MASTER\Desktop\rilogo.jp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38200" y="228599"/>
          <a:ext cx="514350" cy="447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</xdr:colOff>
      <xdr:row>1</xdr:row>
      <xdr:rowOff>38099</xdr:rowOff>
    </xdr:from>
    <xdr:to>
      <xdr:col>2</xdr:col>
      <xdr:colOff>552450</xdr:colOff>
      <xdr:row>2</xdr:row>
      <xdr:rowOff>285749</xdr:rowOff>
    </xdr:to>
    <xdr:pic>
      <xdr:nvPicPr>
        <xdr:cNvPr id="2" name="Picture 1" descr="C:\Documents and Settings\Administrator.MASTER\Desktop\rilogo.jp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38200" y="228599"/>
          <a:ext cx="514350" cy="447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161925</xdr:colOff>
      <xdr:row>1</xdr:row>
      <xdr:rowOff>66674</xdr:rowOff>
    </xdr:from>
    <xdr:to>
      <xdr:col>3</xdr:col>
      <xdr:colOff>85725</xdr:colOff>
      <xdr:row>3</xdr:row>
      <xdr:rowOff>9524</xdr:rowOff>
    </xdr:to>
    <xdr:pic>
      <xdr:nvPicPr>
        <xdr:cNvPr id="2" name="Picture 1" descr="C:\Documents and Settings\Administrator.MASTER\Desktop\rilogo.jp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62025" y="257174"/>
          <a:ext cx="514350" cy="428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AA259"/>
  <sheetViews>
    <sheetView tabSelected="1" workbookViewId="0">
      <selection activeCell="AB8" sqref="AB8"/>
    </sheetView>
  </sheetViews>
  <sheetFormatPr defaultRowHeight="15"/>
  <cols>
    <col min="1" max="1" width="4.140625" customWidth="1"/>
    <col min="2" max="2" width="7.85546875" style="4" customWidth="1"/>
    <col min="3" max="3" width="8.85546875" style="4" customWidth="1"/>
    <col min="4" max="4" width="7.5703125" style="4" customWidth="1"/>
    <col min="5" max="5" width="13.5703125" style="4" customWidth="1"/>
    <col min="6" max="6" width="9.5703125" style="4" customWidth="1"/>
    <col min="7" max="7" width="9" style="4" customWidth="1"/>
    <col min="8" max="8" width="10.140625" style="4" customWidth="1"/>
    <col min="9" max="9" width="7.28515625" customWidth="1"/>
    <col min="10" max="10" width="8.5703125" style="1" customWidth="1"/>
    <col min="11" max="11" width="12" style="4" customWidth="1"/>
    <col min="12" max="12" width="8.5703125" style="4" customWidth="1"/>
    <col min="13" max="13" width="10.42578125" style="6" customWidth="1"/>
    <col min="14" max="14" width="12.42578125" style="7" customWidth="1"/>
    <col min="15" max="15" width="11" customWidth="1"/>
    <col min="16" max="16" width="15.85546875" customWidth="1"/>
    <col min="17" max="17" width="15" customWidth="1"/>
    <col min="18" max="18" width="15" style="10" customWidth="1"/>
    <col min="19" max="19" width="13.5703125" style="1" customWidth="1"/>
    <col min="20" max="20" width="10.28515625" style="4" customWidth="1"/>
    <col min="21" max="22" width="12.5703125" customWidth="1"/>
    <col min="23" max="23" width="15.28515625" customWidth="1"/>
    <col min="24" max="24" width="14" customWidth="1"/>
    <col min="25" max="27" width="11.5703125" customWidth="1"/>
  </cols>
  <sheetData>
    <row r="2" spans="1:27" ht="15.75">
      <c r="K2" s="5" t="s">
        <v>0</v>
      </c>
    </row>
    <row r="3" spans="1:27" ht="23.25" customHeight="1">
      <c r="K3" s="5" t="s">
        <v>1112</v>
      </c>
      <c r="O3" s="2"/>
    </row>
    <row r="4" spans="1:27" ht="13.15" customHeight="1" thickBot="1">
      <c r="E4" s="11"/>
    </row>
    <row r="5" spans="1:27" s="4" customFormat="1" ht="42.6" customHeight="1" thickBot="1">
      <c r="A5" s="28" t="s">
        <v>1</v>
      </c>
      <c r="B5" s="29" t="s">
        <v>2</v>
      </c>
      <c r="C5" s="29" t="s">
        <v>3</v>
      </c>
      <c r="D5" s="29" t="s">
        <v>4</v>
      </c>
      <c r="E5" s="30" t="s">
        <v>5</v>
      </c>
      <c r="F5" s="31" t="s">
        <v>6</v>
      </c>
      <c r="G5" s="29" t="s">
        <v>7</v>
      </c>
      <c r="H5" s="29" t="s">
        <v>8</v>
      </c>
      <c r="I5" s="29" t="s">
        <v>9</v>
      </c>
      <c r="J5" s="29" t="s">
        <v>10</v>
      </c>
      <c r="K5" s="29" t="s">
        <v>11</v>
      </c>
      <c r="L5" s="29" t="s">
        <v>12</v>
      </c>
      <c r="M5" s="29" t="s">
        <v>13</v>
      </c>
      <c r="N5" s="29" t="s">
        <v>14</v>
      </c>
      <c r="O5" s="29" t="s">
        <v>15</v>
      </c>
      <c r="P5" s="29" t="s">
        <v>16</v>
      </c>
      <c r="Q5" s="29" t="s">
        <v>17</v>
      </c>
      <c r="R5" s="32" t="s">
        <v>18</v>
      </c>
      <c r="S5" s="29" t="s">
        <v>19</v>
      </c>
      <c r="T5" s="29" t="s">
        <v>20</v>
      </c>
      <c r="U5" s="29" t="s">
        <v>21</v>
      </c>
      <c r="V5" s="29" t="s">
        <v>22</v>
      </c>
      <c r="W5" s="29" t="s">
        <v>23</v>
      </c>
      <c r="X5" s="29" t="s">
        <v>24</v>
      </c>
      <c r="Y5" s="29" t="s">
        <v>25</v>
      </c>
      <c r="Z5" s="33" t="s">
        <v>26</v>
      </c>
      <c r="AA5" s="33" t="s">
        <v>1115</v>
      </c>
    </row>
    <row r="6" spans="1:27" ht="24.75">
      <c r="A6" s="35">
        <v>1</v>
      </c>
      <c r="B6" s="36" t="s">
        <v>292</v>
      </c>
      <c r="C6" s="21" t="s">
        <v>72</v>
      </c>
      <c r="D6" s="21"/>
      <c r="E6" s="26" t="s">
        <v>265</v>
      </c>
      <c r="F6" s="22" t="s">
        <v>150</v>
      </c>
      <c r="G6" s="22" t="s">
        <v>151</v>
      </c>
      <c r="H6" s="22" t="s">
        <v>133</v>
      </c>
      <c r="I6" s="37">
        <v>801.22</v>
      </c>
      <c r="J6" s="21">
        <v>41645</v>
      </c>
      <c r="K6" s="22" t="s">
        <v>188</v>
      </c>
      <c r="L6" s="22" t="s">
        <v>49</v>
      </c>
      <c r="M6" s="22" t="s">
        <v>69</v>
      </c>
      <c r="N6" s="20" t="s">
        <v>288</v>
      </c>
      <c r="O6" s="23">
        <v>950057</v>
      </c>
      <c r="P6" s="38">
        <f t="shared" ref="P6:P48" si="0">SUM(O6*R6)</f>
        <v>102945326.34899999</v>
      </c>
      <c r="Q6" s="39" t="s">
        <v>32</v>
      </c>
      <c r="R6" s="8">
        <v>108.357</v>
      </c>
      <c r="S6" s="40">
        <f t="shared" ref="S6:S9" si="1">SUM(J6)+89</f>
        <v>41734</v>
      </c>
      <c r="T6" s="22" t="s">
        <v>163</v>
      </c>
      <c r="U6" s="41">
        <f t="shared" ref="U6:U21" si="2">SUM(P6*0.12%)</f>
        <v>123534.39161879999</v>
      </c>
      <c r="V6" s="36">
        <v>155.75</v>
      </c>
      <c r="W6" s="38">
        <f t="shared" ref="W6:W23" si="3">SUM(U6*V6)</f>
        <v>19240481.494628098</v>
      </c>
      <c r="X6" s="42">
        <v>0</v>
      </c>
      <c r="Y6" s="36"/>
      <c r="Z6" s="36"/>
      <c r="AA6" s="113"/>
    </row>
    <row r="7" spans="1:27" ht="20.25" customHeight="1">
      <c r="A7" s="35">
        <f t="shared" ref="A7:A9" si="4">A6+1</f>
        <v>2</v>
      </c>
      <c r="B7" s="36" t="s">
        <v>300</v>
      </c>
      <c r="C7" s="44" t="s">
        <v>260</v>
      </c>
      <c r="D7" s="40">
        <v>41670</v>
      </c>
      <c r="E7" s="26" t="s">
        <v>266</v>
      </c>
      <c r="F7" s="22" t="s">
        <v>278</v>
      </c>
      <c r="G7" s="22" t="s">
        <v>44</v>
      </c>
      <c r="H7" s="22" t="s">
        <v>35</v>
      </c>
      <c r="I7" s="37">
        <v>801.22</v>
      </c>
      <c r="J7" s="21">
        <v>41650</v>
      </c>
      <c r="K7" s="22" t="s">
        <v>280</v>
      </c>
      <c r="L7" s="36" t="s">
        <v>36</v>
      </c>
      <c r="M7" s="22" t="s">
        <v>78</v>
      </c>
      <c r="N7" s="20" t="s">
        <v>289</v>
      </c>
      <c r="O7" s="23">
        <v>949520</v>
      </c>
      <c r="P7" s="38">
        <f t="shared" si="0"/>
        <v>103951550.55999999</v>
      </c>
      <c r="Q7" s="39" t="s">
        <v>32</v>
      </c>
      <c r="R7" s="8">
        <v>109.47799999999999</v>
      </c>
      <c r="S7" s="40">
        <f t="shared" si="1"/>
        <v>41739</v>
      </c>
      <c r="T7" s="22" t="s">
        <v>278</v>
      </c>
      <c r="U7" s="41">
        <f t="shared" si="2"/>
        <v>124741.86067199998</v>
      </c>
      <c r="V7" s="36">
        <v>155.75</v>
      </c>
      <c r="W7" s="38">
        <f t="shared" si="3"/>
        <v>19428544.799663998</v>
      </c>
      <c r="X7" s="45">
        <f t="shared" ref="X7:X9" si="5">W7</f>
        <v>19428544.799663998</v>
      </c>
      <c r="Y7" s="36"/>
      <c r="Z7" s="36"/>
      <c r="AA7" s="113"/>
    </row>
    <row r="8" spans="1:27" ht="20.25" customHeight="1">
      <c r="A8" s="35">
        <f t="shared" si="4"/>
        <v>3</v>
      </c>
      <c r="B8" s="36" t="s">
        <v>302</v>
      </c>
      <c r="C8" s="44" t="s">
        <v>261</v>
      </c>
      <c r="D8" s="40">
        <v>41670</v>
      </c>
      <c r="E8" s="26" t="s">
        <v>267</v>
      </c>
      <c r="F8" s="22" t="s">
        <v>278</v>
      </c>
      <c r="G8" s="22" t="s">
        <v>44</v>
      </c>
      <c r="H8" s="22" t="s">
        <v>29</v>
      </c>
      <c r="I8" s="37">
        <v>801.22</v>
      </c>
      <c r="J8" s="21">
        <v>41653</v>
      </c>
      <c r="K8" s="22" t="s">
        <v>128</v>
      </c>
      <c r="L8" s="22" t="s">
        <v>30</v>
      </c>
      <c r="M8" s="22" t="s">
        <v>286</v>
      </c>
      <c r="N8" s="20" t="s">
        <v>117</v>
      </c>
      <c r="O8" s="23">
        <v>548568</v>
      </c>
      <c r="P8" s="38">
        <f t="shared" si="0"/>
        <v>59455994.112000003</v>
      </c>
      <c r="Q8" s="39" t="s">
        <v>32</v>
      </c>
      <c r="R8" s="8">
        <v>108.384</v>
      </c>
      <c r="S8" s="40">
        <f t="shared" si="1"/>
        <v>41742</v>
      </c>
      <c r="T8" s="22" t="s">
        <v>278</v>
      </c>
      <c r="U8" s="41">
        <f t="shared" si="2"/>
        <v>71347.192934399995</v>
      </c>
      <c r="V8" s="36">
        <v>155.75</v>
      </c>
      <c r="W8" s="38">
        <f t="shared" si="3"/>
        <v>11112325.299532799</v>
      </c>
      <c r="X8" s="45">
        <f t="shared" si="5"/>
        <v>11112325.299532799</v>
      </c>
      <c r="Y8" s="36"/>
      <c r="Z8" s="36"/>
      <c r="AA8" s="113"/>
    </row>
    <row r="9" spans="1:27" ht="20.25" customHeight="1">
      <c r="A9" s="35">
        <f t="shared" si="4"/>
        <v>4</v>
      </c>
      <c r="B9" s="36" t="s">
        <v>303</v>
      </c>
      <c r="C9" s="44" t="s">
        <v>262</v>
      </c>
      <c r="D9" s="40">
        <v>41670</v>
      </c>
      <c r="E9" s="26" t="s">
        <v>268</v>
      </c>
      <c r="F9" s="22" t="s">
        <v>278</v>
      </c>
      <c r="G9" s="22" t="s">
        <v>44</v>
      </c>
      <c r="H9" s="22" t="s">
        <v>29</v>
      </c>
      <c r="I9" s="37">
        <v>801.22</v>
      </c>
      <c r="J9" s="21">
        <v>41653</v>
      </c>
      <c r="K9" s="22" t="s">
        <v>128</v>
      </c>
      <c r="L9" s="22" t="s">
        <v>30</v>
      </c>
      <c r="M9" s="22" t="s">
        <v>286</v>
      </c>
      <c r="N9" s="20" t="s">
        <v>117</v>
      </c>
      <c r="O9" s="23">
        <v>400000</v>
      </c>
      <c r="P9" s="38">
        <f t="shared" si="0"/>
        <v>43353600</v>
      </c>
      <c r="Q9" s="39" t="s">
        <v>32</v>
      </c>
      <c r="R9" s="8">
        <v>108.384</v>
      </c>
      <c r="S9" s="40">
        <f t="shared" si="1"/>
        <v>41742</v>
      </c>
      <c r="T9" s="22" t="s">
        <v>278</v>
      </c>
      <c r="U9" s="41">
        <f t="shared" si="2"/>
        <v>52024.319999999992</v>
      </c>
      <c r="V9" s="36">
        <v>155.75</v>
      </c>
      <c r="W9" s="38">
        <f t="shared" si="3"/>
        <v>8102787.8399999989</v>
      </c>
      <c r="X9" s="45">
        <f t="shared" si="5"/>
        <v>8102787.8399999989</v>
      </c>
      <c r="Y9" s="36"/>
      <c r="Z9" s="36"/>
      <c r="AA9" s="113"/>
    </row>
    <row r="10" spans="1:27" ht="20.25" customHeight="1">
      <c r="A10" s="35">
        <f t="shared" ref="A10:A73" si="6">A9+1</f>
        <v>5</v>
      </c>
      <c r="B10" s="36" t="s">
        <v>293</v>
      </c>
      <c r="C10" s="44" t="s">
        <v>390</v>
      </c>
      <c r="D10" s="19">
        <v>41715</v>
      </c>
      <c r="E10" s="26" t="s">
        <v>269</v>
      </c>
      <c r="F10" s="22" t="s">
        <v>120</v>
      </c>
      <c r="G10" s="22" t="s">
        <v>28</v>
      </c>
      <c r="H10" s="22" t="s">
        <v>133</v>
      </c>
      <c r="I10" s="37">
        <v>801.22</v>
      </c>
      <c r="J10" s="21">
        <v>41655</v>
      </c>
      <c r="K10" s="22" t="s">
        <v>281</v>
      </c>
      <c r="L10" s="22" t="s">
        <v>49</v>
      </c>
      <c r="M10" s="22" t="s">
        <v>31</v>
      </c>
      <c r="N10" s="20" t="s">
        <v>108</v>
      </c>
      <c r="O10" s="23">
        <v>500000</v>
      </c>
      <c r="P10" s="38">
        <f t="shared" si="0"/>
        <v>55469000</v>
      </c>
      <c r="Q10" s="39" t="s">
        <v>32</v>
      </c>
      <c r="R10" s="9">
        <v>110.938</v>
      </c>
      <c r="S10" s="40">
        <f t="shared" ref="S10:S73" si="7">SUM(J10)+89</f>
        <v>41744</v>
      </c>
      <c r="T10" s="22" t="s">
        <v>120</v>
      </c>
      <c r="U10" s="41">
        <f t="shared" si="2"/>
        <v>66562.799999999988</v>
      </c>
      <c r="V10" s="36">
        <v>155.75</v>
      </c>
      <c r="W10" s="38">
        <f t="shared" si="3"/>
        <v>10367156.099999998</v>
      </c>
      <c r="X10" s="45">
        <v>10367156.1</v>
      </c>
      <c r="Y10" s="40">
        <v>41710</v>
      </c>
      <c r="Z10" s="46">
        <v>1308</v>
      </c>
      <c r="AA10" s="113"/>
    </row>
    <row r="11" spans="1:27" ht="20.25" customHeight="1">
      <c r="A11" s="35">
        <f t="shared" si="6"/>
        <v>6</v>
      </c>
      <c r="B11" s="36" t="s">
        <v>294</v>
      </c>
      <c r="C11" s="22" t="s">
        <v>392</v>
      </c>
      <c r="D11" s="19">
        <v>41717</v>
      </c>
      <c r="E11" s="26" t="s">
        <v>270</v>
      </c>
      <c r="F11" s="47" t="s">
        <v>39</v>
      </c>
      <c r="G11" s="22" t="s">
        <v>97</v>
      </c>
      <c r="H11" s="22" t="s">
        <v>133</v>
      </c>
      <c r="I11" s="37">
        <v>801.22</v>
      </c>
      <c r="J11" s="21">
        <v>41655</v>
      </c>
      <c r="K11" s="22" t="s">
        <v>281</v>
      </c>
      <c r="L11" s="22" t="s">
        <v>49</v>
      </c>
      <c r="M11" s="22" t="s">
        <v>31</v>
      </c>
      <c r="N11" s="20" t="s">
        <v>108</v>
      </c>
      <c r="O11" s="23">
        <v>60000</v>
      </c>
      <c r="P11" s="38">
        <f t="shared" si="0"/>
        <v>6561300</v>
      </c>
      <c r="Q11" s="39" t="s">
        <v>32</v>
      </c>
      <c r="R11" s="9">
        <v>109.355</v>
      </c>
      <c r="S11" s="40">
        <f t="shared" si="7"/>
        <v>41744</v>
      </c>
      <c r="T11" s="22" t="s">
        <v>39</v>
      </c>
      <c r="U11" s="41">
        <f t="shared" si="2"/>
        <v>7873.5599999999995</v>
      </c>
      <c r="V11" s="36">
        <v>155.75</v>
      </c>
      <c r="W11" s="38">
        <f t="shared" si="3"/>
        <v>1226306.97</v>
      </c>
      <c r="X11" s="45">
        <v>1226306.97</v>
      </c>
      <c r="Y11" s="40">
        <v>41715</v>
      </c>
      <c r="Z11" s="48">
        <v>3580</v>
      </c>
      <c r="AA11" s="113"/>
    </row>
    <row r="12" spans="1:27" ht="20.25" customHeight="1">
      <c r="A12" s="35">
        <f t="shared" si="6"/>
        <v>7</v>
      </c>
      <c r="B12" s="36" t="s">
        <v>295</v>
      </c>
      <c r="C12" s="22" t="s">
        <v>393</v>
      </c>
      <c r="D12" s="19">
        <v>41717</v>
      </c>
      <c r="E12" s="26" t="s">
        <v>271</v>
      </c>
      <c r="F12" s="47" t="s">
        <v>39</v>
      </c>
      <c r="G12" s="22" t="s">
        <v>97</v>
      </c>
      <c r="H12" s="22" t="s">
        <v>133</v>
      </c>
      <c r="I12" s="37">
        <v>801.22</v>
      </c>
      <c r="J12" s="21">
        <v>41655</v>
      </c>
      <c r="K12" s="22" t="s">
        <v>281</v>
      </c>
      <c r="L12" s="22" t="s">
        <v>49</v>
      </c>
      <c r="M12" s="22" t="s">
        <v>31</v>
      </c>
      <c r="N12" s="20" t="s">
        <v>108</v>
      </c>
      <c r="O12" s="23">
        <v>29500</v>
      </c>
      <c r="P12" s="38">
        <f t="shared" si="0"/>
        <v>3225972.5</v>
      </c>
      <c r="Q12" s="39" t="s">
        <v>32</v>
      </c>
      <c r="R12" s="9">
        <v>109.355</v>
      </c>
      <c r="S12" s="40">
        <f t="shared" si="7"/>
        <v>41744</v>
      </c>
      <c r="T12" s="22" t="s">
        <v>39</v>
      </c>
      <c r="U12" s="41">
        <f t="shared" si="2"/>
        <v>3871.1669999999995</v>
      </c>
      <c r="V12" s="36">
        <v>155.75</v>
      </c>
      <c r="W12" s="38">
        <f t="shared" si="3"/>
        <v>602934.26024999993</v>
      </c>
      <c r="X12" s="45">
        <v>602934.18000000005</v>
      </c>
      <c r="Y12" s="40">
        <v>41715</v>
      </c>
      <c r="Z12" s="48">
        <v>3581</v>
      </c>
      <c r="AA12" s="113"/>
    </row>
    <row r="13" spans="1:27" ht="20.25" customHeight="1">
      <c r="A13" s="35">
        <f t="shared" si="6"/>
        <v>8</v>
      </c>
      <c r="B13" s="36" t="s">
        <v>296</v>
      </c>
      <c r="C13" s="22" t="s">
        <v>394</v>
      </c>
      <c r="D13" s="19">
        <v>41717</v>
      </c>
      <c r="E13" s="26" t="s">
        <v>272</v>
      </c>
      <c r="F13" s="22" t="s">
        <v>187</v>
      </c>
      <c r="G13" s="22" t="s">
        <v>97</v>
      </c>
      <c r="H13" s="22" t="s">
        <v>133</v>
      </c>
      <c r="I13" s="37">
        <v>801.22</v>
      </c>
      <c r="J13" s="21">
        <v>41655</v>
      </c>
      <c r="K13" s="22" t="s">
        <v>281</v>
      </c>
      <c r="L13" s="22" t="s">
        <v>49</v>
      </c>
      <c r="M13" s="22" t="s">
        <v>31</v>
      </c>
      <c r="N13" s="20" t="s">
        <v>108</v>
      </c>
      <c r="O13" s="23">
        <v>24000</v>
      </c>
      <c r="P13" s="38">
        <f t="shared" si="0"/>
        <v>2624520</v>
      </c>
      <c r="Q13" s="39" t="s">
        <v>32</v>
      </c>
      <c r="R13" s="9">
        <v>109.355</v>
      </c>
      <c r="S13" s="40">
        <f t="shared" si="7"/>
        <v>41744</v>
      </c>
      <c r="T13" s="22" t="s">
        <v>39</v>
      </c>
      <c r="U13" s="41">
        <f t="shared" si="2"/>
        <v>3149.4239999999995</v>
      </c>
      <c r="V13" s="36">
        <v>155.75</v>
      </c>
      <c r="W13" s="38">
        <f t="shared" si="3"/>
        <v>490522.78799999994</v>
      </c>
      <c r="X13" s="45">
        <v>490522.79</v>
      </c>
      <c r="Y13" s="40">
        <v>41715</v>
      </c>
      <c r="Z13" s="48">
        <v>3582</v>
      </c>
      <c r="AA13" s="113"/>
    </row>
    <row r="14" spans="1:27" ht="20.25" customHeight="1">
      <c r="A14" s="35">
        <f t="shared" si="6"/>
        <v>9</v>
      </c>
      <c r="B14" s="36" t="s">
        <v>297</v>
      </c>
      <c r="C14" s="20" t="s">
        <v>774</v>
      </c>
      <c r="D14" s="19">
        <v>41880</v>
      </c>
      <c r="E14" s="26" t="s">
        <v>273</v>
      </c>
      <c r="F14" s="22" t="s">
        <v>120</v>
      </c>
      <c r="G14" s="22" t="s">
        <v>53</v>
      </c>
      <c r="H14" s="22" t="s">
        <v>133</v>
      </c>
      <c r="I14" s="37">
        <v>801.22</v>
      </c>
      <c r="J14" s="21">
        <v>41655</v>
      </c>
      <c r="K14" s="22" t="s">
        <v>281</v>
      </c>
      <c r="L14" s="22" t="s">
        <v>49</v>
      </c>
      <c r="M14" s="22" t="s">
        <v>31</v>
      </c>
      <c r="N14" s="20" t="s">
        <v>108</v>
      </c>
      <c r="O14" s="23">
        <v>120284</v>
      </c>
      <c r="P14" s="38">
        <f t="shared" si="0"/>
        <v>13193711.392000001</v>
      </c>
      <c r="Q14" s="39" t="s">
        <v>32</v>
      </c>
      <c r="R14" s="9">
        <v>109.688</v>
      </c>
      <c r="S14" s="40">
        <f t="shared" si="7"/>
        <v>41744</v>
      </c>
      <c r="T14" s="22" t="s">
        <v>38</v>
      </c>
      <c r="U14" s="41">
        <f t="shared" si="2"/>
        <v>15832.4536704</v>
      </c>
      <c r="V14" s="36">
        <v>155.75</v>
      </c>
      <c r="W14" s="38">
        <f t="shared" si="3"/>
        <v>2465904.6591647998</v>
      </c>
      <c r="X14" s="45">
        <v>2449596.66</v>
      </c>
      <c r="Y14" s="40">
        <v>41719</v>
      </c>
      <c r="Z14" s="48">
        <v>9345</v>
      </c>
      <c r="AA14" s="113"/>
    </row>
    <row r="15" spans="1:27" ht="20.25" customHeight="1">
      <c r="A15" s="35">
        <f t="shared" si="6"/>
        <v>10</v>
      </c>
      <c r="B15" s="36" t="s">
        <v>298</v>
      </c>
      <c r="C15" s="44" t="s">
        <v>447</v>
      </c>
      <c r="D15" s="19">
        <v>41744</v>
      </c>
      <c r="E15" s="27" t="s">
        <v>445</v>
      </c>
      <c r="F15" s="22" t="s">
        <v>130</v>
      </c>
      <c r="G15" s="22" t="s">
        <v>87</v>
      </c>
      <c r="H15" s="22" t="s">
        <v>133</v>
      </c>
      <c r="I15" s="37">
        <v>801.22</v>
      </c>
      <c r="J15" s="21">
        <v>41655</v>
      </c>
      <c r="K15" s="22" t="s">
        <v>281</v>
      </c>
      <c r="L15" s="22" t="s">
        <v>49</v>
      </c>
      <c r="M15" s="22" t="s">
        <v>31</v>
      </c>
      <c r="N15" s="20" t="s">
        <v>108</v>
      </c>
      <c r="O15" s="23">
        <v>216000</v>
      </c>
      <c r="P15" s="38">
        <f t="shared" si="0"/>
        <v>23663880</v>
      </c>
      <c r="Q15" s="39" t="s">
        <v>32</v>
      </c>
      <c r="R15" s="9">
        <v>109.55500000000001</v>
      </c>
      <c r="S15" s="40">
        <f t="shared" si="7"/>
        <v>41744</v>
      </c>
      <c r="T15" s="22" t="s">
        <v>130</v>
      </c>
      <c r="U15" s="41">
        <f t="shared" si="2"/>
        <v>28396.655999999999</v>
      </c>
      <c r="V15" s="36">
        <v>155.75</v>
      </c>
      <c r="W15" s="38">
        <f t="shared" si="3"/>
        <v>4422779.1720000003</v>
      </c>
      <c r="X15" s="45">
        <v>4422779.17</v>
      </c>
      <c r="Y15" s="40">
        <v>41738</v>
      </c>
      <c r="Z15" s="48">
        <v>29503</v>
      </c>
      <c r="AA15" s="113"/>
    </row>
    <row r="16" spans="1:27" ht="20.25" customHeight="1">
      <c r="A16" s="35">
        <f t="shared" si="6"/>
        <v>11</v>
      </c>
      <c r="B16" s="36" t="s">
        <v>304</v>
      </c>
      <c r="C16" s="44" t="s">
        <v>263</v>
      </c>
      <c r="D16" s="40">
        <v>41670</v>
      </c>
      <c r="E16" s="26" t="s">
        <v>274</v>
      </c>
      <c r="F16" s="22" t="s">
        <v>278</v>
      </c>
      <c r="G16" s="22" t="s">
        <v>44</v>
      </c>
      <c r="H16" s="22" t="s">
        <v>45</v>
      </c>
      <c r="I16" s="37">
        <v>801.22</v>
      </c>
      <c r="J16" s="21">
        <v>41659</v>
      </c>
      <c r="K16" s="22" t="s">
        <v>282</v>
      </c>
      <c r="L16" s="22" t="s">
        <v>46</v>
      </c>
      <c r="M16" s="22" t="s">
        <v>80</v>
      </c>
      <c r="N16" s="20" t="s">
        <v>93</v>
      </c>
      <c r="O16" s="23">
        <v>899812</v>
      </c>
      <c r="P16" s="38">
        <f t="shared" si="0"/>
        <v>100006005.492</v>
      </c>
      <c r="Q16" s="39" t="s">
        <v>32</v>
      </c>
      <c r="R16" s="49">
        <v>111.14100000000001</v>
      </c>
      <c r="S16" s="40">
        <f t="shared" si="7"/>
        <v>41748</v>
      </c>
      <c r="T16" s="22" t="s">
        <v>278</v>
      </c>
      <c r="U16" s="41">
        <f t="shared" si="2"/>
        <v>120007.20659039999</v>
      </c>
      <c r="V16" s="36">
        <v>155.75</v>
      </c>
      <c r="W16" s="38">
        <f t="shared" si="3"/>
        <v>18691122.426454797</v>
      </c>
      <c r="X16" s="45">
        <f>W16</f>
        <v>18691122.426454797</v>
      </c>
      <c r="Y16" s="36"/>
      <c r="Z16" s="36"/>
      <c r="AA16" s="113"/>
    </row>
    <row r="17" spans="1:27" ht="20.25" customHeight="1">
      <c r="A17" s="35">
        <f t="shared" si="6"/>
        <v>12</v>
      </c>
      <c r="B17" s="36" t="s">
        <v>305</v>
      </c>
      <c r="C17" s="20" t="s">
        <v>387</v>
      </c>
      <c r="D17" s="21">
        <v>41710</v>
      </c>
      <c r="E17" s="26" t="s">
        <v>275</v>
      </c>
      <c r="F17" s="22" t="s">
        <v>52</v>
      </c>
      <c r="G17" s="22" t="s">
        <v>82</v>
      </c>
      <c r="H17" s="22" t="s">
        <v>58</v>
      </c>
      <c r="I17" s="37">
        <v>801.22</v>
      </c>
      <c r="J17" s="21">
        <v>41663</v>
      </c>
      <c r="K17" s="22" t="s">
        <v>79</v>
      </c>
      <c r="L17" s="22" t="s">
        <v>59</v>
      </c>
      <c r="M17" s="22" t="s">
        <v>78</v>
      </c>
      <c r="N17" s="20" t="s">
        <v>109</v>
      </c>
      <c r="O17" s="23">
        <v>207196</v>
      </c>
      <c r="P17" s="38">
        <f t="shared" si="0"/>
        <v>22917327.971999999</v>
      </c>
      <c r="Q17" s="39" t="s">
        <v>32</v>
      </c>
      <c r="R17" s="49">
        <v>110.607</v>
      </c>
      <c r="S17" s="40">
        <f t="shared" si="7"/>
        <v>41752</v>
      </c>
      <c r="T17" s="22" t="s">
        <v>52</v>
      </c>
      <c r="U17" s="41">
        <f t="shared" si="2"/>
        <v>27500.793566399996</v>
      </c>
      <c r="V17" s="36">
        <v>155.75</v>
      </c>
      <c r="W17" s="38">
        <f t="shared" si="3"/>
        <v>4283248.5979667995</v>
      </c>
      <c r="X17" s="45">
        <v>4283248.5999999996</v>
      </c>
      <c r="Y17" s="40">
        <v>41709</v>
      </c>
      <c r="Z17" s="46">
        <v>15383</v>
      </c>
      <c r="AA17" s="113"/>
    </row>
    <row r="18" spans="1:27" ht="20.25" customHeight="1">
      <c r="A18" s="35">
        <f t="shared" si="6"/>
        <v>13</v>
      </c>
      <c r="B18" s="36" t="s">
        <v>306</v>
      </c>
      <c r="C18" s="44" t="s">
        <v>328</v>
      </c>
      <c r="D18" s="19">
        <v>41688</v>
      </c>
      <c r="E18" s="27" t="s">
        <v>308</v>
      </c>
      <c r="F18" s="22" t="s">
        <v>150</v>
      </c>
      <c r="G18" s="22" t="s">
        <v>279</v>
      </c>
      <c r="H18" s="22" t="s">
        <v>159</v>
      </c>
      <c r="I18" s="37">
        <v>801.22</v>
      </c>
      <c r="J18" s="21">
        <v>41664</v>
      </c>
      <c r="K18" s="22" t="s">
        <v>283</v>
      </c>
      <c r="L18" s="22" t="s">
        <v>160</v>
      </c>
      <c r="M18" s="22" t="s">
        <v>60</v>
      </c>
      <c r="N18" s="20" t="s">
        <v>162</v>
      </c>
      <c r="O18" s="23">
        <v>628846</v>
      </c>
      <c r="P18" s="38">
        <f t="shared" si="0"/>
        <v>66161516.505999997</v>
      </c>
      <c r="Q18" s="39" t="s">
        <v>32</v>
      </c>
      <c r="R18" s="49">
        <v>105.211</v>
      </c>
      <c r="S18" s="40">
        <f t="shared" ref="S18" si="8">SUM(J18)+89</f>
        <v>41753</v>
      </c>
      <c r="T18" s="22" t="s">
        <v>163</v>
      </c>
      <c r="U18" s="41">
        <f t="shared" ref="U18" si="9">SUM(P18*0.12%)</f>
        <v>79393.819807199994</v>
      </c>
      <c r="V18" s="36">
        <v>155.75</v>
      </c>
      <c r="W18" s="38">
        <f t="shared" si="3"/>
        <v>12365587.4349714</v>
      </c>
      <c r="X18" s="45">
        <v>12365587.470000001</v>
      </c>
      <c r="Y18" s="40">
        <v>41677</v>
      </c>
      <c r="Z18" s="48">
        <v>3850</v>
      </c>
      <c r="AA18" s="113"/>
    </row>
    <row r="19" spans="1:27" ht="20.25" customHeight="1">
      <c r="A19" s="35">
        <f t="shared" si="6"/>
        <v>14</v>
      </c>
      <c r="B19" s="36" t="s">
        <v>301</v>
      </c>
      <c r="C19" s="20" t="s">
        <v>449</v>
      </c>
      <c r="D19" s="19">
        <v>41743</v>
      </c>
      <c r="E19" s="27" t="s">
        <v>330</v>
      </c>
      <c r="F19" s="22" t="s">
        <v>163</v>
      </c>
      <c r="G19" s="22" t="s">
        <v>34</v>
      </c>
      <c r="H19" s="22" t="s">
        <v>35</v>
      </c>
      <c r="I19" s="37">
        <v>801.22</v>
      </c>
      <c r="J19" s="21">
        <v>41665</v>
      </c>
      <c r="K19" s="22" t="s">
        <v>110</v>
      </c>
      <c r="L19" s="22" t="s">
        <v>36</v>
      </c>
      <c r="M19" s="22" t="s">
        <v>74</v>
      </c>
      <c r="N19" s="20" t="s">
        <v>106</v>
      </c>
      <c r="O19" s="23">
        <v>950131</v>
      </c>
      <c r="P19" s="38">
        <f t="shared" si="0"/>
        <v>104211888.2896</v>
      </c>
      <c r="Q19" s="39" t="s">
        <v>32</v>
      </c>
      <c r="R19" s="49">
        <v>109.6816</v>
      </c>
      <c r="S19" s="40">
        <f t="shared" si="7"/>
        <v>41754</v>
      </c>
      <c r="T19" s="22" t="s">
        <v>38</v>
      </c>
      <c r="U19" s="41">
        <f t="shared" si="2"/>
        <v>125054.26594751999</v>
      </c>
      <c r="V19" s="36">
        <v>155.75</v>
      </c>
      <c r="W19" s="38">
        <f t="shared" si="3"/>
        <v>19477201.921326239</v>
      </c>
      <c r="X19" s="45">
        <v>19665658.699999999</v>
      </c>
      <c r="Y19" s="36" t="s">
        <v>450</v>
      </c>
      <c r="Z19" s="48">
        <v>9957</v>
      </c>
      <c r="AA19" s="113"/>
    </row>
    <row r="20" spans="1:27" ht="20.25" customHeight="1">
      <c r="A20" s="35">
        <f t="shared" si="6"/>
        <v>15</v>
      </c>
      <c r="B20" s="36" t="s">
        <v>299</v>
      </c>
      <c r="C20" s="44" t="s">
        <v>264</v>
      </c>
      <c r="D20" s="40">
        <v>41670</v>
      </c>
      <c r="E20" s="26" t="s">
        <v>276</v>
      </c>
      <c r="F20" s="22" t="s">
        <v>278</v>
      </c>
      <c r="G20" s="22" t="s">
        <v>44</v>
      </c>
      <c r="H20" s="22" t="s">
        <v>133</v>
      </c>
      <c r="I20" s="37">
        <v>801.22</v>
      </c>
      <c r="J20" s="21">
        <v>41667</v>
      </c>
      <c r="K20" s="22" t="s">
        <v>284</v>
      </c>
      <c r="L20" s="22" t="s">
        <v>49</v>
      </c>
      <c r="M20" s="22" t="s">
        <v>287</v>
      </c>
      <c r="N20" s="20" t="s">
        <v>290</v>
      </c>
      <c r="O20" s="23">
        <v>949725</v>
      </c>
      <c r="P20" s="38">
        <f t="shared" si="0"/>
        <v>104909472.675</v>
      </c>
      <c r="Q20" s="39" t="s">
        <v>32</v>
      </c>
      <c r="R20" s="49">
        <v>110.46299999999999</v>
      </c>
      <c r="S20" s="40">
        <f t="shared" si="7"/>
        <v>41756</v>
      </c>
      <c r="T20" s="22" t="s">
        <v>278</v>
      </c>
      <c r="U20" s="41">
        <f t="shared" si="2"/>
        <v>125891.36720999998</v>
      </c>
      <c r="V20" s="36">
        <v>155.75</v>
      </c>
      <c r="W20" s="38">
        <f t="shared" si="3"/>
        <v>19607580.442957498</v>
      </c>
      <c r="X20" s="45">
        <f>W20</f>
        <v>19607580.442957498</v>
      </c>
      <c r="Y20" s="36"/>
      <c r="Z20" s="36"/>
      <c r="AA20" s="113"/>
    </row>
    <row r="21" spans="1:27" ht="20.25" customHeight="1">
      <c r="A21" s="35">
        <f t="shared" si="6"/>
        <v>16</v>
      </c>
      <c r="B21" s="36" t="s">
        <v>307</v>
      </c>
      <c r="C21" s="44" t="s">
        <v>391</v>
      </c>
      <c r="D21" s="19">
        <v>41715</v>
      </c>
      <c r="E21" s="27" t="s">
        <v>277</v>
      </c>
      <c r="F21" s="22" t="s">
        <v>120</v>
      </c>
      <c r="G21" s="22" t="s">
        <v>28</v>
      </c>
      <c r="H21" s="50" t="s">
        <v>29</v>
      </c>
      <c r="I21" s="37">
        <v>801.22</v>
      </c>
      <c r="J21" s="19">
        <v>41669</v>
      </c>
      <c r="K21" s="51" t="s">
        <v>285</v>
      </c>
      <c r="L21" s="51" t="s">
        <v>30</v>
      </c>
      <c r="M21" s="51" t="s">
        <v>141</v>
      </c>
      <c r="N21" s="20" t="s">
        <v>291</v>
      </c>
      <c r="O21" s="52">
        <v>948817</v>
      </c>
      <c r="P21" s="53">
        <f t="shared" si="0"/>
        <v>102309039.476</v>
      </c>
      <c r="Q21" s="39" t="s">
        <v>32</v>
      </c>
      <c r="R21" s="49">
        <v>107.828</v>
      </c>
      <c r="S21" s="40">
        <f t="shared" si="7"/>
        <v>41758</v>
      </c>
      <c r="T21" s="22" t="s">
        <v>120</v>
      </c>
      <c r="U21" s="54">
        <f t="shared" si="2"/>
        <v>122770.84737119998</v>
      </c>
      <c r="V21" s="36">
        <v>155.75</v>
      </c>
      <c r="W21" s="53">
        <f t="shared" si="3"/>
        <v>19121559.478064399</v>
      </c>
      <c r="X21" s="45">
        <v>19121559.890000001</v>
      </c>
      <c r="Y21" s="40">
        <v>41710</v>
      </c>
      <c r="Z21" s="46">
        <v>1309</v>
      </c>
      <c r="AA21" s="113"/>
    </row>
    <row r="22" spans="1:27" s="2" customFormat="1" ht="16.5">
      <c r="A22" s="35">
        <f t="shared" si="6"/>
        <v>17</v>
      </c>
      <c r="B22" s="36" t="s">
        <v>333</v>
      </c>
      <c r="C22" s="20" t="s">
        <v>533</v>
      </c>
      <c r="D22" s="21">
        <v>41789</v>
      </c>
      <c r="E22" s="26" t="s">
        <v>334</v>
      </c>
      <c r="F22" s="20" t="s">
        <v>163</v>
      </c>
      <c r="G22" s="20" t="s">
        <v>65</v>
      </c>
      <c r="H22" s="20" t="s">
        <v>133</v>
      </c>
      <c r="I22" s="37">
        <v>801.22</v>
      </c>
      <c r="J22" s="21">
        <v>41677</v>
      </c>
      <c r="K22" s="22" t="s">
        <v>335</v>
      </c>
      <c r="L22" s="22" t="s">
        <v>49</v>
      </c>
      <c r="M22" s="22" t="s">
        <v>37</v>
      </c>
      <c r="N22" s="22" t="s">
        <v>336</v>
      </c>
      <c r="O22" s="23">
        <v>255000</v>
      </c>
      <c r="P22" s="38">
        <f t="shared" si="0"/>
        <v>28191270</v>
      </c>
      <c r="Q22" s="39" t="s">
        <v>32</v>
      </c>
      <c r="R22" s="8">
        <v>110.554</v>
      </c>
      <c r="S22" s="40">
        <f t="shared" si="7"/>
        <v>41766</v>
      </c>
      <c r="T22" s="20" t="s">
        <v>38</v>
      </c>
      <c r="U22" s="41">
        <f t="shared" ref="U22:U85" si="10">SUM(P22*0.12%)</f>
        <v>33829.523999999998</v>
      </c>
      <c r="V22" s="36">
        <v>155.75</v>
      </c>
      <c r="W22" s="38">
        <f t="shared" si="3"/>
        <v>5268948.3629999999</v>
      </c>
      <c r="X22" s="45">
        <v>5573414.0800000001</v>
      </c>
      <c r="Y22" s="40">
        <v>41787</v>
      </c>
      <c r="Z22" s="48">
        <v>7713</v>
      </c>
      <c r="AA22" s="114"/>
    </row>
    <row r="23" spans="1:27" ht="16.5">
      <c r="A23" s="35">
        <f t="shared" si="6"/>
        <v>18</v>
      </c>
      <c r="B23" s="36" t="s">
        <v>337</v>
      </c>
      <c r="C23" s="20" t="s">
        <v>451</v>
      </c>
      <c r="D23" s="44">
        <v>41743</v>
      </c>
      <c r="E23" s="26" t="s">
        <v>338</v>
      </c>
      <c r="F23" s="55" t="s">
        <v>39</v>
      </c>
      <c r="G23" s="20" t="s">
        <v>97</v>
      </c>
      <c r="H23" s="20" t="s">
        <v>133</v>
      </c>
      <c r="I23" s="37">
        <v>801.22</v>
      </c>
      <c r="J23" s="21">
        <v>41677</v>
      </c>
      <c r="K23" s="22" t="s">
        <v>335</v>
      </c>
      <c r="L23" s="22" t="s">
        <v>49</v>
      </c>
      <c r="M23" s="22" t="s">
        <v>37</v>
      </c>
      <c r="N23" s="22" t="s">
        <v>336</v>
      </c>
      <c r="O23" s="23">
        <v>24000</v>
      </c>
      <c r="P23" s="38">
        <f t="shared" si="0"/>
        <v>2640696</v>
      </c>
      <c r="Q23" s="39" t="s">
        <v>32</v>
      </c>
      <c r="R23" s="14">
        <v>110.029</v>
      </c>
      <c r="S23" s="40">
        <f t="shared" si="7"/>
        <v>41766</v>
      </c>
      <c r="T23" s="20" t="s">
        <v>39</v>
      </c>
      <c r="U23" s="41">
        <f t="shared" si="10"/>
        <v>3168.8351999999995</v>
      </c>
      <c r="V23" s="36">
        <v>155.75</v>
      </c>
      <c r="W23" s="38">
        <f t="shared" si="3"/>
        <v>493546.08239999996</v>
      </c>
      <c r="X23" s="45">
        <v>423546.08</v>
      </c>
      <c r="Y23" s="40">
        <v>41736</v>
      </c>
      <c r="Z23" s="48">
        <v>3584</v>
      </c>
      <c r="AA23" s="113"/>
    </row>
    <row r="24" spans="1:27" ht="21" customHeight="1">
      <c r="A24" s="35">
        <f t="shared" si="6"/>
        <v>19</v>
      </c>
      <c r="B24" s="36" t="s">
        <v>339</v>
      </c>
      <c r="C24" s="20" t="s">
        <v>452</v>
      </c>
      <c r="D24" s="44">
        <v>41743</v>
      </c>
      <c r="E24" s="26" t="s">
        <v>340</v>
      </c>
      <c r="F24" s="55" t="s">
        <v>39</v>
      </c>
      <c r="G24" s="20" t="s">
        <v>97</v>
      </c>
      <c r="H24" s="20" t="s">
        <v>133</v>
      </c>
      <c r="I24" s="37">
        <v>801.22</v>
      </c>
      <c r="J24" s="21">
        <v>41677</v>
      </c>
      <c r="K24" s="22" t="s">
        <v>335</v>
      </c>
      <c r="L24" s="22" t="s">
        <v>49</v>
      </c>
      <c r="M24" s="22" t="s">
        <v>37</v>
      </c>
      <c r="N24" s="22" t="s">
        <v>336</v>
      </c>
      <c r="O24" s="23">
        <v>36000</v>
      </c>
      <c r="P24" s="38">
        <f t="shared" si="0"/>
        <v>3961044</v>
      </c>
      <c r="Q24" s="39" t="s">
        <v>32</v>
      </c>
      <c r="R24" s="14">
        <v>110.029</v>
      </c>
      <c r="S24" s="40">
        <f t="shared" si="7"/>
        <v>41766</v>
      </c>
      <c r="T24" s="20" t="s">
        <v>39</v>
      </c>
      <c r="U24" s="41">
        <f t="shared" si="10"/>
        <v>4753.2527999999993</v>
      </c>
      <c r="V24" s="36">
        <v>155.75</v>
      </c>
      <c r="W24" s="38">
        <f t="shared" ref="W24:W87" si="11">SUM(U24*V24)</f>
        <v>740319.12359999993</v>
      </c>
      <c r="X24" s="45">
        <v>740319.12</v>
      </c>
      <c r="Y24" s="40">
        <v>41736</v>
      </c>
      <c r="Z24" s="48">
        <v>3585</v>
      </c>
      <c r="AA24" s="113"/>
    </row>
    <row r="25" spans="1:27" ht="18.75" customHeight="1">
      <c r="A25" s="35">
        <f t="shared" si="6"/>
        <v>20</v>
      </c>
      <c r="B25" s="36" t="s">
        <v>341</v>
      </c>
      <c r="C25" s="20" t="s">
        <v>453</v>
      </c>
      <c r="D25" s="44">
        <v>41743</v>
      </c>
      <c r="E25" s="26" t="s">
        <v>342</v>
      </c>
      <c r="F25" s="20" t="s">
        <v>187</v>
      </c>
      <c r="G25" s="20" t="s">
        <v>97</v>
      </c>
      <c r="H25" s="20" t="s">
        <v>133</v>
      </c>
      <c r="I25" s="37">
        <v>801.22</v>
      </c>
      <c r="J25" s="21">
        <v>41677</v>
      </c>
      <c r="K25" s="22" t="s">
        <v>335</v>
      </c>
      <c r="L25" s="22" t="s">
        <v>49</v>
      </c>
      <c r="M25" s="22" t="s">
        <v>37</v>
      </c>
      <c r="N25" s="22" t="s">
        <v>336</v>
      </c>
      <c r="O25" s="23">
        <v>30000</v>
      </c>
      <c r="P25" s="38">
        <f t="shared" si="0"/>
        <v>3300870</v>
      </c>
      <c r="Q25" s="39" t="s">
        <v>32</v>
      </c>
      <c r="R25" s="14">
        <v>110.029</v>
      </c>
      <c r="S25" s="40">
        <f t="shared" si="7"/>
        <v>41766</v>
      </c>
      <c r="T25" s="20" t="s">
        <v>39</v>
      </c>
      <c r="U25" s="41">
        <f t="shared" si="10"/>
        <v>3961.0439999999999</v>
      </c>
      <c r="V25" s="36">
        <v>155.75</v>
      </c>
      <c r="W25" s="38">
        <f t="shared" si="11"/>
        <v>616932.603</v>
      </c>
      <c r="X25" s="45">
        <v>616932.6</v>
      </c>
      <c r="Y25" s="40">
        <v>41736</v>
      </c>
      <c r="Z25" s="48">
        <v>3586</v>
      </c>
      <c r="AA25" s="113"/>
    </row>
    <row r="26" spans="1:27" ht="16.5">
      <c r="A26" s="35">
        <f t="shared" si="6"/>
        <v>21</v>
      </c>
      <c r="B26" s="36" t="s">
        <v>343</v>
      </c>
      <c r="C26" s="44" t="s">
        <v>448</v>
      </c>
      <c r="D26" s="56">
        <v>41744</v>
      </c>
      <c r="E26" s="27" t="s">
        <v>446</v>
      </c>
      <c r="F26" s="20" t="s">
        <v>130</v>
      </c>
      <c r="G26" s="20" t="s">
        <v>87</v>
      </c>
      <c r="H26" s="20" t="s">
        <v>133</v>
      </c>
      <c r="I26" s="37">
        <v>801.22</v>
      </c>
      <c r="J26" s="21">
        <v>41677</v>
      </c>
      <c r="K26" s="22" t="s">
        <v>335</v>
      </c>
      <c r="L26" s="22" t="s">
        <v>49</v>
      </c>
      <c r="M26" s="22" t="s">
        <v>37</v>
      </c>
      <c r="N26" s="22" t="s">
        <v>336</v>
      </c>
      <c r="O26" s="23">
        <v>110000</v>
      </c>
      <c r="P26" s="38">
        <f t="shared" si="0"/>
        <v>12125190</v>
      </c>
      <c r="Q26" s="39" t="s">
        <v>32</v>
      </c>
      <c r="R26" s="9">
        <v>110.229</v>
      </c>
      <c r="S26" s="40">
        <f t="shared" si="7"/>
        <v>41766</v>
      </c>
      <c r="T26" s="20" t="s">
        <v>130</v>
      </c>
      <c r="U26" s="41">
        <f t="shared" si="10"/>
        <v>14550.227999999999</v>
      </c>
      <c r="V26" s="36">
        <v>155.75</v>
      </c>
      <c r="W26" s="38">
        <f t="shared" si="11"/>
        <v>2266198.0109999999</v>
      </c>
      <c r="X26" s="45">
        <v>2266198.0099999998</v>
      </c>
      <c r="Y26" s="40">
        <v>41738</v>
      </c>
      <c r="Z26" s="48">
        <v>29504</v>
      </c>
      <c r="AA26" s="113"/>
    </row>
    <row r="27" spans="1:27" ht="20.25" customHeight="1">
      <c r="A27" s="35">
        <f t="shared" si="6"/>
        <v>22</v>
      </c>
      <c r="B27" s="36" t="s">
        <v>344</v>
      </c>
      <c r="C27" s="22" t="s">
        <v>663</v>
      </c>
      <c r="D27" s="21">
        <v>41835</v>
      </c>
      <c r="E27" s="17">
        <v>201400010025</v>
      </c>
      <c r="F27" s="20" t="s">
        <v>120</v>
      </c>
      <c r="G27" s="20" t="s">
        <v>47</v>
      </c>
      <c r="H27" s="20" t="s">
        <v>133</v>
      </c>
      <c r="I27" s="37">
        <v>801.22</v>
      </c>
      <c r="J27" s="21">
        <v>41677</v>
      </c>
      <c r="K27" s="22" t="s">
        <v>335</v>
      </c>
      <c r="L27" s="22" t="s">
        <v>49</v>
      </c>
      <c r="M27" s="22" t="s">
        <v>37</v>
      </c>
      <c r="N27" s="22" t="s">
        <v>336</v>
      </c>
      <c r="O27" s="23">
        <v>90000</v>
      </c>
      <c r="P27" s="38">
        <f t="shared" si="0"/>
        <v>9915300</v>
      </c>
      <c r="Q27" s="39" t="s">
        <v>32</v>
      </c>
      <c r="R27" s="9">
        <v>110.17</v>
      </c>
      <c r="S27" s="40">
        <f t="shared" si="7"/>
        <v>41766</v>
      </c>
      <c r="T27" s="20" t="s">
        <v>38</v>
      </c>
      <c r="U27" s="41">
        <f t="shared" si="10"/>
        <v>11898.359999999999</v>
      </c>
      <c r="V27" s="36">
        <v>155.75</v>
      </c>
      <c r="W27" s="38">
        <f t="shared" si="11"/>
        <v>1853169.5699999998</v>
      </c>
      <c r="X27" s="45">
        <v>1841271.21</v>
      </c>
      <c r="Y27" s="40">
        <v>41817</v>
      </c>
      <c r="Z27" s="48">
        <v>11210</v>
      </c>
      <c r="AA27" s="113"/>
    </row>
    <row r="28" spans="1:27" ht="16.5">
      <c r="A28" s="35">
        <f t="shared" si="6"/>
        <v>23</v>
      </c>
      <c r="B28" s="36" t="s">
        <v>345</v>
      </c>
      <c r="C28" s="20" t="s">
        <v>661</v>
      </c>
      <c r="D28" s="21">
        <v>41835</v>
      </c>
      <c r="E28" s="18">
        <v>201400010026</v>
      </c>
      <c r="F28" s="20" t="s">
        <v>120</v>
      </c>
      <c r="G28" s="20" t="s">
        <v>53</v>
      </c>
      <c r="H28" s="20" t="s">
        <v>133</v>
      </c>
      <c r="I28" s="37">
        <v>801.22</v>
      </c>
      <c r="J28" s="21">
        <v>41677</v>
      </c>
      <c r="K28" s="22" t="s">
        <v>335</v>
      </c>
      <c r="L28" s="22" t="s">
        <v>49</v>
      </c>
      <c r="M28" s="22" t="s">
        <v>37</v>
      </c>
      <c r="N28" s="22" t="s">
        <v>336</v>
      </c>
      <c r="O28" s="23">
        <v>104779</v>
      </c>
      <c r="P28" s="38">
        <f t="shared" si="0"/>
        <v>11579525.450200001</v>
      </c>
      <c r="Q28" s="39" t="s">
        <v>32</v>
      </c>
      <c r="R28" s="9">
        <v>110.5138</v>
      </c>
      <c r="S28" s="40">
        <f t="shared" si="7"/>
        <v>41766</v>
      </c>
      <c r="T28" s="20" t="s">
        <v>38</v>
      </c>
      <c r="U28" s="41">
        <f t="shared" si="10"/>
        <v>13895.43054024</v>
      </c>
      <c r="V28" s="36">
        <v>155.75</v>
      </c>
      <c r="W28" s="38">
        <f t="shared" si="11"/>
        <v>2164213.3066423801</v>
      </c>
      <c r="X28" s="45">
        <v>2150317.79</v>
      </c>
      <c r="Y28" s="40">
        <v>41817</v>
      </c>
      <c r="Z28" s="48">
        <v>11206</v>
      </c>
      <c r="AA28" s="113"/>
    </row>
    <row r="29" spans="1:27" ht="16.5">
      <c r="A29" s="35">
        <f t="shared" si="6"/>
        <v>24</v>
      </c>
      <c r="B29" s="36" t="s">
        <v>346</v>
      </c>
      <c r="C29" s="44" t="s">
        <v>347</v>
      </c>
      <c r="D29" s="21">
        <v>41698</v>
      </c>
      <c r="E29" s="26" t="s">
        <v>348</v>
      </c>
      <c r="F29" s="20" t="s">
        <v>278</v>
      </c>
      <c r="G29" s="20" t="s">
        <v>44</v>
      </c>
      <c r="H29" s="20" t="s">
        <v>45</v>
      </c>
      <c r="I29" s="37">
        <v>801.22</v>
      </c>
      <c r="J29" s="21">
        <v>41679</v>
      </c>
      <c r="K29" s="22" t="s">
        <v>349</v>
      </c>
      <c r="L29" s="22" t="s">
        <v>46</v>
      </c>
      <c r="M29" s="22" t="s">
        <v>113</v>
      </c>
      <c r="N29" s="20" t="s">
        <v>114</v>
      </c>
      <c r="O29" s="23">
        <v>855919</v>
      </c>
      <c r="P29" s="38">
        <f t="shared" si="0"/>
        <v>95472628.936000004</v>
      </c>
      <c r="Q29" s="39" t="s">
        <v>32</v>
      </c>
      <c r="R29" s="8">
        <v>111.544</v>
      </c>
      <c r="S29" s="40">
        <f t="shared" si="7"/>
        <v>41768</v>
      </c>
      <c r="T29" s="20" t="s">
        <v>278</v>
      </c>
      <c r="U29" s="41">
        <f t="shared" si="10"/>
        <v>114567.1547232</v>
      </c>
      <c r="V29" s="36">
        <v>155.75</v>
      </c>
      <c r="W29" s="38">
        <f t="shared" si="11"/>
        <v>17843834.348138399</v>
      </c>
      <c r="X29" s="45">
        <f t="shared" ref="X29:X30" si="12">W29</f>
        <v>17843834.348138399</v>
      </c>
      <c r="Y29" s="36"/>
      <c r="Z29" s="36"/>
      <c r="AA29" s="113"/>
    </row>
    <row r="30" spans="1:27" ht="16.5">
      <c r="A30" s="35">
        <f t="shared" si="6"/>
        <v>25</v>
      </c>
      <c r="B30" s="36" t="s">
        <v>350</v>
      </c>
      <c r="C30" s="44" t="s">
        <v>351</v>
      </c>
      <c r="D30" s="21">
        <v>41698</v>
      </c>
      <c r="E30" s="26" t="s">
        <v>352</v>
      </c>
      <c r="F30" s="20" t="s">
        <v>278</v>
      </c>
      <c r="G30" s="20" t="s">
        <v>44</v>
      </c>
      <c r="H30" s="20" t="s">
        <v>35</v>
      </c>
      <c r="I30" s="37">
        <v>801.22</v>
      </c>
      <c r="J30" s="21">
        <v>41680</v>
      </c>
      <c r="K30" s="20" t="s">
        <v>353</v>
      </c>
      <c r="L30" s="22" t="s">
        <v>36</v>
      </c>
      <c r="M30" s="22" t="s">
        <v>50</v>
      </c>
      <c r="N30" s="22" t="s">
        <v>51</v>
      </c>
      <c r="O30" s="23">
        <v>953126</v>
      </c>
      <c r="P30" s="38">
        <f t="shared" si="0"/>
        <v>106299283.402</v>
      </c>
      <c r="Q30" s="39" t="s">
        <v>32</v>
      </c>
      <c r="R30" s="8">
        <v>111.527</v>
      </c>
      <c r="S30" s="40">
        <f t="shared" si="7"/>
        <v>41769</v>
      </c>
      <c r="T30" s="20" t="s">
        <v>278</v>
      </c>
      <c r="U30" s="41">
        <f t="shared" si="10"/>
        <v>127559.14008239999</v>
      </c>
      <c r="V30" s="36">
        <v>155.75</v>
      </c>
      <c r="W30" s="38">
        <f t="shared" si="11"/>
        <v>19867336.067833796</v>
      </c>
      <c r="X30" s="45">
        <f t="shared" si="12"/>
        <v>19867336.067833796</v>
      </c>
      <c r="Y30" s="36"/>
      <c r="Z30" s="36"/>
      <c r="AA30" s="113"/>
    </row>
    <row r="31" spans="1:27" ht="16.5">
      <c r="A31" s="35">
        <f t="shared" si="6"/>
        <v>26</v>
      </c>
      <c r="B31" s="36" t="s">
        <v>354</v>
      </c>
      <c r="C31" s="44" t="s">
        <v>355</v>
      </c>
      <c r="D31" s="21">
        <v>41698</v>
      </c>
      <c r="E31" s="26" t="s">
        <v>356</v>
      </c>
      <c r="F31" s="20" t="s">
        <v>150</v>
      </c>
      <c r="G31" s="20" t="s">
        <v>279</v>
      </c>
      <c r="H31" s="20" t="s">
        <v>159</v>
      </c>
      <c r="I31" s="37">
        <v>801.22</v>
      </c>
      <c r="J31" s="21">
        <v>41681</v>
      </c>
      <c r="K31" s="20" t="s">
        <v>357</v>
      </c>
      <c r="L31" s="22" t="s">
        <v>160</v>
      </c>
      <c r="M31" s="22" t="s">
        <v>37</v>
      </c>
      <c r="N31" s="22" t="s">
        <v>358</v>
      </c>
      <c r="O31" s="23">
        <v>499379</v>
      </c>
      <c r="P31" s="38">
        <f t="shared" si="0"/>
        <v>51896963.817000002</v>
      </c>
      <c r="Q31" s="39" t="s">
        <v>32</v>
      </c>
      <c r="R31" s="49">
        <v>103.923</v>
      </c>
      <c r="S31" s="40">
        <f t="shared" si="7"/>
        <v>41770</v>
      </c>
      <c r="T31" s="20" t="s">
        <v>163</v>
      </c>
      <c r="U31" s="41">
        <f t="shared" si="10"/>
        <v>62276.356580399995</v>
      </c>
      <c r="V31" s="36">
        <v>155.75</v>
      </c>
      <c r="W31" s="38">
        <f t="shared" si="11"/>
        <v>9699542.537397299</v>
      </c>
      <c r="X31" s="45">
        <v>9699543.0700000003</v>
      </c>
      <c r="Y31" s="40">
        <v>41697</v>
      </c>
      <c r="Z31" s="48">
        <v>4608</v>
      </c>
      <c r="AA31" s="113"/>
    </row>
    <row r="32" spans="1:27" ht="42.75">
      <c r="A32" s="35">
        <f t="shared" si="6"/>
        <v>27</v>
      </c>
      <c r="B32" s="36" t="s">
        <v>359</v>
      </c>
      <c r="C32" s="44" t="s">
        <v>460</v>
      </c>
      <c r="D32" s="19">
        <v>41753</v>
      </c>
      <c r="E32" s="18" t="s">
        <v>458</v>
      </c>
      <c r="F32" s="20" t="s">
        <v>278</v>
      </c>
      <c r="G32" s="20" t="s">
        <v>44</v>
      </c>
      <c r="H32" s="20" t="s">
        <v>133</v>
      </c>
      <c r="I32" s="37">
        <v>801.22</v>
      </c>
      <c r="J32" s="21">
        <v>41690</v>
      </c>
      <c r="K32" s="22" t="s">
        <v>360</v>
      </c>
      <c r="L32" s="22" t="s">
        <v>49</v>
      </c>
      <c r="M32" s="22" t="s">
        <v>77</v>
      </c>
      <c r="N32" s="22" t="s">
        <v>145</v>
      </c>
      <c r="O32" s="23">
        <v>499863</v>
      </c>
      <c r="P32" s="38">
        <f t="shared" si="0"/>
        <v>55397316.975000001</v>
      </c>
      <c r="Q32" s="39" t="s">
        <v>32</v>
      </c>
      <c r="R32" s="49">
        <v>110.825</v>
      </c>
      <c r="S32" s="40">
        <f t="shared" si="7"/>
        <v>41779</v>
      </c>
      <c r="T32" s="20" t="s">
        <v>278</v>
      </c>
      <c r="U32" s="41">
        <f t="shared" si="10"/>
        <v>66476.780369999993</v>
      </c>
      <c r="V32" s="36">
        <v>155.75</v>
      </c>
      <c r="W32" s="38">
        <f t="shared" si="11"/>
        <v>10353758.542627499</v>
      </c>
      <c r="X32" s="45">
        <f t="shared" ref="X32:X38" si="13">W32</f>
        <v>10353758.542627499</v>
      </c>
      <c r="Y32" s="36"/>
      <c r="Z32" s="36"/>
      <c r="AA32" s="22" t="s">
        <v>516</v>
      </c>
    </row>
    <row r="33" spans="1:27" ht="16.5">
      <c r="A33" s="35">
        <f t="shared" si="6"/>
        <v>28</v>
      </c>
      <c r="B33" s="36" t="s">
        <v>361</v>
      </c>
      <c r="C33" s="44" t="s">
        <v>362</v>
      </c>
      <c r="D33" s="21">
        <v>41698</v>
      </c>
      <c r="E33" s="27" t="s">
        <v>363</v>
      </c>
      <c r="F33" s="20" t="s">
        <v>278</v>
      </c>
      <c r="G33" s="20" t="s">
        <v>44</v>
      </c>
      <c r="H33" s="20" t="s">
        <v>29</v>
      </c>
      <c r="I33" s="37">
        <v>801.22</v>
      </c>
      <c r="J33" s="21">
        <v>41693</v>
      </c>
      <c r="K33" s="22" t="s">
        <v>364</v>
      </c>
      <c r="L33" s="22" t="s">
        <v>30</v>
      </c>
      <c r="M33" s="22" t="s">
        <v>54</v>
      </c>
      <c r="N33" s="22" t="s">
        <v>55</v>
      </c>
      <c r="O33" s="23">
        <v>548044</v>
      </c>
      <c r="P33" s="38">
        <f t="shared" si="0"/>
        <v>59980675.579999998</v>
      </c>
      <c r="Q33" s="39" t="s">
        <v>32</v>
      </c>
      <c r="R33" s="49">
        <v>109.44499999999999</v>
      </c>
      <c r="S33" s="40">
        <f t="shared" si="7"/>
        <v>41782</v>
      </c>
      <c r="T33" s="20" t="s">
        <v>278</v>
      </c>
      <c r="U33" s="41">
        <f t="shared" si="10"/>
        <v>71976.810695999986</v>
      </c>
      <c r="V33" s="36">
        <v>155.75</v>
      </c>
      <c r="W33" s="38">
        <f t="shared" si="11"/>
        <v>11210388.265901998</v>
      </c>
      <c r="X33" s="45">
        <f t="shared" si="13"/>
        <v>11210388.265901998</v>
      </c>
      <c r="Y33" s="36"/>
      <c r="Z33" s="36"/>
      <c r="AA33" s="113"/>
    </row>
    <row r="34" spans="1:27" ht="16.5">
      <c r="A34" s="35">
        <f t="shared" si="6"/>
        <v>29</v>
      </c>
      <c r="B34" s="36" t="s">
        <v>365</v>
      </c>
      <c r="C34" s="44" t="s">
        <v>366</v>
      </c>
      <c r="D34" s="21">
        <v>41698</v>
      </c>
      <c r="E34" s="27" t="s">
        <v>367</v>
      </c>
      <c r="F34" s="20" t="s">
        <v>278</v>
      </c>
      <c r="G34" s="20" t="s">
        <v>44</v>
      </c>
      <c r="H34" s="20" t="s">
        <v>29</v>
      </c>
      <c r="I34" s="37">
        <v>801.22</v>
      </c>
      <c r="J34" s="21">
        <v>41693</v>
      </c>
      <c r="K34" s="22" t="s">
        <v>364</v>
      </c>
      <c r="L34" s="22" t="s">
        <v>30</v>
      </c>
      <c r="M34" s="22" t="s">
        <v>54</v>
      </c>
      <c r="N34" s="22" t="s">
        <v>55</v>
      </c>
      <c r="O34" s="23">
        <v>400000</v>
      </c>
      <c r="P34" s="38">
        <f t="shared" si="0"/>
        <v>43778000</v>
      </c>
      <c r="Q34" s="39" t="s">
        <v>32</v>
      </c>
      <c r="R34" s="49">
        <v>109.44499999999999</v>
      </c>
      <c r="S34" s="40">
        <f t="shared" si="7"/>
        <v>41782</v>
      </c>
      <c r="T34" s="20" t="s">
        <v>278</v>
      </c>
      <c r="U34" s="41">
        <f t="shared" si="10"/>
        <v>52533.599999999999</v>
      </c>
      <c r="V34" s="36">
        <v>155.75</v>
      </c>
      <c r="W34" s="38">
        <f t="shared" si="11"/>
        <v>8182108.2000000002</v>
      </c>
      <c r="X34" s="45">
        <f t="shared" si="13"/>
        <v>8182108.2000000002</v>
      </c>
      <c r="Y34" s="36"/>
      <c r="Z34" s="36"/>
      <c r="AA34" s="113"/>
    </row>
    <row r="35" spans="1:27" ht="42.75">
      <c r="A35" s="35">
        <f t="shared" si="6"/>
        <v>30</v>
      </c>
      <c r="B35" s="36" t="s">
        <v>368</v>
      </c>
      <c r="C35" s="44" t="s">
        <v>460</v>
      </c>
      <c r="D35" s="19">
        <v>41753</v>
      </c>
      <c r="E35" s="18" t="s">
        <v>459</v>
      </c>
      <c r="F35" s="20" t="s">
        <v>278</v>
      </c>
      <c r="G35" s="20" t="s">
        <v>44</v>
      </c>
      <c r="H35" s="20" t="s">
        <v>133</v>
      </c>
      <c r="I35" s="37">
        <v>801.22</v>
      </c>
      <c r="J35" s="21">
        <v>41693</v>
      </c>
      <c r="K35" s="22" t="s">
        <v>96</v>
      </c>
      <c r="L35" s="22" t="s">
        <v>49</v>
      </c>
      <c r="M35" s="22" t="s">
        <v>77</v>
      </c>
      <c r="N35" s="22" t="s">
        <v>145</v>
      </c>
      <c r="O35" s="23">
        <v>421023</v>
      </c>
      <c r="P35" s="38">
        <f t="shared" si="0"/>
        <v>46563038.685000002</v>
      </c>
      <c r="Q35" s="39" t="s">
        <v>32</v>
      </c>
      <c r="R35" s="8">
        <v>110.595</v>
      </c>
      <c r="S35" s="40">
        <f t="shared" si="7"/>
        <v>41782</v>
      </c>
      <c r="T35" s="20" t="s">
        <v>278</v>
      </c>
      <c r="U35" s="41">
        <f t="shared" si="10"/>
        <v>55875.646421999998</v>
      </c>
      <c r="V35" s="36">
        <v>155.75</v>
      </c>
      <c r="W35" s="38">
        <f t="shared" si="11"/>
        <v>8702631.9302264992</v>
      </c>
      <c r="X35" s="45">
        <f t="shared" si="13"/>
        <v>8702631.9302264992</v>
      </c>
      <c r="Y35" s="36"/>
      <c r="Z35" s="36"/>
      <c r="AA35" s="22" t="s">
        <v>517</v>
      </c>
    </row>
    <row r="36" spans="1:27" ht="16.5">
      <c r="A36" s="35">
        <f t="shared" si="6"/>
        <v>31</v>
      </c>
      <c r="B36" s="36" t="s">
        <v>369</v>
      </c>
      <c r="C36" s="44" t="s">
        <v>461</v>
      </c>
      <c r="D36" s="19">
        <v>41753</v>
      </c>
      <c r="E36" s="27" t="s">
        <v>455</v>
      </c>
      <c r="F36" s="20" t="s">
        <v>278</v>
      </c>
      <c r="G36" s="20" t="s">
        <v>44</v>
      </c>
      <c r="H36" s="20" t="s">
        <v>133</v>
      </c>
      <c r="I36" s="37">
        <v>801.22</v>
      </c>
      <c r="J36" s="21">
        <v>41695</v>
      </c>
      <c r="K36" s="22" t="s">
        <v>370</v>
      </c>
      <c r="L36" s="22" t="s">
        <v>49</v>
      </c>
      <c r="M36" s="22" t="s">
        <v>78</v>
      </c>
      <c r="N36" s="22" t="s">
        <v>371</v>
      </c>
      <c r="O36" s="23">
        <v>63000</v>
      </c>
      <c r="P36" s="38">
        <f t="shared" si="0"/>
        <v>6969564</v>
      </c>
      <c r="Q36" s="39" t="s">
        <v>32</v>
      </c>
      <c r="R36" s="49">
        <v>110.628</v>
      </c>
      <c r="S36" s="40">
        <f t="shared" si="7"/>
        <v>41784</v>
      </c>
      <c r="T36" s="20" t="s">
        <v>278</v>
      </c>
      <c r="U36" s="41">
        <f t="shared" si="10"/>
        <v>8363.4767999999985</v>
      </c>
      <c r="V36" s="36">
        <v>155.75</v>
      </c>
      <c r="W36" s="38">
        <f t="shared" si="11"/>
        <v>1302611.5115999999</v>
      </c>
      <c r="X36" s="45">
        <f t="shared" si="13"/>
        <v>1302611.5115999999</v>
      </c>
      <c r="Y36" s="36"/>
      <c r="Z36" s="36"/>
      <c r="AA36" s="113"/>
    </row>
    <row r="37" spans="1:27" ht="16.5">
      <c r="A37" s="35">
        <f t="shared" si="6"/>
        <v>32</v>
      </c>
      <c r="B37" s="36" t="s">
        <v>372</v>
      </c>
      <c r="C37" s="44" t="s">
        <v>462</v>
      </c>
      <c r="D37" s="19">
        <v>41753</v>
      </c>
      <c r="E37" s="27" t="s">
        <v>456</v>
      </c>
      <c r="F37" s="20" t="s">
        <v>278</v>
      </c>
      <c r="G37" s="20" t="s">
        <v>44</v>
      </c>
      <c r="H37" s="20" t="s">
        <v>133</v>
      </c>
      <c r="I37" s="37">
        <v>801.22</v>
      </c>
      <c r="J37" s="21">
        <v>41695</v>
      </c>
      <c r="K37" s="22" t="s">
        <v>370</v>
      </c>
      <c r="L37" s="22" t="s">
        <v>49</v>
      </c>
      <c r="M37" s="22" t="s">
        <v>78</v>
      </c>
      <c r="N37" s="22" t="s">
        <v>371</v>
      </c>
      <c r="O37" s="23">
        <v>42000</v>
      </c>
      <c r="P37" s="38">
        <f t="shared" si="0"/>
        <v>4646376</v>
      </c>
      <c r="Q37" s="39" t="s">
        <v>32</v>
      </c>
      <c r="R37" s="49">
        <v>110.628</v>
      </c>
      <c r="S37" s="40">
        <f t="shared" si="7"/>
        <v>41784</v>
      </c>
      <c r="T37" s="20" t="s">
        <v>278</v>
      </c>
      <c r="U37" s="41">
        <f t="shared" si="10"/>
        <v>5575.6511999999993</v>
      </c>
      <c r="V37" s="36">
        <v>155.75</v>
      </c>
      <c r="W37" s="38">
        <f t="shared" si="11"/>
        <v>868407.6743999999</v>
      </c>
      <c r="X37" s="45">
        <f t="shared" si="13"/>
        <v>868407.6743999999</v>
      </c>
      <c r="Y37" s="36"/>
      <c r="Z37" s="36"/>
      <c r="AA37" s="113"/>
    </row>
    <row r="38" spans="1:27" ht="16.5">
      <c r="A38" s="35">
        <f t="shared" si="6"/>
        <v>33</v>
      </c>
      <c r="B38" s="36" t="s">
        <v>373</v>
      </c>
      <c r="C38" s="44" t="s">
        <v>463</v>
      </c>
      <c r="D38" s="19">
        <v>41753</v>
      </c>
      <c r="E38" s="27" t="s">
        <v>457</v>
      </c>
      <c r="F38" s="20" t="s">
        <v>278</v>
      </c>
      <c r="G38" s="20" t="s">
        <v>44</v>
      </c>
      <c r="H38" s="20" t="s">
        <v>133</v>
      </c>
      <c r="I38" s="37">
        <v>801.22</v>
      </c>
      <c r="J38" s="21">
        <v>41695</v>
      </c>
      <c r="K38" s="22" t="s">
        <v>370</v>
      </c>
      <c r="L38" s="22" t="s">
        <v>49</v>
      </c>
      <c r="M38" s="22" t="s">
        <v>78</v>
      </c>
      <c r="N38" s="22" t="s">
        <v>371</v>
      </c>
      <c r="O38" s="23">
        <v>144472</v>
      </c>
      <c r="P38" s="38">
        <f t="shared" si="0"/>
        <v>15982648.415999999</v>
      </c>
      <c r="Q38" s="39" t="s">
        <v>32</v>
      </c>
      <c r="R38" s="49">
        <v>110.628</v>
      </c>
      <c r="S38" s="40">
        <f t="shared" si="7"/>
        <v>41784</v>
      </c>
      <c r="T38" s="20" t="s">
        <v>278</v>
      </c>
      <c r="U38" s="41">
        <f t="shared" si="10"/>
        <v>19179.178099199999</v>
      </c>
      <c r="V38" s="36">
        <v>155.75</v>
      </c>
      <c r="W38" s="38">
        <f t="shared" si="11"/>
        <v>2987156.9889503997</v>
      </c>
      <c r="X38" s="45">
        <f t="shared" si="13"/>
        <v>2987156.9889503997</v>
      </c>
      <c r="Y38" s="36"/>
      <c r="Z38" s="36"/>
      <c r="AA38" s="113"/>
    </row>
    <row r="39" spans="1:27" ht="16.5">
      <c r="A39" s="35">
        <f t="shared" si="6"/>
        <v>34</v>
      </c>
      <c r="B39" s="36" t="s">
        <v>374</v>
      </c>
      <c r="C39" s="44" t="s">
        <v>527</v>
      </c>
      <c r="D39" s="21">
        <v>41785</v>
      </c>
      <c r="E39" s="27" t="s">
        <v>444</v>
      </c>
      <c r="F39" s="20" t="s">
        <v>163</v>
      </c>
      <c r="G39" s="20" t="s">
        <v>34</v>
      </c>
      <c r="H39" s="20" t="s">
        <v>35</v>
      </c>
      <c r="I39" s="37">
        <v>801.22</v>
      </c>
      <c r="J39" s="21">
        <v>41696</v>
      </c>
      <c r="K39" s="22" t="s">
        <v>375</v>
      </c>
      <c r="L39" s="22" t="s">
        <v>36</v>
      </c>
      <c r="M39" s="22" t="s">
        <v>50</v>
      </c>
      <c r="N39" s="22" t="s">
        <v>51</v>
      </c>
      <c r="O39" s="23">
        <v>945742</v>
      </c>
      <c r="P39" s="38">
        <f t="shared" si="0"/>
        <v>104519433.7236</v>
      </c>
      <c r="Q39" s="39" t="s">
        <v>32</v>
      </c>
      <c r="R39" s="49">
        <v>110.5158</v>
      </c>
      <c r="S39" s="40">
        <f t="shared" si="7"/>
        <v>41785</v>
      </c>
      <c r="T39" s="20" t="s">
        <v>38</v>
      </c>
      <c r="U39" s="41">
        <f t="shared" si="10"/>
        <v>125423.32046831999</v>
      </c>
      <c r="V39" s="36">
        <v>155.75</v>
      </c>
      <c r="W39" s="38">
        <f t="shared" si="11"/>
        <v>19534682.162940837</v>
      </c>
      <c r="X39" s="45">
        <v>19730028.98</v>
      </c>
      <c r="Y39" s="40">
        <v>41768</v>
      </c>
      <c r="Z39" s="48">
        <v>9966</v>
      </c>
      <c r="AA39" s="113"/>
    </row>
    <row r="40" spans="1:27" ht="16.5">
      <c r="A40" s="35">
        <f t="shared" si="6"/>
        <v>35</v>
      </c>
      <c r="B40" s="36" t="s">
        <v>376</v>
      </c>
      <c r="C40" s="44" t="s">
        <v>388</v>
      </c>
      <c r="D40" s="40">
        <v>41711</v>
      </c>
      <c r="E40" s="27" t="s">
        <v>382</v>
      </c>
      <c r="F40" s="20" t="s">
        <v>150</v>
      </c>
      <c r="G40" s="20" t="s">
        <v>279</v>
      </c>
      <c r="H40" s="20" t="s">
        <v>159</v>
      </c>
      <c r="I40" s="37">
        <v>801.22</v>
      </c>
      <c r="J40" s="21">
        <v>41697</v>
      </c>
      <c r="K40" s="22" t="s">
        <v>62</v>
      </c>
      <c r="L40" s="22" t="s">
        <v>160</v>
      </c>
      <c r="M40" s="20" t="s">
        <v>80</v>
      </c>
      <c r="N40" s="22" t="s">
        <v>166</v>
      </c>
      <c r="O40" s="23">
        <v>698289</v>
      </c>
      <c r="P40" s="38">
        <f t="shared" si="0"/>
        <v>73198842.714000002</v>
      </c>
      <c r="Q40" s="39" t="s">
        <v>32</v>
      </c>
      <c r="R40" s="49">
        <v>104.82599999999999</v>
      </c>
      <c r="S40" s="40">
        <f t="shared" si="7"/>
        <v>41786</v>
      </c>
      <c r="T40" s="20" t="s">
        <v>163</v>
      </c>
      <c r="U40" s="41">
        <f t="shared" si="10"/>
        <v>87838.611256799995</v>
      </c>
      <c r="V40" s="36">
        <v>155.75</v>
      </c>
      <c r="W40" s="38">
        <f t="shared" si="11"/>
        <v>13680863.703246599</v>
      </c>
      <c r="X40" s="45">
        <v>13680863.51</v>
      </c>
      <c r="Y40" s="40">
        <v>41709</v>
      </c>
      <c r="Z40" s="48">
        <v>4617</v>
      </c>
      <c r="AA40" s="113"/>
    </row>
    <row r="41" spans="1:27" ht="16.5">
      <c r="A41" s="35">
        <f t="shared" si="6"/>
        <v>36</v>
      </c>
      <c r="B41" s="36" t="s">
        <v>377</v>
      </c>
      <c r="C41" s="44" t="s">
        <v>378</v>
      </c>
      <c r="D41" s="21">
        <v>41698</v>
      </c>
      <c r="E41" s="26" t="s">
        <v>379</v>
      </c>
      <c r="F41" s="20" t="s">
        <v>278</v>
      </c>
      <c r="G41" s="20" t="s">
        <v>44</v>
      </c>
      <c r="H41" s="20" t="s">
        <v>45</v>
      </c>
      <c r="I41" s="37">
        <v>801.22</v>
      </c>
      <c r="J41" s="21">
        <v>41698</v>
      </c>
      <c r="K41" s="22" t="s">
        <v>380</v>
      </c>
      <c r="L41" s="22" t="s">
        <v>46</v>
      </c>
      <c r="M41" s="22" t="s">
        <v>78</v>
      </c>
      <c r="N41" s="22" t="s">
        <v>381</v>
      </c>
      <c r="O41" s="52">
        <v>899814</v>
      </c>
      <c r="P41" s="53">
        <f t="shared" si="0"/>
        <v>100105207.31400001</v>
      </c>
      <c r="Q41" s="39" t="s">
        <v>32</v>
      </c>
      <c r="R41" s="49">
        <v>111.251</v>
      </c>
      <c r="S41" s="40">
        <f t="shared" si="7"/>
        <v>41787</v>
      </c>
      <c r="T41" s="20" t="s">
        <v>278</v>
      </c>
      <c r="U41" s="54">
        <f t="shared" si="10"/>
        <v>120126.2487768</v>
      </c>
      <c r="V41" s="36">
        <v>155.75</v>
      </c>
      <c r="W41" s="53">
        <f t="shared" si="11"/>
        <v>18709663.246986602</v>
      </c>
      <c r="X41" s="45">
        <f t="shared" ref="X41" si="14">W41</f>
        <v>18709663.246986602</v>
      </c>
      <c r="Y41" s="36"/>
      <c r="Z41" s="36"/>
      <c r="AA41" s="113"/>
    </row>
    <row r="42" spans="1:27" s="2" customFormat="1" ht="18.75" customHeight="1">
      <c r="A42" s="35">
        <f t="shared" si="6"/>
        <v>37</v>
      </c>
      <c r="B42" s="36" t="s">
        <v>427</v>
      </c>
      <c r="C42" s="44" t="s">
        <v>524</v>
      </c>
      <c r="D42" s="21">
        <v>41778</v>
      </c>
      <c r="E42" s="27" t="s">
        <v>408</v>
      </c>
      <c r="F42" s="22" t="s">
        <v>120</v>
      </c>
      <c r="G42" s="22" t="s">
        <v>28</v>
      </c>
      <c r="H42" s="22" t="s">
        <v>133</v>
      </c>
      <c r="I42" s="37">
        <v>801.22</v>
      </c>
      <c r="J42" s="19">
        <v>41703</v>
      </c>
      <c r="K42" s="51" t="s">
        <v>107</v>
      </c>
      <c r="L42" s="51" t="s">
        <v>49</v>
      </c>
      <c r="M42" s="22" t="s">
        <v>41</v>
      </c>
      <c r="N42" s="20" t="s">
        <v>42</v>
      </c>
      <c r="O42" s="23">
        <v>180000</v>
      </c>
      <c r="P42" s="53">
        <f t="shared" si="0"/>
        <v>19768320</v>
      </c>
      <c r="Q42" s="39" t="s">
        <v>32</v>
      </c>
      <c r="R42" s="9">
        <v>109.824</v>
      </c>
      <c r="S42" s="40">
        <f t="shared" si="7"/>
        <v>41792</v>
      </c>
      <c r="T42" s="22" t="s">
        <v>27</v>
      </c>
      <c r="U42" s="54">
        <f t="shared" si="10"/>
        <v>23721.983999999997</v>
      </c>
      <c r="V42" s="36">
        <v>155.74</v>
      </c>
      <c r="W42" s="53">
        <f t="shared" si="11"/>
        <v>3694461.7881599995</v>
      </c>
      <c r="X42" s="45">
        <v>3694461.17</v>
      </c>
      <c r="Y42" s="40">
        <v>41773</v>
      </c>
      <c r="Z42" s="48">
        <v>1439</v>
      </c>
      <c r="AA42" s="114"/>
    </row>
    <row r="43" spans="1:27" ht="18.75" customHeight="1">
      <c r="A43" s="35">
        <f t="shared" si="6"/>
        <v>38</v>
      </c>
      <c r="B43" s="36" t="s">
        <v>428</v>
      </c>
      <c r="C43" s="20" t="s">
        <v>534</v>
      </c>
      <c r="D43" s="21">
        <v>41789</v>
      </c>
      <c r="E43" s="27" t="s">
        <v>409</v>
      </c>
      <c r="F43" s="22" t="s">
        <v>163</v>
      </c>
      <c r="G43" s="22" t="s">
        <v>65</v>
      </c>
      <c r="H43" s="22" t="s">
        <v>133</v>
      </c>
      <c r="I43" s="37">
        <v>801.22</v>
      </c>
      <c r="J43" s="19">
        <v>41703</v>
      </c>
      <c r="K43" s="51" t="s">
        <v>107</v>
      </c>
      <c r="L43" s="51" t="s">
        <v>49</v>
      </c>
      <c r="M43" s="22" t="s">
        <v>41</v>
      </c>
      <c r="N43" s="20" t="s">
        <v>42</v>
      </c>
      <c r="O43" s="57">
        <v>349000</v>
      </c>
      <c r="P43" s="53">
        <f t="shared" si="0"/>
        <v>38328576</v>
      </c>
      <c r="Q43" s="39" t="s">
        <v>32</v>
      </c>
      <c r="R43" s="9">
        <v>109.824</v>
      </c>
      <c r="S43" s="40">
        <f t="shared" si="7"/>
        <v>41792</v>
      </c>
      <c r="T43" s="20" t="s">
        <v>38</v>
      </c>
      <c r="U43" s="54">
        <f t="shared" si="10"/>
        <v>45994.291199999992</v>
      </c>
      <c r="V43" s="36">
        <v>155.74</v>
      </c>
      <c r="W43" s="53">
        <f t="shared" si="11"/>
        <v>7163150.9114879994</v>
      </c>
      <c r="X43" s="45">
        <v>7388058.4000000004</v>
      </c>
      <c r="Y43" s="40">
        <v>41787</v>
      </c>
      <c r="Z43" s="48">
        <v>7714</v>
      </c>
      <c r="AA43" s="113"/>
    </row>
    <row r="44" spans="1:27" ht="18.75" customHeight="1">
      <c r="A44" s="35">
        <f t="shared" si="6"/>
        <v>39</v>
      </c>
      <c r="B44" s="36" t="s">
        <v>429</v>
      </c>
      <c r="C44" s="22" t="s">
        <v>664</v>
      </c>
      <c r="D44" s="21">
        <v>41835</v>
      </c>
      <c r="E44" s="27" t="s">
        <v>410</v>
      </c>
      <c r="F44" s="22" t="s">
        <v>120</v>
      </c>
      <c r="G44" s="22" t="s">
        <v>47</v>
      </c>
      <c r="H44" s="22" t="s">
        <v>133</v>
      </c>
      <c r="I44" s="37">
        <v>801.22</v>
      </c>
      <c r="J44" s="19">
        <v>41703</v>
      </c>
      <c r="K44" s="51" t="s">
        <v>107</v>
      </c>
      <c r="L44" s="51" t="s">
        <v>49</v>
      </c>
      <c r="M44" s="22" t="s">
        <v>41</v>
      </c>
      <c r="N44" s="20" t="s">
        <v>42</v>
      </c>
      <c r="O44" s="57">
        <v>80000</v>
      </c>
      <c r="P44" s="53">
        <f t="shared" si="0"/>
        <v>8711920</v>
      </c>
      <c r="Q44" s="39" t="s">
        <v>32</v>
      </c>
      <c r="R44" s="9">
        <v>108.899</v>
      </c>
      <c r="S44" s="40">
        <f t="shared" si="7"/>
        <v>41792</v>
      </c>
      <c r="T44" s="20" t="s">
        <v>38</v>
      </c>
      <c r="U44" s="54">
        <f t="shared" si="10"/>
        <v>10454.303999999998</v>
      </c>
      <c r="V44" s="36">
        <v>155.74</v>
      </c>
      <c r="W44" s="53">
        <f t="shared" si="11"/>
        <v>1628153.3049599999</v>
      </c>
      <c r="X44" s="45">
        <v>1617802.93</v>
      </c>
      <c r="Y44" s="40">
        <v>41817</v>
      </c>
      <c r="Z44" s="48">
        <v>11212</v>
      </c>
      <c r="AA44" s="113"/>
    </row>
    <row r="45" spans="1:27" ht="18.75" customHeight="1">
      <c r="A45" s="35">
        <f t="shared" si="6"/>
        <v>40</v>
      </c>
      <c r="B45" s="36" t="s">
        <v>430</v>
      </c>
      <c r="C45" s="20" t="s">
        <v>662</v>
      </c>
      <c r="D45" s="21">
        <v>41835</v>
      </c>
      <c r="E45" s="26" t="s">
        <v>411</v>
      </c>
      <c r="F45" s="22" t="s">
        <v>120</v>
      </c>
      <c r="G45" s="22" t="s">
        <v>53</v>
      </c>
      <c r="H45" s="22" t="s">
        <v>133</v>
      </c>
      <c r="I45" s="37">
        <v>801.22</v>
      </c>
      <c r="J45" s="21">
        <v>41703</v>
      </c>
      <c r="K45" s="22" t="s">
        <v>107</v>
      </c>
      <c r="L45" s="22" t="s">
        <v>49</v>
      </c>
      <c r="M45" s="22" t="s">
        <v>41</v>
      </c>
      <c r="N45" s="20" t="s">
        <v>42</v>
      </c>
      <c r="O45" s="23">
        <v>377938</v>
      </c>
      <c r="P45" s="38">
        <f t="shared" si="0"/>
        <v>41460478.888400003</v>
      </c>
      <c r="Q45" s="39" t="s">
        <v>32</v>
      </c>
      <c r="R45" s="9">
        <v>109.70180000000001</v>
      </c>
      <c r="S45" s="40">
        <f t="shared" si="7"/>
        <v>41792</v>
      </c>
      <c r="T45" s="20" t="s">
        <v>38</v>
      </c>
      <c r="U45" s="41">
        <f t="shared" si="10"/>
        <v>49752.57466608</v>
      </c>
      <c r="V45" s="36">
        <v>155.74</v>
      </c>
      <c r="W45" s="38">
        <f t="shared" si="11"/>
        <v>7748465.9784952998</v>
      </c>
      <c r="X45" s="45">
        <v>7699210.21</v>
      </c>
      <c r="Y45" s="40">
        <v>41817</v>
      </c>
      <c r="Z45" s="48">
        <v>11207</v>
      </c>
      <c r="AA45" s="113"/>
    </row>
    <row r="46" spans="1:27" ht="18.75" customHeight="1">
      <c r="A46" s="35">
        <f t="shared" si="6"/>
        <v>41</v>
      </c>
      <c r="B46" s="36" t="s">
        <v>435</v>
      </c>
      <c r="C46" s="44" t="s">
        <v>403</v>
      </c>
      <c r="D46" s="21">
        <v>41729</v>
      </c>
      <c r="E46" s="26" t="s">
        <v>412</v>
      </c>
      <c r="F46" s="22" t="s">
        <v>278</v>
      </c>
      <c r="G46" s="22" t="s">
        <v>44</v>
      </c>
      <c r="H46" s="22" t="s">
        <v>29</v>
      </c>
      <c r="I46" s="37">
        <v>801.22</v>
      </c>
      <c r="J46" s="21">
        <v>41708</v>
      </c>
      <c r="K46" s="22" t="s">
        <v>420</v>
      </c>
      <c r="L46" s="22" t="s">
        <v>30</v>
      </c>
      <c r="M46" s="22" t="s">
        <v>37</v>
      </c>
      <c r="N46" s="20" t="s">
        <v>66</v>
      </c>
      <c r="O46" s="23">
        <v>400000</v>
      </c>
      <c r="P46" s="38">
        <f t="shared" si="0"/>
        <v>43323600</v>
      </c>
      <c r="Q46" s="39" t="s">
        <v>32</v>
      </c>
      <c r="R46" s="8">
        <v>108.309</v>
      </c>
      <c r="S46" s="40">
        <f t="shared" si="7"/>
        <v>41797</v>
      </c>
      <c r="T46" s="22" t="s">
        <v>278</v>
      </c>
      <c r="U46" s="41">
        <f t="shared" si="10"/>
        <v>51988.319999999992</v>
      </c>
      <c r="V46" s="36">
        <v>155.74</v>
      </c>
      <c r="W46" s="38">
        <f t="shared" si="11"/>
        <v>8096660.9567999989</v>
      </c>
      <c r="X46" s="45">
        <f t="shared" ref="X46:X48" si="15">W46</f>
        <v>8096660.9567999989</v>
      </c>
      <c r="Y46" s="36"/>
      <c r="Z46" s="36"/>
      <c r="AA46" s="113"/>
    </row>
    <row r="47" spans="1:27" ht="18.75" customHeight="1">
      <c r="A47" s="35">
        <f t="shared" si="6"/>
        <v>42</v>
      </c>
      <c r="B47" s="36" t="s">
        <v>436</v>
      </c>
      <c r="C47" s="44" t="s">
        <v>404</v>
      </c>
      <c r="D47" s="21">
        <v>41729</v>
      </c>
      <c r="E47" s="26" t="s">
        <v>413</v>
      </c>
      <c r="F47" s="22" t="s">
        <v>278</v>
      </c>
      <c r="G47" s="22" t="s">
        <v>44</v>
      </c>
      <c r="H47" s="22" t="s">
        <v>29</v>
      </c>
      <c r="I47" s="37">
        <v>801.22</v>
      </c>
      <c r="J47" s="21">
        <v>41708</v>
      </c>
      <c r="K47" s="22" t="s">
        <v>420</v>
      </c>
      <c r="L47" s="22" t="s">
        <v>30</v>
      </c>
      <c r="M47" s="22" t="s">
        <v>37</v>
      </c>
      <c r="N47" s="20" t="s">
        <v>66</v>
      </c>
      <c r="O47" s="23">
        <v>548515</v>
      </c>
      <c r="P47" s="38">
        <f t="shared" si="0"/>
        <v>59409111.134999998</v>
      </c>
      <c r="Q47" s="39" t="s">
        <v>32</v>
      </c>
      <c r="R47" s="8">
        <v>108.309</v>
      </c>
      <c r="S47" s="40">
        <f t="shared" si="7"/>
        <v>41797</v>
      </c>
      <c r="T47" s="22" t="s">
        <v>278</v>
      </c>
      <c r="U47" s="41">
        <f t="shared" si="10"/>
        <v>71290.933361999996</v>
      </c>
      <c r="V47" s="36">
        <v>155.74</v>
      </c>
      <c r="W47" s="38">
        <f t="shared" si="11"/>
        <v>11102849.96179788</v>
      </c>
      <c r="X47" s="45">
        <f t="shared" si="15"/>
        <v>11102849.96179788</v>
      </c>
      <c r="Y47" s="36"/>
      <c r="Z47" s="36"/>
      <c r="AA47" s="113"/>
    </row>
    <row r="48" spans="1:27" ht="18.75" customHeight="1">
      <c r="A48" s="35">
        <f t="shared" si="6"/>
        <v>43</v>
      </c>
      <c r="B48" s="36" t="s">
        <v>438</v>
      </c>
      <c r="C48" s="44" t="s">
        <v>405</v>
      </c>
      <c r="D48" s="21">
        <v>41729</v>
      </c>
      <c r="E48" s="18" t="s">
        <v>414</v>
      </c>
      <c r="F48" s="22" t="s">
        <v>278</v>
      </c>
      <c r="G48" s="22" t="s">
        <v>44</v>
      </c>
      <c r="H48" s="22" t="s">
        <v>35</v>
      </c>
      <c r="I48" s="37">
        <v>801.22</v>
      </c>
      <c r="J48" s="21">
        <v>41714</v>
      </c>
      <c r="K48" s="22" t="s">
        <v>121</v>
      </c>
      <c r="L48" s="22" t="s">
        <v>36</v>
      </c>
      <c r="M48" s="22" t="s">
        <v>78</v>
      </c>
      <c r="N48" s="20" t="s">
        <v>131</v>
      </c>
      <c r="O48" s="23">
        <v>950034</v>
      </c>
      <c r="P48" s="38">
        <f t="shared" si="0"/>
        <v>103989771.60600001</v>
      </c>
      <c r="Q48" s="39" t="s">
        <v>32</v>
      </c>
      <c r="R48" s="8">
        <v>109.459</v>
      </c>
      <c r="S48" s="40">
        <f t="shared" si="7"/>
        <v>41803</v>
      </c>
      <c r="T48" s="22" t="s">
        <v>278</v>
      </c>
      <c r="U48" s="41">
        <f t="shared" si="10"/>
        <v>124787.72592719999</v>
      </c>
      <c r="V48" s="36">
        <v>155.74</v>
      </c>
      <c r="W48" s="38">
        <f t="shared" si="11"/>
        <v>19434440.43590213</v>
      </c>
      <c r="X48" s="45">
        <f t="shared" si="15"/>
        <v>19434440.43590213</v>
      </c>
      <c r="Y48" s="36"/>
      <c r="Z48" s="36"/>
      <c r="AA48" s="113"/>
    </row>
    <row r="49" spans="1:27" ht="18.75" customHeight="1">
      <c r="A49" s="35">
        <f t="shared" si="6"/>
        <v>44</v>
      </c>
      <c r="B49" s="36" t="s">
        <v>431</v>
      </c>
      <c r="C49" s="44" t="s">
        <v>72</v>
      </c>
      <c r="D49" s="21"/>
      <c r="E49" s="26" t="s">
        <v>415</v>
      </c>
      <c r="F49" s="22" t="s">
        <v>150</v>
      </c>
      <c r="G49" s="22" t="s">
        <v>151</v>
      </c>
      <c r="H49" s="22" t="s">
        <v>133</v>
      </c>
      <c r="I49" s="37">
        <v>801.22</v>
      </c>
      <c r="J49" s="21">
        <v>41717</v>
      </c>
      <c r="K49" s="22" t="s">
        <v>119</v>
      </c>
      <c r="L49" s="22" t="s">
        <v>49</v>
      </c>
      <c r="M49" s="22" t="s">
        <v>141</v>
      </c>
      <c r="N49" s="20" t="s">
        <v>424</v>
      </c>
      <c r="O49" s="23">
        <v>949583</v>
      </c>
      <c r="P49" s="38">
        <f t="shared" ref="P49:P112" si="16">SUM(O49*R49)</f>
        <v>102586300.23900001</v>
      </c>
      <c r="Q49" s="39" t="s">
        <v>32</v>
      </c>
      <c r="R49" s="8">
        <v>108.033</v>
      </c>
      <c r="S49" s="40">
        <f t="shared" si="7"/>
        <v>41806</v>
      </c>
      <c r="T49" s="22" t="s">
        <v>163</v>
      </c>
      <c r="U49" s="41">
        <f t="shared" si="10"/>
        <v>123103.5602868</v>
      </c>
      <c r="V49" s="36">
        <v>155.74</v>
      </c>
      <c r="W49" s="38">
        <f t="shared" si="11"/>
        <v>19172148.479066234</v>
      </c>
      <c r="X49" s="42">
        <v>0</v>
      </c>
      <c r="Y49" s="36"/>
      <c r="Z49" s="36"/>
      <c r="AA49" s="113"/>
    </row>
    <row r="50" spans="1:27" ht="18.75" customHeight="1">
      <c r="A50" s="35">
        <f t="shared" si="6"/>
        <v>45</v>
      </c>
      <c r="B50" s="36" t="s">
        <v>439</v>
      </c>
      <c r="C50" s="44" t="s">
        <v>454</v>
      </c>
      <c r="D50" s="21">
        <v>41743</v>
      </c>
      <c r="E50" s="26" t="s">
        <v>416</v>
      </c>
      <c r="F50" s="22" t="s">
        <v>150</v>
      </c>
      <c r="G50" s="22" t="s">
        <v>279</v>
      </c>
      <c r="H50" s="22" t="s">
        <v>159</v>
      </c>
      <c r="I50" s="37">
        <v>801.22</v>
      </c>
      <c r="J50" s="21">
        <v>41718</v>
      </c>
      <c r="K50" s="22" t="s">
        <v>421</v>
      </c>
      <c r="L50" s="22" t="s">
        <v>160</v>
      </c>
      <c r="M50" s="22" t="s">
        <v>80</v>
      </c>
      <c r="N50" s="20" t="s">
        <v>166</v>
      </c>
      <c r="O50" s="23">
        <v>629594</v>
      </c>
      <c r="P50" s="38">
        <f t="shared" si="16"/>
        <v>64634120.039999999</v>
      </c>
      <c r="Q50" s="39" t="s">
        <v>32</v>
      </c>
      <c r="R50" s="8">
        <v>102.66</v>
      </c>
      <c r="S50" s="40">
        <f t="shared" si="7"/>
        <v>41807</v>
      </c>
      <c r="T50" s="22" t="s">
        <v>163</v>
      </c>
      <c r="U50" s="41">
        <f t="shared" si="10"/>
        <v>77560.94404799999</v>
      </c>
      <c r="V50" s="36">
        <v>155.74</v>
      </c>
      <c r="W50" s="38">
        <f t="shared" si="11"/>
        <v>12079341.42603552</v>
      </c>
      <c r="X50" s="45">
        <v>12079340.800000001</v>
      </c>
      <c r="Y50" s="40">
        <v>41732</v>
      </c>
      <c r="Z50" s="48">
        <v>4091</v>
      </c>
      <c r="AA50" s="113"/>
    </row>
    <row r="51" spans="1:27" ht="18.75" customHeight="1">
      <c r="A51" s="35">
        <f t="shared" si="6"/>
        <v>46</v>
      </c>
      <c r="B51" s="36" t="s">
        <v>440</v>
      </c>
      <c r="C51" s="44" t="s">
        <v>406</v>
      </c>
      <c r="D51" s="21">
        <v>41729</v>
      </c>
      <c r="E51" s="26" t="s">
        <v>417</v>
      </c>
      <c r="F51" s="22" t="s">
        <v>278</v>
      </c>
      <c r="G51" s="22" t="s">
        <v>44</v>
      </c>
      <c r="H51" s="22" t="s">
        <v>45</v>
      </c>
      <c r="I51" s="37">
        <v>801.22</v>
      </c>
      <c r="J51" s="21">
        <v>41719</v>
      </c>
      <c r="K51" s="22" t="s">
        <v>173</v>
      </c>
      <c r="L51" s="22" t="s">
        <v>46</v>
      </c>
      <c r="M51" s="22" t="s">
        <v>74</v>
      </c>
      <c r="N51" s="20" t="s">
        <v>425</v>
      </c>
      <c r="O51" s="23">
        <v>899927</v>
      </c>
      <c r="P51" s="38">
        <f t="shared" si="16"/>
        <v>97662777.820999995</v>
      </c>
      <c r="Q51" s="39" t="s">
        <v>32</v>
      </c>
      <c r="R51" s="49">
        <v>108.523</v>
      </c>
      <c r="S51" s="40">
        <f t="shared" si="7"/>
        <v>41808</v>
      </c>
      <c r="T51" s="22" t="s">
        <v>278</v>
      </c>
      <c r="U51" s="41">
        <f t="shared" si="10"/>
        <v>117195.33338519998</v>
      </c>
      <c r="V51" s="36">
        <v>155.74</v>
      </c>
      <c r="W51" s="38">
        <f t="shared" si="11"/>
        <v>18252001.221411046</v>
      </c>
      <c r="X51" s="45">
        <f t="shared" ref="X51" si="17">W51</f>
        <v>18252001.221411046</v>
      </c>
      <c r="Y51" s="36"/>
      <c r="Z51" s="36"/>
      <c r="AA51" s="113"/>
    </row>
    <row r="52" spans="1:27" ht="18.75" customHeight="1">
      <c r="A52" s="35">
        <f t="shared" si="6"/>
        <v>47</v>
      </c>
      <c r="B52" s="36" t="s">
        <v>437</v>
      </c>
      <c r="C52" s="44" t="s">
        <v>525</v>
      </c>
      <c r="D52" s="21">
        <v>41778</v>
      </c>
      <c r="E52" s="26" t="s">
        <v>418</v>
      </c>
      <c r="F52" s="22" t="s">
        <v>120</v>
      </c>
      <c r="G52" s="22" t="s">
        <v>28</v>
      </c>
      <c r="H52" s="22" t="s">
        <v>29</v>
      </c>
      <c r="I52" s="37">
        <v>801.22</v>
      </c>
      <c r="J52" s="21">
        <v>41727</v>
      </c>
      <c r="K52" s="22" t="s">
        <v>79</v>
      </c>
      <c r="L52" s="22" t="s">
        <v>30</v>
      </c>
      <c r="M52" s="22" t="s">
        <v>116</v>
      </c>
      <c r="N52" s="20" t="s">
        <v>175</v>
      </c>
      <c r="O52" s="23">
        <v>947026</v>
      </c>
      <c r="P52" s="38">
        <f t="shared" si="16"/>
        <v>99519174.236000001</v>
      </c>
      <c r="Q52" s="39" t="s">
        <v>32</v>
      </c>
      <c r="R52" s="49">
        <v>105.086</v>
      </c>
      <c r="S52" s="40">
        <f t="shared" si="7"/>
        <v>41816</v>
      </c>
      <c r="T52" s="22" t="s">
        <v>27</v>
      </c>
      <c r="U52" s="41">
        <f t="shared" si="10"/>
        <v>119423.00908319998</v>
      </c>
      <c r="V52" s="36">
        <v>155.74</v>
      </c>
      <c r="W52" s="38">
        <f t="shared" si="11"/>
        <v>18598939.434617568</v>
      </c>
      <c r="X52" s="45">
        <v>18598939.579999998</v>
      </c>
      <c r="Y52" s="40">
        <v>41774</v>
      </c>
      <c r="Z52" s="48">
        <v>1440</v>
      </c>
      <c r="AA52" s="113"/>
    </row>
    <row r="53" spans="1:27" ht="18.75" customHeight="1">
      <c r="A53" s="35">
        <f t="shared" si="6"/>
        <v>48</v>
      </c>
      <c r="B53" s="36" t="s">
        <v>441</v>
      </c>
      <c r="C53" s="44" t="s">
        <v>407</v>
      </c>
      <c r="D53" s="21">
        <v>41729</v>
      </c>
      <c r="E53" s="26" t="s">
        <v>419</v>
      </c>
      <c r="F53" s="22" t="s">
        <v>278</v>
      </c>
      <c r="G53" s="22" t="s">
        <v>44</v>
      </c>
      <c r="H53" s="22" t="s">
        <v>35</v>
      </c>
      <c r="I53" s="37">
        <v>801.22</v>
      </c>
      <c r="J53" s="21">
        <v>41729</v>
      </c>
      <c r="K53" s="22" t="s">
        <v>422</v>
      </c>
      <c r="L53" s="22" t="s">
        <v>36</v>
      </c>
      <c r="M53" s="22" t="s">
        <v>74</v>
      </c>
      <c r="N53" s="20" t="s">
        <v>106</v>
      </c>
      <c r="O53" s="23">
        <v>950149</v>
      </c>
      <c r="P53" s="38">
        <f t="shared" si="16"/>
        <v>102156219.884</v>
      </c>
      <c r="Q53" s="39" t="s">
        <v>32</v>
      </c>
      <c r="R53" s="49">
        <v>107.51600000000001</v>
      </c>
      <c r="S53" s="40">
        <f t="shared" si="7"/>
        <v>41818</v>
      </c>
      <c r="T53" s="22" t="s">
        <v>278</v>
      </c>
      <c r="U53" s="41">
        <f t="shared" si="10"/>
        <v>122587.4638608</v>
      </c>
      <c r="V53" s="36">
        <v>155.74</v>
      </c>
      <c r="W53" s="38">
        <f t="shared" si="11"/>
        <v>19091771.621680994</v>
      </c>
      <c r="X53" s="45">
        <f t="shared" ref="X53" si="18">W53</f>
        <v>19091771.621680994</v>
      </c>
      <c r="Y53" s="36"/>
      <c r="Z53" s="36"/>
      <c r="AA53" s="113"/>
    </row>
    <row r="54" spans="1:27" ht="75.75" customHeight="1">
      <c r="A54" s="35">
        <f t="shared" si="6"/>
        <v>49</v>
      </c>
      <c r="B54" s="36" t="s">
        <v>432</v>
      </c>
      <c r="C54" s="22" t="s">
        <v>769</v>
      </c>
      <c r="D54" s="19">
        <v>41879</v>
      </c>
      <c r="E54" s="26" t="s">
        <v>767</v>
      </c>
      <c r="F54" s="22" t="s">
        <v>163</v>
      </c>
      <c r="G54" s="22" t="s">
        <v>65</v>
      </c>
      <c r="H54" s="22" t="s">
        <v>133</v>
      </c>
      <c r="I54" s="37">
        <v>801.22</v>
      </c>
      <c r="J54" s="21">
        <v>41729</v>
      </c>
      <c r="K54" s="22" t="s">
        <v>423</v>
      </c>
      <c r="L54" s="22" t="s">
        <v>49</v>
      </c>
      <c r="M54" s="22" t="s">
        <v>69</v>
      </c>
      <c r="N54" s="22" t="s">
        <v>426</v>
      </c>
      <c r="O54" s="23">
        <v>355000</v>
      </c>
      <c r="P54" s="38">
        <f t="shared" si="16"/>
        <v>37800045</v>
      </c>
      <c r="Q54" s="39" t="s">
        <v>32</v>
      </c>
      <c r="R54" s="49">
        <v>106.479</v>
      </c>
      <c r="S54" s="40">
        <f t="shared" si="7"/>
        <v>41818</v>
      </c>
      <c r="T54" s="22" t="s">
        <v>38</v>
      </c>
      <c r="U54" s="41">
        <f t="shared" si="10"/>
        <v>45360.053999999996</v>
      </c>
      <c r="V54" s="36">
        <v>155.74</v>
      </c>
      <c r="W54" s="38">
        <f t="shared" si="11"/>
        <v>7064374.8099600002</v>
      </c>
      <c r="X54" s="45">
        <v>7286180.9400000004</v>
      </c>
      <c r="Y54" s="40">
        <v>41787</v>
      </c>
      <c r="Z54" s="48">
        <v>7715</v>
      </c>
      <c r="AA54" s="22" t="s">
        <v>768</v>
      </c>
    </row>
    <row r="55" spans="1:27" ht="18.75" customHeight="1">
      <c r="A55" s="35">
        <f t="shared" si="6"/>
        <v>50</v>
      </c>
      <c r="B55" s="36" t="s">
        <v>433</v>
      </c>
      <c r="C55" s="22" t="s">
        <v>665</v>
      </c>
      <c r="D55" s="21">
        <v>41835</v>
      </c>
      <c r="E55" s="27" t="s">
        <v>443</v>
      </c>
      <c r="F55" s="22" t="s">
        <v>120</v>
      </c>
      <c r="G55" s="22" t="s">
        <v>47</v>
      </c>
      <c r="H55" s="22" t="s">
        <v>133</v>
      </c>
      <c r="I55" s="37">
        <v>801.22</v>
      </c>
      <c r="J55" s="21">
        <v>41729</v>
      </c>
      <c r="K55" s="22" t="s">
        <v>423</v>
      </c>
      <c r="L55" s="22" t="s">
        <v>49</v>
      </c>
      <c r="M55" s="22" t="s">
        <v>69</v>
      </c>
      <c r="N55" s="20" t="s">
        <v>426</v>
      </c>
      <c r="O55" s="58">
        <v>90000</v>
      </c>
      <c r="P55" s="38">
        <f t="shared" si="16"/>
        <v>9800001</v>
      </c>
      <c r="Q55" s="39" t="s">
        <v>32</v>
      </c>
      <c r="R55" s="49">
        <v>108.88890000000001</v>
      </c>
      <c r="S55" s="40">
        <f t="shared" si="7"/>
        <v>41818</v>
      </c>
      <c r="T55" s="22" t="s">
        <v>38</v>
      </c>
      <c r="U55" s="41">
        <f t="shared" si="10"/>
        <v>11760.001199999999</v>
      </c>
      <c r="V55" s="36">
        <v>155.74</v>
      </c>
      <c r="W55" s="38">
        <f t="shared" si="11"/>
        <v>1831502.5868879999</v>
      </c>
      <c r="X55" s="45">
        <v>1819911.07</v>
      </c>
      <c r="Y55" s="40">
        <v>41817</v>
      </c>
      <c r="Z55" s="48">
        <v>11213</v>
      </c>
      <c r="AA55" s="113"/>
    </row>
    <row r="56" spans="1:27" ht="18.75" customHeight="1">
      <c r="A56" s="35">
        <f t="shared" si="6"/>
        <v>51</v>
      </c>
      <c r="B56" s="36" t="s">
        <v>434</v>
      </c>
      <c r="C56" s="20" t="s">
        <v>752</v>
      </c>
      <c r="D56" s="19">
        <v>41863</v>
      </c>
      <c r="E56" s="27" t="s">
        <v>529</v>
      </c>
      <c r="F56" s="22" t="s">
        <v>120</v>
      </c>
      <c r="G56" s="22" t="s">
        <v>53</v>
      </c>
      <c r="H56" s="22" t="s">
        <v>133</v>
      </c>
      <c r="I56" s="37">
        <v>801.22</v>
      </c>
      <c r="J56" s="21">
        <v>41729</v>
      </c>
      <c r="K56" s="22" t="s">
        <v>423</v>
      </c>
      <c r="L56" s="22" t="s">
        <v>49</v>
      </c>
      <c r="M56" s="22" t="s">
        <v>69</v>
      </c>
      <c r="N56" s="20" t="s">
        <v>426</v>
      </c>
      <c r="O56" s="58">
        <v>125030</v>
      </c>
      <c r="P56" s="38">
        <f t="shared" si="16"/>
        <v>13716878.761</v>
      </c>
      <c r="Q56" s="39" t="s">
        <v>32</v>
      </c>
      <c r="R56" s="59">
        <v>109.70869999999999</v>
      </c>
      <c r="S56" s="40">
        <f t="shared" si="7"/>
        <v>41818</v>
      </c>
      <c r="T56" s="22" t="s">
        <v>38</v>
      </c>
      <c r="U56" s="41">
        <f t="shared" si="10"/>
        <v>16460.254513199998</v>
      </c>
      <c r="V56" s="36">
        <v>155.74</v>
      </c>
      <c r="W56" s="38">
        <f t="shared" si="11"/>
        <v>2563520.0378857679</v>
      </c>
      <c r="X56" s="45">
        <v>2547059.09</v>
      </c>
      <c r="Y56" s="40">
        <v>41817</v>
      </c>
      <c r="Z56" s="48">
        <v>11208</v>
      </c>
      <c r="AA56" s="113"/>
    </row>
    <row r="57" spans="1:27" ht="19.5" customHeight="1">
      <c r="A57" s="35">
        <f t="shared" si="6"/>
        <v>52</v>
      </c>
      <c r="B57" s="36" t="s">
        <v>493</v>
      </c>
      <c r="C57" s="20" t="s">
        <v>677</v>
      </c>
      <c r="D57" s="19">
        <v>41842</v>
      </c>
      <c r="E57" s="27" t="s">
        <v>530</v>
      </c>
      <c r="F57" s="22" t="s">
        <v>120</v>
      </c>
      <c r="G57" s="22" t="s">
        <v>53</v>
      </c>
      <c r="H57" s="22" t="s">
        <v>133</v>
      </c>
      <c r="I57" s="37">
        <v>801.22</v>
      </c>
      <c r="J57" s="21">
        <v>41731</v>
      </c>
      <c r="K57" s="22" t="s">
        <v>423</v>
      </c>
      <c r="L57" s="22" t="s">
        <v>49</v>
      </c>
      <c r="M57" s="22" t="s">
        <v>69</v>
      </c>
      <c r="N57" s="20" t="s">
        <v>291</v>
      </c>
      <c r="O57" s="23">
        <v>227068</v>
      </c>
      <c r="P57" s="38">
        <f t="shared" si="16"/>
        <v>24914218.8552</v>
      </c>
      <c r="Q57" s="39" t="s">
        <v>32</v>
      </c>
      <c r="R57" s="9">
        <v>109.7214</v>
      </c>
      <c r="S57" s="40">
        <f t="shared" si="7"/>
        <v>41820</v>
      </c>
      <c r="T57" s="20" t="s">
        <v>38</v>
      </c>
      <c r="U57" s="41">
        <f t="shared" si="10"/>
        <v>29897.062626239996</v>
      </c>
      <c r="V57" s="36">
        <v>155.72999999999999</v>
      </c>
      <c r="W57" s="38">
        <f t="shared" si="11"/>
        <v>4655869.5627843542</v>
      </c>
      <c r="X57" s="45">
        <v>4626271.0599999996</v>
      </c>
      <c r="Y57" s="40">
        <v>41838</v>
      </c>
      <c r="Z57" s="48">
        <v>11231</v>
      </c>
      <c r="AA57" s="113"/>
    </row>
    <row r="58" spans="1:27" ht="19.5" customHeight="1">
      <c r="A58" s="35">
        <f t="shared" si="6"/>
        <v>53</v>
      </c>
      <c r="B58" s="36" t="s">
        <v>494</v>
      </c>
      <c r="C58" s="22" t="s">
        <v>602</v>
      </c>
      <c r="D58" s="21">
        <v>41820</v>
      </c>
      <c r="E58" s="26" t="s">
        <v>474</v>
      </c>
      <c r="F58" s="22" t="s">
        <v>39</v>
      </c>
      <c r="G58" s="22" t="s">
        <v>97</v>
      </c>
      <c r="H58" s="22" t="s">
        <v>133</v>
      </c>
      <c r="I58" s="37">
        <v>801.22</v>
      </c>
      <c r="J58" s="21">
        <v>41731</v>
      </c>
      <c r="K58" s="22" t="s">
        <v>423</v>
      </c>
      <c r="L58" s="22" t="s">
        <v>49</v>
      </c>
      <c r="M58" s="22" t="s">
        <v>69</v>
      </c>
      <c r="N58" s="20" t="s">
        <v>291</v>
      </c>
      <c r="O58" s="23">
        <v>24000</v>
      </c>
      <c r="P58" s="38">
        <f t="shared" si="16"/>
        <v>2626368</v>
      </c>
      <c r="Q58" s="39" t="s">
        <v>32</v>
      </c>
      <c r="R58" s="9">
        <v>109.432</v>
      </c>
      <c r="S58" s="40">
        <f t="shared" si="7"/>
        <v>41820</v>
      </c>
      <c r="T58" s="20" t="s">
        <v>39</v>
      </c>
      <c r="U58" s="41">
        <f t="shared" si="10"/>
        <v>3151.6415999999999</v>
      </c>
      <c r="V58" s="36">
        <v>155.72999999999999</v>
      </c>
      <c r="W58" s="38">
        <f t="shared" si="11"/>
        <v>490805.14636799996</v>
      </c>
      <c r="X58" s="45">
        <v>490805.15</v>
      </c>
      <c r="Y58" s="40">
        <v>41820</v>
      </c>
      <c r="Z58" s="48">
        <v>3594</v>
      </c>
      <c r="AA58" s="113"/>
    </row>
    <row r="59" spans="1:27" ht="19.5" customHeight="1">
      <c r="A59" s="35">
        <f t="shared" si="6"/>
        <v>54</v>
      </c>
      <c r="B59" s="36" t="s">
        <v>495</v>
      </c>
      <c r="C59" s="22" t="s">
        <v>603</v>
      </c>
      <c r="D59" s="21">
        <v>41820</v>
      </c>
      <c r="E59" s="26" t="s">
        <v>475</v>
      </c>
      <c r="F59" s="22" t="s">
        <v>39</v>
      </c>
      <c r="G59" s="22" t="s">
        <v>97</v>
      </c>
      <c r="H59" s="22" t="s">
        <v>133</v>
      </c>
      <c r="I59" s="37">
        <v>801.22</v>
      </c>
      <c r="J59" s="21">
        <v>41731</v>
      </c>
      <c r="K59" s="22" t="s">
        <v>423</v>
      </c>
      <c r="L59" s="22" t="s">
        <v>49</v>
      </c>
      <c r="M59" s="22" t="s">
        <v>69</v>
      </c>
      <c r="N59" s="20" t="s">
        <v>291</v>
      </c>
      <c r="O59" s="23">
        <v>36000</v>
      </c>
      <c r="P59" s="38">
        <f t="shared" si="16"/>
        <v>3939552</v>
      </c>
      <c r="Q59" s="39" t="s">
        <v>32</v>
      </c>
      <c r="R59" s="9">
        <v>109.432</v>
      </c>
      <c r="S59" s="40">
        <f t="shared" si="7"/>
        <v>41820</v>
      </c>
      <c r="T59" s="20" t="s">
        <v>39</v>
      </c>
      <c r="U59" s="41">
        <f t="shared" si="10"/>
        <v>4727.4623999999994</v>
      </c>
      <c r="V59" s="36">
        <v>155.72999999999999</v>
      </c>
      <c r="W59" s="38">
        <f t="shared" si="11"/>
        <v>736207.71955199982</v>
      </c>
      <c r="X59" s="45">
        <v>736204.72</v>
      </c>
      <c r="Y59" s="40">
        <v>41820</v>
      </c>
      <c r="Z59" s="48">
        <v>3595</v>
      </c>
      <c r="AA59" s="113"/>
    </row>
    <row r="60" spans="1:27" ht="19.5" customHeight="1">
      <c r="A60" s="35">
        <f t="shared" si="6"/>
        <v>55</v>
      </c>
      <c r="B60" s="36" t="s">
        <v>496</v>
      </c>
      <c r="C60" s="22" t="s">
        <v>604</v>
      </c>
      <c r="D60" s="21">
        <v>41820</v>
      </c>
      <c r="E60" s="26" t="s">
        <v>476</v>
      </c>
      <c r="F60" s="22" t="s">
        <v>187</v>
      </c>
      <c r="G60" s="22" t="s">
        <v>97</v>
      </c>
      <c r="H60" s="22" t="s">
        <v>133</v>
      </c>
      <c r="I60" s="37">
        <v>801.22</v>
      </c>
      <c r="J60" s="21">
        <v>41731</v>
      </c>
      <c r="K60" s="22" t="s">
        <v>423</v>
      </c>
      <c r="L60" s="22" t="s">
        <v>49</v>
      </c>
      <c r="M60" s="22" t="s">
        <v>69</v>
      </c>
      <c r="N60" s="20" t="s">
        <v>291</v>
      </c>
      <c r="O60" s="23">
        <v>30000</v>
      </c>
      <c r="P60" s="38">
        <f t="shared" si="16"/>
        <v>3282960</v>
      </c>
      <c r="Q60" s="39" t="s">
        <v>32</v>
      </c>
      <c r="R60" s="9">
        <v>109.432</v>
      </c>
      <c r="S60" s="40">
        <f t="shared" si="7"/>
        <v>41820</v>
      </c>
      <c r="T60" s="20" t="s">
        <v>39</v>
      </c>
      <c r="U60" s="41">
        <f t="shared" si="10"/>
        <v>3939.5519999999997</v>
      </c>
      <c r="V60" s="36">
        <v>155.72999999999999</v>
      </c>
      <c r="W60" s="38">
        <f t="shared" si="11"/>
        <v>613506.43295999989</v>
      </c>
      <c r="X60" s="45">
        <v>613506.43000000005</v>
      </c>
      <c r="Y60" s="40">
        <v>41820</v>
      </c>
      <c r="Z60" s="48">
        <v>3596</v>
      </c>
      <c r="AA60" s="113"/>
    </row>
    <row r="61" spans="1:27" ht="19.5" customHeight="1">
      <c r="A61" s="35">
        <f t="shared" si="6"/>
        <v>56</v>
      </c>
      <c r="B61" s="36" t="s">
        <v>497</v>
      </c>
      <c r="C61" s="60" t="s">
        <v>595</v>
      </c>
      <c r="D61" s="21">
        <v>41801</v>
      </c>
      <c r="E61" s="27" t="s">
        <v>593</v>
      </c>
      <c r="F61" s="22" t="s">
        <v>130</v>
      </c>
      <c r="G61" s="22" t="s">
        <v>87</v>
      </c>
      <c r="H61" s="22" t="s">
        <v>133</v>
      </c>
      <c r="I61" s="37">
        <v>801.22</v>
      </c>
      <c r="J61" s="21">
        <v>41731</v>
      </c>
      <c r="K61" s="22" t="s">
        <v>423</v>
      </c>
      <c r="L61" s="22" t="s">
        <v>49</v>
      </c>
      <c r="M61" s="22" t="s">
        <v>69</v>
      </c>
      <c r="N61" s="20" t="s">
        <v>291</v>
      </c>
      <c r="O61" s="23">
        <v>110000</v>
      </c>
      <c r="P61" s="38">
        <f t="shared" si="16"/>
        <v>12059520</v>
      </c>
      <c r="Q61" s="39" t="s">
        <v>32</v>
      </c>
      <c r="R61" s="9">
        <v>109.63200000000001</v>
      </c>
      <c r="S61" s="40">
        <f>SUM(J61)+89</f>
        <v>41820</v>
      </c>
      <c r="T61" s="22" t="s">
        <v>144</v>
      </c>
      <c r="U61" s="41">
        <f t="shared" ref="U61" si="19">SUM(P61*0.12%)</f>
        <v>14471.423999999999</v>
      </c>
      <c r="V61" s="36">
        <v>155.72999999999999</v>
      </c>
      <c r="W61" s="38">
        <f t="shared" si="11"/>
        <v>2253634.8595199995</v>
      </c>
      <c r="X61" s="45">
        <v>2253634.86</v>
      </c>
      <c r="Y61" s="40">
        <v>41800</v>
      </c>
      <c r="Z61" s="48">
        <v>29698</v>
      </c>
      <c r="AA61" s="113"/>
    </row>
    <row r="62" spans="1:27" ht="19.5" customHeight="1">
      <c r="A62" s="35">
        <f t="shared" si="6"/>
        <v>57</v>
      </c>
      <c r="B62" s="36" t="s">
        <v>511</v>
      </c>
      <c r="C62" s="44" t="s">
        <v>72</v>
      </c>
      <c r="D62" s="21"/>
      <c r="E62" s="26" t="s">
        <v>477</v>
      </c>
      <c r="F62" s="22" t="s">
        <v>39</v>
      </c>
      <c r="G62" s="22" t="s">
        <v>40</v>
      </c>
      <c r="H62" s="22" t="s">
        <v>29</v>
      </c>
      <c r="I62" s="37">
        <v>801.22</v>
      </c>
      <c r="J62" s="21">
        <v>41733</v>
      </c>
      <c r="K62" s="22" t="s">
        <v>421</v>
      </c>
      <c r="L62" s="22" t="s">
        <v>30</v>
      </c>
      <c r="M62" s="22" t="s">
        <v>54</v>
      </c>
      <c r="N62" s="20" t="s">
        <v>55</v>
      </c>
      <c r="O62" s="23">
        <v>349060</v>
      </c>
      <c r="P62" s="38">
        <f t="shared" si="16"/>
        <v>36712385.5</v>
      </c>
      <c r="Q62" s="39" t="s">
        <v>32</v>
      </c>
      <c r="R62" s="8">
        <v>105.175</v>
      </c>
      <c r="S62" s="40">
        <f t="shared" si="7"/>
        <v>41822</v>
      </c>
      <c r="T62" s="20" t="s">
        <v>39</v>
      </c>
      <c r="U62" s="41">
        <f t="shared" si="10"/>
        <v>44054.862599999993</v>
      </c>
      <c r="V62" s="36">
        <v>155.72999999999999</v>
      </c>
      <c r="W62" s="38">
        <f t="shared" si="11"/>
        <v>6860663.7526979987</v>
      </c>
      <c r="X62" s="42">
        <v>0</v>
      </c>
      <c r="Y62" s="36"/>
      <c r="Z62" s="36"/>
      <c r="AA62" s="113"/>
    </row>
    <row r="63" spans="1:27" ht="19.5" customHeight="1">
      <c r="A63" s="35">
        <f t="shared" si="6"/>
        <v>58</v>
      </c>
      <c r="B63" s="36" t="s">
        <v>498</v>
      </c>
      <c r="C63" s="21" t="s">
        <v>468</v>
      </c>
      <c r="D63" s="21">
        <v>41759</v>
      </c>
      <c r="E63" s="18" t="s">
        <v>478</v>
      </c>
      <c r="F63" s="22" t="s">
        <v>278</v>
      </c>
      <c r="G63" s="22" t="s">
        <v>44</v>
      </c>
      <c r="H63" s="22" t="s">
        <v>133</v>
      </c>
      <c r="I63" s="37">
        <v>801.22</v>
      </c>
      <c r="J63" s="21">
        <v>41734</v>
      </c>
      <c r="K63" s="22" t="s">
        <v>142</v>
      </c>
      <c r="L63" s="22" t="s">
        <v>49</v>
      </c>
      <c r="M63" s="22" t="s">
        <v>287</v>
      </c>
      <c r="N63" s="20" t="s">
        <v>290</v>
      </c>
      <c r="O63" s="23">
        <v>199536</v>
      </c>
      <c r="P63" s="38">
        <f t="shared" si="16"/>
        <v>21475660.607999999</v>
      </c>
      <c r="Q63" s="39" t="s">
        <v>32</v>
      </c>
      <c r="R63" s="8">
        <v>107.628</v>
      </c>
      <c r="S63" s="40">
        <f t="shared" si="7"/>
        <v>41823</v>
      </c>
      <c r="T63" s="22" t="s">
        <v>278</v>
      </c>
      <c r="U63" s="41">
        <f t="shared" si="10"/>
        <v>25770.792729599998</v>
      </c>
      <c r="V63" s="36">
        <v>155.72999999999999</v>
      </c>
      <c r="W63" s="38">
        <f t="shared" si="11"/>
        <v>4013285.5517806076</v>
      </c>
      <c r="X63" s="45">
        <f t="shared" ref="X63:X68" si="20">W63</f>
        <v>4013285.5517806076</v>
      </c>
      <c r="Y63" s="36"/>
      <c r="Z63" s="36"/>
      <c r="AA63" s="113"/>
    </row>
    <row r="64" spans="1:27" ht="19.5" customHeight="1">
      <c r="A64" s="35">
        <f t="shared" si="6"/>
        <v>59</v>
      </c>
      <c r="B64" s="36" t="s">
        <v>499</v>
      </c>
      <c r="C64" s="21" t="s">
        <v>469</v>
      </c>
      <c r="D64" s="21">
        <v>41759</v>
      </c>
      <c r="E64" s="18" t="s">
        <v>479</v>
      </c>
      <c r="F64" s="22" t="s">
        <v>278</v>
      </c>
      <c r="G64" s="22" t="s">
        <v>44</v>
      </c>
      <c r="H64" s="22" t="s">
        <v>133</v>
      </c>
      <c r="I64" s="37">
        <v>801.22</v>
      </c>
      <c r="J64" s="21">
        <v>41734</v>
      </c>
      <c r="K64" s="22" t="s">
        <v>142</v>
      </c>
      <c r="L64" s="22" t="s">
        <v>49</v>
      </c>
      <c r="M64" s="22" t="s">
        <v>287</v>
      </c>
      <c r="N64" s="20" t="s">
        <v>290</v>
      </c>
      <c r="O64" s="23">
        <v>120000</v>
      </c>
      <c r="P64" s="38">
        <f t="shared" si="16"/>
        <v>12915360</v>
      </c>
      <c r="Q64" s="39" t="s">
        <v>32</v>
      </c>
      <c r="R64" s="49">
        <v>107.628</v>
      </c>
      <c r="S64" s="40">
        <f t="shared" si="7"/>
        <v>41823</v>
      </c>
      <c r="T64" s="22" t="s">
        <v>278</v>
      </c>
      <c r="U64" s="41">
        <f t="shared" si="10"/>
        <v>15498.431999999999</v>
      </c>
      <c r="V64" s="36">
        <v>155.72999999999999</v>
      </c>
      <c r="W64" s="38">
        <f t="shared" si="11"/>
        <v>2413570.8153599999</v>
      </c>
      <c r="X64" s="45">
        <f t="shared" si="20"/>
        <v>2413570.8153599999</v>
      </c>
      <c r="Y64" s="36"/>
      <c r="Z64" s="36"/>
      <c r="AA64" s="113"/>
    </row>
    <row r="65" spans="1:27" ht="19.5" customHeight="1">
      <c r="A65" s="35">
        <f t="shared" si="6"/>
        <v>60</v>
      </c>
      <c r="B65" s="36" t="s">
        <v>572</v>
      </c>
      <c r="C65" s="21" t="s">
        <v>470</v>
      </c>
      <c r="D65" s="21">
        <v>41759</v>
      </c>
      <c r="E65" s="26" t="s">
        <v>480</v>
      </c>
      <c r="F65" s="22" t="s">
        <v>278</v>
      </c>
      <c r="G65" s="22" t="s">
        <v>44</v>
      </c>
      <c r="H65" s="22" t="s">
        <v>45</v>
      </c>
      <c r="I65" s="37">
        <v>801.22</v>
      </c>
      <c r="J65" s="21">
        <v>41742</v>
      </c>
      <c r="K65" s="22" t="s">
        <v>73</v>
      </c>
      <c r="L65" s="22" t="s">
        <v>46</v>
      </c>
      <c r="M65" s="22" t="s">
        <v>60</v>
      </c>
      <c r="N65" s="20" t="s">
        <v>106</v>
      </c>
      <c r="O65" s="23">
        <v>899774</v>
      </c>
      <c r="P65" s="38">
        <f t="shared" si="16"/>
        <v>99304457.283999994</v>
      </c>
      <c r="Q65" s="39" t="s">
        <v>32</v>
      </c>
      <c r="R65" s="49">
        <v>110.366</v>
      </c>
      <c r="S65" s="40">
        <f t="shared" si="7"/>
        <v>41831</v>
      </c>
      <c r="T65" s="22" t="s">
        <v>278</v>
      </c>
      <c r="U65" s="41">
        <f t="shared" si="10"/>
        <v>119165.34874079998</v>
      </c>
      <c r="V65" s="36">
        <v>155.72999999999999</v>
      </c>
      <c r="W65" s="38">
        <f t="shared" si="11"/>
        <v>18557619.759404778</v>
      </c>
      <c r="X65" s="45">
        <f t="shared" si="20"/>
        <v>18557619.759404778</v>
      </c>
      <c r="Y65" s="36"/>
      <c r="Z65" s="36"/>
      <c r="AA65" s="113"/>
    </row>
    <row r="66" spans="1:27" ht="19.5" customHeight="1">
      <c r="A66" s="35">
        <f t="shared" si="6"/>
        <v>61</v>
      </c>
      <c r="B66" s="36" t="s">
        <v>500</v>
      </c>
      <c r="C66" s="21" t="s">
        <v>471</v>
      </c>
      <c r="D66" s="21">
        <v>41759</v>
      </c>
      <c r="E66" s="26" t="s">
        <v>481</v>
      </c>
      <c r="F66" s="22" t="s">
        <v>278</v>
      </c>
      <c r="G66" s="22" t="s">
        <v>44</v>
      </c>
      <c r="H66" s="22" t="s">
        <v>133</v>
      </c>
      <c r="I66" s="37">
        <v>801.22</v>
      </c>
      <c r="J66" s="21">
        <v>41742</v>
      </c>
      <c r="K66" s="22" t="s">
        <v>96</v>
      </c>
      <c r="L66" s="22" t="s">
        <v>49</v>
      </c>
      <c r="M66" s="22" t="s">
        <v>77</v>
      </c>
      <c r="N66" s="20" t="s">
        <v>103</v>
      </c>
      <c r="O66" s="23">
        <v>170000</v>
      </c>
      <c r="P66" s="38">
        <f t="shared" si="16"/>
        <v>18685720</v>
      </c>
      <c r="Q66" s="39" t="s">
        <v>32</v>
      </c>
      <c r="R66" s="49">
        <v>109.916</v>
      </c>
      <c r="S66" s="40">
        <f t="shared" si="7"/>
        <v>41831</v>
      </c>
      <c r="T66" s="22" t="s">
        <v>278</v>
      </c>
      <c r="U66" s="41">
        <f t="shared" si="10"/>
        <v>22422.863999999998</v>
      </c>
      <c r="V66" s="36">
        <v>155.72999999999999</v>
      </c>
      <c r="W66" s="38">
        <f t="shared" si="11"/>
        <v>3491912.6107199993</v>
      </c>
      <c r="X66" s="45">
        <f t="shared" si="20"/>
        <v>3491912.6107199993</v>
      </c>
      <c r="Y66" s="36"/>
      <c r="Z66" s="36"/>
      <c r="AA66" s="113"/>
    </row>
    <row r="67" spans="1:27" ht="19.5" customHeight="1">
      <c r="A67" s="35">
        <f t="shared" si="6"/>
        <v>62</v>
      </c>
      <c r="B67" s="36" t="s">
        <v>501</v>
      </c>
      <c r="C67" s="21" t="s">
        <v>472</v>
      </c>
      <c r="D67" s="21">
        <v>41759</v>
      </c>
      <c r="E67" s="26" t="s">
        <v>482</v>
      </c>
      <c r="F67" s="22" t="s">
        <v>278</v>
      </c>
      <c r="G67" s="22" t="s">
        <v>44</v>
      </c>
      <c r="H67" s="22" t="s">
        <v>133</v>
      </c>
      <c r="I67" s="37">
        <v>801.22</v>
      </c>
      <c r="J67" s="21">
        <v>41742</v>
      </c>
      <c r="K67" s="22" t="s">
        <v>96</v>
      </c>
      <c r="L67" s="22" t="s">
        <v>49</v>
      </c>
      <c r="M67" s="22" t="s">
        <v>77</v>
      </c>
      <c r="N67" s="20" t="s">
        <v>103</v>
      </c>
      <c r="O67" s="23">
        <v>50000</v>
      </c>
      <c r="P67" s="38">
        <f t="shared" si="16"/>
        <v>5495800</v>
      </c>
      <c r="Q67" s="39" t="s">
        <v>32</v>
      </c>
      <c r="R67" s="49">
        <v>109.916</v>
      </c>
      <c r="S67" s="40">
        <f t="shared" si="7"/>
        <v>41831</v>
      </c>
      <c r="T67" s="22" t="s">
        <v>278</v>
      </c>
      <c r="U67" s="41">
        <f t="shared" si="10"/>
        <v>6594.9599999999991</v>
      </c>
      <c r="V67" s="36">
        <v>155.72999999999999</v>
      </c>
      <c r="W67" s="38">
        <f t="shared" si="11"/>
        <v>1027033.1207999998</v>
      </c>
      <c r="X67" s="45">
        <f t="shared" si="20"/>
        <v>1027033.1207999998</v>
      </c>
      <c r="Y67" s="36"/>
      <c r="Z67" s="36"/>
      <c r="AA67" s="113"/>
    </row>
    <row r="68" spans="1:27" ht="19.5" customHeight="1">
      <c r="A68" s="35">
        <f t="shared" si="6"/>
        <v>63</v>
      </c>
      <c r="B68" s="36" t="s">
        <v>502</v>
      </c>
      <c r="C68" s="21" t="s">
        <v>526</v>
      </c>
      <c r="D68" s="19">
        <v>41778</v>
      </c>
      <c r="E68" s="27" t="s">
        <v>521</v>
      </c>
      <c r="F68" s="22" t="s">
        <v>278</v>
      </c>
      <c r="G68" s="22" t="s">
        <v>44</v>
      </c>
      <c r="H68" s="22" t="s">
        <v>133</v>
      </c>
      <c r="I68" s="37">
        <v>801.22</v>
      </c>
      <c r="J68" s="21">
        <v>41742</v>
      </c>
      <c r="K68" s="22" t="s">
        <v>96</v>
      </c>
      <c r="L68" s="22" t="s">
        <v>49</v>
      </c>
      <c r="M68" s="22" t="s">
        <v>77</v>
      </c>
      <c r="N68" s="20" t="s">
        <v>103</v>
      </c>
      <c r="O68" s="23">
        <v>78386</v>
      </c>
      <c r="P68" s="38">
        <f t="shared" si="16"/>
        <v>8615875.5759999994</v>
      </c>
      <c r="Q68" s="39" t="s">
        <v>32</v>
      </c>
      <c r="R68" s="49">
        <v>109.916</v>
      </c>
      <c r="S68" s="40">
        <f t="shared" si="7"/>
        <v>41831</v>
      </c>
      <c r="T68" s="22" t="s">
        <v>278</v>
      </c>
      <c r="U68" s="41">
        <f t="shared" si="10"/>
        <v>10339.050691199998</v>
      </c>
      <c r="V68" s="36">
        <v>155.72999999999999</v>
      </c>
      <c r="W68" s="38">
        <f t="shared" si="11"/>
        <v>1610100.3641405755</v>
      </c>
      <c r="X68" s="45">
        <f t="shared" si="20"/>
        <v>1610100.3641405755</v>
      </c>
      <c r="Y68" s="36"/>
      <c r="Z68" s="36"/>
      <c r="AA68" s="113"/>
    </row>
    <row r="69" spans="1:27" ht="21" customHeight="1">
      <c r="A69" s="35">
        <f t="shared" si="6"/>
        <v>64</v>
      </c>
      <c r="B69" s="36" t="s">
        <v>513</v>
      </c>
      <c r="C69" s="21" t="s">
        <v>522</v>
      </c>
      <c r="D69" s="21">
        <v>41771</v>
      </c>
      <c r="E69" s="26" t="s">
        <v>483</v>
      </c>
      <c r="F69" s="22" t="s">
        <v>163</v>
      </c>
      <c r="G69" s="22" t="s">
        <v>279</v>
      </c>
      <c r="H69" s="22" t="s">
        <v>159</v>
      </c>
      <c r="I69" s="37">
        <v>801.22</v>
      </c>
      <c r="J69" s="21">
        <v>41743</v>
      </c>
      <c r="K69" s="22" t="s">
        <v>491</v>
      </c>
      <c r="L69" s="22" t="s">
        <v>160</v>
      </c>
      <c r="M69" s="22" t="s">
        <v>37</v>
      </c>
      <c r="N69" s="20" t="s">
        <v>492</v>
      </c>
      <c r="O69" s="23">
        <v>649457</v>
      </c>
      <c r="P69" s="38">
        <f t="shared" si="16"/>
        <v>66604413.178000003</v>
      </c>
      <c r="Q69" s="39" t="s">
        <v>32</v>
      </c>
      <c r="R69" s="49">
        <v>102.554</v>
      </c>
      <c r="S69" s="40">
        <f t="shared" si="7"/>
        <v>41832</v>
      </c>
      <c r="T69" s="22" t="s">
        <v>163</v>
      </c>
      <c r="U69" s="41">
        <f t="shared" si="10"/>
        <v>79925.295813599994</v>
      </c>
      <c r="V69" s="36">
        <v>155.72999999999999</v>
      </c>
      <c r="W69" s="38">
        <f t="shared" si="11"/>
        <v>12446766.317051927</v>
      </c>
      <c r="X69" s="45">
        <v>12446766.970000001</v>
      </c>
      <c r="Y69" s="40">
        <v>41766</v>
      </c>
      <c r="Z69" s="48">
        <v>4648</v>
      </c>
      <c r="AA69" s="113"/>
    </row>
    <row r="70" spans="1:27" ht="96.75" customHeight="1">
      <c r="A70" s="35">
        <f t="shared" si="6"/>
        <v>65</v>
      </c>
      <c r="B70" s="36" t="s">
        <v>503</v>
      </c>
      <c r="C70" s="22" t="s">
        <v>753</v>
      </c>
      <c r="D70" s="19">
        <v>41863</v>
      </c>
      <c r="E70" s="27" t="s">
        <v>519</v>
      </c>
      <c r="F70" s="22" t="s">
        <v>120</v>
      </c>
      <c r="G70" s="22" t="s">
        <v>53</v>
      </c>
      <c r="H70" s="22" t="s">
        <v>133</v>
      </c>
      <c r="I70" s="37">
        <v>801.22</v>
      </c>
      <c r="J70" s="21">
        <v>41747</v>
      </c>
      <c r="K70" s="22" t="s">
        <v>173</v>
      </c>
      <c r="L70" s="22" t="s">
        <v>49</v>
      </c>
      <c r="M70" s="22" t="s">
        <v>54</v>
      </c>
      <c r="N70" s="22" t="s">
        <v>86</v>
      </c>
      <c r="O70" s="58">
        <v>345399</v>
      </c>
      <c r="P70" s="38">
        <f t="shared" si="16"/>
        <v>37898283.5568</v>
      </c>
      <c r="Q70" s="39" t="s">
        <v>32</v>
      </c>
      <c r="R70" s="15">
        <v>109.72320000000001</v>
      </c>
      <c r="S70" s="40">
        <f t="shared" si="7"/>
        <v>41836</v>
      </c>
      <c r="T70" s="22" t="s">
        <v>38</v>
      </c>
      <c r="U70" s="41">
        <f t="shared" si="10"/>
        <v>45477.940268159997</v>
      </c>
      <c r="V70" s="36">
        <v>155.72999999999999</v>
      </c>
      <c r="W70" s="38">
        <f t="shared" si="11"/>
        <v>7082279.637960556</v>
      </c>
      <c r="X70" s="45">
        <v>7036801.6600000001</v>
      </c>
      <c r="Y70" s="40">
        <v>41838</v>
      </c>
      <c r="Z70" s="48">
        <v>11232</v>
      </c>
      <c r="AA70" s="22" t="s">
        <v>520</v>
      </c>
    </row>
    <row r="71" spans="1:27" ht="20.25" customHeight="1">
      <c r="A71" s="35">
        <f t="shared" si="6"/>
        <v>66</v>
      </c>
      <c r="B71" s="36" t="s">
        <v>504</v>
      </c>
      <c r="C71" s="22" t="s">
        <v>676</v>
      </c>
      <c r="D71" s="19">
        <v>41842</v>
      </c>
      <c r="E71" s="26" t="s">
        <v>484</v>
      </c>
      <c r="F71" s="22" t="s">
        <v>120</v>
      </c>
      <c r="G71" s="22" t="s">
        <v>47</v>
      </c>
      <c r="H71" s="22" t="s">
        <v>133</v>
      </c>
      <c r="I71" s="37">
        <v>801.22</v>
      </c>
      <c r="J71" s="21">
        <v>41747</v>
      </c>
      <c r="K71" s="22" t="s">
        <v>173</v>
      </c>
      <c r="L71" s="22" t="s">
        <v>49</v>
      </c>
      <c r="M71" s="22" t="s">
        <v>54</v>
      </c>
      <c r="N71" s="20" t="s">
        <v>86</v>
      </c>
      <c r="O71" s="58">
        <v>80000</v>
      </c>
      <c r="P71" s="38">
        <f t="shared" si="16"/>
        <v>8766640</v>
      </c>
      <c r="Q71" s="39" t="s">
        <v>32</v>
      </c>
      <c r="R71" s="9">
        <v>109.583</v>
      </c>
      <c r="S71" s="40">
        <f t="shared" si="7"/>
        <v>41836</v>
      </c>
      <c r="T71" s="20" t="s">
        <v>38</v>
      </c>
      <c r="U71" s="41">
        <f t="shared" si="10"/>
        <v>10519.967999999999</v>
      </c>
      <c r="V71" s="36">
        <v>155.72999999999999</v>
      </c>
      <c r="W71" s="38">
        <f t="shared" si="11"/>
        <v>1638274.6166399997</v>
      </c>
      <c r="X71" s="45">
        <v>1627754.96</v>
      </c>
      <c r="Y71" s="40">
        <v>41838</v>
      </c>
      <c r="Z71" s="48">
        <v>11233</v>
      </c>
      <c r="AA71" s="113"/>
    </row>
    <row r="72" spans="1:27" ht="20.25" customHeight="1">
      <c r="A72" s="35">
        <f t="shared" si="6"/>
        <v>67</v>
      </c>
      <c r="B72" s="36" t="s">
        <v>505</v>
      </c>
      <c r="C72" s="22" t="s">
        <v>668</v>
      </c>
      <c r="D72" s="19">
        <v>41838</v>
      </c>
      <c r="E72" s="26" t="s">
        <v>485</v>
      </c>
      <c r="F72" s="22" t="s">
        <v>163</v>
      </c>
      <c r="G72" s="22" t="s">
        <v>65</v>
      </c>
      <c r="H72" s="22" t="s">
        <v>133</v>
      </c>
      <c r="I72" s="37">
        <v>801.22</v>
      </c>
      <c r="J72" s="21">
        <v>41747</v>
      </c>
      <c r="K72" s="22" t="s">
        <v>173</v>
      </c>
      <c r="L72" s="22" t="s">
        <v>49</v>
      </c>
      <c r="M72" s="22" t="s">
        <v>54</v>
      </c>
      <c r="N72" s="20" t="s">
        <v>86</v>
      </c>
      <c r="O72" s="58">
        <v>304000</v>
      </c>
      <c r="P72" s="38">
        <f t="shared" si="16"/>
        <v>33768624</v>
      </c>
      <c r="Q72" s="39" t="s">
        <v>32</v>
      </c>
      <c r="R72" s="9">
        <v>111.081</v>
      </c>
      <c r="S72" s="40">
        <f t="shared" si="7"/>
        <v>41836</v>
      </c>
      <c r="T72" s="20" t="s">
        <v>38</v>
      </c>
      <c r="U72" s="41">
        <f t="shared" si="10"/>
        <v>40522.3488</v>
      </c>
      <c r="V72" s="36">
        <v>155.72999999999999</v>
      </c>
      <c r="W72" s="38">
        <f t="shared" si="11"/>
        <v>6310545.3786239997</v>
      </c>
      <c r="X72" s="45">
        <v>6509105.0800000001</v>
      </c>
      <c r="Y72" s="40">
        <v>41836</v>
      </c>
      <c r="Z72" s="48">
        <v>8920</v>
      </c>
      <c r="AA72" s="113"/>
    </row>
    <row r="73" spans="1:27" ht="20.25" customHeight="1">
      <c r="A73" s="35">
        <f t="shared" si="6"/>
        <v>68</v>
      </c>
      <c r="B73" s="36" t="s">
        <v>506</v>
      </c>
      <c r="C73" s="22" t="s">
        <v>605</v>
      </c>
      <c r="D73" s="21">
        <v>41820</v>
      </c>
      <c r="E73" s="26" t="s">
        <v>486</v>
      </c>
      <c r="F73" s="22" t="s">
        <v>39</v>
      </c>
      <c r="G73" s="22" t="s">
        <v>97</v>
      </c>
      <c r="H73" s="22" t="s">
        <v>133</v>
      </c>
      <c r="I73" s="37">
        <v>801.22</v>
      </c>
      <c r="J73" s="21">
        <v>41747</v>
      </c>
      <c r="K73" s="22" t="s">
        <v>173</v>
      </c>
      <c r="L73" s="22" t="s">
        <v>49</v>
      </c>
      <c r="M73" s="22" t="s">
        <v>54</v>
      </c>
      <c r="N73" s="20" t="s">
        <v>86</v>
      </c>
      <c r="O73" s="58">
        <v>25000</v>
      </c>
      <c r="P73" s="38">
        <f t="shared" si="16"/>
        <v>2778600</v>
      </c>
      <c r="Q73" s="39" t="s">
        <v>32</v>
      </c>
      <c r="R73" s="9">
        <v>111.14400000000001</v>
      </c>
      <c r="S73" s="40">
        <f t="shared" si="7"/>
        <v>41836</v>
      </c>
      <c r="T73" s="20" t="s">
        <v>39</v>
      </c>
      <c r="U73" s="41">
        <f t="shared" si="10"/>
        <v>3334.3199999999997</v>
      </c>
      <c r="V73" s="36">
        <v>155.72999999999999</v>
      </c>
      <c r="W73" s="38">
        <f t="shared" si="11"/>
        <v>519253.6535999999</v>
      </c>
      <c r="X73" s="45">
        <v>519253.65</v>
      </c>
      <c r="Y73" s="40">
        <v>41820</v>
      </c>
      <c r="Z73" s="48">
        <v>3597</v>
      </c>
      <c r="AA73" s="113"/>
    </row>
    <row r="74" spans="1:27" ht="20.25" customHeight="1">
      <c r="A74" s="35">
        <f t="shared" ref="A74:A137" si="21">A73+1</f>
        <v>69</v>
      </c>
      <c r="B74" s="36" t="s">
        <v>507</v>
      </c>
      <c r="C74" s="22" t="s">
        <v>606</v>
      </c>
      <c r="D74" s="21">
        <v>41820</v>
      </c>
      <c r="E74" s="26" t="s">
        <v>487</v>
      </c>
      <c r="F74" s="22" t="s">
        <v>187</v>
      </c>
      <c r="G74" s="22" t="s">
        <v>97</v>
      </c>
      <c r="H74" s="22" t="s">
        <v>133</v>
      </c>
      <c r="I74" s="37">
        <v>801.22</v>
      </c>
      <c r="J74" s="21">
        <v>41747</v>
      </c>
      <c r="K74" s="22" t="s">
        <v>173</v>
      </c>
      <c r="L74" s="22" t="s">
        <v>49</v>
      </c>
      <c r="M74" s="22" t="s">
        <v>54</v>
      </c>
      <c r="N74" s="20" t="s">
        <v>86</v>
      </c>
      <c r="O74" s="58">
        <v>37000</v>
      </c>
      <c r="P74" s="38">
        <f t="shared" si="16"/>
        <v>4112328</v>
      </c>
      <c r="Q74" s="39" t="s">
        <v>32</v>
      </c>
      <c r="R74" s="9">
        <v>111.14400000000001</v>
      </c>
      <c r="S74" s="40">
        <f t="shared" ref="S74:S137" si="22">SUM(J74)+89</f>
        <v>41836</v>
      </c>
      <c r="T74" s="20" t="s">
        <v>39</v>
      </c>
      <c r="U74" s="41">
        <f t="shared" si="10"/>
        <v>4934.7936</v>
      </c>
      <c r="V74" s="36">
        <v>155.72999999999999</v>
      </c>
      <c r="W74" s="38">
        <f t="shared" si="11"/>
        <v>768495.40732799994</v>
      </c>
      <c r="X74" s="45">
        <v>768495.41</v>
      </c>
      <c r="Y74" s="40">
        <v>41820</v>
      </c>
      <c r="Z74" s="48">
        <v>3599</v>
      </c>
      <c r="AA74" s="113"/>
    </row>
    <row r="75" spans="1:27" ht="20.25" customHeight="1">
      <c r="A75" s="35">
        <f t="shared" si="21"/>
        <v>70</v>
      </c>
      <c r="B75" s="36" t="s">
        <v>508</v>
      </c>
      <c r="C75" s="60" t="s">
        <v>596</v>
      </c>
      <c r="D75" s="21">
        <v>41801</v>
      </c>
      <c r="E75" s="27" t="s">
        <v>594</v>
      </c>
      <c r="F75" s="22" t="s">
        <v>130</v>
      </c>
      <c r="G75" s="22" t="s">
        <v>87</v>
      </c>
      <c r="H75" s="22" t="s">
        <v>133</v>
      </c>
      <c r="I75" s="37">
        <v>801.22</v>
      </c>
      <c r="J75" s="21">
        <v>41747</v>
      </c>
      <c r="K75" s="22" t="s">
        <v>173</v>
      </c>
      <c r="L75" s="22" t="s">
        <v>49</v>
      </c>
      <c r="M75" s="22" t="s">
        <v>54</v>
      </c>
      <c r="N75" s="20" t="s">
        <v>86</v>
      </c>
      <c r="O75" s="58">
        <v>178000</v>
      </c>
      <c r="P75" s="38">
        <f t="shared" si="16"/>
        <v>19514496</v>
      </c>
      <c r="Q75" s="39" t="s">
        <v>32</v>
      </c>
      <c r="R75" s="9">
        <v>109.63200000000001</v>
      </c>
      <c r="S75" s="40">
        <f>SUM(J75)+89</f>
        <v>41836</v>
      </c>
      <c r="T75" s="22" t="s">
        <v>144</v>
      </c>
      <c r="U75" s="41">
        <f t="shared" ref="U75" si="23">SUM(P75*0.12%)</f>
        <v>23417.395199999999</v>
      </c>
      <c r="V75" s="36">
        <v>155.72999999999999</v>
      </c>
      <c r="W75" s="38">
        <f t="shared" si="11"/>
        <v>3646790.9544959995</v>
      </c>
      <c r="X75" s="45">
        <v>3646790.95</v>
      </c>
      <c r="Y75" s="40">
        <v>41800</v>
      </c>
      <c r="Z75" s="48">
        <v>29699</v>
      </c>
      <c r="AA75" s="113"/>
    </row>
    <row r="76" spans="1:27" ht="20.25" customHeight="1">
      <c r="A76" s="35">
        <f t="shared" si="21"/>
        <v>71</v>
      </c>
      <c r="B76" s="36" t="s">
        <v>514</v>
      </c>
      <c r="C76" s="24" t="s">
        <v>523</v>
      </c>
      <c r="D76" s="19">
        <v>41771</v>
      </c>
      <c r="E76" s="26" t="s">
        <v>488</v>
      </c>
      <c r="F76" s="22" t="s">
        <v>52</v>
      </c>
      <c r="G76" s="22" t="s">
        <v>82</v>
      </c>
      <c r="H76" s="22" t="s">
        <v>58</v>
      </c>
      <c r="I76" s="37">
        <v>801.22</v>
      </c>
      <c r="J76" s="21">
        <v>41749</v>
      </c>
      <c r="K76" s="22" t="s">
        <v>228</v>
      </c>
      <c r="L76" s="22" t="s">
        <v>59</v>
      </c>
      <c r="M76" s="22" t="s">
        <v>78</v>
      </c>
      <c r="N76" s="20" t="s">
        <v>131</v>
      </c>
      <c r="O76" s="23">
        <v>153776</v>
      </c>
      <c r="P76" s="38">
        <f t="shared" si="16"/>
        <v>16977331.728</v>
      </c>
      <c r="Q76" s="39" t="s">
        <v>32</v>
      </c>
      <c r="R76" s="49">
        <v>110.40300000000001</v>
      </c>
      <c r="S76" s="40">
        <f t="shared" si="22"/>
        <v>41838</v>
      </c>
      <c r="T76" s="22" t="s">
        <v>52</v>
      </c>
      <c r="U76" s="41">
        <f t="shared" si="10"/>
        <v>20372.798073599999</v>
      </c>
      <c r="V76" s="36">
        <v>155.72999999999999</v>
      </c>
      <c r="W76" s="38">
        <f t="shared" si="11"/>
        <v>3172655.8440017276</v>
      </c>
      <c r="X76" s="45">
        <v>3172655.84</v>
      </c>
      <c r="Y76" s="40">
        <v>41765</v>
      </c>
      <c r="Z76" s="46">
        <v>15442</v>
      </c>
      <c r="AA76" s="113"/>
    </row>
    <row r="77" spans="1:27" ht="20.25" customHeight="1">
      <c r="A77" s="35">
        <f t="shared" si="21"/>
        <v>72</v>
      </c>
      <c r="B77" s="36" t="s">
        <v>515</v>
      </c>
      <c r="C77" s="22" t="s">
        <v>681</v>
      </c>
      <c r="D77" s="21">
        <v>41842</v>
      </c>
      <c r="E77" s="27" t="s">
        <v>528</v>
      </c>
      <c r="F77" s="22" t="s">
        <v>163</v>
      </c>
      <c r="G77" s="22" t="s">
        <v>34</v>
      </c>
      <c r="H77" s="22" t="s">
        <v>35</v>
      </c>
      <c r="I77" s="37">
        <v>801.22</v>
      </c>
      <c r="J77" s="21">
        <v>41750</v>
      </c>
      <c r="K77" s="22" t="s">
        <v>94</v>
      </c>
      <c r="L77" s="22" t="s">
        <v>36</v>
      </c>
      <c r="M77" s="22" t="s">
        <v>37</v>
      </c>
      <c r="N77" s="20" t="s">
        <v>66</v>
      </c>
      <c r="O77" s="58">
        <v>950596</v>
      </c>
      <c r="P77" s="38">
        <f t="shared" si="16"/>
        <v>104259277.96880001</v>
      </c>
      <c r="Q77" s="39" t="s">
        <v>32</v>
      </c>
      <c r="R77" s="49">
        <v>109.6778</v>
      </c>
      <c r="S77" s="40">
        <f t="shared" si="22"/>
        <v>41839</v>
      </c>
      <c r="T77" s="20" t="s">
        <v>38</v>
      </c>
      <c r="U77" s="41">
        <f t="shared" si="10"/>
        <v>125111.13356256</v>
      </c>
      <c r="V77" s="36">
        <v>155.72999999999999</v>
      </c>
      <c r="W77" s="38">
        <f t="shared" si="11"/>
        <v>19483556.829697467</v>
      </c>
      <c r="X77" s="45">
        <v>19679656.02</v>
      </c>
      <c r="Y77" s="40">
        <v>41831</v>
      </c>
      <c r="Z77" s="48">
        <v>11220</v>
      </c>
      <c r="AA77" s="113"/>
    </row>
    <row r="78" spans="1:27" ht="20.25" customHeight="1">
      <c r="A78" s="35">
        <f t="shared" si="21"/>
        <v>73</v>
      </c>
      <c r="B78" s="36" t="s">
        <v>512</v>
      </c>
      <c r="C78" s="21" t="s">
        <v>601</v>
      </c>
      <c r="D78" s="21">
        <v>41820</v>
      </c>
      <c r="E78" s="26" t="s">
        <v>489</v>
      </c>
      <c r="F78" s="22" t="s">
        <v>120</v>
      </c>
      <c r="G78" s="22" t="s">
        <v>28</v>
      </c>
      <c r="H78" s="22" t="s">
        <v>29</v>
      </c>
      <c r="I78" s="37">
        <v>801.22</v>
      </c>
      <c r="J78" s="21">
        <v>41754</v>
      </c>
      <c r="K78" s="22" t="s">
        <v>112</v>
      </c>
      <c r="L78" s="22" t="s">
        <v>30</v>
      </c>
      <c r="M78" s="22" t="s">
        <v>54</v>
      </c>
      <c r="N78" s="20" t="s">
        <v>55</v>
      </c>
      <c r="O78" s="58">
        <v>949194</v>
      </c>
      <c r="P78" s="38">
        <f t="shared" si="16"/>
        <v>103501062.954</v>
      </c>
      <c r="Q78" s="39" t="s">
        <v>32</v>
      </c>
      <c r="R78" s="49">
        <v>109.041</v>
      </c>
      <c r="S78" s="40">
        <f t="shared" si="22"/>
        <v>41843</v>
      </c>
      <c r="T78" s="22" t="s">
        <v>27</v>
      </c>
      <c r="U78" s="41">
        <f t="shared" si="10"/>
        <v>124201.27554479998</v>
      </c>
      <c r="V78" s="36">
        <v>155.72999999999999</v>
      </c>
      <c r="W78" s="38">
        <f t="shared" si="11"/>
        <v>19341864.6405917</v>
      </c>
      <c r="X78" s="45">
        <v>19341865.329999998</v>
      </c>
      <c r="Y78" s="40">
        <v>41816</v>
      </c>
      <c r="Z78" s="48">
        <v>1518</v>
      </c>
      <c r="AA78" s="113"/>
    </row>
    <row r="79" spans="1:27" ht="24.75" customHeight="1">
      <c r="A79" s="61">
        <f t="shared" si="21"/>
        <v>74</v>
      </c>
      <c r="B79" s="36" t="s">
        <v>509</v>
      </c>
      <c r="C79" s="62" t="s">
        <v>473</v>
      </c>
      <c r="D79" s="62">
        <v>41759</v>
      </c>
      <c r="E79" s="63" t="s">
        <v>490</v>
      </c>
      <c r="F79" s="24" t="s">
        <v>278</v>
      </c>
      <c r="G79" s="24" t="s">
        <v>44</v>
      </c>
      <c r="H79" s="24" t="s">
        <v>133</v>
      </c>
      <c r="I79" s="64">
        <v>801.22</v>
      </c>
      <c r="J79" s="62">
        <v>41758</v>
      </c>
      <c r="K79" s="24" t="s">
        <v>152</v>
      </c>
      <c r="L79" s="24" t="s">
        <v>49</v>
      </c>
      <c r="M79" s="24" t="s">
        <v>37</v>
      </c>
      <c r="N79" s="25" t="s">
        <v>138</v>
      </c>
      <c r="O79" s="65">
        <v>949719</v>
      </c>
      <c r="P79" s="53">
        <f t="shared" si="16"/>
        <v>105507132.867</v>
      </c>
      <c r="Q79" s="66" t="s">
        <v>32</v>
      </c>
      <c r="R79" s="67">
        <v>111.093</v>
      </c>
      <c r="S79" s="68">
        <f t="shared" si="22"/>
        <v>41847</v>
      </c>
      <c r="T79" s="24" t="s">
        <v>278</v>
      </c>
      <c r="U79" s="54">
        <f t="shared" si="10"/>
        <v>126608.55944039999</v>
      </c>
      <c r="V79" s="69">
        <v>155.72999999999999</v>
      </c>
      <c r="W79" s="53">
        <f t="shared" si="11"/>
        <v>19716750.96165349</v>
      </c>
      <c r="X79" s="70">
        <f t="shared" ref="X79:X88" si="24">W79</f>
        <v>19716750.96165349</v>
      </c>
      <c r="Y79" s="69"/>
      <c r="Z79" s="69"/>
      <c r="AA79" s="113"/>
    </row>
    <row r="80" spans="1:27" ht="19.5" customHeight="1">
      <c r="A80" s="35">
        <f t="shared" si="21"/>
        <v>75</v>
      </c>
      <c r="B80" s="36" t="s">
        <v>573</v>
      </c>
      <c r="C80" s="21" t="s">
        <v>535</v>
      </c>
      <c r="D80" s="21">
        <v>41789</v>
      </c>
      <c r="E80" s="26" t="s">
        <v>545</v>
      </c>
      <c r="F80" s="22" t="s">
        <v>278</v>
      </c>
      <c r="G80" s="22" t="s">
        <v>44</v>
      </c>
      <c r="H80" s="22" t="s">
        <v>45</v>
      </c>
      <c r="I80" s="37">
        <v>801.22</v>
      </c>
      <c r="J80" s="21">
        <v>41764</v>
      </c>
      <c r="K80" s="22" t="s">
        <v>562</v>
      </c>
      <c r="L80" s="22" t="s">
        <v>46</v>
      </c>
      <c r="M80" s="22" t="s">
        <v>90</v>
      </c>
      <c r="N80" s="20" t="s">
        <v>569</v>
      </c>
      <c r="O80" s="23">
        <v>899633</v>
      </c>
      <c r="P80" s="38">
        <f t="shared" si="16"/>
        <v>100128793.0468</v>
      </c>
      <c r="Q80" s="39" t="s">
        <v>32</v>
      </c>
      <c r="R80" s="8">
        <v>111.2996</v>
      </c>
      <c r="S80" s="40">
        <f t="shared" si="22"/>
        <v>41853</v>
      </c>
      <c r="T80" s="22" t="s">
        <v>278</v>
      </c>
      <c r="U80" s="41">
        <f t="shared" si="10"/>
        <v>120154.55165615999</v>
      </c>
      <c r="V80" s="36">
        <v>155.72999999999999</v>
      </c>
      <c r="W80" s="38">
        <f t="shared" si="11"/>
        <v>18711668.329413794</v>
      </c>
      <c r="X80" s="70">
        <f t="shared" si="24"/>
        <v>18711668.329413794</v>
      </c>
      <c r="Y80" s="36"/>
      <c r="Z80" s="36"/>
      <c r="AA80" s="113"/>
    </row>
    <row r="81" spans="1:27" ht="19.5" customHeight="1">
      <c r="A81" s="35">
        <f t="shared" si="21"/>
        <v>76</v>
      </c>
      <c r="B81" s="36" t="s">
        <v>510</v>
      </c>
      <c r="C81" s="21" t="s">
        <v>536</v>
      </c>
      <c r="D81" s="21">
        <v>41789</v>
      </c>
      <c r="E81" s="26" t="s">
        <v>546</v>
      </c>
      <c r="F81" s="22" t="s">
        <v>278</v>
      </c>
      <c r="G81" s="22" t="s">
        <v>44</v>
      </c>
      <c r="H81" s="22" t="s">
        <v>133</v>
      </c>
      <c r="I81" s="37">
        <v>801.22</v>
      </c>
      <c r="J81" s="21">
        <v>41766</v>
      </c>
      <c r="K81" s="22" t="s">
        <v>143</v>
      </c>
      <c r="L81" s="22" t="s">
        <v>49</v>
      </c>
      <c r="M81" s="22" t="s">
        <v>287</v>
      </c>
      <c r="N81" s="20" t="s">
        <v>290</v>
      </c>
      <c r="O81" s="23">
        <v>46000</v>
      </c>
      <c r="P81" s="38">
        <f t="shared" si="16"/>
        <v>5082632</v>
      </c>
      <c r="Q81" s="39" t="s">
        <v>32</v>
      </c>
      <c r="R81" s="8">
        <v>110.492</v>
      </c>
      <c r="S81" s="40">
        <f t="shared" si="22"/>
        <v>41855</v>
      </c>
      <c r="T81" s="22" t="s">
        <v>278</v>
      </c>
      <c r="U81" s="41">
        <f t="shared" si="10"/>
        <v>6099.1583999999993</v>
      </c>
      <c r="V81" s="36">
        <v>155.72999999999999</v>
      </c>
      <c r="W81" s="38">
        <f t="shared" si="11"/>
        <v>949821.93763199984</v>
      </c>
      <c r="X81" s="70">
        <f t="shared" si="24"/>
        <v>949821.93763199984</v>
      </c>
      <c r="Y81" s="36"/>
      <c r="Z81" s="36"/>
      <c r="AA81" s="113"/>
    </row>
    <row r="82" spans="1:27" ht="19.5" customHeight="1">
      <c r="A82" s="35">
        <f t="shared" si="21"/>
        <v>77</v>
      </c>
      <c r="B82" s="36" t="s">
        <v>575</v>
      </c>
      <c r="C82" s="21" t="s">
        <v>537</v>
      </c>
      <c r="D82" s="21">
        <v>41789</v>
      </c>
      <c r="E82" s="26" t="s">
        <v>547</v>
      </c>
      <c r="F82" s="22" t="s">
        <v>278</v>
      </c>
      <c r="G82" s="22" t="s">
        <v>44</v>
      </c>
      <c r="H82" s="22" t="s">
        <v>133</v>
      </c>
      <c r="I82" s="37">
        <v>801.22</v>
      </c>
      <c r="J82" s="21">
        <v>41766</v>
      </c>
      <c r="K82" s="22" t="s">
        <v>143</v>
      </c>
      <c r="L82" s="22" t="s">
        <v>49</v>
      </c>
      <c r="M82" s="22" t="s">
        <v>287</v>
      </c>
      <c r="N82" s="20" t="s">
        <v>290</v>
      </c>
      <c r="O82" s="23">
        <v>42000</v>
      </c>
      <c r="P82" s="38">
        <f t="shared" si="16"/>
        <v>4640664</v>
      </c>
      <c r="Q82" s="39" t="s">
        <v>32</v>
      </c>
      <c r="R82" s="8">
        <v>110.492</v>
      </c>
      <c r="S82" s="40">
        <f t="shared" si="22"/>
        <v>41855</v>
      </c>
      <c r="T82" s="22" t="s">
        <v>278</v>
      </c>
      <c r="U82" s="41">
        <f t="shared" si="10"/>
        <v>5568.7967999999992</v>
      </c>
      <c r="V82" s="36">
        <v>155.72999999999999</v>
      </c>
      <c r="W82" s="38">
        <f t="shared" si="11"/>
        <v>867228.72566399979</v>
      </c>
      <c r="X82" s="70">
        <f t="shared" si="24"/>
        <v>867228.72566399979</v>
      </c>
      <c r="Y82" s="36"/>
      <c r="Z82" s="36"/>
      <c r="AA82" s="113"/>
    </row>
    <row r="83" spans="1:27" ht="19.5" customHeight="1">
      <c r="A83" s="35">
        <f t="shared" si="21"/>
        <v>78</v>
      </c>
      <c r="B83" s="36" t="s">
        <v>576</v>
      </c>
      <c r="C83" s="21" t="s">
        <v>538</v>
      </c>
      <c r="D83" s="21">
        <v>41789</v>
      </c>
      <c r="E83" s="26" t="s">
        <v>548</v>
      </c>
      <c r="F83" s="22" t="s">
        <v>278</v>
      </c>
      <c r="G83" s="22" t="s">
        <v>44</v>
      </c>
      <c r="H83" s="22" t="s">
        <v>133</v>
      </c>
      <c r="I83" s="37">
        <v>801.22</v>
      </c>
      <c r="J83" s="21">
        <v>41766</v>
      </c>
      <c r="K83" s="22" t="s">
        <v>143</v>
      </c>
      <c r="L83" s="22" t="s">
        <v>49</v>
      </c>
      <c r="M83" s="22" t="s">
        <v>287</v>
      </c>
      <c r="N83" s="20" t="s">
        <v>290</v>
      </c>
      <c r="O83" s="23">
        <v>78000</v>
      </c>
      <c r="P83" s="38">
        <f t="shared" si="16"/>
        <v>8618376</v>
      </c>
      <c r="Q83" s="39" t="s">
        <v>32</v>
      </c>
      <c r="R83" s="8">
        <v>110.492</v>
      </c>
      <c r="S83" s="40">
        <f t="shared" si="22"/>
        <v>41855</v>
      </c>
      <c r="T83" s="22" t="s">
        <v>278</v>
      </c>
      <c r="U83" s="41">
        <f t="shared" si="10"/>
        <v>10342.0512</v>
      </c>
      <c r="V83" s="36">
        <v>155.72999999999999</v>
      </c>
      <c r="W83" s="38">
        <f t="shared" si="11"/>
        <v>1610567.633376</v>
      </c>
      <c r="X83" s="70">
        <f t="shared" si="24"/>
        <v>1610567.633376</v>
      </c>
      <c r="Y83" s="36"/>
      <c r="Z83" s="36"/>
      <c r="AA83" s="113"/>
    </row>
    <row r="84" spans="1:27" ht="19.5" customHeight="1">
      <c r="A84" s="35">
        <f t="shared" si="21"/>
        <v>79</v>
      </c>
      <c r="B84" s="36" t="s">
        <v>577</v>
      </c>
      <c r="C84" s="21" t="s">
        <v>539</v>
      </c>
      <c r="D84" s="21">
        <v>41789</v>
      </c>
      <c r="E84" s="26" t="s">
        <v>549</v>
      </c>
      <c r="F84" s="22" t="s">
        <v>278</v>
      </c>
      <c r="G84" s="22" t="s">
        <v>44</v>
      </c>
      <c r="H84" s="22" t="s">
        <v>133</v>
      </c>
      <c r="I84" s="37">
        <v>801.22</v>
      </c>
      <c r="J84" s="21">
        <v>41766</v>
      </c>
      <c r="K84" s="22" t="s">
        <v>143</v>
      </c>
      <c r="L84" s="22" t="s">
        <v>49</v>
      </c>
      <c r="M84" s="22" t="s">
        <v>287</v>
      </c>
      <c r="N84" s="20" t="s">
        <v>290</v>
      </c>
      <c r="O84" s="23">
        <v>83641</v>
      </c>
      <c r="P84" s="38">
        <f t="shared" si="16"/>
        <v>9241661.3719999995</v>
      </c>
      <c r="Q84" s="39" t="s">
        <v>32</v>
      </c>
      <c r="R84" s="8">
        <v>110.492</v>
      </c>
      <c r="S84" s="40">
        <f t="shared" si="22"/>
        <v>41855</v>
      </c>
      <c r="T84" s="22" t="s">
        <v>278</v>
      </c>
      <c r="U84" s="41">
        <f t="shared" si="10"/>
        <v>11089.993646399998</v>
      </c>
      <c r="V84" s="36">
        <v>155.72999999999999</v>
      </c>
      <c r="W84" s="38">
        <f t="shared" si="11"/>
        <v>1727044.7105538717</v>
      </c>
      <c r="X84" s="70">
        <f t="shared" si="24"/>
        <v>1727044.7105538717</v>
      </c>
      <c r="Y84" s="36"/>
      <c r="Z84" s="36"/>
      <c r="AA84" s="113"/>
    </row>
    <row r="85" spans="1:27" ht="19.5" customHeight="1">
      <c r="A85" s="35">
        <f t="shared" si="21"/>
        <v>80</v>
      </c>
      <c r="B85" s="36" t="s">
        <v>588</v>
      </c>
      <c r="C85" s="44" t="s">
        <v>598</v>
      </c>
      <c r="D85" s="21">
        <v>41806</v>
      </c>
      <c r="E85" s="27" t="s">
        <v>592</v>
      </c>
      <c r="F85" s="22" t="s">
        <v>150</v>
      </c>
      <c r="G85" s="22" t="s">
        <v>279</v>
      </c>
      <c r="H85" s="22" t="s">
        <v>159</v>
      </c>
      <c r="I85" s="37">
        <v>801.22</v>
      </c>
      <c r="J85" s="21">
        <v>41768</v>
      </c>
      <c r="K85" s="22" t="s">
        <v>563</v>
      </c>
      <c r="L85" s="22" t="s">
        <v>160</v>
      </c>
      <c r="M85" s="22" t="s">
        <v>69</v>
      </c>
      <c r="N85" s="20" t="s">
        <v>570</v>
      </c>
      <c r="O85" s="23">
        <v>631195</v>
      </c>
      <c r="P85" s="38">
        <f t="shared" si="16"/>
        <v>66642830.489999995</v>
      </c>
      <c r="Q85" s="39" t="s">
        <v>32</v>
      </c>
      <c r="R85" s="9">
        <v>105.58199999999999</v>
      </c>
      <c r="S85" s="40">
        <f t="shared" si="22"/>
        <v>41857</v>
      </c>
      <c r="T85" s="22" t="s">
        <v>163</v>
      </c>
      <c r="U85" s="41">
        <f t="shared" si="10"/>
        <v>79971.396587999989</v>
      </c>
      <c r="V85" s="36">
        <v>155.72999999999999</v>
      </c>
      <c r="W85" s="38">
        <f t="shared" si="11"/>
        <v>12453945.590649238</v>
      </c>
      <c r="X85" s="45">
        <v>12453946.119999999</v>
      </c>
      <c r="Y85" s="40">
        <v>41803</v>
      </c>
      <c r="Z85" s="48">
        <v>4132</v>
      </c>
      <c r="AA85" s="113"/>
    </row>
    <row r="86" spans="1:27" ht="19.5" customHeight="1">
      <c r="A86" s="35">
        <f t="shared" si="21"/>
        <v>81</v>
      </c>
      <c r="B86" s="36" t="s">
        <v>589</v>
      </c>
      <c r="C86" s="21" t="s">
        <v>540</v>
      </c>
      <c r="D86" s="21">
        <v>41789</v>
      </c>
      <c r="E86" s="18" t="s">
        <v>550</v>
      </c>
      <c r="F86" s="22" t="s">
        <v>278</v>
      </c>
      <c r="G86" s="22" t="s">
        <v>44</v>
      </c>
      <c r="H86" s="22" t="s">
        <v>35</v>
      </c>
      <c r="I86" s="37">
        <v>801.22</v>
      </c>
      <c r="J86" s="21">
        <v>41770</v>
      </c>
      <c r="K86" s="22" t="s">
        <v>79</v>
      </c>
      <c r="L86" s="22" t="s">
        <v>36</v>
      </c>
      <c r="M86" s="22" t="s">
        <v>568</v>
      </c>
      <c r="N86" s="20" t="s">
        <v>51</v>
      </c>
      <c r="O86" s="23">
        <v>950065</v>
      </c>
      <c r="P86" s="38">
        <f t="shared" si="16"/>
        <v>105371709.14999999</v>
      </c>
      <c r="Q86" s="39" t="s">
        <v>32</v>
      </c>
      <c r="R86" s="8">
        <v>110.91</v>
      </c>
      <c r="S86" s="40">
        <f t="shared" si="22"/>
        <v>41859</v>
      </c>
      <c r="T86" s="22" t="s">
        <v>278</v>
      </c>
      <c r="U86" s="41">
        <f t="shared" ref="U86:U149" si="25">SUM(P86*0.12%)</f>
        <v>126446.05097999999</v>
      </c>
      <c r="V86" s="36">
        <v>155.72999999999999</v>
      </c>
      <c r="W86" s="38">
        <f t="shared" si="11"/>
        <v>19691443.519115396</v>
      </c>
      <c r="X86" s="70">
        <f t="shared" si="24"/>
        <v>19691443.519115396</v>
      </c>
      <c r="Y86" s="36"/>
      <c r="Z86" s="36"/>
      <c r="AA86" s="113"/>
    </row>
    <row r="87" spans="1:27" ht="19.5" customHeight="1">
      <c r="A87" s="35">
        <f t="shared" si="21"/>
        <v>82</v>
      </c>
      <c r="B87" s="36" t="s">
        <v>590</v>
      </c>
      <c r="C87" s="21" t="s">
        <v>541</v>
      </c>
      <c r="D87" s="21">
        <v>41789</v>
      </c>
      <c r="E87" s="18" t="s">
        <v>551</v>
      </c>
      <c r="F87" s="22" t="s">
        <v>278</v>
      </c>
      <c r="G87" s="22" t="s">
        <v>44</v>
      </c>
      <c r="H87" s="22" t="s">
        <v>29</v>
      </c>
      <c r="I87" s="37">
        <v>801.22</v>
      </c>
      <c r="J87" s="21">
        <v>41776</v>
      </c>
      <c r="K87" s="22" t="s">
        <v>564</v>
      </c>
      <c r="L87" s="22" t="s">
        <v>30</v>
      </c>
      <c r="M87" s="22" t="s">
        <v>54</v>
      </c>
      <c r="N87" s="20" t="s">
        <v>55</v>
      </c>
      <c r="O87" s="23">
        <v>548502</v>
      </c>
      <c r="P87" s="38">
        <f t="shared" si="16"/>
        <v>60799801.193999998</v>
      </c>
      <c r="Q87" s="39" t="s">
        <v>32</v>
      </c>
      <c r="R87" s="49">
        <v>110.84699999999999</v>
      </c>
      <c r="S87" s="40">
        <f t="shared" si="22"/>
        <v>41865</v>
      </c>
      <c r="T87" s="22" t="s">
        <v>278</v>
      </c>
      <c r="U87" s="41">
        <f t="shared" si="25"/>
        <v>72959.761432799991</v>
      </c>
      <c r="V87" s="36">
        <v>155.72999999999999</v>
      </c>
      <c r="W87" s="38">
        <f t="shared" si="11"/>
        <v>11362023.647929942</v>
      </c>
      <c r="X87" s="70">
        <f t="shared" si="24"/>
        <v>11362023.647929942</v>
      </c>
      <c r="Y87" s="36"/>
      <c r="Z87" s="36"/>
      <c r="AA87" s="113"/>
    </row>
    <row r="88" spans="1:27" ht="19.5" customHeight="1">
      <c r="A88" s="35">
        <f t="shared" si="21"/>
        <v>83</v>
      </c>
      <c r="B88" s="36" t="s">
        <v>591</v>
      </c>
      <c r="C88" s="21" t="s">
        <v>542</v>
      </c>
      <c r="D88" s="21">
        <v>41789</v>
      </c>
      <c r="E88" s="18" t="s">
        <v>552</v>
      </c>
      <c r="F88" s="22" t="s">
        <v>278</v>
      </c>
      <c r="G88" s="22" t="s">
        <v>44</v>
      </c>
      <c r="H88" s="22" t="s">
        <v>29</v>
      </c>
      <c r="I88" s="37">
        <v>801.22</v>
      </c>
      <c r="J88" s="21">
        <v>41776</v>
      </c>
      <c r="K88" s="22" t="s">
        <v>564</v>
      </c>
      <c r="L88" s="22" t="s">
        <v>30</v>
      </c>
      <c r="M88" s="22" t="s">
        <v>54</v>
      </c>
      <c r="N88" s="20" t="s">
        <v>55</v>
      </c>
      <c r="O88" s="23">
        <v>400000</v>
      </c>
      <c r="P88" s="38">
        <f t="shared" si="16"/>
        <v>44338800</v>
      </c>
      <c r="Q88" s="39" t="s">
        <v>32</v>
      </c>
      <c r="R88" s="49">
        <v>110.84699999999999</v>
      </c>
      <c r="S88" s="40">
        <f t="shared" si="22"/>
        <v>41865</v>
      </c>
      <c r="T88" s="22" t="s">
        <v>278</v>
      </c>
      <c r="U88" s="41">
        <f t="shared" si="25"/>
        <v>53206.559999999998</v>
      </c>
      <c r="V88" s="36">
        <v>155.72999999999999</v>
      </c>
      <c r="W88" s="38">
        <f t="shared" ref="W88:W151" si="26">SUM(U88*V88)</f>
        <v>8285857.5887999991</v>
      </c>
      <c r="X88" s="70">
        <f t="shared" si="24"/>
        <v>8285857.5887999991</v>
      </c>
      <c r="Y88" s="36"/>
      <c r="Z88" s="36"/>
      <c r="AA88" s="113"/>
    </row>
    <row r="89" spans="1:27" ht="21.75" customHeight="1">
      <c r="A89" s="35">
        <f t="shared" si="21"/>
        <v>84</v>
      </c>
      <c r="B89" s="36" t="s">
        <v>578</v>
      </c>
      <c r="C89" s="20" t="s">
        <v>678</v>
      </c>
      <c r="D89" s="19">
        <v>41842</v>
      </c>
      <c r="E89" s="26" t="s">
        <v>553</v>
      </c>
      <c r="F89" s="22" t="s">
        <v>120</v>
      </c>
      <c r="G89" s="22" t="s">
        <v>53</v>
      </c>
      <c r="H89" s="22" t="s">
        <v>133</v>
      </c>
      <c r="I89" s="37">
        <v>801.22</v>
      </c>
      <c r="J89" s="19">
        <v>41776</v>
      </c>
      <c r="K89" s="22" t="s">
        <v>565</v>
      </c>
      <c r="L89" s="22" t="s">
        <v>49</v>
      </c>
      <c r="M89" s="22" t="s">
        <v>568</v>
      </c>
      <c r="N89" s="20" t="s">
        <v>51</v>
      </c>
      <c r="O89" s="23">
        <v>101000</v>
      </c>
      <c r="P89" s="38">
        <f t="shared" si="16"/>
        <v>11303667.5</v>
      </c>
      <c r="Q89" s="39" t="s">
        <v>32</v>
      </c>
      <c r="R89" s="49">
        <v>111.9175</v>
      </c>
      <c r="S89" s="40">
        <f t="shared" si="22"/>
        <v>41865</v>
      </c>
      <c r="T89" s="20" t="s">
        <v>38</v>
      </c>
      <c r="U89" s="41">
        <f t="shared" si="25"/>
        <v>13564.400999999998</v>
      </c>
      <c r="V89" s="36">
        <v>155.72999999999999</v>
      </c>
      <c r="W89" s="38">
        <f t="shared" si="26"/>
        <v>2112384.1677299994</v>
      </c>
      <c r="X89" s="45">
        <v>2098819.61</v>
      </c>
      <c r="Y89" s="40">
        <v>41838</v>
      </c>
      <c r="Z89" s="48">
        <v>11235</v>
      </c>
      <c r="AA89" s="113"/>
    </row>
    <row r="90" spans="1:27" ht="21.75" customHeight="1">
      <c r="A90" s="35">
        <f t="shared" si="21"/>
        <v>85</v>
      </c>
      <c r="B90" s="36" t="s">
        <v>579</v>
      </c>
      <c r="C90" s="20" t="s">
        <v>679</v>
      </c>
      <c r="D90" s="19">
        <v>41842</v>
      </c>
      <c r="E90" s="26" t="s">
        <v>554</v>
      </c>
      <c r="F90" s="22" t="s">
        <v>120</v>
      </c>
      <c r="G90" s="22" t="s">
        <v>53</v>
      </c>
      <c r="H90" s="22" t="s">
        <v>133</v>
      </c>
      <c r="I90" s="37">
        <v>801.22</v>
      </c>
      <c r="J90" s="19">
        <v>41776</v>
      </c>
      <c r="K90" s="22" t="s">
        <v>565</v>
      </c>
      <c r="L90" s="22" t="s">
        <v>49</v>
      </c>
      <c r="M90" s="22" t="s">
        <v>568</v>
      </c>
      <c r="N90" s="20" t="s">
        <v>51</v>
      </c>
      <c r="O90" s="23">
        <v>119592</v>
      </c>
      <c r="P90" s="38">
        <f t="shared" si="16"/>
        <v>13384437.66</v>
      </c>
      <c r="Q90" s="39" t="s">
        <v>32</v>
      </c>
      <c r="R90" s="49">
        <v>111.9175</v>
      </c>
      <c r="S90" s="40">
        <f t="shared" si="22"/>
        <v>41865</v>
      </c>
      <c r="T90" s="20" t="s">
        <v>38</v>
      </c>
      <c r="U90" s="41">
        <f t="shared" si="25"/>
        <v>16061.325191999998</v>
      </c>
      <c r="V90" s="36">
        <v>155.72999999999999</v>
      </c>
      <c r="W90" s="38">
        <f t="shared" si="26"/>
        <v>2501230.1721501597</v>
      </c>
      <c r="X90" s="45">
        <v>2485169.59</v>
      </c>
      <c r="Y90" s="40">
        <v>41838</v>
      </c>
      <c r="Z90" s="48">
        <v>11234</v>
      </c>
      <c r="AA90" s="113"/>
    </row>
    <row r="91" spans="1:27" ht="21.75" customHeight="1">
      <c r="A91" s="35">
        <f t="shared" si="21"/>
        <v>86</v>
      </c>
      <c r="B91" s="36" t="s">
        <v>580</v>
      </c>
      <c r="C91" s="22" t="s">
        <v>680</v>
      </c>
      <c r="D91" s="19">
        <v>41842</v>
      </c>
      <c r="E91" s="26" t="s">
        <v>555</v>
      </c>
      <c r="F91" s="22" t="s">
        <v>120</v>
      </c>
      <c r="G91" s="22" t="s">
        <v>47</v>
      </c>
      <c r="H91" s="22" t="s">
        <v>133</v>
      </c>
      <c r="I91" s="37">
        <v>801.22</v>
      </c>
      <c r="J91" s="19">
        <v>41776</v>
      </c>
      <c r="K91" s="22" t="s">
        <v>565</v>
      </c>
      <c r="L91" s="22" t="s">
        <v>49</v>
      </c>
      <c r="M91" s="22" t="s">
        <v>568</v>
      </c>
      <c r="N91" s="20" t="s">
        <v>51</v>
      </c>
      <c r="O91" s="23">
        <v>70000</v>
      </c>
      <c r="P91" s="38">
        <f t="shared" si="16"/>
        <v>7816830</v>
      </c>
      <c r="Q91" s="39" t="s">
        <v>32</v>
      </c>
      <c r="R91" s="49">
        <v>111.669</v>
      </c>
      <c r="S91" s="40">
        <f t="shared" si="22"/>
        <v>41865</v>
      </c>
      <c r="T91" s="20" t="s">
        <v>38</v>
      </c>
      <c r="U91" s="41">
        <f t="shared" si="25"/>
        <v>9380.1959999999999</v>
      </c>
      <c r="V91" s="36">
        <v>155.72999999999999</v>
      </c>
      <c r="W91" s="38">
        <f t="shared" si="26"/>
        <v>1460777.9230799999</v>
      </c>
      <c r="X91" s="45">
        <v>1451398.35</v>
      </c>
      <c r="Y91" s="40">
        <v>41838</v>
      </c>
      <c r="Z91" s="48">
        <v>11237</v>
      </c>
      <c r="AA91" s="113"/>
    </row>
    <row r="92" spans="1:27" ht="24.75">
      <c r="A92" s="35">
        <f t="shared" si="21"/>
        <v>87</v>
      </c>
      <c r="B92" s="36" t="s">
        <v>581</v>
      </c>
      <c r="C92" s="22" t="s">
        <v>683</v>
      </c>
      <c r="D92" s="21">
        <v>41850</v>
      </c>
      <c r="E92" s="26" t="s">
        <v>556</v>
      </c>
      <c r="F92" s="22" t="s">
        <v>163</v>
      </c>
      <c r="G92" s="22" t="s">
        <v>65</v>
      </c>
      <c r="H92" s="22" t="s">
        <v>133</v>
      </c>
      <c r="I92" s="37">
        <v>801.22</v>
      </c>
      <c r="J92" s="19">
        <v>41776</v>
      </c>
      <c r="K92" s="22" t="s">
        <v>565</v>
      </c>
      <c r="L92" s="22" t="s">
        <v>49</v>
      </c>
      <c r="M92" s="22" t="s">
        <v>41</v>
      </c>
      <c r="N92" s="20" t="s">
        <v>571</v>
      </c>
      <c r="O92" s="23">
        <v>359000</v>
      </c>
      <c r="P92" s="38">
        <f t="shared" si="16"/>
        <v>40551922</v>
      </c>
      <c r="Q92" s="39" t="s">
        <v>32</v>
      </c>
      <c r="R92" s="49">
        <v>112.958</v>
      </c>
      <c r="S92" s="40">
        <f t="shared" si="22"/>
        <v>41865</v>
      </c>
      <c r="T92" s="20" t="s">
        <v>38</v>
      </c>
      <c r="U92" s="41">
        <f t="shared" si="25"/>
        <v>48662.306399999994</v>
      </c>
      <c r="V92" s="36">
        <v>155.72999999999999</v>
      </c>
      <c r="W92" s="38">
        <f t="shared" si="26"/>
        <v>7578180.9756719982</v>
      </c>
      <c r="X92" s="45">
        <v>7918817.7000000002</v>
      </c>
      <c r="Y92" s="40">
        <v>41845</v>
      </c>
      <c r="Z92" s="48">
        <v>8851</v>
      </c>
      <c r="AA92" s="113"/>
    </row>
    <row r="93" spans="1:27" ht="24.75">
      <c r="A93" s="35">
        <f t="shared" si="21"/>
        <v>88</v>
      </c>
      <c r="B93" s="36" t="s">
        <v>582</v>
      </c>
      <c r="C93" s="22" t="s">
        <v>669</v>
      </c>
      <c r="D93" s="21">
        <v>41841</v>
      </c>
      <c r="E93" s="26" t="s">
        <v>557</v>
      </c>
      <c r="F93" s="22" t="s">
        <v>39</v>
      </c>
      <c r="G93" s="22" t="s">
        <v>97</v>
      </c>
      <c r="H93" s="22" t="s">
        <v>133</v>
      </c>
      <c r="I93" s="37">
        <v>801.22</v>
      </c>
      <c r="J93" s="19">
        <v>41776</v>
      </c>
      <c r="K93" s="22" t="s">
        <v>565</v>
      </c>
      <c r="L93" s="22" t="s">
        <v>49</v>
      </c>
      <c r="M93" s="22" t="s">
        <v>41</v>
      </c>
      <c r="N93" s="20" t="s">
        <v>571</v>
      </c>
      <c r="O93" s="23">
        <v>18000</v>
      </c>
      <c r="P93" s="38">
        <f t="shared" si="16"/>
        <v>2002572</v>
      </c>
      <c r="Q93" s="39" t="s">
        <v>32</v>
      </c>
      <c r="R93" s="49">
        <v>111.254</v>
      </c>
      <c r="S93" s="40">
        <f t="shared" si="22"/>
        <v>41865</v>
      </c>
      <c r="T93" s="20" t="s">
        <v>39</v>
      </c>
      <c r="U93" s="41">
        <f t="shared" si="25"/>
        <v>2403.0863999999997</v>
      </c>
      <c r="V93" s="36">
        <v>155.72999999999999</v>
      </c>
      <c r="W93" s="38">
        <f t="shared" si="26"/>
        <v>374232.64507199993</v>
      </c>
      <c r="X93" s="45">
        <v>374232.65</v>
      </c>
      <c r="Y93" s="40">
        <v>41838</v>
      </c>
      <c r="Z93" s="48">
        <v>4410</v>
      </c>
      <c r="AA93" s="113"/>
    </row>
    <row r="94" spans="1:27" ht="24.75">
      <c r="A94" s="35">
        <f t="shared" si="21"/>
        <v>89</v>
      </c>
      <c r="B94" s="36" t="s">
        <v>583</v>
      </c>
      <c r="C94" s="22" t="s">
        <v>670</v>
      </c>
      <c r="D94" s="21">
        <v>41841</v>
      </c>
      <c r="E94" s="26" t="s">
        <v>558</v>
      </c>
      <c r="F94" s="22" t="s">
        <v>39</v>
      </c>
      <c r="G94" s="22" t="s">
        <v>97</v>
      </c>
      <c r="H94" s="22" t="s">
        <v>133</v>
      </c>
      <c r="I94" s="37">
        <v>801.22</v>
      </c>
      <c r="J94" s="19">
        <v>41776</v>
      </c>
      <c r="K94" s="22" t="s">
        <v>565</v>
      </c>
      <c r="L94" s="22" t="s">
        <v>49</v>
      </c>
      <c r="M94" s="22" t="s">
        <v>41</v>
      </c>
      <c r="N94" s="20" t="s">
        <v>571</v>
      </c>
      <c r="O94" s="23">
        <v>57000</v>
      </c>
      <c r="P94" s="38">
        <f t="shared" si="16"/>
        <v>6341478</v>
      </c>
      <c r="Q94" s="39" t="s">
        <v>32</v>
      </c>
      <c r="R94" s="49">
        <v>111.254</v>
      </c>
      <c r="S94" s="40">
        <f t="shared" si="22"/>
        <v>41865</v>
      </c>
      <c r="T94" s="20" t="s">
        <v>39</v>
      </c>
      <c r="U94" s="41">
        <f t="shared" si="25"/>
        <v>7609.7735999999995</v>
      </c>
      <c r="V94" s="36">
        <v>155.72999999999999</v>
      </c>
      <c r="W94" s="38">
        <f t="shared" si="26"/>
        <v>1185070.0427279999</v>
      </c>
      <c r="X94" s="45">
        <v>1185070.04</v>
      </c>
      <c r="Y94" s="40">
        <v>41838</v>
      </c>
      <c r="Z94" s="48">
        <v>4411</v>
      </c>
      <c r="AA94" s="113"/>
    </row>
    <row r="95" spans="1:27" ht="24.75">
      <c r="A95" s="35">
        <f t="shared" si="21"/>
        <v>90</v>
      </c>
      <c r="B95" s="36" t="s">
        <v>584</v>
      </c>
      <c r="C95" s="22" t="s">
        <v>671</v>
      </c>
      <c r="D95" s="21">
        <v>41841</v>
      </c>
      <c r="E95" s="26" t="s">
        <v>559</v>
      </c>
      <c r="F95" s="22" t="s">
        <v>187</v>
      </c>
      <c r="G95" s="22" t="s">
        <v>97</v>
      </c>
      <c r="H95" s="22" t="s">
        <v>133</v>
      </c>
      <c r="I95" s="37">
        <v>801.22</v>
      </c>
      <c r="J95" s="19">
        <v>41776</v>
      </c>
      <c r="K95" s="22" t="s">
        <v>565</v>
      </c>
      <c r="L95" s="22" t="s">
        <v>49</v>
      </c>
      <c r="M95" s="22" t="s">
        <v>41</v>
      </c>
      <c r="N95" s="20" t="s">
        <v>571</v>
      </c>
      <c r="O95" s="23">
        <v>39000</v>
      </c>
      <c r="P95" s="38">
        <f t="shared" si="16"/>
        <v>4338906</v>
      </c>
      <c r="Q95" s="39" t="s">
        <v>32</v>
      </c>
      <c r="R95" s="49">
        <v>111.254</v>
      </c>
      <c r="S95" s="40">
        <f t="shared" si="22"/>
        <v>41865</v>
      </c>
      <c r="T95" s="20" t="s">
        <v>39</v>
      </c>
      <c r="U95" s="41">
        <f t="shared" si="25"/>
        <v>5206.6871999999994</v>
      </c>
      <c r="V95" s="36">
        <v>155.72999999999999</v>
      </c>
      <c r="W95" s="38">
        <f t="shared" si="26"/>
        <v>810837.39765599987</v>
      </c>
      <c r="X95" s="45">
        <v>810837.4</v>
      </c>
      <c r="Y95" s="40">
        <v>41838</v>
      </c>
      <c r="Z95" s="48">
        <v>4412</v>
      </c>
      <c r="AA95" s="113"/>
    </row>
    <row r="96" spans="1:27" ht="24.75">
      <c r="A96" s="35">
        <f t="shared" si="21"/>
        <v>91</v>
      </c>
      <c r="B96" s="36" t="s">
        <v>585</v>
      </c>
      <c r="C96" s="60" t="s">
        <v>758</v>
      </c>
      <c r="D96" s="19">
        <v>41869</v>
      </c>
      <c r="E96" s="27" t="s">
        <v>757</v>
      </c>
      <c r="F96" s="22" t="s">
        <v>130</v>
      </c>
      <c r="G96" s="22" t="s">
        <v>87</v>
      </c>
      <c r="H96" s="22" t="s">
        <v>133</v>
      </c>
      <c r="I96" s="37">
        <v>801.22</v>
      </c>
      <c r="J96" s="19">
        <v>41776</v>
      </c>
      <c r="K96" s="22" t="s">
        <v>565</v>
      </c>
      <c r="L96" s="22" t="s">
        <v>49</v>
      </c>
      <c r="M96" s="22" t="s">
        <v>41</v>
      </c>
      <c r="N96" s="20" t="s">
        <v>571</v>
      </c>
      <c r="O96" s="23">
        <v>177000</v>
      </c>
      <c r="P96" s="38">
        <f t="shared" si="16"/>
        <v>19727358</v>
      </c>
      <c r="Q96" s="39" t="s">
        <v>32</v>
      </c>
      <c r="R96" s="49">
        <v>111.45399999999999</v>
      </c>
      <c r="S96" s="40">
        <f t="shared" si="22"/>
        <v>41865</v>
      </c>
      <c r="T96" s="22" t="s">
        <v>144</v>
      </c>
      <c r="U96" s="41">
        <f t="shared" si="25"/>
        <v>23672.829599999997</v>
      </c>
      <c r="V96" s="36">
        <v>155.72999999999999</v>
      </c>
      <c r="W96" s="38">
        <f t="shared" si="26"/>
        <v>3686569.7536079995</v>
      </c>
      <c r="X96" s="45">
        <v>3686569.76</v>
      </c>
      <c r="Y96" s="40">
        <v>41863</v>
      </c>
      <c r="Z96" s="48">
        <v>28284</v>
      </c>
      <c r="AA96" s="112" t="s">
        <v>518</v>
      </c>
    </row>
    <row r="97" spans="1:27" ht="20.25" customHeight="1">
      <c r="A97" s="35">
        <f t="shared" si="21"/>
        <v>92</v>
      </c>
      <c r="B97" s="36" t="s">
        <v>586</v>
      </c>
      <c r="C97" s="60" t="s">
        <v>758</v>
      </c>
      <c r="D97" s="19">
        <v>41869</v>
      </c>
      <c r="E97" s="27" t="s">
        <v>761</v>
      </c>
      <c r="F97" s="22" t="s">
        <v>130</v>
      </c>
      <c r="G97" s="22" t="s">
        <v>87</v>
      </c>
      <c r="H97" s="22" t="s">
        <v>133</v>
      </c>
      <c r="I97" s="37">
        <v>801.22</v>
      </c>
      <c r="J97" s="19">
        <v>41776</v>
      </c>
      <c r="K97" s="22" t="s">
        <v>565</v>
      </c>
      <c r="L97" s="22" t="s">
        <v>49</v>
      </c>
      <c r="M97" s="22" t="s">
        <v>568</v>
      </c>
      <c r="N97" s="20" t="s">
        <v>51</v>
      </c>
      <c r="O97" s="23">
        <v>59000</v>
      </c>
      <c r="P97" s="38">
        <f t="shared" si="16"/>
        <v>6575786</v>
      </c>
      <c r="Q97" s="39" t="s">
        <v>32</v>
      </c>
      <c r="R97" s="49">
        <v>111.45399999999999</v>
      </c>
      <c r="S97" s="40">
        <f t="shared" si="22"/>
        <v>41865</v>
      </c>
      <c r="T97" s="22" t="s">
        <v>144</v>
      </c>
      <c r="U97" s="41">
        <f t="shared" si="25"/>
        <v>7890.9431999999997</v>
      </c>
      <c r="V97" s="36">
        <v>155.72999999999999</v>
      </c>
      <c r="W97" s="38">
        <f t="shared" si="26"/>
        <v>1228856.5845359999</v>
      </c>
      <c r="X97" s="45">
        <v>1228856.58</v>
      </c>
      <c r="Y97" s="40">
        <v>41863</v>
      </c>
      <c r="Z97" s="48">
        <v>28284</v>
      </c>
      <c r="AA97" s="112"/>
    </row>
    <row r="98" spans="1:27" ht="20.25" customHeight="1">
      <c r="A98" s="35">
        <f t="shared" si="21"/>
        <v>93</v>
      </c>
      <c r="B98" s="36" t="s">
        <v>574</v>
      </c>
      <c r="C98" s="21" t="s">
        <v>543</v>
      </c>
      <c r="D98" s="21">
        <v>41789</v>
      </c>
      <c r="E98" s="26" t="s">
        <v>560</v>
      </c>
      <c r="F98" s="22" t="s">
        <v>278</v>
      </c>
      <c r="G98" s="22" t="s">
        <v>44</v>
      </c>
      <c r="H98" s="22" t="s">
        <v>45</v>
      </c>
      <c r="I98" s="37">
        <v>801.22</v>
      </c>
      <c r="J98" s="21">
        <v>41786</v>
      </c>
      <c r="K98" s="22" t="s">
        <v>566</v>
      </c>
      <c r="L98" s="22" t="s">
        <v>46</v>
      </c>
      <c r="M98" s="22" t="s">
        <v>90</v>
      </c>
      <c r="N98" s="20" t="s">
        <v>569</v>
      </c>
      <c r="O98" s="58">
        <v>899866</v>
      </c>
      <c r="P98" s="38">
        <f t="shared" si="16"/>
        <v>101288557.01360001</v>
      </c>
      <c r="Q98" s="39" t="s">
        <v>32</v>
      </c>
      <c r="R98" s="8">
        <v>112.5596</v>
      </c>
      <c r="S98" s="40">
        <f t="shared" si="22"/>
        <v>41875</v>
      </c>
      <c r="T98" s="22" t="s">
        <v>278</v>
      </c>
      <c r="U98" s="41">
        <f t="shared" si="25"/>
        <v>121546.26841632</v>
      </c>
      <c r="V98" s="36">
        <v>155.72999999999999</v>
      </c>
      <c r="W98" s="38">
        <f t="shared" si="26"/>
        <v>18928400.380473513</v>
      </c>
      <c r="X98" s="70">
        <f t="shared" ref="X98:X99" si="27">W98</f>
        <v>18928400.380473513</v>
      </c>
      <c r="Y98" s="36"/>
      <c r="Z98" s="36"/>
      <c r="AA98" s="113"/>
    </row>
    <row r="99" spans="1:27" ht="20.25" customHeight="1">
      <c r="A99" s="35">
        <f t="shared" si="21"/>
        <v>94</v>
      </c>
      <c r="B99" s="36" t="s">
        <v>587</v>
      </c>
      <c r="C99" s="21" t="s">
        <v>544</v>
      </c>
      <c r="D99" s="21">
        <v>41789</v>
      </c>
      <c r="E99" s="26" t="s">
        <v>561</v>
      </c>
      <c r="F99" s="22" t="s">
        <v>278</v>
      </c>
      <c r="G99" s="22" t="s">
        <v>44</v>
      </c>
      <c r="H99" s="22" t="s">
        <v>133</v>
      </c>
      <c r="I99" s="37">
        <v>801.22</v>
      </c>
      <c r="J99" s="21">
        <v>41788</v>
      </c>
      <c r="K99" s="22" t="s">
        <v>567</v>
      </c>
      <c r="L99" s="22" t="s">
        <v>49</v>
      </c>
      <c r="M99" s="22" t="s">
        <v>54</v>
      </c>
      <c r="N99" s="20" t="s">
        <v>86</v>
      </c>
      <c r="O99" s="71">
        <v>949623</v>
      </c>
      <c r="P99" s="38">
        <f t="shared" si="16"/>
        <v>106066241.73899999</v>
      </c>
      <c r="Q99" s="39" t="s">
        <v>32</v>
      </c>
      <c r="R99" s="49">
        <v>111.693</v>
      </c>
      <c r="S99" s="40">
        <f t="shared" si="22"/>
        <v>41877</v>
      </c>
      <c r="T99" s="22" t="s">
        <v>278</v>
      </c>
      <c r="U99" s="54">
        <f t="shared" si="25"/>
        <v>127279.49008679998</v>
      </c>
      <c r="V99" s="69">
        <v>155.72999999999999</v>
      </c>
      <c r="W99" s="38">
        <f t="shared" si="26"/>
        <v>19821234.99121736</v>
      </c>
      <c r="X99" s="70">
        <f t="shared" si="27"/>
        <v>19821234.99121736</v>
      </c>
      <c r="Y99" s="36"/>
      <c r="Z99" s="36"/>
      <c r="AA99" s="113"/>
    </row>
    <row r="100" spans="1:27" ht="19.5" customHeight="1">
      <c r="A100" s="35">
        <f t="shared" si="21"/>
        <v>95</v>
      </c>
      <c r="B100" s="36" t="s">
        <v>637</v>
      </c>
      <c r="C100" s="22" t="s">
        <v>821</v>
      </c>
      <c r="D100" s="21">
        <v>41891</v>
      </c>
      <c r="E100" s="27" t="s">
        <v>682</v>
      </c>
      <c r="F100" s="22" t="s">
        <v>163</v>
      </c>
      <c r="G100" s="22" t="s">
        <v>34</v>
      </c>
      <c r="H100" s="22" t="s">
        <v>35</v>
      </c>
      <c r="I100" s="37">
        <v>801.22</v>
      </c>
      <c r="J100" s="19">
        <v>41791</v>
      </c>
      <c r="K100" s="51" t="s">
        <v>156</v>
      </c>
      <c r="L100" s="51" t="s">
        <v>36</v>
      </c>
      <c r="M100" s="22" t="s">
        <v>67</v>
      </c>
      <c r="N100" s="20" t="s">
        <v>68</v>
      </c>
      <c r="O100" s="23">
        <v>950125</v>
      </c>
      <c r="P100" s="38">
        <f t="shared" si="16"/>
        <v>108661615.7</v>
      </c>
      <c r="Q100" s="39" t="s">
        <v>32</v>
      </c>
      <c r="R100" s="9">
        <v>114.3656</v>
      </c>
      <c r="S100" s="40">
        <f t="shared" si="22"/>
        <v>41880</v>
      </c>
      <c r="T100" s="50" t="s">
        <v>38</v>
      </c>
      <c r="U100" s="54">
        <f t="shared" si="25"/>
        <v>130393.93883999999</v>
      </c>
      <c r="V100" s="36">
        <v>155.72999999999999</v>
      </c>
      <c r="W100" s="38">
        <f t="shared" si="26"/>
        <v>20306248.095553197</v>
      </c>
      <c r="X100" s="72">
        <v>20509310.579999998</v>
      </c>
      <c r="Y100" s="40">
        <v>41887</v>
      </c>
      <c r="Z100" s="48">
        <v>10317</v>
      </c>
      <c r="AA100" s="113"/>
    </row>
    <row r="101" spans="1:27" ht="19.5" customHeight="1">
      <c r="A101" s="35">
        <f t="shared" si="21"/>
        <v>96</v>
      </c>
      <c r="B101" s="36" t="s">
        <v>639</v>
      </c>
      <c r="C101" s="44" t="s">
        <v>666</v>
      </c>
      <c r="D101" s="21">
        <v>41835</v>
      </c>
      <c r="E101" s="27" t="s">
        <v>660</v>
      </c>
      <c r="F101" s="22" t="s">
        <v>150</v>
      </c>
      <c r="G101" s="22" t="s">
        <v>279</v>
      </c>
      <c r="H101" s="22" t="s">
        <v>159</v>
      </c>
      <c r="I101" s="37">
        <v>801.22</v>
      </c>
      <c r="J101" s="19">
        <v>41792</v>
      </c>
      <c r="K101" s="51" t="s">
        <v>357</v>
      </c>
      <c r="L101" s="51" t="s">
        <v>160</v>
      </c>
      <c r="M101" s="22" t="s">
        <v>80</v>
      </c>
      <c r="N101" s="20" t="s">
        <v>166</v>
      </c>
      <c r="O101" s="57">
        <v>618102</v>
      </c>
      <c r="P101" s="38">
        <f t="shared" si="16"/>
        <v>64946449.548</v>
      </c>
      <c r="Q101" s="39" t="s">
        <v>32</v>
      </c>
      <c r="R101" s="9">
        <v>105.074</v>
      </c>
      <c r="S101" s="40">
        <f t="shared" si="22"/>
        <v>41881</v>
      </c>
      <c r="T101" s="22" t="s">
        <v>163</v>
      </c>
      <c r="U101" s="54">
        <f t="shared" si="25"/>
        <v>77935.739457599993</v>
      </c>
      <c r="V101" s="73">
        <v>155.72999999999999</v>
      </c>
      <c r="W101" s="38">
        <f t="shared" si="26"/>
        <v>12136932.705732046</v>
      </c>
      <c r="X101" s="45">
        <v>12136932.710000001</v>
      </c>
      <c r="Y101" s="40">
        <v>41831</v>
      </c>
      <c r="Z101" s="48">
        <v>2470</v>
      </c>
      <c r="AA101" s="113"/>
    </row>
    <row r="102" spans="1:27" ht="153" customHeight="1">
      <c r="A102" s="35">
        <f t="shared" si="21"/>
        <v>97</v>
      </c>
      <c r="B102" s="36" t="s">
        <v>641</v>
      </c>
      <c r="C102" s="21" t="s">
        <v>827</v>
      </c>
      <c r="D102" s="19">
        <v>41912</v>
      </c>
      <c r="E102" s="27" t="s">
        <v>614</v>
      </c>
      <c r="F102" s="22" t="s">
        <v>120</v>
      </c>
      <c r="G102" s="22" t="s">
        <v>28</v>
      </c>
      <c r="H102" s="22" t="s">
        <v>29</v>
      </c>
      <c r="I102" s="37">
        <v>801.22</v>
      </c>
      <c r="J102" s="19">
        <v>41793</v>
      </c>
      <c r="K102" s="51" t="s">
        <v>632</v>
      </c>
      <c r="L102" s="51" t="s">
        <v>30</v>
      </c>
      <c r="M102" s="22" t="s">
        <v>50</v>
      </c>
      <c r="N102" s="22" t="s">
        <v>76</v>
      </c>
      <c r="O102" s="57">
        <v>949268</v>
      </c>
      <c r="P102" s="38">
        <f t="shared" si="16"/>
        <v>103690442.176</v>
      </c>
      <c r="Q102" s="39" t="s">
        <v>32</v>
      </c>
      <c r="R102" s="9">
        <v>109.232</v>
      </c>
      <c r="S102" s="40">
        <f t="shared" si="22"/>
        <v>41882</v>
      </c>
      <c r="T102" s="22" t="s">
        <v>27</v>
      </c>
      <c r="U102" s="54">
        <f t="shared" si="25"/>
        <v>124428.53061119998</v>
      </c>
      <c r="V102" s="36">
        <v>155.72999999999999</v>
      </c>
      <c r="W102" s="38">
        <f t="shared" si="26"/>
        <v>19377255.072082173</v>
      </c>
      <c r="X102" s="45">
        <v>19377254.98</v>
      </c>
      <c r="Y102" s="40">
        <v>41899</v>
      </c>
      <c r="Z102" s="48">
        <v>1691</v>
      </c>
      <c r="AA102" s="16" t="s">
        <v>878</v>
      </c>
    </row>
    <row r="103" spans="1:27" ht="19.5" customHeight="1">
      <c r="A103" s="35">
        <f t="shared" si="21"/>
        <v>98</v>
      </c>
      <c r="B103" s="36" t="s">
        <v>646</v>
      </c>
      <c r="C103" s="20" t="s">
        <v>764</v>
      </c>
      <c r="D103" s="21">
        <v>41876</v>
      </c>
      <c r="E103" s="27" t="s">
        <v>615</v>
      </c>
      <c r="F103" s="22" t="s">
        <v>120</v>
      </c>
      <c r="G103" s="22" t="s">
        <v>53</v>
      </c>
      <c r="H103" s="22" t="s">
        <v>133</v>
      </c>
      <c r="I103" s="37">
        <v>801.22</v>
      </c>
      <c r="J103" s="19">
        <v>41793</v>
      </c>
      <c r="K103" s="51" t="s">
        <v>227</v>
      </c>
      <c r="L103" s="51" t="s">
        <v>49</v>
      </c>
      <c r="M103" s="22" t="s">
        <v>67</v>
      </c>
      <c r="N103" s="20" t="s">
        <v>68</v>
      </c>
      <c r="O103" s="57">
        <v>149638</v>
      </c>
      <c r="P103" s="38">
        <f t="shared" si="16"/>
        <v>16966854.267999999</v>
      </c>
      <c r="Q103" s="39" t="s">
        <v>32</v>
      </c>
      <c r="R103" s="9">
        <v>113.386</v>
      </c>
      <c r="S103" s="40">
        <f t="shared" si="22"/>
        <v>41882</v>
      </c>
      <c r="T103" s="22" t="s">
        <v>38</v>
      </c>
      <c r="U103" s="54">
        <f t="shared" si="25"/>
        <v>20360.225121599997</v>
      </c>
      <c r="V103" s="36">
        <v>155.72999999999999</v>
      </c>
      <c r="W103" s="38">
        <f t="shared" si="26"/>
        <v>3170697.8581867674</v>
      </c>
      <c r="X103" s="45">
        <v>3150338.38</v>
      </c>
      <c r="Y103" s="40">
        <v>41873</v>
      </c>
      <c r="Z103" s="48">
        <v>11240</v>
      </c>
      <c r="AA103" s="113"/>
    </row>
    <row r="104" spans="1:27" ht="19.5" customHeight="1">
      <c r="A104" s="35">
        <f t="shared" si="21"/>
        <v>99</v>
      </c>
      <c r="B104" s="36" t="s">
        <v>647</v>
      </c>
      <c r="C104" s="22" t="s">
        <v>672</v>
      </c>
      <c r="D104" s="21">
        <v>41841</v>
      </c>
      <c r="E104" s="27" t="s">
        <v>616</v>
      </c>
      <c r="F104" s="22" t="s">
        <v>39</v>
      </c>
      <c r="G104" s="22" t="s">
        <v>97</v>
      </c>
      <c r="H104" s="22" t="s">
        <v>133</v>
      </c>
      <c r="I104" s="37">
        <v>801.22</v>
      </c>
      <c r="J104" s="19">
        <v>41793</v>
      </c>
      <c r="K104" s="51" t="s">
        <v>227</v>
      </c>
      <c r="L104" s="51" t="s">
        <v>49</v>
      </c>
      <c r="M104" s="22" t="s">
        <v>67</v>
      </c>
      <c r="N104" s="20" t="s">
        <v>68</v>
      </c>
      <c r="O104" s="57">
        <v>32000</v>
      </c>
      <c r="P104" s="38">
        <f t="shared" si="16"/>
        <v>3631328</v>
      </c>
      <c r="Q104" s="39" t="s">
        <v>32</v>
      </c>
      <c r="R104" s="9">
        <v>113.479</v>
      </c>
      <c r="S104" s="40">
        <f t="shared" si="22"/>
        <v>41882</v>
      </c>
      <c r="T104" s="22" t="s">
        <v>39</v>
      </c>
      <c r="U104" s="54">
        <f t="shared" si="25"/>
        <v>4357.5935999999992</v>
      </c>
      <c r="V104" s="36">
        <v>155.72999999999999</v>
      </c>
      <c r="W104" s="38">
        <f t="shared" si="26"/>
        <v>678608.0513279998</v>
      </c>
      <c r="X104" s="45">
        <v>678608.05</v>
      </c>
      <c r="Y104" s="40">
        <v>41838</v>
      </c>
      <c r="Z104" s="48">
        <v>4405</v>
      </c>
      <c r="AA104" s="113"/>
    </row>
    <row r="105" spans="1:27" ht="19.5" customHeight="1">
      <c r="A105" s="35">
        <f t="shared" si="21"/>
        <v>100</v>
      </c>
      <c r="B105" s="36" t="s">
        <v>648</v>
      </c>
      <c r="C105" s="22" t="s">
        <v>673</v>
      </c>
      <c r="D105" s="21">
        <v>41841</v>
      </c>
      <c r="E105" s="27" t="s">
        <v>617</v>
      </c>
      <c r="F105" s="22" t="s">
        <v>39</v>
      </c>
      <c r="G105" s="22" t="s">
        <v>97</v>
      </c>
      <c r="H105" s="22" t="s">
        <v>133</v>
      </c>
      <c r="I105" s="37">
        <v>801.22</v>
      </c>
      <c r="J105" s="19">
        <v>41793</v>
      </c>
      <c r="K105" s="51" t="s">
        <v>227</v>
      </c>
      <c r="L105" s="51" t="s">
        <v>49</v>
      </c>
      <c r="M105" s="22" t="s">
        <v>67</v>
      </c>
      <c r="N105" s="20" t="s">
        <v>68</v>
      </c>
      <c r="O105" s="57">
        <v>34000</v>
      </c>
      <c r="P105" s="38">
        <f t="shared" si="16"/>
        <v>3858286</v>
      </c>
      <c r="Q105" s="39" t="s">
        <v>32</v>
      </c>
      <c r="R105" s="9">
        <v>113.479</v>
      </c>
      <c r="S105" s="40">
        <f t="shared" si="22"/>
        <v>41882</v>
      </c>
      <c r="T105" s="22" t="s">
        <v>39</v>
      </c>
      <c r="U105" s="54">
        <f t="shared" si="25"/>
        <v>4629.9431999999997</v>
      </c>
      <c r="V105" s="36">
        <v>155.72999999999999</v>
      </c>
      <c r="W105" s="38">
        <f t="shared" si="26"/>
        <v>721021.05453599989</v>
      </c>
      <c r="X105" s="45">
        <v>721021.05</v>
      </c>
      <c r="Y105" s="40">
        <v>41838</v>
      </c>
      <c r="Z105" s="48">
        <v>4406</v>
      </c>
      <c r="AA105" s="113"/>
    </row>
    <row r="106" spans="1:27" ht="19.5" customHeight="1">
      <c r="A106" s="35">
        <f t="shared" si="21"/>
        <v>101</v>
      </c>
      <c r="B106" s="36" t="s">
        <v>649</v>
      </c>
      <c r="C106" s="22" t="s">
        <v>674</v>
      </c>
      <c r="D106" s="21">
        <v>41841</v>
      </c>
      <c r="E106" s="18">
        <v>20149030006</v>
      </c>
      <c r="F106" s="22" t="s">
        <v>187</v>
      </c>
      <c r="G106" s="22" t="s">
        <v>97</v>
      </c>
      <c r="H106" s="22" t="s">
        <v>133</v>
      </c>
      <c r="I106" s="37">
        <v>801.22</v>
      </c>
      <c r="J106" s="19">
        <v>41793</v>
      </c>
      <c r="K106" s="51" t="s">
        <v>227</v>
      </c>
      <c r="L106" s="51" t="s">
        <v>49</v>
      </c>
      <c r="M106" s="22" t="s">
        <v>67</v>
      </c>
      <c r="N106" s="20" t="s">
        <v>68</v>
      </c>
      <c r="O106" s="57">
        <v>78000</v>
      </c>
      <c r="P106" s="38">
        <f t="shared" si="16"/>
        <v>8851362</v>
      </c>
      <c r="Q106" s="39" t="s">
        <v>32</v>
      </c>
      <c r="R106" s="9">
        <v>113.479</v>
      </c>
      <c r="S106" s="40">
        <f t="shared" si="22"/>
        <v>41882</v>
      </c>
      <c r="T106" s="22" t="s">
        <v>39</v>
      </c>
      <c r="U106" s="54">
        <f t="shared" si="25"/>
        <v>10621.634399999999</v>
      </c>
      <c r="V106" s="36">
        <v>155.72999999999999</v>
      </c>
      <c r="W106" s="38">
        <f t="shared" si="26"/>
        <v>1654107.1251119997</v>
      </c>
      <c r="X106" s="45">
        <v>1654107.13</v>
      </c>
      <c r="Y106" s="40">
        <v>41838</v>
      </c>
      <c r="Z106" s="48">
        <v>4407</v>
      </c>
      <c r="AA106" s="113"/>
    </row>
    <row r="107" spans="1:27" ht="19.5" customHeight="1">
      <c r="A107" s="35">
        <f t="shared" si="21"/>
        <v>102</v>
      </c>
      <c r="B107" s="36" t="s">
        <v>650</v>
      </c>
      <c r="C107" s="21" t="s">
        <v>607</v>
      </c>
      <c r="D107" s="19">
        <v>41820</v>
      </c>
      <c r="E107" s="18" t="s">
        <v>618</v>
      </c>
      <c r="F107" s="22" t="s">
        <v>278</v>
      </c>
      <c r="G107" s="22" t="s">
        <v>44</v>
      </c>
      <c r="H107" s="22" t="s">
        <v>133</v>
      </c>
      <c r="I107" s="37">
        <v>801.22</v>
      </c>
      <c r="J107" s="19">
        <v>41799</v>
      </c>
      <c r="K107" s="51" t="s">
        <v>96</v>
      </c>
      <c r="L107" s="74" t="s">
        <v>49</v>
      </c>
      <c r="M107" s="22" t="s">
        <v>77</v>
      </c>
      <c r="N107" s="20" t="s">
        <v>103</v>
      </c>
      <c r="O107" s="57">
        <v>399733</v>
      </c>
      <c r="P107" s="38">
        <f t="shared" si="16"/>
        <v>44673360.614</v>
      </c>
      <c r="Q107" s="39" t="s">
        <v>32</v>
      </c>
      <c r="R107" s="49">
        <v>111.758</v>
      </c>
      <c r="S107" s="40">
        <f t="shared" si="22"/>
        <v>41888</v>
      </c>
      <c r="T107" s="22" t="s">
        <v>278</v>
      </c>
      <c r="U107" s="54">
        <f t="shared" si="25"/>
        <v>53608.032736799993</v>
      </c>
      <c r="V107" s="36">
        <v>155.72999999999999</v>
      </c>
      <c r="W107" s="38">
        <f t="shared" si="26"/>
        <v>8348378.9381018626</v>
      </c>
      <c r="X107" s="70">
        <f t="shared" ref="X107:X110" si="28">W107</f>
        <v>8348378.9381018626</v>
      </c>
      <c r="Y107" s="36"/>
      <c r="Z107" s="36"/>
      <c r="AA107" s="113"/>
    </row>
    <row r="108" spans="1:27" ht="19.5" customHeight="1">
      <c r="A108" s="35">
        <f t="shared" si="21"/>
        <v>103</v>
      </c>
      <c r="B108" s="36" t="s">
        <v>651</v>
      </c>
      <c r="C108" s="21" t="s">
        <v>608</v>
      </c>
      <c r="D108" s="19">
        <v>41820</v>
      </c>
      <c r="E108" s="18" t="s">
        <v>619</v>
      </c>
      <c r="F108" s="22" t="s">
        <v>278</v>
      </c>
      <c r="G108" s="22" t="s">
        <v>44</v>
      </c>
      <c r="H108" s="22" t="s">
        <v>133</v>
      </c>
      <c r="I108" s="37">
        <v>801.22</v>
      </c>
      <c r="J108" s="19">
        <v>41802</v>
      </c>
      <c r="K108" s="51" t="s">
        <v>364</v>
      </c>
      <c r="L108" s="74" t="s">
        <v>49</v>
      </c>
      <c r="M108" s="22" t="s">
        <v>50</v>
      </c>
      <c r="N108" s="20" t="s">
        <v>76</v>
      </c>
      <c r="O108" s="57">
        <v>949823</v>
      </c>
      <c r="P108" s="38">
        <f t="shared" si="16"/>
        <v>107770716.87199999</v>
      </c>
      <c r="Q108" s="39" t="s">
        <v>32</v>
      </c>
      <c r="R108" s="49">
        <v>113.464</v>
      </c>
      <c r="S108" s="40">
        <f t="shared" si="22"/>
        <v>41891</v>
      </c>
      <c r="T108" s="22" t="s">
        <v>278</v>
      </c>
      <c r="U108" s="54">
        <f t="shared" si="25"/>
        <v>129324.86024639999</v>
      </c>
      <c r="V108" s="36">
        <v>155.72999999999999</v>
      </c>
      <c r="W108" s="38">
        <f t="shared" si="26"/>
        <v>20139760.486171868</v>
      </c>
      <c r="X108" s="70">
        <f t="shared" si="28"/>
        <v>20139760.486171868</v>
      </c>
      <c r="Y108" s="36"/>
      <c r="Z108" s="36"/>
      <c r="AA108" s="113"/>
    </row>
    <row r="109" spans="1:27" ht="19.5" customHeight="1">
      <c r="A109" s="35">
        <f t="shared" si="21"/>
        <v>104</v>
      </c>
      <c r="B109" s="36" t="s">
        <v>638</v>
      </c>
      <c r="C109" s="21" t="s">
        <v>609</v>
      </c>
      <c r="D109" s="19">
        <v>41820</v>
      </c>
      <c r="E109" s="27" t="s">
        <v>620</v>
      </c>
      <c r="F109" s="22" t="s">
        <v>278</v>
      </c>
      <c r="G109" s="51" t="s">
        <v>44</v>
      </c>
      <c r="H109" s="22" t="s">
        <v>35</v>
      </c>
      <c r="I109" s="37">
        <v>801.22</v>
      </c>
      <c r="J109" s="19">
        <v>41807</v>
      </c>
      <c r="K109" s="51" t="s">
        <v>89</v>
      </c>
      <c r="L109" s="51" t="s">
        <v>36</v>
      </c>
      <c r="M109" s="22" t="s">
        <v>69</v>
      </c>
      <c r="N109" s="20" t="s">
        <v>70</v>
      </c>
      <c r="O109" s="57">
        <v>950330</v>
      </c>
      <c r="P109" s="38">
        <f t="shared" si="16"/>
        <v>110929169.91</v>
      </c>
      <c r="Q109" s="39" t="s">
        <v>32</v>
      </c>
      <c r="R109" s="49">
        <v>116.727</v>
      </c>
      <c r="S109" s="40">
        <f t="shared" si="22"/>
        <v>41896</v>
      </c>
      <c r="T109" s="22" t="s">
        <v>278</v>
      </c>
      <c r="U109" s="54">
        <f t="shared" si="25"/>
        <v>133115.00389199998</v>
      </c>
      <c r="V109" s="36">
        <v>155.72999999999999</v>
      </c>
      <c r="W109" s="38">
        <f t="shared" si="26"/>
        <v>20729999.556101155</v>
      </c>
      <c r="X109" s="70">
        <f t="shared" si="28"/>
        <v>20729999.556101155</v>
      </c>
      <c r="Y109" s="36"/>
      <c r="Z109" s="36"/>
      <c r="AA109" s="113"/>
    </row>
    <row r="110" spans="1:27" ht="19.5" customHeight="1">
      <c r="A110" s="35">
        <f t="shared" si="21"/>
        <v>105</v>
      </c>
      <c r="B110" s="36" t="s">
        <v>652</v>
      </c>
      <c r="C110" s="21" t="s">
        <v>610</v>
      </c>
      <c r="D110" s="19">
        <v>41820</v>
      </c>
      <c r="E110" s="27" t="s">
        <v>621</v>
      </c>
      <c r="F110" s="22" t="s">
        <v>278</v>
      </c>
      <c r="G110" s="51" t="s">
        <v>44</v>
      </c>
      <c r="H110" s="22" t="s">
        <v>45</v>
      </c>
      <c r="I110" s="37">
        <v>801.22</v>
      </c>
      <c r="J110" s="19">
        <v>41809</v>
      </c>
      <c r="K110" s="51" t="s">
        <v>633</v>
      </c>
      <c r="L110" s="51" t="s">
        <v>46</v>
      </c>
      <c r="M110" s="22" t="s">
        <v>74</v>
      </c>
      <c r="N110" s="20" t="s">
        <v>425</v>
      </c>
      <c r="O110" s="57">
        <v>899955</v>
      </c>
      <c r="P110" s="38">
        <f t="shared" si="16"/>
        <v>105461226.675</v>
      </c>
      <c r="Q110" s="39" t="s">
        <v>32</v>
      </c>
      <c r="R110" s="49">
        <v>117.185</v>
      </c>
      <c r="S110" s="40">
        <f t="shared" si="22"/>
        <v>41898</v>
      </c>
      <c r="T110" s="22" t="s">
        <v>278</v>
      </c>
      <c r="U110" s="54">
        <f t="shared" si="25"/>
        <v>126553.47200999998</v>
      </c>
      <c r="V110" s="36">
        <v>155.72999999999999</v>
      </c>
      <c r="W110" s="38">
        <f t="shared" si="26"/>
        <v>19708172.196117297</v>
      </c>
      <c r="X110" s="70">
        <f t="shared" si="28"/>
        <v>19708172.196117297</v>
      </c>
      <c r="Y110" s="36"/>
      <c r="Z110" s="36"/>
      <c r="AA110" s="113"/>
    </row>
    <row r="111" spans="1:27" ht="19.5" customHeight="1">
      <c r="A111" s="35">
        <f t="shared" si="21"/>
        <v>106</v>
      </c>
      <c r="B111" s="36" t="s">
        <v>653</v>
      </c>
      <c r="C111" s="20" t="s">
        <v>765</v>
      </c>
      <c r="D111" s="40">
        <v>41876</v>
      </c>
      <c r="E111" s="27" t="s">
        <v>622</v>
      </c>
      <c r="F111" s="22" t="s">
        <v>120</v>
      </c>
      <c r="G111" s="51" t="s">
        <v>47</v>
      </c>
      <c r="H111" s="22" t="s">
        <v>133</v>
      </c>
      <c r="I111" s="37">
        <v>801.22</v>
      </c>
      <c r="J111" s="19">
        <v>41812</v>
      </c>
      <c r="K111" s="51" t="s">
        <v>79</v>
      </c>
      <c r="L111" s="51" t="s">
        <v>49</v>
      </c>
      <c r="M111" s="22" t="s">
        <v>60</v>
      </c>
      <c r="N111" s="20" t="s">
        <v>64</v>
      </c>
      <c r="O111" s="57">
        <v>80000</v>
      </c>
      <c r="P111" s="38">
        <f t="shared" si="16"/>
        <v>9096720</v>
      </c>
      <c r="Q111" s="39" t="s">
        <v>32</v>
      </c>
      <c r="R111" s="49">
        <v>113.709</v>
      </c>
      <c r="S111" s="40">
        <f t="shared" si="22"/>
        <v>41901</v>
      </c>
      <c r="T111" s="20" t="s">
        <v>38</v>
      </c>
      <c r="U111" s="54">
        <f t="shared" si="25"/>
        <v>10916.063999999998</v>
      </c>
      <c r="V111" s="36">
        <v>155.72999999999999</v>
      </c>
      <c r="W111" s="38">
        <f t="shared" si="26"/>
        <v>1699958.6467199996</v>
      </c>
      <c r="X111" s="45">
        <v>1689041.96</v>
      </c>
      <c r="Y111" s="40">
        <v>41873</v>
      </c>
      <c r="Z111" s="48">
        <v>11242</v>
      </c>
      <c r="AA111" s="113"/>
    </row>
    <row r="112" spans="1:27" ht="19.5" customHeight="1">
      <c r="A112" s="35">
        <f t="shared" si="21"/>
        <v>107</v>
      </c>
      <c r="B112" s="36" t="s">
        <v>654</v>
      </c>
      <c r="C112" s="20" t="s">
        <v>766</v>
      </c>
      <c r="D112" s="21">
        <v>41876</v>
      </c>
      <c r="E112" s="27" t="s">
        <v>623</v>
      </c>
      <c r="F112" s="22" t="s">
        <v>120</v>
      </c>
      <c r="G112" s="51" t="s">
        <v>53</v>
      </c>
      <c r="H112" s="22" t="s">
        <v>133</v>
      </c>
      <c r="I112" s="37">
        <v>801.22</v>
      </c>
      <c r="J112" s="19">
        <v>41812</v>
      </c>
      <c r="K112" s="51" t="s">
        <v>79</v>
      </c>
      <c r="L112" s="51" t="s">
        <v>49</v>
      </c>
      <c r="M112" s="22" t="s">
        <v>60</v>
      </c>
      <c r="N112" s="20" t="s">
        <v>64</v>
      </c>
      <c r="O112" s="57">
        <v>242344</v>
      </c>
      <c r="P112" s="38">
        <f t="shared" si="16"/>
        <v>27462349.376800001</v>
      </c>
      <c r="Q112" s="39" t="s">
        <v>32</v>
      </c>
      <c r="R112" s="75">
        <v>113.3197</v>
      </c>
      <c r="S112" s="40">
        <f t="shared" si="22"/>
        <v>41901</v>
      </c>
      <c r="T112" s="20" t="s">
        <v>38</v>
      </c>
      <c r="U112" s="54">
        <f t="shared" si="25"/>
        <v>32954.819252159999</v>
      </c>
      <c r="V112" s="36">
        <v>155.72999999999999</v>
      </c>
      <c r="W112" s="38">
        <f t="shared" si="26"/>
        <v>5132054.0021388764</v>
      </c>
      <c r="X112" s="45">
        <v>5099099.29</v>
      </c>
      <c r="Y112" s="40">
        <v>41873</v>
      </c>
      <c r="Z112" s="48">
        <v>11241</v>
      </c>
      <c r="AA112" s="113"/>
    </row>
    <row r="113" spans="1:27" ht="19.5" customHeight="1">
      <c r="A113" s="35">
        <f t="shared" si="21"/>
        <v>108</v>
      </c>
      <c r="B113" s="36" t="s">
        <v>655</v>
      </c>
      <c r="C113" s="22" t="s">
        <v>759</v>
      </c>
      <c r="D113" s="21">
        <v>41869</v>
      </c>
      <c r="E113" s="27" t="s">
        <v>624</v>
      </c>
      <c r="F113" s="22" t="s">
        <v>163</v>
      </c>
      <c r="G113" s="22" t="s">
        <v>631</v>
      </c>
      <c r="H113" s="22" t="s">
        <v>133</v>
      </c>
      <c r="I113" s="37">
        <v>801.22</v>
      </c>
      <c r="J113" s="19">
        <v>41812</v>
      </c>
      <c r="K113" s="51" t="s">
        <v>79</v>
      </c>
      <c r="L113" s="51" t="s">
        <v>49</v>
      </c>
      <c r="M113" s="22" t="s">
        <v>60</v>
      </c>
      <c r="N113" s="20" t="s">
        <v>64</v>
      </c>
      <c r="O113" s="57">
        <v>208000</v>
      </c>
      <c r="P113" s="38">
        <f t="shared" ref="P113:P176" si="29">SUM(O113*R113)</f>
        <v>23904400</v>
      </c>
      <c r="Q113" s="39" t="s">
        <v>32</v>
      </c>
      <c r="R113" s="49">
        <v>114.925</v>
      </c>
      <c r="S113" s="40">
        <f t="shared" si="22"/>
        <v>41901</v>
      </c>
      <c r="T113" s="20" t="s">
        <v>38</v>
      </c>
      <c r="U113" s="54">
        <f t="shared" si="25"/>
        <v>28685.279999999999</v>
      </c>
      <c r="V113" s="36">
        <v>155.72999999999999</v>
      </c>
      <c r="W113" s="38">
        <f t="shared" si="26"/>
        <v>4467158.6543999994</v>
      </c>
      <c r="X113" s="45">
        <v>4674266.38</v>
      </c>
      <c r="Y113" s="40">
        <v>41865</v>
      </c>
      <c r="Z113" s="48">
        <v>8867</v>
      </c>
      <c r="AA113" s="113"/>
    </row>
    <row r="114" spans="1:27" ht="19.5" customHeight="1">
      <c r="A114" s="35">
        <f t="shared" si="21"/>
        <v>109</v>
      </c>
      <c r="B114" s="36" t="s">
        <v>656</v>
      </c>
      <c r="C114" s="22" t="s">
        <v>760</v>
      </c>
      <c r="D114" s="21">
        <v>41869</v>
      </c>
      <c r="E114" s="27" t="s">
        <v>625</v>
      </c>
      <c r="F114" s="22" t="s">
        <v>163</v>
      </c>
      <c r="G114" s="22" t="s">
        <v>631</v>
      </c>
      <c r="H114" s="22" t="s">
        <v>133</v>
      </c>
      <c r="I114" s="37">
        <v>801.22</v>
      </c>
      <c r="J114" s="19">
        <v>41812</v>
      </c>
      <c r="K114" s="51" t="s">
        <v>79</v>
      </c>
      <c r="L114" s="51" t="s">
        <v>49</v>
      </c>
      <c r="M114" s="22" t="s">
        <v>60</v>
      </c>
      <c r="N114" s="20" t="s">
        <v>196</v>
      </c>
      <c r="O114" s="57">
        <v>124000</v>
      </c>
      <c r="P114" s="38">
        <f t="shared" si="29"/>
        <v>14250700</v>
      </c>
      <c r="Q114" s="39" t="s">
        <v>32</v>
      </c>
      <c r="R114" s="49">
        <v>114.925</v>
      </c>
      <c r="S114" s="40">
        <f t="shared" si="22"/>
        <v>41901</v>
      </c>
      <c r="T114" s="20" t="s">
        <v>38</v>
      </c>
      <c r="U114" s="54">
        <f t="shared" si="25"/>
        <v>17100.84</v>
      </c>
      <c r="V114" s="36">
        <v>155.72999999999999</v>
      </c>
      <c r="W114" s="38">
        <f t="shared" si="26"/>
        <v>2663113.8131999997</v>
      </c>
      <c r="X114" s="45">
        <v>2786581.87</v>
      </c>
      <c r="Y114" s="40">
        <v>41865</v>
      </c>
      <c r="Z114" s="48">
        <v>8867</v>
      </c>
      <c r="AA114" s="113"/>
    </row>
    <row r="115" spans="1:27" ht="19.5" customHeight="1">
      <c r="A115" s="35">
        <f t="shared" si="21"/>
        <v>110</v>
      </c>
      <c r="B115" s="36" t="s">
        <v>657</v>
      </c>
      <c r="C115" s="22" t="s">
        <v>675</v>
      </c>
      <c r="D115" s="21">
        <v>41841</v>
      </c>
      <c r="E115" s="27" t="s">
        <v>626</v>
      </c>
      <c r="F115" s="22" t="s">
        <v>39</v>
      </c>
      <c r="G115" s="22" t="s">
        <v>97</v>
      </c>
      <c r="H115" s="22" t="s">
        <v>133</v>
      </c>
      <c r="I115" s="37">
        <v>801.22</v>
      </c>
      <c r="J115" s="19">
        <v>41812</v>
      </c>
      <c r="K115" s="51" t="s">
        <v>79</v>
      </c>
      <c r="L115" s="51" t="s">
        <v>49</v>
      </c>
      <c r="M115" s="22" t="s">
        <v>60</v>
      </c>
      <c r="N115" s="20" t="s">
        <v>196</v>
      </c>
      <c r="O115" s="57">
        <v>50000</v>
      </c>
      <c r="P115" s="38">
        <f t="shared" si="29"/>
        <v>5673950</v>
      </c>
      <c r="Q115" s="39" t="s">
        <v>32</v>
      </c>
      <c r="R115" s="9">
        <v>113.479</v>
      </c>
      <c r="S115" s="40">
        <f t="shared" si="22"/>
        <v>41901</v>
      </c>
      <c r="T115" s="20" t="s">
        <v>39</v>
      </c>
      <c r="U115" s="54">
        <f t="shared" si="25"/>
        <v>6808.74</v>
      </c>
      <c r="V115" s="36">
        <v>155.72999999999999</v>
      </c>
      <c r="W115" s="38">
        <f t="shared" si="26"/>
        <v>1060325.0802</v>
      </c>
      <c r="X115" s="45">
        <v>1060325.08</v>
      </c>
      <c r="Y115" s="40">
        <v>41838</v>
      </c>
      <c r="Z115" s="48">
        <v>4409</v>
      </c>
      <c r="AA115" s="113"/>
    </row>
    <row r="116" spans="1:27" ht="19.5" customHeight="1">
      <c r="A116" s="35">
        <f t="shared" si="21"/>
        <v>111</v>
      </c>
      <c r="B116" s="36" t="s">
        <v>658</v>
      </c>
      <c r="C116" s="60" t="s">
        <v>763</v>
      </c>
      <c r="D116" s="62">
        <v>41876</v>
      </c>
      <c r="E116" s="27" t="s">
        <v>762</v>
      </c>
      <c r="F116" s="22" t="s">
        <v>130</v>
      </c>
      <c r="G116" s="22" t="s">
        <v>98</v>
      </c>
      <c r="H116" s="22" t="s">
        <v>133</v>
      </c>
      <c r="I116" s="37">
        <v>801.22</v>
      </c>
      <c r="J116" s="19">
        <v>41812</v>
      </c>
      <c r="K116" s="51" t="s">
        <v>79</v>
      </c>
      <c r="L116" s="51" t="s">
        <v>49</v>
      </c>
      <c r="M116" s="22" t="s">
        <v>60</v>
      </c>
      <c r="N116" s="20" t="s">
        <v>196</v>
      </c>
      <c r="O116" s="57">
        <v>326000</v>
      </c>
      <c r="P116" s="38">
        <f t="shared" si="29"/>
        <v>37059354</v>
      </c>
      <c r="Q116" s="39" t="s">
        <v>32</v>
      </c>
      <c r="R116" s="49">
        <v>113.679</v>
      </c>
      <c r="S116" s="40">
        <f t="shared" si="22"/>
        <v>41901</v>
      </c>
      <c r="T116" s="20" t="s">
        <v>144</v>
      </c>
      <c r="U116" s="54">
        <f t="shared" si="25"/>
        <v>44471.224799999996</v>
      </c>
      <c r="V116" s="36">
        <v>155.72999999999999</v>
      </c>
      <c r="W116" s="38">
        <f t="shared" si="26"/>
        <v>6925503.8381039994</v>
      </c>
      <c r="X116" s="45">
        <v>6925503.8399999999</v>
      </c>
      <c r="Y116" s="40">
        <v>41872</v>
      </c>
      <c r="Z116" s="48">
        <v>28292</v>
      </c>
      <c r="AA116" s="113"/>
    </row>
    <row r="117" spans="1:27" ht="19.5" customHeight="1">
      <c r="A117" s="35">
        <f t="shared" si="21"/>
        <v>112</v>
      </c>
      <c r="B117" s="36" t="s">
        <v>640</v>
      </c>
      <c r="C117" s="44" t="s">
        <v>667</v>
      </c>
      <c r="D117" s="21">
        <v>41835</v>
      </c>
      <c r="E117" s="27" t="s">
        <v>659</v>
      </c>
      <c r="F117" s="22" t="s">
        <v>150</v>
      </c>
      <c r="G117" s="22" t="s">
        <v>279</v>
      </c>
      <c r="H117" s="22" t="s">
        <v>159</v>
      </c>
      <c r="I117" s="37">
        <v>801.22</v>
      </c>
      <c r="J117" s="19">
        <v>41813</v>
      </c>
      <c r="K117" s="51" t="s">
        <v>634</v>
      </c>
      <c r="L117" s="51" t="s">
        <v>160</v>
      </c>
      <c r="M117" s="22" t="s">
        <v>80</v>
      </c>
      <c r="N117" s="20" t="s">
        <v>166</v>
      </c>
      <c r="O117" s="57">
        <v>702158</v>
      </c>
      <c r="P117" s="38">
        <f t="shared" si="29"/>
        <v>76115331.516000003</v>
      </c>
      <c r="Q117" s="39" t="s">
        <v>32</v>
      </c>
      <c r="R117" s="49">
        <v>108.402</v>
      </c>
      <c r="S117" s="40">
        <f t="shared" si="22"/>
        <v>41902</v>
      </c>
      <c r="T117" s="20" t="s">
        <v>163</v>
      </c>
      <c r="U117" s="54">
        <f t="shared" si="25"/>
        <v>91338.397819199992</v>
      </c>
      <c r="V117" s="36">
        <v>155.72999999999999</v>
      </c>
      <c r="W117" s="38">
        <f t="shared" si="26"/>
        <v>14224128.692384014</v>
      </c>
      <c r="X117" s="45">
        <v>14224128.689999999</v>
      </c>
      <c r="Y117" s="40">
        <v>41831</v>
      </c>
      <c r="Z117" s="48">
        <v>2472</v>
      </c>
      <c r="AA117" s="113"/>
    </row>
    <row r="118" spans="1:27" ht="19.5" customHeight="1">
      <c r="A118" s="35">
        <f t="shared" si="21"/>
        <v>113</v>
      </c>
      <c r="B118" s="36" t="s">
        <v>642</v>
      </c>
      <c r="C118" s="21" t="s">
        <v>611</v>
      </c>
      <c r="D118" s="19">
        <v>41820</v>
      </c>
      <c r="E118" s="27" t="s">
        <v>627</v>
      </c>
      <c r="F118" s="22" t="s">
        <v>278</v>
      </c>
      <c r="G118" s="22" t="s">
        <v>44</v>
      </c>
      <c r="H118" s="22" t="s">
        <v>29</v>
      </c>
      <c r="I118" s="37">
        <v>801.22</v>
      </c>
      <c r="J118" s="19">
        <v>41813</v>
      </c>
      <c r="K118" s="51" t="s">
        <v>635</v>
      </c>
      <c r="L118" s="51" t="s">
        <v>30</v>
      </c>
      <c r="M118" s="22" t="s">
        <v>54</v>
      </c>
      <c r="N118" s="20" t="s">
        <v>55</v>
      </c>
      <c r="O118" s="57">
        <v>507077</v>
      </c>
      <c r="P118" s="38">
        <f t="shared" si="29"/>
        <v>57594819.813999996</v>
      </c>
      <c r="Q118" s="39" t="s">
        <v>32</v>
      </c>
      <c r="R118" s="76">
        <v>113.58199999999999</v>
      </c>
      <c r="S118" s="40">
        <f t="shared" si="22"/>
        <v>41902</v>
      </c>
      <c r="T118" s="22" t="s">
        <v>278</v>
      </c>
      <c r="U118" s="54">
        <f t="shared" si="25"/>
        <v>69113.783776799988</v>
      </c>
      <c r="V118" s="36">
        <v>155.72999999999999</v>
      </c>
      <c r="W118" s="38">
        <f t="shared" si="26"/>
        <v>10763089.547561061</v>
      </c>
      <c r="X118" s="70">
        <f t="shared" ref="X118:X133" si="30">W118</f>
        <v>10763089.547561061</v>
      </c>
      <c r="Y118" s="36"/>
      <c r="Z118" s="36"/>
      <c r="AA118" s="113"/>
    </row>
    <row r="119" spans="1:27" ht="19.5" customHeight="1">
      <c r="A119" s="35">
        <f t="shared" si="21"/>
        <v>114</v>
      </c>
      <c r="B119" s="36" t="s">
        <v>643</v>
      </c>
      <c r="C119" s="21" t="s">
        <v>612</v>
      </c>
      <c r="D119" s="19">
        <v>41820</v>
      </c>
      <c r="E119" s="27" t="s">
        <v>628</v>
      </c>
      <c r="F119" s="22" t="s">
        <v>278</v>
      </c>
      <c r="G119" s="22" t="s">
        <v>44</v>
      </c>
      <c r="H119" s="22" t="s">
        <v>29</v>
      </c>
      <c r="I119" s="37">
        <v>801.22</v>
      </c>
      <c r="J119" s="19">
        <v>41813</v>
      </c>
      <c r="K119" s="51" t="s">
        <v>635</v>
      </c>
      <c r="L119" s="51" t="s">
        <v>30</v>
      </c>
      <c r="M119" s="22" t="s">
        <v>54</v>
      </c>
      <c r="N119" s="20" t="s">
        <v>55</v>
      </c>
      <c r="O119" s="57">
        <v>30000</v>
      </c>
      <c r="P119" s="38">
        <f t="shared" si="29"/>
        <v>3407460</v>
      </c>
      <c r="Q119" s="39" t="s">
        <v>32</v>
      </c>
      <c r="R119" s="76">
        <v>113.58199999999999</v>
      </c>
      <c r="S119" s="40">
        <f t="shared" si="22"/>
        <v>41902</v>
      </c>
      <c r="T119" s="22" t="s">
        <v>278</v>
      </c>
      <c r="U119" s="54">
        <f t="shared" si="25"/>
        <v>4088.9519999999998</v>
      </c>
      <c r="V119" s="36">
        <v>155.72999999999999</v>
      </c>
      <c r="W119" s="38">
        <f t="shared" si="26"/>
        <v>636772.49495999992</v>
      </c>
      <c r="X119" s="70">
        <f t="shared" si="30"/>
        <v>636772.49495999992</v>
      </c>
      <c r="Y119" s="36"/>
      <c r="Z119" s="36"/>
      <c r="AA119" s="113"/>
    </row>
    <row r="120" spans="1:27" ht="19.5" customHeight="1">
      <c r="A120" s="35">
        <f t="shared" si="21"/>
        <v>115</v>
      </c>
      <c r="B120" s="36" t="s">
        <v>644</v>
      </c>
      <c r="C120" s="21" t="s">
        <v>613</v>
      </c>
      <c r="D120" s="19">
        <v>41820</v>
      </c>
      <c r="E120" s="27" t="s">
        <v>629</v>
      </c>
      <c r="F120" s="22" t="s">
        <v>278</v>
      </c>
      <c r="G120" s="22" t="s">
        <v>44</v>
      </c>
      <c r="H120" s="22" t="s">
        <v>29</v>
      </c>
      <c r="I120" s="37">
        <v>801.22</v>
      </c>
      <c r="J120" s="19">
        <v>41813</v>
      </c>
      <c r="K120" s="51" t="s">
        <v>635</v>
      </c>
      <c r="L120" s="51" t="s">
        <v>30</v>
      </c>
      <c r="M120" s="22" t="s">
        <v>54</v>
      </c>
      <c r="N120" s="20" t="s">
        <v>55</v>
      </c>
      <c r="O120" s="57">
        <v>400000</v>
      </c>
      <c r="P120" s="38">
        <f t="shared" si="29"/>
        <v>45432800</v>
      </c>
      <c r="Q120" s="39" t="s">
        <v>32</v>
      </c>
      <c r="R120" s="76">
        <v>113.58199999999999</v>
      </c>
      <c r="S120" s="40">
        <f t="shared" si="22"/>
        <v>41902</v>
      </c>
      <c r="T120" s="22" t="s">
        <v>278</v>
      </c>
      <c r="U120" s="54">
        <f t="shared" si="25"/>
        <v>54519.359999999993</v>
      </c>
      <c r="V120" s="36">
        <v>155.72999999999999</v>
      </c>
      <c r="W120" s="38">
        <f t="shared" si="26"/>
        <v>8490299.9327999987</v>
      </c>
      <c r="X120" s="70">
        <f t="shared" si="30"/>
        <v>8490299.9327999987</v>
      </c>
      <c r="Y120" s="36"/>
      <c r="Z120" s="36"/>
      <c r="AA120" s="113"/>
    </row>
    <row r="121" spans="1:27" ht="22.5" customHeight="1">
      <c r="A121" s="35">
        <f t="shared" si="21"/>
        <v>116</v>
      </c>
      <c r="B121" s="36" t="s">
        <v>645</v>
      </c>
      <c r="C121" s="44" t="s">
        <v>72</v>
      </c>
      <c r="D121" s="21"/>
      <c r="E121" s="27" t="s">
        <v>630</v>
      </c>
      <c r="F121" s="22" t="s">
        <v>39</v>
      </c>
      <c r="G121" s="22" t="s">
        <v>40</v>
      </c>
      <c r="H121" s="22" t="s">
        <v>29</v>
      </c>
      <c r="I121" s="37">
        <v>801.22</v>
      </c>
      <c r="J121" s="19">
        <v>41820</v>
      </c>
      <c r="K121" s="51" t="s">
        <v>636</v>
      </c>
      <c r="L121" s="51" t="s">
        <v>30</v>
      </c>
      <c r="M121" s="22" t="s">
        <v>50</v>
      </c>
      <c r="N121" s="20" t="s">
        <v>76</v>
      </c>
      <c r="O121" s="58">
        <v>299495</v>
      </c>
      <c r="P121" s="38">
        <f t="shared" si="29"/>
        <v>33252031.365000002</v>
      </c>
      <c r="Q121" s="39" t="s">
        <v>32</v>
      </c>
      <c r="R121" s="49">
        <v>111.027</v>
      </c>
      <c r="S121" s="40">
        <f t="shared" si="22"/>
        <v>41909</v>
      </c>
      <c r="T121" s="22" t="s">
        <v>39</v>
      </c>
      <c r="U121" s="41">
        <f t="shared" si="25"/>
        <v>39902.437637999996</v>
      </c>
      <c r="V121" s="36">
        <v>155.72999999999999</v>
      </c>
      <c r="W121" s="38">
        <f t="shared" si="26"/>
        <v>6214006.6133657387</v>
      </c>
      <c r="X121" s="42">
        <v>0</v>
      </c>
      <c r="Y121" s="36"/>
      <c r="Z121" s="36"/>
      <c r="AA121" s="113"/>
    </row>
    <row r="122" spans="1:27" ht="21.75" customHeight="1">
      <c r="A122" s="35">
        <f t="shared" si="21"/>
        <v>117</v>
      </c>
      <c r="B122" s="36" t="s">
        <v>723</v>
      </c>
      <c r="C122" s="21" t="s">
        <v>684</v>
      </c>
      <c r="D122" s="19">
        <v>41851</v>
      </c>
      <c r="E122" s="27" t="s">
        <v>697</v>
      </c>
      <c r="F122" s="22" t="s">
        <v>278</v>
      </c>
      <c r="G122" s="22" t="s">
        <v>44</v>
      </c>
      <c r="H122" s="22" t="s">
        <v>133</v>
      </c>
      <c r="I122" s="37">
        <v>801.22</v>
      </c>
      <c r="J122" s="19">
        <v>41822</v>
      </c>
      <c r="K122" s="51" t="s">
        <v>716</v>
      </c>
      <c r="L122" s="51" t="s">
        <v>49</v>
      </c>
      <c r="M122" s="22" t="s">
        <v>287</v>
      </c>
      <c r="N122" s="20" t="s">
        <v>720</v>
      </c>
      <c r="O122" s="57">
        <v>150000</v>
      </c>
      <c r="P122" s="38">
        <f t="shared" si="29"/>
        <v>16750650.000000002</v>
      </c>
      <c r="Q122" s="39" t="s">
        <v>32</v>
      </c>
      <c r="R122" s="9">
        <v>111.67100000000001</v>
      </c>
      <c r="S122" s="40">
        <f t="shared" si="22"/>
        <v>41911</v>
      </c>
      <c r="T122" s="22" t="s">
        <v>278</v>
      </c>
      <c r="U122" s="41">
        <f t="shared" si="25"/>
        <v>20100.78</v>
      </c>
      <c r="V122" s="36">
        <v>155.72999999999999</v>
      </c>
      <c r="W122" s="38">
        <f t="shared" si="26"/>
        <v>3130294.4693999998</v>
      </c>
      <c r="X122" s="70">
        <f t="shared" si="30"/>
        <v>3130294.4693999998</v>
      </c>
      <c r="Y122" s="36"/>
      <c r="Z122" s="36"/>
      <c r="AA122" s="113"/>
    </row>
    <row r="123" spans="1:27" ht="21.75" customHeight="1">
      <c r="A123" s="35">
        <f t="shared" si="21"/>
        <v>118</v>
      </c>
      <c r="B123" s="36" t="s">
        <v>724</v>
      </c>
      <c r="C123" s="21" t="s">
        <v>685</v>
      </c>
      <c r="D123" s="19">
        <v>41851</v>
      </c>
      <c r="E123" s="27" t="s">
        <v>698</v>
      </c>
      <c r="F123" s="22" t="s">
        <v>278</v>
      </c>
      <c r="G123" s="22" t="s">
        <v>44</v>
      </c>
      <c r="H123" s="22" t="s">
        <v>133</v>
      </c>
      <c r="I123" s="37">
        <v>801.22</v>
      </c>
      <c r="J123" s="19">
        <v>41822</v>
      </c>
      <c r="K123" s="51" t="s">
        <v>716</v>
      </c>
      <c r="L123" s="51" t="s">
        <v>49</v>
      </c>
      <c r="M123" s="22" t="s">
        <v>287</v>
      </c>
      <c r="N123" s="20" t="s">
        <v>720</v>
      </c>
      <c r="O123" s="57">
        <v>173483</v>
      </c>
      <c r="P123" s="38">
        <f t="shared" si="29"/>
        <v>19373020.093000002</v>
      </c>
      <c r="Q123" s="39" t="s">
        <v>32</v>
      </c>
      <c r="R123" s="9">
        <v>111.67100000000001</v>
      </c>
      <c r="S123" s="40">
        <f t="shared" si="22"/>
        <v>41911</v>
      </c>
      <c r="T123" s="22" t="s">
        <v>278</v>
      </c>
      <c r="U123" s="41">
        <f t="shared" si="25"/>
        <v>23247.624111600002</v>
      </c>
      <c r="V123" s="36">
        <v>155.72999999999999</v>
      </c>
      <c r="W123" s="38">
        <f t="shared" si="26"/>
        <v>3620352.5028994679</v>
      </c>
      <c r="X123" s="70">
        <f t="shared" si="30"/>
        <v>3620352.5028994679</v>
      </c>
      <c r="Y123" s="36"/>
      <c r="Z123" s="36"/>
      <c r="AA123" s="113"/>
    </row>
    <row r="124" spans="1:27" ht="21.75" customHeight="1">
      <c r="A124" s="35">
        <f t="shared" si="21"/>
        <v>119</v>
      </c>
      <c r="B124" s="36" t="s">
        <v>725</v>
      </c>
      <c r="C124" s="21" t="s">
        <v>686</v>
      </c>
      <c r="D124" s="19">
        <v>41851</v>
      </c>
      <c r="E124" s="27" t="s">
        <v>699</v>
      </c>
      <c r="F124" s="22" t="s">
        <v>278</v>
      </c>
      <c r="G124" s="22" t="s">
        <v>44</v>
      </c>
      <c r="H124" s="22" t="s">
        <v>133</v>
      </c>
      <c r="I124" s="37">
        <v>801.22</v>
      </c>
      <c r="J124" s="19">
        <v>41822</v>
      </c>
      <c r="K124" s="51" t="s">
        <v>716</v>
      </c>
      <c r="L124" s="51" t="s">
        <v>49</v>
      </c>
      <c r="M124" s="22" t="s">
        <v>287</v>
      </c>
      <c r="N124" s="20" t="s">
        <v>720</v>
      </c>
      <c r="O124" s="57">
        <v>180000</v>
      </c>
      <c r="P124" s="38">
        <f t="shared" si="29"/>
        <v>20100780</v>
      </c>
      <c r="Q124" s="39" t="s">
        <v>32</v>
      </c>
      <c r="R124" s="9">
        <v>111.67100000000001</v>
      </c>
      <c r="S124" s="40">
        <f t="shared" si="22"/>
        <v>41911</v>
      </c>
      <c r="T124" s="22" t="s">
        <v>278</v>
      </c>
      <c r="U124" s="41">
        <f t="shared" si="25"/>
        <v>24120.935999999998</v>
      </c>
      <c r="V124" s="36">
        <v>155.72999999999999</v>
      </c>
      <c r="W124" s="38">
        <f t="shared" si="26"/>
        <v>3756353.3632799992</v>
      </c>
      <c r="X124" s="70">
        <f t="shared" si="30"/>
        <v>3756353.3632799992</v>
      </c>
      <c r="Y124" s="36"/>
      <c r="Z124" s="36"/>
      <c r="AA124" s="113"/>
    </row>
    <row r="125" spans="1:27" ht="21.75" customHeight="1">
      <c r="A125" s="35">
        <f t="shared" si="21"/>
        <v>120</v>
      </c>
      <c r="B125" s="36" t="s">
        <v>726</v>
      </c>
      <c r="C125" s="21" t="s">
        <v>687</v>
      </c>
      <c r="D125" s="19">
        <v>41851</v>
      </c>
      <c r="E125" s="27" t="s">
        <v>700</v>
      </c>
      <c r="F125" s="22" t="s">
        <v>278</v>
      </c>
      <c r="G125" s="22" t="s">
        <v>44</v>
      </c>
      <c r="H125" s="22" t="s">
        <v>133</v>
      </c>
      <c r="I125" s="37">
        <v>801.22</v>
      </c>
      <c r="J125" s="19">
        <v>41822</v>
      </c>
      <c r="K125" s="51" t="s">
        <v>716</v>
      </c>
      <c r="L125" s="51" t="s">
        <v>49</v>
      </c>
      <c r="M125" s="22" t="s">
        <v>287</v>
      </c>
      <c r="N125" s="20" t="s">
        <v>720</v>
      </c>
      <c r="O125" s="57">
        <v>180000</v>
      </c>
      <c r="P125" s="38">
        <f t="shared" si="29"/>
        <v>20100780</v>
      </c>
      <c r="Q125" s="39" t="s">
        <v>32</v>
      </c>
      <c r="R125" s="9">
        <v>111.67100000000001</v>
      </c>
      <c r="S125" s="40">
        <f t="shared" si="22"/>
        <v>41911</v>
      </c>
      <c r="T125" s="22" t="s">
        <v>278</v>
      </c>
      <c r="U125" s="41">
        <f t="shared" si="25"/>
        <v>24120.935999999998</v>
      </c>
      <c r="V125" s="36">
        <v>155.72999999999999</v>
      </c>
      <c r="W125" s="38">
        <f t="shared" si="26"/>
        <v>3756353.3632799992</v>
      </c>
      <c r="X125" s="70">
        <f t="shared" si="30"/>
        <v>3756353.3632799992</v>
      </c>
      <c r="Y125" s="36"/>
      <c r="Z125" s="36"/>
      <c r="AA125" s="113"/>
    </row>
    <row r="126" spans="1:27" ht="21.75" customHeight="1">
      <c r="A126" s="35">
        <f t="shared" si="21"/>
        <v>121</v>
      </c>
      <c r="B126" s="36" t="s">
        <v>727</v>
      </c>
      <c r="C126" s="21" t="s">
        <v>688</v>
      </c>
      <c r="D126" s="19">
        <v>41851</v>
      </c>
      <c r="E126" s="27" t="s">
        <v>701</v>
      </c>
      <c r="F126" s="22" t="s">
        <v>278</v>
      </c>
      <c r="G126" s="22" t="s">
        <v>44</v>
      </c>
      <c r="H126" s="22" t="s">
        <v>133</v>
      </c>
      <c r="I126" s="37">
        <v>801.22</v>
      </c>
      <c r="J126" s="19">
        <v>41822</v>
      </c>
      <c r="K126" s="51" t="s">
        <v>716</v>
      </c>
      <c r="L126" s="51" t="s">
        <v>49</v>
      </c>
      <c r="M126" s="22" t="s">
        <v>287</v>
      </c>
      <c r="N126" s="20" t="s">
        <v>720</v>
      </c>
      <c r="O126" s="57">
        <v>169000</v>
      </c>
      <c r="P126" s="38">
        <f t="shared" si="29"/>
        <v>18872399</v>
      </c>
      <c r="Q126" s="39" t="s">
        <v>32</v>
      </c>
      <c r="R126" s="9">
        <v>111.67100000000001</v>
      </c>
      <c r="S126" s="40">
        <f t="shared" si="22"/>
        <v>41911</v>
      </c>
      <c r="T126" s="22" t="s">
        <v>278</v>
      </c>
      <c r="U126" s="41">
        <f t="shared" si="25"/>
        <v>22646.878799999999</v>
      </c>
      <c r="V126" s="36">
        <v>155.72999999999999</v>
      </c>
      <c r="W126" s="38">
        <f t="shared" si="26"/>
        <v>3526798.4355239994</v>
      </c>
      <c r="X126" s="70">
        <f t="shared" si="30"/>
        <v>3526798.4355239994</v>
      </c>
      <c r="Y126" s="36"/>
      <c r="Z126" s="36"/>
      <c r="AA126" s="113"/>
    </row>
    <row r="127" spans="1:27" ht="21.75" customHeight="1">
      <c r="A127" s="35">
        <f t="shared" si="21"/>
        <v>122</v>
      </c>
      <c r="B127" s="36" t="s">
        <v>728</v>
      </c>
      <c r="C127" s="21" t="s">
        <v>689</v>
      </c>
      <c r="D127" s="19">
        <v>41851</v>
      </c>
      <c r="E127" s="27" t="s">
        <v>702</v>
      </c>
      <c r="F127" s="22" t="s">
        <v>278</v>
      </c>
      <c r="G127" s="22" t="s">
        <v>44</v>
      </c>
      <c r="H127" s="22" t="s">
        <v>133</v>
      </c>
      <c r="I127" s="37">
        <v>801.22</v>
      </c>
      <c r="J127" s="19">
        <v>41822</v>
      </c>
      <c r="K127" s="51" t="s">
        <v>716</v>
      </c>
      <c r="L127" s="51" t="s">
        <v>49</v>
      </c>
      <c r="M127" s="22" t="s">
        <v>287</v>
      </c>
      <c r="N127" s="20" t="s">
        <v>720</v>
      </c>
      <c r="O127" s="57">
        <v>47000</v>
      </c>
      <c r="P127" s="38">
        <f t="shared" si="29"/>
        <v>5248537</v>
      </c>
      <c r="Q127" s="39" t="s">
        <v>32</v>
      </c>
      <c r="R127" s="9">
        <v>111.67100000000001</v>
      </c>
      <c r="S127" s="40">
        <f t="shared" si="22"/>
        <v>41911</v>
      </c>
      <c r="T127" s="22" t="s">
        <v>278</v>
      </c>
      <c r="U127" s="41">
        <f t="shared" si="25"/>
        <v>6298.2443999999996</v>
      </c>
      <c r="V127" s="36">
        <v>155.72999999999999</v>
      </c>
      <c r="W127" s="38">
        <f t="shared" si="26"/>
        <v>980825.60041199985</v>
      </c>
      <c r="X127" s="70">
        <f t="shared" si="30"/>
        <v>980825.60041199985</v>
      </c>
      <c r="Y127" s="36"/>
      <c r="Z127" s="36"/>
      <c r="AA127" s="113"/>
    </row>
    <row r="128" spans="1:27" ht="21.75" customHeight="1">
      <c r="A128" s="35">
        <f t="shared" si="21"/>
        <v>123</v>
      </c>
      <c r="B128" s="36" t="s">
        <v>729</v>
      </c>
      <c r="C128" s="21" t="s">
        <v>690</v>
      </c>
      <c r="D128" s="19">
        <v>41851</v>
      </c>
      <c r="E128" s="27" t="s">
        <v>703</v>
      </c>
      <c r="F128" s="22" t="s">
        <v>278</v>
      </c>
      <c r="G128" s="22" t="s">
        <v>44</v>
      </c>
      <c r="H128" s="22" t="s">
        <v>133</v>
      </c>
      <c r="I128" s="37">
        <v>801.22</v>
      </c>
      <c r="J128" s="19">
        <v>41822</v>
      </c>
      <c r="K128" s="51" t="s">
        <v>716</v>
      </c>
      <c r="L128" s="51" t="s">
        <v>49</v>
      </c>
      <c r="M128" s="22" t="s">
        <v>287</v>
      </c>
      <c r="N128" s="20" t="s">
        <v>720</v>
      </c>
      <c r="O128" s="57">
        <v>50000</v>
      </c>
      <c r="P128" s="38">
        <f t="shared" si="29"/>
        <v>5583550</v>
      </c>
      <c r="Q128" s="39" t="s">
        <v>32</v>
      </c>
      <c r="R128" s="9">
        <v>111.67100000000001</v>
      </c>
      <c r="S128" s="40">
        <f t="shared" si="22"/>
        <v>41911</v>
      </c>
      <c r="T128" s="22" t="s">
        <v>278</v>
      </c>
      <c r="U128" s="41">
        <f t="shared" si="25"/>
        <v>6700.2599999999993</v>
      </c>
      <c r="V128" s="36">
        <v>155.72999999999999</v>
      </c>
      <c r="W128" s="38">
        <f t="shared" si="26"/>
        <v>1043431.4897999999</v>
      </c>
      <c r="X128" s="70">
        <f t="shared" si="30"/>
        <v>1043431.4897999999</v>
      </c>
      <c r="Y128" s="36"/>
      <c r="Z128" s="36"/>
      <c r="AA128" s="113"/>
    </row>
    <row r="129" spans="1:27" ht="21.75" customHeight="1">
      <c r="A129" s="35">
        <f t="shared" si="21"/>
        <v>124</v>
      </c>
      <c r="B129" s="36" t="s">
        <v>742</v>
      </c>
      <c r="C129" s="21" t="s">
        <v>691</v>
      </c>
      <c r="D129" s="19">
        <v>41851</v>
      </c>
      <c r="E129" s="18" t="s">
        <v>704</v>
      </c>
      <c r="F129" s="22" t="s">
        <v>278</v>
      </c>
      <c r="G129" s="22" t="s">
        <v>44</v>
      </c>
      <c r="H129" s="22" t="s">
        <v>35</v>
      </c>
      <c r="I129" s="37">
        <v>801.22</v>
      </c>
      <c r="J129" s="19">
        <v>41823</v>
      </c>
      <c r="K129" s="51" t="s">
        <v>142</v>
      </c>
      <c r="L129" s="74" t="s">
        <v>36</v>
      </c>
      <c r="M129" s="22" t="s">
        <v>80</v>
      </c>
      <c r="N129" s="20" t="s">
        <v>721</v>
      </c>
      <c r="O129" s="57">
        <v>475646</v>
      </c>
      <c r="P129" s="38">
        <f t="shared" si="29"/>
        <v>53307549.803999998</v>
      </c>
      <c r="Q129" s="39" t="s">
        <v>32</v>
      </c>
      <c r="R129" s="49">
        <v>112.074</v>
      </c>
      <c r="S129" s="40">
        <f t="shared" si="22"/>
        <v>41912</v>
      </c>
      <c r="T129" s="22" t="s">
        <v>278</v>
      </c>
      <c r="U129" s="41">
        <f t="shared" si="25"/>
        <v>63969.059764799989</v>
      </c>
      <c r="V129" s="36">
        <v>155.72999999999999</v>
      </c>
      <c r="W129" s="38">
        <f t="shared" si="26"/>
        <v>9961901.6771723013</v>
      </c>
      <c r="X129" s="70">
        <f t="shared" si="30"/>
        <v>9961901.6771723013</v>
      </c>
      <c r="Y129" s="36"/>
      <c r="Z129" s="36"/>
      <c r="AA129" s="112" t="s">
        <v>518</v>
      </c>
    </row>
    <row r="130" spans="1:27" ht="21.75" customHeight="1">
      <c r="A130" s="35">
        <f t="shared" si="21"/>
        <v>125</v>
      </c>
      <c r="B130" s="36" t="s">
        <v>743</v>
      </c>
      <c r="C130" s="21" t="s">
        <v>691</v>
      </c>
      <c r="D130" s="19">
        <v>41851</v>
      </c>
      <c r="E130" s="18" t="s">
        <v>750</v>
      </c>
      <c r="F130" s="22" t="s">
        <v>278</v>
      </c>
      <c r="G130" s="22" t="s">
        <v>44</v>
      </c>
      <c r="H130" s="22" t="s">
        <v>35</v>
      </c>
      <c r="I130" s="37">
        <v>801.22</v>
      </c>
      <c r="J130" s="19">
        <v>41823</v>
      </c>
      <c r="K130" s="51" t="s">
        <v>142</v>
      </c>
      <c r="L130" s="74" t="s">
        <v>36</v>
      </c>
      <c r="M130" s="22" t="s">
        <v>50</v>
      </c>
      <c r="N130" s="20" t="s">
        <v>83</v>
      </c>
      <c r="O130" s="57">
        <v>475000</v>
      </c>
      <c r="P130" s="38">
        <f t="shared" si="29"/>
        <v>53235150</v>
      </c>
      <c r="Q130" s="39" t="s">
        <v>32</v>
      </c>
      <c r="R130" s="49">
        <v>112.074</v>
      </c>
      <c r="S130" s="40">
        <f t="shared" si="22"/>
        <v>41912</v>
      </c>
      <c r="T130" s="22" t="s">
        <v>278</v>
      </c>
      <c r="U130" s="41">
        <f t="shared" si="25"/>
        <v>63882.179999999993</v>
      </c>
      <c r="V130" s="36">
        <v>155.72999999999999</v>
      </c>
      <c r="W130" s="38">
        <f t="shared" si="26"/>
        <v>9948371.8913999982</v>
      </c>
      <c r="X130" s="70">
        <f t="shared" si="30"/>
        <v>9948371.8913999982</v>
      </c>
      <c r="Y130" s="36"/>
      <c r="Z130" s="36"/>
      <c r="AA130" s="112"/>
    </row>
    <row r="131" spans="1:27" ht="21.75" customHeight="1">
      <c r="A131" s="35">
        <f t="shared" si="21"/>
        <v>126</v>
      </c>
      <c r="B131" s="36" t="s">
        <v>745</v>
      </c>
      <c r="C131" s="21" t="s">
        <v>692</v>
      </c>
      <c r="D131" s="19">
        <v>41851</v>
      </c>
      <c r="E131" s="18" t="s">
        <v>705</v>
      </c>
      <c r="F131" s="22" t="s">
        <v>278</v>
      </c>
      <c r="G131" s="22" t="s">
        <v>44</v>
      </c>
      <c r="H131" s="22" t="s">
        <v>45</v>
      </c>
      <c r="I131" s="37">
        <v>801.22</v>
      </c>
      <c r="J131" s="19">
        <v>41830</v>
      </c>
      <c r="K131" s="51" t="s">
        <v>140</v>
      </c>
      <c r="L131" s="74" t="s">
        <v>46</v>
      </c>
      <c r="M131" s="22" t="s">
        <v>78</v>
      </c>
      <c r="N131" s="20" t="s">
        <v>381</v>
      </c>
      <c r="O131" s="57">
        <v>899827</v>
      </c>
      <c r="P131" s="38">
        <f t="shared" si="29"/>
        <v>97880481.578999996</v>
      </c>
      <c r="Q131" s="39" t="s">
        <v>32</v>
      </c>
      <c r="R131" s="49">
        <v>108.777</v>
      </c>
      <c r="S131" s="40">
        <f t="shared" si="22"/>
        <v>41919</v>
      </c>
      <c r="T131" s="22" t="s">
        <v>278</v>
      </c>
      <c r="U131" s="41">
        <f t="shared" si="25"/>
        <v>117456.57789479998</v>
      </c>
      <c r="V131" s="36">
        <v>155.72999999999999</v>
      </c>
      <c r="W131" s="38">
        <f t="shared" si="26"/>
        <v>18291512.875557199</v>
      </c>
      <c r="X131" s="70">
        <f t="shared" si="30"/>
        <v>18291512.875557199</v>
      </c>
      <c r="Y131" s="36"/>
      <c r="Z131" s="36"/>
      <c r="AA131" s="113"/>
    </row>
    <row r="132" spans="1:27" ht="21.75" customHeight="1">
      <c r="A132" s="35">
        <f t="shared" si="21"/>
        <v>127</v>
      </c>
      <c r="B132" s="36" t="s">
        <v>730</v>
      </c>
      <c r="C132" s="21" t="s">
        <v>693</v>
      </c>
      <c r="D132" s="19">
        <v>41851</v>
      </c>
      <c r="E132" s="27" t="s">
        <v>706</v>
      </c>
      <c r="F132" s="22" t="s">
        <v>278</v>
      </c>
      <c r="G132" s="51" t="s">
        <v>44</v>
      </c>
      <c r="H132" s="22" t="s">
        <v>133</v>
      </c>
      <c r="I132" s="37">
        <v>801.22</v>
      </c>
      <c r="J132" s="19">
        <v>41832</v>
      </c>
      <c r="K132" s="51" t="s">
        <v>102</v>
      </c>
      <c r="L132" s="51" t="s">
        <v>49</v>
      </c>
      <c r="M132" s="22" t="s">
        <v>74</v>
      </c>
      <c r="N132" s="20" t="s">
        <v>75</v>
      </c>
      <c r="O132" s="57">
        <v>768328</v>
      </c>
      <c r="P132" s="38">
        <f t="shared" si="29"/>
        <v>82171142.943999991</v>
      </c>
      <c r="Q132" s="39" t="s">
        <v>32</v>
      </c>
      <c r="R132" s="49">
        <v>106.94799999999999</v>
      </c>
      <c r="S132" s="40">
        <f t="shared" si="22"/>
        <v>41921</v>
      </c>
      <c r="T132" s="22" t="s">
        <v>278</v>
      </c>
      <c r="U132" s="41">
        <f t="shared" si="25"/>
        <v>98605.371532799982</v>
      </c>
      <c r="V132" s="36">
        <v>155.72999999999999</v>
      </c>
      <c r="W132" s="38">
        <f t="shared" si="26"/>
        <v>15355814.508802939</v>
      </c>
      <c r="X132" s="70">
        <f t="shared" si="30"/>
        <v>15355814.508802939</v>
      </c>
      <c r="Y132" s="36"/>
      <c r="Z132" s="36"/>
      <c r="AA132" s="113"/>
    </row>
    <row r="133" spans="1:27" ht="21.75" customHeight="1">
      <c r="A133" s="35">
        <f t="shared" si="21"/>
        <v>128</v>
      </c>
      <c r="B133" s="36" t="s">
        <v>731</v>
      </c>
      <c r="C133" s="21" t="s">
        <v>694</v>
      </c>
      <c r="D133" s="19">
        <v>41851</v>
      </c>
      <c r="E133" s="27" t="s">
        <v>707</v>
      </c>
      <c r="F133" s="22" t="s">
        <v>278</v>
      </c>
      <c r="G133" s="51" t="s">
        <v>44</v>
      </c>
      <c r="H133" s="22" t="s">
        <v>133</v>
      </c>
      <c r="I133" s="37">
        <v>801.22</v>
      </c>
      <c r="J133" s="19">
        <v>41832</v>
      </c>
      <c r="K133" s="51" t="s">
        <v>102</v>
      </c>
      <c r="L133" s="51" t="s">
        <v>49</v>
      </c>
      <c r="M133" s="22" t="s">
        <v>74</v>
      </c>
      <c r="N133" s="20" t="s">
        <v>75</v>
      </c>
      <c r="O133" s="57">
        <v>180000</v>
      </c>
      <c r="P133" s="38">
        <f t="shared" si="29"/>
        <v>19250640</v>
      </c>
      <c r="Q133" s="39" t="s">
        <v>32</v>
      </c>
      <c r="R133" s="49">
        <v>106.94799999999999</v>
      </c>
      <c r="S133" s="40">
        <f t="shared" si="22"/>
        <v>41921</v>
      </c>
      <c r="T133" s="22" t="s">
        <v>278</v>
      </c>
      <c r="U133" s="41">
        <f t="shared" si="25"/>
        <v>23100.767999999996</v>
      </c>
      <c r="V133" s="36">
        <v>155.72999999999999</v>
      </c>
      <c r="W133" s="38">
        <f t="shared" si="26"/>
        <v>3597482.6006399994</v>
      </c>
      <c r="X133" s="70">
        <f t="shared" si="30"/>
        <v>3597482.6006399994</v>
      </c>
      <c r="Y133" s="36"/>
      <c r="Z133" s="36"/>
      <c r="AA133" s="113"/>
    </row>
    <row r="134" spans="1:27" ht="21.75" customHeight="1">
      <c r="A134" s="35">
        <f t="shared" si="21"/>
        <v>129</v>
      </c>
      <c r="B134" s="36" t="s">
        <v>746</v>
      </c>
      <c r="C134" s="21" t="s">
        <v>756</v>
      </c>
      <c r="D134" s="40">
        <v>41864</v>
      </c>
      <c r="E134" s="27" t="s">
        <v>749</v>
      </c>
      <c r="F134" s="22" t="s">
        <v>150</v>
      </c>
      <c r="G134" s="22" t="s">
        <v>279</v>
      </c>
      <c r="H134" s="22" t="s">
        <v>159</v>
      </c>
      <c r="I134" s="37">
        <v>801.22</v>
      </c>
      <c r="J134" s="19">
        <v>41841</v>
      </c>
      <c r="K134" s="51" t="s">
        <v>717</v>
      </c>
      <c r="L134" s="51" t="s">
        <v>160</v>
      </c>
      <c r="M134" s="22" t="s">
        <v>80</v>
      </c>
      <c r="N134" s="20" t="s">
        <v>166</v>
      </c>
      <c r="O134" s="57">
        <v>799844</v>
      </c>
      <c r="P134" s="38">
        <f t="shared" si="29"/>
        <v>81660073.179999992</v>
      </c>
      <c r="Q134" s="39" t="s">
        <v>32</v>
      </c>
      <c r="R134" s="49">
        <v>102.095</v>
      </c>
      <c r="S134" s="40">
        <f t="shared" si="22"/>
        <v>41930</v>
      </c>
      <c r="T134" s="20" t="s">
        <v>163</v>
      </c>
      <c r="U134" s="41">
        <f t="shared" si="25"/>
        <v>97992.087815999985</v>
      </c>
      <c r="V134" s="36">
        <v>155.72999999999999</v>
      </c>
      <c r="W134" s="38">
        <f t="shared" si="26"/>
        <v>15260307.835585676</v>
      </c>
      <c r="X134" s="45">
        <v>15260308.18</v>
      </c>
      <c r="Y134" s="40">
        <v>41858</v>
      </c>
      <c r="Z134" s="48">
        <v>2174</v>
      </c>
      <c r="AA134" s="113"/>
    </row>
    <row r="135" spans="1:27" ht="21.75" customHeight="1">
      <c r="A135" s="35">
        <f t="shared" si="21"/>
        <v>130</v>
      </c>
      <c r="B135" s="36" t="s">
        <v>744</v>
      </c>
      <c r="C135" s="22" t="s">
        <v>882</v>
      </c>
      <c r="D135" s="21">
        <v>41935</v>
      </c>
      <c r="E135" s="27" t="s">
        <v>773</v>
      </c>
      <c r="F135" s="22" t="s">
        <v>163</v>
      </c>
      <c r="G135" s="22" t="s">
        <v>34</v>
      </c>
      <c r="H135" s="22" t="s">
        <v>35</v>
      </c>
      <c r="I135" s="37">
        <v>801.22</v>
      </c>
      <c r="J135" s="19">
        <v>41844</v>
      </c>
      <c r="K135" s="51" t="s">
        <v>718</v>
      </c>
      <c r="L135" s="51" t="s">
        <v>36</v>
      </c>
      <c r="M135" s="22" t="s">
        <v>80</v>
      </c>
      <c r="N135" s="20" t="s">
        <v>93</v>
      </c>
      <c r="O135" s="57">
        <v>948707</v>
      </c>
      <c r="P135" s="38">
        <f t="shared" si="29"/>
        <v>103592922.41659999</v>
      </c>
      <c r="Q135" s="39" t="s">
        <v>32</v>
      </c>
      <c r="R135" s="59">
        <v>109.1938</v>
      </c>
      <c r="S135" s="40">
        <f t="shared" si="22"/>
        <v>41933</v>
      </c>
      <c r="T135" s="22" t="s">
        <v>38</v>
      </c>
      <c r="U135" s="41">
        <f t="shared" si="25"/>
        <v>124311.50689991997</v>
      </c>
      <c r="V135" s="36">
        <v>155.72999999999999</v>
      </c>
      <c r="W135" s="38">
        <f t="shared" si="26"/>
        <v>19359030.969524536</v>
      </c>
      <c r="X135" s="45">
        <v>19552621.280000001</v>
      </c>
      <c r="Y135" s="40">
        <v>41922</v>
      </c>
      <c r="Z135" s="48">
        <v>10331</v>
      </c>
      <c r="AA135" s="113"/>
    </row>
    <row r="136" spans="1:27" ht="21.75" customHeight="1">
      <c r="A136" s="35">
        <f t="shared" si="21"/>
        <v>131</v>
      </c>
      <c r="B136" s="36" t="s">
        <v>747</v>
      </c>
      <c r="C136" s="21" t="s">
        <v>695</v>
      </c>
      <c r="D136" s="19">
        <v>41851</v>
      </c>
      <c r="E136" s="27" t="s">
        <v>708</v>
      </c>
      <c r="F136" s="22" t="s">
        <v>278</v>
      </c>
      <c r="G136" s="22" t="s">
        <v>44</v>
      </c>
      <c r="H136" s="22" t="s">
        <v>29</v>
      </c>
      <c r="I136" s="37">
        <v>801.22</v>
      </c>
      <c r="J136" s="19">
        <v>41844</v>
      </c>
      <c r="K136" s="51" t="s">
        <v>167</v>
      </c>
      <c r="L136" s="51" t="s">
        <v>30</v>
      </c>
      <c r="M136" s="22" t="s">
        <v>116</v>
      </c>
      <c r="N136" s="20" t="s">
        <v>117</v>
      </c>
      <c r="O136" s="57">
        <v>545992</v>
      </c>
      <c r="P136" s="38">
        <f t="shared" si="29"/>
        <v>57916647.391999997</v>
      </c>
      <c r="Q136" s="39" t="s">
        <v>32</v>
      </c>
      <c r="R136" s="49">
        <v>106.07599999999999</v>
      </c>
      <c r="S136" s="40">
        <f t="shared" si="22"/>
        <v>41933</v>
      </c>
      <c r="T136" s="22" t="s">
        <v>278</v>
      </c>
      <c r="U136" s="41">
        <f t="shared" si="25"/>
        <v>69499.976870399987</v>
      </c>
      <c r="V136" s="36">
        <v>155.72999999999999</v>
      </c>
      <c r="W136" s="38">
        <f t="shared" si="26"/>
        <v>10823231.398027388</v>
      </c>
      <c r="X136" s="70">
        <f t="shared" ref="X136:X137" si="31">W136</f>
        <v>10823231.398027388</v>
      </c>
      <c r="Y136" s="36"/>
      <c r="Z136" s="36"/>
      <c r="AA136" s="113"/>
    </row>
    <row r="137" spans="1:27" ht="21.75" customHeight="1">
      <c r="A137" s="35">
        <f t="shared" si="21"/>
        <v>132</v>
      </c>
      <c r="B137" s="36" t="s">
        <v>748</v>
      </c>
      <c r="C137" s="21" t="s">
        <v>696</v>
      </c>
      <c r="D137" s="19">
        <v>41851</v>
      </c>
      <c r="E137" s="27" t="s">
        <v>709</v>
      </c>
      <c r="F137" s="22" t="s">
        <v>278</v>
      </c>
      <c r="G137" s="22" t="s">
        <v>44</v>
      </c>
      <c r="H137" s="22" t="s">
        <v>29</v>
      </c>
      <c r="I137" s="37">
        <v>801.22</v>
      </c>
      <c r="J137" s="19">
        <v>41844</v>
      </c>
      <c r="K137" s="51" t="s">
        <v>167</v>
      </c>
      <c r="L137" s="51" t="s">
        <v>30</v>
      </c>
      <c r="M137" s="22" t="s">
        <v>116</v>
      </c>
      <c r="N137" s="20" t="s">
        <v>117</v>
      </c>
      <c r="O137" s="57">
        <v>450000</v>
      </c>
      <c r="P137" s="38">
        <f t="shared" si="29"/>
        <v>47734200</v>
      </c>
      <c r="Q137" s="39" t="s">
        <v>32</v>
      </c>
      <c r="R137" s="49">
        <v>106.07599999999999</v>
      </c>
      <c r="S137" s="40">
        <f t="shared" si="22"/>
        <v>41933</v>
      </c>
      <c r="T137" s="22" t="s">
        <v>278</v>
      </c>
      <c r="U137" s="41">
        <f t="shared" si="25"/>
        <v>57281.039999999994</v>
      </c>
      <c r="V137" s="36">
        <v>155.72999999999999</v>
      </c>
      <c r="W137" s="38">
        <f t="shared" si="26"/>
        <v>8920376.3591999989</v>
      </c>
      <c r="X137" s="70">
        <f t="shared" si="31"/>
        <v>8920376.3591999989</v>
      </c>
      <c r="Y137" s="36"/>
      <c r="Z137" s="36"/>
      <c r="AA137" s="113"/>
    </row>
    <row r="138" spans="1:27" ht="21.75" customHeight="1">
      <c r="A138" s="35">
        <f t="shared" ref="A138:A201" si="32">A137+1</f>
        <v>133</v>
      </c>
      <c r="B138" s="36" t="s">
        <v>732</v>
      </c>
      <c r="C138" s="22" t="s">
        <v>883</v>
      </c>
      <c r="D138" s="21">
        <v>41928</v>
      </c>
      <c r="E138" s="27" t="s">
        <v>710</v>
      </c>
      <c r="F138" s="22" t="s">
        <v>120</v>
      </c>
      <c r="G138" s="51" t="s">
        <v>47</v>
      </c>
      <c r="H138" s="22" t="s">
        <v>133</v>
      </c>
      <c r="I138" s="37">
        <v>801.22</v>
      </c>
      <c r="J138" s="19">
        <v>41844</v>
      </c>
      <c r="K138" s="51" t="s">
        <v>719</v>
      </c>
      <c r="L138" s="51" t="s">
        <v>49</v>
      </c>
      <c r="M138" s="22" t="s">
        <v>41</v>
      </c>
      <c r="N138" s="20" t="s">
        <v>42</v>
      </c>
      <c r="O138" s="57">
        <v>80000</v>
      </c>
      <c r="P138" s="38">
        <f t="shared" si="29"/>
        <v>8667200</v>
      </c>
      <c r="Q138" s="39" t="s">
        <v>32</v>
      </c>
      <c r="R138" s="49">
        <v>108.34</v>
      </c>
      <c r="S138" s="40">
        <f t="shared" ref="S138:S201" si="33">SUM(J138)+89</f>
        <v>41933</v>
      </c>
      <c r="T138" s="20" t="s">
        <v>38</v>
      </c>
      <c r="U138" s="41">
        <f t="shared" si="25"/>
        <v>10400.64</v>
      </c>
      <c r="V138" s="36">
        <v>155.72999999999999</v>
      </c>
      <c r="W138" s="38">
        <f t="shared" si="26"/>
        <v>1619691.6671999998</v>
      </c>
      <c r="X138" s="45">
        <v>1609291.03</v>
      </c>
      <c r="Y138" s="40">
        <v>41922</v>
      </c>
      <c r="Z138" s="48">
        <v>10345</v>
      </c>
      <c r="AA138" s="113"/>
    </row>
    <row r="139" spans="1:27" ht="21.75" customHeight="1">
      <c r="A139" s="35">
        <f t="shared" si="32"/>
        <v>134</v>
      </c>
      <c r="B139" s="36" t="s">
        <v>733</v>
      </c>
      <c r="C139" s="20" t="s">
        <v>884</v>
      </c>
      <c r="D139" s="21">
        <v>41928</v>
      </c>
      <c r="E139" s="27" t="s">
        <v>711</v>
      </c>
      <c r="F139" s="22" t="s">
        <v>120</v>
      </c>
      <c r="G139" s="51" t="s">
        <v>53</v>
      </c>
      <c r="H139" s="22" t="s">
        <v>133</v>
      </c>
      <c r="I139" s="37">
        <v>801.22</v>
      </c>
      <c r="J139" s="19">
        <v>41844</v>
      </c>
      <c r="K139" s="51" t="s">
        <v>719</v>
      </c>
      <c r="L139" s="51" t="s">
        <v>49</v>
      </c>
      <c r="M139" s="22" t="s">
        <v>41</v>
      </c>
      <c r="N139" s="20" t="s">
        <v>42</v>
      </c>
      <c r="O139" s="57">
        <v>211324</v>
      </c>
      <c r="P139" s="38">
        <f t="shared" si="29"/>
        <v>22613337.459600002</v>
      </c>
      <c r="Q139" s="39" t="s">
        <v>32</v>
      </c>
      <c r="R139" s="49">
        <v>107.00790000000001</v>
      </c>
      <c r="S139" s="40">
        <f t="shared" si="33"/>
        <v>41933</v>
      </c>
      <c r="T139" s="20" t="s">
        <v>38</v>
      </c>
      <c r="U139" s="41">
        <f t="shared" si="25"/>
        <v>27136.004951520001</v>
      </c>
      <c r="V139" s="36">
        <v>155.72999999999999</v>
      </c>
      <c r="W139" s="38">
        <f t="shared" si="26"/>
        <v>4225890.0511002094</v>
      </c>
      <c r="X139" s="45">
        <v>4198753.28</v>
      </c>
      <c r="Y139" s="40">
        <v>41922</v>
      </c>
      <c r="Z139" s="48">
        <v>10338</v>
      </c>
      <c r="AA139" s="113"/>
    </row>
    <row r="140" spans="1:27" ht="21.75" customHeight="1">
      <c r="A140" s="35">
        <f t="shared" si="32"/>
        <v>135</v>
      </c>
      <c r="B140" s="36" t="s">
        <v>734</v>
      </c>
      <c r="C140" s="20" t="s">
        <v>885</v>
      </c>
      <c r="D140" s="21">
        <v>41928</v>
      </c>
      <c r="E140" s="27" t="s">
        <v>712</v>
      </c>
      <c r="F140" s="22" t="s">
        <v>120</v>
      </c>
      <c r="G140" s="51" t="s">
        <v>53</v>
      </c>
      <c r="H140" s="22" t="s">
        <v>133</v>
      </c>
      <c r="I140" s="37">
        <v>801.22</v>
      </c>
      <c r="J140" s="19">
        <v>41844</v>
      </c>
      <c r="K140" s="51" t="s">
        <v>719</v>
      </c>
      <c r="L140" s="51" t="s">
        <v>49</v>
      </c>
      <c r="M140" s="22" t="s">
        <v>41</v>
      </c>
      <c r="N140" s="20" t="s">
        <v>42</v>
      </c>
      <c r="O140" s="57">
        <v>55500</v>
      </c>
      <c r="P140" s="38">
        <f t="shared" si="29"/>
        <v>5938938.4500000002</v>
      </c>
      <c r="Q140" s="39" t="s">
        <v>32</v>
      </c>
      <c r="R140" s="49">
        <v>107.00790000000001</v>
      </c>
      <c r="S140" s="40">
        <f t="shared" si="33"/>
        <v>41933</v>
      </c>
      <c r="T140" s="20" t="s">
        <v>38</v>
      </c>
      <c r="U140" s="41">
        <f t="shared" si="25"/>
        <v>7126.7261399999998</v>
      </c>
      <c r="V140" s="36">
        <v>155.72999999999999</v>
      </c>
      <c r="W140" s="38">
        <f t="shared" si="26"/>
        <v>1109845.0617821999</v>
      </c>
      <c r="X140" s="45">
        <v>1102718.93</v>
      </c>
      <c r="Y140" s="40">
        <v>41922</v>
      </c>
      <c r="Z140" s="48">
        <v>10339</v>
      </c>
      <c r="AA140" s="113"/>
    </row>
    <row r="141" spans="1:27" ht="21.75" customHeight="1">
      <c r="A141" s="35">
        <f t="shared" si="32"/>
        <v>136</v>
      </c>
      <c r="B141" s="36" t="s">
        <v>735</v>
      </c>
      <c r="C141" s="22" t="s">
        <v>918</v>
      </c>
      <c r="D141" s="40">
        <v>41940</v>
      </c>
      <c r="E141" s="27" t="s">
        <v>713</v>
      </c>
      <c r="F141" s="22" t="s">
        <v>163</v>
      </c>
      <c r="G141" s="22" t="s">
        <v>631</v>
      </c>
      <c r="H141" s="22" t="s">
        <v>133</v>
      </c>
      <c r="I141" s="37">
        <v>801.22</v>
      </c>
      <c r="J141" s="19">
        <v>41844</v>
      </c>
      <c r="K141" s="51" t="s">
        <v>719</v>
      </c>
      <c r="L141" s="51" t="s">
        <v>49</v>
      </c>
      <c r="M141" s="22" t="s">
        <v>41</v>
      </c>
      <c r="N141" s="20" t="s">
        <v>42</v>
      </c>
      <c r="O141" s="57">
        <v>252934</v>
      </c>
      <c r="P141" s="38">
        <f t="shared" si="29"/>
        <v>27244785.810000002</v>
      </c>
      <c r="Q141" s="39" t="s">
        <v>32</v>
      </c>
      <c r="R141" s="49">
        <v>107.715</v>
      </c>
      <c r="S141" s="40">
        <f t="shared" si="33"/>
        <v>41933</v>
      </c>
      <c r="T141" s="22" t="s">
        <v>163</v>
      </c>
      <c r="U141" s="41">
        <f t="shared" si="25"/>
        <v>32693.742972</v>
      </c>
      <c r="V141" s="36">
        <v>155.72999999999999</v>
      </c>
      <c r="W141" s="38">
        <f t="shared" si="26"/>
        <v>5091396.5930295596</v>
      </c>
      <c r="X141" s="70">
        <v>5076030.53</v>
      </c>
      <c r="Y141" s="40">
        <v>41939</v>
      </c>
      <c r="Z141" s="48">
        <v>3553</v>
      </c>
      <c r="AA141" s="113"/>
    </row>
    <row r="142" spans="1:27" ht="21.75" customHeight="1">
      <c r="A142" s="35">
        <f t="shared" si="32"/>
        <v>137</v>
      </c>
      <c r="B142" s="36" t="s">
        <v>736</v>
      </c>
      <c r="C142" s="44" t="s">
        <v>828</v>
      </c>
      <c r="D142" s="19">
        <v>41912</v>
      </c>
      <c r="E142" s="27" t="s">
        <v>714</v>
      </c>
      <c r="F142" s="22" t="s">
        <v>120</v>
      </c>
      <c r="G142" s="22" t="s">
        <v>28</v>
      </c>
      <c r="H142" s="22" t="s">
        <v>133</v>
      </c>
      <c r="I142" s="37">
        <v>801.22</v>
      </c>
      <c r="J142" s="19">
        <v>41844</v>
      </c>
      <c r="K142" s="51" t="s">
        <v>719</v>
      </c>
      <c r="L142" s="51" t="s">
        <v>49</v>
      </c>
      <c r="M142" s="22" t="s">
        <v>41</v>
      </c>
      <c r="N142" s="20" t="s">
        <v>42</v>
      </c>
      <c r="O142" s="57">
        <v>100000</v>
      </c>
      <c r="P142" s="38">
        <f t="shared" si="29"/>
        <v>10771500</v>
      </c>
      <c r="Q142" s="39" t="s">
        <v>32</v>
      </c>
      <c r="R142" s="49">
        <v>107.715</v>
      </c>
      <c r="S142" s="40">
        <f t="shared" si="33"/>
        <v>41933</v>
      </c>
      <c r="T142" s="20" t="s">
        <v>27</v>
      </c>
      <c r="U142" s="41">
        <f t="shared" si="25"/>
        <v>12925.8</v>
      </c>
      <c r="V142" s="36">
        <v>155.72999999999999</v>
      </c>
      <c r="W142" s="38">
        <f t="shared" si="26"/>
        <v>2012934.8339999998</v>
      </c>
      <c r="X142" s="45">
        <v>2012934.83</v>
      </c>
      <c r="Y142" s="40">
        <v>41893</v>
      </c>
      <c r="Z142" s="48">
        <v>1622</v>
      </c>
      <c r="AA142" s="113"/>
    </row>
    <row r="143" spans="1:27" ht="21.75" customHeight="1">
      <c r="A143" s="35">
        <f t="shared" si="32"/>
        <v>138</v>
      </c>
      <c r="B143" s="36" t="s">
        <v>737</v>
      </c>
      <c r="C143" s="22" t="s">
        <v>770</v>
      </c>
      <c r="D143" s="21">
        <v>41879</v>
      </c>
      <c r="E143" s="27" t="s">
        <v>754</v>
      </c>
      <c r="F143" s="22" t="s">
        <v>39</v>
      </c>
      <c r="G143" s="22" t="s">
        <v>97</v>
      </c>
      <c r="H143" s="22" t="s">
        <v>133</v>
      </c>
      <c r="I143" s="37">
        <v>801.22</v>
      </c>
      <c r="J143" s="19">
        <v>41844</v>
      </c>
      <c r="K143" s="51" t="s">
        <v>719</v>
      </c>
      <c r="L143" s="51" t="s">
        <v>49</v>
      </c>
      <c r="M143" s="22" t="s">
        <v>41</v>
      </c>
      <c r="N143" s="20" t="s">
        <v>42</v>
      </c>
      <c r="O143" s="57">
        <v>47000</v>
      </c>
      <c r="P143" s="38">
        <f t="shared" si="29"/>
        <v>5070219</v>
      </c>
      <c r="Q143" s="39" t="s">
        <v>32</v>
      </c>
      <c r="R143" s="49">
        <v>107.877</v>
      </c>
      <c r="S143" s="40">
        <f t="shared" si="33"/>
        <v>41933</v>
      </c>
      <c r="T143" s="22" t="s">
        <v>39</v>
      </c>
      <c r="U143" s="41">
        <f t="shared" si="25"/>
        <v>6084.2627999999995</v>
      </c>
      <c r="V143" s="36">
        <v>155.72999999999999</v>
      </c>
      <c r="W143" s="38">
        <f t="shared" si="26"/>
        <v>947502.2458439999</v>
      </c>
      <c r="X143" s="45">
        <v>947502.25</v>
      </c>
      <c r="Y143" s="40">
        <v>41877</v>
      </c>
      <c r="Z143" s="48">
        <v>4418</v>
      </c>
      <c r="AA143" s="113"/>
    </row>
    <row r="144" spans="1:27" ht="21.75" customHeight="1">
      <c r="A144" s="35">
        <f t="shared" si="32"/>
        <v>139</v>
      </c>
      <c r="B144" s="36" t="s">
        <v>738</v>
      </c>
      <c r="C144" s="22" t="s">
        <v>771</v>
      </c>
      <c r="D144" s="21">
        <v>41879</v>
      </c>
      <c r="E144" s="27" t="s">
        <v>755</v>
      </c>
      <c r="F144" s="22" t="s">
        <v>39</v>
      </c>
      <c r="G144" s="22" t="s">
        <v>97</v>
      </c>
      <c r="H144" s="22" t="s">
        <v>133</v>
      </c>
      <c r="I144" s="37">
        <v>801.22</v>
      </c>
      <c r="J144" s="19">
        <v>41844</v>
      </c>
      <c r="K144" s="51" t="s">
        <v>719</v>
      </c>
      <c r="L144" s="51" t="s">
        <v>49</v>
      </c>
      <c r="M144" s="22" t="s">
        <v>41</v>
      </c>
      <c r="N144" s="20" t="s">
        <v>42</v>
      </c>
      <c r="O144" s="57">
        <v>40000</v>
      </c>
      <c r="P144" s="38">
        <f t="shared" si="29"/>
        <v>4315080</v>
      </c>
      <c r="Q144" s="39" t="s">
        <v>32</v>
      </c>
      <c r="R144" s="49">
        <v>107.877</v>
      </c>
      <c r="S144" s="40">
        <f t="shared" si="33"/>
        <v>41933</v>
      </c>
      <c r="T144" s="22" t="s">
        <v>39</v>
      </c>
      <c r="U144" s="41">
        <f t="shared" si="25"/>
        <v>5178.0959999999995</v>
      </c>
      <c r="V144" s="36">
        <v>155.72999999999999</v>
      </c>
      <c r="W144" s="38">
        <f t="shared" si="26"/>
        <v>806384.89007999992</v>
      </c>
      <c r="X144" s="45">
        <v>806384.89</v>
      </c>
      <c r="Y144" s="40">
        <v>41877</v>
      </c>
      <c r="Z144" s="48">
        <v>4419</v>
      </c>
      <c r="AA144" s="113"/>
    </row>
    <row r="145" spans="1:27" ht="21.75" customHeight="1">
      <c r="A145" s="35">
        <f t="shared" si="32"/>
        <v>140</v>
      </c>
      <c r="B145" s="36" t="s">
        <v>739</v>
      </c>
      <c r="C145" s="22" t="s">
        <v>772</v>
      </c>
      <c r="D145" s="21">
        <v>41879</v>
      </c>
      <c r="E145" s="27" t="s">
        <v>715</v>
      </c>
      <c r="F145" s="22" t="s">
        <v>187</v>
      </c>
      <c r="G145" s="22" t="s">
        <v>97</v>
      </c>
      <c r="H145" s="22" t="s">
        <v>133</v>
      </c>
      <c r="I145" s="37">
        <v>801.22</v>
      </c>
      <c r="J145" s="19">
        <v>41844</v>
      </c>
      <c r="K145" s="51" t="s">
        <v>719</v>
      </c>
      <c r="L145" s="51" t="s">
        <v>49</v>
      </c>
      <c r="M145" s="22" t="s">
        <v>41</v>
      </c>
      <c r="N145" s="20" t="s">
        <v>42</v>
      </c>
      <c r="O145" s="57">
        <v>54000</v>
      </c>
      <c r="P145" s="38">
        <f t="shared" si="29"/>
        <v>5825358</v>
      </c>
      <c r="Q145" s="39" t="s">
        <v>32</v>
      </c>
      <c r="R145" s="49">
        <v>107.877</v>
      </c>
      <c r="S145" s="40">
        <f t="shared" si="33"/>
        <v>41933</v>
      </c>
      <c r="T145" s="22" t="s">
        <v>39</v>
      </c>
      <c r="U145" s="41">
        <f t="shared" si="25"/>
        <v>6990.4295999999995</v>
      </c>
      <c r="V145" s="36">
        <v>155.72999999999999</v>
      </c>
      <c r="W145" s="38">
        <f t="shared" si="26"/>
        <v>1088619.6016079998</v>
      </c>
      <c r="X145" s="45">
        <v>1088619.6000000001</v>
      </c>
      <c r="Y145" s="40">
        <v>41877</v>
      </c>
      <c r="Z145" s="48">
        <v>4420</v>
      </c>
      <c r="AA145" s="113"/>
    </row>
    <row r="146" spans="1:27" ht="21.75" customHeight="1">
      <c r="A146" s="35">
        <f t="shared" si="32"/>
        <v>141</v>
      </c>
      <c r="B146" s="36" t="s">
        <v>740</v>
      </c>
      <c r="C146" s="60" t="s">
        <v>990</v>
      </c>
      <c r="D146" s="21">
        <v>41971</v>
      </c>
      <c r="E146" s="27" t="s">
        <v>989</v>
      </c>
      <c r="F146" s="22" t="s">
        <v>130</v>
      </c>
      <c r="G146" s="22" t="s">
        <v>98</v>
      </c>
      <c r="H146" s="22" t="s">
        <v>133</v>
      </c>
      <c r="I146" s="37">
        <v>801.22</v>
      </c>
      <c r="J146" s="19">
        <v>41844</v>
      </c>
      <c r="K146" s="51" t="s">
        <v>719</v>
      </c>
      <c r="L146" s="51" t="s">
        <v>49</v>
      </c>
      <c r="M146" s="22" t="s">
        <v>41</v>
      </c>
      <c r="N146" s="20" t="s">
        <v>42</v>
      </c>
      <c r="O146" s="57">
        <v>209000</v>
      </c>
      <c r="P146" s="38">
        <f t="shared" si="29"/>
        <v>22588093</v>
      </c>
      <c r="Q146" s="39" t="s">
        <v>32</v>
      </c>
      <c r="R146" s="49">
        <v>108.077</v>
      </c>
      <c r="S146" s="40">
        <f t="shared" si="33"/>
        <v>41933</v>
      </c>
      <c r="T146" s="22" t="s">
        <v>144</v>
      </c>
      <c r="U146" s="41">
        <f t="shared" si="25"/>
        <v>27105.711599999999</v>
      </c>
      <c r="V146" s="36">
        <v>155.72999999999999</v>
      </c>
      <c r="W146" s="38">
        <f t="shared" si="26"/>
        <v>4221172.4674679991</v>
      </c>
      <c r="X146" s="45">
        <v>4221172.47</v>
      </c>
      <c r="Y146" s="40">
        <v>41971</v>
      </c>
      <c r="Z146" s="48">
        <v>28975</v>
      </c>
      <c r="AA146" s="113"/>
    </row>
    <row r="147" spans="1:27" ht="21.75" customHeight="1">
      <c r="A147" s="35">
        <f t="shared" si="32"/>
        <v>142</v>
      </c>
      <c r="B147" s="36" t="s">
        <v>741</v>
      </c>
      <c r="C147" s="20" t="s">
        <v>886</v>
      </c>
      <c r="D147" s="21">
        <v>41928</v>
      </c>
      <c r="E147" s="27" t="s">
        <v>751</v>
      </c>
      <c r="F147" s="22" t="s">
        <v>120</v>
      </c>
      <c r="G147" s="51" t="s">
        <v>53</v>
      </c>
      <c r="H147" s="22" t="s">
        <v>133</v>
      </c>
      <c r="I147" s="37">
        <v>801.22</v>
      </c>
      <c r="J147" s="19">
        <v>41850</v>
      </c>
      <c r="K147" s="51" t="s">
        <v>63</v>
      </c>
      <c r="L147" s="51" t="s">
        <v>49</v>
      </c>
      <c r="M147" s="22" t="s">
        <v>60</v>
      </c>
      <c r="N147" s="20" t="s">
        <v>722</v>
      </c>
      <c r="O147" s="77">
        <v>722963</v>
      </c>
      <c r="P147" s="53">
        <f t="shared" si="29"/>
        <v>78372804.015000001</v>
      </c>
      <c r="Q147" s="39" t="s">
        <v>32</v>
      </c>
      <c r="R147" s="76">
        <v>108.405</v>
      </c>
      <c r="S147" s="40">
        <f t="shared" si="33"/>
        <v>41939</v>
      </c>
      <c r="T147" s="22" t="s">
        <v>38</v>
      </c>
      <c r="U147" s="54">
        <f t="shared" si="25"/>
        <v>94047.364817999987</v>
      </c>
      <c r="V147" s="36">
        <v>155.72999999999999</v>
      </c>
      <c r="W147" s="53">
        <f t="shared" si="26"/>
        <v>14645996.123107137</v>
      </c>
      <c r="X147" s="70">
        <v>14551948.01</v>
      </c>
      <c r="Y147" s="40">
        <v>41922</v>
      </c>
      <c r="Z147" s="48">
        <v>10340</v>
      </c>
      <c r="AA147" s="113"/>
    </row>
    <row r="148" spans="1:27" ht="20.25" customHeight="1">
      <c r="A148" s="35">
        <f t="shared" si="32"/>
        <v>143</v>
      </c>
      <c r="B148" s="36" t="s">
        <v>801</v>
      </c>
      <c r="C148" s="22" t="s">
        <v>920</v>
      </c>
      <c r="D148" s="40">
        <v>41940</v>
      </c>
      <c r="E148" s="27" t="s">
        <v>781</v>
      </c>
      <c r="F148" s="22" t="s">
        <v>163</v>
      </c>
      <c r="G148" s="22" t="s">
        <v>919</v>
      </c>
      <c r="H148" s="22" t="s">
        <v>133</v>
      </c>
      <c r="I148" s="37">
        <v>801.22</v>
      </c>
      <c r="J148" s="19">
        <v>41854</v>
      </c>
      <c r="K148" s="51" t="s">
        <v>793</v>
      </c>
      <c r="L148" s="51" t="s">
        <v>49</v>
      </c>
      <c r="M148" s="22" t="s">
        <v>56</v>
      </c>
      <c r="N148" s="78" t="s">
        <v>57</v>
      </c>
      <c r="O148" s="23">
        <v>627201</v>
      </c>
      <c r="P148" s="53">
        <f t="shared" si="29"/>
        <v>64809306.531000003</v>
      </c>
      <c r="Q148" s="39" t="s">
        <v>32</v>
      </c>
      <c r="R148" s="9">
        <v>103.331</v>
      </c>
      <c r="S148" s="40">
        <f t="shared" si="33"/>
        <v>41943</v>
      </c>
      <c r="T148" s="22" t="s">
        <v>163</v>
      </c>
      <c r="U148" s="54">
        <f t="shared" si="25"/>
        <v>77771.167837200002</v>
      </c>
      <c r="V148" s="36">
        <v>155.72999999999999</v>
      </c>
      <c r="W148" s="53">
        <f t="shared" si="26"/>
        <v>12111303.967287155</v>
      </c>
      <c r="X148" s="70">
        <v>12074751.52</v>
      </c>
      <c r="Y148" s="40">
        <v>41939</v>
      </c>
      <c r="Z148" s="48">
        <v>3552</v>
      </c>
      <c r="AA148" s="113"/>
    </row>
    <row r="149" spans="1:27" ht="20.25" customHeight="1">
      <c r="A149" s="35">
        <f t="shared" si="32"/>
        <v>144</v>
      </c>
      <c r="B149" s="36" t="s">
        <v>802</v>
      </c>
      <c r="C149" s="22" t="s">
        <v>823</v>
      </c>
      <c r="D149" s="21">
        <v>41906</v>
      </c>
      <c r="E149" s="27" t="s">
        <v>782</v>
      </c>
      <c r="F149" s="22" t="s">
        <v>39</v>
      </c>
      <c r="G149" s="22" t="s">
        <v>97</v>
      </c>
      <c r="H149" s="22" t="s">
        <v>133</v>
      </c>
      <c r="I149" s="37">
        <v>801.22</v>
      </c>
      <c r="J149" s="19">
        <v>41854</v>
      </c>
      <c r="K149" s="51" t="s">
        <v>793</v>
      </c>
      <c r="L149" s="51" t="s">
        <v>49</v>
      </c>
      <c r="M149" s="22" t="s">
        <v>56</v>
      </c>
      <c r="N149" s="78" t="s">
        <v>57</v>
      </c>
      <c r="O149" s="23">
        <v>42000</v>
      </c>
      <c r="P149" s="53">
        <f t="shared" si="29"/>
        <v>4263714</v>
      </c>
      <c r="Q149" s="39" t="s">
        <v>32</v>
      </c>
      <c r="R149" s="9">
        <v>101.517</v>
      </c>
      <c r="S149" s="40">
        <f t="shared" si="33"/>
        <v>41943</v>
      </c>
      <c r="T149" s="22" t="s">
        <v>39</v>
      </c>
      <c r="U149" s="54">
        <f t="shared" si="25"/>
        <v>5116.4567999999999</v>
      </c>
      <c r="V149" s="36">
        <v>155.72999999999999</v>
      </c>
      <c r="W149" s="53">
        <f t="shared" si="26"/>
        <v>796785.81746399996</v>
      </c>
      <c r="X149" s="70">
        <v>796785.82</v>
      </c>
      <c r="Y149" s="40">
        <v>41905</v>
      </c>
      <c r="Z149" s="48">
        <v>4424</v>
      </c>
      <c r="AA149" s="113"/>
    </row>
    <row r="150" spans="1:27" ht="20.25" customHeight="1">
      <c r="A150" s="35">
        <f t="shared" si="32"/>
        <v>145</v>
      </c>
      <c r="B150" s="36" t="s">
        <v>803</v>
      </c>
      <c r="C150" s="60" t="s">
        <v>923</v>
      </c>
      <c r="D150" s="21">
        <v>41940</v>
      </c>
      <c r="E150" s="27" t="s">
        <v>922</v>
      </c>
      <c r="F150" s="22" t="s">
        <v>130</v>
      </c>
      <c r="G150" s="22" t="s">
        <v>87</v>
      </c>
      <c r="H150" s="22" t="s">
        <v>133</v>
      </c>
      <c r="I150" s="37">
        <v>801.22</v>
      </c>
      <c r="J150" s="19">
        <v>41854</v>
      </c>
      <c r="K150" s="51" t="s">
        <v>793</v>
      </c>
      <c r="L150" s="51" t="s">
        <v>49</v>
      </c>
      <c r="M150" s="22" t="s">
        <v>56</v>
      </c>
      <c r="N150" s="78" t="s">
        <v>57</v>
      </c>
      <c r="O150" s="23">
        <v>38000</v>
      </c>
      <c r="P150" s="53">
        <f t="shared" si="29"/>
        <v>3865246</v>
      </c>
      <c r="Q150" s="39" t="s">
        <v>32</v>
      </c>
      <c r="R150" s="9">
        <v>101.717</v>
      </c>
      <c r="S150" s="40">
        <f t="shared" si="33"/>
        <v>41943</v>
      </c>
      <c r="T150" s="22" t="s">
        <v>144</v>
      </c>
      <c r="U150" s="54">
        <f t="shared" ref="U150:U213" si="34">SUM(P150*0.12%)</f>
        <v>4638.2951999999996</v>
      </c>
      <c r="V150" s="36">
        <v>155.72999999999999</v>
      </c>
      <c r="W150" s="53">
        <f t="shared" si="26"/>
        <v>722321.71149599983</v>
      </c>
      <c r="X150" s="70">
        <v>722321.71</v>
      </c>
      <c r="Y150" s="40">
        <v>41939</v>
      </c>
      <c r="Z150" s="48">
        <v>29092</v>
      </c>
      <c r="AA150" s="113"/>
    </row>
    <row r="151" spans="1:27" ht="20.25" customHeight="1">
      <c r="A151" s="35">
        <f t="shared" si="32"/>
        <v>146</v>
      </c>
      <c r="B151" s="36" t="s">
        <v>804</v>
      </c>
      <c r="C151" s="21" t="s">
        <v>775</v>
      </c>
      <c r="D151" s="21">
        <v>41882</v>
      </c>
      <c r="E151" s="27" t="s">
        <v>783</v>
      </c>
      <c r="F151" s="22" t="s">
        <v>278</v>
      </c>
      <c r="G151" s="22" t="s">
        <v>44</v>
      </c>
      <c r="H151" s="22" t="s">
        <v>35</v>
      </c>
      <c r="I151" s="37">
        <v>801.22</v>
      </c>
      <c r="J151" s="19">
        <v>41857</v>
      </c>
      <c r="K151" s="51" t="s">
        <v>794</v>
      </c>
      <c r="L151" s="51" t="s">
        <v>36</v>
      </c>
      <c r="M151" s="22" t="s">
        <v>78</v>
      </c>
      <c r="N151" s="20" t="s">
        <v>371</v>
      </c>
      <c r="O151" s="23">
        <v>950202</v>
      </c>
      <c r="P151" s="53">
        <f t="shared" si="29"/>
        <v>98874219.311999992</v>
      </c>
      <c r="Q151" s="39" t="s">
        <v>32</v>
      </c>
      <c r="R151" s="9">
        <v>104.056</v>
      </c>
      <c r="S151" s="40">
        <f t="shared" si="33"/>
        <v>41946</v>
      </c>
      <c r="T151" s="22" t="s">
        <v>278</v>
      </c>
      <c r="U151" s="54">
        <f t="shared" si="34"/>
        <v>118649.06317439998</v>
      </c>
      <c r="V151" s="36">
        <v>155.72999999999999</v>
      </c>
      <c r="W151" s="53">
        <f t="shared" si="26"/>
        <v>18477218.608149309</v>
      </c>
      <c r="X151" s="70">
        <f t="shared" ref="X151:X153" si="35">W151</f>
        <v>18477218.608149309</v>
      </c>
      <c r="Y151" s="36"/>
      <c r="Z151" s="36"/>
      <c r="AA151" s="113"/>
    </row>
    <row r="152" spans="1:27" ht="20.25" customHeight="1">
      <c r="A152" s="35">
        <f t="shared" si="32"/>
        <v>147</v>
      </c>
      <c r="B152" s="36" t="s">
        <v>805</v>
      </c>
      <c r="C152" s="21" t="s">
        <v>776</v>
      </c>
      <c r="D152" s="21">
        <v>41882</v>
      </c>
      <c r="E152" s="27" t="s">
        <v>784</v>
      </c>
      <c r="F152" s="22" t="s">
        <v>278</v>
      </c>
      <c r="G152" s="22" t="s">
        <v>44</v>
      </c>
      <c r="H152" s="22" t="s">
        <v>45</v>
      </c>
      <c r="I152" s="37">
        <v>801.22</v>
      </c>
      <c r="J152" s="19">
        <v>41861</v>
      </c>
      <c r="K152" s="51" t="s">
        <v>795</v>
      </c>
      <c r="L152" s="51" t="s">
        <v>46</v>
      </c>
      <c r="M152" s="22" t="s">
        <v>90</v>
      </c>
      <c r="N152" s="20" t="s">
        <v>91</v>
      </c>
      <c r="O152" s="23">
        <v>899711</v>
      </c>
      <c r="P152" s="53">
        <f t="shared" si="29"/>
        <v>93354013.359999999</v>
      </c>
      <c r="Q152" s="39" t="s">
        <v>32</v>
      </c>
      <c r="R152" s="9">
        <v>103.76</v>
      </c>
      <c r="S152" s="40">
        <f t="shared" si="33"/>
        <v>41950</v>
      </c>
      <c r="T152" s="22" t="s">
        <v>278</v>
      </c>
      <c r="U152" s="54">
        <f t="shared" si="34"/>
        <v>112024.81603199999</v>
      </c>
      <c r="V152" s="36">
        <v>155.72999999999999</v>
      </c>
      <c r="W152" s="53">
        <f t="shared" ref="W152:W167" si="36">SUM(U152*V152)</f>
        <v>17445624.600663356</v>
      </c>
      <c r="X152" s="70">
        <f t="shared" si="35"/>
        <v>17445624.600663356</v>
      </c>
      <c r="Y152" s="36"/>
      <c r="Z152" s="36"/>
      <c r="AA152" s="113"/>
    </row>
    <row r="153" spans="1:27" ht="20.25" customHeight="1">
      <c r="A153" s="35">
        <f t="shared" si="32"/>
        <v>148</v>
      </c>
      <c r="B153" s="36" t="s">
        <v>806</v>
      </c>
      <c r="C153" s="21" t="s">
        <v>777</v>
      </c>
      <c r="D153" s="21">
        <v>41882</v>
      </c>
      <c r="E153" s="27" t="s">
        <v>785</v>
      </c>
      <c r="F153" s="22" t="s">
        <v>278</v>
      </c>
      <c r="G153" s="22" t="s">
        <v>44</v>
      </c>
      <c r="H153" s="22" t="s">
        <v>133</v>
      </c>
      <c r="I153" s="37">
        <v>801.22</v>
      </c>
      <c r="J153" s="19">
        <v>41864</v>
      </c>
      <c r="K153" s="51" t="s">
        <v>71</v>
      </c>
      <c r="L153" s="51" t="s">
        <v>49</v>
      </c>
      <c r="M153" s="22" t="s">
        <v>31</v>
      </c>
      <c r="N153" s="20" t="s">
        <v>108</v>
      </c>
      <c r="O153" s="23">
        <v>949173</v>
      </c>
      <c r="P153" s="53">
        <f t="shared" si="29"/>
        <v>96523300.715999991</v>
      </c>
      <c r="Q153" s="39" t="s">
        <v>32</v>
      </c>
      <c r="R153" s="9">
        <v>101.69199999999999</v>
      </c>
      <c r="S153" s="40">
        <f t="shared" si="33"/>
        <v>41953</v>
      </c>
      <c r="T153" s="22" t="s">
        <v>278</v>
      </c>
      <c r="U153" s="54">
        <f t="shared" si="34"/>
        <v>115827.96085919999</v>
      </c>
      <c r="V153" s="36">
        <v>155.72999999999999</v>
      </c>
      <c r="W153" s="53">
        <f t="shared" si="36"/>
        <v>18037888.344603214</v>
      </c>
      <c r="X153" s="70">
        <f t="shared" si="35"/>
        <v>18037888.344603214</v>
      </c>
      <c r="Y153" s="36"/>
      <c r="Z153" s="36"/>
      <c r="AA153" s="113"/>
    </row>
    <row r="154" spans="1:27" ht="20.25" customHeight="1">
      <c r="A154" s="35">
        <f t="shared" si="32"/>
        <v>149</v>
      </c>
      <c r="B154" s="36" t="s">
        <v>807</v>
      </c>
      <c r="C154" s="44" t="s">
        <v>822</v>
      </c>
      <c r="D154" s="40">
        <v>41893</v>
      </c>
      <c r="E154" s="27" t="s">
        <v>786</v>
      </c>
      <c r="F154" s="22" t="s">
        <v>150</v>
      </c>
      <c r="G154" s="22" t="s">
        <v>279</v>
      </c>
      <c r="H154" s="22" t="s">
        <v>159</v>
      </c>
      <c r="I154" s="37">
        <v>801.22</v>
      </c>
      <c r="J154" s="19">
        <v>41867</v>
      </c>
      <c r="K154" s="51" t="s">
        <v>796</v>
      </c>
      <c r="L154" s="51" t="s">
        <v>160</v>
      </c>
      <c r="M154" s="22" t="s">
        <v>80</v>
      </c>
      <c r="N154" s="20" t="s">
        <v>166</v>
      </c>
      <c r="O154" s="23">
        <v>701101</v>
      </c>
      <c r="P154" s="53">
        <f t="shared" si="29"/>
        <v>66076665.946999997</v>
      </c>
      <c r="Q154" s="39" t="s">
        <v>32</v>
      </c>
      <c r="R154" s="9">
        <v>94.247</v>
      </c>
      <c r="S154" s="40">
        <f t="shared" si="33"/>
        <v>41956</v>
      </c>
      <c r="T154" s="22" t="s">
        <v>163</v>
      </c>
      <c r="U154" s="54">
        <f t="shared" si="34"/>
        <v>79291.999136399987</v>
      </c>
      <c r="V154" s="36">
        <v>155.72999999999999</v>
      </c>
      <c r="W154" s="53">
        <f t="shared" si="36"/>
        <v>12348143.025511568</v>
      </c>
      <c r="X154" s="70">
        <v>12348143.029999999</v>
      </c>
      <c r="Y154" s="40">
        <v>41886</v>
      </c>
      <c r="Z154" s="48">
        <v>3613</v>
      </c>
      <c r="AA154" s="113"/>
    </row>
    <row r="155" spans="1:27" ht="20.25" customHeight="1">
      <c r="A155" s="35">
        <f t="shared" si="32"/>
        <v>150</v>
      </c>
      <c r="B155" s="36" t="s">
        <v>808</v>
      </c>
      <c r="C155" s="21" t="s">
        <v>880</v>
      </c>
      <c r="D155" s="21">
        <v>41925</v>
      </c>
      <c r="E155" s="18">
        <v>201400020014</v>
      </c>
      <c r="F155" s="22" t="s">
        <v>120</v>
      </c>
      <c r="G155" s="22" t="s">
        <v>28</v>
      </c>
      <c r="H155" s="22" t="s">
        <v>29</v>
      </c>
      <c r="I155" s="37">
        <v>801.22</v>
      </c>
      <c r="J155" s="19">
        <v>41869</v>
      </c>
      <c r="K155" s="51" t="s">
        <v>797</v>
      </c>
      <c r="L155" s="74" t="s">
        <v>30</v>
      </c>
      <c r="M155" s="22" t="s">
        <v>101</v>
      </c>
      <c r="N155" s="20" t="s">
        <v>799</v>
      </c>
      <c r="O155" s="23">
        <v>948196</v>
      </c>
      <c r="P155" s="53">
        <f t="shared" si="29"/>
        <v>93651422.527999997</v>
      </c>
      <c r="Q155" s="39" t="s">
        <v>32</v>
      </c>
      <c r="R155" s="49">
        <v>98.768000000000001</v>
      </c>
      <c r="S155" s="40">
        <f t="shared" si="33"/>
        <v>41958</v>
      </c>
      <c r="T155" s="22" t="s">
        <v>27</v>
      </c>
      <c r="U155" s="54">
        <f t="shared" si="34"/>
        <v>112381.70703359999</v>
      </c>
      <c r="V155" s="36">
        <v>155.72999999999999</v>
      </c>
      <c r="W155" s="53">
        <f t="shared" si="36"/>
        <v>17501203.236342523</v>
      </c>
      <c r="X155" s="70">
        <v>17501203.699999999</v>
      </c>
      <c r="Y155" s="40">
        <v>41914</v>
      </c>
      <c r="Z155" s="48">
        <v>1696</v>
      </c>
      <c r="AA155" s="113"/>
    </row>
    <row r="156" spans="1:27" ht="20.25" customHeight="1">
      <c r="A156" s="35">
        <f t="shared" si="32"/>
        <v>151</v>
      </c>
      <c r="B156" s="36" t="s">
        <v>809</v>
      </c>
      <c r="C156" s="22" t="s">
        <v>911</v>
      </c>
      <c r="D156" s="40">
        <v>41934</v>
      </c>
      <c r="E156" s="18">
        <v>201400010342</v>
      </c>
      <c r="F156" s="22" t="s">
        <v>120</v>
      </c>
      <c r="G156" s="22" t="s">
        <v>47</v>
      </c>
      <c r="H156" s="22" t="s">
        <v>133</v>
      </c>
      <c r="I156" s="37">
        <v>801.22</v>
      </c>
      <c r="J156" s="19">
        <v>41873</v>
      </c>
      <c r="K156" s="51" t="s">
        <v>798</v>
      </c>
      <c r="L156" s="74" t="s">
        <v>49</v>
      </c>
      <c r="M156" s="22" t="s">
        <v>50</v>
      </c>
      <c r="N156" s="20" t="s">
        <v>76</v>
      </c>
      <c r="O156" s="23">
        <v>80000</v>
      </c>
      <c r="P156" s="53">
        <f t="shared" si="29"/>
        <v>8124960</v>
      </c>
      <c r="Q156" s="39" t="s">
        <v>32</v>
      </c>
      <c r="R156" s="49">
        <v>101.562</v>
      </c>
      <c r="S156" s="40">
        <f t="shared" si="33"/>
        <v>41962</v>
      </c>
      <c r="T156" s="22" t="s">
        <v>38</v>
      </c>
      <c r="U156" s="54">
        <f t="shared" si="34"/>
        <v>9749.9519999999993</v>
      </c>
      <c r="V156" s="36">
        <v>155.72999999999999</v>
      </c>
      <c r="W156" s="53">
        <f t="shared" si="36"/>
        <v>1518360.0249599998</v>
      </c>
      <c r="X156" s="70">
        <v>1508609.77</v>
      </c>
      <c r="Y156" s="40">
        <v>41922</v>
      </c>
      <c r="Z156" s="48">
        <v>11247</v>
      </c>
      <c r="AA156" s="113"/>
    </row>
    <row r="157" spans="1:27" ht="20.25" customHeight="1">
      <c r="A157" s="35">
        <f t="shared" si="32"/>
        <v>152</v>
      </c>
      <c r="B157" s="36" t="s">
        <v>810</v>
      </c>
      <c r="C157" s="20" t="s">
        <v>887</v>
      </c>
      <c r="D157" s="21">
        <v>41928</v>
      </c>
      <c r="E157" s="18">
        <v>201400010343</v>
      </c>
      <c r="F157" s="22" t="s">
        <v>120</v>
      </c>
      <c r="G157" s="22" t="s">
        <v>53</v>
      </c>
      <c r="H157" s="22" t="s">
        <v>133</v>
      </c>
      <c r="I157" s="37">
        <v>801.22</v>
      </c>
      <c r="J157" s="19">
        <v>41873</v>
      </c>
      <c r="K157" s="51" t="s">
        <v>798</v>
      </c>
      <c r="L157" s="74" t="s">
        <v>49</v>
      </c>
      <c r="M157" s="22" t="s">
        <v>50</v>
      </c>
      <c r="N157" s="20" t="s">
        <v>76</v>
      </c>
      <c r="O157" s="23">
        <v>130000</v>
      </c>
      <c r="P157" s="53">
        <f t="shared" si="29"/>
        <v>13293904</v>
      </c>
      <c r="Q157" s="39" t="s">
        <v>32</v>
      </c>
      <c r="R157" s="49">
        <v>102.2608</v>
      </c>
      <c r="S157" s="40">
        <f t="shared" si="33"/>
        <v>41962</v>
      </c>
      <c r="T157" s="22" t="s">
        <v>38</v>
      </c>
      <c r="U157" s="54">
        <f t="shared" si="34"/>
        <v>15952.684799999999</v>
      </c>
      <c r="V157" s="36">
        <v>155.72999999999999</v>
      </c>
      <c r="W157" s="53">
        <f t="shared" si="36"/>
        <v>2484311.6039039996</v>
      </c>
      <c r="X157" s="70">
        <v>2468358.1800000002</v>
      </c>
      <c r="Y157" s="40">
        <v>41922</v>
      </c>
      <c r="Z157" s="48">
        <v>10346</v>
      </c>
      <c r="AA157" s="113"/>
    </row>
    <row r="158" spans="1:27" ht="20.25" customHeight="1">
      <c r="A158" s="35">
        <f t="shared" si="32"/>
        <v>153</v>
      </c>
      <c r="B158" s="36" t="s">
        <v>811</v>
      </c>
      <c r="C158" s="20" t="s">
        <v>888</v>
      </c>
      <c r="D158" s="21">
        <v>41928</v>
      </c>
      <c r="E158" s="18">
        <v>201400010344</v>
      </c>
      <c r="F158" s="22" t="s">
        <v>120</v>
      </c>
      <c r="G158" s="22" t="s">
        <v>53</v>
      </c>
      <c r="H158" s="22" t="s">
        <v>133</v>
      </c>
      <c r="I158" s="37">
        <v>801.22</v>
      </c>
      <c r="J158" s="19">
        <v>41873</v>
      </c>
      <c r="K158" s="51" t="s">
        <v>798</v>
      </c>
      <c r="L158" s="74" t="s">
        <v>49</v>
      </c>
      <c r="M158" s="22" t="s">
        <v>50</v>
      </c>
      <c r="N158" s="20" t="s">
        <v>76</v>
      </c>
      <c r="O158" s="23">
        <v>461917</v>
      </c>
      <c r="P158" s="53">
        <f t="shared" si="29"/>
        <v>47236001.953600004</v>
      </c>
      <c r="Q158" s="39" t="s">
        <v>32</v>
      </c>
      <c r="R158" s="49">
        <v>102.2608</v>
      </c>
      <c r="S158" s="40">
        <f t="shared" si="33"/>
        <v>41962</v>
      </c>
      <c r="T158" s="22" t="s">
        <v>38</v>
      </c>
      <c r="U158" s="54">
        <f t="shared" si="34"/>
        <v>56683.202344320001</v>
      </c>
      <c r="V158" s="36">
        <v>155.72999999999999</v>
      </c>
      <c r="W158" s="53">
        <f t="shared" si="36"/>
        <v>8827275.1010809541</v>
      </c>
      <c r="X158" s="70">
        <v>8770591.5399999991</v>
      </c>
      <c r="Y158" s="40">
        <v>41922</v>
      </c>
      <c r="Z158" s="48">
        <v>10347</v>
      </c>
      <c r="AA158" s="113"/>
    </row>
    <row r="159" spans="1:27" ht="20.25" customHeight="1">
      <c r="A159" s="35">
        <f t="shared" si="32"/>
        <v>154</v>
      </c>
      <c r="B159" s="36" t="s">
        <v>812</v>
      </c>
      <c r="C159" s="22" t="s">
        <v>824</v>
      </c>
      <c r="D159" s="21">
        <v>41906</v>
      </c>
      <c r="E159" s="18">
        <v>201401010081</v>
      </c>
      <c r="F159" s="22" t="s">
        <v>39</v>
      </c>
      <c r="G159" s="22" t="s">
        <v>97</v>
      </c>
      <c r="H159" s="22" t="s">
        <v>133</v>
      </c>
      <c r="I159" s="37">
        <v>801.22</v>
      </c>
      <c r="J159" s="19">
        <v>41873</v>
      </c>
      <c r="K159" s="51" t="s">
        <v>798</v>
      </c>
      <c r="L159" s="74" t="s">
        <v>49</v>
      </c>
      <c r="M159" s="22" t="s">
        <v>50</v>
      </c>
      <c r="N159" s="20" t="s">
        <v>76</v>
      </c>
      <c r="O159" s="23">
        <v>34000</v>
      </c>
      <c r="P159" s="53">
        <f t="shared" si="29"/>
        <v>3451578</v>
      </c>
      <c r="Q159" s="39" t="s">
        <v>32</v>
      </c>
      <c r="R159" s="9">
        <v>101.517</v>
      </c>
      <c r="S159" s="40">
        <f t="shared" si="33"/>
        <v>41962</v>
      </c>
      <c r="T159" s="22" t="s">
        <v>39</v>
      </c>
      <c r="U159" s="54">
        <f t="shared" si="34"/>
        <v>4141.8935999999994</v>
      </c>
      <c r="V159" s="36">
        <v>155.72999999999999</v>
      </c>
      <c r="W159" s="53">
        <f t="shared" si="36"/>
        <v>645017.0903279999</v>
      </c>
      <c r="X159" s="70">
        <v>645017.09</v>
      </c>
      <c r="Y159" s="40">
        <v>41886</v>
      </c>
      <c r="Z159" s="48">
        <v>4425</v>
      </c>
      <c r="AA159" s="113"/>
    </row>
    <row r="160" spans="1:27" ht="20.25" customHeight="1">
      <c r="A160" s="35">
        <f t="shared" si="32"/>
        <v>155</v>
      </c>
      <c r="B160" s="36" t="s">
        <v>813</v>
      </c>
      <c r="C160" s="22" t="s">
        <v>825</v>
      </c>
      <c r="D160" s="21">
        <v>41906</v>
      </c>
      <c r="E160" s="18">
        <v>201401010082</v>
      </c>
      <c r="F160" s="22" t="s">
        <v>39</v>
      </c>
      <c r="G160" s="22" t="s">
        <v>97</v>
      </c>
      <c r="H160" s="22" t="s">
        <v>133</v>
      </c>
      <c r="I160" s="37">
        <v>801.22</v>
      </c>
      <c r="J160" s="19">
        <v>41873</v>
      </c>
      <c r="K160" s="51" t="s">
        <v>798</v>
      </c>
      <c r="L160" s="74" t="s">
        <v>49</v>
      </c>
      <c r="M160" s="22" t="s">
        <v>50</v>
      </c>
      <c r="N160" s="20" t="s">
        <v>76</v>
      </c>
      <c r="O160" s="23">
        <v>19000</v>
      </c>
      <c r="P160" s="53">
        <f t="shared" si="29"/>
        <v>1928823</v>
      </c>
      <c r="Q160" s="39" t="s">
        <v>32</v>
      </c>
      <c r="R160" s="9">
        <v>101.517</v>
      </c>
      <c r="S160" s="40">
        <f t="shared" si="33"/>
        <v>41962</v>
      </c>
      <c r="T160" s="20" t="s">
        <v>39</v>
      </c>
      <c r="U160" s="54">
        <f t="shared" si="34"/>
        <v>2314.5875999999998</v>
      </c>
      <c r="V160" s="36">
        <v>155.72999999999999</v>
      </c>
      <c r="W160" s="53">
        <f t="shared" si="36"/>
        <v>360450.72694799997</v>
      </c>
      <c r="X160" s="70">
        <v>360450.73</v>
      </c>
      <c r="Y160" s="40">
        <v>41886</v>
      </c>
      <c r="Z160" s="48">
        <v>4427</v>
      </c>
      <c r="AA160" s="113"/>
    </row>
    <row r="161" spans="1:27" ht="20.25" customHeight="1">
      <c r="A161" s="35">
        <f t="shared" si="32"/>
        <v>156</v>
      </c>
      <c r="B161" s="36" t="s">
        <v>814</v>
      </c>
      <c r="C161" s="22" t="s">
        <v>826</v>
      </c>
      <c r="D161" s="21">
        <v>41906</v>
      </c>
      <c r="E161" s="18">
        <v>20149030008</v>
      </c>
      <c r="F161" s="22" t="s">
        <v>187</v>
      </c>
      <c r="G161" s="22" t="s">
        <v>97</v>
      </c>
      <c r="H161" s="22" t="s">
        <v>133</v>
      </c>
      <c r="I161" s="37">
        <v>801.22</v>
      </c>
      <c r="J161" s="19">
        <v>41873</v>
      </c>
      <c r="K161" s="51" t="s">
        <v>798</v>
      </c>
      <c r="L161" s="74" t="s">
        <v>49</v>
      </c>
      <c r="M161" s="22" t="s">
        <v>50</v>
      </c>
      <c r="N161" s="20" t="s">
        <v>76</v>
      </c>
      <c r="O161" s="23">
        <v>65000</v>
      </c>
      <c r="P161" s="53">
        <f t="shared" si="29"/>
        <v>6598605</v>
      </c>
      <c r="Q161" s="39" t="s">
        <v>32</v>
      </c>
      <c r="R161" s="9">
        <v>101.517</v>
      </c>
      <c r="S161" s="40">
        <f t="shared" si="33"/>
        <v>41962</v>
      </c>
      <c r="T161" s="22" t="s">
        <v>39</v>
      </c>
      <c r="U161" s="54">
        <f t="shared" si="34"/>
        <v>7918.3259999999991</v>
      </c>
      <c r="V161" s="36">
        <v>155.72999999999999</v>
      </c>
      <c r="W161" s="53">
        <f t="shared" si="36"/>
        <v>1233120.9079799997</v>
      </c>
      <c r="X161" s="70">
        <v>1233120.9099999999</v>
      </c>
      <c r="Y161" s="40">
        <v>41886</v>
      </c>
      <c r="Z161" s="48">
        <v>4426</v>
      </c>
      <c r="AA161" s="113"/>
    </row>
    <row r="162" spans="1:27" ht="20.25" customHeight="1">
      <c r="A162" s="61">
        <f t="shared" si="32"/>
        <v>157</v>
      </c>
      <c r="B162" s="36" t="s">
        <v>815</v>
      </c>
      <c r="C162" s="60" t="s">
        <v>924</v>
      </c>
      <c r="D162" s="21">
        <v>41940</v>
      </c>
      <c r="E162" s="18">
        <v>201402050458</v>
      </c>
      <c r="F162" s="24" t="s">
        <v>130</v>
      </c>
      <c r="G162" s="24" t="s">
        <v>792</v>
      </c>
      <c r="H162" s="24" t="s">
        <v>133</v>
      </c>
      <c r="I162" s="64">
        <v>801.22</v>
      </c>
      <c r="J162" s="79">
        <v>41873</v>
      </c>
      <c r="K162" s="80" t="s">
        <v>798</v>
      </c>
      <c r="L162" s="81" t="s">
        <v>49</v>
      </c>
      <c r="M162" s="24" t="s">
        <v>50</v>
      </c>
      <c r="N162" s="25" t="s">
        <v>76</v>
      </c>
      <c r="O162" s="23">
        <v>202000</v>
      </c>
      <c r="P162" s="53">
        <f t="shared" si="29"/>
        <v>20546834</v>
      </c>
      <c r="Q162" s="39" t="s">
        <v>32</v>
      </c>
      <c r="R162" s="9">
        <v>101.717</v>
      </c>
      <c r="S162" s="40">
        <f t="shared" si="33"/>
        <v>41962</v>
      </c>
      <c r="T162" s="22" t="s">
        <v>144</v>
      </c>
      <c r="U162" s="54">
        <f t="shared" si="34"/>
        <v>24656.200799999999</v>
      </c>
      <c r="V162" s="36">
        <v>155.72999999999999</v>
      </c>
      <c r="W162" s="53">
        <f t="shared" si="36"/>
        <v>3839710.1505839997</v>
      </c>
      <c r="X162" s="70">
        <v>3839710.15</v>
      </c>
      <c r="Y162" s="40">
        <v>41939</v>
      </c>
      <c r="Z162" s="48">
        <v>29093</v>
      </c>
      <c r="AA162" s="113"/>
    </row>
    <row r="163" spans="1:27" ht="20.25" customHeight="1">
      <c r="A163" s="35">
        <f t="shared" si="32"/>
        <v>158</v>
      </c>
      <c r="B163" s="36" t="s">
        <v>816</v>
      </c>
      <c r="C163" s="21" t="s">
        <v>778</v>
      </c>
      <c r="D163" s="21">
        <v>41882</v>
      </c>
      <c r="E163" s="18" t="s">
        <v>787</v>
      </c>
      <c r="F163" s="22" t="s">
        <v>278</v>
      </c>
      <c r="G163" s="22" t="s">
        <v>44</v>
      </c>
      <c r="H163" s="22" t="s">
        <v>35</v>
      </c>
      <c r="I163" s="37">
        <v>801.22</v>
      </c>
      <c r="J163" s="21">
        <v>41874</v>
      </c>
      <c r="K163" s="22" t="s">
        <v>129</v>
      </c>
      <c r="L163" s="22" t="s">
        <v>36</v>
      </c>
      <c r="M163" s="22" t="s">
        <v>80</v>
      </c>
      <c r="N163" s="20" t="s">
        <v>800</v>
      </c>
      <c r="O163" s="23">
        <v>950274</v>
      </c>
      <c r="P163" s="53">
        <f t="shared" si="29"/>
        <v>96485690.480399996</v>
      </c>
      <c r="Q163" s="39" t="s">
        <v>32</v>
      </c>
      <c r="R163" s="49">
        <v>101.5346</v>
      </c>
      <c r="S163" s="40">
        <f t="shared" si="33"/>
        <v>41963</v>
      </c>
      <c r="T163" s="22" t="s">
        <v>278</v>
      </c>
      <c r="U163" s="54">
        <f t="shared" si="34"/>
        <v>115782.82857647998</v>
      </c>
      <c r="V163" s="36">
        <v>155.72999999999999</v>
      </c>
      <c r="W163" s="53">
        <f t="shared" si="36"/>
        <v>18030859.894215226</v>
      </c>
      <c r="X163" s="70">
        <f t="shared" ref="X163" si="37">W163</f>
        <v>18030859.894215226</v>
      </c>
      <c r="Y163" s="36"/>
      <c r="Z163" s="36"/>
      <c r="AA163" s="113"/>
    </row>
    <row r="164" spans="1:27" ht="20.25" customHeight="1">
      <c r="A164" s="35">
        <f t="shared" si="32"/>
        <v>159</v>
      </c>
      <c r="B164" s="36" t="s">
        <v>817</v>
      </c>
      <c r="C164" s="82" t="s">
        <v>912</v>
      </c>
      <c r="D164" s="19">
        <v>41934</v>
      </c>
      <c r="E164" s="26" t="s">
        <v>788</v>
      </c>
      <c r="F164" s="22" t="s">
        <v>52</v>
      </c>
      <c r="G164" s="22" t="s">
        <v>82</v>
      </c>
      <c r="H164" s="22" t="s">
        <v>58</v>
      </c>
      <c r="I164" s="37">
        <v>801.22</v>
      </c>
      <c r="J164" s="21">
        <v>41879</v>
      </c>
      <c r="K164" s="22" t="s">
        <v>171</v>
      </c>
      <c r="L164" s="22" t="s">
        <v>59</v>
      </c>
      <c r="M164" s="22" t="s">
        <v>78</v>
      </c>
      <c r="N164" s="20" t="s">
        <v>109</v>
      </c>
      <c r="O164" s="23">
        <v>254852</v>
      </c>
      <c r="P164" s="53">
        <f t="shared" si="29"/>
        <v>25701059.643999998</v>
      </c>
      <c r="Q164" s="39" t="s">
        <v>32</v>
      </c>
      <c r="R164" s="49">
        <v>100.84699999999999</v>
      </c>
      <c r="S164" s="40">
        <f t="shared" si="33"/>
        <v>41968</v>
      </c>
      <c r="T164" s="20" t="s">
        <v>52</v>
      </c>
      <c r="U164" s="54">
        <f t="shared" si="34"/>
        <v>30841.271572799993</v>
      </c>
      <c r="V164" s="36">
        <v>155.72999999999999</v>
      </c>
      <c r="W164" s="53">
        <f t="shared" si="36"/>
        <v>4802911.2220321428</v>
      </c>
      <c r="X164" s="70">
        <v>4802910.9800000004</v>
      </c>
      <c r="Y164" s="44" t="s">
        <v>914</v>
      </c>
      <c r="Z164" s="48" t="s">
        <v>913</v>
      </c>
      <c r="AA164" s="113"/>
    </row>
    <row r="165" spans="1:27" ht="20.25" customHeight="1">
      <c r="A165" s="35">
        <f t="shared" si="32"/>
        <v>160</v>
      </c>
      <c r="B165" s="36" t="s">
        <v>818</v>
      </c>
      <c r="C165" s="21" t="s">
        <v>779</v>
      </c>
      <c r="D165" s="21">
        <v>41882</v>
      </c>
      <c r="E165" s="26" t="s">
        <v>789</v>
      </c>
      <c r="F165" s="22" t="s">
        <v>278</v>
      </c>
      <c r="G165" s="22" t="s">
        <v>44</v>
      </c>
      <c r="H165" s="22" t="s">
        <v>133</v>
      </c>
      <c r="I165" s="37">
        <v>801.22</v>
      </c>
      <c r="J165" s="21">
        <v>41882</v>
      </c>
      <c r="K165" s="22" t="s">
        <v>96</v>
      </c>
      <c r="L165" s="22" t="s">
        <v>49</v>
      </c>
      <c r="M165" s="22" t="s">
        <v>77</v>
      </c>
      <c r="N165" s="20" t="s">
        <v>103</v>
      </c>
      <c r="O165" s="23">
        <v>24000</v>
      </c>
      <c r="P165" s="53">
        <f t="shared" si="29"/>
        <v>2427648</v>
      </c>
      <c r="Q165" s="39" t="s">
        <v>32</v>
      </c>
      <c r="R165" s="49">
        <v>101.152</v>
      </c>
      <c r="S165" s="40">
        <f t="shared" si="33"/>
        <v>41971</v>
      </c>
      <c r="T165" s="20" t="s">
        <v>278</v>
      </c>
      <c r="U165" s="54">
        <f t="shared" si="34"/>
        <v>2913.1775999999995</v>
      </c>
      <c r="V165" s="36">
        <v>155.72999999999999</v>
      </c>
      <c r="W165" s="53">
        <f t="shared" si="36"/>
        <v>453669.14764799993</v>
      </c>
      <c r="X165" s="70">
        <f t="shared" ref="X165:X166" si="38">W165</f>
        <v>453669.14764799993</v>
      </c>
      <c r="Y165" s="36"/>
      <c r="Z165" s="36"/>
      <c r="AA165" s="113"/>
    </row>
    <row r="166" spans="1:27" ht="20.25" customHeight="1">
      <c r="A166" s="35">
        <f t="shared" si="32"/>
        <v>161</v>
      </c>
      <c r="B166" s="36" t="s">
        <v>819</v>
      </c>
      <c r="C166" s="21" t="s">
        <v>780</v>
      </c>
      <c r="D166" s="21">
        <v>41882</v>
      </c>
      <c r="E166" s="26" t="s">
        <v>790</v>
      </c>
      <c r="F166" s="22" t="s">
        <v>278</v>
      </c>
      <c r="G166" s="22" t="s">
        <v>44</v>
      </c>
      <c r="H166" s="22" t="s">
        <v>133</v>
      </c>
      <c r="I166" s="37">
        <v>801.22</v>
      </c>
      <c r="J166" s="21">
        <v>41882</v>
      </c>
      <c r="K166" s="22" t="s">
        <v>96</v>
      </c>
      <c r="L166" s="22" t="s">
        <v>49</v>
      </c>
      <c r="M166" s="22" t="s">
        <v>77</v>
      </c>
      <c r="N166" s="20" t="s">
        <v>103</v>
      </c>
      <c r="O166" s="23">
        <v>276000</v>
      </c>
      <c r="P166" s="53">
        <f t="shared" si="29"/>
        <v>27917952</v>
      </c>
      <c r="Q166" s="39" t="s">
        <v>32</v>
      </c>
      <c r="R166" s="49">
        <v>101.152</v>
      </c>
      <c r="S166" s="40">
        <f t="shared" si="33"/>
        <v>41971</v>
      </c>
      <c r="T166" s="20" t="s">
        <v>278</v>
      </c>
      <c r="U166" s="54">
        <f t="shared" si="34"/>
        <v>33501.542399999998</v>
      </c>
      <c r="V166" s="36">
        <v>155.72999999999999</v>
      </c>
      <c r="W166" s="53">
        <f t="shared" si="36"/>
        <v>5217195.1979519995</v>
      </c>
      <c r="X166" s="70">
        <f t="shared" si="38"/>
        <v>5217195.1979519995</v>
      </c>
      <c r="Y166" s="36"/>
      <c r="Z166" s="36"/>
      <c r="AA166" s="113"/>
    </row>
    <row r="167" spans="1:27" ht="20.25" customHeight="1">
      <c r="A167" s="35">
        <f t="shared" si="32"/>
        <v>162</v>
      </c>
      <c r="B167" s="36" t="s">
        <v>820</v>
      </c>
      <c r="C167" s="44" t="s">
        <v>72</v>
      </c>
      <c r="D167" s="21"/>
      <c r="E167" s="18" t="s">
        <v>791</v>
      </c>
      <c r="F167" s="22" t="s">
        <v>278</v>
      </c>
      <c r="G167" s="22" t="s">
        <v>44</v>
      </c>
      <c r="H167" s="22" t="s">
        <v>133</v>
      </c>
      <c r="I167" s="37">
        <v>801.22</v>
      </c>
      <c r="J167" s="21">
        <v>41882</v>
      </c>
      <c r="K167" s="22" t="s">
        <v>96</v>
      </c>
      <c r="L167" s="22" t="s">
        <v>49</v>
      </c>
      <c r="M167" s="22" t="s">
        <v>77</v>
      </c>
      <c r="N167" s="20" t="s">
        <v>103</v>
      </c>
      <c r="O167" s="23">
        <v>99471</v>
      </c>
      <c r="P167" s="53">
        <f t="shared" si="29"/>
        <v>10061690.592</v>
      </c>
      <c r="Q167" s="39" t="s">
        <v>32</v>
      </c>
      <c r="R167" s="49">
        <v>101.152</v>
      </c>
      <c r="S167" s="40">
        <f t="shared" si="33"/>
        <v>41971</v>
      </c>
      <c r="T167" s="20" t="s">
        <v>278</v>
      </c>
      <c r="U167" s="54">
        <f t="shared" si="34"/>
        <v>12074.0287104</v>
      </c>
      <c r="V167" s="36">
        <v>155.72999999999999</v>
      </c>
      <c r="W167" s="53">
        <f t="shared" si="36"/>
        <v>1880288.4910705918</v>
      </c>
      <c r="X167" s="83">
        <v>0</v>
      </c>
      <c r="Y167" s="36"/>
      <c r="Z167" s="36"/>
      <c r="AA167" s="113"/>
    </row>
    <row r="168" spans="1:27" ht="23.25" customHeight="1">
      <c r="A168" s="35">
        <f t="shared" si="32"/>
        <v>163</v>
      </c>
      <c r="B168" s="36" t="s">
        <v>849</v>
      </c>
      <c r="C168" s="44" t="s">
        <v>72</v>
      </c>
      <c r="D168" s="21"/>
      <c r="E168" s="26" t="s">
        <v>832</v>
      </c>
      <c r="F168" s="22" t="s">
        <v>120</v>
      </c>
      <c r="G168" s="22" t="s">
        <v>28</v>
      </c>
      <c r="H168" s="22" t="s">
        <v>29</v>
      </c>
      <c r="I168" s="37">
        <v>801.22</v>
      </c>
      <c r="J168" s="19">
        <v>41884</v>
      </c>
      <c r="K168" s="51" t="s">
        <v>838</v>
      </c>
      <c r="L168" s="51" t="s">
        <v>30</v>
      </c>
      <c r="M168" s="22" t="s">
        <v>74</v>
      </c>
      <c r="N168" s="78" t="s">
        <v>845</v>
      </c>
      <c r="O168" s="57">
        <v>949286</v>
      </c>
      <c r="P168" s="53">
        <f t="shared" si="29"/>
        <v>92941744.401999995</v>
      </c>
      <c r="Q168" s="39" t="s">
        <v>32</v>
      </c>
      <c r="R168" s="9">
        <v>97.906999999999996</v>
      </c>
      <c r="S168" s="40">
        <f t="shared" si="33"/>
        <v>41973</v>
      </c>
      <c r="T168" s="20" t="s">
        <v>27</v>
      </c>
      <c r="U168" s="54">
        <f t="shared" si="34"/>
        <v>111530.09328239999</v>
      </c>
      <c r="V168" s="36">
        <v>155.75</v>
      </c>
      <c r="W168" s="53">
        <f t="shared" ref="W168:W231" si="39">SUM(U168*V168)</f>
        <v>17370812.028733797</v>
      </c>
      <c r="X168" s="83">
        <v>0</v>
      </c>
      <c r="Y168" s="36"/>
      <c r="Z168" s="36"/>
      <c r="AA168" s="113"/>
    </row>
    <row r="169" spans="1:27" ht="24.75">
      <c r="A169" s="35">
        <f t="shared" si="32"/>
        <v>164</v>
      </c>
      <c r="B169" s="36" t="s">
        <v>853</v>
      </c>
      <c r="C169" s="21" t="s">
        <v>900</v>
      </c>
      <c r="D169" s="21">
        <v>41932</v>
      </c>
      <c r="E169" s="26" t="s">
        <v>889</v>
      </c>
      <c r="F169" s="22" t="s">
        <v>278</v>
      </c>
      <c r="G169" s="22" t="s">
        <v>44</v>
      </c>
      <c r="H169" s="22" t="s">
        <v>133</v>
      </c>
      <c r="I169" s="37">
        <v>801.22</v>
      </c>
      <c r="J169" s="19">
        <v>41886</v>
      </c>
      <c r="K169" s="51" t="s">
        <v>839</v>
      </c>
      <c r="L169" s="51" t="s">
        <v>49</v>
      </c>
      <c r="M169" s="22" t="s">
        <v>67</v>
      </c>
      <c r="N169" s="20" t="s">
        <v>68</v>
      </c>
      <c r="O169" s="57">
        <v>949507</v>
      </c>
      <c r="P169" s="53">
        <f t="shared" si="29"/>
        <v>95159591.539999992</v>
      </c>
      <c r="Q169" s="39" t="s">
        <v>32</v>
      </c>
      <c r="R169" s="9">
        <v>100.22</v>
      </c>
      <c r="S169" s="40">
        <f t="shared" si="33"/>
        <v>41975</v>
      </c>
      <c r="T169" s="22" t="s">
        <v>278</v>
      </c>
      <c r="U169" s="54">
        <f t="shared" si="34"/>
        <v>114191.50984799999</v>
      </c>
      <c r="V169" s="36">
        <v>155.75</v>
      </c>
      <c r="W169" s="53">
        <f t="shared" si="39"/>
        <v>17785327.658825997</v>
      </c>
      <c r="X169" s="70">
        <f t="shared" ref="X169:X174" si="40">W169</f>
        <v>17785327.658825997</v>
      </c>
      <c r="Y169" s="36"/>
      <c r="Z169" s="36"/>
      <c r="AA169" s="113"/>
    </row>
    <row r="170" spans="1:27" ht="21.75" customHeight="1">
      <c r="A170" s="35">
        <f t="shared" si="32"/>
        <v>165</v>
      </c>
      <c r="B170" s="36" t="s">
        <v>873</v>
      </c>
      <c r="C170" s="20" t="s">
        <v>1039</v>
      </c>
      <c r="D170" s="21">
        <v>42004</v>
      </c>
      <c r="E170" s="27" t="s">
        <v>925</v>
      </c>
      <c r="F170" s="22" t="s">
        <v>163</v>
      </c>
      <c r="G170" s="22" t="s">
        <v>34</v>
      </c>
      <c r="H170" s="22" t="s">
        <v>35</v>
      </c>
      <c r="I170" s="37">
        <v>801.22</v>
      </c>
      <c r="J170" s="19">
        <v>41892</v>
      </c>
      <c r="K170" s="51" t="s">
        <v>840</v>
      </c>
      <c r="L170" s="51" t="s">
        <v>36</v>
      </c>
      <c r="M170" s="22" t="s">
        <v>74</v>
      </c>
      <c r="N170" s="78" t="s">
        <v>106</v>
      </c>
      <c r="O170" s="57">
        <v>950071</v>
      </c>
      <c r="P170" s="53">
        <f t="shared" si="29"/>
        <v>93185123.191383004</v>
      </c>
      <c r="Q170" s="39" t="s">
        <v>32</v>
      </c>
      <c r="R170" s="84">
        <v>98.082273000000001</v>
      </c>
      <c r="S170" s="40">
        <f t="shared" si="33"/>
        <v>41981</v>
      </c>
      <c r="T170" s="22" t="s">
        <v>38</v>
      </c>
      <c r="U170" s="54">
        <f t="shared" si="34"/>
        <v>111822.14782965959</v>
      </c>
      <c r="V170" s="36">
        <v>155.75</v>
      </c>
      <c r="W170" s="53">
        <f t="shared" si="39"/>
        <v>17416299.52446948</v>
      </c>
      <c r="X170" s="70">
        <v>17588203.710000001</v>
      </c>
      <c r="Y170" s="40">
        <v>41992</v>
      </c>
      <c r="Z170" s="48">
        <v>10425</v>
      </c>
      <c r="AA170" s="113"/>
    </row>
    <row r="171" spans="1:27" ht="21.75" customHeight="1">
      <c r="A171" s="35">
        <f t="shared" si="32"/>
        <v>166</v>
      </c>
      <c r="B171" s="36" t="s">
        <v>854</v>
      </c>
      <c r="C171" s="21" t="s">
        <v>901</v>
      </c>
      <c r="D171" s="21">
        <v>41932</v>
      </c>
      <c r="E171" s="26" t="s">
        <v>890</v>
      </c>
      <c r="F171" s="22" t="s">
        <v>278</v>
      </c>
      <c r="G171" s="22" t="s">
        <v>44</v>
      </c>
      <c r="H171" s="22" t="s">
        <v>133</v>
      </c>
      <c r="I171" s="37">
        <v>801.22</v>
      </c>
      <c r="J171" s="19">
        <v>41897</v>
      </c>
      <c r="K171" s="51" t="s">
        <v>841</v>
      </c>
      <c r="L171" s="51" t="s">
        <v>49</v>
      </c>
      <c r="M171" s="22" t="s">
        <v>50</v>
      </c>
      <c r="N171" s="20" t="s">
        <v>76</v>
      </c>
      <c r="O171" s="57">
        <v>949448</v>
      </c>
      <c r="P171" s="53">
        <f t="shared" si="29"/>
        <v>91879981.856000006</v>
      </c>
      <c r="Q171" s="39" t="s">
        <v>32</v>
      </c>
      <c r="R171" s="9">
        <v>96.772000000000006</v>
      </c>
      <c r="S171" s="40">
        <f t="shared" si="33"/>
        <v>41986</v>
      </c>
      <c r="T171" s="22" t="s">
        <v>278</v>
      </c>
      <c r="U171" s="54">
        <f t="shared" si="34"/>
        <v>110255.9782272</v>
      </c>
      <c r="V171" s="36">
        <v>155.75</v>
      </c>
      <c r="W171" s="53">
        <f t="shared" si="39"/>
        <v>17172368.608886398</v>
      </c>
      <c r="X171" s="70">
        <f t="shared" si="40"/>
        <v>17172368.608886398</v>
      </c>
      <c r="Y171" s="36"/>
      <c r="Z171" s="36"/>
      <c r="AA171" s="113"/>
    </row>
    <row r="172" spans="1:27" ht="21.75" customHeight="1">
      <c r="A172" s="35">
        <f t="shared" si="32"/>
        <v>167</v>
      </c>
      <c r="B172" s="36" t="s">
        <v>876</v>
      </c>
      <c r="C172" s="21" t="s">
        <v>881</v>
      </c>
      <c r="D172" s="40">
        <v>41927</v>
      </c>
      <c r="E172" s="26" t="s">
        <v>879</v>
      </c>
      <c r="F172" s="22" t="s">
        <v>150</v>
      </c>
      <c r="G172" s="22" t="s">
        <v>279</v>
      </c>
      <c r="H172" s="22" t="s">
        <v>159</v>
      </c>
      <c r="I172" s="37">
        <v>801.22</v>
      </c>
      <c r="J172" s="19">
        <v>41898</v>
      </c>
      <c r="K172" s="51" t="s">
        <v>717</v>
      </c>
      <c r="L172" s="51" t="s">
        <v>160</v>
      </c>
      <c r="M172" s="22" t="s">
        <v>80</v>
      </c>
      <c r="N172" s="20" t="s">
        <v>166</v>
      </c>
      <c r="O172" s="57">
        <v>702451</v>
      </c>
      <c r="P172" s="53">
        <f t="shared" si="29"/>
        <v>63712305.700000003</v>
      </c>
      <c r="Q172" s="39" t="s">
        <v>32</v>
      </c>
      <c r="R172" s="9">
        <v>90.7</v>
      </c>
      <c r="S172" s="40">
        <f t="shared" si="33"/>
        <v>41987</v>
      </c>
      <c r="T172" s="20" t="s">
        <v>163</v>
      </c>
      <c r="U172" s="54">
        <f t="shared" si="34"/>
        <v>76454.766839999997</v>
      </c>
      <c r="V172" s="36">
        <v>155.75</v>
      </c>
      <c r="W172" s="53">
        <f t="shared" si="39"/>
        <v>11907829.93533</v>
      </c>
      <c r="X172" s="70">
        <v>11907830.43</v>
      </c>
      <c r="Y172" s="40">
        <v>41922</v>
      </c>
      <c r="Z172" s="48">
        <v>2996</v>
      </c>
      <c r="AA172" s="113"/>
    </row>
    <row r="173" spans="1:27" ht="21.75" customHeight="1">
      <c r="A173" s="35">
        <f t="shared" si="32"/>
        <v>168</v>
      </c>
      <c r="B173" s="36" t="s">
        <v>850</v>
      </c>
      <c r="C173" s="21" t="s">
        <v>902</v>
      </c>
      <c r="D173" s="21">
        <v>41932</v>
      </c>
      <c r="E173" s="26" t="s">
        <v>891</v>
      </c>
      <c r="F173" s="22" t="s">
        <v>278</v>
      </c>
      <c r="G173" s="22" t="s">
        <v>44</v>
      </c>
      <c r="H173" s="22" t="s">
        <v>29</v>
      </c>
      <c r="I173" s="37">
        <v>801.22</v>
      </c>
      <c r="J173" s="19">
        <v>41901</v>
      </c>
      <c r="K173" s="51" t="s">
        <v>71</v>
      </c>
      <c r="L173" s="51" t="s">
        <v>30</v>
      </c>
      <c r="M173" s="22" t="s">
        <v>844</v>
      </c>
      <c r="N173" s="20" t="s">
        <v>291</v>
      </c>
      <c r="O173" s="57">
        <v>548710</v>
      </c>
      <c r="P173" s="53">
        <f t="shared" si="29"/>
        <v>52040205.109999999</v>
      </c>
      <c r="Q173" s="39" t="s">
        <v>32</v>
      </c>
      <c r="R173" s="9">
        <v>94.840999999999994</v>
      </c>
      <c r="S173" s="40">
        <f t="shared" si="33"/>
        <v>41990</v>
      </c>
      <c r="T173" s="22" t="s">
        <v>278</v>
      </c>
      <c r="U173" s="54">
        <f t="shared" si="34"/>
        <v>62448.246131999993</v>
      </c>
      <c r="V173" s="36">
        <v>155.75</v>
      </c>
      <c r="W173" s="53">
        <f t="shared" si="39"/>
        <v>9726314.3350589983</v>
      </c>
      <c r="X173" s="70">
        <f t="shared" si="40"/>
        <v>9726314.3350589983</v>
      </c>
      <c r="Y173" s="36"/>
      <c r="Z173" s="36"/>
      <c r="AA173" s="113"/>
    </row>
    <row r="174" spans="1:27" ht="21.75" customHeight="1">
      <c r="A174" s="35">
        <f t="shared" si="32"/>
        <v>169</v>
      </c>
      <c r="B174" s="36" t="s">
        <v>851</v>
      </c>
      <c r="C174" s="21" t="s">
        <v>903</v>
      </c>
      <c r="D174" s="21">
        <v>41932</v>
      </c>
      <c r="E174" s="26" t="s">
        <v>892</v>
      </c>
      <c r="F174" s="22" t="s">
        <v>278</v>
      </c>
      <c r="G174" s="22" t="s">
        <v>44</v>
      </c>
      <c r="H174" s="22" t="s">
        <v>29</v>
      </c>
      <c r="I174" s="37">
        <v>801.22</v>
      </c>
      <c r="J174" s="19">
        <v>41901</v>
      </c>
      <c r="K174" s="51" t="s">
        <v>71</v>
      </c>
      <c r="L174" s="51" t="s">
        <v>30</v>
      </c>
      <c r="M174" s="22" t="s">
        <v>844</v>
      </c>
      <c r="N174" s="20" t="s">
        <v>291</v>
      </c>
      <c r="O174" s="57">
        <v>400000</v>
      </c>
      <c r="P174" s="53">
        <f t="shared" si="29"/>
        <v>37936400</v>
      </c>
      <c r="Q174" s="39" t="s">
        <v>32</v>
      </c>
      <c r="R174" s="9">
        <v>94.840999999999994</v>
      </c>
      <c r="S174" s="40">
        <f t="shared" si="33"/>
        <v>41990</v>
      </c>
      <c r="T174" s="22" t="s">
        <v>278</v>
      </c>
      <c r="U174" s="54">
        <f t="shared" si="34"/>
        <v>45523.679999999993</v>
      </c>
      <c r="V174" s="36">
        <v>155.75</v>
      </c>
      <c r="W174" s="53">
        <f t="shared" si="39"/>
        <v>7090313.1599999992</v>
      </c>
      <c r="X174" s="70">
        <f t="shared" si="40"/>
        <v>7090313.1599999992</v>
      </c>
      <c r="Y174" s="36"/>
      <c r="Z174" s="36"/>
      <c r="AA174" s="113"/>
    </row>
    <row r="175" spans="1:27" ht="21.75" customHeight="1">
      <c r="A175" s="35">
        <f t="shared" si="32"/>
        <v>170</v>
      </c>
      <c r="B175" s="36" t="s">
        <v>855</v>
      </c>
      <c r="C175" s="21" t="s">
        <v>829</v>
      </c>
      <c r="D175" s="19">
        <v>41912</v>
      </c>
      <c r="E175" s="26" t="s">
        <v>833</v>
      </c>
      <c r="F175" s="22" t="s">
        <v>278</v>
      </c>
      <c r="G175" s="22" t="s">
        <v>44</v>
      </c>
      <c r="H175" s="22" t="s">
        <v>133</v>
      </c>
      <c r="I175" s="37">
        <v>801.22</v>
      </c>
      <c r="J175" s="19">
        <v>41901</v>
      </c>
      <c r="K175" s="51" t="s">
        <v>111</v>
      </c>
      <c r="L175" s="74" t="s">
        <v>49</v>
      </c>
      <c r="M175" s="22" t="s">
        <v>50</v>
      </c>
      <c r="N175" s="20" t="s">
        <v>76</v>
      </c>
      <c r="O175" s="57">
        <v>40000</v>
      </c>
      <c r="P175" s="53">
        <f t="shared" si="29"/>
        <v>3861640</v>
      </c>
      <c r="Q175" s="39" t="s">
        <v>32</v>
      </c>
      <c r="R175" s="49">
        <v>96.540999999999997</v>
      </c>
      <c r="S175" s="40">
        <f t="shared" si="33"/>
        <v>41990</v>
      </c>
      <c r="T175" s="22" t="s">
        <v>278</v>
      </c>
      <c r="U175" s="54">
        <f t="shared" si="34"/>
        <v>4633.9679999999998</v>
      </c>
      <c r="V175" s="36">
        <v>155.75</v>
      </c>
      <c r="W175" s="53">
        <f t="shared" si="39"/>
        <v>721740.51599999995</v>
      </c>
      <c r="X175" s="70">
        <f t="shared" ref="X175:X178" si="41">W175</f>
        <v>721740.51599999995</v>
      </c>
      <c r="Y175" s="36"/>
      <c r="Z175" s="36"/>
      <c r="AA175" s="113"/>
    </row>
    <row r="176" spans="1:27" ht="21.75" customHeight="1">
      <c r="A176" s="35">
        <f t="shared" si="32"/>
        <v>171</v>
      </c>
      <c r="B176" s="36" t="s">
        <v>856</v>
      </c>
      <c r="C176" s="21" t="s">
        <v>830</v>
      </c>
      <c r="D176" s="19">
        <v>41912</v>
      </c>
      <c r="E176" s="26" t="s">
        <v>834</v>
      </c>
      <c r="F176" s="22" t="s">
        <v>278</v>
      </c>
      <c r="G176" s="22" t="s">
        <v>44</v>
      </c>
      <c r="H176" s="22" t="s">
        <v>133</v>
      </c>
      <c r="I176" s="37">
        <v>801.22</v>
      </c>
      <c r="J176" s="19">
        <v>41901</v>
      </c>
      <c r="K176" s="51" t="s">
        <v>111</v>
      </c>
      <c r="L176" s="74" t="s">
        <v>49</v>
      </c>
      <c r="M176" s="22" t="s">
        <v>50</v>
      </c>
      <c r="N176" s="20" t="s">
        <v>76</v>
      </c>
      <c r="O176" s="57">
        <v>63000</v>
      </c>
      <c r="P176" s="53">
        <f t="shared" si="29"/>
        <v>6082083</v>
      </c>
      <c r="Q176" s="39" t="s">
        <v>32</v>
      </c>
      <c r="R176" s="49">
        <v>96.540999999999997</v>
      </c>
      <c r="S176" s="40">
        <f t="shared" si="33"/>
        <v>41990</v>
      </c>
      <c r="T176" s="22" t="s">
        <v>278</v>
      </c>
      <c r="U176" s="54">
        <f t="shared" si="34"/>
        <v>7298.4995999999992</v>
      </c>
      <c r="V176" s="36">
        <v>155.75</v>
      </c>
      <c r="W176" s="53">
        <f t="shared" si="39"/>
        <v>1136741.3126999999</v>
      </c>
      <c r="X176" s="70">
        <f t="shared" si="41"/>
        <v>1136741.3126999999</v>
      </c>
      <c r="Y176" s="36"/>
      <c r="Z176" s="36"/>
      <c r="AA176" s="113"/>
    </row>
    <row r="177" spans="1:27" ht="21.75" customHeight="1">
      <c r="A177" s="35">
        <f t="shared" si="32"/>
        <v>172</v>
      </c>
      <c r="B177" s="36" t="s">
        <v>857</v>
      </c>
      <c r="C177" s="21" t="s">
        <v>831</v>
      </c>
      <c r="D177" s="19">
        <v>41912</v>
      </c>
      <c r="E177" s="26" t="s">
        <v>835</v>
      </c>
      <c r="F177" s="22" t="s">
        <v>278</v>
      </c>
      <c r="G177" s="22" t="s">
        <v>44</v>
      </c>
      <c r="H177" s="22" t="s">
        <v>133</v>
      </c>
      <c r="I177" s="37">
        <v>801.22</v>
      </c>
      <c r="J177" s="19">
        <v>41901</v>
      </c>
      <c r="K177" s="51" t="s">
        <v>111</v>
      </c>
      <c r="L177" s="74" t="s">
        <v>49</v>
      </c>
      <c r="M177" s="22" t="s">
        <v>50</v>
      </c>
      <c r="N177" s="20" t="s">
        <v>76</v>
      </c>
      <c r="O177" s="57">
        <v>145110</v>
      </c>
      <c r="P177" s="53">
        <f t="shared" ref="P177:P240" si="42">SUM(O177*R177)</f>
        <v>14009064.51</v>
      </c>
      <c r="Q177" s="39" t="s">
        <v>32</v>
      </c>
      <c r="R177" s="49">
        <v>96.540999999999997</v>
      </c>
      <c r="S177" s="40">
        <f t="shared" si="33"/>
        <v>41990</v>
      </c>
      <c r="T177" s="22" t="s">
        <v>278</v>
      </c>
      <c r="U177" s="54">
        <f t="shared" si="34"/>
        <v>16810.877411999998</v>
      </c>
      <c r="V177" s="36">
        <v>155.75</v>
      </c>
      <c r="W177" s="53">
        <f t="shared" si="39"/>
        <v>2618294.1569189997</v>
      </c>
      <c r="X177" s="70">
        <f t="shared" si="41"/>
        <v>2618294.1569189997</v>
      </c>
      <c r="Y177" s="36"/>
      <c r="Z177" s="36"/>
      <c r="AA177" s="113"/>
    </row>
    <row r="178" spans="1:27" ht="21.75" customHeight="1">
      <c r="A178" s="35">
        <f t="shared" si="32"/>
        <v>173</v>
      </c>
      <c r="B178" s="36" t="s">
        <v>877</v>
      </c>
      <c r="C178" s="21" t="s">
        <v>904</v>
      </c>
      <c r="D178" s="21">
        <v>41932</v>
      </c>
      <c r="E178" s="26" t="s">
        <v>893</v>
      </c>
      <c r="F178" s="22" t="s">
        <v>278</v>
      </c>
      <c r="G178" s="22" t="s">
        <v>44</v>
      </c>
      <c r="H178" s="22" t="s">
        <v>45</v>
      </c>
      <c r="I178" s="37">
        <v>801.22</v>
      </c>
      <c r="J178" s="19">
        <v>41902</v>
      </c>
      <c r="K178" s="51" t="s">
        <v>364</v>
      </c>
      <c r="L178" s="51" t="s">
        <v>46</v>
      </c>
      <c r="M178" s="22" t="s">
        <v>74</v>
      </c>
      <c r="N178" s="20" t="s">
        <v>149</v>
      </c>
      <c r="O178" s="57">
        <v>899925</v>
      </c>
      <c r="P178" s="53">
        <f t="shared" si="42"/>
        <v>87182934.150000006</v>
      </c>
      <c r="Q178" s="39" t="s">
        <v>32</v>
      </c>
      <c r="R178" s="49">
        <v>96.878</v>
      </c>
      <c r="S178" s="40">
        <f t="shared" si="33"/>
        <v>41991</v>
      </c>
      <c r="T178" s="22" t="s">
        <v>278</v>
      </c>
      <c r="U178" s="54">
        <f t="shared" si="34"/>
        <v>104619.52098</v>
      </c>
      <c r="V178" s="36">
        <v>155.75</v>
      </c>
      <c r="W178" s="53">
        <f t="shared" si="39"/>
        <v>16294490.392635001</v>
      </c>
      <c r="X178" s="70">
        <f t="shared" si="41"/>
        <v>16294490.392635001</v>
      </c>
      <c r="Y178" s="36"/>
      <c r="Z178" s="36"/>
      <c r="AA178" s="113"/>
    </row>
    <row r="179" spans="1:27" ht="24.75">
      <c r="A179" s="35">
        <f t="shared" si="32"/>
        <v>174</v>
      </c>
      <c r="B179" s="36" t="s">
        <v>858</v>
      </c>
      <c r="C179" s="44" t="s">
        <v>72</v>
      </c>
      <c r="D179" s="21"/>
      <c r="E179" s="18">
        <v>201400020016</v>
      </c>
      <c r="F179" s="22" t="s">
        <v>120</v>
      </c>
      <c r="G179" s="22" t="s">
        <v>28</v>
      </c>
      <c r="H179" s="22" t="s">
        <v>133</v>
      </c>
      <c r="I179" s="37">
        <v>801.22</v>
      </c>
      <c r="J179" s="19">
        <v>41904</v>
      </c>
      <c r="K179" s="51" t="s">
        <v>165</v>
      </c>
      <c r="L179" s="51" t="s">
        <v>49</v>
      </c>
      <c r="M179" s="22" t="s">
        <v>50</v>
      </c>
      <c r="N179" s="20" t="s">
        <v>846</v>
      </c>
      <c r="O179" s="57">
        <v>110000</v>
      </c>
      <c r="P179" s="53">
        <f t="shared" si="42"/>
        <v>10464630</v>
      </c>
      <c r="Q179" s="39" t="s">
        <v>32</v>
      </c>
      <c r="R179" s="9">
        <v>95.132999999999996</v>
      </c>
      <c r="S179" s="40">
        <f t="shared" si="33"/>
        <v>41993</v>
      </c>
      <c r="T179" s="20" t="s">
        <v>27</v>
      </c>
      <c r="U179" s="54">
        <f t="shared" si="34"/>
        <v>12557.555999999999</v>
      </c>
      <c r="V179" s="36">
        <v>155.75</v>
      </c>
      <c r="W179" s="53">
        <f t="shared" si="39"/>
        <v>1955839.3469999998</v>
      </c>
      <c r="X179" s="83">
        <v>0</v>
      </c>
      <c r="Y179" s="36"/>
      <c r="Z179" s="36"/>
      <c r="AA179" s="113"/>
    </row>
    <row r="180" spans="1:27" ht="24.75">
      <c r="A180" s="35">
        <f t="shared" si="32"/>
        <v>175</v>
      </c>
      <c r="B180" s="36" t="s">
        <v>859</v>
      </c>
      <c r="C180" s="22" t="s">
        <v>921</v>
      </c>
      <c r="D180" s="40">
        <v>41940</v>
      </c>
      <c r="E180" s="18">
        <v>201400010332</v>
      </c>
      <c r="F180" s="22" t="s">
        <v>163</v>
      </c>
      <c r="G180" s="22" t="s">
        <v>65</v>
      </c>
      <c r="H180" s="22" t="s">
        <v>133</v>
      </c>
      <c r="I180" s="37">
        <v>801.22</v>
      </c>
      <c r="J180" s="19">
        <v>41904</v>
      </c>
      <c r="K180" s="51" t="s">
        <v>165</v>
      </c>
      <c r="L180" s="51" t="s">
        <v>49</v>
      </c>
      <c r="M180" s="22" t="s">
        <v>50</v>
      </c>
      <c r="N180" s="20" t="s">
        <v>846</v>
      </c>
      <c r="O180" s="57">
        <v>555586</v>
      </c>
      <c r="P180" s="53">
        <f t="shared" si="42"/>
        <v>52854562.938000001</v>
      </c>
      <c r="Q180" s="39" t="s">
        <v>32</v>
      </c>
      <c r="R180" s="9">
        <v>95.132999999999996</v>
      </c>
      <c r="S180" s="40">
        <f t="shared" si="33"/>
        <v>41993</v>
      </c>
      <c r="T180" s="20" t="s">
        <v>163</v>
      </c>
      <c r="U180" s="54">
        <f t="shared" si="34"/>
        <v>63425.475525599999</v>
      </c>
      <c r="V180" s="36">
        <v>155.75</v>
      </c>
      <c r="W180" s="53">
        <f t="shared" si="39"/>
        <v>9878517.8131121993</v>
      </c>
      <c r="X180" s="70">
        <v>9847439.3300000001</v>
      </c>
      <c r="Y180" s="40">
        <v>41939</v>
      </c>
      <c r="Z180" s="48">
        <v>3551</v>
      </c>
      <c r="AA180" s="113"/>
    </row>
    <row r="181" spans="1:27" ht="24.75">
      <c r="A181" s="35">
        <f t="shared" si="32"/>
        <v>176</v>
      </c>
      <c r="B181" s="36" t="s">
        <v>860</v>
      </c>
      <c r="C181" s="20" t="s">
        <v>1040</v>
      </c>
      <c r="D181" s="40">
        <v>42004</v>
      </c>
      <c r="E181" s="18">
        <v>201400010402</v>
      </c>
      <c r="F181" s="22" t="s">
        <v>120</v>
      </c>
      <c r="G181" s="22" t="s">
        <v>53</v>
      </c>
      <c r="H181" s="22" t="s">
        <v>133</v>
      </c>
      <c r="I181" s="37">
        <v>801.22</v>
      </c>
      <c r="J181" s="19">
        <v>41904</v>
      </c>
      <c r="K181" s="51" t="s">
        <v>165</v>
      </c>
      <c r="L181" s="51" t="s">
        <v>49</v>
      </c>
      <c r="M181" s="22" t="s">
        <v>50</v>
      </c>
      <c r="N181" s="20" t="s">
        <v>846</v>
      </c>
      <c r="O181" s="57">
        <v>133872</v>
      </c>
      <c r="P181" s="53">
        <f t="shared" si="42"/>
        <v>13117943.246399999</v>
      </c>
      <c r="Q181" s="39" t="s">
        <v>32</v>
      </c>
      <c r="R181" s="9">
        <v>97.988699999999994</v>
      </c>
      <c r="S181" s="40">
        <f t="shared" si="33"/>
        <v>41993</v>
      </c>
      <c r="T181" s="22" t="s">
        <v>38</v>
      </c>
      <c r="U181" s="54">
        <f t="shared" si="34"/>
        <v>15741.531895679997</v>
      </c>
      <c r="V181" s="36">
        <v>155.75</v>
      </c>
      <c r="W181" s="53">
        <f t="shared" si="39"/>
        <v>2451743.5927521596</v>
      </c>
      <c r="X181" s="70">
        <v>2436001.77</v>
      </c>
      <c r="Y181" s="40">
        <v>41997</v>
      </c>
      <c r="Z181" s="48">
        <v>10434</v>
      </c>
      <c r="AA181" s="113"/>
    </row>
    <row r="182" spans="1:27" ht="24.75">
      <c r="A182" s="35">
        <f t="shared" si="32"/>
        <v>177</v>
      </c>
      <c r="B182" s="36" t="s">
        <v>861</v>
      </c>
      <c r="C182" s="22" t="s">
        <v>915</v>
      </c>
      <c r="D182" s="21">
        <v>41940</v>
      </c>
      <c r="E182" s="18">
        <v>201401010087</v>
      </c>
      <c r="F182" s="22" t="s">
        <v>39</v>
      </c>
      <c r="G182" s="22" t="s">
        <v>97</v>
      </c>
      <c r="H182" s="22" t="s">
        <v>133</v>
      </c>
      <c r="I182" s="37">
        <v>801.22</v>
      </c>
      <c r="J182" s="19">
        <v>41904</v>
      </c>
      <c r="K182" s="51" t="s">
        <v>165</v>
      </c>
      <c r="L182" s="51" t="s">
        <v>49</v>
      </c>
      <c r="M182" s="22" t="s">
        <v>50</v>
      </c>
      <c r="N182" s="20" t="s">
        <v>846</v>
      </c>
      <c r="O182" s="57">
        <v>20000</v>
      </c>
      <c r="P182" s="53">
        <f t="shared" si="42"/>
        <v>1927980</v>
      </c>
      <c r="Q182" s="39" t="s">
        <v>32</v>
      </c>
      <c r="R182" s="9">
        <v>96.399000000000001</v>
      </c>
      <c r="S182" s="40">
        <f t="shared" si="33"/>
        <v>41993</v>
      </c>
      <c r="T182" s="22" t="s">
        <v>39</v>
      </c>
      <c r="U182" s="54">
        <f t="shared" si="34"/>
        <v>2313.576</v>
      </c>
      <c r="V182" s="36">
        <v>155.75</v>
      </c>
      <c r="W182" s="53">
        <f t="shared" si="39"/>
        <v>360339.462</v>
      </c>
      <c r="X182" s="70">
        <v>360339.46</v>
      </c>
      <c r="Y182" s="40">
        <v>41936</v>
      </c>
      <c r="Z182" s="48">
        <v>4431</v>
      </c>
      <c r="AA182" s="113"/>
    </row>
    <row r="183" spans="1:27" ht="24.75">
      <c r="A183" s="35">
        <f t="shared" si="32"/>
        <v>178</v>
      </c>
      <c r="B183" s="36" t="s">
        <v>862</v>
      </c>
      <c r="C183" s="22" t="s">
        <v>916</v>
      </c>
      <c r="D183" s="21">
        <v>41940</v>
      </c>
      <c r="E183" s="18">
        <v>201401010088</v>
      </c>
      <c r="F183" s="22" t="s">
        <v>39</v>
      </c>
      <c r="G183" s="22" t="s">
        <v>97</v>
      </c>
      <c r="H183" s="22" t="s">
        <v>133</v>
      </c>
      <c r="I183" s="37">
        <v>801.22</v>
      </c>
      <c r="J183" s="19">
        <v>41904</v>
      </c>
      <c r="K183" s="51" t="s">
        <v>165</v>
      </c>
      <c r="L183" s="51" t="s">
        <v>49</v>
      </c>
      <c r="M183" s="22" t="s">
        <v>50</v>
      </c>
      <c r="N183" s="20" t="s">
        <v>846</v>
      </c>
      <c r="O183" s="57">
        <v>18000</v>
      </c>
      <c r="P183" s="53">
        <f t="shared" si="42"/>
        <v>1735182</v>
      </c>
      <c r="Q183" s="39" t="s">
        <v>32</v>
      </c>
      <c r="R183" s="9">
        <v>96.399000000000001</v>
      </c>
      <c r="S183" s="40">
        <f t="shared" si="33"/>
        <v>41993</v>
      </c>
      <c r="T183" s="22" t="s">
        <v>39</v>
      </c>
      <c r="U183" s="54">
        <f t="shared" si="34"/>
        <v>2082.2183999999997</v>
      </c>
      <c r="V183" s="36">
        <v>155.75</v>
      </c>
      <c r="W183" s="53">
        <f t="shared" si="39"/>
        <v>324305.51579999994</v>
      </c>
      <c r="X183" s="70">
        <v>324305.52</v>
      </c>
      <c r="Y183" s="40">
        <v>41936</v>
      </c>
      <c r="Z183" s="48">
        <v>4433</v>
      </c>
      <c r="AA183" s="113"/>
    </row>
    <row r="184" spans="1:27" ht="24.75">
      <c r="A184" s="35">
        <f t="shared" si="32"/>
        <v>179</v>
      </c>
      <c r="B184" s="36" t="s">
        <v>863</v>
      </c>
      <c r="C184" s="22" t="s">
        <v>917</v>
      </c>
      <c r="D184" s="21">
        <v>41940</v>
      </c>
      <c r="E184" s="26" t="s">
        <v>836</v>
      </c>
      <c r="F184" s="22" t="s">
        <v>187</v>
      </c>
      <c r="G184" s="22" t="s">
        <v>97</v>
      </c>
      <c r="H184" s="22" t="s">
        <v>133</v>
      </c>
      <c r="I184" s="37">
        <v>801.22</v>
      </c>
      <c r="J184" s="19">
        <v>41904</v>
      </c>
      <c r="K184" s="51" t="s">
        <v>165</v>
      </c>
      <c r="L184" s="51" t="s">
        <v>49</v>
      </c>
      <c r="M184" s="22" t="s">
        <v>50</v>
      </c>
      <c r="N184" s="20" t="s">
        <v>846</v>
      </c>
      <c r="O184" s="57">
        <v>24000</v>
      </c>
      <c r="P184" s="53">
        <f t="shared" si="42"/>
        <v>2313576</v>
      </c>
      <c r="Q184" s="39" t="s">
        <v>32</v>
      </c>
      <c r="R184" s="9">
        <v>96.399000000000001</v>
      </c>
      <c r="S184" s="40">
        <f t="shared" si="33"/>
        <v>41993</v>
      </c>
      <c r="T184" s="22" t="s">
        <v>39</v>
      </c>
      <c r="U184" s="54">
        <f t="shared" si="34"/>
        <v>2776.2911999999997</v>
      </c>
      <c r="V184" s="36">
        <v>155.75</v>
      </c>
      <c r="W184" s="53">
        <f t="shared" si="39"/>
        <v>432407.35439999995</v>
      </c>
      <c r="X184" s="70">
        <v>432407.35</v>
      </c>
      <c r="Y184" s="40">
        <v>41936</v>
      </c>
      <c r="Z184" s="48">
        <v>4432</v>
      </c>
      <c r="AA184" s="113"/>
    </row>
    <row r="185" spans="1:27" ht="24.75">
      <c r="A185" s="35">
        <f t="shared" si="32"/>
        <v>180</v>
      </c>
      <c r="B185" s="36" t="s">
        <v>864</v>
      </c>
      <c r="C185" s="60" t="s">
        <v>992</v>
      </c>
      <c r="D185" s="21">
        <v>41971</v>
      </c>
      <c r="E185" s="27" t="s">
        <v>991</v>
      </c>
      <c r="F185" s="22" t="s">
        <v>130</v>
      </c>
      <c r="G185" s="22" t="s">
        <v>792</v>
      </c>
      <c r="H185" s="22" t="s">
        <v>133</v>
      </c>
      <c r="I185" s="37">
        <v>801.22</v>
      </c>
      <c r="J185" s="19">
        <v>41904</v>
      </c>
      <c r="K185" s="51" t="s">
        <v>165</v>
      </c>
      <c r="L185" s="51" t="s">
        <v>49</v>
      </c>
      <c r="M185" s="22" t="s">
        <v>50</v>
      </c>
      <c r="N185" s="20" t="s">
        <v>846</v>
      </c>
      <c r="O185" s="57">
        <v>88000</v>
      </c>
      <c r="P185" s="53">
        <f t="shared" si="42"/>
        <v>8500712</v>
      </c>
      <c r="Q185" s="39" t="s">
        <v>32</v>
      </c>
      <c r="R185" s="9">
        <v>96.599000000000004</v>
      </c>
      <c r="S185" s="40">
        <f t="shared" si="33"/>
        <v>41993</v>
      </c>
      <c r="T185" s="20" t="s">
        <v>144</v>
      </c>
      <c r="U185" s="54">
        <f t="shared" si="34"/>
        <v>10200.854399999998</v>
      </c>
      <c r="V185" s="36">
        <v>155.75</v>
      </c>
      <c r="W185" s="53">
        <f t="shared" si="39"/>
        <v>1588783.0727999997</v>
      </c>
      <c r="X185" s="70">
        <v>1588783.07</v>
      </c>
      <c r="Y185" s="40">
        <v>41971</v>
      </c>
      <c r="Z185" s="48">
        <v>28976</v>
      </c>
      <c r="AA185" s="113"/>
    </row>
    <row r="186" spans="1:27" ht="21.75" customHeight="1">
      <c r="A186" s="35">
        <f t="shared" si="32"/>
        <v>181</v>
      </c>
      <c r="B186" s="36" t="s">
        <v>874</v>
      </c>
      <c r="C186" s="21" t="s">
        <v>905</v>
      </c>
      <c r="D186" s="21">
        <v>41932</v>
      </c>
      <c r="E186" s="26" t="s">
        <v>894</v>
      </c>
      <c r="F186" s="22" t="s">
        <v>278</v>
      </c>
      <c r="G186" s="22" t="s">
        <v>44</v>
      </c>
      <c r="H186" s="22" t="s">
        <v>35</v>
      </c>
      <c r="I186" s="37">
        <v>801.22</v>
      </c>
      <c r="J186" s="19">
        <v>41910</v>
      </c>
      <c r="K186" s="51" t="s">
        <v>172</v>
      </c>
      <c r="L186" s="51" t="s">
        <v>36</v>
      </c>
      <c r="M186" s="22" t="s">
        <v>50</v>
      </c>
      <c r="N186" s="20" t="s">
        <v>83</v>
      </c>
      <c r="O186" s="57">
        <v>474935</v>
      </c>
      <c r="P186" s="53">
        <f t="shared" si="42"/>
        <v>45676873.625</v>
      </c>
      <c r="Q186" s="39" t="s">
        <v>32</v>
      </c>
      <c r="R186" s="49">
        <v>96.174999999999997</v>
      </c>
      <c r="S186" s="40">
        <f t="shared" si="33"/>
        <v>41999</v>
      </c>
      <c r="T186" s="20" t="s">
        <v>278</v>
      </c>
      <c r="U186" s="54">
        <f t="shared" si="34"/>
        <v>54812.248349999994</v>
      </c>
      <c r="V186" s="36">
        <v>155.75</v>
      </c>
      <c r="W186" s="53">
        <f t="shared" si="39"/>
        <v>8537007.6805124991</v>
      </c>
      <c r="X186" s="70">
        <f t="shared" ref="X186:X187" si="43">W186</f>
        <v>8537007.6805124991</v>
      </c>
      <c r="Y186" s="36"/>
      <c r="Z186" s="36"/>
      <c r="AA186" s="112" t="s">
        <v>518</v>
      </c>
    </row>
    <row r="187" spans="1:27" ht="21.75" customHeight="1">
      <c r="A187" s="35">
        <f t="shared" si="32"/>
        <v>182</v>
      </c>
      <c r="B187" s="36" t="s">
        <v>875</v>
      </c>
      <c r="C187" s="21" t="s">
        <v>905</v>
      </c>
      <c r="D187" s="21">
        <v>41932</v>
      </c>
      <c r="E187" s="26" t="s">
        <v>894</v>
      </c>
      <c r="F187" s="22" t="s">
        <v>278</v>
      </c>
      <c r="G187" s="22" t="s">
        <v>44</v>
      </c>
      <c r="H187" s="22" t="s">
        <v>35</v>
      </c>
      <c r="I187" s="37">
        <v>801.22</v>
      </c>
      <c r="J187" s="19">
        <v>41910</v>
      </c>
      <c r="K187" s="51" t="s">
        <v>172</v>
      </c>
      <c r="L187" s="51" t="s">
        <v>36</v>
      </c>
      <c r="M187" s="22" t="s">
        <v>50</v>
      </c>
      <c r="N187" s="20" t="s">
        <v>83</v>
      </c>
      <c r="O187" s="57">
        <v>475000</v>
      </c>
      <c r="P187" s="53">
        <f t="shared" si="42"/>
        <v>45683125</v>
      </c>
      <c r="Q187" s="39" t="s">
        <v>32</v>
      </c>
      <c r="R187" s="49">
        <v>96.174999999999997</v>
      </c>
      <c r="S187" s="40">
        <f t="shared" si="33"/>
        <v>41999</v>
      </c>
      <c r="T187" s="20" t="s">
        <v>278</v>
      </c>
      <c r="U187" s="54">
        <f t="shared" si="34"/>
        <v>54819.749999999993</v>
      </c>
      <c r="V187" s="36">
        <v>155.75</v>
      </c>
      <c r="W187" s="53">
        <f t="shared" si="39"/>
        <v>8538176.0624999981</v>
      </c>
      <c r="X187" s="70">
        <f t="shared" si="43"/>
        <v>8538176.0624999981</v>
      </c>
      <c r="Y187" s="36"/>
      <c r="Z187" s="36"/>
      <c r="AA187" s="112"/>
    </row>
    <row r="188" spans="1:27" ht="21.75" customHeight="1">
      <c r="A188" s="35">
        <f t="shared" si="32"/>
        <v>183</v>
      </c>
      <c r="B188" s="36" t="s">
        <v>852</v>
      </c>
      <c r="C188" s="44" t="s">
        <v>72</v>
      </c>
      <c r="D188" s="21"/>
      <c r="E188" s="26" t="s">
        <v>837</v>
      </c>
      <c r="F188" s="22" t="s">
        <v>39</v>
      </c>
      <c r="G188" s="22" t="s">
        <v>40</v>
      </c>
      <c r="H188" s="22" t="s">
        <v>29</v>
      </c>
      <c r="I188" s="37">
        <v>801.22</v>
      </c>
      <c r="J188" s="19">
        <v>41910</v>
      </c>
      <c r="K188" s="51" t="s">
        <v>842</v>
      </c>
      <c r="L188" s="51" t="s">
        <v>30</v>
      </c>
      <c r="M188" s="22" t="s">
        <v>54</v>
      </c>
      <c r="N188" s="20" t="s">
        <v>847</v>
      </c>
      <c r="O188" s="57">
        <v>398587</v>
      </c>
      <c r="P188" s="53">
        <f t="shared" si="42"/>
        <v>37309736.134999998</v>
      </c>
      <c r="Q188" s="39" t="s">
        <v>32</v>
      </c>
      <c r="R188" s="49">
        <v>93.605000000000004</v>
      </c>
      <c r="S188" s="40">
        <f t="shared" si="33"/>
        <v>41999</v>
      </c>
      <c r="T188" s="20" t="s">
        <v>39</v>
      </c>
      <c r="U188" s="54">
        <f t="shared" si="34"/>
        <v>44771.683361999996</v>
      </c>
      <c r="V188" s="36">
        <v>155.75</v>
      </c>
      <c r="W188" s="53">
        <f t="shared" si="39"/>
        <v>6973189.6836314993</v>
      </c>
      <c r="X188" s="83">
        <v>0</v>
      </c>
      <c r="Y188" s="36"/>
      <c r="Z188" s="36"/>
      <c r="AA188" s="113"/>
    </row>
    <row r="189" spans="1:27" ht="24.75">
      <c r="A189" s="35">
        <f t="shared" si="32"/>
        <v>184</v>
      </c>
      <c r="B189" s="36" t="s">
        <v>865</v>
      </c>
      <c r="C189" s="21" t="s">
        <v>906</v>
      </c>
      <c r="D189" s="21">
        <v>41932</v>
      </c>
      <c r="E189" s="26" t="s">
        <v>895</v>
      </c>
      <c r="F189" s="22" t="s">
        <v>278</v>
      </c>
      <c r="G189" s="22" t="s">
        <v>44</v>
      </c>
      <c r="H189" s="22" t="s">
        <v>133</v>
      </c>
      <c r="I189" s="37">
        <v>801.22</v>
      </c>
      <c r="J189" s="19">
        <v>41911</v>
      </c>
      <c r="K189" s="51" t="s">
        <v>843</v>
      </c>
      <c r="L189" s="51" t="s">
        <v>49</v>
      </c>
      <c r="M189" s="22" t="s">
        <v>69</v>
      </c>
      <c r="N189" s="20" t="s">
        <v>848</v>
      </c>
      <c r="O189" s="57">
        <v>200000</v>
      </c>
      <c r="P189" s="53">
        <f t="shared" si="42"/>
        <v>19035200</v>
      </c>
      <c r="Q189" s="39" t="s">
        <v>32</v>
      </c>
      <c r="R189" s="49">
        <v>95.176000000000002</v>
      </c>
      <c r="S189" s="40">
        <f t="shared" si="33"/>
        <v>42000</v>
      </c>
      <c r="T189" s="22" t="s">
        <v>278</v>
      </c>
      <c r="U189" s="54">
        <f t="shared" si="34"/>
        <v>22842.239999999998</v>
      </c>
      <c r="V189" s="36">
        <v>155.75</v>
      </c>
      <c r="W189" s="53">
        <f t="shared" si="39"/>
        <v>3557678.88</v>
      </c>
      <c r="X189" s="70">
        <f t="shared" ref="X189:X197" si="44">W189</f>
        <v>3557678.88</v>
      </c>
      <c r="Y189" s="36"/>
      <c r="Z189" s="36"/>
      <c r="AA189" s="112" t="s">
        <v>982</v>
      </c>
    </row>
    <row r="190" spans="1:27" ht="24.75">
      <c r="A190" s="35">
        <f t="shared" si="32"/>
        <v>185</v>
      </c>
      <c r="B190" s="36" t="s">
        <v>866</v>
      </c>
      <c r="C190" s="21" t="s">
        <v>906</v>
      </c>
      <c r="D190" s="21">
        <v>41932</v>
      </c>
      <c r="E190" s="26" t="s">
        <v>895</v>
      </c>
      <c r="F190" s="22" t="s">
        <v>278</v>
      </c>
      <c r="G190" s="22" t="s">
        <v>44</v>
      </c>
      <c r="H190" s="22" t="s">
        <v>133</v>
      </c>
      <c r="I190" s="37">
        <v>801.22</v>
      </c>
      <c r="J190" s="19">
        <v>41911</v>
      </c>
      <c r="K190" s="51" t="s">
        <v>843</v>
      </c>
      <c r="L190" s="51" t="s">
        <v>49</v>
      </c>
      <c r="M190" s="22" t="s">
        <v>69</v>
      </c>
      <c r="N190" s="20" t="s">
        <v>848</v>
      </c>
      <c r="O190" s="57">
        <v>200000</v>
      </c>
      <c r="P190" s="53">
        <f t="shared" si="42"/>
        <v>19035200</v>
      </c>
      <c r="Q190" s="39" t="s">
        <v>32</v>
      </c>
      <c r="R190" s="49">
        <v>95.176000000000002</v>
      </c>
      <c r="S190" s="40">
        <f t="shared" si="33"/>
        <v>42000</v>
      </c>
      <c r="T190" s="22" t="s">
        <v>278</v>
      </c>
      <c r="U190" s="54">
        <f t="shared" si="34"/>
        <v>22842.239999999998</v>
      </c>
      <c r="V190" s="36">
        <v>155.75</v>
      </c>
      <c r="W190" s="53">
        <f t="shared" si="39"/>
        <v>3557678.88</v>
      </c>
      <c r="X190" s="70">
        <f t="shared" si="44"/>
        <v>3557678.88</v>
      </c>
      <c r="Y190" s="36"/>
      <c r="Z190" s="36"/>
      <c r="AA190" s="112"/>
    </row>
    <row r="191" spans="1:27" ht="24.75">
      <c r="A191" s="35">
        <f t="shared" si="32"/>
        <v>186</v>
      </c>
      <c r="B191" s="36" t="s">
        <v>867</v>
      </c>
      <c r="C191" s="21" t="s">
        <v>906</v>
      </c>
      <c r="D191" s="21">
        <v>41932</v>
      </c>
      <c r="E191" s="26" t="s">
        <v>895</v>
      </c>
      <c r="F191" s="22" t="s">
        <v>278</v>
      </c>
      <c r="G191" s="22" t="s">
        <v>44</v>
      </c>
      <c r="H191" s="22" t="s">
        <v>133</v>
      </c>
      <c r="I191" s="37">
        <v>801.22</v>
      </c>
      <c r="J191" s="19">
        <v>41911</v>
      </c>
      <c r="K191" s="51" t="s">
        <v>843</v>
      </c>
      <c r="L191" s="51" t="s">
        <v>49</v>
      </c>
      <c r="M191" s="22" t="s">
        <v>69</v>
      </c>
      <c r="N191" s="20" t="s">
        <v>848</v>
      </c>
      <c r="O191" s="57">
        <v>200000</v>
      </c>
      <c r="P191" s="53">
        <f t="shared" si="42"/>
        <v>19035200</v>
      </c>
      <c r="Q191" s="39" t="s">
        <v>32</v>
      </c>
      <c r="R191" s="49">
        <v>95.176000000000002</v>
      </c>
      <c r="S191" s="40">
        <f t="shared" si="33"/>
        <v>42000</v>
      </c>
      <c r="T191" s="22" t="s">
        <v>278</v>
      </c>
      <c r="U191" s="54">
        <f t="shared" si="34"/>
        <v>22842.239999999998</v>
      </c>
      <c r="V191" s="36">
        <v>155.75</v>
      </c>
      <c r="W191" s="53">
        <f t="shared" si="39"/>
        <v>3557678.88</v>
      </c>
      <c r="X191" s="70">
        <f t="shared" si="44"/>
        <v>3557678.88</v>
      </c>
      <c r="Y191" s="36"/>
      <c r="Z191" s="36"/>
      <c r="AA191" s="112"/>
    </row>
    <row r="192" spans="1:27" ht="24.75">
      <c r="A192" s="35">
        <f t="shared" si="32"/>
        <v>187</v>
      </c>
      <c r="B192" s="36" t="s">
        <v>868</v>
      </c>
      <c r="C192" s="21" t="s">
        <v>906</v>
      </c>
      <c r="D192" s="21">
        <v>41932</v>
      </c>
      <c r="E192" s="26" t="s">
        <v>895</v>
      </c>
      <c r="F192" s="22" t="s">
        <v>278</v>
      </c>
      <c r="G192" s="22" t="s">
        <v>44</v>
      </c>
      <c r="H192" s="22" t="s">
        <v>133</v>
      </c>
      <c r="I192" s="37">
        <v>801.22</v>
      </c>
      <c r="J192" s="19">
        <v>41911</v>
      </c>
      <c r="K192" s="51" t="s">
        <v>843</v>
      </c>
      <c r="L192" s="51" t="s">
        <v>49</v>
      </c>
      <c r="M192" s="22" t="s">
        <v>69</v>
      </c>
      <c r="N192" s="20" t="s">
        <v>848</v>
      </c>
      <c r="O192" s="57">
        <v>13605</v>
      </c>
      <c r="P192" s="53">
        <f t="shared" si="42"/>
        <v>1294869.48</v>
      </c>
      <c r="Q192" s="39" t="s">
        <v>32</v>
      </c>
      <c r="R192" s="49">
        <v>95.176000000000002</v>
      </c>
      <c r="S192" s="40">
        <f t="shared" si="33"/>
        <v>42000</v>
      </c>
      <c r="T192" s="22" t="s">
        <v>278</v>
      </c>
      <c r="U192" s="54">
        <f t="shared" si="34"/>
        <v>1553.8433759999998</v>
      </c>
      <c r="V192" s="36">
        <v>155.75</v>
      </c>
      <c r="W192" s="53">
        <f t="shared" si="39"/>
        <v>242011.10581199997</v>
      </c>
      <c r="X192" s="70">
        <f t="shared" si="44"/>
        <v>242011.10581199997</v>
      </c>
      <c r="Y192" s="36"/>
      <c r="Z192" s="36"/>
      <c r="AA192" s="112"/>
    </row>
    <row r="193" spans="1:27" ht="24.75">
      <c r="A193" s="35">
        <f t="shared" si="32"/>
        <v>188</v>
      </c>
      <c r="B193" s="36" t="s">
        <v>869</v>
      </c>
      <c r="C193" s="21" t="s">
        <v>907</v>
      </c>
      <c r="D193" s="21">
        <v>41932</v>
      </c>
      <c r="E193" s="26" t="s">
        <v>896</v>
      </c>
      <c r="F193" s="22" t="s">
        <v>278</v>
      </c>
      <c r="G193" s="22" t="s">
        <v>44</v>
      </c>
      <c r="H193" s="22" t="s">
        <v>133</v>
      </c>
      <c r="I193" s="37">
        <v>801.22</v>
      </c>
      <c r="J193" s="19">
        <v>41911</v>
      </c>
      <c r="K193" s="51" t="s">
        <v>843</v>
      </c>
      <c r="L193" s="51" t="s">
        <v>49</v>
      </c>
      <c r="M193" s="22" t="s">
        <v>69</v>
      </c>
      <c r="N193" s="20" t="s">
        <v>848</v>
      </c>
      <c r="O193" s="57">
        <v>110000</v>
      </c>
      <c r="P193" s="53">
        <f t="shared" si="42"/>
        <v>10469360</v>
      </c>
      <c r="Q193" s="39" t="s">
        <v>32</v>
      </c>
      <c r="R193" s="49">
        <v>95.176000000000002</v>
      </c>
      <c r="S193" s="40">
        <f t="shared" si="33"/>
        <v>42000</v>
      </c>
      <c r="T193" s="22" t="s">
        <v>278</v>
      </c>
      <c r="U193" s="54">
        <f t="shared" si="34"/>
        <v>12563.231999999998</v>
      </c>
      <c r="V193" s="36">
        <v>155.75</v>
      </c>
      <c r="W193" s="53">
        <f t="shared" si="39"/>
        <v>1956723.3839999996</v>
      </c>
      <c r="X193" s="70">
        <f t="shared" si="44"/>
        <v>1956723.3839999996</v>
      </c>
      <c r="Y193" s="36"/>
      <c r="Z193" s="36"/>
      <c r="AA193" s="113"/>
    </row>
    <row r="194" spans="1:27" ht="24.75">
      <c r="A194" s="35">
        <f t="shared" si="32"/>
        <v>189</v>
      </c>
      <c r="B194" s="36" t="s">
        <v>870</v>
      </c>
      <c r="C194" s="21" t="s">
        <v>908</v>
      </c>
      <c r="D194" s="21">
        <v>41932</v>
      </c>
      <c r="E194" s="26" t="s">
        <v>897</v>
      </c>
      <c r="F194" s="22" t="s">
        <v>278</v>
      </c>
      <c r="G194" s="22" t="s">
        <v>44</v>
      </c>
      <c r="H194" s="22" t="s">
        <v>133</v>
      </c>
      <c r="I194" s="37">
        <v>801.22</v>
      </c>
      <c r="J194" s="19">
        <v>41911</v>
      </c>
      <c r="K194" s="51" t="s">
        <v>843</v>
      </c>
      <c r="L194" s="51" t="s">
        <v>49</v>
      </c>
      <c r="M194" s="22" t="s">
        <v>69</v>
      </c>
      <c r="N194" s="20" t="s">
        <v>848</v>
      </c>
      <c r="O194" s="57">
        <v>76000</v>
      </c>
      <c r="P194" s="53">
        <f t="shared" si="42"/>
        <v>7233376</v>
      </c>
      <c r="Q194" s="39" t="s">
        <v>32</v>
      </c>
      <c r="R194" s="49">
        <v>95.176000000000002</v>
      </c>
      <c r="S194" s="40">
        <f t="shared" si="33"/>
        <v>42000</v>
      </c>
      <c r="T194" s="22" t="s">
        <v>278</v>
      </c>
      <c r="U194" s="54">
        <f t="shared" si="34"/>
        <v>8680.0511999999999</v>
      </c>
      <c r="V194" s="36">
        <v>155.75</v>
      </c>
      <c r="W194" s="53">
        <f t="shared" si="39"/>
        <v>1351917.9743999999</v>
      </c>
      <c r="X194" s="70">
        <f t="shared" si="44"/>
        <v>1351917.9743999999</v>
      </c>
      <c r="Y194" s="36"/>
      <c r="Z194" s="36"/>
      <c r="AA194" s="113"/>
    </row>
    <row r="195" spans="1:27" ht="24.75">
      <c r="A195" s="35">
        <f t="shared" si="32"/>
        <v>190</v>
      </c>
      <c r="B195" s="36" t="s">
        <v>871</v>
      </c>
      <c r="C195" s="21" t="s">
        <v>909</v>
      </c>
      <c r="D195" s="21">
        <v>41932</v>
      </c>
      <c r="E195" s="26" t="s">
        <v>898</v>
      </c>
      <c r="F195" s="22" t="s">
        <v>278</v>
      </c>
      <c r="G195" s="22" t="s">
        <v>44</v>
      </c>
      <c r="H195" s="22" t="s">
        <v>133</v>
      </c>
      <c r="I195" s="37">
        <v>801.22</v>
      </c>
      <c r="J195" s="19">
        <v>41911</v>
      </c>
      <c r="K195" s="51" t="s">
        <v>843</v>
      </c>
      <c r="L195" s="51" t="s">
        <v>49</v>
      </c>
      <c r="M195" s="22" t="s">
        <v>69</v>
      </c>
      <c r="N195" s="20" t="s">
        <v>848</v>
      </c>
      <c r="O195" s="57">
        <v>90000</v>
      </c>
      <c r="P195" s="53">
        <f t="shared" si="42"/>
        <v>8565840</v>
      </c>
      <c r="Q195" s="39" t="s">
        <v>32</v>
      </c>
      <c r="R195" s="49">
        <v>95.176000000000002</v>
      </c>
      <c r="S195" s="40">
        <f t="shared" si="33"/>
        <v>42000</v>
      </c>
      <c r="T195" s="22" t="s">
        <v>278</v>
      </c>
      <c r="U195" s="41">
        <f t="shared" si="34"/>
        <v>10279.008</v>
      </c>
      <c r="V195" s="36">
        <v>155.75</v>
      </c>
      <c r="W195" s="38">
        <f t="shared" si="39"/>
        <v>1600955.496</v>
      </c>
      <c r="X195" s="70">
        <f t="shared" si="44"/>
        <v>1600955.496</v>
      </c>
      <c r="Y195" s="36"/>
      <c r="Z195" s="36"/>
      <c r="AA195" s="113"/>
    </row>
    <row r="196" spans="1:27" ht="24.75">
      <c r="A196" s="35">
        <f t="shared" si="32"/>
        <v>191</v>
      </c>
      <c r="B196" s="36" t="s">
        <v>872</v>
      </c>
      <c r="C196" s="21" t="s">
        <v>910</v>
      </c>
      <c r="D196" s="21">
        <v>41932</v>
      </c>
      <c r="E196" s="26" t="s">
        <v>899</v>
      </c>
      <c r="F196" s="22" t="s">
        <v>278</v>
      </c>
      <c r="G196" s="22" t="s">
        <v>44</v>
      </c>
      <c r="H196" s="22" t="s">
        <v>133</v>
      </c>
      <c r="I196" s="37">
        <v>801.22</v>
      </c>
      <c r="J196" s="19">
        <v>41911</v>
      </c>
      <c r="K196" s="51" t="s">
        <v>843</v>
      </c>
      <c r="L196" s="51" t="s">
        <v>49</v>
      </c>
      <c r="M196" s="22" t="s">
        <v>69</v>
      </c>
      <c r="N196" s="20" t="s">
        <v>848</v>
      </c>
      <c r="O196" s="23">
        <v>60000</v>
      </c>
      <c r="P196" s="53">
        <f t="shared" si="42"/>
        <v>5710560</v>
      </c>
      <c r="Q196" s="39" t="s">
        <v>32</v>
      </c>
      <c r="R196" s="49">
        <v>95.176000000000002</v>
      </c>
      <c r="S196" s="40">
        <f t="shared" si="33"/>
        <v>42000</v>
      </c>
      <c r="T196" s="22" t="s">
        <v>278</v>
      </c>
      <c r="U196" s="41">
        <f t="shared" si="34"/>
        <v>6852.6719999999996</v>
      </c>
      <c r="V196" s="36">
        <v>155.75</v>
      </c>
      <c r="W196" s="38">
        <f t="shared" si="39"/>
        <v>1067303.6639999999</v>
      </c>
      <c r="X196" s="70">
        <f t="shared" si="44"/>
        <v>1067303.6639999999</v>
      </c>
      <c r="Y196" s="36"/>
      <c r="Z196" s="36"/>
      <c r="AA196" s="113"/>
    </row>
    <row r="197" spans="1:27" ht="24" customHeight="1">
      <c r="A197" s="35">
        <f t="shared" si="32"/>
        <v>192</v>
      </c>
      <c r="B197" s="36" t="s">
        <v>962</v>
      </c>
      <c r="C197" s="21" t="s">
        <v>1038</v>
      </c>
      <c r="D197" s="19">
        <v>41943</v>
      </c>
      <c r="E197" s="27" t="s">
        <v>934</v>
      </c>
      <c r="F197" s="22" t="s">
        <v>278</v>
      </c>
      <c r="G197" s="22" t="s">
        <v>44</v>
      </c>
      <c r="H197" s="22" t="s">
        <v>133</v>
      </c>
      <c r="I197" s="37">
        <v>801.22</v>
      </c>
      <c r="J197" s="19">
        <v>41921</v>
      </c>
      <c r="K197" s="51" t="s">
        <v>953</v>
      </c>
      <c r="L197" s="51" t="s">
        <v>49</v>
      </c>
      <c r="M197" s="22" t="s">
        <v>41</v>
      </c>
      <c r="N197" s="78" t="s">
        <v>42</v>
      </c>
      <c r="O197" s="57">
        <v>950120</v>
      </c>
      <c r="P197" s="53">
        <f t="shared" si="42"/>
        <v>85633365.480000004</v>
      </c>
      <c r="Q197" s="39" t="s">
        <v>32</v>
      </c>
      <c r="R197" s="9">
        <v>90.129000000000005</v>
      </c>
      <c r="S197" s="40">
        <f t="shared" si="33"/>
        <v>42010</v>
      </c>
      <c r="T197" s="20" t="s">
        <v>278</v>
      </c>
      <c r="U197" s="41">
        <f t="shared" si="34"/>
        <v>102760.03857599999</v>
      </c>
      <c r="V197" s="36">
        <v>155.76</v>
      </c>
      <c r="W197" s="38">
        <f t="shared" si="39"/>
        <v>16005903.608597757</v>
      </c>
      <c r="X197" s="70">
        <f t="shared" si="44"/>
        <v>16005903.608597757</v>
      </c>
      <c r="Y197" s="36"/>
      <c r="Z197" s="36"/>
      <c r="AA197" s="113"/>
    </row>
    <row r="198" spans="1:27" ht="24" customHeight="1">
      <c r="A198" s="35">
        <f t="shared" si="32"/>
        <v>193</v>
      </c>
      <c r="B198" s="36" t="s">
        <v>963</v>
      </c>
      <c r="C198" s="22" t="s">
        <v>985</v>
      </c>
      <c r="D198" s="21">
        <v>41970</v>
      </c>
      <c r="E198" s="27" t="s">
        <v>935</v>
      </c>
      <c r="F198" s="22" t="s">
        <v>39</v>
      </c>
      <c r="G198" s="22" t="s">
        <v>97</v>
      </c>
      <c r="H198" s="22" t="s">
        <v>133</v>
      </c>
      <c r="I198" s="37">
        <v>801.22</v>
      </c>
      <c r="J198" s="19">
        <v>41921</v>
      </c>
      <c r="K198" s="51" t="s">
        <v>953</v>
      </c>
      <c r="L198" s="51" t="s">
        <v>49</v>
      </c>
      <c r="M198" s="22" t="s">
        <v>41</v>
      </c>
      <c r="N198" s="78" t="s">
        <v>42</v>
      </c>
      <c r="O198" s="57">
        <v>30000</v>
      </c>
      <c r="P198" s="53">
        <f t="shared" si="42"/>
        <v>2605680</v>
      </c>
      <c r="Q198" s="39" t="s">
        <v>32</v>
      </c>
      <c r="R198" s="9">
        <v>86.855999999999995</v>
      </c>
      <c r="S198" s="40">
        <f t="shared" si="33"/>
        <v>42010</v>
      </c>
      <c r="T198" s="22" t="s">
        <v>39</v>
      </c>
      <c r="U198" s="41">
        <f t="shared" si="34"/>
        <v>3126.8159999999998</v>
      </c>
      <c r="V198" s="36">
        <v>155.76</v>
      </c>
      <c r="W198" s="38">
        <f t="shared" si="39"/>
        <v>487032.86015999992</v>
      </c>
      <c r="X198" s="70">
        <v>487038.86</v>
      </c>
      <c r="Y198" s="40">
        <v>41969</v>
      </c>
      <c r="Z198" s="48">
        <v>4435</v>
      </c>
      <c r="AA198" s="113"/>
    </row>
    <row r="199" spans="1:27" ht="24" customHeight="1">
      <c r="A199" s="35">
        <f t="shared" si="32"/>
        <v>194</v>
      </c>
      <c r="B199" s="36" t="s">
        <v>964</v>
      </c>
      <c r="C199" s="22" t="s">
        <v>986</v>
      </c>
      <c r="D199" s="21">
        <v>41970</v>
      </c>
      <c r="E199" s="27" t="s">
        <v>936</v>
      </c>
      <c r="F199" s="22" t="s">
        <v>39</v>
      </c>
      <c r="G199" s="22" t="s">
        <v>97</v>
      </c>
      <c r="H199" s="22" t="s">
        <v>133</v>
      </c>
      <c r="I199" s="37">
        <v>801.22</v>
      </c>
      <c r="J199" s="19">
        <v>41921</v>
      </c>
      <c r="K199" s="51" t="s">
        <v>953</v>
      </c>
      <c r="L199" s="51" t="s">
        <v>49</v>
      </c>
      <c r="M199" s="22" t="s">
        <v>41</v>
      </c>
      <c r="N199" s="78" t="s">
        <v>42</v>
      </c>
      <c r="O199" s="57">
        <v>54000</v>
      </c>
      <c r="P199" s="53">
        <f t="shared" si="42"/>
        <v>4690224</v>
      </c>
      <c r="Q199" s="39" t="s">
        <v>32</v>
      </c>
      <c r="R199" s="9">
        <v>86.855999999999995</v>
      </c>
      <c r="S199" s="40">
        <f t="shared" si="33"/>
        <v>42010</v>
      </c>
      <c r="T199" s="22" t="s">
        <v>39</v>
      </c>
      <c r="U199" s="41">
        <f t="shared" si="34"/>
        <v>5628.2687999999998</v>
      </c>
      <c r="V199" s="36">
        <v>155.76</v>
      </c>
      <c r="W199" s="38">
        <f t="shared" si="39"/>
        <v>876659.14828799991</v>
      </c>
      <c r="X199" s="70">
        <v>876659.15</v>
      </c>
      <c r="Y199" s="40">
        <v>41969</v>
      </c>
      <c r="Z199" s="48">
        <v>4436</v>
      </c>
      <c r="AA199" s="113"/>
    </row>
    <row r="200" spans="1:27" ht="24" customHeight="1">
      <c r="A200" s="35">
        <f t="shared" si="32"/>
        <v>195</v>
      </c>
      <c r="B200" s="36" t="s">
        <v>965</v>
      </c>
      <c r="C200" s="22" t="s">
        <v>987</v>
      </c>
      <c r="D200" s="21">
        <v>41970</v>
      </c>
      <c r="E200" s="27" t="s">
        <v>937</v>
      </c>
      <c r="F200" s="22" t="s">
        <v>187</v>
      </c>
      <c r="G200" s="22" t="s">
        <v>97</v>
      </c>
      <c r="H200" s="22" t="s">
        <v>133</v>
      </c>
      <c r="I200" s="37">
        <v>801.22</v>
      </c>
      <c r="J200" s="19">
        <v>41921</v>
      </c>
      <c r="K200" s="51" t="s">
        <v>953</v>
      </c>
      <c r="L200" s="51" t="s">
        <v>49</v>
      </c>
      <c r="M200" s="22" t="s">
        <v>41</v>
      </c>
      <c r="N200" s="78" t="s">
        <v>42</v>
      </c>
      <c r="O200" s="57">
        <v>16000</v>
      </c>
      <c r="P200" s="53">
        <f t="shared" si="42"/>
        <v>1389696</v>
      </c>
      <c r="Q200" s="39" t="s">
        <v>32</v>
      </c>
      <c r="R200" s="9">
        <v>86.855999999999995</v>
      </c>
      <c r="S200" s="40">
        <f t="shared" si="33"/>
        <v>42010</v>
      </c>
      <c r="T200" s="22" t="s">
        <v>39</v>
      </c>
      <c r="U200" s="41">
        <f t="shared" si="34"/>
        <v>1667.6351999999999</v>
      </c>
      <c r="V200" s="36">
        <v>155.76</v>
      </c>
      <c r="W200" s="38">
        <f t="shared" si="39"/>
        <v>259750.85875199997</v>
      </c>
      <c r="X200" s="70">
        <v>259750.86</v>
      </c>
      <c r="Y200" s="40">
        <v>41969</v>
      </c>
      <c r="Z200" s="48">
        <v>4437</v>
      </c>
      <c r="AA200" s="113"/>
    </row>
    <row r="201" spans="1:27" ht="24" customHeight="1">
      <c r="A201" s="35">
        <f t="shared" si="32"/>
        <v>196</v>
      </c>
      <c r="B201" s="36" t="s">
        <v>976</v>
      </c>
      <c r="C201" s="21" t="s">
        <v>926</v>
      </c>
      <c r="D201" s="19">
        <v>41943</v>
      </c>
      <c r="E201" s="27" t="s">
        <v>938</v>
      </c>
      <c r="F201" s="22" t="s">
        <v>278</v>
      </c>
      <c r="G201" s="22" t="s">
        <v>44</v>
      </c>
      <c r="H201" s="22" t="s">
        <v>29</v>
      </c>
      <c r="I201" s="37">
        <v>801.22</v>
      </c>
      <c r="J201" s="19">
        <v>41927</v>
      </c>
      <c r="K201" s="51" t="s">
        <v>122</v>
      </c>
      <c r="L201" s="51" t="s">
        <v>30</v>
      </c>
      <c r="M201" s="22" t="s">
        <v>74</v>
      </c>
      <c r="N201" s="20" t="s">
        <v>106</v>
      </c>
      <c r="O201" s="57">
        <v>548784</v>
      </c>
      <c r="P201" s="53">
        <f t="shared" si="42"/>
        <v>46033099.488000005</v>
      </c>
      <c r="Q201" s="39" t="s">
        <v>32</v>
      </c>
      <c r="R201" s="9">
        <v>83.882000000000005</v>
      </c>
      <c r="S201" s="40">
        <f t="shared" si="33"/>
        <v>42016</v>
      </c>
      <c r="T201" s="20" t="s">
        <v>278</v>
      </c>
      <c r="U201" s="41">
        <f t="shared" si="34"/>
        <v>55239.719385600001</v>
      </c>
      <c r="V201" s="36">
        <v>155.76</v>
      </c>
      <c r="W201" s="38">
        <f t="shared" si="39"/>
        <v>8604138.6915010549</v>
      </c>
      <c r="X201" s="70">
        <f t="shared" ref="X201:X206" si="45">W201</f>
        <v>8604138.6915010549</v>
      </c>
      <c r="Y201" s="36"/>
      <c r="Z201" s="36"/>
      <c r="AA201" s="113"/>
    </row>
    <row r="202" spans="1:27" ht="24" customHeight="1">
      <c r="A202" s="35">
        <f t="shared" ref="A202:A258" si="46">A201+1</f>
        <v>197</v>
      </c>
      <c r="B202" s="36" t="s">
        <v>977</v>
      </c>
      <c r="C202" s="21" t="s">
        <v>927</v>
      </c>
      <c r="D202" s="19">
        <v>41943</v>
      </c>
      <c r="E202" s="27" t="s">
        <v>939</v>
      </c>
      <c r="F202" s="22" t="s">
        <v>278</v>
      </c>
      <c r="G202" s="22" t="s">
        <v>44</v>
      </c>
      <c r="H202" s="22" t="s">
        <v>29</v>
      </c>
      <c r="I202" s="37">
        <v>801.22</v>
      </c>
      <c r="J202" s="19">
        <v>41927</v>
      </c>
      <c r="K202" s="51" t="s">
        <v>122</v>
      </c>
      <c r="L202" s="51" t="s">
        <v>30</v>
      </c>
      <c r="M202" s="22" t="s">
        <v>74</v>
      </c>
      <c r="N202" s="20" t="s">
        <v>106</v>
      </c>
      <c r="O202" s="57">
        <v>400000</v>
      </c>
      <c r="P202" s="53">
        <f t="shared" si="42"/>
        <v>33552800.000000004</v>
      </c>
      <c r="Q202" s="39" t="s">
        <v>32</v>
      </c>
      <c r="R202" s="9">
        <v>83.882000000000005</v>
      </c>
      <c r="S202" s="40">
        <f t="shared" ref="S202:S258" si="47">SUM(J202)+89</f>
        <v>42016</v>
      </c>
      <c r="T202" s="22" t="s">
        <v>278</v>
      </c>
      <c r="U202" s="41">
        <f t="shared" si="34"/>
        <v>40263.360000000001</v>
      </c>
      <c r="V202" s="36">
        <v>155.76</v>
      </c>
      <c r="W202" s="38">
        <f t="shared" si="39"/>
        <v>6271420.9535999997</v>
      </c>
      <c r="X202" s="70">
        <f t="shared" si="45"/>
        <v>6271420.9535999997</v>
      </c>
      <c r="Y202" s="36"/>
      <c r="Z202" s="36"/>
      <c r="AA202" s="113"/>
    </row>
    <row r="203" spans="1:27" ht="24" customHeight="1">
      <c r="A203" s="35">
        <f t="shared" si="46"/>
        <v>198</v>
      </c>
      <c r="B203" s="36" t="s">
        <v>979</v>
      </c>
      <c r="C203" s="21" t="s">
        <v>928</v>
      </c>
      <c r="D203" s="19">
        <v>41943</v>
      </c>
      <c r="E203" s="27" t="s">
        <v>940</v>
      </c>
      <c r="F203" s="22" t="s">
        <v>278</v>
      </c>
      <c r="G203" s="22" t="s">
        <v>44</v>
      </c>
      <c r="H203" s="22" t="s">
        <v>35</v>
      </c>
      <c r="I203" s="37">
        <v>801.22</v>
      </c>
      <c r="J203" s="19">
        <v>41928</v>
      </c>
      <c r="K203" s="51" t="s">
        <v>164</v>
      </c>
      <c r="L203" s="51" t="s">
        <v>36</v>
      </c>
      <c r="M203" s="22" t="s">
        <v>67</v>
      </c>
      <c r="N203" s="20" t="s">
        <v>959</v>
      </c>
      <c r="O203" s="57">
        <v>949937</v>
      </c>
      <c r="P203" s="53">
        <f t="shared" si="42"/>
        <v>81677483.134000003</v>
      </c>
      <c r="Q203" s="39" t="s">
        <v>32</v>
      </c>
      <c r="R203" s="9">
        <v>85.981999999999999</v>
      </c>
      <c r="S203" s="40">
        <f t="shared" si="47"/>
        <v>42017</v>
      </c>
      <c r="T203" s="22" t="s">
        <v>278</v>
      </c>
      <c r="U203" s="41">
        <f t="shared" si="34"/>
        <v>98012.979760799994</v>
      </c>
      <c r="V203" s="36">
        <v>155.76</v>
      </c>
      <c r="W203" s="38">
        <f t="shared" si="39"/>
        <v>15266501.727542207</v>
      </c>
      <c r="X203" s="70">
        <f t="shared" si="45"/>
        <v>15266501.727542207</v>
      </c>
      <c r="Y203" s="36"/>
      <c r="Z203" s="36"/>
      <c r="AA203" s="113"/>
    </row>
    <row r="204" spans="1:27" ht="24" customHeight="1">
      <c r="A204" s="35">
        <f t="shared" si="46"/>
        <v>199</v>
      </c>
      <c r="B204" s="36" t="s">
        <v>966</v>
      </c>
      <c r="C204" s="21" t="s">
        <v>929</v>
      </c>
      <c r="D204" s="19">
        <v>41943</v>
      </c>
      <c r="E204" s="27" t="s">
        <v>941</v>
      </c>
      <c r="F204" s="22" t="s">
        <v>278</v>
      </c>
      <c r="G204" s="22" t="s">
        <v>44</v>
      </c>
      <c r="H204" s="22" t="s">
        <v>133</v>
      </c>
      <c r="I204" s="37">
        <v>801.22</v>
      </c>
      <c r="J204" s="19">
        <v>41928</v>
      </c>
      <c r="K204" s="51" t="s">
        <v>954</v>
      </c>
      <c r="L204" s="74" t="s">
        <v>49</v>
      </c>
      <c r="M204" s="22" t="s">
        <v>31</v>
      </c>
      <c r="N204" s="20" t="s">
        <v>960</v>
      </c>
      <c r="O204" s="57">
        <v>949771</v>
      </c>
      <c r="P204" s="53">
        <f t="shared" si="42"/>
        <v>80903393.321999997</v>
      </c>
      <c r="Q204" s="39" t="s">
        <v>32</v>
      </c>
      <c r="R204" s="49">
        <v>85.182000000000002</v>
      </c>
      <c r="S204" s="40">
        <f t="shared" si="47"/>
        <v>42017</v>
      </c>
      <c r="T204" s="22" t="s">
        <v>278</v>
      </c>
      <c r="U204" s="41">
        <f t="shared" si="34"/>
        <v>97084.071986399984</v>
      </c>
      <c r="V204" s="36">
        <v>155.76</v>
      </c>
      <c r="W204" s="38">
        <f t="shared" si="39"/>
        <v>15121815.052601662</v>
      </c>
      <c r="X204" s="70">
        <f t="shared" si="45"/>
        <v>15121815.052601662</v>
      </c>
      <c r="Y204" s="36"/>
      <c r="Z204" s="36"/>
      <c r="AA204" s="113"/>
    </row>
    <row r="205" spans="1:27" ht="24" customHeight="1">
      <c r="A205" s="35">
        <f t="shared" si="46"/>
        <v>200</v>
      </c>
      <c r="B205" s="36" t="s">
        <v>980</v>
      </c>
      <c r="C205" s="44" t="s">
        <v>984</v>
      </c>
      <c r="D205" s="40">
        <v>41954</v>
      </c>
      <c r="E205" s="27" t="s">
        <v>983</v>
      </c>
      <c r="F205" s="22" t="s">
        <v>150</v>
      </c>
      <c r="G205" s="22" t="s">
        <v>279</v>
      </c>
      <c r="H205" s="22" t="s">
        <v>159</v>
      </c>
      <c r="I205" s="37">
        <v>801.22</v>
      </c>
      <c r="J205" s="19">
        <v>41932</v>
      </c>
      <c r="K205" s="51" t="s">
        <v>100</v>
      </c>
      <c r="L205" s="74" t="s">
        <v>160</v>
      </c>
      <c r="M205" s="22" t="s">
        <v>80</v>
      </c>
      <c r="N205" s="20" t="s">
        <v>166</v>
      </c>
      <c r="O205" s="57">
        <v>701303</v>
      </c>
      <c r="P205" s="53">
        <f t="shared" si="42"/>
        <v>56249409.720999993</v>
      </c>
      <c r="Q205" s="39" t="s">
        <v>32</v>
      </c>
      <c r="R205" s="49">
        <v>80.206999999999994</v>
      </c>
      <c r="S205" s="40">
        <f t="shared" si="47"/>
        <v>42021</v>
      </c>
      <c r="T205" s="22" t="s">
        <v>163</v>
      </c>
      <c r="U205" s="41">
        <f t="shared" si="34"/>
        <v>67499.291665199984</v>
      </c>
      <c r="V205" s="36">
        <v>155.76</v>
      </c>
      <c r="W205" s="38">
        <f t="shared" si="39"/>
        <v>10513689.669771548</v>
      </c>
      <c r="X205" s="70">
        <v>10516389.380000001</v>
      </c>
      <c r="Y205" s="40">
        <v>41950</v>
      </c>
      <c r="Z205" s="48">
        <v>3599</v>
      </c>
      <c r="AA205" s="113"/>
    </row>
    <row r="206" spans="1:27" ht="24" customHeight="1">
      <c r="A206" s="35">
        <f t="shared" si="46"/>
        <v>201</v>
      </c>
      <c r="B206" s="36" t="s">
        <v>981</v>
      </c>
      <c r="C206" s="21" t="s">
        <v>930</v>
      </c>
      <c r="D206" s="19">
        <v>41943</v>
      </c>
      <c r="E206" s="27" t="s">
        <v>942</v>
      </c>
      <c r="F206" s="22" t="s">
        <v>278</v>
      </c>
      <c r="G206" s="22" t="s">
        <v>44</v>
      </c>
      <c r="H206" s="22" t="s">
        <v>45</v>
      </c>
      <c r="I206" s="37">
        <v>801.22</v>
      </c>
      <c r="J206" s="19">
        <v>41933</v>
      </c>
      <c r="K206" s="51" t="s">
        <v>955</v>
      </c>
      <c r="L206" s="74" t="s">
        <v>46</v>
      </c>
      <c r="M206" s="22" t="s">
        <v>74</v>
      </c>
      <c r="N206" s="20" t="s">
        <v>106</v>
      </c>
      <c r="O206" s="57">
        <v>899632</v>
      </c>
      <c r="P206" s="53">
        <f t="shared" si="42"/>
        <v>77756093.392000005</v>
      </c>
      <c r="Q206" s="39" t="s">
        <v>32</v>
      </c>
      <c r="R206" s="49">
        <v>86.430999999999997</v>
      </c>
      <c r="S206" s="40">
        <f t="shared" si="47"/>
        <v>42022</v>
      </c>
      <c r="T206" s="22" t="s">
        <v>278</v>
      </c>
      <c r="U206" s="41">
        <f t="shared" si="34"/>
        <v>93307.312070400003</v>
      </c>
      <c r="V206" s="36">
        <v>155.76</v>
      </c>
      <c r="W206" s="38">
        <f t="shared" si="39"/>
        <v>14533546.928085504</v>
      </c>
      <c r="X206" s="70">
        <f t="shared" si="45"/>
        <v>14533546.928085504</v>
      </c>
      <c r="Y206" s="36"/>
      <c r="Z206" s="36"/>
      <c r="AA206" s="113"/>
    </row>
    <row r="207" spans="1:27" ht="24" customHeight="1">
      <c r="A207" s="35">
        <f t="shared" si="46"/>
        <v>202</v>
      </c>
      <c r="B207" s="36" t="s">
        <v>967</v>
      </c>
      <c r="C207" s="44" t="s">
        <v>72</v>
      </c>
      <c r="D207" s="21"/>
      <c r="E207" s="27" t="s">
        <v>943</v>
      </c>
      <c r="F207" s="22" t="s">
        <v>163</v>
      </c>
      <c r="G207" s="22" t="s">
        <v>919</v>
      </c>
      <c r="H207" s="22" t="s">
        <v>133</v>
      </c>
      <c r="I207" s="37">
        <v>801.22</v>
      </c>
      <c r="J207" s="19">
        <v>41937</v>
      </c>
      <c r="K207" s="51" t="s">
        <v>956</v>
      </c>
      <c r="L207" s="51" t="s">
        <v>49</v>
      </c>
      <c r="M207" s="22" t="s">
        <v>56</v>
      </c>
      <c r="N207" s="20" t="s">
        <v>57</v>
      </c>
      <c r="O207" s="57">
        <v>703078</v>
      </c>
      <c r="P207" s="53">
        <f t="shared" si="42"/>
        <v>58923561.024000004</v>
      </c>
      <c r="Q207" s="39" t="s">
        <v>32</v>
      </c>
      <c r="R207" s="49">
        <v>83.808000000000007</v>
      </c>
      <c r="S207" s="40">
        <f t="shared" si="47"/>
        <v>42026</v>
      </c>
      <c r="T207" s="22" t="s">
        <v>163</v>
      </c>
      <c r="U207" s="41">
        <f t="shared" si="34"/>
        <v>70708.273228799997</v>
      </c>
      <c r="V207" s="36">
        <v>155.76</v>
      </c>
      <c r="W207" s="38">
        <f t="shared" si="39"/>
        <v>11013520.638117887</v>
      </c>
      <c r="X207" s="83">
        <v>0</v>
      </c>
      <c r="Y207" s="36"/>
      <c r="Z207" s="36"/>
      <c r="AA207" s="113"/>
    </row>
    <row r="208" spans="1:27" ht="24" customHeight="1">
      <c r="A208" s="35">
        <f t="shared" si="46"/>
        <v>203</v>
      </c>
      <c r="B208" s="36" t="s">
        <v>968</v>
      </c>
      <c r="C208" s="20" t="s">
        <v>1041</v>
      </c>
      <c r="D208" s="40">
        <v>42004</v>
      </c>
      <c r="E208" s="26" t="s">
        <v>944</v>
      </c>
      <c r="F208" s="22" t="s">
        <v>120</v>
      </c>
      <c r="G208" s="22" t="s">
        <v>53</v>
      </c>
      <c r="H208" s="22" t="s">
        <v>133</v>
      </c>
      <c r="I208" s="37">
        <v>801.22</v>
      </c>
      <c r="J208" s="19">
        <v>41941</v>
      </c>
      <c r="K208" s="51" t="s">
        <v>957</v>
      </c>
      <c r="L208" s="74" t="s">
        <v>49</v>
      </c>
      <c r="M208" s="22" t="s">
        <v>41</v>
      </c>
      <c r="N208" s="20" t="s">
        <v>961</v>
      </c>
      <c r="O208" s="57">
        <v>456926</v>
      </c>
      <c r="P208" s="53">
        <f t="shared" si="42"/>
        <v>40384993.276600003</v>
      </c>
      <c r="Q208" s="39" t="s">
        <v>32</v>
      </c>
      <c r="R208" s="9">
        <v>88.384100000000004</v>
      </c>
      <c r="S208" s="40">
        <f t="shared" si="47"/>
        <v>42030</v>
      </c>
      <c r="T208" s="20" t="s">
        <v>38</v>
      </c>
      <c r="U208" s="41">
        <f t="shared" si="34"/>
        <v>48461.991931919998</v>
      </c>
      <c r="V208" s="36">
        <v>155.76</v>
      </c>
      <c r="W208" s="38">
        <f t="shared" si="39"/>
        <v>7548439.8633158589</v>
      </c>
      <c r="X208" s="70">
        <v>7499977.5700000003</v>
      </c>
      <c r="Y208" s="40">
        <v>41997</v>
      </c>
      <c r="Z208" s="48">
        <v>10435</v>
      </c>
      <c r="AA208" s="113"/>
    </row>
    <row r="209" spans="1:27" ht="24" customHeight="1">
      <c r="A209" s="35">
        <f t="shared" si="46"/>
        <v>204</v>
      </c>
      <c r="B209" s="36" t="s">
        <v>969</v>
      </c>
      <c r="C209" s="22" t="s">
        <v>1042</v>
      </c>
      <c r="D209" s="40">
        <v>42004</v>
      </c>
      <c r="E209" s="27" t="s">
        <v>945</v>
      </c>
      <c r="F209" s="22" t="s">
        <v>120</v>
      </c>
      <c r="G209" s="22" t="s">
        <v>47</v>
      </c>
      <c r="H209" s="22" t="s">
        <v>133</v>
      </c>
      <c r="I209" s="37">
        <v>801.22</v>
      </c>
      <c r="J209" s="19">
        <v>41941</v>
      </c>
      <c r="K209" s="51" t="s">
        <v>957</v>
      </c>
      <c r="L209" s="74" t="s">
        <v>49</v>
      </c>
      <c r="M209" s="22" t="s">
        <v>41</v>
      </c>
      <c r="N209" s="20" t="s">
        <v>961</v>
      </c>
      <c r="O209" s="57">
        <v>80000</v>
      </c>
      <c r="P209" s="53">
        <f t="shared" si="42"/>
        <v>7012640</v>
      </c>
      <c r="Q209" s="39" t="s">
        <v>32</v>
      </c>
      <c r="R209" s="9">
        <v>87.658000000000001</v>
      </c>
      <c r="S209" s="40">
        <f t="shared" si="47"/>
        <v>42030</v>
      </c>
      <c r="T209" s="20" t="s">
        <v>38</v>
      </c>
      <c r="U209" s="41">
        <f t="shared" si="34"/>
        <v>8415.1679999999997</v>
      </c>
      <c r="V209" s="36">
        <v>155.76</v>
      </c>
      <c r="W209" s="38">
        <f t="shared" si="39"/>
        <v>1310746.5676799999</v>
      </c>
      <c r="X209" s="70">
        <v>1302331.71</v>
      </c>
      <c r="Y209" s="40">
        <v>41997</v>
      </c>
      <c r="Z209" s="48">
        <v>10437</v>
      </c>
      <c r="AA209" s="113"/>
    </row>
    <row r="210" spans="1:27" ht="24" customHeight="1">
      <c r="A210" s="35">
        <f t="shared" si="46"/>
        <v>205</v>
      </c>
      <c r="B210" s="36" t="s">
        <v>970</v>
      </c>
      <c r="C210" s="22" t="s">
        <v>988</v>
      </c>
      <c r="D210" s="21">
        <v>41970</v>
      </c>
      <c r="E210" s="27" t="s">
        <v>946</v>
      </c>
      <c r="F210" s="22" t="s">
        <v>39</v>
      </c>
      <c r="G210" s="22" t="s">
        <v>97</v>
      </c>
      <c r="H210" s="22" t="s">
        <v>133</v>
      </c>
      <c r="I210" s="37">
        <v>801.22</v>
      </c>
      <c r="J210" s="19">
        <v>41941</v>
      </c>
      <c r="K210" s="51" t="s">
        <v>957</v>
      </c>
      <c r="L210" s="51" t="s">
        <v>49</v>
      </c>
      <c r="M210" s="22" t="s">
        <v>41</v>
      </c>
      <c r="N210" s="20" t="s">
        <v>961</v>
      </c>
      <c r="O210" s="57">
        <v>12000</v>
      </c>
      <c r="P210" s="53">
        <f t="shared" si="42"/>
        <v>1042271.9999999999</v>
      </c>
      <c r="Q210" s="39" t="s">
        <v>32</v>
      </c>
      <c r="R210" s="9">
        <v>86.855999999999995</v>
      </c>
      <c r="S210" s="40">
        <f t="shared" si="47"/>
        <v>42030</v>
      </c>
      <c r="T210" s="22" t="s">
        <v>39</v>
      </c>
      <c r="U210" s="41">
        <f t="shared" si="34"/>
        <v>1250.7263999999998</v>
      </c>
      <c r="V210" s="36">
        <v>155.76</v>
      </c>
      <c r="W210" s="38">
        <f t="shared" si="39"/>
        <v>194813.14406399996</v>
      </c>
      <c r="X210" s="70">
        <v>194813.14</v>
      </c>
      <c r="Y210" s="40">
        <v>41969</v>
      </c>
      <c r="Z210" s="48">
        <v>4438</v>
      </c>
      <c r="AA210" s="113"/>
    </row>
    <row r="211" spans="1:27" ht="24" customHeight="1">
      <c r="A211" s="35">
        <f t="shared" si="46"/>
        <v>206</v>
      </c>
      <c r="B211" s="36" t="s">
        <v>971</v>
      </c>
      <c r="C211" s="44" t="s">
        <v>72</v>
      </c>
      <c r="D211" s="21"/>
      <c r="E211" s="27" t="s">
        <v>947</v>
      </c>
      <c r="F211" s="22" t="s">
        <v>130</v>
      </c>
      <c r="G211" s="22" t="s">
        <v>87</v>
      </c>
      <c r="H211" s="22" t="s">
        <v>133</v>
      </c>
      <c r="I211" s="37">
        <v>801.22</v>
      </c>
      <c r="J211" s="19">
        <v>41941</v>
      </c>
      <c r="K211" s="51" t="s">
        <v>957</v>
      </c>
      <c r="L211" s="51" t="s">
        <v>49</v>
      </c>
      <c r="M211" s="22" t="s">
        <v>41</v>
      </c>
      <c r="N211" s="20" t="s">
        <v>961</v>
      </c>
      <c r="O211" s="57">
        <v>58000</v>
      </c>
      <c r="P211" s="53">
        <f t="shared" si="42"/>
        <v>4980576</v>
      </c>
      <c r="Q211" s="39" t="s">
        <v>32</v>
      </c>
      <c r="R211" s="9">
        <v>85.872</v>
      </c>
      <c r="S211" s="40">
        <f t="shared" si="47"/>
        <v>42030</v>
      </c>
      <c r="T211" s="22" t="s">
        <v>144</v>
      </c>
      <c r="U211" s="41">
        <f t="shared" si="34"/>
        <v>5976.6911999999993</v>
      </c>
      <c r="V211" s="36">
        <v>155.76</v>
      </c>
      <c r="W211" s="38">
        <f t="shared" si="39"/>
        <v>930929.42131199979</v>
      </c>
      <c r="X211" s="83">
        <v>0</v>
      </c>
      <c r="Y211" s="36"/>
      <c r="Z211" s="36"/>
      <c r="AA211" s="113"/>
    </row>
    <row r="212" spans="1:27" ht="24" customHeight="1">
      <c r="A212" s="35">
        <f t="shared" si="46"/>
        <v>207</v>
      </c>
      <c r="B212" s="36" t="s">
        <v>972</v>
      </c>
      <c r="C212" s="44" t="s">
        <v>72</v>
      </c>
      <c r="D212" s="21"/>
      <c r="E212" s="27" t="s">
        <v>948</v>
      </c>
      <c r="F212" s="22" t="s">
        <v>278</v>
      </c>
      <c r="G212" s="22" t="s">
        <v>44</v>
      </c>
      <c r="H212" s="22" t="s">
        <v>133</v>
      </c>
      <c r="I212" s="37">
        <v>801.22</v>
      </c>
      <c r="J212" s="19">
        <v>41943</v>
      </c>
      <c r="K212" s="51" t="s">
        <v>153</v>
      </c>
      <c r="L212" s="51" t="s">
        <v>49</v>
      </c>
      <c r="M212" s="22" t="s">
        <v>41</v>
      </c>
      <c r="N212" s="20" t="s">
        <v>95</v>
      </c>
      <c r="O212" s="57">
        <v>99960</v>
      </c>
      <c r="P212" s="53">
        <f t="shared" si="42"/>
        <v>8547479.6400000006</v>
      </c>
      <c r="Q212" s="39" t="s">
        <v>32</v>
      </c>
      <c r="R212" s="9">
        <v>85.509</v>
      </c>
      <c r="S212" s="40">
        <f t="shared" si="47"/>
        <v>42032</v>
      </c>
      <c r="T212" s="22" t="s">
        <v>278</v>
      </c>
      <c r="U212" s="41">
        <f t="shared" si="34"/>
        <v>10256.975568</v>
      </c>
      <c r="V212" s="36">
        <v>155.76</v>
      </c>
      <c r="W212" s="38">
        <f t="shared" si="39"/>
        <v>1597626.5144716799</v>
      </c>
      <c r="X212" s="83">
        <v>0</v>
      </c>
      <c r="Y212" s="36"/>
      <c r="Z212" s="36"/>
      <c r="AA212" s="113"/>
    </row>
    <row r="213" spans="1:27" ht="24" customHeight="1">
      <c r="A213" s="35">
        <f t="shared" si="46"/>
        <v>208</v>
      </c>
      <c r="B213" s="36" t="s">
        <v>973</v>
      </c>
      <c r="C213" s="21" t="s">
        <v>931</v>
      </c>
      <c r="D213" s="19">
        <v>41943</v>
      </c>
      <c r="E213" s="27" t="s">
        <v>949</v>
      </c>
      <c r="F213" s="22" t="s">
        <v>278</v>
      </c>
      <c r="G213" s="22" t="s">
        <v>44</v>
      </c>
      <c r="H213" s="22" t="s">
        <v>133</v>
      </c>
      <c r="I213" s="37">
        <v>801.22</v>
      </c>
      <c r="J213" s="19">
        <v>41943</v>
      </c>
      <c r="K213" s="51" t="s">
        <v>153</v>
      </c>
      <c r="L213" s="51" t="s">
        <v>49</v>
      </c>
      <c r="M213" s="22" t="s">
        <v>41</v>
      </c>
      <c r="N213" s="20" t="s">
        <v>95</v>
      </c>
      <c r="O213" s="57">
        <v>30000</v>
      </c>
      <c r="P213" s="53">
        <f t="shared" si="42"/>
        <v>2565270</v>
      </c>
      <c r="Q213" s="39" t="s">
        <v>32</v>
      </c>
      <c r="R213" s="9">
        <v>85.509</v>
      </c>
      <c r="S213" s="40">
        <f t="shared" si="47"/>
        <v>42032</v>
      </c>
      <c r="T213" s="22" t="s">
        <v>278</v>
      </c>
      <c r="U213" s="41">
        <f t="shared" si="34"/>
        <v>3078.3239999999996</v>
      </c>
      <c r="V213" s="36">
        <v>155.76</v>
      </c>
      <c r="W213" s="38">
        <f t="shared" si="39"/>
        <v>479479.74623999989</v>
      </c>
      <c r="X213" s="70">
        <f t="shared" ref="X213:X215" si="48">W213</f>
        <v>479479.74623999989</v>
      </c>
      <c r="Y213" s="36"/>
      <c r="Z213" s="36"/>
      <c r="AA213" s="113"/>
    </row>
    <row r="214" spans="1:27" ht="24" customHeight="1">
      <c r="A214" s="35">
        <f t="shared" si="46"/>
        <v>209</v>
      </c>
      <c r="B214" s="36" t="s">
        <v>974</v>
      </c>
      <c r="C214" s="21" t="s">
        <v>932</v>
      </c>
      <c r="D214" s="19">
        <v>41943</v>
      </c>
      <c r="E214" s="27" t="s">
        <v>950</v>
      </c>
      <c r="F214" s="22" t="s">
        <v>278</v>
      </c>
      <c r="G214" s="22" t="s">
        <v>44</v>
      </c>
      <c r="H214" s="22" t="s">
        <v>133</v>
      </c>
      <c r="I214" s="37">
        <v>801.22</v>
      </c>
      <c r="J214" s="19">
        <v>41943</v>
      </c>
      <c r="K214" s="51" t="s">
        <v>153</v>
      </c>
      <c r="L214" s="51" t="s">
        <v>49</v>
      </c>
      <c r="M214" s="22" t="s">
        <v>41</v>
      </c>
      <c r="N214" s="20" t="s">
        <v>95</v>
      </c>
      <c r="O214" s="57">
        <v>70000</v>
      </c>
      <c r="P214" s="53">
        <f t="shared" si="42"/>
        <v>5985630</v>
      </c>
      <c r="Q214" s="39" t="s">
        <v>32</v>
      </c>
      <c r="R214" s="9">
        <v>85.509</v>
      </c>
      <c r="S214" s="40">
        <f t="shared" si="47"/>
        <v>42032</v>
      </c>
      <c r="T214" s="22" t="s">
        <v>278</v>
      </c>
      <c r="U214" s="41">
        <f t="shared" ref="U214:U258" si="49">SUM(P214*0.12%)</f>
        <v>7182.7559999999994</v>
      </c>
      <c r="V214" s="36">
        <v>155.76</v>
      </c>
      <c r="W214" s="38">
        <f t="shared" si="39"/>
        <v>1118786.0745599999</v>
      </c>
      <c r="X214" s="70">
        <f t="shared" si="48"/>
        <v>1118786.0745599999</v>
      </c>
      <c r="Y214" s="36"/>
      <c r="Z214" s="36"/>
      <c r="AA214" s="113"/>
    </row>
    <row r="215" spans="1:27" ht="24" customHeight="1">
      <c r="A215" s="35">
        <f t="shared" si="46"/>
        <v>210</v>
      </c>
      <c r="B215" s="36" t="s">
        <v>975</v>
      </c>
      <c r="C215" s="21" t="s">
        <v>933</v>
      </c>
      <c r="D215" s="19">
        <v>41943</v>
      </c>
      <c r="E215" s="27" t="s">
        <v>951</v>
      </c>
      <c r="F215" s="22" t="s">
        <v>278</v>
      </c>
      <c r="G215" s="22" t="s">
        <v>44</v>
      </c>
      <c r="H215" s="22" t="s">
        <v>133</v>
      </c>
      <c r="I215" s="37">
        <v>801.22</v>
      </c>
      <c r="J215" s="19">
        <v>41943</v>
      </c>
      <c r="K215" s="51" t="s">
        <v>153</v>
      </c>
      <c r="L215" s="51" t="s">
        <v>49</v>
      </c>
      <c r="M215" s="22" t="s">
        <v>41</v>
      </c>
      <c r="N215" s="20" t="s">
        <v>95</v>
      </c>
      <c r="O215" s="57">
        <v>50000</v>
      </c>
      <c r="P215" s="53">
        <f t="shared" si="42"/>
        <v>4275450</v>
      </c>
      <c r="Q215" s="39" t="s">
        <v>32</v>
      </c>
      <c r="R215" s="9">
        <v>85.509</v>
      </c>
      <c r="S215" s="40">
        <f t="shared" si="47"/>
        <v>42032</v>
      </c>
      <c r="T215" s="20" t="s">
        <v>278</v>
      </c>
      <c r="U215" s="41">
        <f t="shared" si="49"/>
        <v>5130.54</v>
      </c>
      <c r="V215" s="36">
        <v>155.76</v>
      </c>
      <c r="W215" s="38">
        <f t="shared" si="39"/>
        <v>799132.91039999994</v>
      </c>
      <c r="X215" s="70">
        <f t="shared" si="48"/>
        <v>799132.91039999994</v>
      </c>
      <c r="Y215" s="36"/>
      <c r="Z215" s="36"/>
      <c r="AA215" s="113"/>
    </row>
    <row r="216" spans="1:27" ht="24" customHeight="1">
      <c r="A216" s="35">
        <f t="shared" si="46"/>
        <v>211</v>
      </c>
      <c r="B216" s="36" t="s">
        <v>978</v>
      </c>
      <c r="C216" s="44" t="s">
        <v>72</v>
      </c>
      <c r="D216" s="21"/>
      <c r="E216" s="27" t="s">
        <v>952</v>
      </c>
      <c r="F216" s="22" t="s">
        <v>120</v>
      </c>
      <c r="G216" s="22" t="s">
        <v>28</v>
      </c>
      <c r="H216" s="22" t="s">
        <v>29</v>
      </c>
      <c r="I216" s="37">
        <v>801.22</v>
      </c>
      <c r="J216" s="19">
        <v>41943</v>
      </c>
      <c r="K216" s="51" t="s">
        <v>958</v>
      </c>
      <c r="L216" s="51" t="s">
        <v>30</v>
      </c>
      <c r="M216" s="22" t="s">
        <v>101</v>
      </c>
      <c r="N216" s="20" t="s">
        <v>799</v>
      </c>
      <c r="O216" s="57">
        <v>905784</v>
      </c>
      <c r="P216" s="38">
        <f t="shared" si="42"/>
        <v>73855815.791999996</v>
      </c>
      <c r="Q216" s="39" t="s">
        <v>32</v>
      </c>
      <c r="R216" s="49">
        <v>81.537999999999997</v>
      </c>
      <c r="S216" s="40">
        <f t="shared" si="47"/>
        <v>42032</v>
      </c>
      <c r="T216" s="20" t="s">
        <v>27</v>
      </c>
      <c r="U216" s="41">
        <f t="shared" si="49"/>
        <v>88626.978950399993</v>
      </c>
      <c r="V216" s="36">
        <v>155.76</v>
      </c>
      <c r="W216" s="38">
        <f t="shared" si="39"/>
        <v>13804538.241314301</v>
      </c>
      <c r="X216" s="83">
        <v>0</v>
      </c>
      <c r="Y216" s="36"/>
      <c r="Z216" s="36"/>
      <c r="AA216" s="113"/>
    </row>
    <row r="217" spans="1:27" ht="21.75" customHeight="1">
      <c r="A217" s="35">
        <f t="shared" si="46"/>
        <v>212</v>
      </c>
      <c r="B217" s="36" t="s">
        <v>1019</v>
      </c>
      <c r="C217" s="44" t="s">
        <v>72</v>
      </c>
      <c r="D217" s="21"/>
      <c r="E217" s="27" t="s">
        <v>999</v>
      </c>
      <c r="F217" s="22" t="s">
        <v>120</v>
      </c>
      <c r="G217" s="22" t="s">
        <v>47</v>
      </c>
      <c r="H217" s="22" t="s">
        <v>45</v>
      </c>
      <c r="I217" s="37">
        <v>801.22</v>
      </c>
      <c r="J217" s="19">
        <v>41945</v>
      </c>
      <c r="K217" s="51" t="s">
        <v>957</v>
      </c>
      <c r="L217" s="51" t="s">
        <v>46</v>
      </c>
      <c r="M217" s="22" t="s">
        <v>80</v>
      </c>
      <c r="N217" s="78" t="s">
        <v>800</v>
      </c>
      <c r="O217" s="57">
        <v>399989</v>
      </c>
      <c r="P217" s="38">
        <f t="shared" si="42"/>
        <v>34112261.887000002</v>
      </c>
      <c r="Q217" s="39" t="s">
        <v>32</v>
      </c>
      <c r="R217" s="9">
        <v>85.283000000000001</v>
      </c>
      <c r="S217" s="40">
        <f t="shared" si="47"/>
        <v>42034</v>
      </c>
      <c r="T217" s="20" t="s">
        <v>38</v>
      </c>
      <c r="U217" s="41">
        <f t="shared" si="49"/>
        <v>40934.714264399998</v>
      </c>
      <c r="V217" s="85">
        <v>165</v>
      </c>
      <c r="W217" s="38">
        <f t="shared" si="39"/>
        <v>6754227.8536259998</v>
      </c>
      <c r="X217" s="83">
        <v>0</v>
      </c>
      <c r="Y217" s="36"/>
      <c r="Z217" s="36"/>
      <c r="AA217" s="113"/>
    </row>
    <row r="218" spans="1:27" ht="21.75" customHeight="1">
      <c r="A218" s="35">
        <f t="shared" si="46"/>
        <v>213</v>
      </c>
      <c r="B218" s="36" t="s">
        <v>1020</v>
      </c>
      <c r="C218" s="21" t="s">
        <v>993</v>
      </c>
      <c r="D218" s="19">
        <v>41971</v>
      </c>
      <c r="E218" s="27" t="s">
        <v>1000</v>
      </c>
      <c r="F218" s="22" t="s">
        <v>278</v>
      </c>
      <c r="G218" s="22" t="s">
        <v>44</v>
      </c>
      <c r="H218" s="22" t="s">
        <v>133</v>
      </c>
      <c r="I218" s="37">
        <v>801.22</v>
      </c>
      <c r="J218" s="19">
        <v>41945</v>
      </c>
      <c r="K218" s="51" t="s">
        <v>96</v>
      </c>
      <c r="L218" s="51" t="s">
        <v>49</v>
      </c>
      <c r="M218" s="22" t="s">
        <v>77</v>
      </c>
      <c r="N218" s="78" t="s">
        <v>145</v>
      </c>
      <c r="O218" s="57">
        <v>40000</v>
      </c>
      <c r="P218" s="38">
        <f t="shared" si="42"/>
        <v>3369720</v>
      </c>
      <c r="Q218" s="39" t="s">
        <v>32</v>
      </c>
      <c r="R218" s="9">
        <v>84.242999999999995</v>
      </c>
      <c r="S218" s="40">
        <f t="shared" si="47"/>
        <v>42034</v>
      </c>
      <c r="T218" s="22" t="s">
        <v>278</v>
      </c>
      <c r="U218" s="41">
        <f t="shared" si="49"/>
        <v>4043.6639999999998</v>
      </c>
      <c r="V218" s="85">
        <v>165</v>
      </c>
      <c r="W218" s="38">
        <f t="shared" si="39"/>
        <v>667204.55999999994</v>
      </c>
      <c r="X218" s="70">
        <f t="shared" ref="X218:X219" si="50">W218</f>
        <v>667204.55999999994</v>
      </c>
      <c r="Y218" s="36"/>
      <c r="Z218" s="36"/>
      <c r="AA218" s="113"/>
    </row>
    <row r="219" spans="1:27" ht="21.75" customHeight="1">
      <c r="A219" s="35">
        <f t="shared" si="46"/>
        <v>214</v>
      </c>
      <c r="B219" s="36" t="s">
        <v>1021</v>
      </c>
      <c r="C219" s="21" t="s">
        <v>994</v>
      </c>
      <c r="D219" s="19">
        <v>41971</v>
      </c>
      <c r="E219" s="27" t="s">
        <v>1001</v>
      </c>
      <c r="F219" s="22" t="s">
        <v>278</v>
      </c>
      <c r="G219" s="22" t="s">
        <v>44</v>
      </c>
      <c r="H219" s="22" t="s">
        <v>133</v>
      </c>
      <c r="I219" s="37">
        <v>801.22</v>
      </c>
      <c r="J219" s="19">
        <v>41945</v>
      </c>
      <c r="K219" s="51" t="s">
        <v>96</v>
      </c>
      <c r="L219" s="51" t="s">
        <v>49</v>
      </c>
      <c r="M219" s="22" t="s">
        <v>77</v>
      </c>
      <c r="N219" s="78" t="s">
        <v>145</v>
      </c>
      <c r="O219" s="57">
        <v>259967</v>
      </c>
      <c r="P219" s="38">
        <f t="shared" si="42"/>
        <v>21900399.980999999</v>
      </c>
      <c r="Q219" s="39" t="s">
        <v>32</v>
      </c>
      <c r="R219" s="9">
        <v>84.242999999999995</v>
      </c>
      <c r="S219" s="40">
        <f t="shared" si="47"/>
        <v>42034</v>
      </c>
      <c r="T219" s="22" t="s">
        <v>278</v>
      </c>
      <c r="U219" s="41">
        <f t="shared" si="49"/>
        <v>26280.479977199997</v>
      </c>
      <c r="V219" s="85">
        <v>165</v>
      </c>
      <c r="W219" s="38">
        <f t="shared" si="39"/>
        <v>4336279.1962379999</v>
      </c>
      <c r="X219" s="70">
        <f t="shared" si="50"/>
        <v>4336279.1962379999</v>
      </c>
      <c r="Y219" s="36"/>
      <c r="Z219" s="36"/>
      <c r="AA219" s="113"/>
    </row>
    <row r="220" spans="1:27" ht="21.75" customHeight="1">
      <c r="A220" s="35">
        <f t="shared" si="46"/>
        <v>215</v>
      </c>
      <c r="B220" s="36" t="s">
        <v>1022</v>
      </c>
      <c r="C220" s="44" t="s">
        <v>72</v>
      </c>
      <c r="D220" s="21"/>
      <c r="E220" s="27" t="s">
        <v>1002</v>
      </c>
      <c r="F220" s="22" t="s">
        <v>278</v>
      </c>
      <c r="G220" s="22" t="s">
        <v>44</v>
      </c>
      <c r="H220" s="22" t="s">
        <v>159</v>
      </c>
      <c r="I220" s="37">
        <v>801.22</v>
      </c>
      <c r="J220" s="19">
        <v>41951</v>
      </c>
      <c r="K220" s="51" t="s">
        <v>1016</v>
      </c>
      <c r="L220" s="51" t="s">
        <v>160</v>
      </c>
      <c r="M220" s="22" t="s">
        <v>50</v>
      </c>
      <c r="N220" s="78" t="s">
        <v>51</v>
      </c>
      <c r="O220" s="57">
        <v>361426</v>
      </c>
      <c r="P220" s="38">
        <f t="shared" si="42"/>
        <v>28427239.178000003</v>
      </c>
      <c r="Q220" s="39" t="s">
        <v>32</v>
      </c>
      <c r="R220" s="9">
        <v>78.653000000000006</v>
      </c>
      <c r="S220" s="40">
        <f t="shared" si="47"/>
        <v>42040</v>
      </c>
      <c r="T220" s="22" t="s">
        <v>278</v>
      </c>
      <c r="U220" s="41">
        <f t="shared" si="49"/>
        <v>34112.6870136</v>
      </c>
      <c r="V220" s="85">
        <v>165</v>
      </c>
      <c r="W220" s="38">
        <f t="shared" si="39"/>
        <v>5628593.3572439998</v>
      </c>
      <c r="X220" s="83">
        <v>0</v>
      </c>
      <c r="Y220" s="36"/>
      <c r="Z220" s="36"/>
      <c r="AA220" s="113"/>
    </row>
    <row r="221" spans="1:27" ht="21.75" customHeight="1">
      <c r="A221" s="35">
        <f t="shared" si="46"/>
        <v>216</v>
      </c>
      <c r="B221" s="36" t="s">
        <v>1023</v>
      </c>
      <c r="C221" s="44" t="s">
        <v>72</v>
      </c>
      <c r="D221" s="21"/>
      <c r="E221" s="27" t="s">
        <v>1043</v>
      </c>
      <c r="F221" s="22" t="s">
        <v>163</v>
      </c>
      <c r="G221" s="22" t="s">
        <v>34</v>
      </c>
      <c r="H221" s="22" t="s">
        <v>159</v>
      </c>
      <c r="I221" s="37">
        <v>801.22</v>
      </c>
      <c r="J221" s="19">
        <v>41951</v>
      </c>
      <c r="K221" s="51" t="s">
        <v>1016</v>
      </c>
      <c r="L221" s="51" t="s">
        <v>160</v>
      </c>
      <c r="M221" s="22" t="s">
        <v>50</v>
      </c>
      <c r="N221" s="78" t="s">
        <v>51</v>
      </c>
      <c r="O221" s="57">
        <v>240737</v>
      </c>
      <c r="P221" s="38">
        <f t="shared" si="42"/>
        <v>18934687.261</v>
      </c>
      <c r="Q221" s="39" t="s">
        <v>32</v>
      </c>
      <c r="R221" s="9">
        <v>78.653000000000006</v>
      </c>
      <c r="S221" s="40">
        <f t="shared" si="47"/>
        <v>42040</v>
      </c>
      <c r="T221" s="20" t="s">
        <v>38</v>
      </c>
      <c r="U221" s="41">
        <f t="shared" si="49"/>
        <v>22721.624713199999</v>
      </c>
      <c r="V221" s="85">
        <v>165</v>
      </c>
      <c r="W221" s="38">
        <f t="shared" si="39"/>
        <v>3749068.0776779996</v>
      </c>
      <c r="X221" s="83">
        <v>0</v>
      </c>
      <c r="Y221" s="36"/>
      <c r="Z221" s="36"/>
      <c r="AA221" s="113"/>
    </row>
    <row r="222" spans="1:27" ht="21.75" customHeight="1">
      <c r="A222" s="35">
        <f t="shared" si="46"/>
        <v>217</v>
      </c>
      <c r="B222" s="36" t="s">
        <v>1024</v>
      </c>
      <c r="C222" s="21" t="s">
        <v>995</v>
      </c>
      <c r="D222" s="19">
        <v>41971</v>
      </c>
      <c r="E222" s="27" t="s">
        <v>1003</v>
      </c>
      <c r="F222" s="22" t="s">
        <v>278</v>
      </c>
      <c r="G222" s="22" t="s">
        <v>44</v>
      </c>
      <c r="H222" s="22" t="s">
        <v>133</v>
      </c>
      <c r="I222" s="37">
        <v>801.22</v>
      </c>
      <c r="J222" s="19">
        <v>41952</v>
      </c>
      <c r="K222" s="51" t="s">
        <v>161</v>
      </c>
      <c r="L222" s="51" t="s">
        <v>49</v>
      </c>
      <c r="M222" s="22" t="s">
        <v>56</v>
      </c>
      <c r="N222" s="20" t="s">
        <v>57</v>
      </c>
      <c r="O222" s="57">
        <v>549998</v>
      </c>
      <c r="P222" s="38">
        <f t="shared" si="42"/>
        <v>45372085.010000005</v>
      </c>
      <c r="Q222" s="39" t="s">
        <v>32</v>
      </c>
      <c r="R222" s="9">
        <v>82.495000000000005</v>
      </c>
      <c r="S222" s="40">
        <f t="shared" si="47"/>
        <v>42041</v>
      </c>
      <c r="T222" s="22" t="s">
        <v>278</v>
      </c>
      <c r="U222" s="41">
        <f t="shared" si="49"/>
        <v>54446.502012000004</v>
      </c>
      <c r="V222" s="85">
        <v>165</v>
      </c>
      <c r="W222" s="38">
        <f t="shared" si="39"/>
        <v>8983672.8319800012</v>
      </c>
      <c r="X222" s="70">
        <f t="shared" ref="X222:X223" si="51">W222</f>
        <v>8983672.8319800012</v>
      </c>
      <c r="Y222" s="36"/>
      <c r="Z222" s="36"/>
      <c r="AA222" s="113"/>
    </row>
    <row r="223" spans="1:27" ht="21.75" customHeight="1">
      <c r="A223" s="35">
        <f t="shared" si="46"/>
        <v>218</v>
      </c>
      <c r="B223" s="36" t="s">
        <v>1025</v>
      </c>
      <c r="C223" s="21" t="s">
        <v>996</v>
      </c>
      <c r="D223" s="19">
        <v>41971</v>
      </c>
      <c r="E223" s="27" t="s">
        <v>1004</v>
      </c>
      <c r="F223" s="22" t="s">
        <v>278</v>
      </c>
      <c r="G223" s="22" t="s">
        <v>44</v>
      </c>
      <c r="H223" s="22" t="s">
        <v>133</v>
      </c>
      <c r="I223" s="37">
        <v>801.22</v>
      </c>
      <c r="J223" s="19">
        <v>41952</v>
      </c>
      <c r="K223" s="51" t="s">
        <v>161</v>
      </c>
      <c r="L223" s="51" t="s">
        <v>49</v>
      </c>
      <c r="M223" s="22" t="s">
        <v>56</v>
      </c>
      <c r="N223" s="20" t="s">
        <v>57</v>
      </c>
      <c r="O223" s="57">
        <v>100000</v>
      </c>
      <c r="P223" s="38">
        <f t="shared" si="42"/>
        <v>8249500</v>
      </c>
      <c r="Q223" s="39" t="s">
        <v>32</v>
      </c>
      <c r="R223" s="9">
        <v>82.495000000000005</v>
      </c>
      <c r="S223" s="40">
        <f t="shared" si="47"/>
        <v>42041</v>
      </c>
      <c r="T223" s="22" t="s">
        <v>278</v>
      </c>
      <c r="U223" s="41">
        <f t="shared" si="49"/>
        <v>9899.4</v>
      </c>
      <c r="V223" s="85">
        <v>165</v>
      </c>
      <c r="W223" s="38">
        <f t="shared" si="39"/>
        <v>1633401</v>
      </c>
      <c r="X223" s="70">
        <f t="shared" si="51"/>
        <v>1633401</v>
      </c>
      <c r="Y223" s="36"/>
      <c r="Z223" s="36"/>
      <c r="AA223" s="113"/>
    </row>
    <row r="224" spans="1:27" ht="21.75" customHeight="1">
      <c r="A224" s="35">
        <f t="shared" si="46"/>
        <v>219</v>
      </c>
      <c r="B224" s="36" t="s">
        <v>1026</v>
      </c>
      <c r="C224" s="44" t="s">
        <v>72</v>
      </c>
      <c r="D224" s="21"/>
      <c r="E224" s="27" t="s">
        <v>1044</v>
      </c>
      <c r="F224" s="22" t="s">
        <v>163</v>
      </c>
      <c r="G224" s="22" t="s">
        <v>34</v>
      </c>
      <c r="H224" s="22" t="s">
        <v>35</v>
      </c>
      <c r="I224" s="37">
        <v>801.22</v>
      </c>
      <c r="J224" s="19">
        <v>41953</v>
      </c>
      <c r="K224" s="51" t="s">
        <v>99</v>
      </c>
      <c r="L224" s="74" t="s">
        <v>36</v>
      </c>
      <c r="M224" s="22" t="s">
        <v>67</v>
      </c>
      <c r="N224" s="20" t="s">
        <v>68</v>
      </c>
      <c r="O224" s="57">
        <v>909781</v>
      </c>
      <c r="P224" s="38">
        <f t="shared" si="42"/>
        <v>75521830.590999991</v>
      </c>
      <c r="Q224" s="39" t="s">
        <v>32</v>
      </c>
      <c r="R224" s="49">
        <v>83.010999999999996</v>
      </c>
      <c r="S224" s="40">
        <f t="shared" si="47"/>
        <v>42042</v>
      </c>
      <c r="T224" s="22" t="s">
        <v>38</v>
      </c>
      <c r="U224" s="41">
        <f t="shared" si="49"/>
        <v>90626.196709199983</v>
      </c>
      <c r="V224" s="85">
        <v>165</v>
      </c>
      <c r="W224" s="38">
        <f t="shared" si="39"/>
        <v>14953322.457017997</v>
      </c>
      <c r="X224" s="83">
        <v>0</v>
      </c>
      <c r="Y224" s="36"/>
      <c r="Z224" s="36"/>
      <c r="AA224" s="113"/>
    </row>
    <row r="225" spans="1:27" ht="21.75" customHeight="1">
      <c r="A225" s="35">
        <f t="shared" si="46"/>
        <v>220</v>
      </c>
      <c r="B225" s="36" t="s">
        <v>1027</v>
      </c>
      <c r="C225" s="44" t="s">
        <v>72</v>
      </c>
      <c r="D225" s="21"/>
      <c r="E225" s="27" t="s">
        <v>1005</v>
      </c>
      <c r="F225" s="22" t="s">
        <v>163</v>
      </c>
      <c r="G225" s="22" t="s">
        <v>65</v>
      </c>
      <c r="H225" s="22" t="s">
        <v>133</v>
      </c>
      <c r="I225" s="37">
        <v>801.22</v>
      </c>
      <c r="J225" s="19">
        <v>41956</v>
      </c>
      <c r="K225" s="51" t="s">
        <v>1017</v>
      </c>
      <c r="L225" s="74" t="s">
        <v>49</v>
      </c>
      <c r="M225" s="22" t="s">
        <v>37</v>
      </c>
      <c r="N225" s="20" t="s">
        <v>336</v>
      </c>
      <c r="O225" s="57">
        <v>551867</v>
      </c>
      <c r="P225" s="38">
        <f t="shared" si="42"/>
        <v>42680841.913000003</v>
      </c>
      <c r="Q225" s="39" t="s">
        <v>32</v>
      </c>
      <c r="R225" s="49">
        <v>77.338999999999999</v>
      </c>
      <c r="S225" s="40">
        <f t="shared" si="47"/>
        <v>42045</v>
      </c>
      <c r="T225" s="22" t="s">
        <v>163</v>
      </c>
      <c r="U225" s="41">
        <f t="shared" si="49"/>
        <v>51217.010295599997</v>
      </c>
      <c r="V225" s="85">
        <v>165</v>
      </c>
      <c r="W225" s="38">
        <f t="shared" si="39"/>
        <v>8450806.6987739988</v>
      </c>
      <c r="X225" s="83">
        <v>0</v>
      </c>
      <c r="Y225" s="36"/>
      <c r="Z225" s="36"/>
      <c r="AA225" s="113"/>
    </row>
    <row r="226" spans="1:27" ht="21.75" customHeight="1">
      <c r="A226" s="35">
        <f t="shared" si="46"/>
        <v>221</v>
      </c>
      <c r="B226" s="36" t="s">
        <v>1028</v>
      </c>
      <c r="C226" s="44" t="s">
        <v>72</v>
      </c>
      <c r="D226" s="21"/>
      <c r="E226" s="27" t="s">
        <v>1006</v>
      </c>
      <c r="F226" s="22" t="s">
        <v>278</v>
      </c>
      <c r="G226" s="22" t="s">
        <v>44</v>
      </c>
      <c r="H226" s="22" t="s">
        <v>133</v>
      </c>
      <c r="I226" s="37">
        <v>801.22</v>
      </c>
      <c r="J226" s="19">
        <v>41958</v>
      </c>
      <c r="K226" s="51" t="s">
        <v>96</v>
      </c>
      <c r="L226" s="74" t="s">
        <v>49</v>
      </c>
      <c r="M226" s="22" t="s">
        <v>77</v>
      </c>
      <c r="N226" s="20" t="s">
        <v>145</v>
      </c>
      <c r="O226" s="57">
        <v>599852</v>
      </c>
      <c r="P226" s="38">
        <f t="shared" si="42"/>
        <v>46294777.804000005</v>
      </c>
      <c r="Q226" s="39" t="s">
        <v>32</v>
      </c>
      <c r="R226" s="49">
        <v>77.177000000000007</v>
      </c>
      <c r="S226" s="40">
        <f t="shared" si="47"/>
        <v>42047</v>
      </c>
      <c r="T226" s="22" t="s">
        <v>278</v>
      </c>
      <c r="U226" s="41">
        <f t="shared" si="49"/>
        <v>55553.733364799999</v>
      </c>
      <c r="V226" s="85">
        <v>165</v>
      </c>
      <c r="W226" s="38">
        <f t="shared" si="39"/>
        <v>9166366.0051920004</v>
      </c>
      <c r="X226" s="83">
        <v>0</v>
      </c>
      <c r="Y226" s="36"/>
      <c r="Z226" s="36"/>
      <c r="AA226" s="113"/>
    </row>
    <row r="227" spans="1:27" ht="21.75" customHeight="1">
      <c r="A227" s="35">
        <f t="shared" si="46"/>
        <v>222</v>
      </c>
      <c r="B227" s="36" t="s">
        <v>1029</v>
      </c>
      <c r="C227" s="21" t="s">
        <v>997</v>
      </c>
      <c r="D227" s="19">
        <v>41971</v>
      </c>
      <c r="E227" s="26" t="s">
        <v>1007</v>
      </c>
      <c r="F227" s="22" t="s">
        <v>278</v>
      </c>
      <c r="G227" s="22" t="s">
        <v>44</v>
      </c>
      <c r="H227" s="22" t="s">
        <v>29</v>
      </c>
      <c r="I227" s="37">
        <v>801.22</v>
      </c>
      <c r="J227" s="19">
        <v>41966</v>
      </c>
      <c r="K227" s="51" t="s">
        <v>148</v>
      </c>
      <c r="L227" s="51" t="s">
        <v>30</v>
      </c>
      <c r="M227" s="22" t="s">
        <v>116</v>
      </c>
      <c r="N227" s="20" t="s">
        <v>175</v>
      </c>
      <c r="O227" s="57">
        <v>400000</v>
      </c>
      <c r="P227" s="38">
        <f t="shared" si="42"/>
        <v>31454000.000000004</v>
      </c>
      <c r="Q227" s="39" t="s">
        <v>32</v>
      </c>
      <c r="R227" s="49">
        <v>78.635000000000005</v>
      </c>
      <c r="S227" s="40">
        <f t="shared" si="47"/>
        <v>42055</v>
      </c>
      <c r="T227" s="22" t="s">
        <v>278</v>
      </c>
      <c r="U227" s="41">
        <f t="shared" si="49"/>
        <v>37744.800000000003</v>
      </c>
      <c r="V227" s="85">
        <v>165</v>
      </c>
      <c r="W227" s="38">
        <f t="shared" si="39"/>
        <v>6227892.0000000009</v>
      </c>
      <c r="X227" s="70">
        <f t="shared" ref="X227:X228" si="52">W227</f>
        <v>6227892.0000000009</v>
      </c>
      <c r="Y227" s="36"/>
      <c r="Z227" s="36"/>
      <c r="AA227" s="113"/>
    </row>
    <row r="228" spans="1:27" ht="21.75" customHeight="1">
      <c r="A228" s="35">
        <f t="shared" si="46"/>
        <v>223</v>
      </c>
      <c r="B228" s="36" t="s">
        <v>1030</v>
      </c>
      <c r="C228" s="21" t="s">
        <v>998</v>
      </c>
      <c r="D228" s="19">
        <v>41971</v>
      </c>
      <c r="E228" s="26" t="s">
        <v>1008</v>
      </c>
      <c r="F228" s="22" t="s">
        <v>278</v>
      </c>
      <c r="G228" s="22" t="s">
        <v>44</v>
      </c>
      <c r="H228" s="22" t="s">
        <v>29</v>
      </c>
      <c r="I228" s="37">
        <v>801.22</v>
      </c>
      <c r="J228" s="19">
        <v>41966</v>
      </c>
      <c r="K228" s="51" t="s">
        <v>148</v>
      </c>
      <c r="L228" s="51" t="s">
        <v>30</v>
      </c>
      <c r="M228" s="22" t="s">
        <v>116</v>
      </c>
      <c r="N228" s="20" t="s">
        <v>175</v>
      </c>
      <c r="O228" s="57">
        <v>547848</v>
      </c>
      <c r="P228" s="38">
        <f t="shared" si="42"/>
        <v>43080027.480000004</v>
      </c>
      <c r="Q228" s="39" t="s">
        <v>32</v>
      </c>
      <c r="R228" s="49">
        <v>78.635000000000005</v>
      </c>
      <c r="S228" s="40">
        <f t="shared" si="47"/>
        <v>42055</v>
      </c>
      <c r="T228" s="22" t="s">
        <v>278</v>
      </c>
      <c r="U228" s="41">
        <f t="shared" si="49"/>
        <v>51696.032976000002</v>
      </c>
      <c r="V228" s="85">
        <v>165</v>
      </c>
      <c r="W228" s="38">
        <f t="shared" si="39"/>
        <v>8529845.4410399999</v>
      </c>
      <c r="X228" s="70">
        <f t="shared" si="52"/>
        <v>8529845.4410399999</v>
      </c>
      <c r="Y228" s="36"/>
      <c r="Z228" s="36"/>
      <c r="AA228" s="113"/>
    </row>
    <row r="229" spans="1:27" ht="21.75" customHeight="1">
      <c r="A229" s="35">
        <f t="shared" si="46"/>
        <v>224</v>
      </c>
      <c r="B229" s="36" t="s">
        <v>1031</v>
      </c>
      <c r="C229" s="44" t="s">
        <v>72</v>
      </c>
      <c r="D229" s="21"/>
      <c r="E229" s="27" t="s">
        <v>1009</v>
      </c>
      <c r="F229" s="22" t="s">
        <v>278</v>
      </c>
      <c r="G229" s="22" t="s">
        <v>44</v>
      </c>
      <c r="H229" s="22" t="s">
        <v>133</v>
      </c>
      <c r="I229" s="37">
        <v>801.22</v>
      </c>
      <c r="J229" s="19">
        <v>41966</v>
      </c>
      <c r="K229" s="51" t="s">
        <v>1018</v>
      </c>
      <c r="L229" s="74" t="s">
        <v>49</v>
      </c>
      <c r="M229" s="22" t="s">
        <v>77</v>
      </c>
      <c r="N229" s="20" t="s">
        <v>103</v>
      </c>
      <c r="O229" s="57">
        <v>349722</v>
      </c>
      <c r="P229" s="38">
        <f t="shared" si="42"/>
        <v>27619294.949999999</v>
      </c>
      <c r="Q229" s="39" t="s">
        <v>32</v>
      </c>
      <c r="R229" s="9">
        <v>78.974999999999994</v>
      </c>
      <c r="S229" s="40">
        <f t="shared" si="47"/>
        <v>42055</v>
      </c>
      <c r="T229" s="22" t="s">
        <v>278</v>
      </c>
      <c r="U229" s="41">
        <f t="shared" si="49"/>
        <v>33143.153939999997</v>
      </c>
      <c r="V229" s="85">
        <v>165</v>
      </c>
      <c r="W229" s="38">
        <f t="shared" si="39"/>
        <v>5468620.4000999993</v>
      </c>
      <c r="X229" s="83">
        <v>0</v>
      </c>
      <c r="Y229" s="36"/>
      <c r="Z229" s="36"/>
      <c r="AA229" s="113"/>
    </row>
    <row r="230" spans="1:27" ht="21.75" customHeight="1">
      <c r="A230" s="35">
        <f t="shared" si="46"/>
        <v>225</v>
      </c>
      <c r="B230" s="36" t="s">
        <v>1032</v>
      </c>
      <c r="C230" s="44" t="s">
        <v>72</v>
      </c>
      <c r="D230" s="21"/>
      <c r="E230" s="27" t="s">
        <v>1010</v>
      </c>
      <c r="F230" s="22" t="s">
        <v>120</v>
      </c>
      <c r="G230" s="22" t="s">
        <v>53</v>
      </c>
      <c r="H230" s="22" t="s">
        <v>133</v>
      </c>
      <c r="I230" s="37">
        <v>801.22</v>
      </c>
      <c r="J230" s="19">
        <v>41971</v>
      </c>
      <c r="K230" s="51" t="s">
        <v>127</v>
      </c>
      <c r="L230" s="51" t="s">
        <v>49</v>
      </c>
      <c r="M230" s="22" t="s">
        <v>31</v>
      </c>
      <c r="N230" s="20" t="s">
        <v>108</v>
      </c>
      <c r="O230" s="57">
        <v>571837</v>
      </c>
      <c r="P230" s="38">
        <f t="shared" si="42"/>
        <v>41530233.962000005</v>
      </c>
      <c r="Q230" s="39" t="s">
        <v>32</v>
      </c>
      <c r="R230" s="9">
        <v>72.626000000000005</v>
      </c>
      <c r="S230" s="40">
        <f t="shared" si="47"/>
        <v>42060</v>
      </c>
      <c r="T230" s="22" t="s">
        <v>38</v>
      </c>
      <c r="U230" s="41">
        <f t="shared" si="49"/>
        <v>49836.280754400002</v>
      </c>
      <c r="V230" s="85">
        <v>165</v>
      </c>
      <c r="W230" s="38">
        <f t="shared" si="39"/>
        <v>8222986.3244760009</v>
      </c>
      <c r="X230" s="83">
        <v>0</v>
      </c>
      <c r="Y230" s="36"/>
      <c r="Z230" s="36"/>
      <c r="AA230" s="113"/>
    </row>
    <row r="231" spans="1:27" ht="21.75" customHeight="1">
      <c r="A231" s="35">
        <f t="shared" si="46"/>
        <v>226</v>
      </c>
      <c r="B231" s="36" t="s">
        <v>1033</v>
      </c>
      <c r="C231" s="44" t="s">
        <v>72</v>
      </c>
      <c r="D231" s="21"/>
      <c r="E231" s="27" t="s">
        <v>1011</v>
      </c>
      <c r="F231" s="22" t="s">
        <v>120</v>
      </c>
      <c r="G231" s="22" t="s">
        <v>47</v>
      </c>
      <c r="H231" s="22" t="s">
        <v>133</v>
      </c>
      <c r="I231" s="37">
        <v>801.22</v>
      </c>
      <c r="J231" s="19">
        <v>41971</v>
      </c>
      <c r="K231" s="51" t="s">
        <v>127</v>
      </c>
      <c r="L231" s="51" t="s">
        <v>49</v>
      </c>
      <c r="M231" s="22" t="s">
        <v>31</v>
      </c>
      <c r="N231" s="20" t="s">
        <v>108</v>
      </c>
      <c r="O231" s="57">
        <v>100000</v>
      </c>
      <c r="P231" s="38">
        <f t="shared" si="42"/>
        <v>7262600.0000000009</v>
      </c>
      <c r="Q231" s="39" t="s">
        <v>32</v>
      </c>
      <c r="R231" s="9">
        <v>72.626000000000005</v>
      </c>
      <c r="S231" s="40">
        <f t="shared" si="47"/>
        <v>42060</v>
      </c>
      <c r="T231" s="22" t="s">
        <v>38</v>
      </c>
      <c r="U231" s="41">
        <f t="shared" si="49"/>
        <v>8715.1200000000008</v>
      </c>
      <c r="V231" s="85">
        <v>165</v>
      </c>
      <c r="W231" s="38">
        <f t="shared" si="39"/>
        <v>1437994.8</v>
      </c>
      <c r="X231" s="83">
        <v>0</v>
      </c>
      <c r="Y231" s="36"/>
      <c r="Z231" s="36"/>
      <c r="AA231" s="113"/>
    </row>
    <row r="232" spans="1:27" ht="21.75" customHeight="1">
      <c r="A232" s="35">
        <f t="shared" si="46"/>
        <v>227</v>
      </c>
      <c r="B232" s="36" t="s">
        <v>1034</v>
      </c>
      <c r="C232" s="44" t="s">
        <v>72</v>
      </c>
      <c r="D232" s="21"/>
      <c r="E232" s="27" t="s">
        <v>1012</v>
      </c>
      <c r="F232" s="22" t="s">
        <v>39</v>
      </c>
      <c r="G232" s="22" t="s">
        <v>97</v>
      </c>
      <c r="H232" s="22" t="s">
        <v>133</v>
      </c>
      <c r="I232" s="37">
        <v>801.22</v>
      </c>
      <c r="J232" s="19">
        <v>41971</v>
      </c>
      <c r="K232" s="51" t="s">
        <v>127</v>
      </c>
      <c r="L232" s="51" t="s">
        <v>49</v>
      </c>
      <c r="M232" s="22" t="s">
        <v>31</v>
      </c>
      <c r="N232" s="20" t="s">
        <v>108</v>
      </c>
      <c r="O232" s="57">
        <v>65000</v>
      </c>
      <c r="P232" s="38">
        <f t="shared" si="42"/>
        <v>5116085</v>
      </c>
      <c r="Q232" s="39" t="s">
        <v>32</v>
      </c>
      <c r="R232" s="9">
        <v>78.709000000000003</v>
      </c>
      <c r="S232" s="40">
        <f t="shared" si="47"/>
        <v>42060</v>
      </c>
      <c r="T232" s="22" t="s">
        <v>39</v>
      </c>
      <c r="U232" s="41">
        <f t="shared" si="49"/>
        <v>6139.3019999999997</v>
      </c>
      <c r="V232" s="85">
        <v>165</v>
      </c>
      <c r="W232" s="38">
        <f t="shared" ref="W232:W258" si="53">SUM(U232*V232)</f>
        <v>1012984.83</v>
      </c>
      <c r="X232" s="83">
        <v>0</v>
      </c>
      <c r="Y232" s="36"/>
      <c r="Z232" s="36"/>
      <c r="AA232" s="113"/>
    </row>
    <row r="233" spans="1:27" ht="21.75" customHeight="1">
      <c r="A233" s="35">
        <f t="shared" si="46"/>
        <v>228</v>
      </c>
      <c r="B233" s="36" t="s">
        <v>1035</v>
      </c>
      <c r="C233" s="44" t="s">
        <v>72</v>
      </c>
      <c r="D233" s="21"/>
      <c r="E233" s="27" t="s">
        <v>1013</v>
      </c>
      <c r="F233" s="22" t="s">
        <v>39</v>
      </c>
      <c r="G233" s="22" t="s">
        <v>97</v>
      </c>
      <c r="H233" s="22" t="s">
        <v>133</v>
      </c>
      <c r="I233" s="37">
        <v>801.22</v>
      </c>
      <c r="J233" s="19">
        <v>41971</v>
      </c>
      <c r="K233" s="51" t="s">
        <v>127</v>
      </c>
      <c r="L233" s="51" t="s">
        <v>49</v>
      </c>
      <c r="M233" s="22" t="s">
        <v>31</v>
      </c>
      <c r="N233" s="20" t="s">
        <v>108</v>
      </c>
      <c r="O233" s="57">
        <v>61000</v>
      </c>
      <c r="P233" s="38">
        <f t="shared" si="42"/>
        <v>4801249</v>
      </c>
      <c r="Q233" s="39" t="s">
        <v>32</v>
      </c>
      <c r="R233" s="9">
        <v>78.709000000000003</v>
      </c>
      <c r="S233" s="40">
        <f t="shared" si="47"/>
        <v>42060</v>
      </c>
      <c r="T233" s="22" t="s">
        <v>39</v>
      </c>
      <c r="U233" s="41">
        <f t="shared" si="49"/>
        <v>5761.4987999999994</v>
      </c>
      <c r="V233" s="85">
        <v>165</v>
      </c>
      <c r="W233" s="38">
        <f t="shared" si="53"/>
        <v>950647.30199999991</v>
      </c>
      <c r="X233" s="83">
        <v>0</v>
      </c>
      <c r="Y233" s="36"/>
      <c r="Z233" s="36"/>
      <c r="AA233" s="113"/>
    </row>
    <row r="234" spans="1:27" ht="21.75" customHeight="1">
      <c r="A234" s="35">
        <f t="shared" si="46"/>
        <v>229</v>
      </c>
      <c r="B234" s="36" t="s">
        <v>1036</v>
      </c>
      <c r="C234" s="44" t="s">
        <v>72</v>
      </c>
      <c r="D234" s="21"/>
      <c r="E234" s="27" t="s">
        <v>1014</v>
      </c>
      <c r="F234" s="22" t="s">
        <v>187</v>
      </c>
      <c r="G234" s="22" t="s">
        <v>97</v>
      </c>
      <c r="H234" s="22" t="s">
        <v>133</v>
      </c>
      <c r="I234" s="37">
        <v>801.22</v>
      </c>
      <c r="J234" s="19">
        <v>41971</v>
      </c>
      <c r="K234" s="51" t="s">
        <v>127</v>
      </c>
      <c r="L234" s="51" t="s">
        <v>49</v>
      </c>
      <c r="M234" s="22" t="s">
        <v>31</v>
      </c>
      <c r="N234" s="20" t="s">
        <v>108</v>
      </c>
      <c r="O234" s="57">
        <v>45000</v>
      </c>
      <c r="P234" s="38">
        <f t="shared" si="42"/>
        <v>3541905</v>
      </c>
      <c r="Q234" s="39" t="s">
        <v>32</v>
      </c>
      <c r="R234" s="9">
        <v>78.709000000000003</v>
      </c>
      <c r="S234" s="40">
        <f t="shared" si="47"/>
        <v>42060</v>
      </c>
      <c r="T234" s="22" t="s">
        <v>39</v>
      </c>
      <c r="U234" s="41">
        <f t="shared" si="49"/>
        <v>4250.2860000000001</v>
      </c>
      <c r="V234" s="85">
        <v>165</v>
      </c>
      <c r="W234" s="38">
        <f t="shared" si="53"/>
        <v>701297.19000000006</v>
      </c>
      <c r="X234" s="83">
        <v>0</v>
      </c>
      <c r="Y234" s="36"/>
      <c r="Z234" s="36"/>
      <c r="AA234" s="113"/>
    </row>
    <row r="235" spans="1:27" ht="21.75" customHeight="1">
      <c r="A235" s="35">
        <f t="shared" si="46"/>
        <v>230</v>
      </c>
      <c r="B235" s="36" t="s">
        <v>1037</v>
      </c>
      <c r="C235" s="44" t="s">
        <v>72</v>
      </c>
      <c r="D235" s="21"/>
      <c r="E235" s="27" t="s">
        <v>1015</v>
      </c>
      <c r="F235" s="22" t="s">
        <v>130</v>
      </c>
      <c r="G235" s="22" t="s">
        <v>87</v>
      </c>
      <c r="H235" s="22" t="s">
        <v>133</v>
      </c>
      <c r="I235" s="37">
        <v>801.22</v>
      </c>
      <c r="J235" s="19">
        <v>41971</v>
      </c>
      <c r="K235" s="51" t="s">
        <v>127</v>
      </c>
      <c r="L235" s="51" t="s">
        <v>49</v>
      </c>
      <c r="M235" s="22" t="s">
        <v>31</v>
      </c>
      <c r="N235" s="20" t="s">
        <v>108</v>
      </c>
      <c r="O235" s="57">
        <v>169000</v>
      </c>
      <c r="P235" s="38">
        <f t="shared" si="42"/>
        <v>12273794</v>
      </c>
      <c r="Q235" s="39" t="s">
        <v>32</v>
      </c>
      <c r="R235" s="9">
        <v>72.626000000000005</v>
      </c>
      <c r="S235" s="40">
        <f t="shared" si="47"/>
        <v>42060</v>
      </c>
      <c r="T235" s="20" t="s">
        <v>144</v>
      </c>
      <c r="U235" s="41">
        <f t="shared" si="49"/>
        <v>14728.552799999999</v>
      </c>
      <c r="V235" s="85">
        <v>165</v>
      </c>
      <c r="W235" s="38">
        <f t="shared" si="53"/>
        <v>2430211.2119999998</v>
      </c>
      <c r="X235" s="83">
        <v>0</v>
      </c>
      <c r="Y235" s="36"/>
      <c r="Z235" s="36"/>
      <c r="AA235" s="113"/>
    </row>
    <row r="236" spans="1:27" ht="19.5" customHeight="1">
      <c r="A236" s="35">
        <f t="shared" si="46"/>
        <v>231</v>
      </c>
      <c r="B236" s="36" t="s">
        <v>1088</v>
      </c>
      <c r="C236" s="44" t="s">
        <v>72</v>
      </c>
      <c r="D236" s="21"/>
      <c r="E236" s="27" t="s">
        <v>1045</v>
      </c>
      <c r="F236" s="22" t="s">
        <v>150</v>
      </c>
      <c r="G236" s="22" t="s">
        <v>279</v>
      </c>
      <c r="H236" s="22" t="s">
        <v>159</v>
      </c>
      <c r="I236" s="37">
        <v>801.22</v>
      </c>
      <c r="J236" s="19">
        <v>41975</v>
      </c>
      <c r="K236" s="51" t="s">
        <v>1066</v>
      </c>
      <c r="L236" s="51" t="s">
        <v>160</v>
      </c>
      <c r="M236" s="22" t="s">
        <v>50</v>
      </c>
      <c r="N236" s="78" t="s">
        <v>51</v>
      </c>
      <c r="O236" s="57">
        <v>607670</v>
      </c>
      <c r="P236" s="38">
        <f t="shared" si="42"/>
        <v>40278190.609999999</v>
      </c>
      <c r="Q236" s="39" t="s">
        <v>32</v>
      </c>
      <c r="R236" s="9">
        <v>66.283000000000001</v>
      </c>
      <c r="S236" s="40">
        <f t="shared" si="47"/>
        <v>42064</v>
      </c>
      <c r="T236" s="22" t="s">
        <v>163</v>
      </c>
      <c r="U236" s="41">
        <f t="shared" si="49"/>
        <v>48333.828731999994</v>
      </c>
      <c r="V236" s="85">
        <v>168</v>
      </c>
      <c r="W236" s="38">
        <f t="shared" si="53"/>
        <v>8120083.2269759988</v>
      </c>
      <c r="X236" s="83">
        <v>0</v>
      </c>
      <c r="Y236" s="36"/>
      <c r="Z236" s="36"/>
      <c r="AA236" s="113"/>
    </row>
    <row r="237" spans="1:27" ht="19.5" customHeight="1">
      <c r="A237" s="35">
        <f t="shared" si="46"/>
        <v>232</v>
      </c>
      <c r="B237" s="36" t="s">
        <v>1090</v>
      </c>
      <c r="C237" s="21" t="s">
        <v>1077</v>
      </c>
      <c r="D237" s="19">
        <v>42004</v>
      </c>
      <c r="E237" s="27" t="s">
        <v>1046</v>
      </c>
      <c r="F237" s="22" t="s">
        <v>278</v>
      </c>
      <c r="G237" s="22" t="s">
        <v>44</v>
      </c>
      <c r="H237" s="22" t="s">
        <v>35</v>
      </c>
      <c r="I237" s="37">
        <v>801.22</v>
      </c>
      <c r="J237" s="19">
        <v>41975</v>
      </c>
      <c r="K237" s="51" t="s">
        <v>1067</v>
      </c>
      <c r="L237" s="51" t="s">
        <v>36</v>
      </c>
      <c r="M237" s="22" t="s">
        <v>74</v>
      </c>
      <c r="N237" s="78" t="s">
        <v>106</v>
      </c>
      <c r="O237" s="57">
        <v>961905</v>
      </c>
      <c r="P237" s="38">
        <f t="shared" si="42"/>
        <v>68932998.015000001</v>
      </c>
      <c r="Q237" s="39" t="s">
        <v>32</v>
      </c>
      <c r="R237" s="9">
        <v>71.662999999999997</v>
      </c>
      <c r="S237" s="40">
        <f t="shared" si="47"/>
        <v>42064</v>
      </c>
      <c r="T237" s="22" t="s">
        <v>278</v>
      </c>
      <c r="U237" s="41">
        <f t="shared" si="49"/>
        <v>82719.597618</v>
      </c>
      <c r="V237" s="85">
        <v>168</v>
      </c>
      <c r="W237" s="38">
        <f t="shared" si="53"/>
        <v>13896892.399824001</v>
      </c>
      <c r="X237" s="70">
        <f t="shared" ref="X237:X239" si="54">W237</f>
        <v>13896892.399824001</v>
      </c>
      <c r="Y237" s="36"/>
      <c r="Z237" s="36"/>
      <c r="AA237" s="113"/>
    </row>
    <row r="238" spans="1:27" ht="19.5" customHeight="1">
      <c r="A238" s="35">
        <f t="shared" si="46"/>
        <v>233</v>
      </c>
      <c r="B238" s="36" t="s">
        <v>1093</v>
      </c>
      <c r="C238" s="21" t="s">
        <v>1078</v>
      </c>
      <c r="D238" s="19">
        <v>42004</v>
      </c>
      <c r="E238" s="27" t="s">
        <v>1087</v>
      </c>
      <c r="F238" s="22" t="s">
        <v>278</v>
      </c>
      <c r="G238" s="22" t="s">
        <v>44</v>
      </c>
      <c r="H238" s="22" t="s">
        <v>45</v>
      </c>
      <c r="I238" s="37">
        <v>801.22</v>
      </c>
      <c r="J238" s="19">
        <v>41975</v>
      </c>
      <c r="K238" s="51" t="s">
        <v>1068</v>
      </c>
      <c r="L238" s="51" t="s">
        <v>46</v>
      </c>
      <c r="M238" s="22" t="s">
        <v>69</v>
      </c>
      <c r="N238" s="78" t="s">
        <v>1074</v>
      </c>
      <c r="O238" s="57">
        <v>899965</v>
      </c>
      <c r="P238" s="38">
        <f t="shared" si="42"/>
        <v>64449193.545000002</v>
      </c>
      <c r="Q238" s="39" t="s">
        <v>32</v>
      </c>
      <c r="R238" s="9">
        <v>71.613</v>
      </c>
      <c r="S238" s="40">
        <f t="shared" si="47"/>
        <v>42064</v>
      </c>
      <c r="T238" s="22" t="s">
        <v>278</v>
      </c>
      <c r="U238" s="41">
        <f t="shared" si="49"/>
        <v>77339.032253999991</v>
      </c>
      <c r="V238" s="85">
        <v>168</v>
      </c>
      <c r="W238" s="38">
        <f t="shared" si="53"/>
        <v>12992957.418671999</v>
      </c>
      <c r="X238" s="70">
        <f t="shared" si="54"/>
        <v>12992957.418671999</v>
      </c>
      <c r="Y238" s="36"/>
      <c r="Z238" s="36"/>
      <c r="AA238" s="113"/>
    </row>
    <row r="239" spans="1:27" ht="19.5" customHeight="1">
      <c r="A239" s="35">
        <f t="shared" si="46"/>
        <v>234</v>
      </c>
      <c r="B239" s="36" t="s">
        <v>1092</v>
      </c>
      <c r="C239" s="21" t="s">
        <v>1079</v>
      </c>
      <c r="D239" s="19">
        <v>42004</v>
      </c>
      <c r="E239" s="27" t="s">
        <v>1047</v>
      </c>
      <c r="F239" s="22" t="s">
        <v>278</v>
      </c>
      <c r="G239" s="22" t="s">
        <v>44</v>
      </c>
      <c r="H239" s="22" t="s">
        <v>133</v>
      </c>
      <c r="I239" s="37">
        <v>801.22</v>
      </c>
      <c r="J239" s="19">
        <v>41979</v>
      </c>
      <c r="K239" s="51" t="s">
        <v>1069</v>
      </c>
      <c r="L239" s="51" t="s">
        <v>49</v>
      </c>
      <c r="M239" s="22" t="s">
        <v>31</v>
      </c>
      <c r="N239" s="78" t="s">
        <v>108</v>
      </c>
      <c r="O239" s="57">
        <v>950116</v>
      </c>
      <c r="P239" s="38">
        <f t="shared" si="42"/>
        <v>64114777.795999996</v>
      </c>
      <c r="Q239" s="39" t="s">
        <v>32</v>
      </c>
      <c r="R239" s="9">
        <v>67.480999999999995</v>
      </c>
      <c r="S239" s="40">
        <f t="shared" si="47"/>
        <v>42068</v>
      </c>
      <c r="T239" s="22" t="s">
        <v>278</v>
      </c>
      <c r="U239" s="41">
        <f t="shared" si="49"/>
        <v>76937.733355199991</v>
      </c>
      <c r="V239" s="85">
        <v>168</v>
      </c>
      <c r="W239" s="38">
        <f t="shared" si="53"/>
        <v>12925539.203673599</v>
      </c>
      <c r="X239" s="70">
        <f t="shared" si="54"/>
        <v>12925539.203673599</v>
      </c>
      <c r="Y239" s="36"/>
      <c r="Z239" s="36"/>
      <c r="AA239" s="113"/>
    </row>
    <row r="240" spans="1:27" ht="19.5" customHeight="1">
      <c r="A240" s="35">
        <f t="shared" si="46"/>
        <v>235</v>
      </c>
      <c r="B240" s="36" t="s">
        <v>1094</v>
      </c>
      <c r="C240" s="44" t="s">
        <v>72</v>
      </c>
      <c r="D240" s="21"/>
      <c r="E240" s="27" t="s">
        <v>1048</v>
      </c>
      <c r="F240" s="22" t="s">
        <v>163</v>
      </c>
      <c r="G240" s="22" t="s">
        <v>65</v>
      </c>
      <c r="H240" s="22" t="s">
        <v>133</v>
      </c>
      <c r="I240" s="37">
        <v>801.22</v>
      </c>
      <c r="J240" s="19">
        <v>41984</v>
      </c>
      <c r="K240" s="51" t="s">
        <v>1070</v>
      </c>
      <c r="L240" s="51" t="s">
        <v>49</v>
      </c>
      <c r="M240" s="22" t="s">
        <v>37</v>
      </c>
      <c r="N240" s="78" t="s">
        <v>336</v>
      </c>
      <c r="O240" s="57">
        <v>571541</v>
      </c>
      <c r="P240" s="38">
        <f t="shared" si="42"/>
        <v>36312285.894000001</v>
      </c>
      <c r="Q240" s="39" t="s">
        <v>32</v>
      </c>
      <c r="R240" s="9">
        <v>63.533999999999999</v>
      </c>
      <c r="S240" s="40">
        <f t="shared" si="47"/>
        <v>42073</v>
      </c>
      <c r="T240" s="20" t="s">
        <v>38</v>
      </c>
      <c r="U240" s="41">
        <f t="shared" si="49"/>
        <v>43574.743072799996</v>
      </c>
      <c r="V240" s="85">
        <v>168</v>
      </c>
      <c r="W240" s="38">
        <f t="shared" si="53"/>
        <v>7320556.8362303991</v>
      </c>
      <c r="X240" s="83">
        <v>0</v>
      </c>
      <c r="Y240" s="36"/>
      <c r="Z240" s="36"/>
      <c r="AA240" s="113"/>
    </row>
    <row r="241" spans="1:27" ht="19.5" customHeight="1">
      <c r="A241" s="35">
        <f t="shared" si="46"/>
        <v>236</v>
      </c>
      <c r="B241" s="36" t="s">
        <v>1095</v>
      </c>
      <c r="C241" s="44" t="s">
        <v>72</v>
      </c>
      <c r="D241" s="21"/>
      <c r="E241" s="27" t="s">
        <v>1049</v>
      </c>
      <c r="F241" s="22" t="s">
        <v>120</v>
      </c>
      <c r="G241" s="22" t="s">
        <v>53</v>
      </c>
      <c r="H241" s="22" t="s">
        <v>133</v>
      </c>
      <c r="I241" s="37">
        <v>801.22</v>
      </c>
      <c r="J241" s="19">
        <v>41984</v>
      </c>
      <c r="K241" s="51" t="s">
        <v>1070</v>
      </c>
      <c r="L241" s="51" t="s">
        <v>49</v>
      </c>
      <c r="M241" s="22" t="s">
        <v>37</v>
      </c>
      <c r="N241" s="20" t="s">
        <v>336</v>
      </c>
      <c r="O241" s="57">
        <v>10000</v>
      </c>
      <c r="P241" s="38">
        <f t="shared" ref="P241:P258" si="55">SUM(O241*R241)</f>
        <v>635340</v>
      </c>
      <c r="Q241" s="39" t="s">
        <v>32</v>
      </c>
      <c r="R241" s="9">
        <v>63.533999999999999</v>
      </c>
      <c r="S241" s="40">
        <f t="shared" si="47"/>
        <v>42073</v>
      </c>
      <c r="T241" s="20" t="s">
        <v>38</v>
      </c>
      <c r="U241" s="41">
        <f t="shared" si="49"/>
        <v>762.4079999999999</v>
      </c>
      <c r="V241" s="85">
        <v>168</v>
      </c>
      <c r="W241" s="38">
        <f t="shared" si="53"/>
        <v>128084.54399999998</v>
      </c>
      <c r="X241" s="83">
        <v>0</v>
      </c>
      <c r="Y241" s="36"/>
      <c r="Z241" s="36"/>
      <c r="AA241" s="113"/>
    </row>
    <row r="242" spans="1:27" ht="19.5" customHeight="1">
      <c r="A242" s="35">
        <f t="shared" si="46"/>
        <v>237</v>
      </c>
      <c r="B242" s="36" t="s">
        <v>1096</v>
      </c>
      <c r="C242" s="44" t="s">
        <v>72</v>
      </c>
      <c r="D242" s="21"/>
      <c r="E242" s="27" t="s">
        <v>1050</v>
      </c>
      <c r="F242" s="22" t="s">
        <v>130</v>
      </c>
      <c r="G242" s="22" t="s">
        <v>87</v>
      </c>
      <c r="H242" s="22" t="s">
        <v>133</v>
      </c>
      <c r="I242" s="37">
        <v>801.22</v>
      </c>
      <c r="J242" s="19">
        <v>41984</v>
      </c>
      <c r="K242" s="51" t="s">
        <v>1070</v>
      </c>
      <c r="L242" s="51" t="s">
        <v>49</v>
      </c>
      <c r="M242" s="22" t="s">
        <v>37</v>
      </c>
      <c r="N242" s="20" t="s">
        <v>336</v>
      </c>
      <c r="O242" s="57">
        <v>120000</v>
      </c>
      <c r="P242" s="38">
        <f t="shared" si="55"/>
        <v>7624080</v>
      </c>
      <c r="Q242" s="39" t="s">
        <v>32</v>
      </c>
      <c r="R242" s="9">
        <v>63.533999999999999</v>
      </c>
      <c r="S242" s="40">
        <f t="shared" si="47"/>
        <v>42073</v>
      </c>
      <c r="T242" s="22" t="s">
        <v>144</v>
      </c>
      <c r="U242" s="41">
        <f t="shared" si="49"/>
        <v>9148.8959999999988</v>
      </c>
      <c r="V242" s="85">
        <v>168</v>
      </c>
      <c r="W242" s="38">
        <f t="shared" si="53"/>
        <v>1537014.5279999997</v>
      </c>
      <c r="X242" s="83">
        <v>0</v>
      </c>
      <c r="Y242" s="36"/>
      <c r="Z242" s="36"/>
      <c r="AA242" s="113"/>
    </row>
    <row r="243" spans="1:27" ht="19.5" customHeight="1">
      <c r="A243" s="35">
        <f t="shared" si="46"/>
        <v>238</v>
      </c>
      <c r="B243" s="36" t="s">
        <v>1108</v>
      </c>
      <c r="C243" s="21" t="s">
        <v>1080</v>
      </c>
      <c r="D243" s="19">
        <v>42004</v>
      </c>
      <c r="E243" s="27" t="s">
        <v>1051</v>
      </c>
      <c r="F243" s="22" t="s">
        <v>278</v>
      </c>
      <c r="G243" s="22" t="s">
        <v>44</v>
      </c>
      <c r="H243" s="22" t="s">
        <v>29</v>
      </c>
      <c r="I243" s="37">
        <v>801.22</v>
      </c>
      <c r="J243" s="19">
        <v>41986</v>
      </c>
      <c r="K243" s="51" t="s">
        <v>281</v>
      </c>
      <c r="L243" s="74" t="s">
        <v>30</v>
      </c>
      <c r="M243" s="22" t="s">
        <v>74</v>
      </c>
      <c r="N243" s="20" t="s">
        <v>106</v>
      </c>
      <c r="O243" s="57">
        <v>400000</v>
      </c>
      <c r="P243" s="38">
        <f t="shared" si="55"/>
        <v>24416000</v>
      </c>
      <c r="Q243" s="39" t="s">
        <v>32</v>
      </c>
      <c r="R243" s="49">
        <v>61.04</v>
      </c>
      <c r="S243" s="40">
        <f t="shared" si="47"/>
        <v>42075</v>
      </c>
      <c r="T243" s="22" t="s">
        <v>278</v>
      </c>
      <c r="U243" s="41">
        <f t="shared" si="49"/>
        <v>29299.199999999997</v>
      </c>
      <c r="V243" s="85">
        <v>168</v>
      </c>
      <c r="W243" s="38">
        <f t="shared" si="53"/>
        <v>4922265.5999999996</v>
      </c>
      <c r="X243" s="70">
        <f t="shared" ref="X243:X244" si="56">W243</f>
        <v>4922265.5999999996</v>
      </c>
      <c r="Y243" s="36"/>
      <c r="Z243" s="36"/>
      <c r="AA243" s="113"/>
    </row>
    <row r="244" spans="1:27" ht="19.5" customHeight="1">
      <c r="A244" s="35">
        <f t="shared" si="46"/>
        <v>239</v>
      </c>
      <c r="B244" s="36" t="s">
        <v>1109</v>
      </c>
      <c r="C244" s="21" t="s">
        <v>1081</v>
      </c>
      <c r="D244" s="19">
        <v>42004</v>
      </c>
      <c r="E244" s="27" t="s">
        <v>1052</v>
      </c>
      <c r="F244" s="22" t="s">
        <v>278</v>
      </c>
      <c r="G244" s="22" t="s">
        <v>44</v>
      </c>
      <c r="H244" s="22" t="s">
        <v>29</v>
      </c>
      <c r="I244" s="37">
        <v>801.22</v>
      </c>
      <c r="J244" s="19">
        <v>41986</v>
      </c>
      <c r="K244" s="51" t="s">
        <v>281</v>
      </c>
      <c r="L244" s="74" t="s">
        <v>30</v>
      </c>
      <c r="M244" s="22" t="s">
        <v>74</v>
      </c>
      <c r="N244" s="20" t="s">
        <v>106</v>
      </c>
      <c r="O244" s="57">
        <v>548399</v>
      </c>
      <c r="P244" s="38">
        <f t="shared" si="55"/>
        <v>33474274.960000001</v>
      </c>
      <c r="Q244" s="39" t="s">
        <v>32</v>
      </c>
      <c r="R244" s="49">
        <v>61.04</v>
      </c>
      <c r="S244" s="40">
        <f t="shared" si="47"/>
        <v>42075</v>
      </c>
      <c r="T244" s="22" t="s">
        <v>278</v>
      </c>
      <c r="U244" s="41">
        <f t="shared" si="49"/>
        <v>40169.129951999996</v>
      </c>
      <c r="V244" s="85">
        <v>168</v>
      </c>
      <c r="W244" s="38">
        <f t="shared" si="53"/>
        <v>6748413.831935999</v>
      </c>
      <c r="X244" s="70">
        <f t="shared" si="56"/>
        <v>6748413.831935999</v>
      </c>
      <c r="Y244" s="36"/>
      <c r="Z244" s="36"/>
      <c r="AA244" s="113"/>
    </row>
    <row r="245" spans="1:27" ht="19.5" customHeight="1">
      <c r="A245" s="35">
        <f t="shared" si="46"/>
        <v>240</v>
      </c>
      <c r="B245" s="36" t="s">
        <v>1097</v>
      </c>
      <c r="C245" s="44" t="s">
        <v>72</v>
      </c>
      <c r="D245" s="21"/>
      <c r="E245" s="27" t="s">
        <v>1053</v>
      </c>
      <c r="F245" s="22" t="s">
        <v>120</v>
      </c>
      <c r="G245" s="22" t="s">
        <v>28</v>
      </c>
      <c r="H245" s="22" t="s">
        <v>133</v>
      </c>
      <c r="I245" s="37">
        <v>801.22</v>
      </c>
      <c r="J245" s="19">
        <v>41992</v>
      </c>
      <c r="K245" s="51" t="s">
        <v>1071</v>
      </c>
      <c r="L245" s="74" t="s">
        <v>49</v>
      </c>
      <c r="M245" s="22" t="s">
        <v>74</v>
      </c>
      <c r="N245" s="20" t="s">
        <v>106</v>
      </c>
      <c r="O245" s="57">
        <v>200000</v>
      </c>
      <c r="P245" s="38">
        <f t="shared" si="55"/>
        <v>11891200</v>
      </c>
      <c r="Q245" s="39" t="s">
        <v>32</v>
      </c>
      <c r="R245" s="9">
        <v>59.456000000000003</v>
      </c>
      <c r="S245" s="40">
        <f t="shared" si="47"/>
        <v>42081</v>
      </c>
      <c r="T245" s="22" t="s">
        <v>27</v>
      </c>
      <c r="U245" s="41">
        <f t="shared" si="49"/>
        <v>14269.439999999999</v>
      </c>
      <c r="V245" s="85">
        <v>168</v>
      </c>
      <c r="W245" s="38">
        <f t="shared" si="53"/>
        <v>2397265.9199999999</v>
      </c>
      <c r="X245" s="83">
        <v>0</v>
      </c>
      <c r="Y245" s="36"/>
      <c r="Z245" s="36"/>
      <c r="AA245" s="113"/>
    </row>
    <row r="246" spans="1:27" ht="19.5" customHeight="1">
      <c r="A246" s="35">
        <f t="shared" si="46"/>
        <v>241</v>
      </c>
      <c r="B246" s="36" t="s">
        <v>1098</v>
      </c>
      <c r="C246" s="44" t="s">
        <v>72</v>
      </c>
      <c r="D246" s="21"/>
      <c r="E246" s="26" t="s">
        <v>1054</v>
      </c>
      <c r="F246" s="22" t="s">
        <v>120</v>
      </c>
      <c r="G246" s="22" t="s">
        <v>53</v>
      </c>
      <c r="H246" s="22" t="s">
        <v>133</v>
      </c>
      <c r="I246" s="37">
        <v>801.22</v>
      </c>
      <c r="J246" s="19">
        <v>41992</v>
      </c>
      <c r="K246" s="51" t="s">
        <v>1071</v>
      </c>
      <c r="L246" s="51" t="s">
        <v>49</v>
      </c>
      <c r="M246" s="22" t="s">
        <v>74</v>
      </c>
      <c r="N246" s="20" t="s">
        <v>106</v>
      </c>
      <c r="O246" s="57">
        <v>572611</v>
      </c>
      <c r="P246" s="38">
        <f t="shared" si="55"/>
        <v>34045159.616000004</v>
      </c>
      <c r="Q246" s="39" t="s">
        <v>32</v>
      </c>
      <c r="R246" s="9">
        <v>59.456000000000003</v>
      </c>
      <c r="S246" s="40">
        <f t="shared" si="47"/>
        <v>42081</v>
      </c>
      <c r="T246" s="22" t="s">
        <v>38</v>
      </c>
      <c r="U246" s="41">
        <f t="shared" si="49"/>
        <v>40854.191539200001</v>
      </c>
      <c r="V246" s="85">
        <v>168</v>
      </c>
      <c r="W246" s="38">
        <f t="shared" si="53"/>
        <v>6863504.1785856001</v>
      </c>
      <c r="X246" s="83">
        <v>0</v>
      </c>
      <c r="Y246" s="36"/>
      <c r="Z246" s="36"/>
      <c r="AA246" s="113"/>
    </row>
    <row r="247" spans="1:27" ht="19.5" customHeight="1">
      <c r="A247" s="35">
        <f t="shared" si="46"/>
        <v>242</v>
      </c>
      <c r="B247" s="36" t="s">
        <v>1099</v>
      </c>
      <c r="C247" s="44" t="s">
        <v>72</v>
      </c>
      <c r="D247" s="21"/>
      <c r="E247" s="26" t="s">
        <v>1055</v>
      </c>
      <c r="F247" s="22" t="s">
        <v>120</v>
      </c>
      <c r="G247" s="22" t="s">
        <v>53</v>
      </c>
      <c r="H247" s="22" t="s">
        <v>133</v>
      </c>
      <c r="I247" s="37">
        <v>801.22</v>
      </c>
      <c r="J247" s="19">
        <v>41992</v>
      </c>
      <c r="K247" s="51" t="s">
        <v>1071</v>
      </c>
      <c r="L247" s="51" t="s">
        <v>49</v>
      </c>
      <c r="M247" s="22" t="s">
        <v>74</v>
      </c>
      <c r="N247" s="20" t="s">
        <v>106</v>
      </c>
      <c r="O247" s="57">
        <v>120000</v>
      </c>
      <c r="P247" s="38">
        <f t="shared" si="55"/>
        <v>7134720</v>
      </c>
      <c r="Q247" s="39" t="s">
        <v>32</v>
      </c>
      <c r="R247" s="9">
        <v>59.456000000000003</v>
      </c>
      <c r="S247" s="40">
        <f t="shared" si="47"/>
        <v>42081</v>
      </c>
      <c r="T247" s="22" t="s">
        <v>38</v>
      </c>
      <c r="U247" s="41">
        <f t="shared" si="49"/>
        <v>8561.6639999999989</v>
      </c>
      <c r="V247" s="85">
        <v>168</v>
      </c>
      <c r="W247" s="38">
        <f t="shared" si="53"/>
        <v>1438359.5519999999</v>
      </c>
      <c r="X247" s="83">
        <v>0</v>
      </c>
      <c r="Y247" s="36"/>
      <c r="Z247" s="36"/>
      <c r="AA247" s="113"/>
    </row>
    <row r="248" spans="1:27" ht="19.5" customHeight="1">
      <c r="A248" s="35">
        <f t="shared" si="46"/>
        <v>243</v>
      </c>
      <c r="B248" s="36" t="s">
        <v>1100</v>
      </c>
      <c r="C248" s="44" t="s">
        <v>72</v>
      </c>
      <c r="D248" s="21"/>
      <c r="E248" s="27" t="s">
        <v>1056</v>
      </c>
      <c r="F248" s="22" t="s">
        <v>39</v>
      </c>
      <c r="G248" s="22" t="s">
        <v>97</v>
      </c>
      <c r="H248" s="22" t="s">
        <v>133</v>
      </c>
      <c r="I248" s="37">
        <v>801.22</v>
      </c>
      <c r="J248" s="19">
        <v>41992</v>
      </c>
      <c r="K248" s="51" t="s">
        <v>1071</v>
      </c>
      <c r="L248" s="51" t="s">
        <v>49</v>
      </c>
      <c r="M248" s="22" t="s">
        <v>74</v>
      </c>
      <c r="N248" s="20" t="s">
        <v>106</v>
      </c>
      <c r="O248" s="57">
        <v>41000</v>
      </c>
      <c r="P248" s="38">
        <f t="shared" si="55"/>
        <v>2437696</v>
      </c>
      <c r="Q248" s="39" t="s">
        <v>32</v>
      </c>
      <c r="R248" s="9">
        <v>59.456000000000003</v>
      </c>
      <c r="S248" s="40">
        <f t="shared" si="47"/>
        <v>42081</v>
      </c>
      <c r="T248" s="22" t="s">
        <v>39</v>
      </c>
      <c r="U248" s="41">
        <f t="shared" si="49"/>
        <v>2925.2351999999996</v>
      </c>
      <c r="V248" s="85">
        <v>168</v>
      </c>
      <c r="W248" s="38">
        <f t="shared" si="53"/>
        <v>491439.51359999995</v>
      </c>
      <c r="X248" s="83">
        <v>0</v>
      </c>
      <c r="Y248" s="36"/>
      <c r="Z248" s="36"/>
      <c r="AA248" s="113"/>
    </row>
    <row r="249" spans="1:27" ht="19.5" customHeight="1">
      <c r="A249" s="35">
        <f t="shared" si="46"/>
        <v>244</v>
      </c>
      <c r="B249" s="36" t="s">
        <v>1101</v>
      </c>
      <c r="C249" s="44" t="s">
        <v>72</v>
      </c>
      <c r="D249" s="21"/>
      <c r="E249" s="27" t="s">
        <v>1057</v>
      </c>
      <c r="F249" s="22" t="s">
        <v>39</v>
      </c>
      <c r="G249" s="22" t="s">
        <v>97</v>
      </c>
      <c r="H249" s="22" t="s">
        <v>133</v>
      </c>
      <c r="I249" s="37">
        <v>801.22</v>
      </c>
      <c r="J249" s="19">
        <v>41992</v>
      </c>
      <c r="K249" s="51" t="s">
        <v>1071</v>
      </c>
      <c r="L249" s="51" t="s">
        <v>49</v>
      </c>
      <c r="M249" s="22" t="s">
        <v>74</v>
      </c>
      <c r="N249" s="20" t="s">
        <v>106</v>
      </c>
      <c r="O249" s="57">
        <v>30000</v>
      </c>
      <c r="P249" s="38">
        <f t="shared" si="55"/>
        <v>1783680</v>
      </c>
      <c r="Q249" s="39" t="s">
        <v>32</v>
      </c>
      <c r="R249" s="9">
        <v>59.456000000000003</v>
      </c>
      <c r="S249" s="40">
        <f t="shared" si="47"/>
        <v>42081</v>
      </c>
      <c r="T249" s="22" t="s">
        <v>39</v>
      </c>
      <c r="U249" s="41">
        <f t="shared" si="49"/>
        <v>2140.4159999999997</v>
      </c>
      <c r="V249" s="85">
        <v>168</v>
      </c>
      <c r="W249" s="38">
        <f t="shared" si="53"/>
        <v>359589.88799999998</v>
      </c>
      <c r="X249" s="83">
        <v>0</v>
      </c>
      <c r="Y249" s="36"/>
      <c r="Z249" s="36"/>
      <c r="AA249" s="113"/>
    </row>
    <row r="250" spans="1:27" ht="19.5" customHeight="1">
      <c r="A250" s="35">
        <f t="shared" si="46"/>
        <v>245</v>
      </c>
      <c r="B250" s="36" t="s">
        <v>1102</v>
      </c>
      <c r="C250" s="44" t="s">
        <v>72</v>
      </c>
      <c r="D250" s="21"/>
      <c r="E250" s="27" t="s">
        <v>1058</v>
      </c>
      <c r="F250" s="22" t="s">
        <v>187</v>
      </c>
      <c r="G250" s="22" t="s">
        <v>97</v>
      </c>
      <c r="H250" s="22" t="s">
        <v>133</v>
      </c>
      <c r="I250" s="37">
        <v>801.22</v>
      </c>
      <c r="J250" s="19">
        <v>41992</v>
      </c>
      <c r="K250" s="51" t="s">
        <v>1071</v>
      </c>
      <c r="L250" s="51" t="s">
        <v>49</v>
      </c>
      <c r="M250" s="22" t="s">
        <v>74</v>
      </c>
      <c r="N250" s="20" t="s">
        <v>106</v>
      </c>
      <c r="O250" s="57">
        <v>35000</v>
      </c>
      <c r="P250" s="38">
        <f t="shared" si="55"/>
        <v>2080960</v>
      </c>
      <c r="Q250" s="39" t="s">
        <v>32</v>
      </c>
      <c r="R250" s="9">
        <v>59.456000000000003</v>
      </c>
      <c r="S250" s="40">
        <f t="shared" si="47"/>
        <v>42081</v>
      </c>
      <c r="T250" s="22" t="s">
        <v>39</v>
      </c>
      <c r="U250" s="41">
        <f t="shared" si="49"/>
        <v>2497.1519999999996</v>
      </c>
      <c r="V250" s="85">
        <v>168</v>
      </c>
      <c r="W250" s="38">
        <f t="shared" si="53"/>
        <v>419521.53599999991</v>
      </c>
      <c r="X250" s="83">
        <v>0</v>
      </c>
      <c r="Y250" s="36"/>
      <c r="Z250" s="36"/>
      <c r="AA250" s="113"/>
    </row>
    <row r="251" spans="1:27" ht="19.5" customHeight="1">
      <c r="A251" s="35">
        <f t="shared" si="46"/>
        <v>246</v>
      </c>
      <c r="B251" s="36" t="s">
        <v>1089</v>
      </c>
      <c r="C251" s="44" t="s">
        <v>72</v>
      </c>
      <c r="D251" s="21"/>
      <c r="E251" s="27" t="s">
        <v>1059</v>
      </c>
      <c r="F251" s="22" t="s">
        <v>150</v>
      </c>
      <c r="G251" s="22" t="s">
        <v>279</v>
      </c>
      <c r="H251" s="22" t="s">
        <v>159</v>
      </c>
      <c r="I251" s="37">
        <v>801.22</v>
      </c>
      <c r="J251" s="19">
        <v>41994</v>
      </c>
      <c r="K251" s="51" t="s">
        <v>1072</v>
      </c>
      <c r="L251" s="51" t="s">
        <v>160</v>
      </c>
      <c r="M251" s="22" t="s">
        <v>60</v>
      </c>
      <c r="N251" s="20" t="s">
        <v>162</v>
      </c>
      <c r="O251" s="57">
        <v>600551</v>
      </c>
      <c r="P251" s="38">
        <f t="shared" si="55"/>
        <v>32914999.208000001</v>
      </c>
      <c r="Q251" s="39" t="s">
        <v>32</v>
      </c>
      <c r="R251" s="49">
        <v>54.808</v>
      </c>
      <c r="S251" s="40">
        <f t="shared" si="47"/>
        <v>42083</v>
      </c>
      <c r="T251" s="22" t="s">
        <v>163</v>
      </c>
      <c r="U251" s="41">
        <f t="shared" si="49"/>
        <v>39497.999049599995</v>
      </c>
      <c r="V251" s="85">
        <v>168</v>
      </c>
      <c r="W251" s="38">
        <f t="shared" si="53"/>
        <v>6635663.8403327996</v>
      </c>
      <c r="X251" s="83">
        <v>0</v>
      </c>
      <c r="Y251" s="36"/>
      <c r="Z251" s="36"/>
      <c r="AA251" s="113"/>
    </row>
    <row r="252" spans="1:27" ht="19.5" customHeight="1">
      <c r="A252" s="35">
        <f t="shared" si="46"/>
        <v>247</v>
      </c>
      <c r="B252" s="36" t="s">
        <v>1091</v>
      </c>
      <c r="C252" s="44" t="s">
        <v>72</v>
      </c>
      <c r="D252" s="21"/>
      <c r="E252" s="27" t="s">
        <v>1060</v>
      </c>
      <c r="F252" s="22" t="s">
        <v>163</v>
      </c>
      <c r="G252" s="22" t="s">
        <v>34</v>
      </c>
      <c r="H252" s="22" t="s">
        <v>35</v>
      </c>
      <c r="I252" s="37">
        <v>801.22</v>
      </c>
      <c r="J252" s="19">
        <v>41994</v>
      </c>
      <c r="K252" s="51" t="s">
        <v>839</v>
      </c>
      <c r="L252" s="51" t="s">
        <v>36</v>
      </c>
      <c r="M252" s="22" t="s">
        <v>80</v>
      </c>
      <c r="N252" s="20" t="s">
        <v>1075</v>
      </c>
      <c r="O252" s="57">
        <v>950061</v>
      </c>
      <c r="P252" s="38">
        <f t="shared" si="55"/>
        <v>57182271.468000002</v>
      </c>
      <c r="Q252" s="39" t="s">
        <v>32</v>
      </c>
      <c r="R252" s="49">
        <v>60.188000000000002</v>
      </c>
      <c r="S252" s="40">
        <f t="shared" si="47"/>
        <v>42083</v>
      </c>
      <c r="T252" s="22" t="s">
        <v>38</v>
      </c>
      <c r="U252" s="41">
        <f t="shared" si="49"/>
        <v>68618.725761599999</v>
      </c>
      <c r="V252" s="85">
        <v>168</v>
      </c>
      <c r="W252" s="38">
        <f t="shared" si="53"/>
        <v>11527945.927948799</v>
      </c>
      <c r="X252" s="83">
        <v>0</v>
      </c>
      <c r="Y252" s="36"/>
      <c r="Z252" s="36"/>
      <c r="AA252" s="113"/>
    </row>
    <row r="253" spans="1:27" ht="19.5" customHeight="1">
      <c r="A253" s="35">
        <f t="shared" si="46"/>
        <v>248</v>
      </c>
      <c r="B253" s="36" t="s">
        <v>1103</v>
      </c>
      <c r="C253" s="21" t="s">
        <v>1082</v>
      </c>
      <c r="D253" s="19">
        <v>42004</v>
      </c>
      <c r="E253" s="27" t="s">
        <v>1061</v>
      </c>
      <c r="F253" s="22" t="s">
        <v>278</v>
      </c>
      <c r="G253" s="22" t="s">
        <v>44</v>
      </c>
      <c r="H253" s="22" t="s">
        <v>133</v>
      </c>
      <c r="I253" s="37">
        <v>801.22</v>
      </c>
      <c r="J253" s="19">
        <v>42000</v>
      </c>
      <c r="K253" s="51" t="s">
        <v>88</v>
      </c>
      <c r="L253" s="51" t="s">
        <v>49</v>
      </c>
      <c r="M253" s="22" t="s">
        <v>41</v>
      </c>
      <c r="N253" s="20" t="s">
        <v>95</v>
      </c>
      <c r="O253" s="57">
        <v>91000</v>
      </c>
      <c r="P253" s="38">
        <f t="shared" si="55"/>
        <v>5309031</v>
      </c>
      <c r="Q253" s="39" t="s">
        <v>32</v>
      </c>
      <c r="R253" s="9">
        <v>58.341000000000001</v>
      </c>
      <c r="S253" s="40">
        <f t="shared" si="47"/>
        <v>42089</v>
      </c>
      <c r="T253" s="22" t="s">
        <v>278</v>
      </c>
      <c r="U253" s="41">
        <f t="shared" si="49"/>
        <v>6370.837199999999</v>
      </c>
      <c r="V253" s="85">
        <v>168</v>
      </c>
      <c r="W253" s="38">
        <f t="shared" si="53"/>
        <v>1070300.6495999999</v>
      </c>
      <c r="X253" s="70">
        <f t="shared" ref="X253:X257" si="57">W253</f>
        <v>1070300.6495999999</v>
      </c>
      <c r="Y253" s="36"/>
      <c r="Z253" s="36"/>
      <c r="AA253" s="113"/>
    </row>
    <row r="254" spans="1:27" ht="19.5" customHeight="1">
      <c r="A254" s="35">
        <f t="shared" si="46"/>
        <v>249</v>
      </c>
      <c r="B254" s="36" t="s">
        <v>1104</v>
      </c>
      <c r="C254" s="21" t="s">
        <v>1083</v>
      </c>
      <c r="D254" s="19">
        <v>42004</v>
      </c>
      <c r="E254" s="27" t="s">
        <v>1062</v>
      </c>
      <c r="F254" s="22" t="s">
        <v>278</v>
      </c>
      <c r="G254" s="22" t="s">
        <v>44</v>
      </c>
      <c r="H254" s="22" t="s">
        <v>133</v>
      </c>
      <c r="I254" s="37">
        <v>801.22</v>
      </c>
      <c r="J254" s="19">
        <v>42000</v>
      </c>
      <c r="K254" s="51" t="s">
        <v>88</v>
      </c>
      <c r="L254" s="51" t="s">
        <v>49</v>
      </c>
      <c r="M254" s="22" t="s">
        <v>41</v>
      </c>
      <c r="N254" s="20" t="s">
        <v>95</v>
      </c>
      <c r="O254" s="57">
        <v>96000</v>
      </c>
      <c r="P254" s="38">
        <f t="shared" si="55"/>
        <v>5600736</v>
      </c>
      <c r="Q254" s="39" t="s">
        <v>32</v>
      </c>
      <c r="R254" s="9">
        <v>58.341000000000001</v>
      </c>
      <c r="S254" s="40">
        <f t="shared" si="47"/>
        <v>42089</v>
      </c>
      <c r="T254" s="22" t="s">
        <v>278</v>
      </c>
      <c r="U254" s="41">
        <f t="shared" si="49"/>
        <v>6720.8831999999993</v>
      </c>
      <c r="V254" s="85">
        <v>168</v>
      </c>
      <c r="W254" s="38">
        <f t="shared" si="53"/>
        <v>1129108.3775999998</v>
      </c>
      <c r="X254" s="70">
        <f t="shared" si="57"/>
        <v>1129108.3775999998</v>
      </c>
      <c r="Y254" s="36"/>
      <c r="Z254" s="36"/>
      <c r="AA254" s="113"/>
    </row>
    <row r="255" spans="1:27" ht="19.5" customHeight="1">
      <c r="A255" s="35">
        <f t="shared" si="46"/>
        <v>250</v>
      </c>
      <c r="B255" s="36" t="s">
        <v>1105</v>
      </c>
      <c r="C255" s="21" t="s">
        <v>1084</v>
      </c>
      <c r="D255" s="19">
        <v>42004</v>
      </c>
      <c r="E255" s="27" t="s">
        <v>1063</v>
      </c>
      <c r="F255" s="22" t="s">
        <v>278</v>
      </c>
      <c r="G255" s="22" t="s">
        <v>44</v>
      </c>
      <c r="H255" s="22" t="s">
        <v>133</v>
      </c>
      <c r="I255" s="37">
        <v>801.22</v>
      </c>
      <c r="J255" s="19">
        <v>42000</v>
      </c>
      <c r="K255" s="51" t="s">
        <v>88</v>
      </c>
      <c r="L255" s="51" t="s">
        <v>49</v>
      </c>
      <c r="M255" s="22" t="s">
        <v>41</v>
      </c>
      <c r="N255" s="20" t="s">
        <v>95</v>
      </c>
      <c r="O255" s="57">
        <v>155000</v>
      </c>
      <c r="P255" s="38">
        <f t="shared" si="55"/>
        <v>9042855</v>
      </c>
      <c r="Q255" s="39" t="s">
        <v>32</v>
      </c>
      <c r="R255" s="9">
        <v>58.341000000000001</v>
      </c>
      <c r="S255" s="40">
        <f t="shared" si="47"/>
        <v>42089</v>
      </c>
      <c r="T255" s="22" t="s">
        <v>278</v>
      </c>
      <c r="U255" s="41">
        <f t="shared" si="49"/>
        <v>10851.425999999999</v>
      </c>
      <c r="V255" s="85">
        <v>168</v>
      </c>
      <c r="W255" s="38">
        <f t="shared" si="53"/>
        <v>1823039.568</v>
      </c>
      <c r="X255" s="70">
        <f t="shared" si="57"/>
        <v>1823039.568</v>
      </c>
      <c r="Y255" s="36"/>
      <c r="Z255" s="36"/>
      <c r="AA255" s="113"/>
    </row>
    <row r="256" spans="1:27" ht="19.5" customHeight="1">
      <c r="A256" s="35">
        <f t="shared" si="46"/>
        <v>251</v>
      </c>
      <c r="B256" s="36" t="s">
        <v>1106</v>
      </c>
      <c r="C256" s="21" t="s">
        <v>1085</v>
      </c>
      <c r="D256" s="19">
        <v>42004</v>
      </c>
      <c r="E256" s="27" t="s">
        <v>1064</v>
      </c>
      <c r="F256" s="22" t="s">
        <v>278</v>
      </c>
      <c r="G256" s="22" t="s">
        <v>44</v>
      </c>
      <c r="H256" s="22" t="s">
        <v>133</v>
      </c>
      <c r="I256" s="37">
        <v>801.22</v>
      </c>
      <c r="J256" s="19">
        <v>42000</v>
      </c>
      <c r="K256" s="51" t="s">
        <v>88</v>
      </c>
      <c r="L256" s="51" t="s">
        <v>49</v>
      </c>
      <c r="M256" s="22" t="s">
        <v>41</v>
      </c>
      <c r="N256" s="20" t="s">
        <v>95</v>
      </c>
      <c r="O256" s="57">
        <v>200000</v>
      </c>
      <c r="P256" s="38">
        <f t="shared" si="55"/>
        <v>11668200</v>
      </c>
      <c r="Q256" s="39" t="s">
        <v>32</v>
      </c>
      <c r="R256" s="9">
        <v>58.341000000000001</v>
      </c>
      <c r="S256" s="40">
        <f t="shared" si="47"/>
        <v>42089</v>
      </c>
      <c r="T256" s="22" t="s">
        <v>278</v>
      </c>
      <c r="U256" s="41">
        <f t="shared" si="49"/>
        <v>14001.839999999998</v>
      </c>
      <c r="V256" s="85">
        <v>168</v>
      </c>
      <c r="W256" s="38">
        <f t="shared" si="53"/>
        <v>2352309.1199999996</v>
      </c>
      <c r="X256" s="70">
        <f t="shared" si="57"/>
        <v>2352309.1199999996</v>
      </c>
      <c r="Y256" s="36"/>
      <c r="Z256" s="36"/>
      <c r="AA256" s="113"/>
    </row>
    <row r="257" spans="1:27" ht="19.5" customHeight="1">
      <c r="A257" s="35">
        <f t="shared" si="46"/>
        <v>252</v>
      </c>
      <c r="B257" s="36" t="s">
        <v>1107</v>
      </c>
      <c r="C257" s="21" t="s">
        <v>1086</v>
      </c>
      <c r="D257" s="19">
        <v>42004</v>
      </c>
      <c r="E257" s="27" t="s">
        <v>1065</v>
      </c>
      <c r="F257" s="22" t="s">
        <v>278</v>
      </c>
      <c r="G257" s="22" t="s">
        <v>44</v>
      </c>
      <c r="H257" s="22" t="s">
        <v>133</v>
      </c>
      <c r="I257" s="37">
        <v>801.22</v>
      </c>
      <c r="J257" s="19">
        <v>42000</v>
      </c>
      <c r="K257" s="51" t="s">
        <v>88</v>
      </c>
      <c r="L257" s="51" t="s">
        <v>49</v>
      </c>
      <c r="M257" s="22" t="s">
        <v>41</v>
      </c>
      <c r="N257" s="20" t="s">
        <v>95</v>
      </c>
      <c r="O257" s="57">
        <v>407700</v>
      </c>
      <c r="P257" s="38">
        <f t="shared" si="55"/>
        <v>23785625.699999999</v>
      </c>
      <c r="Q257" s="39" t="s">
        <v>32</v>
      </c>
      <c r="R257" s="9">
        <v>58.341000000000001</v>
      </c>
      <c r="S257" s="40">
        <f t="shared" si="47"/>
        <v>42089</v>
      </c>
      <c r="T257" s="22" t="s">
        <v>278</v>
      </c>
      <c r="U257" s="41">
        <f t="shared" si="49"/>
        <v>28542.750839999997</v>
      </c>
      <c r="V257" s="85">
        <v>168</v>
      </c>
      <c r="W257" s="38">
        <f t="shared" si="53"/>
        <v>4795182.1411199998</v>
      </c>
      <c r="X257" s="70">
        <f t="shared" si="57"/>
        <v>4795182.1411199998</v>
      </c>
      <c r="Y257" s="36"/>
      <c r="Z257" s="36"/>
      <c r="AA257" s="113"/>
    </row>
    <row r="258" spans="1:27" ht="20.25" customHeight="1" thickBot="1">
      <c r="A258" s="35">
        <f t="shared" si="46"/>
        <v>253</v>
      </c>
      <c r="B258" s="36" t="s">
        <v>1110</v>
      </c>
      <c r="C258" s="44" t="s">
        <v>72</v>
      </c>
      <c r="D258" s="21"/>
      <c r="E258" s="27" t="s">
        <v>1111</v>
      </c>
      <c r="F258" s="22" t="s">
        <v>120</v>
      </c>
      <c r="G258" s="22" t="s">
        <v>28</v>
      </c>
      <c r="H258" s="22" t="s">
        <v>29</v>
      </c>
      <c r="I258" s="37">
        <v>801.22</v>
      </c>
      <c r="J258" s="19">
        <v>42004</v>
      </c>
      <c r="K258" s="51" t="s">
        <v>1073</v>
      </c>
      <c r="L258" s="51" t="s">
        <v>30</v>
      </c>
      <c r="M258" s="22" t="s">
        <v>141</v>
      </c>
      <c r="N258" s="20" t="s">
        <v>1076</v>
      </c>
      <c r="O258" s="57">
        <v>947834</v>
      </c>
      <c r="P258" s="38">
        <f t="shared" si="55"/>
        <v>52086321.802000001</v>
      </c>
      <c r="Q258" s="39" t="s">
        <v>32</v>
      </c>
      <c r="R258" s="9">
        <v>54.953000000000003</v>
      </c>
      <c r="S258" s="40">
        <f t="shared" si="47"/>
        <v>42093</v>
      </c>
      <c r="T258" s="20" t="s">
        <v>27</v>
      </c>
      <c r="U258" s="41">
        <f t="shared" si="49"/>
        <v>62503.586162399995</v>
      </c>
      <c r="V258" s="85">
        <v>168</v>
      </c>
      <c r="W258" s="38">
        <f t="shared" si="53"/>
        <v>10500602.4752832</v>
      </c>
      <c r="X258" s="83">
        <v>0</v>
      </c>
      <c r="Y258" s="36"/>
      <c r="Z258" s="36"/>
      <c r="AA258" s="113"/>
    </row>
    <row r="259" spans="1:27" ht="15.75" thickBot="1">
      <c r="A259" s="43"/>
      <c r="B259" s="34"/>
      <c r="C259" s="34"/>
      <c r="D259" s="34"/>
      <c r="E259" s="34"/>
      <c r="F259" s="34"/>
      <c r="G259" s="34"/>
      <c r="H259" s="34"/>
      <c r="I259" s="43"/>
      <c r="J259" s="86"/>
      <c r="K259" s="34"/>
      <c r="L259" s="34"/>
      <c r="M259" s="87"/>
      <c r="N259" s="88"/>
      <c r="O259" s="89">
        <f>SUM(O6:O258)</f>
        <v>95926243</v>
      </c>
      <c r="P259" s="90">
        <f>SUM(P6:P258)</f>
        <v>9489162630.0143814</v>
      </c>
      <c r="Q259" s="91"/>
      <c r="R259" s="92"/>
      <c r="S259" s="93"/>
      <c r="T259" s="94"/>
      <c r="U259" s="90">
        <f>SUM(U6:U258)</f>
        <v>11386995.156017251</v>
      </c>
      <c r="V259" s="91"/>
      <c r="W259" s="90">
        <f>SUM(W6:W258)</f>
        <v>1787768407.6490152</v>
      </c>
      <c r="X259" s="90">
        <f>SUM(X6:X258)</f>
        <v>1556094413.8624036</v>
      </c>
      <c r="Y259" s="43"/>
      <c r="Z259" s="43"/>
      <c r="AA259" s="43"/>
    </row>
  </sheetData>
  <mergeCells count="4">
    <mergeCell ref="AA129:AA130"/>
    <mergeCell ref="AA96:AA97"/>
    <mergeCell ref="AA186:AA187"/>
    <mergeCell ref="AA189:AA192"/>
  </mergeCells>
  <pageMargins left="0" right="0" top="0" bottom="0" header="0.31496062992125984" footer="0"/>
  <pageSetup orientation="landscape" r:id="rId1"/>
  <ignoredErrors>
    <ignoredError sqref="E17:E26 E39:E40 E49:E54 E42:E45 E16 E27:E31 E69:E70 E58:E61 E71:E75 E78:E79 E89:E95 E85 E76:E77 E6:E15 E100:E116 E118:E121 E138:E142 E134:E135 E145:E146 E143:E144 E96 E117 E55:E57 E148:E150 E168:E170 E151:E161 E163:E167 E171:E185 E198:E205 E206:E216 E147 E186:E196 E217:E224 E225:E235 E240:E258" numberStoredAsText="1"/>
    <ignoredError sqref="S18:U18" formula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2:AA264"/>
  <sheetViews>
    <sheetView workbookViewId="0">
      <selection activeCell="S8" sqref="S8"/>
    </sheetView>
  </sheetViews>
  <sheetFormatPr defaultRowHeight="15"/>
  <cols>
    <col min="1" max="1" width="4.140625" customWidth="1"/>
    <col min="2" max="2" width="7.85546875" customWidth="1"/>
    <col min="3" max="3" width="8.85546875" style="4" customWidth="1"/>
    <col min="4" max="4" width="7.5703125" style="4" customWidth="1"/>
    <col min="5" max="5" width="13.5703125" style="4" customWidth="1"/>
    <col min="6" max="6" width="9.5703125" style="4" customWidth="1"/>
    <col min="7" max="7" width="9" style="4" customWidth="1"/>
    <col min="8" max="8" width="10.140625" style="4" customWidth="1"/>
    <col min="9" max="9" width="7.28515625" customWidth="1"/>
    <col min="10" max="10" width="8.5703125" style="1" customWidth="1"/>
    <col min="11" max="11" width="12" style="4" customWidth="1"/>
    <col min="12" max="12" width="8.5703125" style="1" customWidth="1"/>
    <col min="13" max="13" width="10.42578125" style="6" customWidth="1"/>
    <col min="14" max="14" width="12.42578125" style="7" customWidth="1"/>
    <col min="15" max="15" width="11" customWidth="1"/>
    <col min="16" max="16" width="15.85546875" customWidth="1"/>
    <col min="17" max="17" width="15" customWidth="1"/>
    <col min="18" max="18" width="15" style="10" customWidth="1"/>
    <col min="19" max="19" width="13.5703125" style="1" customWidth="1"/>
    <col min="20" max="20" width="10.28515625" style="4" customWidth="1"/>
    <col min="21" max="22" width="12.5703125" customWidth="1"/>
    <col min="23" max="24" width="14" customWidth="1"/>
    <col min="25" max="26" width="11.5703125" customWidth="1"/>
  </cols>
  <sheetData>
    <row r="2" spans="1:27" ht="15.75">
      <c r="K2" s="5" t="s">
        <v>0</v>
      </c>
    </row>
    <row r="3" spans="1:27" ht="23.25" customHeight="1">
      <c r="K3" s="5" t="s">
        <v>1113</v>
      </c>
      <c r="O3" s="2"/>
    </row>
    <row r="4" spans="1:27" ht="13.15" customHeight="1" thickBot="1">
      <c r="E4" s="11"/>
    </row>
    <row r="5" spans="1:27" s="4" customFormat="1" ht="42.6" customHeight="1" thickBot="1">
      <c r="A5" s="28" t="s">
        <v>1</v>
      </c>
      <c r="B5" s="29" t="s">
        <v>2</v>
      </c>
      <c r="C5" s="29" t="s">
        <v>3</v>
      </c>
      <c r="D5" s="29" t="s">
        <v>4</v>
      </c>
      <c r="E5" s="30" t="s">
        <v>5</v>
      </c>
      <c r="F5" s="31" t="s">
        <v>6</v>
      </c>
      <c r="G5" s="29" t="s">
        <v>7</v>
      </c>
      <c r="H5" s="29" t="s">
        <v>8</v>
      </c>
      <c r="I5" s="29" t="s">
        <v>9</v>
      </c>
      <c r="J5" s="29" t="s">
        <v>10</v>
      </c>
      <c r="K5" s="29" t="s">
        <v>11</v>
      </c>
      <c r="L5" s="29" t="s">
        <v>12</v>
      </c>
      <c r="M5" s="29" t="s">
        <v>13</v>
      </c>
      <c r="N5" s="29" t="s">
        <v>14</v>
      </c>
      <c r="O5" s="29" t="s">
        <v>15</v>
      </c>
      <c r="P5" s="29" t="s">
        <v>16</v>
      </c>
      <c r="Q5" s="29" t="s">
        <v>17</v>
      </c>
      <c r="R5" s="32" t="s">
        <v>18</v>
      </c>
      <c r="S5" s="29" t="s">
        <v>19</v>
      </c>
      <c r="T5" s="29" t="s">
        <v>20</v>
      </c>
      <c r="U5" s="29" t="s">
        <v>21</v>
      </c>
      <c r="V5" s="29" t="s">
        <v>22</v>
      </c>
      <c r="W5" s="29" t="s">
        <v>23</v>
      </c>
      <c r="X5" s="29" t="s">
        <v>24</v>
      </c>
      <c r="Y5" s="29" t="s">
        <v>25</v>
      </c>
      <c r="Z5" s="33" t="s">
        <v>26</v>
      </c>
      <c r="AA5" s="33" t="s">
        <v>1115</v>
      </c>
    </row>
    <row r="6" spans="1:27" ht="24.75">
      <c r="A6" s="35">
        <v>1</v>
      </c>
      <c r="B6" s="36" t="s">
        <v>210</v>
      </c>
      <c r="C6" s="20" t="s">
        <v>250</v>
      </c>
      <c r="D6" s="21">
        <v>41655</v>
      </c>
      <c r="E6" s="26" t="s">
        <v>186</v>
      </c>
      <c r="F6" s="22" t="s">
        <v>120</v>
      </c>
      <c r="G6" s="22" t="s">
        <v>92</v>
      </c>
      <c r="H6" s="22" t="s">
        <v>29</v>
      </c>
      <c r="I6" s="37">
        <v>801.22</v>
      </c>
      <c r="J6" s="21">
        <v>41593</v>
      </c>
      <c r="K6" s="22" t="s">
        <v>189</v>
      </c>
      <c r="L6" s="22" t="s">
        <v>30</v>
      </c>
      <c r="M6" s="22" t="s">
        <v>81</v>
      </c>
      <c r="N6" s="20" t="s">
        <v>194</v>
      </c>
      <c r="O6" s="23">
        <v>947844</v>
      </c>
      <c r="P6" s="38">
        <f t="shared" ref="P6:P8" si="0">SUM(O6*R6)</f>
        <v>104224926.23999999</v>
      </c>
      <c r="Q6" s="39" t="s">
        <v>32</v>
      </c>
      <c r="R6" s="49">
        <v>109.96</v>
      </c>
      <c r="S6" s="40">
        <f t="shared" ref="S6:S8" si="1">SUM(J6)+89</f>
        <v>41682</v>
      </c>
      <c r="T6" s="36" t="s">
        <v>27</v>
      </c>
      <c r="U6" s="41">
        <f t="shared" ref="U6:U17" si="2">SUM(P6*0.12%)</f>
        <v>125069.91148799998</v>
      </c>
      <c r="V6" s="36">
        <v>155.72</v>
      </c>
      <c r="W6" s="38">
        <f t="shared" ref="W6:W8" si="3">SUM(U6*V6)</f>
        <v>19475886.616911355</v>
      </c>
      <c r="X6" s="45">
        <v>19475886.390000001</v>
      </c>
      <c r="Y6" s="40">
        <v>41647</v>
      </c>
      <c r="Z6" s="48">
        <v>1230</v>
      </c>
      <c r="AA6" s="113"/>
    </row>
    <row r="7" spans="1:27" ht="21" customHeight="1">
      <c r="A7" s="35">
        <f t="shared" ref="A7:A9" si="4">A6+1</f>
        <v>2</v>
      </c>
      <c r="B7" s="36" t="s">
        <v>210</v>
      </c>
      <c r="C7" s="20" t="s">
        <v>249</v>
      </c>
      <c r="D7" s="21">
        <v>41655</v>
      </c>
      <c r="E7" s="18">
        <v>201300020022</v>
      </c>
      <c r="F7" s="22" t="s">
        <v>120</v>
      </c>
      <c r="G7" s="22" t="s">
        <v>92</v>
      </c>
      <c r="H7" s="22" t="s">
        <v>29</v>
      </c>
      <c r="I7" s="37">
        <v>801.22</v>
      </c>
      <c r="J7" s="40">
        <v>41608</v>
      </c>
      <c r="K7" s="22" t="s">
        <v>191</v>
      </c>
      <c r="L7" s="36" t="s">
        <v>30</v>
      </c>
      <c r="M7" s="22" t="s">
        <v>116</v>
      </c>
      <c r="N7" s="20" t="s">
        <v>197</v>
      </c>
      <c r="O7" s="52">
        <v>947973</v>
      </c>
      <c r="P7" s="53">
        <f t="shared" si="0"/>
        <v>107188255.083</v>
      </c>
      <c r="Q7" s="39" t="s">
        <v>32</v>
      </c>
      <c r="R7" s="8">
        <v>113.071</v>
      </c>
      <c r="S7" s="40">
        <f t="shared" si="1"/>
        <v>41697</v>
      </c>
      <c r="T7" s="36" t="s">
        <v>27</v>
      </c>
      <c r="U7" s="54">
        <f t="shared" si="2"/>
        <v>128625.90609959999</v>
      </c>
      <c r="V7" s="36">
        <v>155.72</v>
      </c>
      <c r="W7" s="53">
        <f t="shared" si="3"/>
        <v>20029626.097829711</v>
      </c>
      <c r="X7" s="70">
        <v>20029626.710000001</v>
      </c>
      <c r="Y7" s="40">
        <v>41647</v>
      </c>
      <c r="Z7" s="48">
        <v>1231</v>
      </c>
      <c r="AA7" s="113"/>
    </row>
    <row r="8" spans="1:27" ht="18.75" customHeight="1">
      <c r="A8" s="35">
        <f t="shared" si="4"/>
        <v>3</v>
      </c>
      <c r="B8" s="36" t="s">
        <v>245</v>
      </c>
      <c r="C8" s="44" t="s">
        <v>252</v>
      </c>
      <c r="D8" s="56">
        <v>41669</v>
      </c>
      <c r="E8" s="27" t="s">
        <v>251</v>
      </c>
      <c r="F8" s="22" t="s">
        <v>150</v>
      </c>
      <c r="G8" s="20" t="s">
        <v>158</v>
      </c>
      <c r="H8" s="20" t="s">
        <v>159</v>
      </c>
      <c r="I8" s="95">
        <v>801.22</v>
      </c>
      <c r="J8" s="44">
        <v>41626</v>
      </c>
      <c r="K8" s="20" t="s">
        <v>226</v>
      </c>
      <c r="L8" s="96" t="s">
        <v>160</v>
      </c>
      <c r="M8" s="20" t="s">
        <v>80</v>
      </c>
      <c r="N8" s="20" t="s">
        <v>166</v>
      </c>
      <c r="O8" s="71">
        <v>600250</v>
      </c>
      <c r="P8" s="53">
        <f t="shared" si="0"/>
        <v>62822165</v>
      </c>
      <c r="Q8" s="39" t="s">
        <v>32</v>
      </c>
      <c r="R8" s="49">
        <v>104.66</v>
      </c>
      <c r="S8" s="40">
        <f t="shared" si="1"/>
        <v>41715</v>
      </c>
      <c r="T8" s="22" t="s">
        <v>163</v>
      </c>
      <c r="U8" s="54">
        <f t="shared" si="2"/>
        <v>75386.597999999998</v>
      </c>
      <c r="V8" s="85">
        <v>155.69999999999999</v>
      </c>
      <c r="W8" s="53">
        <f t="shared" si="3"/>
        <v>11737693.308599999</v>
      </c>
      <c r="X8" s="70">
        <v>11739201.35</v>
      </c>
      <c r="Y8" s="40">
        <v>41652</v>
      </c>
      <c r="Z8" s="48">
        <v>3814</v>
      </c>
      <c r="AA8" s="113"/>
    </row>
    <row r="9" spans="1:27" ht="26.25">
      <c r="A9" s="35">
        <f t="shared" si="4"/>
        <v>4</v>
      </c>
      <c r="B9" s="36" t="s">
        <v>176</v>
      </c>
      <c r="C9" s="21" t="s">
        <v>255</v>
      </c>
      <c r="D9" s="56">
        <v>41669</v>
      </c>
      <c r="E9" s="26" t="s">
        <v>212</v>
      </c>
      <c r="F9" s="47" t="s">
        <v>157</v>
      </c>
      <c r="G9" s="22" t="s">
        <v>34</v>
      </c>
      <c r="H9" s="22" t="s">
        <v>35</v>
      </c>
      <c r="I9" s="37">
        <v>801.22</v>
      </c>
      <c r="J9" s="21">
        <v>41554</v>
      </c>
      <c r="K9" s="22" t="s">
        <v>126</v>
      </c>
      <c r="L9" s="22" t="s">
        <v>36</v>
      </c>
      <c r="M9" s="22" t="s">
        <v>69</v>
      </c>
      <c r="N9" s="20" t="s">
        <v>70</v>
      </c>
      <c r="O9" s="71">
        <v>995611</v>
      </c>
      <c r="P9" s="53">
        <f t="shared" ref="P9" si="5">SUM(O9*R9)</f>
        <v>110516305.63850001</v>
      </c>
      <c r="Q9" s="39" t="s">
        <v>32</v>
      </c>
      <c r="R9" s="8">
        <v>111.0035</v>
      </c>
      <c r="S9" s="40">
        <f>SUM(J9)+89</f>
        <v>41643</v>
      </c>
      <c r="T9" s="36" t="s">
        <v>38</v>
      </c>
      <c r="U9" s="54">
        <f>SUM(P9*0.12%)</f>
        <v>132619.56676620001</v>
      </c>
      <c r="V9" s="85">
        <v>155.80000000000001</v>
      </c>
      <c r="W9" s="53">
        <f t="shared" ref="W9" si="6">SUM(U9*V9)</f>
        <v>20662128.502173964</v>
      </c>
      <c r="X9" s="70">
        <v>20862052.5</v>
      </c>
      <c r="Y9" s="40">
        <v>41635</v>
      </c>
      <c r="Z9" s="48">
        <v>10971</v>
      </c>
      <c r="AA9" s="113"/>
    </row>
    <row r="10" spans="1:27" s="2" customFormat="1" ht="24.75">
      <c r="A10" s="35">
        <f t="shared" ref="A10" si="7">A9+1</f>
        <v>5</v>
      </c>
      <c r="B10" s="69" t="s">
        <v>246</v>
      </c>
      <c r="C10" s="44" t="s">
        <v>256</v>
      </c>
      <c r="D10" s="19">
        <v>41670</v>
      </c>
      <c r="E10" s="27" t="s">
        <v>253</v>
      </c>
      <c r="F10" s="22" t="s">
        <v>150</v>
      </c>
      <c r="G10" s="22" t="s">
        <v>158</v>
      </c>
      <c r="H10" s="22" t="s">
        <v>159</v>
      </c>
      <c r="I10" s="37">
        <v>801.22</v>
      </c>
      <c r="J10" s="40">
        <v>41634</v>
      </c>
      <c r="K10" s="22" t="s">
        <v>132</v>
      </c>
      <c r="L10" s="36" t="s">
        <v>160</v>
      </c>
      <c r="M10" s="22" t="s">
        <v>37</v>
      </c>
      <c r="N10" s="20" t="s">
        <v>230</v>
      </c>
      <c r="O10" s="97">
        <v>349806</v>
      </c>
      <c r="P10" s="38">
        <f t="shared" ref="P10:P11" si="8">SUM(O10*R10)</f>
        <v>37340741.082000002</v>
      </c>
      <c r="Q10" s="39" t="s">
        <v>32</v>
      </c>
      <c r="R10" s="49">
        <v>106.747</v>
      </c>
      <c r="S10" s="40">
        <f t="shared" ref="S10:S11" si="9">SUM(J10)+89</f>
        <v>41723</v>
      </c>
      <c r="T10" s="22" t="s">
        <v>163</v>
      </c>
      <c r="U10" s="41">
        <f t="shared" si="2"/>
        <v>44808.889298399998</v>
      </c>
      <c r="V10" s="85">
        <v>155.69999999999999</v>
      </c>
      <c r="W10" s="38">
        <f t="shared" ref="W10:W11" si="10">SUM(U10*V10)</f>
        <v>6976744.0637608794</v>
      </c>
      <c r="X10" s="45">
        <v>6978536.5300000003</v>
      </c>
      <c r="Y10" s="40">
        <v>41660</v>
      </c>
      <c r="Z10" s="46">
        <v>3828</v>
      </c>
      <c r="AA10" s="114"/>
    </row>
    <row r="11" spans="1:27" ht="24.75">
      <c r="A11" s="35">
        <f t="shared" ref="A11:A19" si="11">A10+1</f>
        <v>6</v>
      </c>
      <c r="B11" s="36" t="s">
        <v>247</v>
      </c>
      <c r="C11" s="44" t="s">
        <v>257</v>
      </c>
      <c r="D11" s="19">
        <v>41670</v>
      </c>
      <c r="E11" s="27" t="s">
        <v>254</v>
      </c>
      <c r="F11" s="22" t="s">
        <v>150</v>
      </c>
      <c r="G11" s="22" t="s">
        <v>158</v>
      </c>
      <c r="H11" s="22" t="s">
        <v>159</v>
      </c>
      <c r="I11" s="37">
        <v>801.22</v>
      </c>
      <c r="J11" s="40">
        <v>41639</v>
      </c>
      <c r="K11" s="22" t="s">
        <v>132</v>
      </c>
      <c r="L11" s="36" t="s">
        <v>160</v>
      </c>
      <c r="M11" s="22" t="s">
        <v>37</v>
      </c>
      <c r="N11" s="20" t="s">
        <v>230</v>
      </c>
      <c r="O11" s="52">
        <v>183435</v>
      </c>
      <c r="P11" s="53">
        <f t="shared" si="8"/>
        <v>19653409.335000001</v>
      </c>
      <c r="Q11" s="39" t="s">
        <v>32</v>
      </c>
      <c r="R11" s="8">
        <v>107.14100000000001</v>
      </c>
      <c r="S11" s="40">
        <f t="shared" si="9"/>
        <v>41728</v>
      </c>
      <c r="T11" s="22" t="s">
        <v>163</v>
      </c>
      <c r="U11" s="54">
        <f t="shared" si="2"/>
        <v>23584.091202</v>
      </c>
      <c r="V11" s="85">
        <v>155.69999999999999</v>
      </c>
      <c r="W11" s="53">
        <f t="shared" si="10"/>
        <v>3672043.0001513995</v>
      </c>
      <c r="X11" s="45">
        <v>3672986.36</v>
      </c>
      <c r="Y11" s="40">
        <v>41660</v>
      </c>
      <c r="Z11" s="46">
        <v>3828</v>
      </c>
      <c r="AA11" s="113"/>
    </row>
    <row r="12" spans="1:27" ht="24.75">
      <c r="A12" s="35">
        <f t="shared" si="11"/>
        <v>7</v>
      </c>
      <c r="B12" s="36" t="s">
        <v>211</v>
      </c>
      <c r="C12" s="20" t="s">
        <v>259</v>
      </c>
      <c r="D12" s="19">
        <v>41670</v>
      </c>
      <c r="E12" s="27" t="s">
        <v>213</v>
      </c>
      <c r="F12" s="22" t="s">
        <v>163</v>
      </c>
      <c r="G12" s="22" t="s">
        <v>34</v>
      </c>
      <c r="H12" s="22" t="s">
        <v>35</v>
      </c>
      <c r="I12" s="37">
        <v>801.22</v>
      </c>
      <c r="J12" s="21">
        <v>41594</v>
      </c>
      <c r="K12" s="22" t="s">
        <v>190</v>
      </c>
      <c r="L12" s="22" t="s">
        <v>36</v>
      </c>
      <c r="M12" s="22" t="s">
        <v>74</v>
      </c>
      <c r="N12" s="20" t="s">
        <v>195</v>
      </c>
      <c r="O12" s="23">
        <v>950395</v>
      </c>
      <c r="P12" s="38">
        <f t="shared" ref="P12:P17" si="12">SUM(O12*R12)</f>
        <v>103794823.8585</v>
      </c>
      <c r="Q12" s="39" t="s">
        <v>32</v>
      </c>
      <c r="R12" s="49">
        <v>109.2123</v>
      </c>
      <c r="S12" s="40">
        <f t="shared" ref="S12" si="13">SUM(J12)+89</f>
        <v>41683</v>
      </c>
      <c r="T12" s="36" t="s">
        <v>38</v>
      </c>
      <c r="U12" s="41">
        <f t="shared" si="2"/>
        <v>124553.7886302</v>
      </c>
      <c r="V12" s="36">
        <v>155.72</v>
      </c>
      <c r="W12" s="38">
        <f t="shared" ref="W12" si="14">SUM(U12*V12)</f>
        <v>19395515.965494744</v>
      </c>
      <c r="X12" s="45">
        <v>19599535.07</v>
      </c>
      <c r="Y12" s="40">
        <v>41670</v>
      </c>
      <c r="Z12" s="48">
        <v>10526</v>
      </c>
      <c r="AA12" s="113"/>
    </row>
    <row r="13" spans="1:27" ht="20.25" customHeight="1">
      <c r="A13" s="35">
        <f t="shared" si="11"/>
        <v>8</v>
      </c>
      <c r="B13" s="36" t="s">
        <v>300</v>
      </c>
      <c r="C13" s="44" t="s">
        <v>260</v>
      </c>
      <c r="D13" s="40">
        <v>41670</v>
      </c>
      <c r="E13" s="26" t="s">
        <v>266</v>
      </c>
      <c r="F13" s="22" t="s">
        <v>278</v>
      </c>
      <c r="G13" s="22" t="s">
        <v>44</v>
      </c>
      <c r="H13" s="22" t="s">
        <v>35</v>
      </c>
      <c r="I13" s="37">
        <v>801.22</v>
      </c>
      <c r="J13" s="21">
        <v>41650</v>
      </c>
      <c r="K13" s="22" t="s">
        <v>280</v>
      </c>
      <c r="L13" s="36" t="s">
        <v>36</v>
      </c>
      <c r="M13" s="22" t="s">
        <v>78</v>
      </c>
      <c r="N13" s="20" t="s">
        <v>289</v>
      </c>
      <c r="O13" s="23">
        <v>949520</v>
      </c>
      <c r="P13" s="38">
        <f t="shared" si="12"/>
        <v>103951550.55999999</v>
      </c>
      <c r="Q13" s="39" t="s">
        <v>32</v>
      </c>
      <c r="R13" s="8">
        <v>109.47799999999999</v>
      </c>
      <c r="S13" s="40">
        <f t="shared" ref="S13:S36" si="15">SUM(J13)+89</f>
        <v>41739</v>
      </c>
      <c r="T13" s="22" t="s">
        <v>278</v>
      </c>
      <c r="U13" s="41">
        <f t="shared" si="2"/>
        <v>124741.86067199998</v>
      </c>
      <c r="V13" s="36">
        <v>155.75</v>
      </c>
      <c r="W13" s="38">
        <f t="shared" ref="W13:W17" si="16">SUM(U13*V13)</f>
        <v>19428544.799663998</v>
      </c>
      <c r="X13" s="45">
        <f t="shared" ref="X13:X15" si="17">W13</f>
        <v>19428544.799663998</v>
      </c>
      <c r="Y13" s="36"/>
      <c r="Z13" s="36"/>
      <c r="AA13" s="113"/>
    </row>
    <row r="14" spans="1:27" ht="20.25" customHeight="1">
      <c r="A14" s="35">
        <f t="shared" si="11"/>
        <v>9</v>
      </c>
      <c r="B14" s="36" t="s">
        <v>302</v>
      </c>
      <c r="C14" s="44" t="s">
        <v>261</v>
      </c>
      <c r="D14" s="40">
        <v>41670</v>
      </c>
      <c r="E14" s="26" t="s">
        <v>267</v>
      </c>
      <c r="F14" s="22" t="s">
        <v>278</v>
      </c>
      <c r="G14" s="22" t="s">
        <v>44</v>
      </c>
      <c r="H14" s="22" t="s">
        <v>29</v>
      </c>
      <c r="I14" s="37">
        <v>801.22</v>
      </c>
      <c r="J14" s="21">
        <v>41653</v>
      </c>
      <c r="K14" s="22" t="s">
        <v>128</v>
      </c>
      <c r="L14" s="22" t="s">
        <v>30</v>
      </c>
      <c r="M14" s="22" t="s">
        <v>286</v>
      </c>
      <c r="N14" s="20" t="s">
        <v>117</v>
      </c>
      <c r="O14" s="23">
        <v>548568</v>
      </c>
      <c r="P14" s="38">
        <f t="shared" si="12"/>
        <v>59455994.112000003</v>
      </c>
      <c r="Q14" s="39" t="s">
        <v>32</v>
      </c>
      <c r="R14" s="8">
        <v>108.384</v>
      </c>
      <c r="S14" s="40">
        <f t="shared" si="15"/>
        <v>41742</v>
      </c>
      <c r="T14" s="22" t="s">
        <v>278</v>
      </c>
      <c r="U14" s="41">
        <f t="shared" si="2"/>
        <v>71347.192934399995</v>
      </c>
      <c r="V14" s="36">
        <v>155.75</v>
      </c>
      <c r="W14" s="38">
        <f t="shared" si="16"/>
        <v>11112325.299532799</v>
      </c>
      <c r="X14" s="45">
        <f t="shared" si="17"/>
        <v>11112325.299532799</v>
      </c>
      <c r="Y14" s="36"/>
      <c r="Z14" s="36"/>
      <c r="AA14" s="113"/>
    </row>
    <row r="15" spans="1:27" ht="20.25" customHeight="1">
      <c r="A15" s="35">
        <f t="shared" si="11"/>
        <v>10</v>
      </c>
      <c r="B15" s="36" t="s">
        <v>303</v>
      </c>
      <c r="C15" s="44" t="s">
        <v>262</v>
      </c>
      <c r="D15" s="40">
        <v>41670</v>
      </c>
      <c r="E15" s="26" t="s">
        <v>268</v>
      </c>
      <c r="F15" s="22" t="s">
        <v>278</v>
      </c>
      <c r="G15" s="22" t="s">
        <v>44</v>
      </c>
      <c r="H15" s="22" t="s">
        <v>29</v>
      </c>
      <c r="I15" s="37">
        <v>801.22</v>
      </c>
      <c r="J15" s="21">
        <v>41653</v>
      </c>
      <c r="K15" s="22" t="s">
        <v>128</v>
      </c>
      <c r="L15" s="22" t="s">
        <v>30</v>
      </c>
      <c r="M15" s="22" t="s">
        <v>286</v>
      </c>
      <c r="N15" s="20" t="s">
        <v>117</v>
      </c>
      <c r="O15" s="23">
        <v>400000</v>
      </c>
      <c r="P15" s="38">
        <f t="shared" si="12"/>
        <v>43353600</v>
      </c>
      <c r="Q15" s="39" t="s">
        <v>32</v>
      </c>
      <c r="R15" s="8">
        <v>108.384</v>
      </c>
      <c r="S15" s="40">
        <f t="shared" si="15"/>
        <v>41742</v>
      </c>
      <c r="T15" s="22" t="s">
        <v>278</v>
      </c>
      <c r="U15" s="41">
        <f t="shared" si="2"/>
        <v>52024.319999999992</v>
      </c>
      <c r="V15" s="36">
        <v>155.75</v>
      </c>
      <c r="W15" s="38">
        <f t="shared" si="16"/>
        <v>8102787.8399999989</v>
      </c>
      <c r="X15" s="45">
        <f t="shared" si="17"/>
        <v>8102787.8399999989</v>
      </c>
      <c r="Y15" s="36"/>
      <c r="Z15" s="36"/>
      <c r="AA15" s="113"/>
    </row>
    <row r="16" spans="1:27" ht="20.25" customHeight="1">
      <c r="A16" s="35">
        <f t="shared" si="11"/>
        <v>11</v>
      </c>
      <c r="B16" s="36" t="s">
        <v>304</v>
      </c>
      <c r="C16" s="44" t="s">
        <v>263</v>
      </c>
      <c r="D16" s="40">
        <v>41670</v>
      </c>
      <c r="E16" s="26" t="s">
        <v>274</v>
      </c>
      <c r="F16" s="22" t="s">
        <v>278</v>
      </c>
      <c r="G16" s="22" t="s">
        <v>44</v>
      </c>
      <c r="H16" s="22" t="s">
        <v>45</v>
      </c>
      <c r="I16" s="37">
        <v>801.22</v>
      </c>
      <c r="J16" s="21">
        <v>41659</v>
      </c>
      <c r="K16" s="22" t="s">
        <v>282</v>
      </c>
      <c r="L16" s="22" t="s">
        <v>46</v>
      </c>
      <c r="M16" s="22" t="s">
        <v>80</v>
      </c>
      <c r="N16" s="20" t="s">
        <v>93</v>
      </c>
      <c r="O16" s="23">
        <v>899812</v>
      </c>
      <c r="P16" s="38">
        <f t="shared" si="12"/>
        <v>100006005.492</v>
      </c>
      <c r="Q16" s="39" t="s">
        <v>32</v>
      </c>
      <c r="R16" s="49">
        <v>111.14100000000001</v>
      </c>
      <c r="S16" s="40">
        <f t="shared" si="15"/>
        <v>41748</v>
      </c>
      <c r="T16" s="22" t="s">
        <v>278</v>
      </c>
      <c r="U16" s="41">
        <f t="shared" si="2"/>
        <v>120007.20659039999</v>
      </c>
      <c r="V16" s="36">
        <v>155.75</v>
      </c>
      <c r="W16" s="38">
        <f t="shared" si="16"/>
        <v>18691122.426454797</v>
      </c>
      <c r="X16" s="45">
        <f>W16</f>
        <v>18691122.426454797</v>
      </c>
      <c r="Y16" s="36"/>
      <c r="Z16" s="36"/>
      <c r="AA16" s="113"/>
    </row>
    <row r="17" spans="1:27" ht="20.25" customHeight="1">
      <c r="A17" s="35">
        <f t="shared" si="11"/>
        <v>12</v>
      </c>
      <c r="B17" s="36" t="s">
        <v>299</v>
      </c>
      <c r="C17" s="44" t="s">
        <v>264</v>
      </c>
      <c r="D17" s="40">
        <v>41670</v>
      </c>
      <c r="E17" s="26" t="s">
        <v>276</v>
      </c>
      <c r="F17" s="22" t="s">
        <v>278</v>
      </c>
      <c r="G17" s="22" t="s">
        <v>44</v>
      </c>
      <c r="H17" s="22" t="s">
        <v>133</v>
      </c>
      <c r="I17" s="37">
        <v>801.22</v>
      </c>
      <c r="J17" s="21">
        <v>41667</v>
      </c>
      <c r="K17" s="22" t="s">
        <v>284</v>
      </c>
      <c r="L17" s="22" t="s">
        <v>49</v>
      </c>
      <c r="M17" s="22" t="s">
        <v>287</v>
      </c>
      <c r="N17" s="20" t="s">
        <v>290</v>
      </c>
      <c r="O17" s="23">
        <v>949725</v>
      </c>
      <c r="P17" s="38">
        <f t="shared" si="12"/>
        <v>104909472.675</v>
      </c>
      <c r="Q17" s="39" t="s">
        <v>32</v>
      </c>
      <c r="R17" s="49">
        <v>110.46299999999999</v>
      </c>
      <c r="S17" s="40">
        <f t="shared" si="15"/>
        <v>41756</v>
      </c>
      <c r="T17" s="22" t="s">
        <v>278</v>
      </c>
      <c r="U17" s="41">
        <f t="shared" si="2"/>
        <v>125891.36720999998</v>
      </c>
      <c r="V17" s="36">
        <v>155.75</v>
      </c>
      <c r="W17" s="38">
        <f t="shared" si="16"/>
        <v>19607580.442957498</v>
      </c>
      <c r="X17" s="45">
        <f>W17</f>
        <v>19607580.442957498</v>
      </c>
      <c r="Y17" s="36"/>
      <c r="Z17" s="36"/>
      <c r="AA17" s="113"/>
    </row>
    <row r="18" spans="1:27" ht="22.5" customHeight="1">
      <c r="A18" s="35">
        <f t="shared" si="11"/>
        <v>13</v>
      </c>
      <c r="B18" s="36" t="s">
        <v>147</v>
      </c>
      <c r="C18" s="22" t="s">
        <v>310</v>
      </c>
      <c r="D18" s="19">
        <v>41688</v>
      </c>
      <c r="E18" s="98">
        <v>201300010143</v>
      </c>
      <c r="F18" s="22" t="s">
        <v>120</v>
      </c>
      <c r="G18" s="22" t="s">
        <v>47</v>
      </c>
      <c r="H18" s="22" t="s">
        <v>133</v>
      </c>
      <c r="I18" s="37">
        <v>801.22</v>
      </c>
      <c r="J18" s="21">
        <v>41402</v>
      </c>
      <c r="K18" s="22" t="s">
        <v>146</v>
      </c>
      <c r="L18" s="22" t="s">
        <v>49</v>
      </c>
      <c r="M18" s="22" t="s">
        <v>60</v>
      </c>
      <c r="N18" s="22" t="s">
        <v>64</v>
      </c>
      <c r="O18" s="23">
        <v>130000</v>
      </c>
      <c r="P18" s="38">
        <f t="shared" ref="P18" si="18">SUM(O18*R18)</f>
        <v>13713960</v>
      </c>
      <c r="Q18" s="39" t="s">
        <v>32</v>
      </c>
      <c r="R18" s="76">
        <v>105.492</v>
      </c>
      <c r="S18" s="40">
        <f t="shared" si="15"/>
        <v>41491</v>
      </c>
      <c r="T18" s="47" t="s">
        <v>38</v>
      </c>
      <c r="U18" s="41">
        <f t="shared" ref="U18:U36" si="19">SUM(P18*0.12%)</f>
        <v>16456.751999999997</v>
      </c>
      <c r="V18" s="36">
        <v>155.74</v>
      </c>
      <c r="W18" s="38">
        <f t="shared" ref="W18:W70" si="20">SUM(U18*V18)</f>
        <v>2562974.5564799998</v>
      </c>
      <c r="X18" s="45">
        <v>2563138.81</v>
      </c>
      <c r="Y18" s="40">
        <v>41472</v>
      </c>
      <c r="Z18" s="48">
        <v>9205</v>
      </c>
      <c r="AA18" s="113"/>
    </row>
    <row r="19" spans="1:27" ht="18.75" customHeight="1">
      <c r="A19" s="35">
        <f t="shared" si="11"/>
        <v>14</v>
      </c>
      <c r="B19" s="36" t="s">
        <v>199</v>
      </c>
      <c r="C19" s="20" t="s">
        <v>311</v>
      </c>
      <c r="D19" s="19">
        <v>41688</v>
      </c>
      <c r="E19" s="26" t="s">
        <v>181</v>
      </c>
      <c r="F19" s="47" t="s">
        <v>39</v>
      </c>
      <c r="G19" s="22" t="s">
        <v>97</v>
      </c>
      <c r="H19" s="22" t="s">
        <v>133</v>
      </c>
      <c r="I19" s="37">
        <v>801.22</v>
      </c>
      <c r="J19" s="21">
        <v>41584</v>
      </c>
      <c r="K19" s="22" t="s">
        <v>188</v>
      </c>
      <c r="L19" s="22" t="s">
        <v>49</v>
      </c>
      <c r="M19" s="22" t="s">
        <v>192</v>
      </c>
      <c r="N19" s="20" t="s">
        <v>193</v>
      </c>
      <c r="O19" s="23">
        <v>28000</v>
      </c>
      <c r="P19" s="38">
        <f t="shared" ref="P19:P37" si="21">SUM(O19*R19)</f>
        <v>3078348</v>
      </c>
      <c r="Q19" s="39" t="s">
        <v>32</v>
      </c>
      <c r="R19" s="49">
        <v>109.941</v>
      </c>
      <c r="S19" s="40">
        <f t="shared" si="15"/>
        <v>41673</v>
      </c>
      <c r="T19" s="36" t="s">
        <v>39</v>
      </c>
      <c r="U19" s="41">
        <f t="shared" si="19"/>
        <v>3694.0175999999997</v>
      </c>
      <c r="V19" s="36">
        <v>155.72</v>
      </c>
      <c r="W19" s="38">
        <f t="shared" si="20"/>
        <v>575232.42067199992</v>
      </c>
      <c r="X19" s="45">
        <v>575232.42000000004</v>
      </c>
      <c r="Y19" s="40">
        <v>41683</v>
      </c>
      <c r="Z19" s="48">
        <v>3574</v>
      </c>
      <c r="AA19" s="113"/>
    </row>
    <row r="20" spans="1:27" ht="18.75" customHeight="1">
      <c r="A20" s="35">
        <f t="shared" ref="A20:A45" si="22">A19+1</f>
        <v>15</v>
      </c>
      <c r="B20" s="36" t="s">
        <v>200</v>
      </c>
      <c r="C20" s="20" t="s">
        <v>312</v>
      </c>
      <c r="D20" s="19">
        <v>41688</v>
      </c>
      <c r="E20" s="26" t="s">
        <v>182</v>
      </c>
      <c r="F20" s="47" t="s">
        <v>39</v>
      </c>
      <c r="G20" s="22" t="s">
        <v>97</v>
      </c>
      <c r="H20" s="22" t="s">
        <v>133</v>
      </c>
      <c r="I20" s="37">
        <v>801.22</v>
      </c>
      <c r="J20" s="21">
        <v>41584</v>
      </c>
      <c r="K20" s="22" t="s">
        <v>188</v>
      </c>
      <c r="L20" s="22" t="s">
        <v>49</v>
      </c>
      <c r="M20" s="22" t="s">
        <v>192</v>
      </c>
      <c r="N20" s="20" t="s">
        <v>193</v>
      </c>
      <c r="O20" s="23">
        <v>75000</v>
      </c>
      <c r="P20" s="38">
        <f t="shared" si="21"/>
        <v>8245575</v>
      </c>
      <c r="Q20" s="39" t="s">
        <v>32</v>
      </c>
      <c r="R20" s="49">
        <v>109.941</v>
      </c>
      <c r="S20" s="40">
        <f t="shared" si="15"/>
        <v>41673</v>
      </c>
      <c r="T20" s="36" t="s">
        <v>39</v>
      </c>
      <c r="U20" s="41">
        <f t="shared" si="19"/>
        <v>9894.6899999999987</v>
      </c>
      <c r="V20" s="36">
        <v>155.72</v>
      </c>
      <c r="W20" s="38">
        <f t="shared" si="20"/>
        <v>1540801.1267999997</v>
      </c>
      <c r="X20" s="45">
        <v>1540801.13</v>
      </c>
      <c r="Y20" s="40">
        <v>41683</v>
      </c>
      <c r="Z20" s="48">
        <v>3569</v>
      </c>
      <c r="AA20" s="113"/>
    </row>
    <row r="21" spans="1:27" ht="18.75" customHeight="1">
      <c r="A21" s="35">
        <f t="shared" si="22"/>
        <v>16</v>
      </c>
      <c r="B21" s="36" t="s">
        <v>201</v>
      </c>
      <c r="C21" s="20" t="s">
        <v>313</v>
      </c>
      <c r="D21" s="19">
        <v>41688</v>
      </c>
      <c r="E21" s="26" t="s">
        <v>183</v>
      </c>
      <c r="F21" s="47" t="s">
        <v>39</v>
      </c>
      <c r="G21" s="22" t="s">
        <v>97</v>
      </c>
      <c r="H21" s="22" t="s">
        <v>133</v>
      </c>
      <c r="I21" s="37">
        <v>801.22</v>
      </c>
      <c r="J21" s="21">
        <v>41584</v>
      </c>
      <c r="K21" s="22" t="s">
        <v>188</v>
      </c>
      <c r="L21" s="22" t="s">
        <v>49</v>
      </c>
      <c r="M21" s="22" t="s">
        <v>192</v>
      </c>
      <c r="N21" s="20" t="s">
        <v>193</v>
      </c>
      <c r="O21" s="23">
        <v>31000</v>
      </c>
      <c r="P21" s="38">
        <f t="shared" si="21"/>
        <v>3408171</v>
      </c>
      <c r="Q21" s="39" t="s">
        <v>32</v>
      </c>
      <c r="R21" s="49">
        <v>109.941</v>
      </c>
      <c r="S21" s="40">
        <f t="shared" si="15"/>
        <v>41673</v>
      </c>
      <c r="T21" s="36" t="s">
        <v>39</v>
      </c>
      <c r="U21" s="41">
        <f t="shared" si="19"/>
        <v>4089.8051999999998</v>
      </c>
      <c r="V21" s="36">
        <v>155.72</v>
      </c>
      <c r="W21" s="38">
        <f t="shared" si="20"/>
        <v>636864.46574399993</v>
      </c>
      <c r="X21" s="45">
        <v>636864.47</v>
      </c>
      <c r="Y21" s="40">
        <v>41683</v>
      </c>
      <c r="Z21" s="48">
        <v>3570</v>
      </c>
      <c r="AA21" s="113"/>
    </row>
    <row r="22" spans="1:27" ht="19.5" customHeight="1">
      <c r="A22" s="35">
        <f t="shared" si="22"/>
        <v>17</v>
      </c>
      <c r="B22" s="36" t="s">
        <v>207</v>
      </c>
      <c r="C22" s="20" t="s">
        <v>314</v>
      </c>
      <c r="D22" s="19">
        <v>41688</v>
      </c>
      <c r="E22" s="98">
        <v>201301010043</v>
      </c>
      <c r="F22" s="47" t="s">
        <v>39</v>
      </c>
      <c r="G22" s="22" t="s">
        <v>97</v>
      </c>
      <c r="H22" s="22" t="s">
        <v>133</v>
      </c>
      <c r="I22" s="37">
        <v>801.22</v>
      </c>
      <c r="J22" s="40">
        <v>41594</v>
      </c>
      <c r="K22" s="22" t="s">
        <v>146</v>
      </c>
      <c r="L22" s="36" t="s">
        <v>49</v>
      </c>
      <c r="M22" s="22" t="s">
        <v>60</v>
      </c>
      <c r="N22" s="20" t="s">
        <v>196</v>
      </c>
      <c r="O22" s="97">
        <v>9000</v>
      </c>
      <c r="P22" s="38">
        <f t="shared" si="21"/>
        <v>989469</v>
      </c>
      <c r="Q22" s="39" t="s">
        <v>32</v>
      </c>
      <c r="R22" s="49">
        <v>109.941</v>
      </c>
      <c r="S22" s="40">
        <f t="shared" si="15"/>
        <v>41683</v>
      </c>
      <c r="T22" s="36" t="s">
        <v>39</v>
      </c>
      <c r="U22" s="41">
        <f t="shared" si="19"/>
        <v>1187.3627999999999</v>
      </c>
      <c r="V22" s="36">
        <v>155.72</v>
      </c>
      <c r="W22" s="38">
        <f t="shared" si="20"/>
        <v>184896.13521599997</v>
      </c>
      <c r="X22" s="45">
        <v>184896.14</v>
      </c>
      <c r="Y22" s="40">
        <v>41683</v>
      </c>
      <c r="Z22" s="48">
        <v>3565</v>
      </c>
      <c r="AA22" s="113"/>
    </row>
    <row r="23" spans="1:27" ht="19.5" customHeight="1">
      <c r="A23" s="35">
        <f t="shared" si="22"/>
        <v>18</v>
      </c>
      <c r="B23" s="36" t="s">
        <v>208</v>
      </c>
      <c r="C23" s="20" t="s">
        <v>315</v>
      </c>
      <c r="D23" s="19">
        <v>41688</v>
      </c>
      <c r="E23" s="98">
        <v>201301010044</v>
      </c>
      <c r="F23" s="47" t="s">
        <v>39</v>
      </c>
      <c r="G23" s="22" t="s">
        <v>97</v>
      </c>
      <c r="H23" s="22" t="s">
        <v>133</v>
      </c>
      <c r="I23" s="37">
        <v>801.22</v>
      </c>
      <c r="J23" s="40">
        <v>41594</v>
      </c>
      <c r="K23" s="22" t="s">
        <v>146</v>
      </c>
      <c r="L23" s="36" t="s">
        <v>49</v>
      </c>
      <c r="M23" s="22" t="s">
        <v>60</v>
      </c>
      <c r="N23" s="20" t="s">
        <v>196</v>
      </c>
      <c r="O23" s="97">
        <v>19000</v>
      </c>
      <c r="P23" s="38">
        <f t="shared" si="21"/>
        <v>2088879</v>
      </c>
      <c r="Q23" s="39" t="s">
        <v>32</v>
      </c>
      <c r="R23" s="49">
        <v>109.941</v>
      </c>
      <c r="S23" s="40">
        <f t="shared" si="15"/>
        <v>41683</v>
      </c>
      <c r="T23" s="36" t="s">
        <v>39</v>
      </c>
      <c r="U23" s="41">
        <f t="shared" si="19"/>
        <v>2506.6547999999998</v>
      </c>
      <c r="V23" s="36">
        <v>155.72</v>
      </c>
      <c r="W23" s="38">
        <f t="shared" si="20"/>
        <v>390336.28545599995</v>
      </c>
      <c r="X23" s="45">
        <v>390336.29</v>
      </c>
      <c r="Y23" s="40">
        <v>41683</v>
      </c>
      <c r="Z23" s="48">
        <v>3566</v>
      </c>
      <c r="AA23" s="113"/>
    </row>
    <row r="24" spans="1:27" ht="19.5" customHeight="1">
      <c r="A24" s="35">
        <f t="shared" si="22"/>
        <v>19</v>
      </c>
      <c r="B24" s="36" t="s">
        <v>209</v>
      </c>
      <c r="C24" s="20" t="s">
        <v>316</v>
      </c>
      <c r="D24" s="19">
        <v>41688</v>
      </c>
      <c r="E24" s="98">
        <v>201309030001</v>
      </c>
      <c r="F24" s="22" t="s">
        <v>187</v>
      </c>
      <c r="G24" s="22" t="s">
        <v>97</v>
      </c>
      <c r="H24" s="22" t="s">
        <v>133</v>
      </c>
      <c r="I24" s="37">
        <v>801.22</v>
      </c>
      <c r="J24" s="40">
        <v>41594</v>
      </c>
      <c r="K24" s="22" t="s">
        <v>146</v>
      </c>
      <c r="L24" s="36" t="s">
        <v>49</v>
      </c>
      <c r="M24" s="22" t="s">
        <v>60</v>
      </c>
      <c r="N24" s="20" t="s">
        <v>196</v>
      </c>
      <c r="O24" s="97">
        <v>53000</v>
      </c>
      <c r="P24" s="38">
        <f t="shared" si="21"/>
        <v>5826873</v>
      </c>
      <c r="Q24" s="39" t="s">
        <v>32</v>
      </c>
      <c r="R24" s="49">
        <v>109.941</v>
      </c>
      <c r="S24" s="40">
        <f t="shared" si="15"/>
        <v>41683</v>
      </c>
      <c r="T24" s="36" t="s">
        <v>39</v>
      </c>
      <c r="U24" s="41">
        <f t="shared" si="19"/>
        <v>6992.2475999999997</v>
      </c>
      <c r="V24" s="36">
        <v>155.72</v>
      </c>
      <c r="W24" s="38">
        <f t="shared" si="20"/>
        <v>1088832.7962719998</v>
      </c>
      <c r="X24" s="45">
        <v>1088832.8</v>
      </c>
      <c r="Y24" s="40">
        <v>41683</v>
      </c>
      <c r="Z24" s="48">
        <v>3567</v>
      </c>
      <c r="AA24" s="113"/>
    </row>
    <row r="25" spans="1:27" ht="18.75" customHeight="1">
      <c r="A25" s="35">
        <f t="shared" si="22"/>
        <v>20</v>
      </c>
      <c r="B25" s="36" t="s">
        <v>203</v>
      </c>
      <c r="C25" s="20" t="s">
        <v>317</v>
      </c>
      <c r="D25" s="19">
        <v>41688</v>
      </c>
      <c r="E25" s="26" t="s">
        <v>184</v>
      </c>
      <c r="F25" s="22" t="s">
        <v>120</v>
      </c>
      <c r="G25" s="22" t="s">
        <v>53</v>
      </c>
      <c r="H25" s="22" t="s">
        <v>133</v>
      </c>
      <c r="I25" s="37">
        <v>801.22</v>
      </c>
      <c r="J25" s="21">
        <v>41584</v>
      </c>
      <c r="K25" s="22" t="s">
        <v>188</v>
      </c>
      <c r="L25" s="22" t="s">
        <v>49</v>
      </c>
      <c r="M25" s="22" t="s">
        <v>192</v>
      </c>
      <c r="N25" s="20" t="s">
        <v>193</v>
      </c>
      <c r="O25" s="23">
        <v>40652</v>
      </c>
      <c r="P25" s="38">
        <f t="shared" si="21"/>
        <v>4440942.3708000006</v>
      </c>
      <c r="Q25" s="39" t="s">
        <v>32</v>
      </c>
      <c r="R25" s="49">
        <v>109.24290000000001</v>
      </c>
      <c r="S25" s="40">
        <f t="shared" si="15"/>
        <v>41673</v>
      </c>
      <c r="T25" s="36" t="s">
        <v>38</v>
      </c>
      <c r="U25" s="41">
        <f t="shared" si="19"/>
        <v>5329.1308449600001</v>
      </c>
      <c r="V25" s="36">
        <v>155.72</v>
      </c>
      <c r="W25" s="38">
        <f t="shared" si="20"/>
        <v>829852.2551771712</v>
      </c>
      <c r="X25" s="45">
        <v>824949.32</v>
      </c>
      <c r="Y25" s="40">
        <v>41677</v>
      </c>
      <c r="Z25" s="48">
        <v>9319</v>
      </c>
      <c r="AA25" s="113"/>
    </row>
    <row r="26" spans="1:27" ht="18.75" customHeight="1">
      <c r="A26" s="35">
        <f t="shared" si="22"/>
        <v>21</v>
      </c>
      <c r="B26" s="36" t="s">
        <v>204</v>
      </c>
      <c r="C26" s="20" t="s">
        <v>318</v>
      </c>
      <c r="D26" s="19">
        <v>41688</v>
      </c>
      <c r="E26" s="26" t="s">
        <v>185</v>
      </c>
      <c r="F26" s="22" t="s">
        <v>120</v>
      </c>
      <c r="G26" s="22" t="s">
        <v>47</v>
      </c>
      <c r="H26" s="22" t="s">
        <v>133</v>
      </c>
      <c r="I26" s="37">
        <v>801.22</v>
      </c>
      <c r="J26" s="21">
        <v>41584</v>
      </c>
      <c r="K26" s="22" t="s">
        <v>188</v>
      </c>
      <c r="L26" s="22" t="s">
        <v>49</v>
      </c>
      <c r="M26" s="22" t="s">
        <v>192</v>
      </c>
      <c r="N26" s="20" t="s">
        <v>193</v>
      </c>
      <c r="O26" s="23">
        <v>80000</v>
      </c>
      <c r="P26" s="38">
        <f t="shared" si="21"/>
        <v>8821680</v>
      </c>
      <c r="Q26" s="39" t="s">
        <v>32</v>
      </c>
      <c r="R26" s="49">
        <v>110.271</v>
      </c>
      <c r="S26" s="40">
        <f t="shared" si="15"/>
        <v>41673</v>
      </c>
      <c r="T26" s="36" t="s">
        <v>38</v>
      </c>
      <c r="U26" s="41">
        <f t="shared" si="19"/>
        <v>10586.016</v>
      </c>
      <c r="V26" s="36">
        <v>155.72</v>
      </c>
      <c r="W26" s="38">
        <f t="shared" si="20"/>
        <v>1648454.4115199998</v>
      </c>
      <c r="X26" s="45">
        <v>1638715.9</v>
      </c>
      <c r="Y26" s="40">
        <v>41677</v>
      </c>
      <c r="Z26" s="48">
        <v>9322</v>
      </c>
      <c r="AA26" s="113"/>
    </row>
    <row r="27" spans="1:27" ht="21" customHeight="1">
      <c r="A27" s="35">
        <f t="shared" si="22"/>
        <v>22</v>
      </c>
      <c r="B27" s="36" t="s">
        <v>233</v>
      </c>
      <c r="C27" s="20" t="s">
        <v>319</v>
      </c>
      <c r="D27" s="19">
        <v>41688</v>
      </c>
      <c r="E27" s="26" t="s">
        <v>216</v>
      </c>
      <c r="F27" s="47" t="s">
        <v>39</v>
      </c>
      <c r="G27" s="22" t="s">
        <v>97</v>
      </c>
      <c r="H27" s="22" t="s">
        <v>133</v>
      </c>
      <c r="I27" s="37">
        <v>801.22</v>
      </c>
      <c r="J27" s="21">
        <v>41615</v>
      </c>
      <c r="K27" s="22" t="s">
        <v>223</v>
      </c>
      <c r="L27" s="22" t="s">
        <v>49</v>
      </c>
      <c r="M27" s="22" t="s">
        <v>69</v>
      </c>
      <c r="N27" s="20" t="s">
        <v>70</v>
      </c>
      <c r="O27" s="23">
        <v>42000</v>
      </c>
      <c r="P27" s="38">
        <f t="shared" si="21"/>
        <v>4708452</v>
      </c>
      <c r="Q27" s="39" t="s">
        <v>32</v>
      </c>
      <c r="R27" s="8">
        <v>112.10599999999999</v>
      </c>
      <c r="S27" s="40">
        <f t="shared" si="15"/>
        <v>41704</v>
      </c>
      <c r="T27" s="36" t="s">
        <v>39</v>
      </c>
      <c r="U27" s="41">
        <f t="shared" si="19"/>
        <v>5650.1423999999997</v>
      </c>
      <c r="V27" s="85">
        <v>155.69999999999999</v>
      </c>
      <c r="W27" s="38">
        <f t="shared" si="20"/>
        <v>879727.17167999991</v>
      </c>
      <c r="X27" s="45">
        <v>879727.17</v>
      </c>
      <c r="Y27" s="40">
        <v>41683</v>
      </c>
      <c r="Z27" s="48">
        <v>3573</v>
      </c>
      <c r="AA27" s="113"/>
    </row>
    <row r="28" spans="1:27" ht="21" customHeight="1">
      <c r="A28" s="35">
        <f t="shared" si="22"/>
        <v>23</v>
      </c>
      <c r="B28" s="36" t="s">
        <v>234</v>
      </c>
      <c r="C28" s="20" t="s">
        <v>320</v>
      </c>
      <c r="D28" s="19">
        <v>41688</v>
      </c>
      <c r="E28" s="26" t="s">
        <v>217</v>
      </c>
      <c r="F28" s="47" t="s">
        <v>39</v>
      </c>
      <c r="G28" s="22" t="s">
        <v>97</v>
      </c>
      <c r="H28" s="22" t="s">
        <v>133</v>
      </c>
      <c r="I28" s="37">
        <v>801.22</v>
      </c>
      <c r="J28" s="21">
        <v>41615</v>
      </c>
      <c r="K28" s="22" t="s">
        <v>223</v>
      </c>
      <c r="L28" s="22" t="s">
        <v>49</v>
      </c>
      <c r="M28" s="22" t="s">
        <v>69</v>
      </c>
      <c r="N28" s="20" t="s">
        <v>70</v>
      </c>
      <c r="O28" s="23">
        <v>26000</v>
      </c>
      <c r="P28" s="38">
        <f t="shared" si="21"/>
        <v>2914756</v>
      </c>
      <c r="Q28" s="39" t="s">
        <v>32</v>
      </c>
      <c r="R28" s="8">
        <v>112.10599999999999</v>
      </c>
      <c r="S28" s="40">
        <f t="shared" si="15"/>
        <v>41704</v>
      </c>
      <c r="T28" s="36" t="s">
        <v>39</v>
      </c>
      <c r="U28" s="41">
        <f t="shared" si="19"/>
        <v>3497.7071999999998</v>
      </c>
      <c r="V28" s="85">
        <v>155.69999999999999</v>
      </c>
      <c r="W28" s="38">
        <f t="shared" si="20"/>
        <v>544593.0110399999</v>
      </c>
      <c r="X28" s="45">
        <v>544593.01</v>
      </c>
      <c r="Y28" s="40">
        <v>41683</v>
      </c>
      <c r="Z28" s="48">
        <v>3572</v>
      </c>
      <c r="AA28" s="113"/>
    </row>
    <row r="29" spans="1:27" ht="21" customHeight="1">
      <c r="A29" s="35">
        <f t="shared" si="22"/>
        <v>24</v>
      </c>
      <c r="B29" s="36" t="s">
        <v>235</v>
      </c>
      <c r="C29" s="20" t="s">
        <v>321</v>
      </c>
      <c r="D29" s="19">
        <v>41688</v>
      </c>
      <c r="E29" s="26" t="s">
        <v>218</v>
      </c>
      <c r="F29" s="22" t="s">
        <v>187</v>
      </c>
      <c r="G29" s="22" t="s">
        <v>97</v>
      </c>
      <c r="H29" s="22" t="s">
        <v>133</v>
      </c>
      <c r="I29" s="37">
        <v>801.22</v>
      </c>
      <c r="J29" s="21">
        <v>41615</v>
      </c>
      <c r="K29" s="22" t="s">
        <v>223</v>
      </c>
      <c r="L29" s="22" t="s">
        <v>49</v>
      </c>
      <c r="M29" s="22" t="s">
        <v>69</v>
      </c>
      <c r="N29" s="20" t="s">
        <v>70</v>
      </c>
      <c r="O29" s="23">
        <v>84000</v>
      </c>
      <c r="P29" s="38">
        <f t="shared" si="21"/>
        <v>9416904</v>
      </c>
      <c r="Q29" s="39" t="s">
        <v>32</v>
      </c>
      <c r="R29" s="8">
        <v>112.10599999999999</v>
      </c>
      <c r="S29" s="40">
        <f t="shared" si="15"/>
        <v>41704</v>
      </c>
      <c r="T29" s="36" t="s">
        <v>39</v>
      </c>
      <c r="U29" s="41">
        <f t="shared" si="19"/>
        <v>11300.284799999999</v>
      </c>
      <c r="V29" s="85">
        <v>155.69999999999999</v>
      </c>
      <c r="W29" s="38">
        <f t="shared" si="20"/>
        <v>1759454.3433599998</v>
      </c>
      <c r="X29" s="45">
        <v>1759454.34</v>
      </c>
      <c r="Y29" s="40">
        <v>41683</v>
      </c>
      <c r="Z29" s="48">
        <v>3571</v>
      </c>
      <c r="AA29" s="113"/>
    </row>
    <row r="30" spans="1:27" s="3" customFormat="1" ht="21" customHeight="1">
      <c r="A30" s="35">
        <f t="shared" si="22"/>
        <v>25</v>
      </c>
      <c r="B30" s="36" t="s">
        <v>231</v>
      </c>
      <c r="C30" s="20" t="s">
        <v>322</v>
      </c>
      <c r="D30" s="19">
        <v>41688</v>
      </c>
      <c r="E30" s="26" t="s">
        <v>214</v>
      </c>
      <c r="F30" s="22" t="s">
        <v>120</v>
      </c>
      <c r="G30" s="22" t="s">
        <v>53</v>
      </c>
      <c r="H30" s="22" t="s">
        <v>133</v>
      </c>
      <c r="I30" s="37">
        <v>801.22</v>
      </c>
      <c r="J30" s="21">
        <v>41615</v>
      </c>
      <c r="K30" s="22" t="s">
        <v>223</v>
      </c>
      <c r="L30" s="22" t="s">
        <v>49</v>
      </c>
      <c r="M30" s="22" t="s">
        <v>69</v>
      </c>
      <c r="N30" s="20" t="s">
        <v>70</v>
      </c>
      <c r="O30" s="23">
        <v>50000</v>
      </c>
      <c r="P30" s="38">
        <f t="shared" si="21"/>
        <v>5600150</v>
      </c>
      <c r="Q30" s="39" t="s">
        <v>32</v>
      </c>
      <c r="R30" s="9">
        <v>112.003</v>
      </c>
      <c r="S30" s="40">
        <f t="shared" si="15"/>
        <v>41704</v>
      </c>
      <c r="T30" s="36" t="s">
        <v>38</v>
      </c>
      <c r="U30" s="41">
        <f t="shared" si="19"/>
        <v>6720.1799999999994</v>
      </c>
      <c r="V30" s="85">
        <v>155.69999999999999</v>
      </c>
      <c r="W30" s="38">
        <f t="shared" si="20"/>
        <v>1046332.0259999998</v>
      </c>
      <c r="X30" s="45">
        <v>1039813.45</v>
      </c>
      <c r="Y30" s="40">
        <v>41677</v>
      </c>
      <c r="Z30" s="48">
        <v>9325</v>
      </c>
      <c r="AA30" s="115"/>
    </row>
    <row r="31" spans="1:27" ht="21" customHeight="1">
      <c r="A31" s="35">
        <f t="shared" si="22"/>
        <v>26</v>
      </c>
      <c r="B31" s="36" t="s">
        <v>232</v>
      </c>
      <c r="C31" s="20" t="s">
        <v>323</v>
      </c>
      <c r="D31" s="19">
        <v>41688</v>
      </c>
      <c r="E31" s="26" t="s">
        <v>215</v>
      </c>
      <c r="F31" s="22" t="s">
        <v>120</v>
      </c>
      <c r="G31" s="22" t="s">
        <v>53</v>
      </c>
      <c r="H31" s="22" t="s">
        <v>133</v>
      </c>
      <c r="I31" s="37">
        <v>801.22</v>
      </c>
      <c r="J31" s="21">
        <v>41615</v>
      </c>
      <c r="K31" s="22" t="s">
        <v>223</v>
      </c>
      <c r="L31" s="22" t="s">
        <v>49</v>
      </c>
      <c r="M31" s="22" t="s">
        <v>69</v>
      </c>
      <c r="N31" s="20" t="s">
        <v>70</v>
      </c>
      <c r="O31" s="23">
        <v>125698</v>
      </c>
      <c r="P31" s="38">
        <f t="shared" si="21"/>
        <v>14078553.094000001</v>
      </c>
      <c r="Q31" s="39" t="s">
        <v>32</v>
      </c>
      <c r="R31" s="9">
        <v>112.003</v>
      </c>
      <c r="S31" s="40">
        <f t="shared" si="15"/>
        <v>41704</v>
      </c>
      <c r="T31" s="36" t="s">
        <v>38</v>
      </c>
      <c r="U31" s="41">
        <f t="shared" si="19"/>
        <v>16894.263712799999</v>
      </c>
      <c r="V31" s="85">
        <v>155.69999999999999</v>
      </c>
      <c r="W31" s="38">
        <f t="shared" si="20"/>
        <v>2630436.8600829598</v>
      </c>
      <c r="X31" s="45">
        <v>2614048.85</v>
      </c>
      <c r="Y31" s="40">
        <v>41677</v>
      </c>
      <c r="Z31" s="48">
        <v>9323</v>
      </c>
      <c r="AA31" s="113"/>
    </row>
    <row r="32" spans="1:27" ht="18.75" customHeight="1">
      <c r="A32" s="35">
        <f t="shared" si="22"/>
        <v>27</v>
      </c>
      <c r="B32" s="36" t="s">
        <v>243</v>
      </c>
      <c r="C32" s="20" t="s">
        <v>324</v>
      </c>
      <c r="D32" s="19">
        <v>41688</v>
      </c>
      <c r="E32" s="26" t="s">
        <v>219</v>
      </c>
      <c r="F32" s="22" t="s">
        <v>120</v>
      </c>
      <c r="G32" s="22" t="s">
        <v>47</v>
      </c>
      <c r="H32" s="22" t="s">
        <v>45</v>
      </c>
      <c r="I32" s="37">
        <v>801.22</v>
      </c>
      <c r="J32" s="21">
        <v>41619</v>
      </c>
      <c r="K32" s="22" t="s">
        <v>224</v>
      </c>
      <c r="L32" s="22" t="s">
        <v>46</v>
      </c>
      <c r="M32" s="22" t="s">
        <v>74</v>
      </c>
      <c r="N32" s="20" t="s">
        <v>106</v>
      </c>
      <c r="O32" s="23">
        <v>799862</v>
      </c>
      <c r="P32" s="38">
        <f t="shared" si="21"/>
        <v>89111025.695999995</v>
      </c>
      <c r="Q32" s="39" t="s">
        <v>32</v>
      </c>
      <c r="R32" s="49">
        <v>111.408</v>
      </c>
      <c r="S32" s="40">
        <f t="shared" si="15"/>
        <v>41708</v>
      </c>
      <c r="T32" s="36" t="s">
        <v>38</v>
      </c>
      <c r="U32" s="41">
        <f t="shared" si="19"/>
        <v>106933.23083519998</v>
      </c>
      <c r="V32" s="85">
        <v>155.69999999999999</v>
      </c>
      <c r="W32" s="38">
        <f t="shared" si="20"/>
        <v>16649504.041040637</v>
      </c>
      <c r="X32" s="45">
        <v>16545778.68</v>
      </c>
      <c r="Y32" s="40">
        <v>41677</v>
      </c>
      <c r="Z32" s="48">
        <v>9331</v>
      </c>
      <c r="AA32" s="113"/>
    </row>
    <row r="33" spans="1:27" ht="21" customHeight="1">
      <c r="A33" s="35">
        <f t="shared" si="22"/>
        <v>28</v>
      </c>
      <c r="B33" s="36" t="s">
        <v>238</v>
      </c>
      <c r="C33" s="20" t="s">
        <v>325</v>
      </c>
      <c r="D33" s="19">
        <v>41688</v>
      </c>
      <c r="E33" s="26" t="s">
        <v>220</v>
      </c>
      <c r="F33" s="22" t="s">
        <v>120</v>
      </c>
      <c r="G33" s="22" t="s">
        <v>53</v>
      </c>
      <c r="H33" s="22" t="s">
        <v>133</v>
      </c>
      <c r="I33" s="37">
        <v>801.22</v>
      </c>
      <c r="J33" s="21">
        <v>41628</v>
      </c>
      <c r="K33" s="22" t="s">
        <v>227</v>
      </c>
      <c r="L33" s="22" t="s">
        <v>49</v>
      </c>
      <c r="M33" s="22" t="s">
        <v>141</v>
      </c>
      <c r="N33" s="20" t="s">
        <v>104</v>
      </c>
      <c r="O33" s="23">
        <v>100000</v>
      </c>
      <c r="P33" s="38">
        <f t="shared" si="21"/>
        <v>11199550</v>
      </c>
      <c r="Q33" s="39" t="s">
        <v>32</v>
      </c>
      <c r="R33" s="49">
        <v>111.99550000000001</v>
      </c>
      <c r="S33" s="40">
        <f t="shared" si="15"/>
        <v>41717</v>
      </c>
      <c r="T33" s="36" t="s">
        <v>38</v>
      </c>
      <c r="U33" s="41">
        <f t="shared" si="19"/>
        <v>13439.46</v>
      </c>
      <c r="V33" s="85">
        <v>155.69999999999999</v>
      </c>
      <c r="W33" s="38">
        <f t="shared" si="20"/>
        <v>2092523.9219999998</v>
      </c>
      <c r="X33" s="45">
        <v>2079084.46</v>
      </c>
      <c r="Y33" s="40">
        <v>41677</v>
      </c>
      <c r="Z33" s="48">
        <v>9326</v>
      </c>
      <c r="AA33" s="113"/>
    </row>
    <row r="34" spans="1:27" ht="21" customHeight="1">
      <c r="A34" s="35">
        <f t="shared" si="22"/>
        <v>29</v>
      </c>
      <c r="B34" s="36" t="s">
        <v>239</v>
      </c>
      <c r="C34" s="20" t="s">
        <v>326</v>
      </c>
      <c r="D34" s="19">
        <v>41688</v>
      </c>
      <c r="E34" s="26" t="s">
        <v>221</v>
      </c>
      <c r="F34" s="22" t="s">
        <v>120</v>
      </c>
      <c r="G34" s="22" t="s">
        <v>53</v>
      </c>
      <c r="H34" s="22" t="s">
        <v>133</v>
      </c>
      <c r="I34" s="37">
        <v>801.22</v>
      </c>
      <c r="J34" s="21">
        <v>41628</v>
      </c>
      <c r="K34" s="22" t="s">
        <v>227</v>
      </c>
      <c r="L34" s="22" t="s">
        <v>49</v>
      </c>
      <c r="M34" s="22" t="s">
        <v>141</v>
      </c>
      <c r="N34" s="20" t="s">
        <v>104</v>
      </c>
      <c r="O34" s="23">
        <v>319607</v>
      </c>
      <c r="P34" s="38">
        <f t="shared" si="21"/>
        <v>35794545.7685</v>
      </c>
      <c r="Q34" s="39" t="s">
        <v>32</v>
      </c>
      <c r="R34" s="49">
        <v>111.99550000000001</v>
      </c>
      <c r="S34" s="40">
        <f t="shared" si="15"/>
        <v>41717</v>
      </c>
      <c r="T34" s="36" t="s">
        <v>38</v>
      </c>
      <c r="U34" s="41">
        <f t="shared" si="19"/>
        <v>42953.454922199999</v>
      </c>
      <c r="V34" s="85">
        <v>155.69999999999999</v>
      </c>
      <c r="W34" s="38">
        <f t="shared" si="20"/>
        <v>6687852.9313865397</v>
      </c>
      <c r="X34" s="45">
        <v>6644898.7199999997</v>
      </c>
      <c r="Y34" s="40">
        <v>41677</v>
      </c>
      <c r="Z34" s="48">
        <v>9324</v>
      </c>
      <c r="AA34" s="113"/>
    </row>
    <row r="35" spans="1:27" ht="21" customHeight="1">
      <c r="A35" s="35">
        <f t="shared" si="22"/>
        <v>30</v>
      </c>
      <c r="B35" s="36" t="s">
        <v>240</v>
      </c>
      <c r="C35" s="22" t="s">
        <v>327</v>
      </c>
      <c r="D35" s="19">
        <v>41688</v>
      </c>
      <c r="E35" s="26" t="s">
        <v>222</v>
      </c>
      <c r="F35" s="22" t="s">
        <v>120</v>
      </c>
      <c r="G35" s="22" t="s">
        <v>47</v>
      </c>
      <c r="H35" s="22" t="s">
        <v>133</v>
      </c>
      <c r="I35" s="37">
        <v>801.22</v>
      </c>
      <c r="J35" s="21">
        <v>41628</v>
      </c>
      <c r="K35" s="22" t="s">
        <v>227</v>
      </c>
      <c r="L35" s="22" t="s">
        <v>49</v>
      </c>
      <c r="M35" s="22" t="s">
        <v>141</v>
      </c>
      <c r="N35" s="20" t="s">
        <v>104</v>
      </c>
      <c r="O35" s="23">
        <v>90000</v>
      </c>
      <c r="P35" s="38">
        <f t="shared" si="21"/>
        <v>10122030</v>
      </c>
      <c r="Q35" s="39" t="s">
        <v>32</v>
      </c>
      <c r="R35" s="49">
        <v>112.467</v>
      </c>
      <c r="S35" s="40">
        <f t="shared" si="15"/>
        <v>41717</v>
      </c>
      <c r="T35" s="36" t="s">
        <v>38</v>
      </c>
      <c r="U35" s="41">
        <f t="shared" si="19"/>
        <v>12146.436</v>
      </c>
      <c r="V35" s="85">
        <v>155.69999999999999</v>
      </c>
      <c r="W35" s="38">
        <f t="shared" si="20"/>
        <v>1891200.0851999999</v>
      </c>
      <c r="X35" s="45">
        <v>1879054.27</v>
      </c>
      <c r="Y35" s="40">
        <v>41677</v>
      </c>
      <c r="Z35" s="48">
        <v>9330</v>
      </c>
      <c r="AA35" s="113"/>
    </row>
    <row r="36" spans="1:27" ht="20.25" customHeight="1">
      <c r="A36" s="35">
        <f t="shared" si="22"/>
        <v>31</v>
      </c>
      <c r="B36" s="36" t="s">
        <v>306</v>
      </c>
      <c r="C36" s="44" t="s">
        <v>328</v>
      </c>
      <c r="D36" s="19">
        <v>41688</v>
      </c>
      <c r="E36" s="27" t="s">
        <v>308</v>
      </c>
      <c r="F36" s="22" t="s">
        <v>150</v>
      </c>
      <c r="G36" s="22" t="s">
        <v>279</v>
      </c>
      <c r="H36" s="22" t="s">
        <v>159</v>
      </c>
      <c r="I36" s="37">
        <v>801.22</v>
      </c>
      <c r="J36" s="21">
        <v>41664</v>
      </c>
      <c r="K36" s="22" t="s">
        <v>283</v>
      </c>
      <c r="L36" s="22" t="s">
        <v>160</v>
      </c>
      <c r="M36" s="22" t="s">
        <v>60</v>
      </c>
      <c r="N36" s="20" t="s">
        <v>162</v>
      </c>
      <c r="O36" s="23">
        <v>628846</v>
      </c>
      <c r="P36" s="38">
        <f t="shared" si="21"/>
        <v>66161516.505999997</v>
      </c>
      <c r="Q36" s="39" t="s">
        <v>32</v>
      </c>
      <c r="R36" s="49">
        <v>105.211</v>
      </c>
      <c r="S36" s="40">
        <f t="shared" si="15"/>
        <v>41753</v>
      </c>
      <c r="T36" s="22" t="s">
        <v>163</v>
      </c>
      <c r="U36" s="41">
        <f t="shared" si="19"/>
        <v>79393.819807199994</v>
      </c>
      <c r="V36" s="36">
        <v>155.75</v>
      </c>
      <c r="W36" s="38">
        <f t="shared" si="20"/>
        <v>12365587.4349714</v>
      </c>
      <c r="X36" s="45">
        <v>12365587.470000001</v>
      </c>
      <c r="Y36" s="40">
        <v>41677</v>
      </c>
      <c r="Z36" s="48">
        <v>3850</v>
      </c>
      <c r="AA36" s="113"/>
    </row>
    <row r="37" spans="1:27" ht="21.75" customHeight="1">
      <c r="A37" s="35">
        <f t="shared" si="22"/>
        <v>32</v>
      </c>
      <c r="B37" s="36" t="s">
        <v>154</v>
      </c>
      <c r="C37" s="44" t="s">
        <v>329</v>
      </c>
      <c r="D37" s="21">
        <v>41698</v>
      </c>
      <c r="E37" s="26" t="s">
        <v>309</v>
      </c>
      <c r="F37" s="22" t="s">
        <v>118</v>
      </c>
      <c r="G37" s="22" t="s">
        <v>44</v>
      </c>
      <c r="H37" s="22" t="s">
        <v>133</v>
      </c>
      <c r="I37" s="37">
        <v>801.22</v>
      </c>
      <c r="J37" s="40">
        <v>41447</v>
      </c>
      <c r="K37" s="22" t="s">
        <v>155</v>
      </c>
      <c r="L37" s="36" t="s">
        <v>49</v>
      </c>
      <c r="M37" s="22" t="s">
        <v>77</v>
      </c>
      <c r="N37" s="22" t="s">
        <v>145</v>
      </c>
      <c r="O37" s="23">
        <v>59642</v>
      </c>
      <c r="P37" s="38">
        <f t="shared" si="21"/>
        <v>6175451.9639999997</v>
      </c>
      <c r="Q37" s="39" t="s">
        <v>32</v>
      </c>
      <c r="R37" s="49">
        <v>103.542</v>
      </c>
      <c r="S37" s="40">
        <f t="shared" ref="S37" si="23">SUM(J37)+89</f>
        <v>41536</v>
      </c>
      <c r="T37" s="36" t="s">
        <v>43</v>
      </c>
      <c r="U37" s="41">
        <f t="shared" ref="U37:U56" si="24">SUM(P37*0.12%)</f>
        <v>7410.5423567999987</v>
      </c>
      <c r="V37" s="36">
        <v>155.75</v>
      </c>
      <c r="W37" s="38">
        <f t="shared" si="20"/>
        <v>1154191.9720715999</v>
      </c>
      <c r="X37" s="45">
        <v>1154191.97</v>
      </c>
      <c r="Y37" s="36"/>
      <c r="Z37" s="36"/>
      <c r="AA37" s="113"/>
    </row>
    <row r="38" spans="1:27" ht="16.5">
      <c r="A38" s="35">
        <f t="shared" si="22"/>
        <v>33</v>
      </c>
      <c r="B38" s="36" t="s">
        <v>346</v>
      </c>
      <c r="C38" s="44" t="s">
        <v>347</v>
      </c>
      <c r="D38" s="21">
        <v>41698</v>
      </c>
      <c r="E38" s="26" t="s">
        <v>348</v>
      </c>
      <c r="F38" s="20" t="s">
        <v>278</v>
      </c>
      <c r="G38" s="20" t="s">
        <v>44</v>
      </c>
      <c r="H38" s="20" t="s">
        <v>45</v>
      </c>
      <c r="I38" s="37">
        <v>801.22</v>
      </c>
      <c r="J38" s="21">
        <v>41679</v>
      </c>
      <c r="K38" s="22" t="s">
        <v>349</v>
      </c>
      <c r="L38" s="22" t="s">
        <v>46</v>
      </c>
      <c r="M38" s="22" t="s">
        <v>113</v>
      </c>
      <c r="N38" s="20" t="s">
        <v>114</v>
      </c>
      <c r="O38" s="23">
        <v>855919</v>
      </c>
      <c r="P38" s="38">
        <f t="shared" ref="P38:P56" si="25">SUM(O38*R38)</f>
        <v>95472628.936000004</v>
      </c>
      <c r="Q38" s="39" t="s">
        <v>32</v>
      </c>
      <c r="R38" s="8">
        <v>111.544</v>
      </c>
      <c r="S38" s="40">
        <f t="shared" ref="S38:S43" si="26">SUM(J38)+89</f>
        <v>41768</v>
      </c>
      <c r="T38" s="20" t="s">
        <v>278</v>
      </c>
      <c r="U38" s="41">
        <f t="shared" si="24"/>
        <v>114567.1547232</v>
      </c>
      <c r="V38" s="36">
        <v>155.75</v>
      </c>
      <c r="W38" s="38">
        <f t="shared" si="20"/>
        <v>17843834.348138399</v>
      </c>
      <c r="X38" s="45">
        <f t="shared" ref="X38:X39" si="27">W38</f>
        <v>17843834.348138399</v>
      </c>
      <c r="Y38" s="36"/>
      <c r="Z38" s="36"/>
      <c r="AA38" s="113"/>
    </row>
    <row r="39" spans="1:27" ht="16.5">
      <c r="A39" s="35">
        <f t="shared" si="22"/>
        <v>34</v>
      </c>
      <c r="B39" s="36" t="s">
        <v>350</v>
      </c>
      <c r="C39" s="44" t="s">
        <v>351</v>
      </c>
      <c r="D39" s="21">
        <v>41698</v>
      </c>
      <c r="E39" s="26" t="s">
        <v>352</v>
      </c>
      <c r="F39" s="20" t="s">
        <v>278</v>
      </c>
      <c r="G39" s="20" t="s">
        <v>44</v>
      </c>
      <c r="H39" s="20" t="s">
        <v>35</v>
      </c>
      <c r="I39" s="37">
        <v>801.22</v>
      </c>
      <c r="J39" s="21">
        <v>41680</v>
      </c>
      <c r="K39" s="20" t="s">
        <v>353</v>
      </c>
      <c r="L39" s="22" t="s">
        <v>36</v>
      </c>
      <c r="M39" s="22" t="s">
        <v>50</v>
      </c>
      <c r="N39" s="22" t="s">
        <v>51</v>
      </c>
      <c r="O39" s="23">
        <v>953126</v>
      </c>
      <c r="P39" s="38">
        <f t="shared" si="25"/>
        <v>106299283.402</v>
      </c>
      <c r="Q39" s="39" t="s">
        <v>32</v>
      </c>
      <c r="R39" s="8">
        <v>111.527</v>
      </c>
      <c r="S39" s="40">
        <f t="shared" si="26"/>
        <v>41769</v>
      </c>
      <c r="T39" s="20" t="s">
        <v>278</v>
      </c>
      <c r="U39" s="41">
        <f t="shared" si="24"/>
        <v>127559.14008239999</v>
      </c>
      <c r="V39" s="36">
        <v>155.75</v>
      </c>
      <c r="W39" s="38">
        <f t="shared" si="20"/>
        <v>19867336.067833796</v>
      </c>
      <c r="X39" s="45">
        <f t="shared" si="27"/>
        <v>19867336.067833796</v>
      </c>
      <c r="Y39" s="36"/>
      <c r="Z39" s="36"/>
      <c r="AA39" s="113"/>
    </row>
    <row r="40" spans="1:27" ht="16.5">
      <c r="A40" s="35">
        <f t="shared" si="22"/>
        <v>35</v>
      </c>
      <c r="B40" s="36" t="s">
        <v>354</v>
      </c>
      <c r="C40" s="44" t="s">
        <v>355</v>
      </c>
      <c r="D40" s="21">
        <v>41698</v>
      </c>
      <c r="E40" s="26" t="s">
        <v>356</v>
      </c>
      <c r="F40" s="20" t="s">
        <v>150</v>
      </c>
      <c r="G40" s="20" t="s">
        <v>279</v>
      </c>
      <c r="H40" s="20" t="s">
        <v>159</v>
      </c>
      <c r="I40" s="37">
        <v>801.22</v>
      </c>
      <c r="J40" s="21">
        <v>41681</v>
      </c>
      <c r="K40" s="20" t="s">
        <v>357</v>
      </c>
      <c r="L40" s="22" t="s">
        <v>160</v>
      </c>
      <c r="M40" s="22" t="s">
        <v>37</v>
      </c>
      <c r="N40" s="22" t="s">
        <v>358</v>
      </c>
      <c r="O40" s="23">
        <v>499379</v>
      </c>
      <c r="P40" s="38">
        <f t="shared" si="25"/>
        <v>51896963.817000002</v>
      </c>
      <c r="Q40" s="39" t="s">
        <v>32</v>
      </c>
      <c r="R40" s="49">
        <v>103.923</v>
      </c>
      <c r="S40" s="40">
        <f t="shared" si="26"/>
        <v>41770</v>
      </c>
      <c r="T40" s="20" t="s">
        <v>163</v>
      </c>
      <c r="U40" s="41">
        <f t="shared" si="24"/>
        <v>62276.356580399995</v>
      </c>
      <c r="V40" s="36">
        <v>155.75</v>
      </c>
      <c r="W40" s="38">
        <f t="shared" si="20"/>
        <v>9699542.537397299</v>
      </c>
      <c r="X40" s="45">
        <v>9699543.0700000003</v>
      </c>
      <c r="Y40" s="40">
        <v>41697</v>
      </c>
      <c r="Z40" s="48">
        <v>4608</v>
      </c>
      <c r="AA40" s="113"/>
    </row>
    <row r="41" spans="1:27" ht="16.5">
      <c r="A41" s="35">
        <f t="shared" si="22"/>
        <v>36</v>
      </c>
      <c r="B41" s="36" t="s">
        <v>361</v>
      </c>
      <c r="C41" s="44" t="s">
        <v>362</v>
      </c>
      <c r="D41" s="21">
        <v>41698</v>
      </c>
      <c r="E41" s="26" t="s">
        <v>363</v>
      </c>
      <c r="F41" s="20" t="s">
        <v>278</v>
      </c>
      <c r="G41" s="20" t="s">
        <v>44</v>
      </c>
      <c r="H41" s="20" t="s">
        <v>29</v>
      </c>
      <c r="I41" s="37">
        <v>801.22</v>
      </c>
      <c r="J41" s="21">
        <v>41693</v>
      </c>
      <c r="K41" s="22" t="s">
        <v>364</v>
      </c>
      <c r="L41" s="22" t="s">
        <v>30</v>
      </c>
      <c r="M41" s="22" t="s">
        <v>54</v>
      </c>
      <c r="N41" s="22" t="s">
        <v>55</v>
      </c>
      <c r="O41" s="23">
        <v>548044</v>
      </c>
      <c r="P41" s="38">
        <f t="shared" si="25"/>
        <v>59980675.579999998</v>
      </c>
      <c r="Q41" s="39" t="s">
        <v>32</v>
      </c>
      <c r="R41" s="49">
        <v>109.44499999999999</v>
      </c>
      <c r="S41" s="40">
        <f t="shared" si="26"/>
        <v>41782</v>
      </c>
      <c r="T41" s="20" t="s">
        <v>278</v>
      </c>
      <c r="U41" s="41">
        <f t="shared" si="24"/>
        <v>71976.810695999986</v>
      </c>
      <c r="V41" s="36">
        <v>155.75</v>
      </c>
      <c r="W41" s="38">
        <f t="shared" si="20"/>
        <v>11210388.265901998</v>
      </c>
      <c r="X41" s="45">
        <f t="shared" ref="X41:X43" si="28">W41</f>
        <v>11210388.265901998</v>
      </c>
      <c r="Y41" s="36"/>
      <c r="Z41" s="36"/>
      <c r="AA41" s="113"/>
    </row>
    <row r="42" spans="1:27" ht="16.5">
      <c r="A42" s="35">
        <f t="shared" si="22"/>
        <v>37</v>
      </c>
      <c r="B42" s="36" t="s">
        <v>365</v>
      </c>
      <c r="C42" s="44" t="s">
        <v>366</v>
      </c>
      <c r="D42" s="21">
        <v>41698</v>
      </c>
      <c r="E42" s="26" t="s">
        <v>367</v>
      </c>
      <c r="F42" s="20" t="s">
        <v>278</v>
      </c>
      <c r="G42" s="20" t="s">
        <v>44</v>
      </c>
      <c r="H42" s="20" t="s">
        <v>29</v>
      </c>
      <c r="I42" s="37">
        <v>801.22</v>
      </c>
      <c r="J42" s="21">
        <v>41693</v>
      </c>
      <c r="K42" s="22" t="s">
        <v>364</v>
      </c>
      <c r="L42" s="22" t="s">
        <v>30</v>
      </c>
      <c r="M42" s="22" t="s">
        <v>54</v>
      </c>
      <c r="N42" s="22" t="s">
        <v>55</v>
      </c>
      <c r="O42" s="23">
        <v>400000</v>
      </c>
      <c r="P42" s="38">
        <f t="shared" si="25"/>
        <v>43778000</v>
      </c>
      <c r="Q42" s="39" t="s">
        <v>32</v>
      </c>
      <c r="R42" s="49">
        <v>109.44499999999999</v>
      </c>
      <c r="S42" s="40">
        <f t="shared" si="26"/>
        <v>41782</v>
      </c>
      <c r="T42" s="20" t="s">
        <v>278</v>
      </c>
      <c r="U42" s="41">
        <f t="shared" si="24"/>
        <v>52533.599999999999</v>
      </c>
      <c r="V42" s="36">
        <v>155.75</v>
      </c>
      <c r="W42" s="38">
        <f t="shared" si="20"/>
        <v>8182108.2000000002</v>
      </c>
      <c r="X42" s="45">
        <f t="shared" si="28"/>
        <v>8182108.2000000002</v>
      </c>
      <c r="Y42" s="36"/>
      <c r="Z42" s="36"/>
      <c r="AA42" s="113"/>
    </row>
    <row r="43" spans="1:27" ht="16.5">
      <c r="A43" s="35">
        <f t="shared" si="22"/>
        <v>38</v>
      </c>
      <c r="B43" s="36" t="s">
        <v>377</v>
      </c>
      <c r="C43" s="44" t="s">
        <v>378</v>
      </c>
      <c r="D43" s="21">
        <v>41698</v>
      </c>
      <c r="E43" s="26" t="s">
        <v>379</v>
      </c>
      <c r="F43" s="20" t="s">
        <v>278</v>
      </c>
      <c r="G43" s="20" t="s">
        <v>44</v>
      </c>
      <c r="H43" s="20" t="s">
        <v>45</v>
      </c>
      <c r="I43" s="37">
        <v>801.22</v>
      </c>
      <c r="J43" s="21">
        <v>41698</v>
      </c>
      <c r="K43" s="22" t="s">
        <v>380</v>
      </c>
      <c r="L43" s="22" t="s">
        <v>46</v>
      </c>
      <c r="M43" s="22" t="s">
        <v>78</v>
      </c>
      <c r="N43" s="22" t="s">
        <v>381</v>
      </c>
      <c r="O43" s="52">
        <v>899814</v>
      </c>
      <c r="P43" s="53">
        <f t="shared" si="25"/>
        <v>100105207.31400001</v>
      </c>
      <c r="Q43" s="39" t="s">
        <v>32</v>
      </c>
      <c r="R43" s="49">
        <v>111.251</v>
      </c>
      <c r="S43" s="40">
        <f t="shared" si="26"/>
        <v>41787</v>
      </c>
      <c r="T43" s="20" t="s">
        <v>278</v>
      </c>
      <c r="U43" s="54">
        <f t="shared" si="24"/>
        <v>120126.2487768</v>
      </c>
      <c r="V43" s="36">
        <v>155.75</v>
      </c>
      <c r="W43" s="53">
        <f t="shared" si="20"/>
        <v>18709663.246986602</v>
      </c>
      <c r="X43" s="45">
        <f t="shared" si="28"/>
        <v>18709663.246986602</v>
      </c>
      <c r="Y43" s="36"/>
      <c r="Z43" s="36"/>
      <c r="AA43" s="113"/>
    </row>
    <row r="44" spans="1:27" s="12" customFormat="1" ht="79.5" customHeight="1">
      <c r="A44" s="35">
        <f t="shared" si="22"/>
        <v>39</v>
      </c>
      <c r="B44" s="36" t="s">
        <v>205</v>
      </c>
      <c r="C44" s="22" t="s">
        <v>383</v>
      </c>
      <c r="D44" s="19">
        <v>41710</v>
      </c>
      <c r="E44" s="98">
        <v>201300010327</v>
      </c>
      <c r="F44" s="22" t="s">
        <v>120</v>
      </c>
      <c r="G44" s="22" t="s">
        <v>53</v>
      </c>
      <c r="H44" s="22" t="s">
        <v>133</v>
      </c>
      <c r="I44" s="37">
        <v>801.22</v>
      </c>
      <c r="J44" s="40">
        <v>41594</v>
      </c>
      <c r="K44" s="22" t="s">
        <v>146</v>
      </c>
      <c r="L44" s="36" t="s">
        <v>49</v>
      </c>
      <c r="M44" s="22" t="s">
        <v>60</v>
      </c>
      <c r="N44" s="22" t="s">
        <v>196</v>
      </c>
      <c r="O44" s="99">
        <v>383790</v>
      </c>
      <c r="P44" s="38">
        <f t="shared" si="25"/>
        <v>41928289.920000002</v>
      </c>
      <c r="Q44" s="39" t="s">
        <v>32</v>
      </c>
      <c r="R44" s="49">
        <v>109.248</v>
      </c>
      <c r="S44" s="40">
        <f t="shared" ref="S44:S46" si="29">SUM(J44)+89</f>
        <v>41683</v>
      </c>
      <c r="T44" s="36" t="s">
        <v>38</v>
      </c>
      <c r="U44" s="100">
        <f t="shared" si="24"/>
        <v>50313.947904000001</v>
      </c>
      <c r="V44" s="36">
        <v>155.72</v>
      </c>
      <c r="W44" s="38">
        <f t="shared" si="20"/>
        <v>7834887.9676108798</v>
      </c>
      <c r="X44" s="101">
        <v>7783568.0700000003</v>
      </c>
      <c r="Y44" s="40">
        <v>41677</v>
      </c>
      <c r="Z44" s="48">
        <v>9318</v>
      </c>
      <c r="AA44" s="22" t="s">
        <v>384</v>
      </c>
    </row>
    <row r="45" spans="1:27" ht="21" customHeight="1">
      <c r="A45" s="35">
        <f t="shared" si="22"/>
        <v>40</v>
      </c>
      <c r="B45" s="36" t="s">
        <v>236</v>
      </c>
      <c r="C45" s="102" t="s">
        <v>385</v>
      </c>
      <c r="D45" s="19">
        <v>41710</v>
      </c>
      <c r="E45" s="27" t="s">
        <v>331</v>
      </c>
      <c r="F45" s="22" t="s">
        <v>130</v>
      </c>
      <c r="G45" s="22" t="s">
        <v>98</v>
      </c>
      <c r="H45" s="22" t="s">
        <v>133</v>
      </c>
      <c r="I45" s="37">
        <v>801.22</v>
      </c>
      <c r="J45" s="21">
        <v>41615</v>
      </c>
      <c r="K45" s="22" t="s">
        <v>223</v>
      </c>
      <c r="L45" s="22" t="s">
        <v>49</v>
      </c>
      <c r="M45" s="22" t="s">
        <v>69</v>
      </c>
      <c r="N45" s="20" t="s">
        <v>70</v>
      </c>
      <c r="O45" s="23">
        <v>113000</v>
      </c>
      <c r="P45" s="38">
        <f t="shared" si="25"/>
        <v>12690578</v>
      </c>
      <c r="Q45" s="39" t="s">
        <v>32</v>
      </c>
      <c r="R45" s="9">
        <v>112.306</v>
      </c>
      <c r="S45" s="40">
        <f t="shared" si="29"/>
        <v>41704</v>
      </c>
      <c r="T45" s="36" t="s">
        <v>144</v>
      </c>
      <c r="U45" s="41">
        <f t="shared" si="24"/>
        <v>15228.693599999999</v>
      </c>
      <c r="V45" s="85">
        <v>155.69999999999999</v>
      </c>
      <c r="W45" s="38">
        <f t="shared" si="20"/>
        <v>2371107.5935199996</v>
      </c>
      <c r="X45" s="45">
        <v>2371107.59</v>
      </c>
      <c r="Y45" s="40">
        <v>41698</v>
      </c>
      <c r="Z45" s="48">
        <v>46368</v>
      </c>
      <c r="AA45" s="113"/>
    </row>
    <row r="46" spans="1:27" ht="21" customHeight="1">
      <c r="A46" s="35">
        <f t="shared" ref="A46:A109" si="30">A45+1</f>
        <v>41</v>
      </c>
      <c r="B46" s="36" t="s">
        <v>242</v>
      </c>
      <c r="C46" s="102" t="s">
        <v>386</v>
      </c>
      <c r="D46" s="19">
        <v>41710</v>
      </c>
      <c r="E46" s="27" t="s">
        <v>332</v>
      </c>
      <c r="F46" s="22" t="s">
        <v>130</v>
      </c>
      <c r="G46" s="22" t="s">
        <v>98</v>
      </c>
      <c r="H46" s="22" t="s">
        <v>133</v>
      </c>
      <c r="I46" s="37">
        <v>801.22</v>
      </c>
      <c r="J46" s="21">
        <v>41628</v>
      </c>
      <c r="K46" s="22" t="s">
        <v>227</v>
      </c>
      <c r="L46" s="22" t="s">
        <v>49</v>
      </c>
      <c r="M46" s="22" t="s">
        <v>141</v>
      </c>
      <c r="N46" s="20" t="s">
        <v>104</v>
      </c>
      <c r="O46" s="97">
        <v>120000</v>
      </c>
      <c r="P46" s="38">
        <f t="shared" si="25"/>
        <v>13476720</v>
      </c>
      <c r="Q46" s="39" t="s">
        <v>32</v>
      </c>
      <c r="R46" s="9">
        <v>112.306</v>
      </c>
      <c r="S46" s="40">
        <f t="shared" si="29"/>
        <v>41717</v>
      </c>
      <c r="T46" s="36" t="s">
        <v>144</v>
      </c>
      <c r="U46" s="41">
        <f t="shared" si="24"/>
        <v>16172.063999999998</v>
      </c>
      <c r="V46" s="85">
        <v>155.69999999999999</v>
      </c>
      <c r="W46" s="38">
        <f t="shared" si="20"/>
        <v>2517990.3647999996</v>
      </c>
      <c r="X46" s="45">
        <v>2517990.37</v>
      </c>
      <c r="Y46" s="40">
        <v>41698</v>
      </c>
      <c r="Z46" s="48">
        <v>46367</v>
      </c>
      <c r="AA46" s="113"/>
    </row>
    <row r="47" spans="1:27" ht="20.25" customHeight="1">
      <c r="A47" s="35">
        <f t="shared" si="30"/>
        <v>42</v>
      </c>
      <c r="B47" s="36" t="s">
        <v>305</v>
      </c>
      <c r="C47" s="20" t="s">
        <v>387</v>
      </c>
      <c r="D47" s="21">
        <v>41710</v>
      </c>
      <c r="E47" s="26" t="s">
        <v>275</v>
      </c>
      <c r="F47" s="22" t="s">
        <v>52</v>
      </c>
      <c r="G47" s="22" t="s">
        <v>82</v>
      </c>
      <c r="H47" s="22" t="s">
        <v>58</v>
      </c>
      <c r="I47" s="37">
        <v>801.22</v>
      </c>
      <c r="J47" s="21">
        <v>41663</v>
      </c>
      <c r="K47" s="22" t="s">
        <v>79</v>
      </c>
      <c r="L47" s="22" t="s">
        <v>59</v>
      </c>
      <c r="M47" s="22" t="s">
        <v>78</v>
      </c>
      <c r="N47" s="20" t="s">
        <v>109</v>
      </c>
      <c r="O47" s="23">
        <v>207196</v>
      </c>
      <c r="P47" s="38">
        <f t="shared" si="25"/>
        <v>22917327.971999999</v>
      </c>
      <c r="Q47" s="39" t="s">
        <v>32</v>
      </c>
      <c r="R47" s="49">
        <v>110.607</v>
      </c>
      <c r="S47" s="40">
        <f t="shared" ref="S47" si="31">SUM(J47)+89</f>
        <v>41752</v>
      </c>
      <c r="T47" s="22" t="s">
        <v>52</v>
      </c>
      <c r="U47" s="41">
        <f t="shared" si="24"/>
        <v>27500.793566399996</v>
      </c>
      <c r="V47" s="36">
        <v>155.75</v>
      </c>
      <c r="W47" s="38">
        <f t="shared" si="20"/>
        <v>4283248.5979667995</v>
      </c>
      <c r="X47" s="45">
        <v>4283248.5999999996</v>
      </c>
      <c r="Y47" s="40">
        <v>41709</v>
      </c>
      <c r="Z47" s="46">
        <v>15383</v>
      </c>
      <c r="AA47" s="113"/>
    </row>
    <row r="48" spans="1:27" ht="16.5">
      <c r="A48" s="35">
        <f t="shared" si="30"/>
        <v>43</v>
      </c>
      <c r="B48" s="36" t="s">
        <v>376</v>
      </c>
      <c r="C48" s="44" t="s">
        <v>388</v>
      </c>
      <c r="D48" s="40">
        <v>41711</v>
      </c>
      <c r="E48" s="27" t="s">
        <v>382</v>
      </c>
      <c r="F48" s="20" t="s">
        <v>150</v>
      </c>
      <c r="G48" s="20" t="s">
        <v>279</v>
      </c>
      <c r="H48" s="20" t="s">
        <v>159</v>
      </c>
      <c r="I48" s="37">
        <v>801.22</v>
      </c>
      <c r="J48" s="21">
        <v>41697</v>
      </c>
      <c r="K48" s="22" t="s">
        <v>62</v>
      </c>
      <c r="L48" s="22" t="s">
        <v>160</v>
      </c>
      <c r="M48" s="20" t="s">
        <v>80</v>
      </c>
      <c r="N48" s="22" t="s">
        <v>166</v>
      </c>
      <c r="O48" s="23">
        <v>698289</v>
      </c>
      <c r="P48" s="38">
        <f t="shared" si="25"/>
        <v>73198842.714000002</v>
      </c>
      <c r="Q48" s="39" t="s">
        <v>32</v>
      </c>
      <c r="R48" s="49">
        <v>104.82599999999999</v>
      </c>
      <c r="S48" s="40">
        <f t="shared" ref="S48" si="32">SUM(J48)+89</f>
        <v>41786</v>
      </c>
      <c r="T48" s="20" t="s">
        <v>163</v>
      </c>
      <c r="U48" s="41">
        <f t="shared" si="24"/>
        <v>87838.611256799995</v>
      </c>
      <c r="V48" s="36">
        <v>155.75</v>
      </c>
      <c r="W48" s="38">
        <f t="shared" si="20"/>
        <v>13680863.703246599</v>
      </c>
      <c r="X48" s="45">
        <v>13680863.51</v>
      </c>
      <c r="Y48" s="40">
        <v>41709</v>
      </c>
      <c r="Z48" s="48">
        <v>4617</v>
      </c>
      <c r="AA48" s="113"/>
    </row>
    <row r="49" spans="1:27" ht="21" customHeight="1">
      <c r="A49" s="35">
        <f t="shared" si="30"/>
        <v>44</v>
      </c>
      <c r="B49" s="36" t="s">
        <v>248</v>
      </c>
      <c r="C49" s="20" t="s">
        <v>389</v>
      </c>
      <c r="D49" s="19">
        <v>41715</v>
      </c>
      <c r="E49" s="98">
        <v>201300020023</v>
      </c>
      <c r="F49" s="22" t="s">
        <v>120</v>
      </c>
      <c r="G49" s="22" t="s">
        <v>92</v>
      </c>
      <c r="H49" s="22" t="s">
        <v>29</v>
      </c>
      <c r="I49" s="37">
        <v>801.22</v>
      </c>
      <c r="J49" s="40">
        <v>41630</v>
      </c>
      <c r="K49" s="22" t="s">
        <v>62</v>
      </c>
      <c r="L49" s="36" t="s">
        <v>30</v>
      </c>
      <c r="M49" s="22" t="s">
        <v>141</v>
      </c>
      <c r="N49" s="20" t="s">
        <v>229</v>
      </c>
      <c r="O49" s="97">
        <v>948424</v>
      </c>
      <c r="P49" s="38">
        <f t="shared" si="25"/>
        <v>105986382</v>
      </c>
      <c r="Q49" s="39" t="s">
        <v>32</v>
      </c>
      <c r="R49" s="49">
        <v>111.75</v>
      </c>
      <c r="S49" s="40">
        <f t="shared" ref="S49" si="33">SUM(J49)+89</f>
        <v>41719</v>
      </c>
      <c r="T49" s="36" t="s">
        <v>27</v>
      </c>
      <c r="U49" s="41">
        <f t="shared" si="24"/>
        <v>127183.65839999999</v>
      </c>
      <c r="V49" s="85">
        <v>155.69999999999999</v>
      </c>
      <c r="W49" s="38">
        <f t="shared" si="20"/>
        <v>19802495.612879995</v>
      </c>
      <c r="X49" s="45">
        <v>19802495.859999999</v>
      </c>
      <c r="Y49" s="40">
        <v>41710</v>
      </c>
      <c r="Z49" s="46">
        <v>1307</v>
      </c>
      <c r="AA49" s="113"/>
    </row>
    <row r="50" spans="1:27" ht="20.25" customHeight="1">
      <c r="A50" s="35">
        <f t="shared" si="30"/>
        <v>45</v>
      </c>
      <c r="B50" s="36" t="s">
        <v>293</v>
      </c>
      <c r="C50" s="44" t="s">
        <v>390</v>
      </c>
      <c r="D50" s="19">
        <v>41715</v>
      </c>
      <c r="E50" s="26" t="s">
        <v>269</v>
      </c>
      <c r="F50" s="22" t="s">
        <v>120</v>
      </c>
      <c r="G50" s="22" t="s">
        <v>28</v>
      </c>
      <c r="H50" s="22" t="s">
        <v>133</v>
      </c>
      <c r="I50" s="37">
        <v>801.22</v>
      </c>
      <c r="J50" s="21">
        <v>41655</v>
      </c>
      <c r="K50" s="22" t="s">
        <v>281</v>
      </c>
      <c r="L50" s="22" t="s">
        <v>49</v>
      </c>
      <c r="M50" s="22" t="s">
        <v>31</v>
      </c>
      <c r="N50" s="20" t="s">
        <v>108</v>
      </c>
      <c r="O50" s="23">
        <v>500000</v>
      </c>
      <c r="P50" s="38">
        <f t="shared" si="25"/>
        <v>55469000</v>
      </c>
      <c r="Q50" s="39" t="s">
        <v>32</v>
      </c>
      <c r="R50" s="9">
        <v>110.938</v>
      </c>
      <c r="S50" s="40">
        <f t="shared" ref="S50:S51" si="34">SUM(J50)+89</f>
        <v>41744</v>
      </c>
      <c r="T50" s="22" t="s">
        <v>120</v>
      </c>
      <c r="U50" s="41">
        <f t="shared" si="24"/>
        <v>66562.799999999988</v>
      </c>
      <c r="V50" s="36">
        <v>155.75</v>
      </c>
      <c r="W50" s="38">
        <f t="shared" si="20"/>
        <v>10367156.099999998</v>
      </c>
      <c r="X50" s="45">
        <v>10367156.1</v>
      </c>
      <c r="Y50" s="40">
        <v>41710</v>
      </c>
      <c r="Z50" s="46">
        <v>1308</v>
      </c>
      <c r="AA50" s="113"/>
    </row>
    <row r="51" spans="1:27" ht="20.25" customHeight="1">
      <c r="A51" s="35">
        <f t="shared" si="30"/>
        <v>46</v>
      </c>
      <c r="B51" s="36" t="s">
        <v>307</v>
      </c>
      <c r="C51" s="44" t="s">
        <v>391</v>
      </c>
      <c r="D51" s="19">
        <v>41715</v>
      </c>
      <c r="E51" s="27" t="s">
        <v>277</v>
      </c>
      <c r="F51" s="22" t="s">
        <v>120</v>
      </c>
      <c r="G51" s="22" t="s">
        <v>28</v>
      </c>
      <c r="H51" s="50" t="s">
        <v>29</v>
      </c>
      <c r="I51" s="37">
        <v>801.22</v>
      </c>
      <c r="J51" s="19">
        <v>41669</v>
      </c>
      <c r="K51" s="51" t="s">
        <v>285</v>
      </c>
      <c r="L51" s="51" t="s">
        <v>30</v>
      </c>
      <c r="M51" s="51" t="s">
        <v>141</v>
      </c>
      <c r="N51" s="20" t="s">
        <v>291</v>
      </c>
      <c r="O51" s="52">
        <v>948817</v>
      </c>
      <c r="P51" s="53">
        <f t="shared" si="25"/>
        <v>102309039.476</v>
      </c>
      <c r="Q51" s="39" t="s">
        <v>32</v>
      </c>
      <c r="R51" s="49">
        <v>107.828</v>
      </c>
      <c r="S51" s="40">
        <f t="shared" si="34"/>
        <v>41758</v>
      </c>
      <c r="T51" s="22" t="s">
        <v>120</v>
      </c>
      <c r="U51" s="54">
        <f t="shared" si="24"/>
        <v>122770.84737119998</v>
      </c>
      <c r="V51" s="36">
        <v>155.75</v>
      </c>
      <c r="W51" s="53">
        <f t="shared" si="20"/>
        <v>19121559.478064399</v>
      </c>
      <c r="X51" s="45">
        <v>19121559.890000001</v>
      </c>
      <c r="Y51" s="40">
        <v>41710</v>
      </c>
      <c r="Z51" s="46">
        <v>1309</v>
      </c>
      <c r="AA51" s="113"/>
    </row>
    <row r="52" spans="1:27" ht="20.25" customHeight="1">
      <c r="A52" s="35">
        <f t="shared" si="30"/>
        <v>47</v>
      </c>
      <c r="B52" s="36" t="s">
        <v>294</v>
      </c>
      <c r="C52" s="22" t="s">
        <v>392</v>
      </c>
      <c r="D52" s="19">
        <v>41717</v>
      </c>
      <c r="E52" s="26" t="s">
        <v>270</v>
      </c>
      <c r="F52" s="47" t="s">
        <v>39</v>
      </c>
      <c r="G52" s="22" t="s">
        <v>97</v>
      </c>
      <c r="H52" s="22" t="s">
        <v>133</v>
      </c>
      <c r="I52" s="37">
        <v>801.22</v>
      </c>
      <c r="J52" s="21">
        <v>41655</v>
      </c>
      <c r="K52" s="22" t="s">
        <v>281</v>
      </c>
      <c r="L52" s="22" t="s">
        <v>49</v>
      </c>
      <c r="M52" s="22" t="s">
        <v>31</v>
      </c>
      <c r="N52" s="20" t="s">
        <v>108</v>
      </c>
      <c r="O52" s="23">
        <v>60000</v>
      </c>
      <c r="P52" s="38">
        <f t="shared" si="25"/>
        <v>6561300</v>
      </c>
      <c r="Q52" s="39" t="s">
        <v>32</v>
      </c>
      <c r="R52" s="9">
        <v>109.355</v>
      </c>
      <c r="S52" s="40">
        <f t="shared" ref="S52:S54" si="35">SUM(J52)+89</f>
        <v>41744</v>
      </c>
      <c r="T52" s="22" t="s">
        <v>39</v>
      </c>
      <c r="U52" s="41">
        <f t="shared" si="24"/>
        <v>7873.5599999999995</v>
      </c>
      <c r="V52" s="36">
        <v>155.75</v>
      </c>
      <c r="W52" s="38">
        <f t="shared" si="20"/>
        <v>1226306.97</v>
      </c>
      <c r="X52" s="45">
        <v>1226306.97</v>
      </c>
      <c r="Y52" s="40">
        <v>41715</v>
      </c>
      <c r="Z52" s="48">
        <v>3580</v>
      </c>
      <c r="AA52" s="113"/>
    </row>
    <row r="53" spans="1:27" ht="20.25" customHeight="1">
      <c r="A53" s="35">
        <f t="shared" si="30"/>
        <v>48</v>
      </c>
      <c r="B53" s="36" t="s">
        <v>295</v>
      </c>
      <c r="C53" s="22" t="s">
        <v>393</v>
      </c>
      <c r="D53" s="19">
        <v>41717</v>
      </c>
      <c r="E53" s="26" t="s">
        <v>271</v>
      </c>
      <c r="F53" s="47" t="s">
        <v>39</v>
      </c>
      <c r="G53" s="22" t="s">
        <v>97</v>
      </c>
      <c r="H53" s="22" t="s">
        <v>133</v>
      </c>
      <c r="I53" s="37">
        <v>801.22</v>
      </c>
      <c r="J53" s="21">
        <v>41655</v>
      </c>
      <c r="K53" s="22" t="s">
        <v>281</v>
      </c>
      <c r="L53" s="22" t="s">
        <v>49</v>
      </c>
      <c r="M53" s="22" t="s">
        <v>31</v>
      </c>
      <c r="N53" s="20" t="s">
        <v>108</v>
      </c>
      <c r="O53" s="23">
        <v>29500</v>
      </c>
      <c r="P53" s="38">
        <f t="shared" si="25"/>
        <v>3225972.5</v>
      </c>
      <c r="Q53" s="39" t="s">
        <v>32</v>
      </c>
      <c r="R53" s="9">
        <v>109.355</v>
      </c>
      <c r="S53" s="40">
        <f t="shared" si="35"/>
        <v>41744</v>
      </c>
      <c r="T53" s="22" t="s">
        <v>39</v>
      </c>
      <c r="U53" s="41">
        <f t="shared" si="24"/>
        <v>3871.1669999999995</v>
      </c>
      <c r="V53" s="36">
        <v>155.75</v>
      </c>
      <c r="W53" s="38">
        <f t="shared" si="20"/>
        <v>602934.26024999993</v>
      </c>
      <c r="X53" s="45">
        <v>602934.18000000005</v>
      </c>
      <c r="Y53" s="40">
        <v>41715</v>
      </c>
      <c r="Z53" s="48">
        <v>3581</v>
      </c>
      <c r="AA53" s="113"/>
    </row>
    <row r="54" spans="1:27" ht="20.25" customHeight="1">
      <c r="A54" s="35">
        <f t="shared" si="30"/>
        <v>49</v>
      </c>
      <c r="B54" s="36" t="s">
        <v>296</v>
      </c>
      <c r="C54" s="22" t="s">
        <v>394</v>
      </c>
      <c r="D54" s="19">
        <v>41717</v>
      </c>
      <c r="E54" s="26" t="s">
        <v>272</v>
      </c>
      <c r="F54" s="22" t="s">
        <v>187</v>
      </c>
      <c r="G54" s="22" t="s">
        <v>97</v>
      </c>
      <c r="H54" s="22" t="s">
        <v>133</v>
      </c>
      <c r="I54" s="37">
        <v>801.22</v>
      </c>
      <c r="J54" s="21">
        <v>41655</v>
      </c>
      <c r="K54" s="22" t="s">
        <v>281</v>
      </c>
      <c r="L54" s="22" t="s">
        <v>49</v>
      </c>
      <c r="M54" s="22" t="s">
        <v>31</v>
      </c>
      <c r="N54" s="20" t="s">
        <v>108</v>
      </c>
      <c r="O54" s="23">
        <v>24000</v>
      </c>
      <c r="P54" s="38">
        <f t="shared" si="25"/>
        <v>2624520</v>
      </c>
      <c r="Q54" s="39" t="s">
        <v>32</v>
      </c>
      <c r="R54" s="9">
        <v>109.355</v>
      </c>
      <c r="S54" s="40">
        <f t="shared" si="35"/>
        <v>41744</v>
      </c>
      <c r="T54" s="22" t="s">
        <v>39</v>
      </c>
      <c r="U54" s="41">
        <f t="shared" si="24"/>
        <v>3149.4239999999995</v>
      </c>
      <c r="V54" s="36">
        <v>155.75</v>
      </c>
      <c r="W54" s="38">
        <f t="shared" si="20"/>
        <v>490522.78799999994</v>
      </c>
      <c r="X54" s="45">
        <v>490522.79</v>
      </c>
      <c r="Y54" s="40">
        <v>41715</v>
      </c>
      <c r="Z54" s="48">
        <v>3582</v>
      </c>
      <c r="AA54" s="113"/>
    </row>
    <row r="55" spans="1:27" ht="18.75" customHeight="1">
      <c r="A55" s="35">
        <f t="shared" si="30"/>
        <v>50</v>
      </c>
      <c r="B55" s="36" t="s">
        <v>202</v>
      </c>
      <c r="C55" s="102" t="s">
        <v>397</v>
      </c>
      <c r="D55" s="40">
        <v>41724</v>
      </c>
      <c r="E55" s="27" t="s">
        <v>395</v>
      </c>
      <c r="F55" s="22" t="s">
        <v>130</v>
      </c>
      <c r="G55" s="22" t="s">
        <v>98</v>
      </c>
      <c r="H55" s="22" t="s">
        <v>133</v>
      </c>
      <c r="I55" s="37">
        <v>801.22</v>
      </c>
      <c r="J55" s="21">
        <v>41584</v>
      </c>
      <c r="K55" s="22" t="s">
        <v>188</v>
      </c>
      <c r="L55" s="22" t="s">
        <v>49</v>
      </c>
      <c r="M55" s="22" t="s">
        <v>192</v>
      </c>
      <c r="N55" s="20" t="s">
        <v>193</v>
      </c>
      <c r="O55" s="23">
        <v>300000</v>
      </c>
      <c r="P55" s="38">
        <f t="shared" si="25"/>
        <v>33042300</v>
      </c>
      <c r="Q55" s="39" t="s">
        <v>32</v>
      </c>
      <c r="R55" s="49">
        <v>110.14100000000001</v>
      </c>
      <c r="S55" s="40">
        <f t="shared" ref="S55:S56" si="36">SUM(J55)+89</f>
        <v>41673</v>
      </c>
      <c r="T55" s="36" t="s">
        <v>144</v>
      </c>
      <c r="U55" s="41">
        <f t="shared" si="24"/>
        <v>39650.759999999995</v>
      </c>
      <c r="V55" s="36">
        <v>155.72</v>
      </c>
      <c r="W55" s="38">
        <f t="shared" si="20"/>
        <v>6174416.3471999988</v>
      </c>
      <c r="X55" s="45">
        <v>6174416.3499999996</v>
      </c>
      <c r="Y55" s="40">
        <v>41719</v>
      </c>
      <c r="Z55" s="48">
        <v>32218</v>
      </c>
      <c r="AA55" s="113"/>
    </row>
    <row r="56" spans="1:27" ht="20.25" customHeight="1">
      <c r="A56" s="35">
        <f t="shared" si="30"/>
        <v>51</v>
      </c>
      <c r="B56" s="36" t="s">
        <v>206</v>
      </c>
      <c r="C56" s="102" t="s">
        <v>398</v>
      </c>
      <c r="D56" s="40">
        <v>41724</v>
      </c>
      <c r="E56" s="27" t="s">
        <v>396</v>
      </c>
      <c r="F56" s="22" t="s">
        <v>130</v>
      </c>
      <c r="G56" s="22" t="s">
        <v>98</v>
      </c>
      <c r="H56" s="22" t="s">
        <v>133</v>
      </c>
      <c r="I56" s="37">
        <v>801.22</v>
      </c>
      <c r="J56" s="40">
        <v>41594</v>
      </c>
      <c r="K56" s="22" t="s">
        <v>146</v>
      </c>
      <c r="L56" s="36" t="s">
        <v>49</v>
      </c>
      <c r="M56" s="22" t="s">
        <v>60</v>
      </c>
      <c r="N56" s="20" t="s">
        <v>196</v>
      </c>
      <c r="O56" s="97">
        <v>45000</v>
      </c>
      <c r="P56" s="38">
        <f t="shared" si="25"/>
        <v>4956345</v>
      </c>
      <c r="Q56" s="39" t="s">
        <v>32</v>
      </c>
      <c r="R56" s="49">
        <v>110.14100000000001</v>
      </c>
      <c r="S56" s="40">
        <f t="shared" si="36"/>
        <v>41683</v>
      </c>
      <c r="T56" s="36" t="s">
        <v>144</v>
      </c>
      <c r="U56" s="41">
        <f t="shared" si="24"/>
        <v>5947.6139999999996</v>
      </c>
      <c r="V56" s="36">
        <v>155.72</v>
      </c>
      <c r="W56" s="38">
        <f t="shared" si="20"/>
        <v>926162.45207999996</v>
      </c>
      <c r="X56" s="45">
        <v>926162.45</v>
      </c>
      <c r="Y56" s="40">
        <v>41719</v>
      </c>
      <c r="Z56" s="48">
        <v>32219</v>
      </c>
      <c r="AA56" s="113"/>
    </row>
    <row r="57" spans="1:27" ht="22.5" customHeight="1">
      <c r="A57" s="61">
        <f t="shared" si="30"/>
        <v>52</v>
      </c>
      <c r="B57" s="69" t="s">
        <v>123</v>
      </c>
      <c r="C57" s="60" t="s">
        <v>399</v>
      </c>
      <c r="D57" s="40">
        <v>41725</v>
      </c>
      <c r="E57" s="103">
        <v>201202300029</v>
      </c>
      <c r="F57" s="24" t="s">
        <v>84</v>
      </c>
      <c r="G57" s="24" t="s">
        <v>98</v>
      </c>
      <c r="H57" s="24" t="s">
        <v>48</v>
      </c>
      <c r="I57" s="64">
        <v>801.22</v>
      </c>
      <c r="J57" s="40">
        <v>41152</v>
      </c>
      <c r="K57" s="69" t="s">
        <v>85</v>
      </c>
      <c r="L57" s="69" t="s">
        <v>49</v>
      </c>
      <c r="M57" s="24" t="s">
        <v>60</v>
      </c>
      <c r="N57" s="22" t="s">
        <v>61</v>
      </c>
      <c r="O57" s="104">
        <v>269766</v>
      </c>
      <c r="P57" s="53">
        <f t="shared" ref="P57" si="37">SUM(O57*R57)</f>
        <v>30765463.469999999</v>
      </c>
      <c r="Q57" s="66" t="s">
        <v>32</v>
      </c>
      <c r="R57" s="105">
        <v>114.045</v>
      </c>
      <c r="S57" s="40">
        <f t="shared" ref="S57" si="38">SUM(J57)+89</f>
        <v>41241</v>
      </c>
      <c r="T57" s="69" t="s">
        <v>84</v>
      </c>
      <c r="U57" s="54">
        <f t="shared" ref="U57" si="39">SUM(P57*0.12%)</f>
        <v>36918.556163999994</v>
      </c>
      <c r="V57" s="106">
        <v>155.80000000000001</v>
      </c>
      <c r="W57" s="53">
        <f t="shared" si="20"/>
        <v>5751911.0503511997</v>
      </c>
      <c r="X57" s="70">
        <v>5751911.0499999998</v>
      </c>
      <c r="Y57" s="68">
        <v>41199</v>
      </c>
      <c r="Z57" s="69" t="s">
        <v>442</v>
      </c>
      <c r="AA57" s="113"/>
    </row>
    <row r="58" spans="1:27" ht="22.5" customHeight="1">
      <c r="A58" s="61">
        <f t="shared" si="30"/>
        <v>53</v>
      </c>
      <c r="B58" s="36" t="s">
        <v>125</v>
      </c>
      <c r="C58" s="60" t="s">
        <v>400</v>
      </c>
      <c r="D58" s="40">
        <v>41725</v>
      </c>
      <c r="E58" s="107">
        <v>201202300032</v>
      </c>
      <c r="F58" s="24" t="s">
        <v>84</v>
      </c>
      <c r="G58" s="22" t="s">
        <v>98</v>
      </c>
      <c r="H58" s="22" t="s">
        <v>48</v>
      </c>
      <c r="I58" s="64">
        <v>801.22</v>
      </c>
      <c r="J58" s="40">
        <v>41167</v>
      </c>
      <c r="K58" s="22" t="s">
        <v>105</v>
      </c>
      <c r="L58" s="36" t="s">
        <v>49</v>
      </c>
      <c r="M58" s="36" t="s">
        <v>124</v>
      </c>
      <c r="N58" s="36" t="s">
        <v>57</v>
      </c>
      <c r="O58" s="104">
        <v>99786</v>
      </c>
      <c r="P58" s="53">
        <f t="shared" ref="P58:P59" si="40">SUM(O58*R58)</f>
        <v>11331299.015999999</v>
      </c>
      <c r="Q58" s="66" t="s">
        <v>32</v>
      </c>
      <c r="R58" s="105">
        <v>113.556</v>
      </c>
      <c r="S58" s="40">
        <f t="shared" ref="S58" si="41">SUM(J58)+89</f>
        <v>41256</v>
      </c>
      <c r="T58" s="36" t="s">
        <v>84</v>
      </c>
      <c r="U58" s="54">
        <f t="shared" ref="U58:U70" si="42">SUM(P58*0.12%)</f>
        <v>13597.558819199998</v>
      </c>
      <c r="V58" s="36">
        <v>155.78</v>
      </c>
      <c r="W58" s="53">
        <f t="shared" si="20"/>
        <v>2118227.7128549758</v>
      </c>
      <c r="X58" s="45">
        <v>2118227.71</v>
      </c>
      <c r="Y58" s="40">
        <v>41215</v>
      </c>
      <c r="Z58" s="69" t="s">
        <v>442</v>
      </c>
      <c r="AA58" s="113"/>
    </row>
    <row r="59" spans="1:27" ht="22.5" customHeight="1">
      <c r="A59" s="61">
        <f t="shared" si="30"/>
        <v>54</v>
      </c>
      <c r="B59" s="69" t="s">
        <v>136</v>
      </c>
      <c r="C59" s="62" t="s">
        <v>401</v>
      </c>
      <c r="D59" s="68">
        <v>41725</v>
      </c>
      <c r="E59" s="63" t="s">
        <v>137</v>
      </c>
      <c r="F59" s="24" t="s">
        <v>130</v>
      </c>
      <c r="G59" s="24" t="s">
        <v>98</v>
      </c>
      <c r="H59" s="24" t="s">
        <v>133</v>
      </c>
      <c r="I59" s="64">
        <v>801.22</v>
      </c>
      <c r="J59" s="68">
        <v>41274</v>
      </c>
      <c r="K59" s="24" t="s">
        <v>63</v>
      </c>
      <c r="L59" s="69" t="s">
        <v>134</v>
      </c>
      <c r="M59" s="24" t="s">
        <v>60</v>
      </c>
      <c r="N59" s="24" t="s">
        <v>64</v>
      </c>
      <c r="O59" s="71">
        <v>280000</v>
      </c>
      <c r="P59" s="53">
        <f t="shared" si="40"/>
        <v>31029599.999999996</v>
      </c>
      <c r="Q59" s="66" t="s">
        <v>32</v>
      </c>
      <c r="R59" s="67">
        <v>110.82</v>
      </c>
      <c r="S59" s="68">
        <f t="shared" ref="S59" si="43">SUM(J59)+89</f>
        <v>41363</v>
      </c>
      <c r="T59" s="24" t="s">
        <v>130</v>
      </c>
      <c r="U59" s="54">
        <f t="shared" si="42"/>
        <v>37235.51999999999</v>
      </c>
      <c r="V59" s="69">
        <v>155.77000000000001</v>
      </c>
      <c r="W59" s="53">
        <f t="shared" si="20"/>
        <v>5800176.9503999986</v>
      </c>
      <c r="X59" s="70">
        <v>5800176.9500000002</v>
      </c>
      <c r="Y59" s="68">
        <v>41381</v>
      </c>
      <c r="Z59" s="108">
        <v>26920</v>
      </c>
      <c r="AA59" s="113"/>
    </row>
    <row r="60" spans="1:27" s="13" customFormat="1" ht="20.25" customHeight="1">
      <c r="A60" s="35">
        <f t="shared" si="30"/>
        <v>55</v>
      </c>
      <c r="B60" s="36" t="s">
        <v>244</v>
      </c>
      <c r="C60" s="44" t="s">
        <v>402</v>
      </c>
      <c r="D60" s="21">
        <v>41725</v>
      </c>
      <c r="E60" s="26" t="s">
        <v>258</v>
      </c>
      <c r="F60" s="22" t="s">
        <v>163</v>
      </c>
      <c r="G60" s="22" t="s">
        <v>34</v>
      </c>
      <c r="H60" s="22" t="s">
        <v>35</v>
      </c>
      <c r="I60" s="37">
        <v>801.22</v>
      </c>
      <c r="J60" s="21">
        <v>41625</v>
      </c>
      <c r="K60" s="22" t="s">
        <v>225</v>
      </c>
      <c r="L60" s="22" t="s">
        <v>36</v>
      </c>
      <c r="M60" s="22" t="s">
        <v>69</v>
      </c>
      <c r="N60" s="20" t="s">
        <v>70</v>
      </c>
      <c r="O60" s="71">
        <v>997315</v>
      </c>
      <c r="P60" s="53">
        <f t="shared" ref="P60:P69" si="44">SUM(O60*R60)</f>
        <v>111689606.04450001</v>
      </c>
      <c r="Q60" s="39" t="s">
        <v>32</v>
      </c>
      <c r="R60" s="49">
        <v>111.9903</v>
      </c>
      <c r="S60" s="40">
        <f t="shared" ref="S60" si="45">SUM(J60)+89</f>
        <v>41714</v>
      </c>
      <c r="T60" s="36" t="s">
        <v>38</v>
      </c>
      <c r="U60" s="54">
        <f t="shared" si="42"/>
        <v>134027.52725340001</v>
      </c>
      <c r="V60" s="85">
        <v>155.69999999999999</v>
      </c>
      <c r="W60" s="53">
        <f t="shared" si="20"/>
        <v>20868085.99335438</v>
      </c>
      <c r="X60" s="70">
        <v>21079474.210000001</v>
      </c>
      <c r="Y60" s="40">
        <v>41698</v>
      </c>
      <c r="Z60" s="48">
        <v>9338</v>
      </c>
      <c r="AA60" s="113"/>
    </row>
    <row r="61" spans="1:27" ht="18.75" customHeight="1">
      <c r="A61" s="35">
        <f t="shared" si="30"/>
        <v>56</v>
      </c>
      <c r="B61" s="36" t="s">
        <v>435</v>
      </c>
      <c r="C61" s="44" t="s">
        <v>403</v>
      </c>
      <c r="D61" s="21">
        <v>41729</v>
      </c>
      <c r="E61" s="26" t="s">
        <v>412</v>
      </c>
      <c r="F61" s="22" t="s">
        <v>278</v>
      </c>
      <c r="G61" s="22" t="s">
        <v>44</v>
      </c>
      <c r="H61" s="22" t="s">
        <v>29</v>
      </c>
      <c r="I61" s="37">
        <v>801.22</v>
      </c>
      <c r="J61" s="21">
        <v>41708</v>
      </c>
      <c r="K61" s="22" t="s">
        <v>420</v>
      </c>
      <c r="L61" s="22" t="s">
        <v>30</v>
      </c>
      <c r="M61" s="22" t="s">
        <v>37</v>
      </c>
      <c r="N61" s="20" t="s">
        <v>66</v>
      </c>
      <c r="O61" s="23">
        <v>400000</v>
      </c>
      <c r="P61" s="38">
        <f t="shared" si="44"/>
        <v>43323600</v>
      </c>
      <c r="Q61" s="39" t="s">
        <v>32</v>
      </c>
      <c r="R61" s="8">
        <v>108.309</v>
      </c>
      <c r="S61" s="40">
        <f t="shared" ref="S61:S65" si="46">SUM(J61)+89</f>
        <v>41797</v>
      </c>
      <c r="T61" s="22" t="s">
        <v>278</v>
      </c>
      <c r="U61" s="41">
        <f t="shared" si="42"/>
        <v>51988.319999999992</v>
      </c>
      <c r="V61" s="36">
        <v>155.74</v>
      </c>
      <c r="W61" s="38">
        <f t="shared" si="20"/>
        <v>8096660.9567999989</v>
      </c>
      <c r="X61" s="45">
        <f t="shared" ref="X61:X63" si="47">W61</f>
        <v>8096660.9567999989</v>
      </c>
      <c r="Y61" s="36"/>
      <c r="Z61" s="36"/>
      <c r="AA61" s="113"/>
    </row>
    <row r="62" spans="1:27" ht="18.75" customHeight="1">
      <c r="A62" s="35">
        <f t="shared" si="30"/>
        <v>57</v>
      </c>
      <c r="B62" s="36" t="s">
        <v>436</v>
      </c>
      <c r="C62" s="44" t="s">
        <v>404</v>
      </c>
      <c r="D62" s="21">
        <v>41729</v>
      </c>
      <c r="E62" s="26" t="s">
        <v>413</v>
      </c>
      <c r="F62" s="22" t="s">
        <v>278</v>
      </c>
      <c r="G62" s="22" t="s">
        <v>44</v>
      </c>
      <c r="H62" s="22" t="s">
        <v>29</v>
      </c>
      <c r="I62" s="37">
        <v>801.22</v>
      </c>
      <c r="J62" s="21">
        <v>41708</v>
      </c>
      <c r="K62" s="22" t="s">
        <v>420</v>
      </c>
      <c r="L62" s="22" t="s">
        <v>30</v>
      </c>
      <c r="M62" s="22" t="s">
        <v>37</v>
      </c>
      <c r="N62" s="20" t="s">
        <v>66</v>
      </c>
      <c r="O62" s="23">
        <v>548515</v>
      </c>
      <c r="P62" s="38">
        <f t="shared" si="44"/>
        <v>59409111.134999998</v>
      </c>
      <c r="Q62" s="39" t="s">
        <v>32</v>
      </c>
      <c r="R62" s="8">
        <v>108.309</v>
      </c>
      <c r="S62" s="40">
        <f t="shared" si="46"/>
        <v>41797</v>
      </c>
      <c r="T62" s="22" t="s">
        <v>278</v>
      </c>
      <c r="U62" s="41">
        <f t="shared" si="42"/>
        <v>71290.933361999996</v>
      </c>
      <c r="V62" s="36">
        <v>155.74</v>
      </c>
      <c r="W62" s="38">
        <f t="shared" si="20"/>
        <v>11102849.96179788</v>
      </c>
      <c r="X62" s="45">
        <f t="shared" si="47"/>
        <v>11102849.96179788</v>
      </c>
      <c r="Y62" s="36"/>
      <c r="Z62" s="36"/>
      <c r="AA62" s="113"/>
    </row>
    <row r="63" spans="1:27" ht="18.75" customHeight="1">
      <c r="A63" s="35">
        <f t="shared" si="30"/>
        <v>58</v>
      </c>
      <c r="B63" s="36" t="s">
        <v>438</v>
      </c>
      <c r="C63" s="44" t="s">
        <v>405</v>
      </c>
      <c r="D63" s="21">
        <v>41729</v>
      </c>
      <c r="E63" s="18" t="s">
        <v>414</v>
      </c>
      <c r="F63" s="22" t="s">
        <v>278</v>
      </c>
      <c r="G63" s="22" t="s">
        <v>44</v>
      </c>
      <c r="H63" s="22" t="s">
        <v>35</v>
      </c>
      <c r="I63" s="37">
        <v>801.22</v>
      </c>
      <c r="J63" s="21">
        <v>41714</v>
      </c>
      <c r="K63" s="22" t="s">
        <v>121</v>
      </c>
      <c r="L63" s="22" t="s">
        <v>36</v>
      </c>
      <c r="M63" s="22" t="s">
        <v>78</v>
      </c>
      <c r="N63" s="20" t="s">
        <v>131</v>
      </c>
      <c r="O63" s="23">
        <v>950034</v>
      </c>
      <c r="P63" s="38">
        <f t="shared" si="44"/>
        <v>103989771.60600001</v>
      </c>
      <c r="Q63" s="39" t="s">
        <v>32</v>
      </c>
      <c r="R63" s="8">
        <v>109.459</v>
      </c>
      <c r="S63" s="40">
        <f t="shared" si="46"/>
        <v>41803</v>
      </c>
      <c r="T63" s="22" t="s">
        <v>278</v>
      </c>
      <c r="U63" s="41">
        <f t="shared" si="42"/>
        <v>124787.72592719999</v>
      </c>
      <c r="V63" s="36">
        <v>155.74</v>
      </c>
      <c r="W63" s="38">
        <f t="shared" si="20"/>
        <v>19434440.43590213</v>
      </c>
      <c r="X63" s="45">
        <f t="shared" si="47"/>
        <v>19434440.43590213</v>
      </c>
      <c r="Y63" s="36"/>
      <c r="Z63" s="36"/>
      <c r="AA63" s="113"/>
    </row>
    <row r="64" spans="1:27" ht="18.75" customHeight="1">
      <c r="A64" s="35">
        <f t="shared" si="30"/>
        <v>59</v>
      </c>
      <c r="B64" s="36" t="s">
        <v>440</v>
      </c>
      <c r="C64" s="44" t="s">
        <v>406</v>
      </c>
      <c r="D64" s="21">
        <v>41729</v>
      </c>
      <c r="E64" s="26" t="s">
        <v>417</v>
      </c>
      <c r="F64" s="22" t="s">
        <v>278</v>
      </c>
      <c r="G64" s="22" t="s">
        <v>44</v>
      </c>
      <c r="H64" s="22" t="s">
        <v>45</v>
      </c>
      <c r="I64" s="37">
        <v>801.22</v>
      </c>
      <c r="J64" s="21">
        <v>41719</v>
      </c>
      <c r="K64" s="22" t="s">
        <v>173</v>
      </c>
      <c r="L64" s="22" t="s">
        <v>46</v>
      </c>
      <c r="M64" s="22" t="s">
        <v>74</v>
      </c>
      <c r="N64" s="20" t="s">
        <v>425</v>
      </c>
      <c r="O64" s="23">
        <v>899927</v>
      </c>
      <c r="P64" s="38">
        <f t="shared" si="44"/>
        <v>97662777.820999995</v>
      </c>
      <c r="Q64" s="39" t="s">
        <v>32</v>
      </c>
      <c r="R64" s="49">
        <v>108.523</v>
      </c>
      <c r="S64" s="40">
        <f t="shared" si="46"/>
        <v>41808</v>
      </c>
      <c r="T64" s="22" t="s">
        <v>278</v>
      </c>
      <c r="U64" s="41">
        <f t="shared" si="42"/>
        <v>117195.33338519998</v>
      </c>
      <c r="V64" s="36">
        <v>155.74</v>
      </c>
      <c r="W64" s="38">
        <f t="shared" si="20"/>
        <v>18252001.221411046</v>
      </c>
      <c r="X64" s="45">
        <f t="shared" ref="X64" si="48">W64</f>
        <v>18252001.221411046</v>
      </c>
      <c r="Y64" s="36"/>
      <c r="Z64" s="36"/>
      <c r="AA64" s="113"/>
    </row>
    <row r="65" spans="1:27" ht="18.75" customHeight="1">
      <c r="A65" s="35">
        <f t="shared" si="30"/>
        <v>60</v>
      </c>
      <c r="B65" s="36" t="s">
        <v>441</v>
      </c>
      <c r="C65" s="44" t="s">
        <v>407</v>
      </c>
      <c r="D65" s="21">
        <v>41729</v>
      </c>
      <c r="E65" s="26" t="s">
        <v>419</v>
      </c>
      <c r="F65" s="22" t="s">
        <v>278</v>
      </c>
      <c r="G65" s="22" t="s">
        <v>44</v>
      </c>
      <c r="H65" s="22" t="s">
        <v>35</v>
      </c>
      <c r="I65" s="37">
        <v>801.22</v>
      </c>
      <c r="J65" s="21">
        <v>41729</v>
      </c>
      <c r="K65" s="22" t="s">
        <v>422</v>
      </c>
      <c r="L65" s="22" t="s">
        <v>36</v>
      </c>
      <c r="M65" s="22" t="s">
        <v>74</v>
      </c>
      <c r="N65" s="20" t="s">
        <v>106</v>
      </c>
      <c r="O65" s="23">
        <v>950149</v>
      </c>
      <c r="P65" s="38">
        <f t="shared" si="44"/>
        <v>102156219.884</v>
      </c>
      <c r="Q65" s="39" t="s">
        <v>32</v>
      </c>
      <c r="R65" s="49">
        <v>107.51600000000001</v>
      </c>
      <c r="S65" s="40">
        <f t="shared" si="46"/>
        <v>41818</v>
      </c>
      <c r="T65" s="22" t="s">
        <v>278</v>
      </c>
      <c r="U65" s="41">
        <f t="shared" si="42"/>
        <v>122587.4638608</v>
      </c>
      <c r="V65" s="36">
        <v>155.74</v>
      </c>
      <c r="W65" s="38">
        <f t="shared" si="20"/>
        <v>19091771.621680994</v>
      </c>
      <c r="X65" s="45">
        <f t="shared" ref="X65" si="49">W65</f>
        <v>19091771.621680994</v>
      </c>
      <c r="Y65" s="36"/>
      <c r="Z65" s="36"/>
      <c r="AA65" s="113"/>
    </row>
    <row r="66" spans="1:27" ht="20.25" customHeight="1">
      <c r="A66" s="35">
        <f t="shared" si="30"/>
        <v>61</v>
      </c>
      <c r="B66" s="36" t="s">
        <v>301</v>
      </c>
      <c r="C66" s="20" t="s">
        <v>449</v>
      </c>
      <c r="D66" s="19">
        <v>41743</v>
      </c>
      <c r="E66" s="27" t="s">
        <v>330</v>
      </c>
      <c r="F66" s="22" t="s">
        <v>163</v>
      </c>
      <c r="G66" s="22" t="s">
        <v>34</v>
      </c>
      <c r="H66" s="22" t="s">
        <v>35</v>
      </c>
      <c r="I66" s="37">
        <v>801.22</v>
      </c>
      <c r="J66" s="21">
        <v>41665</v>
      </c>
      <c r="K66" s="22" t="s">
        <v>110</v>
      </c>
      <c r="L66" s="22" t="s">
        <v>36</v>
      </c>
      <c r="M66" s="22" t="s">
        <v>74</v>
      </c>
      <c r="N66" s="20" t="s">
        <v>106</v>
      </c>
      <c r="O66" s="23">
        <v>950131</v>
      </c>
      <c r="P66" s="38">
        <f t="shared" si="44"/>
        <v>104211888.2896</v>
      </c>
      <c r="Q66" s="39" t="s">
        <v>32</v>
      </c>
      <c r="R66" s="49">
        <v>109.6816</v>
      </c>
      <c r="S66" s="40">
        <f t="shared" ref="S66:S70" si="50">SUM(J66)+89</f>
        <v>41754</v>
      </c>
      <c r="T66" s="22" t="s">
        <v>38</v>
      </c>
      <c r="U66" s="41">
        <f t="shared" si="42"/>
        <v>125054.26594751999</v>
      </c>
      <c r="V66" s="36">
        <v>155.75</v>
      </c>
      <c r="W66" s="38">
        <f t="shared" si="20"/>
        <v>19477201.921326239</v>
      </c>
      <c r="X66" s="45">
        <v>19665658.699999999</v>
      </c>
      <c r="Y66" s="36" t="s">
        <v>450</v>
      </c>
      <c r="Z66" s="48">
        <v>9957</v>
      </c>
      <c r="AA66" s="113"/>
    </row>
    <row r="67" spans="1:27" ht="16.5">
      <c r="A67" s="35">
        <f t="shared" si="30"/>
        <v>62</v>
      </c>
      <c r="B67" s="36" t="s">
        <v>337</v>
      </c>
      <c r="C67" s="20" t="s">
        <v>451</v>
      </c>
      <c r="D67" s="44">
        <v>41743</v>
      </c>
      <c r="E67" s="26" t="s">
        <v>338</v>
      </c>
      <c r="F67" s="55" t="s">
        <v>39</v>
      </c>
      <c r="G67" s="20" t="s">
        <v>97</v>
      </c>
      <c r="H67" s="20" t="s">
        <v>133</v>
      </c>
      <c r="I67" s="37">
        <v>801.22</v>
      </c>
      <c r="J67" s="21">
        <v>41677</v>
      </c>
      <c r="K67" s="22" t="s">
        <v>335</v>
      </c>
      <c r="L67" s="22" t="s">
        <v>49</v>
      </c>
      <c r="M67" s="22" t="s">
        <v>37</v>
      </c>
      <c r="N67" s="22" t="s">
        <v>336</v>
      </c>
      <c r="O67" s="23">
        <v>24000</v>
      </c>
      <c r="P67" s="38">
        <f t="shared" si="44"/>
        <v>2640696</v>
      </c>
      <c r="Q67" s="39" t="s">
        <v>32</v>
      </c>
      <c r="R67" s="14">
        <v>110.029</v>
      </c>
      <c r="S67" s="40">
        <f t="shared" si="50"/>
        <v>41766</v>
      </c>
      <c r="T67" s="20" t="s">
        <v>39</v>
      </c>
      <c r="U67" s="41">
        <f t="shared" si="42"/>
        <v>3168.8351999999995</v>
      </c>
      <c r="V67" s="36">
        <v>155.75</v>
      </c>
      <c r="W67" s="38">
        <f t="shared" si="20"/>
        <v>493546.08239999996</v>
      </c>
      <c r="X67" s="45">
        <v>423546.08</v>
      </c>
      <c r="Y67" s="40">
        <v>41736</v>
      </c>
      <c r="Z67" s="48">
        <v>3584</v>
      </c>
      <c r="AA67" s="113"/>
    </row>
    <row r="68" spans="1:27" ht="21" customHeight="1">
      <c r="A68" s="35">
        <f t="shared" si="30"/>
        <v>63</v>
      </c>
      <c r="B68" s="36" t="s">
        <v>339</v>
      </c>
      <c r="C68" s="20" t="s">
        <v>452</v>
      </c>
      <c r="D68" s="44">
        <v>41743</v>
      </c>
      <c r="E68" s="26" t="s">
        <v>340</v>
      </c>
      <c r="F68" s="55" t="s">
        <v>39</v>
      </c>
      <c r="G68" s="20" t="s">
        <v>97</v>
      </c>
      <c r="H68" s="20" t="s">
        <v>133</v>
      </c>
      <c r="I68" s="37">
        <v>801.22</v>
      </c>
      <c r="J68" s="21">
        <v>41677</v>
      </c>
      <c r="K68" s="22" t="s">
        <v>335</v>
      </c>
      <c r="L68" s="22" t="s">
        <v>49</v>
      </c>
      <c r="M68" s="22" t="s">
        <v>37</v>
      </c>
      <c r="N68" s="22" t="s">
        <v>336</v>
      </c>
      <c r="O68" s="23">
        <v>36000</v>
      </c>
      <c r="P68" s="38">
        <f t="shared" si="44"/>
        <v>3961044</v>
      </c>
      <c r="Q68" s="39" t="s">
        <v>32</v>
      </c>
      <c r="R68" s="14">
        <v>110.029</v>
      </c>
      <c r="S68" s="40">
        <f t="shared" si="50"/>
        <v>41766</v>
      </c>
      <c r="T68" s="20" t="s">
        <v>39</v>
      </c>
      <c r="U68" s="41">
        <f t="shared" si="42"/>
        <v>4753.2527999999993</v>
      </c>
      <c r="V68" s="36">
        <v>155.75</v>
      </c>
      <c r="W68" s="38">
        <f t="shared" si="20"/>
        <v>740319.12359999993</v>
      </c>
      <c r="X68" s="45">
        <v>740319.12</v>
      </c>
      <c r="Y68" s="40">
        <v>41736</v>
      </c>
      <c r="Z68" s="48">
        <v>3585</v>
      </c>
      <c r="AA68" s="113"/>
    </row>
    <row r="69" spans="1:27" ht="18.75" customHeight="1">
      <c r="A69" s="35">
        <f t="shared" si="30"/>
        <v>64</v>
      </c>
      <c r="B69" s="36" t="s">
        <v>341</v>
      </c>
      <c r="C69" s="20" t="s">
        <v>453</v>
      </c>
      <c r="D69" s="44">
        <v>41743</v>
      </c>
      <c r="E69" s="26" t="s">
        <v>342</v>
      </c>
      <c r="F69" s="20" t="s">
        <v>187</v>
      </c>
      <c r="G69" s="20" t="s">
        <v>97</v>
      </c>
      <c r="H69" s="20" t="s">
        <v>133</v>
      </c>
      <c r="I69" s="37">
        <v>801.22</v>
      </c>
      <c r="J69" s="21">
        <v>41677</v>
      </c>
      <c r="K69" s="22" t="s">
        <v>335</v>
      </c>
      <c r="L69" s="22" t="s">
        <v>49</v>
      </c>
      <c r="M69" s="22" t="s">
        <v>37</v>
      </c>
      <c r="N69" s="22" t="s">
        <v>336</v>
      </c>
      <c r="O69" s="23">
        <v>30000</v>
      </c>
      <c r="P69" s="38">
        <f t="shared" si="44"/>
        <v>3300870</v>
      </c>
      <c r="Q69" s="39" t="s">
        <v>32</v>
      </c>
      <c r="R69" s="14">
        <v>110.029</v>
      </c>
      <c r="S69" s="40">
        <f t="shared" si="50"/>
        <v>41766</v>
      </c>
      <c r="T69" s="20" t="s">
        <v>39</v>
      </c>
      <c r="U69" s="41">
        <f t="shared" si="42"/>
        <v>3961.0439999999999</v>
      </c>
      <c r="V69" s="36">
        <v>155.75</v>
      </c>
      <c r="W69" s="38">
        <f t="shared" si="20"/>
        <v>616932.603</v>
      </c>
      <c r="X69" s="45">
        <v>616932.6</v>
      </c>
      <c r="Y69" s="40">
        <v>41736</v>
      </c>
      <c r="Z69" s="48">
        <v>3586</v>
      </c>
      <c r="AA69" s="113"/>
    </row>
    <row r="70" spans="1:27" ht="21" customHeight="1">
      <c r="A70" s="35">
        <f t="shared" si="30"/>
        <v>65</v>
      </c>
      <c r="B70" s="36" t="s">
        <v>439</v>
      </c>
      <c r="C70" s="44" t="s">
        <v>454</v>
      </c>
      <c r="D70" s="21">
        <v>41743</v>
      </c>
      <c r="E70" s="26" t="s">
        <v>416</v>
      </c>
      <c r="F70" s="22" t="s">
        <v>150</v>
      </c>
      <c r="G70" s="22" t="s">
        <v>279</v>
      </c>
      <c r="H70" s="22" t="s">
        <v>159</v>
      </c>
      <c r="I70" s="37">
        <v>801.22</v>
      </c>
      <c r="J70" s="21">
        <v>41718</v>
      </c>
      <c r="K70" s="22" t="s">
        <v>421</v>
      </c>
      <c r="L70" s="22" t="s">
        <v>160</v>
      </c>
      <c r="M70" s="22" t="s">
        <v>80</v>
      </c>
      <c r="N70" s="20" t="s">
        <v>166</v>
      </c>
      <c r="O70" s="23">
        <v>629594</v>
      </c>
      <c r="P70" s="38">
        <f t="shared" ref="P70" si="51">SUM(O70*R70)</f>
        <v>64634120.039999999</v>
      </c>
      <c r="Q70" s="39" t="s">
        <v>32</v>
      </c>
      <c r="R70" s="8">
        <v>102.66</v>
      </c>
      <c r="S70" s="40">
        <f t="shared" si="50"/>
        <v>41807</v>
      </c>
      <c r="T70" s="22" t="s">
        <v>163</v>
      </c>
      <c r="U70" s="41">
        <f t="shared" si="42"/>
        <v>77560.94404799999</v>
      </c>
      <c r="V70" s="36">
        <v>155.74</v>
      </c>
      <c r="W70" s="38">
        <f t="shared" si="20"/>
        <v>12079341.42603552</v>
      </c>
      <c r="X70" s="45">
        <v>12079340.800000001</v>
      </c>
      <c r="Y70" s="40">
        <v>41732</v>
      </c>
      <c r="Z70" s="48">
        <v>4091</v>
      </c>
      <c r="AA70" s="113"/>
    </row>
    <row r="71" spans="1:27" ht="21" customHeight="1">
      <c r="A71" s="35">
        <f t="shared" si="30"/>
        <v>66</v>
      </c>
      <c r="B71" s="36" t="s">
        <v>298</v>
      </c>
      <c r="C71" s="44" t="s">
        <v>447</v>
      </c>
      <c r="D71" s="19">
        <v>41744</v>
      </c>
      <c r="E71" s="27" t="s">
        <v>445</v>
      </c>
      <c r="F71" s="22" t="s">
        <v>130</v>
      </c>
      <c r="G71" s="22" t="s">
        <v>87</v>
      </c>
      <c r="H71" s="22" t="s">
        <v>133</v>
      </c>
      <c r="I71" s="37">
        <v>801.22</v>
      </c>
      <c r="J71" s="21">
        <v>41655</v>
      </c>
      <c r="K71" s="22" t="s">
        <v>281</v>
      </c>
      <c r="L71" s="22" t="s">
        <v>49</v>
      </c>
      <c r="M71" s="22" t="s">
        <v>31</v>
      </c>
      <c r="N71" s="20" t="s">
        <v>108</v>
      </c>
      <c r="O71" s="23">
        <v>216000</v>
      </c>
      <c r="P71" s="38">
        <f>SUM(O71*R71)</f>
        <v>23663880</v>
      </c>
      <c r="Q71" s="39" t="s">
        <v>32</v>
      </c>
      <c r="R71" s="9">
        <v>109.55500000000001</v>
      </c>
      <c r="S71" s="40">
        <f>SUM(J71)+89</f>
        <v>41744</v>
      </c>
      <c r="T71" s="22" t="s">
        <v>130</v>
      </c>
      <c r="U71" s="41">
        <f>SUM(P71*0.12%)</f>
        <v>28396.655999999999</v>
      </c>
      <c r="V71" s="36">
        <v>155.75</v>
      </c>
      <c r="W71" s="38">
        <f>SUM(U71*V71)</f>
        <v>4422779.1720000003</v>
      </c>
      <c r="X71" s="45">
        <v>4422779.17</v>
      </c>
      <c r="Y71" s="40">
        <v>41738</v>
      </c>
      <c r="Z71" s="48">
        <v>29503</v>
      </c>
      <c r="AA71" s="113"/>
    </row>
    <row r="72" spans="1:27" ht="16.5">
      <c r="A72" s="35">
        <f t="shared" si="30"/>
        <v>67</v>
      </c>
      <c r="B72" s="36" t="s">
        <v>343</v>
      </c>
      <c r="C72" s="44" t="s">
        <v>448</v>
      </c>
      <c r="D72" s="19">
        <v>41744</v>
      </c>
      <c r="E72" s="27" t="s">
        <v>446</v>
      </c>
      <c r="F72" s="20" t="s">
        <v>130</v>
      </c>
      <c r="G72" s="20" t="s">
        <v>87</v>
      </c>
      <c r="H72" s="20" t="s">
        <v>133</v>
      </c>
      <c r="I72" s="37">
        <v>801.22</v>
      </c>
      <c r="J72" s="21">
        <v>41677</v>
      </c>
      <c r="K72" s="22" t="s">
        <v>335</v>
      </c>
      <c r="L72" s="22" t="s">
        <v>49</v>
      </c>
      <c r="M72" s="22" t="s">
        <v>37</v>
      </c>
      <c r="N72" s="22" t="s">
        <v>336</v>
      </c>
      <c r="O72" s="23">
        <v>110000</v>
      </c>
      <c r="P72" s="38">
        <f>SUM(O72*R72)</f>
        <v>12125190</v>
      </c>
      <c r="Q72" s="39" t="s">
        <v>32</v>
      </c>
      <c r="R72" s="9">
        <v>110.229</v>
      </c>
      <c r="S72" s="40">
        <f>SUM(J72)+89</f>
        <v>41766</v>
      </c>
      <c r="T72" s="20" t="s">
        <v>130</v>
      </c>
      <c r="U72" s="41">
        <f>SUM(P72*0.12%)</f>
        <v>14550.227999999999</v>
      </c>
      <c r="V72" s="36">
        <v>155.75</v>
      </c>
      <c r="W72" s="38">
        <f>SUM(U72*V72)</f>
        <v>2266198.0109999999</v>
      </c>
      <c r="X72" s="45">
        <v>2266198.0099999998</v>
      </c>
      <c r="Y72" s="40">
        <v>41738</v>
      </c>
      <c r="Z72" s="48">
        <v>29504</v>
      </c>
      <c r="AA72" s="113"/>
    </row>
    <row r="73" spans="1:27" ht="16.5">
      <c r="A73" s="35">
        <f t="shared" si="30"/>
        <v>68</v>
      </c>
      <c r="B73" s="36" t="s">
        <v>359</v>
      </c>
      <c r="C73" s="44" t="s">
        <v>460</v>
      </c>
      <c r="D73" s="19">
        <v>41753</v>
      </c>
      <c r="E73" s="18" t="s">
        <v>458</v>
      </c>
      <c r="F73" s="20" t="s">
        <v>278</v>
      </c>
      <c r="G73" s="20" t="s">
        <v>44</v>
      </c>
      <c r="H73" s="20" t="s">
        <v>133</v>
      </c>
      <c r="I73" s="37">
        <v>801.22</v>
      </c>
      <c r="J73" s="21">
        <v>41690</v>
      </c>
      <c r="K73" s="22" t="s">
        <v>360</v>
      </c>
      <c r="L73" s="22" t="s">
        <v>49</v>
      </c>
      <c r="M73" s="22" t="s">
        <v>77</v>
      </c>
      <c r="N73" s="22" t="s">
        <v>145</v>
      </c>
      <c r="O73" s="23">
        <v>499863</v>
      </c>
      <c r="P73" s="38">
        <f t="shared" ref="P73:P77" si="52">SUM(O73*R73)</f>
        <v>55397316.975000001</v>
      </c>
      <c r="Q73" s="39" t="s">
        <v>32</v>
      </c>
      <c r="R73" s="49">
        <v>110.825</v>
      </c>
      <c r="S73" s="40">
        <f t="shared" ref="S73:S77" si="53">SUM(J73)+89</f>
        <v>41779</v>
      </c>
      <c r="T73" s="20" t="s">
        <v>278</v>
      </c>
      <c r="U73" s="41">
        <f t="shared" ref="U73:U80" si="54">SUM(P73*0.12%)</f>
        <v>66476.780369999993</v>
      </c>
      <c r="V73" s="36">
        <v>155.75</v>
      </c>
      <c r="W73" s="38">
        <f t="shared" ref="W73:W77" si="55">SUM(U73*V73)</f>
        <v>10353758.542627499</v>
      </c>
      <c r="X73" s="45">
        <f t="shared" ref="X73:X77" si="56">W73</f>
        <v>10353758.542627499</v>
      </c>
      <c r="Y73" s="36"/>
      <c r="Z73" s="36"/>
      <c r="AA73" s="112" t="s">
        <v>518</v>
      </c>
    </row>
    <row r="74" spans="1:27" ht="16.5">
      <c r="A74" s="35">
        <f t="shared" si="30"/>
        <v>69</v>
      </c>
      <c r="B74" s="36" t="s">
        <v>368</v>
      </c>
      <c r="C74" s="44" t="s">
        <v>460</v>
      </c>
      <c r="D74" s="19">
        <v>41753</v>
      </c>
      <c r="E74" s="18" t="s">
        <v>459</v>
      </c>
      <c r="F74" s="20" t="s">
        <v>278</v>
      </c>
      <c r="G74" s="20" t="s">
        <v>44</v>
      </c>
      <c r="H74" s="20" t="s">
        <v>133</v>
      </c>
      <c r="I74" s="37">
        <v>801.22</v>
      </c>
      <c r="J74" s="21">
        <v>41693</v>
      </c>
      <c r="K74" s="22" t="s">
        <v>96</v>
      </c>
      <c r="L74" s="22" t="s">
        <v>49</v>
      </c>
      <c r="M74" s="22" t="s">
        <v>77</v>
      </c>
      <c r="N74" s="22" t="s">
        <v>145</v>
      </c>
      <c r="O74" s="23">
        <v>421023</v>
      </c>
      <c r="P74" s="38">
        <f t="shared" si="52"/>
        <v>46563038.685000002</v>
      </c>
      <c r="Q74" s="39" t="s">
        <v>32</v>
      </c>
      <c r="R74" s="8">
        <v>110.595</v>
      </c>
      <c r="S74" s="40">
        <f t="shared" si="53"/>
        <v>41782</v>
      </c>
      <c r="T74" s="20" t="s">
        <v>278</v>
      </c>
      <c r="U74" s="41">
        <f t="shared" si="54"/>
        <v>55875.646421999998</v>
      </c>
      <c r="V74" s="36">
        <v>155.75</v>
      </c>
      <c r="W74" s="38">
        <f t="shared" si="55"/>
        <v>8702631.9302264992</v>
      </c>
      <c r="X74" s="45">
        <f t="shared" si="56"/>
        <v>8702631.9302264992</v>
      </c>
      <c r="Y74" s="36"/>
      <c r="Z74" s="36"/>
      <c r="AA74" s="112"/>
    </row>
    <row r="75" spans="1:27" ht="16.5">
      <c r="A75" s="35">
        <f t="shared" si="30"/>
        <v>70</v>
      </c>
      <c r="B75" s="36" t="s">
        <v>369</v>
      </c>
      <c r="C75" s="44" t="s">
        <v>461</v>
      </c>
      <c r="D75" s="19">
        <v>41753</v>
      </c>
      <c r="E75" s="27" t="s">
        <v>455</v>
      </c>
      <c r="F75" s="20" t="s">
        <v>278</v>
      </c>
      <c r="G75" s="20" t="s">
        <v>44</v>
      </c>
      <c r="H75" s="20" t="s">
        <v>133</v>
      </c>
      <c r="I75" s="37">
        <v>801.22</v>
      </c>
      <c r="J75" s="21">
        <v>41695</v>
      </c>
      <c r="K75" s="22" t="s">
        <v>370</v>
      </c>
      <c r="L75" s="22" t="s">
        <v>49</v>
      </c>
      <c r="M75" s="22" t="s">
        <v>78</v>
      </c>
      <c r="N75" s="22" t="s">
        <v>371</v>
      </c>
      <c r="O75" s="23">
        <v>63000</v>
      </c>
      <c r="P75" s="38">
        <f t="shared" si="52"/>
        <v>6969564</v>
      </c>
      <c r="Q75" s="39" t="s">
        <v>32</v>
      </c>
      <c r="R75" s="49">
        <v>110.628</v>
      </c>
      <c r="S75" s="40">
        <f t="shared" si="53"/>
        <v>41784</v>
      </c>
      <c r="T75" s="20" t="s">
        <v>278</v>
      </c>
      <c r="U75" s="41">
        <f t="shared" si="54"/>
        <v>8363.4767999999985</v>
      </c>
      <c r="V75" s="36">
        <v>155.75</v>
      </c>
      <c r="W75" s="38">
        <f t="shared" si="55"/>
        <v>1302611.5115999999</v>
      </c>
      <c r="X75" s="45">
        <f t="shared" si="56"/>
        <v>1302611.5115999999</v>
      </c>
      <c r="Y75" s="36"/>
      <c r="Z75" s="36"/>
      <c r="AA75" s="113"/>
    </row>
    <row r="76" spans="1:27" ht="16.5">
      <c r="A76" s="35">
        <f t="shared" si="30"/>
        <v>71</v>
      </c>
      <c r="B76" s="36" t="s">
        <v>372</v>
      </c>
      <c r="C76" s="44" t="s">
        <v>462</v>
      </c>
      <c r="D76" s="19">
        <v>41753</v>
      </c>
      <c r="E76" s="27" t="s">
        <v>456</v>
      </c>
      <c r="F76" s="20" t="s">
        <v>278</v>
      </c>
      <c r="G76" s="20" t="s">
        <v>44</v>
      </c>
      <c r="H76" s="20" t="s">
        <v>133</v>
      </c>
      <c r="I76" s="37">
        <v>801.22</v>
      </c>
      <c r="J76" s="21">
        <v>41695</v>
      </c>
      <c r="K76" s="22" t="s">
        <v>370</v>
      </c>
      <c r="L76" s="22" t="s">
        <v>49</v>
      </c>
      <c r="M76" s="22" t="s">
        <v>78</v>
      </c>
      <c r="N76" s="22" t="s">
        <v>371</v>
      </c>
      <c r="O76" s="23">
        <v>42000</v>
      </c>
      <c r="P76" s="38">
        <f t="shared" si="52"/>
        <v>4646376</v>
      </c>
      <c r="Q76" s="39" t="s">
        <v>32</v>
      </c>
      <c r="R76" s="49">
        <v>110.628</v>
      </c>
      <c r="S76" s="40">
        <f t="shared" si="53"/>
        <v>41784</v>
      </c>
      <c r="T76" s="20" t="s">
        <v>278</v>
      </c>
      <c r="U76" s="41">
        <f t="shared" si="54"/>
        <v>5575.6511999999993</v>
      </c>
      <c r="V76" s="36">
        <v>155.75</v>
      </c>
      <c r="W76" s="38">
        <f t="shared" si="55"/>
        <v>868407.6743999999</v>
      </c>
      <c r="X76" s="45">
        <f t="shared" si="56"/>
        <v>868407.6743999999</v>
      </c>
      <c r="Y76" s="36"/>
      <c r="Z76" s="36"/>
      <c r="AA76" s="113"/>
    </row>
    <row r="77" spans="1:27" ht="16.5">
      <c r="A77" s="35">
        <f t="shared" si="30"/>
        <v>72</v>
      </c>
      <c r="B77" s="36" t="s">
        <v>373</v>
      </c>
      <c r="C77" s="44" t="s">
        <v>463</v>
      </c>
      <c r="D77" s="19">
        <v>41753</v>
      </c>
      <c r="E77" s="27" t="s">
        <v>457</v>
      </c>
      <c r="F77" s="20" t="s">
        <v>278</v>
      </c>
      <c r="G77" s="20" t="s">
        <v>44</v>
      </c>
      <c r="H77" s="20" t="s">
        <v>133</v>
      </c>
      <c r="I77" s="37">
        <v>801.22</v>
      </c>
      <c r="J77" s="21">
        <v>41695</v>
      </c>
      <c r="K77" s="22" t="s">
        <v>370</v>
      </c>
      <c r="L77" s="22" t="s">
        <v>49</v>
      </c>
      <c r="M77" s="22" t="s">
        <v>78</v>
      </c>
      <c r="N77" s="22" t="s">
        <v>371</v>
      </c>
      <c r="O77" s="23">
        <v>144472</v>
      </c>
      <c r="P77" s="38">
        <f t="shared" si="52"/>
        <v>15982648.415999999</v>
      </c>
      <c r="Q77" s="39" t="s">
        <v>32</v>
      </c>
      <c r="R77" s="49">
        <v>110.628</v>
      </c>
      <c r="S77" s="40">
        <f t="shared" si="53"/>
        <v>41784</v>
      </c>
      <c r="T77" s="20" t="s">
        <v>278</v>
      </c>
      <c r="U77" s="41">
        <f t="shared" si="54"/>
        <v>19179.178099199999</v>
      </c>
      <c r="V77" s="36">
        <v>155.75</v>
      </c>
      <c r="W77" s="38">
        <f t="shared" si="55"/>
        <v>2987156.9889503997</v>
      </c>
      <c r="X77" s="45">
        <f t="shared" si="56"/>
        <v>2987156.9889503997</v>
      </c>
      <c r="Y77" s="36"/>
      <c r="Z77" s="36"/>
      <c r="AA77" s="113"/>
    </row>
    <row r="78" spans="1:27" ht="27.75" customHeight="1">
      <c r="A78" s="35">
        <f t="shared" si="30"/>
        <v>73</v>
      </c>
      <c r="B78" s="36" t="s">
        <v>177</v>
      </c>
      <c r="C78" s="82" t="s">
        <v>466</v>
      </c>
      <c r="D78" s="21">
        <v>41758</v>
      </c>
      <c r="E78" s="27" t="s">
        <v>464</v>
      </c>
      <c r="F78" s="22" t="s">
        <v>150</v>
      </c>
      <c r="G78" s="22" t="s">
        <v>151</v>
      </c>
      <c r="H78" s="22" t="s">
        <v>133</v>
      </c>
      <c r="I78" s="37">
        <v>801.22</v>
      </c>
      <c r="J78" s="21">
        <v>41555</v>
      </c>
      <c r="K78" s="22" t="s">
        <v>170</v>
      </c>
      <c r="L78" s="22" t="s">
        <v>49</v>
      </c>
      <c r="M78" s="22" t="s">
        <v>60</v>
      </c>
      <c r="N78" s="20" t="s">
        <v>174</v>
      </c>
      <c r="O78" s="23">
        <v>649094</v>
      </c>
      <c r="P78" s="38">
        <f t="shared" ref="P78:P79" si="57">SUM(O78*R78)</f>
        <v>72116290.681999996</v>
      </c>
      <c r="Q78" s="39" t="s">
        <v>32</v>
      </c>
      <c r="R78" s="49">
        <v>111.10299999999999</v>
      </c>
      <c r="S78" s="40">
        <f t="shared" ref="S78:S79" si="58">SUM(J78)+89</f>
        <v>41644</v>
      </c>
      <c r="T78" s="22" t="s">
        <v>33</v>
      </c>
      <c r="U78" s="41">
        <f t="shared" si="54"/>
        <v>86539.548818399984</v>
      </c>
      <c r="V78" s="85">
        <v>155.80000000000001</v>
      </c>
      <c r="W78" s="38">
        <f t="shared" ref="W78:W80" si="59">SUM(U78*V78)</f>
        <v>13482861.705906719</v>
      </c>
      <c r="X78" s="45">
        <v>13439592.109999999</v>
      </c>
      <c r="Y78" s="40">
        <v>41022</v>
      </c>
      <c r="Z78" s="48">
        <v>4097</v>
      </c>
      <c r="AA78" s="112" t="s">
        <v>518</v>
      </c>
    </row>
    <row r="79" spans="1:27" ht="27.75" customHeight="1">
      <c r="A79" s="35">
        <f t="shared" si="30"/>
        <v>74</v>
      </c>
      <c r="B79" s="36" t="s">
        <v>178</v>
      </c>
      <c r="C79" s="82" t="s">
        <v>466</v>
      </c>
      <c r="D79" s="21">
        <v>41758</v>
      </c>
      <c r="E79" s="27" t="s">
        <v>465</v>
      </c>
      <c r="F79" s="22" t="s">
        <v>150</v>
      </c>
      <c r="G79" s="22" t="s">
        <v>151</v>
      </c>
      <c r="H79" s="22" t="s">
        <v>133</v>
      </c>
      <c r="I79" s="37">
        <v>801.22</v>
      </c>
      <c r="J79" s="21">
        <v>41555</v>
      </c>
      <c r="K79" s="22" t="s">
        <v>170</v>
      </c>
      <c r="L79" s="22" t="s">
        <v>49</v>
      </c>
      <c r="M79" s="22" t="s">
        <v>78</v>
      </c>
      <c r="N79" s="20" t="s">
        <v>131</v>
      </c>
      <c r="O79" s="23">
        <v>300000</v>
      </c>
      <c r="P79" s="38">
        <f t="shared" si="57"/>
        <v>33330900</v>
      </c>
      <c r="Q79" s="39" t="s">
        <v>32</v>
      </c>
      <c r="R79" s="49">
        <v>111.10299999999999</v>
      </c>
      <c r="S79" s="40">
        <f t="shared" si="58"/>
        <v>41644</v>
      </c>
      <c r="T79" s="22" t="s">
        <v>33</v>
      </c>
      <c r="U79" s="41">
        <f t="shared" si="54"/>
        <v>39997.079999999994</v>
      </c>
      <c r="V79" s="85">
        <v>155.80000000000001</v>
      </c>
      <c r="W79" s="38">
        <f t="shared" si="59"/>
        <v>6231545.0639999993</v>
      </c>
      <c r="X79" s="45">
        <v>6211546.3499999996</v>
      </c>
      <c r="Y79" s="40">
        <v>41022</v>
      </c>
      <c r="Z79" s="48">
        <v>4097</v>
      </c>
      <c r="AA79" s="112"/>
    </row>
    <row r="80" spans="1:27" ht="27" customHeight="1">
      <c r="A80" s="35">
        <f t="shared" si="30"/>
        <v>75</v>
      </c>
      <c r="B80" s="36" t="s">
        <v>179</v>
      </c>
      <c r="C80" s="82" t="s">
        <v>467</v>
      </c>
      <c r="D80" s="21">
        <v>41758</v>
      </c>
      <c r="E80" s="98">
        <v>201300010461</v>
      </c>
      <c r="F80" s="47" t="s">
        <v>150</v>
      </c>
      <c r="G80" s="22" t="s">
        <v>151</v>
      </c>
      <c r="H80" s="22" t="s">
        <v>133</v>
      </c>
      <c r="I80" s="37">
        <v>801.22</v>
      </c>
      <c r="J80" s="40">
        <v>41573</v>
      </c>
      <c r="K80" s="22" t="s">
        <v>139</v>
      </c>
      <c r="L80" s="36" t="s">
        <v>49</v>
      </c>
      <c r="M80" s="22" t="s">
        <v>80</v>
      </c>
      <c r="N80" s="20" t="s">
        <v>135</v>
      </c>
      <c r="O80" s="97">
        <v>949538</v>
      </c>
      <c r="P80" s="38">
        <f t="shared" ref="P80:P88" si="60">SUM(O80*R80)</f>
        <v>104414047.094</v>
      </c>
      <c r="Q80" s="39" t="s">
        <v>32</v>
      </c>
      <c r="R80" s="49">
        <v>109.96299999999999</v>
      </c>
      <c r="S80" s="40">
        <f t="shared" ref="S80" si="61">SUM(J80)+89</f>
        <v>41662</v>
      </c>
      <c r="T80" s="22" t="s">
        <v>33</v>
      </c>
      <c r="U80" s="41">
        <f t="shared" si="54"/>
        <v>125296.85651279999</v>
      </c>
      <c r="V80" s="85">
        <v>155.80000000000001</v>
      </c>
      <c r="W80" s="38">
        <f t="shared" si="59"/>
        <v>19521250.24469424</v>
      </c>
      <c r="X80" s="45">
        <v>19458601.82</v>
      </c>
      <c r="Y80" s="40">
        <v>41022</v>
      </c>
      <c r="Z80" s="48">
        <v>4098</v>
      </c>
      <c r="AA80" s="113"/>
    </row>
    <row r="81" spans="1:27" ht="19.5" customHeight="1">
      <c r="A81" s="35">
        <f t="shared" si="30"/>
        <v>76</v>
      </c>
      <c r="B81" s="36" t="s">
        <v>498</v>
      </c>
      <c r="C81" s="21" t="s">
        <v>468</v>
      </c>
      <c r="D81" s="21">
        <v>41759</v>
      </c>
      <c r="E81" s="18" t="s">
        <v>478</v>
      </c>
      <c r="F81" s="22" t="s">
        <v>278</v>
      </c>
      <c r="G81" s="22" t="s">
        <v>44</v>
      </c>
      <c r="H81" s="22" t="s">
        <v>133</v>
      </c>
      <c r="I81" s="37">
        <v>801.22</v>
      </c>
      <c r="J81" s="21">
        <v>41734</v>
      </c>
      <c r="K81" s="22" t="s">
        <v>142</v>
      </c>
      <c r="L81" s="22" t="s">
        <v>49</v>
      </c>
      <c r="M81" s="22" t="s">
        <v>287</v>
      </c>
      <c r="N81" s="20" t="s">
        <v>290</v>
      </c>
      <c r="O81" s="23">
        <v>199536</v>
      </c>
      <c r="P81" s="38">
        <f t="shared" si="60"/>
        <v>21475660.607999999</v>
      </c>
      <c r="Q81" s="39" t="s">
        <v>32</v>
      </c>
      <c r="R81" s="8">
        <v>107.628</v>
      </c>
      <c r="S81" s="40">
        <f t="shared" ref="S81:S86" si="62">SUM(J81)+89</f>
        <v>41823</v>
      </c>
      <c r="T81" s="22" t="s">
        <v>278</v>
      </c>
      <c r="U81" s="41">
        <f t="shared" ref="U81:U91" si="63">SUM(P81*0.12%)</f>
        <v>25770.792729599998</v>
      </c>
      <c r="V81" s="36">
        <v>155.72999999999999</v>
      </c>
      <c r="W81" s="38">
        <f t="shared" ref="W81:W108" si="64">SUM(U81*V81)</f>
        <v>4013285.5517806076</v>
      </c>
      <c r="X81" s="45">
        <f t="shared" ref="X81:X86" si="65">W81</f>
        <v>4013285.5517806076</v>
      </c>
      <c r="Y81" s="36"/>
      <c r="Z81" s="36"/>
      <c r="AA81" s="113"/>
    </row>
    <row r="82" spans="1:27" ht="19.5" customHeight="1">
      <c r="A82" s="35">
        <f t="shared" si="30"/>
        <v>77</v>
      </c>
      <c r="B82" s="36" t="s">
        <v>499</v>
      </c>
      <c r="C82" s="21" t="s">
        <v>469</v>
      </c>
      <c r="D82" s="21">
        <v>41759</v>
      </c>
      <c r="E82" s="18" t="s">
        <v>479</v>
      </c>
      <c r="F82" s="22" t="s">
        <v>278</v>
      </c>
      <c r="G82" s="22" t="s">
        <v>44</v>
      </c>
      <c r="H82" s="22" t="s">
        <v>133</v>
      </c>
      <c r="I82" s="37">
        <v>801.22</v>
      </c>
      <c r="J82" s="21">
        <v>41734</v>
      </c>
      <c r="K82" s="22" t="s">
        <v>142</v>
      </c>
      <c r="L82" s="22" t="s">
        <v>49</v>
      </c>
      <c r="M82" s="22" t="s">
        <v>287</v>
      </c>
      <c r="N82" s="20" t="s">
        <v>290</v>
      </c>
      <c r="O82" s="23">
        <v>120000</v>
      </c>
      <c r="P82" s="38">
        <f t="shared" si="60"/>
        <v>12915360</v>
      </c>
      <c r="Q82" s="39" t="s">
        <v>32</v>
      </c>
      <c r="R82" s="49">
        <v>107.628</v>
      </c>
      <c r="S82" s="40">
        <f t="shared" si="62"/>
        <v>41823</v>
      </c>
      <c r="T82" s="22" t="s">
        <v>278</v>
      </c>
      <c r="U82" s="41">
        <f t="shared" si="63"/>
        <v>15498.431999999999</v>
      </c>
      <c r="V82" s="36">
        <v>155.72999999999999</v>
      </c>
      <c r="W82" s="38">
        <f t="shared" si="64"/>
        <v>2413570.8153599999</v>
      </c>
      <c r="X82" s="45">
        <f t="shared" si="65"/>
        <v>2413570.8153599999</v>
      </c>
      <c r="Y82" s="36"/>
      <c r="Z82" s="36"/>
      <c r="AA82" s="113"/>
    </row>
    <row r="83" spans="1:27" ht="19.5" customHeight="1">
      <c r="A83" s="35">
        <f t="shared" si="30"/>
        <v>78</v>
      </c>
      <c r="B83" s="36" t="s">
        <v>500</v>
      </c>
      <c r="C83" s="21" t="s">
        <v>470</v>
      </c>
      <c r="D83" s="21">
        <v>41759</v>
      </c>
      <c r="E83" s="26" t="s">
        <v>480</v>
      </c>
      <c r="F83" s="22" t="s">
        <v>278</v>
      </c>
      <c r="G83" s="22" t="s">
        <v>44</v>
      </c>
      <c r="H83" s="22" t="s">
        <v>45</v>
      </c>
      <c r="I83" s="37">
        <v>801.22</v>
      </c>
      <c r="J83" s="21">
        <v>41742</v>
      </c>
      <c r="K83" s="22" t="s">
        <v>73</v>
      </c>
      <c r="L83" s="22" t="s">
        <v>46</v>
      </c>
      <c r="M83" s="22" t="s">
        <v>60</v>
      </c>
      <c r="N83" s="20" t="s">
        <v>106</v>
      </c>
      <c r="O83" s="23">
        <v>899774</v>
      </c>
      <c r="P83" s="38">
        <f t="shared" si="60"/>
        <v>99304457.283999994</v>
      </c>
      <c r="Q83" s="39" t="s">
        <v>32</v>
      </c>
      <c r="R83" s="49">
        <v>110.366</v>
      </c>
      <c r="S83" s="40">
        <f t="shared" si="62"/>
        <v>41831</v>
      </c>
      <c r="T83" s="22" t="s">
        <v>278</v>
      </c>
      <c r="U83" s="41">
        <f t="shared" si="63"/>
        <v>119165.34874079998</v>
      </c>
      <c r="V83" s="36">
        <v>155.72999999999999</v>
      </c>
      <c r="W83" s="38">
        <f t="shared" si="64"/>
        <v>18557619.759404778</v>
      </c>
      <c r="X83" s="45">
        <f t="shared" si="65"/>
        <v>18557619.759404778</v>
      </c>
      <c r="Y83" s="36"/>
      <c r="Z83" s="36"/>
      <c r="AA83" s="113"/>
    </row>
    <row r="84" spans="1:27" ht="19.5" customHeight="1">
      <c r="A84" s="35">
        <f t="shared" si="30"/>
        <v>79</v>
      </c>
      <c r="B84" s="36" t="s">
        <v>501</v>
      </c>
      <c r="C84" s="21" t="s">
        <v>471</v>
      </c>
      <c r="D84" s="21">
        <v>41759</v>
      </c>
      <c r="E84" s="26" t="s">
        <v>481</v>
      </c>
      <c r="F84" s="22" t="s">
        <v>278</v>
      </c>
      <c r="G84" s="22" t="s">
        <v>44</v>
      </c>
      <c r="H84" s="22" t="s">
        <v>133</v>
      </c>
      <c r="I84" s="37">
        <v>801.22</v>
      </c>
      <c r="J84" s="21">
        <v>41742</v>
      </c>
      <c r="K84" s="22" t="s">
        <v>96</v>
      </c>
      <c r="L84" s="22" t="s">
        <v>49</v>
      </c>
      <c r="M84" s="22" t="s">
        <v>77</v>
      </c>
      <c r="N84" s="20" t="s">
        <v>103</v>
      </c>
      <c r="O84" s="23">
        <v>170000</v>
      </c>
      <c r="P84" s="38">
        <f t="shared" si="60"/>
        <v>18685720</v>
      </c>
      <c r="Q84" s="39" t="s">
        <v>32</v>
      </c>
      <c r="R84" s="49">
        <v>109.916</v>
      </c>
      <c r="S84" s="40">
        <f t="shared" si="62"/>
        <v>41831</v>
      </c>
      <c r="T84" s="22" t="s">
        <v>278</v>
      </c>
      <c r="U84" s="41">
        <f t="shared" si="63"/>
        <v>22422.863999999998</v>
      </c>
      <c r="V84" s="36">
        <v>155.72999999999999</v>
      </c>
      <c r="W84" s="38">
        <f t="shared" si="64"/>
        <v>3491912.6107199993</v>
      </c>
      <c r="X84" s="45">
        <f t="shared" si="65"/>
        <v>3491912.6107199993</v>
      </c>
      <c r="Y84" s="36"/>
      <c r="Z84" s="36"/>
      <c r="AA84" s="113"/>
    </row>
    <row r="85" spans="1:27" ht="19.5" customHeight="1">
      <c r="A85" s="35">
        <f t="shared" si="30"/>
        <v>80</v>
      </c>
      <c r="B85" s="36" t="s">
        <v>502</v>
      </c>
      <c r="C85" s="21" t="s">
        <v>472</v>
      </c>
      <c r="D85" s="21">
        <v>41759</v>
      </c>
      <c r="E85" s="26" t="s">
        <v>482</v>
      </c>
      <c r="F85" s="22" t="s">
        <v>278</v>
      </c>
      <c r="G85" s="22" t="s">
        <v>44</v>
      </c>
      <c r="H85" s="22" t="s">
        <v>133</v>
      </c>
      <c r="I85" s="37">
        <v>801.22</v>
      </c>
      <c r="J85" s="21">
        <v>41742</v>
      </c>
      <c r="K85" s="22" t="s">
        <v>96</v>
      </c>
      <c r="L85" s="22" t="s">
        <v>49</v>
      </c>
      <c r="M85" s="22" t="s">
        <v>77</v>
      </c>
      <c r="N85" s="20" t="s">
        <v>103</v>
      </c>
      <c r="O85" s="23">
        <v>50000</v>
      </c>
      <c r="P85" s="38">
        <f t="shared" si="60"/>
        <v>5495800</v>
      </c>
      <c r="Q85" s="39" t="s">
        <v>32</v>
      </c>
      <c r="R85" s="49">
        <v>109.916</v>
      </c>
      <c r="S85" s="40">
        <f t="shared" si="62"/>
        <v>41831</v>
      </c>
      <c r="T85" s="22" t="s">
        <v>278</v>
      </c>
      <c r="U85" s="41">
        <f t="shared" si="63"/>
        <v>6594.9599999999991</v>
      </c>
      <c r="V85" s="36">
        <v>155.72999999999999</v>
      </c>
      <c r="W85" s="38">
        <f t="shared" si="64"/>
        <v>1027033.1207999998</v>
      </c>
      <c r="X85" s="45">
        <f t="shared" si="65"/>
        <v>1027033.1207999998</v>
      </c>
      <c r="Y85" s="36"/>
      <c r="Z85" s="36"/>
      <c r="AA85" s="113"/>
    </row>
    <row r="86" spans="1:27" ht="24.75" customHeight="1">
      <c r="A86" s="35">
        <f t="shared" si="30"/>
        <v>81</v>
      </c>
      <c r="B86" s="36" t="s">
        <v>510</v>
      </c>
      <c r="C86" s="21" t="s">
        <v>473</v>
      </c>
      <c r="D86" s="21">
        <v>41759</v>
      </c>
      <c r="E86" s="26" t="s">
        <v>490</v>
      </c>
      <c r="F86" s="22" t="s">
        <v>278</v>
      </c>
      <c r="G86" s="22" t="s">
        <v>44</v>
      </c>
      <c r="H86" s="22" t="s">
        <v>133</v>
      </c>
      <c r="I86" s="37">
        <v>801.22</v>
      </c>
      <c r="J86" s="21">
        <v>41758</v>
      </c>
      <c r="K86" s="22" t="s">
        <v>152</v>
      </c>
      <c r="L86" s="22" t="s">
        <v>49</v>
      </c>
      <c r="M86" s="22" t="s">
        <v>37</v>
      </c>
      <c r="N86" s="20" t="s">
        <v>138</v>
      </c>
      <c r="O86" s="65">
        <v>949719</v>
      </c>
      <c r="P86" s="53">
        <f t="shared" si="60"/>
        <v>105507132.867</v>
      </c>
      <c r="Q86" s="39" t="s">
        <v>32</v>
      </c>
      <c r="R86" s="49">
        <v>111.093</v>
      </c>
      <c r="S86" s="40">
        <f t="shared" si="62"/>
        <v>41847</v>
      </c>
      <c r="T86" s="22" t="s">
        <v>278</v>
      </c>
      <c r="U86" s="54">
        <f t="shared" si="63"/>
        <v>126608.55944039999</v>
      </c>
      <c r="V86" s="36">
        <v>155.72999999999999</v>
      </c>
      <c r="W86" s="53">
        <f t="shared" si="64"/>
        <v>19716750.96165349</v>
      </c>
      <c r="X86" s="45">
        <f t="shared" si="65"/>
        <v>19716750.96165349</v>
      </c>
      <c r="Y86" s="36"/>
      <c r="Z86" s="36"/>
      <c r="AA86" s="113"/>
    </row>
    <row r="87" spans="1:27" ht="21" customHeight="1">
      <c r="A87" s="35">
        <f t="shared" si="30"/>
        <v>82</v>
      </c>
      <c r="B87" s="36" t="s">
        <v>513</v>
      </c>
      <c r="C87" s="21" t="s">
        <v>522</v>
      </c>
      <c r="D87" s="21">
        <v>41771</v>
      </c>
      <c r="E87" s="26" t="s">
        <v>483</v>
      </c>
      <c r="F87" s="22" t="s">
        <v>163</v>
      </c>
      <c r="G87" s="22" t="s">
        <v>279</v>
      </c>
      <c r="H87" s="22" t="s">
        <v>159</v>
      </c>
      <c r="I87" s="37">
        <v>801.22</v>
      </c>
      <c r="J87" s="21">
        <v>41743</v>
      </c>
      <c r="K87" s="22" t="s">
        <v>491</v>
      </c>
      <c r="L87" s="22" t="s">
        <v>160</v>
      </c>
      <c r="M87" s="22" t="s">
        <v>37</v>
      </c>
      <c r="N87" s="20" t="s">
        <v>492</v>
      </c>
      <c r="O87" s="23">
        <v>649457</v>
      </c>
      <c r="P87" s="38">
        <f t="shared" si="60"/>
        <v>66604413.178000003</v>
      </c>
      <c r="Q87" s="39" t="s">
        <v>32</v>
      </c>
      <c r="R87" s="49">
        <v>102.554</v>
      </c>
      <c r="S87" s="40">
        <f t="shared" ref="S87" si="66">SUM(J87)+89</f>
        <v>41832</v>
      </c>
      <c r="T87" s="22" t="s">
        <v>163</v>
      </c>
      <c r="U87" s="41">
        <f t="shared" si="63"/>
        <v>79925.295813599994</v>
      </c>
      <c r="V87" s="36">
        <v>155.72999999999999</v>
      </c>
      <c r="W87" s="38">
        <f t="shared" si="64"/>
        <v>12446766.317051927</v>
      </c>
      <c r="X87" s="45">
        <v>12446766.970000001</v>
      </c>
      <c r="Y87" s="40">
        <v>41766</v>
      </c>
      <c r="Z87" s="48">
        <v>4648</v>
      </c>
      <c r="AA87" s="113"/>
    </row>
    <row r="88" spans="1:27" ht="20.25" customHeight="1">
      <c r="A88" s="35">
        <f t="shared" si="30"/>
        <v>83</v>
      </c>
      <c r="B88" s="36" t="s">
        <v>514</v>
      </c>
      <c r="C88" s="22" t="s">
        <v>523</v>
      </c>
      <c r="D88" s="21">
        <v>41771</v>
      </c>
      <c r="E88" s="26" t="s">
        <v>488</v>
      </c>
      <c r="F88" s="22" t="s">
        <v>52</v>
      </c>
      <c r="G88" s="22" t="s">
        <v>82</v>
      </c>
      <c r="H88" s="22" t="s">
        <v>58</v>
      </c>
      <c r="I88" s="37">
        <v>801.22</v>
      </c>
      <c r="J88" s="21">
        <v>41749</v>
      </c>
      <c r="K88" s="22" t="s">
        <v>228</v>
      </c>
      <c r="L88" s="22" t="s">
        <v>59</v>
      </c>
      <c r="M88" s="22" t="s">
        <v>78</v>
      </c>
      <c r="N88" s="20" t="s">
        <v>131</v>
      </c>
      <c r="O88" s="23">
        <v>153776</v>
      </c>
      <c r="P88" s="38">
        <f t="shared" si="60"/>
        <v>16977331.728</v>
      </c>
      <c r="Q88" s="39" t="s">
        <v>32</v>
      </c>
      <c r="R88" s="49">
        <v>110.40300000000001</v>
      </c>
      <c r="S88" s="40">
        <f t="shared" ref="S88" si="67">SUM(J88)+89</f>
        <v>41838</v>
      </c>
      <c r="T88" s="22" t="s">
        <v>52</v>
      </c>
      <c r="U88" s="41">
        <f t="shared" si="63"/>
        <v>20372.798073599999</v>
      </c>
      <c r="V88" s="36">
        <v>155.72999999999999</v>
      </c>
      <c r="W88" s="38">
        <f t="shared" si="64"/>
        <v>3172655.8440017276</v>
      </c>
      <c r="X88" s="45">
        <v>3172655.84</v>
      </c>
      <c r="Y88" s="40">
        <v>41765</v>
      </c>
      <c r="Z88" s="46">
        <v>15442</v>
      </c>
      <c r="AA88" s="113"/>
    </row>
    <row r="89" spans="1:27" s="2" customFormat="1" ht="21" customHeight="1">
      <c r="A89" s="35">
        <f t="shared" si="30"/>
        <v>84</v>
      </c>
      <c r="B89" s="36" t="s">
        <v>427</v>
      </c>
      <c r="C89" s="44" t="s">
        <v>524</v>
      </c>
      <c r="D89" s="21">
        <v>41778</v>
      </c>
      <c r="E89" s="27" t="s">
        <v>408</v>
      </c>
      <c r="F89" s="22" t="s">
        <v>120</v>
      </c>
      <c r="G89" s="22" t="s">
        <v>28</v>
      </c>
      <c r="H89" s="22" t="s">
        <v>133</v>
      </c>
      <c r="I89" s="37">
        <v>801.22</v>
      </c>
      <c r="J89" s="19">
        <v>41703</v>
      </c>
      <c r="K89" s="51" t="s">
        <v>107</v>
      </c>
      <c r="L89" s="51" t="s">
        <v>49</v>
      </c>
      <c r="M89" s="22" t="s">
        <v>41</v>
      </c>
      <c r="N89" s="20" t="s">
        <v>42</v>
      </c>
      <c r="O89" s="23">
        <v>180000</v>
      </c>
      <c r="P89" s="53">
        <f t="shared" ref="P89" si="68">SUM(O89*R89)</f>
        <v>19768320</v>
      </c>
      <c r="Q89" s="39" t="s">
        <v>32</v>
      </c>
      <c r="R89" s="9">
        <v>109.824</v>
      </c>
      <c r="S89" s="40">
        <f t="shared" ref="S89:S91" si="69">SUM(J89)+89</f>
        <v>41792</v>
      </c>
      <c r="T89" s="22" t="s">
        <v>27</v>
      </c>
      <c r="U89" s="54">
        <f t="shared" si="63"/>
        <v>23721.983999999997</v>
      </c>
      <c r="V89" s="36">
        <v>155.74</v>
      </c>
      <c r="W89" s="53">
        <f t="shared" si="64"/>
        <v>3694461.7881599995</v>
      </c>
      <c r="X89" s="45">
        <v>3694461.17</v>
      </c>
      <c r="Y89" s="40">
        <v>41773</v>
      </c>
      <c r="Z89" s="48">
        <v>1439</v>
      </c>
      <c r="AA89" s="114"/>
    </row>
    <row r="90" spans="1:27" ht="20.25" customHeight="1">
      <c r="A90" s="35">
        <f t="shared" si="30"/>
        <v>85</v>
      </c>
      <c r="B90" s="36" t="s">
        <v>437</v>
      </c>
      <c r="C90" s="44" t="s">
        <v>525</v>
      </c>
      <c r="D90" s="21">
        <v>41778</v>
      </c>
      <c r="E90" s="26" t="s">
        <v>418</v>
      </c>
      <c r="F90" s="22" t="s">
        <v>120</v>
      </c>
      <c r="G90" s="22" t="s">
        <v>28</v>
      </c>
      <c r="H90" s="22" t="s">
        <v>29</v>
      </c>
      <c r="I90" s="37">
        <v>801.22</v>
      </c>
      <c r="J90" s="21">
        <v>41727</v>
      </c>
      <c r="K90" s="22" t="s">
        <v>79</v>
      </c>
      <c r="L90" s="22" t="s">
        <v>30</v>
      </c>
      <c r="M90" s="22" t="s">
        <v>116</v>
      </c>
      <c r="N90" s="20" t="s">
        <v>175</v>
      </c>
      <c r="O90" s="23">
        <v>947026</v>
      </c>
      <c r="P90" s="38">
        <f t="shared" ref="P90:P91" si="70">SUM(O90*R90)</f>
        <v>99519174.236000001</v>
      </c>
      <c r="Q90" s="39" t="s">
        <v>32</v>
      </c>
      <c r="R90" s="49">
        <v>105.086</v>
      </c>
      <c r="S90" s="40">
        <f t="shared" si="69"/>
        <v>41816</v>
      </c>
      <c r="T90" s="22" t="s">
        <v>27</v>
      </c>
      <c r="U90" s="41">
        <f t="shared" si="63"/>
        <v>119423.00908319998</v>
      </c>
      <c r="V90" s="36">
        <v>155.74</v>
      </c>
      <c r="W90" s="38">
        <f t="shared" si="64"/>
        <v>18598939.434617568</v>
      </c>
      <c r="X90" s="45">
        <v>18598939.579999998</v>
      </c>
      <c r="Y90" s="40">
        <v>41774</v>
      </c>
      <c r="Z90" s="48">
        <v>1440</v>
      </c>
      <c r="AA90" s="113"/>
    </row>
    <row r="91" spans="1:27" ht="21.75" customHeight="1">
      <c r="A91" s="35">
        <f t="shared" si="30"/>
        <v>86</v>
      </c>
      <c r="B91" s="36" t="s">
        <v>503</v>
      </c>
      <c r="C91" s="21" t="s">
        <v>526</v>
      </c>
      <c r="D91" s="19">
        <v>41778</v>
      </c>
      <c r="E91" s="27" t="s">
        <v>521</v>
      </c>
      <c r="F91" s="22" t="s">
        <v>278</v>
      </c>
      <c r="G91" s="22" t="s">
        <v>44</v>
      </c>
      <c r="H91" s="22" t="s">
        <v>133</v>
      </c>
      <c r="I91" s="37">
        <v>801.22</v>
      </c>
      <c r="J91" s="21">
        <v>41742</v>
      </c>
      <c r="K91" s="22" t="s">
        <v>96</v>
      </c>
      <c r="L91" s="22" t="s">
        <v>49</v>
      </c>
      <c r="M91" s="22" t="s">
        <v>77</v>
      </c>
      <c r="N91" s="20" t="s">
        <v>103</v>
      </c>
      <c r="O91" s="23">
        <v>78386</v>
      </c>
      <c r="P91" s="38">
        <f t="shared" si="70"/>
        <v>8615875.5759999994</v>
      </c>
      <c r="Q91" s="39" t="s">
        <v>32</v>
      </c>
      <c r="R91" s="49">
        <v>109.916</v>
      </c>
      <c r="S91" s="40">
        <f t="shared" si="69"/>
        <v>41831</v>
      </c>
      <c r="T91" s="22" t="s">
        <v>278</v>
      </c>
      <c r="U91" s="41">
        <f t="shared" si="63"/>
        <v>10339.050691199998</v>
      </c>
      <c r="V91" s="36">
        <v>155.72999999999999</v>
      </c>
      <c r="W91" s="38">
        <f t="shared" si="64"/>
        <v>1610100.3641405755</v>
      </c>
      <c r="X91" s="45">
        <f t="shared" ref="X91" si="71">W91</f>
        <v>1610100.3641405755</v>
      </c>
      <c r="Y91" s="36"/>
      <c r="Z91" s="36"/>
      <c r="AA91" s="113"/>
    </row>
    <row r="92" spans="1:27" ht="16.5">
      <c r="A92" s="35">
        <f t="shared" si="30"/>
        <v>87</v>
      </c>
      <c r="B92" s="36" t="s">
        <v>374</v>
      </c>
      <c r="C92" s="44" t="s">
        <v>527</v>
      </c>
      <c r="D92" s="21">
        <v>41785</v>
      </c>
      <c r="E92" s="27" t="s">
        <v>444</v>
      </c>
      <c r="F92" s="20" t="s">
        <v>163</v>
      </c>
      <c r="G92" s="20" t="s">
        <v>34</v>
      </c>
      <c r="H92" s="20" t="s">
        <v>35</v>
      </c>
      <c r="I92" s="37">
        <v>801.22</v>
      </c>
      <c r="J92" s="21">
        <v>41696</v>
      </c>
      <c r="K92" s="22" t="s">
        <v>375</v>
      </c>
      <c r="L92" s="22" t="s">
        <v>36</v>
      </c>
      <c r="M92" s="22" t="s">
        <v>50</v>
      </c>
      <c r="N92" s="22" t="s">
        <v>51</v>
      </c>
      <c r="O92" s="23">
        <v>945742</v>
      </c>
      <c r="P92" s="38">
        <f t="shared" ref="P92" si="72">SUM(O92*R92)</f>
        <v>104519433.7236</v>
      </c>
      <c r="Q92" s="39" t="s">
        <v>32</v>
      </c>
      <c r="R92" s="49">
        <v>110.5158</v>
      </c>
      <c r="S92" s="40">
        <f t="shared" ref="S92" si="73">SUM(J92)+89</f>
        <v>41785</v>
      </c>
      <c r="T92" s="20" t="s">
        <v>38</v>
      </c>
      <c r="U92" s="41">
        <f t="shared" ref="U92:U106" si="74">SUM(P92*0.12%)</f>
        <v>125423.32046831999</v>
      </c>
      <c r="V92" s="36">
        <v>155.75</v>
      </c>
      <c r="W92" s="38">
        <f t="shared" si="64"/>
        <v>19534682.162940837</v>
      </c>
      <c r="X92" s="45">
        <v>19730028.98</v>
      </c>
      <c r="Y92" s="40">
        <v>41768</v>
      </c>
      <c r="Z92" s="48">
        <v>9966</v>
      </c>
      <c r="AA92" s="113"/>
    </row>
    <row r="93" spans="1:27" ht="18.75" customHeight="1">
      <c r="A93" s="35">
        <f t="shared" si="30"/>
        <v>88</v>
      </c>
      <c r="B93" s="36" t="s">
        <v>198</v>
      </c>
      <c r="C93" s="20" t="s">
        <v>531</v>
      </c>
      <c r="D93" s="21">
        <v>41789</v>
      </c>
      <c r="E93" s="26" t="s">
        <v>180</v>
      </c>
      <c r="F93" s="22" t="s">
        <v>163</v>
      </c>
      <c r="G93" s="22" t="s">
        <v>65</v>
      </c>
      <c r="H93" s="22" t="s">
        <v>133</v>
      </c>
      <c r="I93" s="37">
        <v>801.22</v>
      </c>
      <c r="J93" s="21">
        <v>41584</v>
      </c>
      <c r="K93" s="22" t="s">
        <v>188</v>
      </c>
      <c r="L93" s="22" t="s">
        <v>49</v>
      </c>
      <c r="M93" s="22" t="s">
        <v>192</v>
      </c>
      <c r="N93" s="20" t="s">
        <v>193</v>
      </c>
      <c r="O93" s="23">
        <v>397000</v>
      </c>
      <c r="P93" s="38">
        <f t="shared" ref="P93:P96" si="75">SUM(O93*R93)</f>
        <v>42709260</v>
      </c>
      <c r="Q93" s="39" t="s">
        <v>32</v>
      </c>
      <c r="R93" s="49">
        <v>107.58</v>
      </c>
      <c r="S93" s="40">
        <f t="shared" ref="S93:S94" si="76">SUM(J93)+89</f>
        <v>41673</v>
      </c>
      <c r="T93" s="36" t="s">
        <v>38</v>
      </c>
      <c r="U93" s="41">
        <f t="shared" si="74"/>
        <v>51251.111999999994</v>
      </c>
      <c r="V93" s="36">
        <v>155.72</v>
      </c>
      <c r="W93" s="38">
        <f t="shared" si="64"/>
        <v>7980823.1606399985</v>
      </c>
      <c r="X93" s="45">
        <v>8201710.3300000001</v>
      </c>
      <c r="Y93" s="40">
        <v>41787</v>
      </c>
      <c r="Z93" s="48">
        <v>7710</v>
      </c>
      <c r="AA93" s="113"/>
    </row>
    <row r="94" spans="1:27" ht="21" customHeight="1">
      <c r="A94" s="35">
        <f t="shared" si="30"/>
        <v>89</v>
      </c>
      <c r="B94" s="36" t="s">
        <v>241</v>
      </c>
      <c r="C94" s="20" t="s">
        <v>532</v>
      </c>
      <c r="D94" s="21">
        <v>41789</v>
      </c>
      <c r="E94" s="98">
        <v>201300010516</v>
      </c>
      <c r="F94" s="22" t="s">
        <v>163</v>
      </c>
      <c r="G94" s="22" t="s">
        <v>65</v>
      </c>
      <c r="H94" s="22" t="s">
        <v>133</v>
      </c>
      <c r="I94" s="37">
        <v>801.22</v>
      </c>
      <c r="J94" s="21">
        <v>41628</v>
      </c>
      <c r="K94" s="22" t="s">
        <v>227</v>
      </c>
      <c r="L94" s="22" t="s">
        <v>49</v>
      </c>
      <c r="M94" s="22" t="s">
        <v>141</v>
      </c>
      <c r="N94" s="20" t="s">
        <v>104</v>
      </c>
      <c r="O94" s="97">
        <v>319000</v>
      </c>
      <c r="P94" s="38">
        <f t="shared" si="75"/>
        <v>36031050</v>
      </c>
      <c r="Q94" s="39" t="s">
        <v>32</v>
      </c>
      <c r="R94" s="49">
        <v>112.95</v>
      </c>
      <c r="S94" s="40">
        <f t="shared" si="76"/>
        <v>41717</v>
      </c>
      <c r="T94" s="36" t="s">
        <v>38</v>
      </c>
      <c r="U94" s="41">
        <f t="shared" si="74"/>
        <v>43237.259999999995</v>
      </c>
      <c r="V94" s="85">
        <v>155.69999999999999</v>
      </c>
      <c r="W94" s="38">
        <f t="shared" si="64"/>
        <v>6732041.3819999984</v>
      </c>
      <c r="X94" s="45">
        <v>6919254.3899999997</v>
      </c>
      <c r="Y94" s="40">
        <v>41787</v>
      </c>
      <c r="Z94" s="48">
        <v>7712</v>
      </c>
      <c r="AA94" s="113"/>
    </row>
    <row r="95" spans="1:27" s="2" customFormat="1" ht="16.5">
      <c r="A95" s="35">
        <f t="shared" si="30"/>
        <v>90</v>
      </c>
      <c r="B95" s="36" t="s">
        <v>333</v>
      </c>
      <c r="C95" s="20" t="s">
        <v>533</v>
      </c>
      <c r="D95" s="21">
        <v>41789</v>
      </c>
      <c r="E95" s="26" t="s">
        <v>334</v>
      </c>
      <c r="F95" s="20" t="s">
        <v>163</v>
      </c>
      <c r="G95" s="20" t="s">
        <v>65</v>
      </c>
      <c r="H95" s="20" t="s">
        <v>133</v>
      </c>
      <c r="I95" s="37">
        <v>801.22</v>
      </c>
      <c r="J95" s="21">
        <v>41677</v>
      </c>
      <c r="K95" s="22" t="s">
        <v>335</v>
      </c>
      <c r="L95" s="22" t="s">
        <v>49</v>
      </c>
      <c r="M95" s="22" t="s">
        <v>37</v>
      </c>
      <c r="N95" s="22" t="s">
        <v>336</v>
      </c>
      <c r="O95" s="23">
        <v>255000</v>
      </c>
      <c r="P95" s="38">
        <f t="shared" si="75"/>
        <v>28191270</v>
      </c>
      <c r="Q95" s="39" t="s">
        <v>32</v>
      </c>
      <c r="R95" s="8">
        <v>110.554</v>
      </c>
      <c r="S95" s="40">
        <f t="shared" ref="S95:S96" si="77">SUM(J95)+89</f>
        <v>41766</v>
      </c>
      <c r="T95" s="20" t="s">
        <v>38</v>
      </c>
      <c r="U95" s="41">
        <f t="shared" si="74"/>
        <v>33829.523999999998</v>
      </c>
      <c r="V95" s="36">
        <v>155.75</v>
      </c>
      <c r="W95" s="38">
        <f t="shared" si="64"/>
        <v>5268948.3629999999</v>
      </c>
      <c r="X95" s="45">
        <v>5573414.0800000001</v>
      </c>
      <c r="Y95" s="40">
        <v>41787</v>
      </c>
      <c r="Z95" s="48">
        <v>7713</v>
      </c>
      <c r="AA95" s="114"/>
    </row>
    <row r="96" spans="1:27" ht="18.75" customHeight="1">
      <c r="A96" s="35">
        <f t="shared" si="30"/>
        <v>91</v>
      </c>
      <c r="B96" s="36" t="s">
        <v>428</v>
      </c>
      <c r="C96" s="20" t="s">
        <v>534</v>
      </c>
      <c r="D96" s="21">
        <v>41789</v>
      </c>
      <c r="E96" s="27" t="s">
        <v>409</v>
      </c>
      <c r="F96" s="22" t="s">
        <v>163</v>
      </c>
      <c r="G96" s="22" t="s">
        <v>65</v>
      </c>
      <c r="H96" s="22" t="s">
        <v>133</v>
      </c>
      <c r="I96" s="37">
        <v>801.22</v>
      </c>
      <c r="J96" s="19">
        <v>41703</v>
      </c>
      <c r="K96" s="51" t="s">
        <v>107</v>
      </c>
      <c r="L96" s="51" t="s">
        <v>49</v>
      </c>
      <c r="M96" s="22" t="s">
        <v>41</v>
      </c>
      <c r="N96" s="20" t="s">
        <v>42</v>
      </c>
      <c r="O96" s="57">
        <v>349000</v>
      </c>
      <c r="P96" s="53">
        <f t="shared" si="75"/>
        <v>38328576</v>
      </c>
      <c r="Q96" s="39" t="s">
        <v>32</v>
      </c>
      <c r="R96" s="9">
        <v>109.824</v>
      </c>
      <c r="S96" s="40">
        <f t="shared" si="77"/>
        <v>41792</v>
      </c>
      <c r="T96" s="20" t="s">
        <v>38</v>
      </c>
      <c r="U96" s="54">
        <f t="shared" si="74"/>
        <v>45994.291199999992</v>
      </c>
      <c r="V96" s="36">
        <v>155.74</v>
      </c>
      <c r="W96" s="53">
        <f t="shared" si="64"/>
        <v>7163150.9114879994</v>
      </c>
      <c r="X96" s="45">
        <v>7388058.4000000004</v>
      </c>
      <c r="Y96" s="40">
        <v>41787</v>
      </c>
      <c r="Z96" s="48">
        <v>7714</v>
      </c>
      <c r="AA96" s="113"/>
    </row>
    <row r="97" spans="1:27" ht="19.5" customHeight="1">
      <c r="A97" s="35">
        <f t="shared" si="30"/>
        <v>92</v>
      </c>
      <c r="B97" s="36" t="s">
        <v>573</v>
      </c>
      <c r="C97" s="21" t="s">
        <v>535</v>
      </c>
      <c r="D97" s="21">
        <v>41789</v>
      </c>
      <c r="E97" s="26" t="s">
        <v>545</v>
      </c>
      <c r="F97" s="22" t="s">
        <v>278</v>
      </c>
      <c r="G97" s="22" t="s">
        <v>44</v>
      </c>
      <c r="H97" s="22" t="s">
        <v>45</v>
      </c>
      <c r="I97" s="37">
        <v>801.22</v>
      </c>
      <c r="J97" s="21">
        <v>41764</v>
      </c>
      <c r="K97" s="22" t="s">
        <v>562</v>
      </c>
      <c r="L97" s="22" t="s">
        <v>46</v>
      </c>
      <c r="M97" s="22" t="s">
        <v>90</v>
      </c>
      <c r="N97" s="20" t="s">
        <v>569</v>
      </c>
      <c r="O97" s="23">
        <v>899633</v>
      </c>
      <c r="P97" s="38">
        <f t="shared" ref="P97:P108" si="78">SUM(O97*R97)</f>
        <v>100128793.0468</v>
      </c>
      <c r="Q97" s="39" t="s">
        <v>32</v>
      </c>
      <c r="R97" s="8">
        <v>111.2996</v>
      </c>
      <c r="S97" s="40">
        <f t="shared" ref="S97:S106" si="79">SUM(J97)+89</f>
        <v>41853</v>
      </c>
      <c r="T97" s="22" t="s">
        <v>278</v>
      </c>
      <c r="U97" s="41">
        <f t="shared" si="74"/>
        <v>120154.55165615999</v>
      </c>
      <c r="V97" s="36">
        <v>155.72999999999999</v>
      </c>
      <c r="W97" s="38">
        <f t="shared" si="64"/>
        <v>18711668.329413794</v>
      </c>
      <c r="X97" s="70">
        <f t="shared" ref="X97:X106" si="80">W97</f>
        <v>18711668.329413794</v>
      </c>
      <c r="Y97" s="36"/>
      <c r="Z97" s="36"/>
      <c r="AA97" s="113"/>
    </row>
    <row r="98" spans="1:27" ht="19.5" customHeight="1">
      <c r="A98" s="35">
        <f t="shared" si="30"/>
        <v>93</v>
      </c>
      <c r="B98" s="36" t="s">
        <v>510</v>
      </c>
      <c r="C98" s="21" t="s">
        <v>536</v>
      </c>
      <c r="D98" s="21">
        <v>41789</v>
      </c>
      <c r="E98" s="26" t="s">
        <v>546</v>
      </c>
      <c r="F98" s="22" t="s">
        <v>278</v>
      </c>
      <c r="G98" s="22" t="s">
        <v>44</v>
      </c>
      <c r="H98" s="22" t="s">
        <v>133</v>
      </c>
      <c r="I98" s="37">
        <v>801.22</v>
      </c>
      <c r="J98" s="21">
        <v>41766</v>
      </c>
      <c r="K98" s="22" t="s">
        <v>143</v>
      </c>
      <c r="L98" s="22" t="s">
        <v>49</v>
      </c>
      <c r="M98" s="22" t="s">
        <v>287</v>
      </c>
      <c r="N98" s="20" t="s">
        <v>290</v>
      </c>
      <c r="O98" s="23">
        <v>46000</v>
      </c>
      <c r="P98" s="38">
        <f t="shared" si="78"/>
        <v>5082632</v>
      </c>
      <c r="Q98" s="39" t="s">
        <v>32</v>
      </c>
      <c r="R98" s="8">
        <v>110.492</v>
      </c>
      <c r="S98" s="40">
        <f t="shared" si="79"/>
        <v>41855</v>
      </c>
      <c r="T98" s="22" t="s">
        <v>278</v>
      </c>
      <c r="U98" s="41">
        <f t="shared" si="74"/>
        <v>6099.1583999999993</v>
      </c>
      <c r="V98" s="36">
        <v>155.72999999999999</v>
      </c>
      <c r="W98" s="38">
        <f t="shared" si="64"/>
        <v>949821.93763199984</v>
      </c>
      <c r="X98" s="70">
        <f t="shared" si="80"/>
        <v>949821.93763199984</v>
      </c>
      <c r="Y98" s="36"/>
      <c r="Z98" s="36"/>
      <c r="AA98" s="113"/>
    </row>
    <row r="99" spans="1:27" ht="19.5" customHeight="1">
      <c r="A99" s="35">
        <f t="shared" si="30"/>
        <v>94</v>
      </c>
      <c r="B99" s="36" t="s">
        <v>575</v>
      </c>
      <c r="C99" s="21" t="s">
        <v>537</v>
      </c>
      <c r="D99" s="21">
        <v>41789</v>
      </c>
      <c r="E99" s="26" t="s">
        <v>547</v>
      </c>
      <c r="F99" s="22" t="s">
        <v>278</v>
      </c>
      <c r="G99" s="22" t="s">
        <v>44</v>
      </c>
      <c r="H99" s="22" t="s">
        <v>133</v>
      </c>
      <c r="I99" s="37">
        <v>801.22</v>
      </c>
      <c r="J99" s="21">
        <v>41766</v>
      </c>
      <c r="K99" s="22" t="s">
        <v>143</v>
      </c>
      <c r="L99" s="22" t="s">
        <v>49</v>
      </c>
      <c r="M99" s="22" t="s">
        <v>287</v>
      </c>
      <c r="N99" s="20" t="s">
        <v>290</v>
      </c>
      <c r="O99" s="23">
        <v>42000</v>
      </c>
      <c r="P99" s="38">
        <f t="shared" si="78"/>
        <v>4640664</v>
      </c>
      <c r="Q99" s="39" t="s">
        <v>32</v>
      </c>
      <c r="R99" s="8">
        <v>110.492</v>
      </c>
      <c r="S99" s="40">
        <f t="shared" si="79"/>
        <v>41855</v>
      </c>
      <c r="T99" s="22" t="s">
        <v>278</v>
      </c>
      <c r="U99" s="41">
        <f t="shared" si="74"/>
        <v>5568.7967999999992</v>
      </c>
      <c r="V99" s="36">
        <v>155.72999999999999</v>
      </c>
      <c r="W99" s="38">
        <f t="shared" si="64"/>
        <v>867228.72566399979</v>
      </c>
      <c r="X99" s="70">
        <f t="shared" si="80"/>
        <v>867228.72566399979</v>
      </c>
      <c r="Y99" s="36"/>
      <c r="Z99" s="36"/>
      <c r="AA99" s="113"/>
    </row>
    <row r="100" spans="1:27" ht="19.5" customHeight="1">
      <c r="A100" s="35">
        <f t="shared" si="30"/>
        <v>95</v>
      </c>
      <c r="B100" s="36" t="s">
        <v>576</v>
      </c>
      <c r="C100" s="21" t="s">
        <v>538</v>
      </c>
      <c r="D100" s="21">
        <v>41789</v>
      </c>
      <c r="E100" s="26" t="s">
        <v>548</v>
      </c>
      <c r="F100" s="22" t="s">
        <v>278</v>
      </c>
      <c r="G100" s="22" t="s">
        <v>44</v>
      </c>
      <c r="H100" s="22" t="s">
        <v>133</v>
      </c>
      <c r="I100" s="37">
        <v>801.22</v>
      </c>
      <c r="J100" s="21">
        <v>41766</v>
      </c>
      <c r="K100" s="22" t="s">
        <v>143</v>
      </c>
      <c r="L100" s="22" t="s">
        <v>49</v>
      </c>
      <c r="M100" s="22" t="s">
        <v>287</v>
      </c>
      <c r="N100" s="20" t="s">
        <v>290</v>
      </c>
      <c r="O100" s="23">
        <v>78000</v>
      </c>
      <c r="P100" s="38">
        <f t="shared" si="78"/>
        <v>8618376</v>
      </c>
      <c r="Q100" s="39" t="s">
        <v>32</v>
      </c>
      <c r="R100" s="8">
        <v>110.492</v>
      </c>
      <c r="S100" s="40">
        <f t="shared" si="79"/>
        <v>41855</v>
      </c>
      <c r="T100" s="22" t="s">
        <v>278</v>
      </c>
      <c r="U100" s="41">
        <f t="shared" si="74"/>
        <v>10342.0512</v>
      </c>
      <c r="V100" s="36">
        <v>155.72999999999999</v>
      </c>
      <c r="W100" s="38">
        <f t="shared" si="64"/>
        <v>1610567.633376</v>
      </c>
      <c r="X100" s="70">
        <f t="shared" si="80"/>
        <v>1610567.633376</v>
      </c>
      <c r="Y100" s="36"/>
      <c r="Z100" s="36"/>
      <c r="AA100" s="113"/>
    </row>
    <row r="101" spans="1:27" ht="19.5" customHeight="1">
      <c r="A101" s="35">
        <f t="shared" si="30"/>
        <v>96</v>
      </c>
      <c r="B101" s="36" t="s">
        <v>577</v>
      </c>
      <c r="C101" s="21" t="s">
        <v>539</v>
      </c>
      <c r="D101" s="21">
        <v>41789</v>
      </c>
      <c r="E101" s="26" t="s">
        <v>549</v>
      </c>
      <c r="F101" s="22" t="s">
        <v>278</v>
      </c>
      <c r="G101" s="22" t="s">
        <v>44</v>
      </c>
      <c r="H101" s="22" t="s">
        <v>133</v>
      </c>
      <c r="I101" s="37">
        <v>801.22</v>
      </c>
      <c r="J101" s="21">
        <v>41766</v>
      </c>
      <c r="K101" s="22" t="s">
        <v>143</v>
      </c>
      <c r="L101" s="22" t="s">
        <v>49</v>
      </c>
      <c r="M101" s="22" t="s">
        <v>287</v>
      </c>
      <c r="N101" s="20" t="s">
        <v>290</v>
      </c>
      <c r="O101" s="23">
        <v>83641</v>
      </c>
      <c r="P101" s="38">
        <f t="shared" si="78"/>
        <v>9241661.3719999995</v>
      </c>
      <c r="Q101" s="39" t="s">
        <v>32</v>
      </c>
      <c r="R101" s="8">
        <v>110.492</v>
      </c>
      <c r="S101" s="40">
        <f t="shared" si="79"/>
        <v>41855</v>
      </c>
      <c r="T101" s="22" t="s">
        <v>278</v>
      </c>
      <c r="U101" s="41">
        <f t="shared" si="74"/>
        <v>11089.993646399998</v>
      </c>
      <c r="V101" s="36">
        <v>155.72999999999999</v>
      </c>
      <c r="W101" s="38">
        <f t="shared" si="64"/>
        <v>1727044.7105538717</v>
      </c>
      <c r="X101" s="70">
        <f t="shared" si="80"/>
        <v>1727044.7105538717</v>
      </c>
      <c r="Y101" s="36"/>
      <c r="Z101" s="36"/>
      <c r="AA101" s="113"/>
    </row>
    <row r="102" spans="1:27" ht="19.5" customHeight="1">
      <c r="A102" s="35">
        <f t="shared" si="30"/>
        <v>97</v>
      </c>
      <c r="B102" s="36" t="s">
        <v>589</v>
      </c>
      <c r="C102" s="21" t="s">
        <v>540</v>
      </c>
      <c r="D102" s="21">
        <v>41789</v>
      </c>
      <c r="E102" s="18" t="s">
        <v>550</v>
      </c>
      <c r="F102" s="22" t="s">
        <v>278</v>
      </c>
      <c r="G102" s="22" t="s">
        <v>44</v>
      </c>
      <c r="H102" s="22" t="s">
        <v>35</v>
      </c>
      <c r="I102" s="37">
        <v>801.22</v>
      </c>
      <c r="J102" s="21">
        <v>41770</v>
      </c>
      <c r="K102" s="22" t="s">
        <v>79</v>
      </c>
      <c r="L102" s="22" t="s">
        <v>36</v>
      </c>
      <c r="M102" s="22" t="s">
        <v>568</v>
      </c>
      <c r="N102" s="20" t="s">
        <v>51</v>
      </c>
      <c r="O102" s="23">
        <v>950065</v>
      </c>
      <c r="P102" s="38">
        <f t="shared" si="78"/>
        <v>105371709.14999999</v>
      </c>
      <c r="Q102" s="39" t="s">
        <v>32</v>
      </c>
      <c r="R102" s="8">
        <v>110.91</v>
      </c>
      <c r="S102" s="40">
        <f t="shared" si="79"/>
        <v>41859</v>
      </c>
      <c r="T102" s="22" t="s">
        <v>278</v>
      </c>
      <c r="U102" s="41">
        <f t="shared" si="74"/>
        <v>126446.05097999999</v>
      </c>
      <c r="V102" s="36">
        <v>155.72999999999999</v>
      </c>
      <c r="W102" s="38">
        <f t="shared" si="64"/>
        <v>19691443.519115396</v>
      </c>
      <c r="X102" s="70">
        <f t="shared" si="80"/>
        <v>19691443.519115396</v>
      </c>
      <c r="Y102" s="36"/>
      <c r="Z102" s="36"/>
      <c r="AA102" s="113"/>
    </row>
    <row r="103" spans="1:27" ht="19.5" customHeight="1">
      <c r="A103" s="35">
        <f t="shared" si="30"/>
        <v>98</v>
      </c>
      <c r="B103" s="36" t="s">
        <v>590</v>
      </c>
      <c r="C103" s="21" t="s">
        <v>541</v>
      </c>
      <c r="D103" s="21">
        <v>41789</v>
      </c>
      <c r="E103" s="18" t="s">
        <v>551</v>
      </c>
      <c r="F103" s="22" t="s">
        <v>278</v>
      </c>
      <c r="G103" s="22" t="s">
        <v>44</v>
      </c>
      <c r="H103" s="22" t="s">
        <v>29</v>
      </c>
      <c r="I103" s="37">
        <v>801.22</v>
      </c>
      <c r="J103" s="21">
        <v>41776</v>
      </c>
      <c r="K103" s="22" t="s">
        <v>564</v>
      </c>
      <c r="L103" s="22" t="s">
        <v>30</v>
      </c>
      <c r="M103" s="22" t="s">
        <v>54</v>
      </c>
      <c r="N103" s="20" t="s">
        <v>55</v>
      </c>
      <c r="O103" s="23">
        <v>548502</v>
      </c>
      <c r="P103" s="38">
        <f t="shared" si="78"/>
        <v>60799801.193999998</v>
      </c>
      <c r="Q103" s="39" t="s">
        <v>32</v>
      </c>
      <c r="R103" s="49">
        <v>110.84699999999999</v>
      </c>
      <c r="S103" s="40">
        <f t="shared" si="79"/>
        <v>41865</v>
      </c>
      <c r="T103" s="22" t="s">
        <v>278</v>
      </c>
      <c r="U103" s="41">
        <f t="shared" si="74"/>
        <v>72959.761432799991</v>
      </c>
      <c r="V103" s="36">
        <v>155.72999999999999</v>
      </c>
      <c r="W103" s="38">
        <f t="shared" si="64"/>
        <v>11362023.647929942</v>
      </c>
      <c r="X103" s="70">
        <f t="shared" si="80"/>
        <v>11362023.647929942</v>
      </c>
      <c r="Y103" s="36"/>
      <c r="Z103" s="36"/>
      <c r="AA103" s="113"/>
    </row>
    <row r="104" spans="1:27" ht="19.5" customHeight="1">
      <c r="A104" s="35">
        <f t="shared" si="30"/>
        <v>99</v>
      </c>
      <c r="B104" s="36" t="s">
        <v>591</v>
      </c>
      <c r="C104" s="21" t="s">
        <v>542</v>
      </c>
      <c r="D104" s="21">
        <v>41789</v>
      </c>
      <c r="E104" s="18" t="s">
        <v>552</v>
      </c>
      <c r="F104" s="22" t="s">
        <v>278</v>
      </c>
      <c r="G104" s="22" t="s">
        <v>44</v>
      </c>
      <c r="H104" s="22" t="s">
        <v>29</v>
      </c>
      <c r="I104" s="37">
        <v>801.22</v>
      </c>
      <c r="J104" s="21">
        <v>41776</v>
      </c>
      <c r="K104" s="22" t="s">
        <v>564</v>
      </c>
      <c r="L104" s="22" t="s">
        <v>30</v>
      </c>
      <c r="M104" s="22" t="s">
        <v>54</v>
      </c>
      <c r="N104" s="20" t="s">
        <v>55</v>
      </c>
      <c r="O104" s="23">
        <v>400000</v>
      </c>
      <c r="P104" s="38">
        <f t="shared" si="78"/>
        <v>44338800</v>
      </c>
      <c r="Q104" s="39" t="s">
        <v>32</v>
      </c>
      <c r="R104" s="49">
        <v>110.84699999999999</v>
      </c>
      <c r="S104" s="40">
        <f t="shared" si="79"/>
        <v>41865</v>
      </c>
      <c r="T104" s="22" t="s">
        <v>278</v>
      </c>
      <c r="U104" s="41">
        <f t="shared" si="74"/>
        <v>53206.559999999998</v>
      </c>
      <c r="V104" s="36">
        <v>155.72999999999999</v>
      </c>
      <c r="W104" s="38">
        <f t="shared" si="64"/>
        <v>8285857.5887999991</v>
      </c>
      <c r="X104" s="70">
        <f t="shared" si="80"/>
        <v>8285857.5887999991</v>
      </c>
      <c r="Y104" s="36"/>
      <c r="Z104" s="36"/>
      <c r="AA104" s="113"/>
    </row>
    <row r="105" spans="1:27" ht="20.25" customHeight="1">
      <c r="A105" s="35">
        <f t="shared" si="30"/>
        <v>100</v>
      </c>
      <c r="B105" s="36" t="s">
        <v>574</v>
      </c>
      <c r="C105" s="21" t="s">
        <v>543</v>
      </c>
      <c r="D105" s="21">
        <v>41789</v>
      </c>
      <c r="E105" s="26" t="s">
        <v>560</v>
      </c>
      <c r="F105" s="22" t="s">
        <v>278</v>
      </c>
      <c r="G105" s="22" t="s">
        <v>44</v>
      </c>
      <c r="H105" s="22" t="s">
        <v>45</v>
      </c>
      <c r="I105" s="37">
        <v>801.22</v>
      </c>
      <c r="J105" s="21">
        <v>41786</v>
      </c>
      <c r="K105" s="22" t="s">
        <v>566</v>
      </c>
      <c r="L105" s="22" t="s">
        <v>46</v>
      </c>
      <c r="M105" s="22" t="s">
        <v>90</v>
      </c>
      <c r="N105" s="20" t="s">
        <v>569</v>
      </c>
      <c r="O105" s="58">
        <v>899866</v>
      </c>
      <c r="P105" s="38">
        <f t="shared" si="78"/>
        <v>101288557.01360001</v>
      </c>
      <c r="Q105" s="39" t="s">
        <v>32</v>
      </c>
      <c r="R105" s="8">
        <v>112.5596</v>
      </c>
      <c r="S105" s="40">
        <f t="shared" si="79"/>
        <v>41875</v>
      </c>
      <c r="T105" s="22" t="s">
        <v>278</v>
      </c>
      <c r="U105" s="41">
        <f t="shared" si="74"/>
        <v>121546.26841632</v>
      </c>
      <c r="V105" s="36">
        <v>155.72999999999999</v>
      </c>
      <c r="W105" s="38">
        <f t="shared" si="64"/>
        <v>18928400.380473513</v>
      </c>
      <c r="X105" s="70">
        <f t="shared" si="80"/>
        <v>18928400.380473513</v>
      </c>
      <c r="Y105" s="36"/>
      <c r="Z105" s="36"/>
      <c r="AA105" s="113"/>
    </row>
    <row r="106" spans="1:27" ht="20.25" customHeight="1">
      <c r="A106" s="35">
        <f t="shared" si="30"/>
        <v>101</v>
      </c>
      <c r="B106" s="36" t="s">
        <v>587</v>
      </c>
      <c r="C106" s="21" t="s">
        <v>544</v>
      </c>
      <c r="D106" s="21">
        <v>41789</v>
      </c>
      <c r="E106" s="26" t="s">
        <v>561</v>
      </c>
      <c r="F106" s="22" t="s">
        <v>278</v>
      </c>
      <c r="G106" s="22" t="s">
        <v>44</v>
      </c>
      <c r="H106" s="22" t="s">
        <v>133</v>
      </c>
      <c r="I106" s="37">
        <v>801.22</v>
      </c>
      <c r="J106" s="21">
        <v>41788</v>
      </c>
      <c r="K106" s="22" t="s">
        <v>567</v>
      </c>
      <c r="L106" s="22" t="s">
        <v>49</v>
      </c>
      <c r="M106" s="22" t="s">
        <v>54</v>
      </c>
      <c r="N106" s="20" t="s">
        <v>86</v>
      </c>
      <c r="O106" s="71">
        <v>949623</v>
      </c>
      <c r="P106" s="53">
        <f t="shared" si="78"/>
        <v>106066241.73899999</v>
      </c>
      <c r="Q106" s="39" t="s">
        <v>32</v>
      </c>
      <c r="R106" s="49">
        <v>111.693</v>
      </c>
      <c r="S106" s="40">
        <f t="shared" si="79"/>
        <v>41877</v>
      </c>
      <c r="T106" s="22" t="s">
        <v>278</v>
      </c>
      <c r="U106" s="54">
        <f t="shared" si="74"/>
        <v>127279.49008679998</v>
      </c>
      <c r="V106" s="36">
        <v>155.72999999999999</v>
      </c>
      <c r="W106" s="53">
        <f t="shared" si="64"/>
        <v>19821234.99121736</v>
      </c>
      <c r="X106" s="70">
        <f t="shared" si="80"/>
        <v>19821234.99121736</v>
      </c>
      <c r="Y106" s="36"/>
      <c r="Z106" s="36"/>
      <c r="AA106" s="113"/>
    </row>
    <row r="107" spans="1:27" ht="19.5" customHeight="1">
      <c r="A107" s="35">
        <f t="shared" si="30"/>
        <v>102</v>
      </c>
      <c r="B107" s="36" t="s">
        <v>497</v>
      </c>
      <c r="C107" s="60" t="s">
        <v>595</v>
      </c>
      <c r="D107" s="21">
        <v>41801</v>
      </c>
      <c r="E107" s="27" t="s">
        <v>593</v>
      </c>
      <c r="F107" s="22" t="s">
        <v>130</v>
      </c>
      <c r="G107" s="22" t="s">
        <v>87</v>
      </c>
      <c r="H107" s="22" t="s">
        <v>133</v>
      </c>
      <c r="I107" s="37">
        <v>801.22</v>
      </c>
      <c r="J107" s="21">
        <v>41731</v>
      </c>
      <c r="K107" s="22" t="s">
        <v>423</v>
      </c>
      <c r="L107" s="22" t="s">
        <v>49</v>
      </c>
      <c r="M107" s="22" t="s">
        <v>69</v>
      </c>
      <c r="N107" s="20" t="s">
        <v>291</v>
      </c>
      <c r="O107" s="23">
        <v>110000</v>
      </c>
      <c r="P107" s="38">
        <f t="shared" si="78"/>
        <v>12059520</v>
      </c>
      <c r="Q107" s="39" t="s">
        <v>32</v>
      </c>
      <c r="R107" s="9">
        <v>109.63200000000001</v>
      </c>
      <c r="S107" s="40">
        <f>SUM(J107)+89</f>
        <v>41820</v>
      </c>
      <c r="T107" s="22" t="s">
        <v>144</v>
      </c>
      <c r="U107" s="41">
        <f t="shared" ref="U107:U170" si="81">SUM(P107*0.12%)</f>
        <v>14471.423999999999</v>
      </c>
      <c r="V107" s="36">
        <v>155.72999999999999</v>
      </c>
      <c r="W107" s="38">
        <f t="shared" si="64"/>
        <v>2253634.8595199995</v>
      </c>
      <c r="X107" s="45">
        <v>2253634.86</v>
      </c>
      <c r="Y107" s="40">
        <v>41800</v>
      </c>
      <c r="Z107" s="48">
        <v>29698</v>
      </c>
      <c r="AA107" s="113"/>
    </row>
    <row r="108" spans="1:27" ht="20.25" customHeight="1">
      <c r="A108" s="35">
        <f t="shared" si="30"/>
        <v>103</v>
      </c>
      <c r="B108" s="36" t="s">
        <v>508</v>
      </c>
      <c r="C108" s="60" t="s">
        <v>596</v>
      </c>
      <c r="D108" s="21">
        <v>41801</v>
      </c>
      <c r="E108" s="27" t="s">
        <v>594</v>
      </c>
      <c r="F108" s="22" t="s">
        <v>130</v>
      </c>
      <c r="G108" s="22" t="s">
        <v>87</v>
      </c>
      <c r="H108" s="22" t="s">
        <v>133</v>
      </c>
      <c r="I108" s="37">
        <v>801.22</v>
      </c>
      <c r="J108" s="21">
        <v>41747</v>
      </c>
      <c r="K108" s="22" t="s">
        <v>173</v>
      </c>
      <c r="L108" s="22" t="s">
        <v>49</v>
      </c>
      <c r="M108" s="22" t="s">
        <v>54</v>
      </c>
      <c r="N108" s="20" t="s">
        <v>86</v>
      </c>
      <c r="O108" s="58">
        <v>178000</v>
      </c>
      <c r="P108" s="38">
        <f t="shared" si="78"/>
        <v>19514496</v>
      </c>
      <c r="Q108" s="39" t="s">
        <v>32</v>
      </c>
      <c r="R108" s="9">
        <v>109.63200000000001</v>
      </c>
      <c r="S108" s="40">
        <f>SUM(J108)+89</f>
        <v>41836</v>
      </c>
      <c r="T108" s="22" t="s">
        <v>144</v>
      </c>
      <c r="U108" s="41">
        <f t="shared" si="81"/>
        <v>23417.395199999999</v>
      </c>
      <c r="V108" s="36">
        <v>155.72999999999999</v>
      </c>
      <c r="W108" s="38">
        <f t="shared" si="64"/>
        <v>3646790.9544959995</v>
      </c>
      <c r="X108" s="45">
        <v>3646790.95</v>
      </c>
      <c r="Y108" s="40">
        <v>41800</v>
      </c>
      <c r="Z108" s="48">
        <v>29699</v>
      </c>
      <c r="AA108" s="113"/>
    </row>
    <row r="109" spans="1:27" ht="22.5" customHeight="1">
      <c r="A109" s="35">
        <f t="shared" si="30"/>
        <v>104</v>
      </c>
      <c r="B109" s="36" t="s">
        <v>168</v>
      </c>
      <c r="C109" s="20" t="s">
        <v>597</v>
      </c>
      <c r="D109" s="19">
        <v>41803</v>
      </c>
      <c r="E109" s="26" t="s">
        <v>169</v>
      </c>
      <c r="F109" s="22" t="s">
        <v>163</v>
      </c>
      <c r="G109" s="22" t="s">
        <v>65</v>
      </c>
      <c r="H109" s="22" t="s">
        <v>133</v>
      </c>
      <c r="I109" s="37">
        <v>801.22</v>
      </c>
      <c r="J109" s="21">
        <v>41542</v>
      </c>
      <c r="K109" s="22" t="s">
        <v>115</v>
      </c>
      <c r="L109" s="22" t="s">
        <v>134</v>
      </c>
      <c r="M109" s="22" t="s">
        <v>41</v>
      </c>
      <c r="N109" s="20" t="s">
        <v>42</v>
      </c>
      <c r="O109" s="97">
        <v>123000</v>
      </c>
      <c r="P109" s="38">
        <f t="shared" ref="P109" si="82">SUM(O109*R109)</f>
        <v>13592853</v>
      </c>
      <c r="Q109" s="39" t="s">
        <v>32</v>
      </c>
      <c r="R109" s="8">
        <v>110.511</v>
      </c>
      <c r="S109" s="40">
        <f t="shared" ref="S109" si="83">SUM(J109)+89</f>
        <v>41631</v>
      </c>
      <c r="T109" s="36" t="s">
        <v>38</v>
      </c>
      <c r="U109" s="41">
        <f t="shared" si="81"/>
        <v>16311.423599999998</v>
      </c>
      <c r="V109" s="36">
        <v>155.75</v>
      </c>
      <c r="W109" s="38">
        <f t="shared" ref="W109" si="84">SUM(U109*V109)</f>
        <v>2540504.2256999998</v>
      </c>
      <c r="X109" s="45">
        <v>2635110.48</v>
      </c>
      <c r="Y109" s="40">
        <v>41603</v>
      </c>
      <c r="Z109" s="48">
        <v>8977</v>
      </c>
      <c r="AA109" s="113"/>
    </row>
    <row r="110" spans="1:27" ht="20.25" customHeight="1">
      <c r="A110" s="35">
        <f t="shared" ref="A110:A173" si="85">A109+1</f>
        <v>105</v>
      </c>
      <c r="B110" s="36" t="s">
        <v>588</v>
      </c>
      <c r="C110" s="44" t="s">
        <v>598</v>
      </c>
      <c r="D110" s="21">
        <v>41806</v>
      </c>
      <c r="E110" s="27" t="s">
        <v>592</v>
      </c>
      <c r="F110" s="22" t="s">
        <v>150</v>
      </c>
      <c r="G110" s="22" t="s">
        <v>279</v>
      </c>
      <c r="H110" s="22" t="s">
        <v>159</v>
      </c>
      <c r="I110" s="37">
        <v>801.22</v>
      </c>
      <c r="J110" s="21">
        <v>41768</v>
      </c>
      <c r="K110" s="22" t="s">
        <v>563</v>
      </c>
      <c r="L110" s="22" t="s">
        <v>160</v>
      </c>
      <c r="M110" s="22" t="s">
        <v>69</v>
      </c>
      <c r="N110" s="20" t="s">
        <v>570</v>
      </c>
      <c r="O110" s="23">
        <v>631195</v>
      </c>
      <c r="P110" s="38">
        <f t="shared" ref="P110" si="86">SUM(O110*R110)</f>
        <v>66642830.489999995</v>
      </c>
      <c r="Q110" s="39" t="s">
        <v>32</v>
      </c>
      <c r="R110" s="9">
        <v>105.58199999999999</v>
      </c>
      <c r="S110" s="40">
        <f t="shared" ref="S110" si="87">SUM(J110)+89</f>
        <v>41857</v>
      </c>
      <c r="T110" s="22" t="s">
        <v>163</v>
      </c>
      <c r="U110" s="41">
        <f t="shared" si="81"/>
        <v>79971.396587999989</v>
      </c>
      <c r="V110" s="36">
        <v>155.72999999999999</v>
      </c>
      <c r="W110" s="38">
        <f t="shared" ref="W110" si="88">SUM(U110*V110)</f>
        <v>12453945.590649238</v>
      </c>
      <c r="X110" s="45">
        <v>12453946.119999999</v>
      </c>
      <c r="Y110" s="40">
        <v>41803</v>
      </c>
      <c r="Z110" s="48">
        <v>4132</v>
      </c>
      <c r="AA110" s="113"/>
    </row>
    <row r="111" spans="1:27" ht="21" customHeight="1">
      <c r="A111" s="35">
        <f t="shared" si="85"/>
        <v>106</v>
      </c>
      <c r="B111" s="36" t="s">
        <v>237</v>
      </c>
      <c r="C111" s="20" t="s">
        <v>600</v>
      </c>
      <c r="D111" s="19">
        <v>41813</v>
      </c>
      <c r="E111" s="27" t="s">
        <v>599</v>
      </c>
      <c r="F111" s="22" t="s">
        <v>163</v>
      </c>
      <c r="G111" s="22" t="s">
        <v>65</v>
      </c>
      <c r="H111" s="22" t="s">
        <v>133</v>
      </c>
      <c r="I111" s="37">
        <v>801.22</v>
      </c>
      <c r="J111" s="21">
        <v>41615</v>
      </c>
      <c r="K111" s="22" t="s">
        <v>223</v>
      </c>
      <c r="L111" s="22" t="s">
        <v>49</v>
      </c>
      <c r="M111" s="22" t="s">
        <v>69</v>
      </c>
      <c r="N111" s="20" t="s">
        <v>70</v>
      </c>
      <c r="O111" s="23">
        <v>509000</v>
      </c>
      <c r="P111" s="38">
        <f t="shared" ref="P111:P124" si="89">SUM(O111*R111)</f>
        <v>56395673</v>
      </c>
      <c r="Q111" s="39" t="s">
        <v>32</v>
      </c>
      <c r="R111" s="9">
        <v>110.797</v>
      </c>
      <c r="S111" s="40">
        <f t="shared" ref="S111" si="90">SUM(J111)+89</f>
        <v>41704</v>
      </c>
      <c r="T111" s="36" t="s">
        <v>38</v>
      </c>
      <c r="U111" s="41">
        <f t="shared" si="81"/>
        <v>67674.8076</v>
      </c>
      <c r="V111" s="85">
        <v>155.69999999999999</v>
      </c>
      <c r="W111" s="38">
        <f t="shared" ref="W111" si="91">SUM(U111*V111)</f>
        <v>10536967.54332</v>
      </c>
      <c r="X111" s="45">
        <v>10829992.689999999</v>
      </c>
      <c r="Y111" s="40">
        <v>41787</v>
      </c>
      <c r="Z111" s="48">
        <v>7711</v>
      </c>
      <c r="AA111" s="113"/>
    </row>
    <row r="112" spans="1:27" ht="20.25" customHeight="1">
      <c r="A112" s="35">
        <f t="shared" si="85"/>
        <v>107</v>
      </c>
      <c r="B112" s="36" t="s">
        <v>512</v>
      </c>
      <c r="C112" s="21" t="s">
        <v>601</v>
      </c>
      <c r="D112" s="21">
        <v>41820</v>
      </c>
      <c r="E112" s="26" t="s">
        <v>489</v>
      </c>
      <c r="F112" s="22" t="s">
        <v>120</v>
      </c>
      <c r="G112" s="22" t="s">
        <v>28</v>
      </c>
      <c r="H112" s="22" t="s">
        <v>29</v>
      </c>
      <c r="I112" s="37">
        <v>801.22</v>
      </c>
      <c r="J112" s="21">
        <v>41754</v>
      </c>
      <c r="K112" s="22" t="s">
        <v>112</v>
      </c>
      <c r="L112" s="22" t="s">
        <v>30</v>
      </c>
      <c r="M112" s="22" t="s">
        <v>54</v>
      </c>
      <c r="N112" s="20" t="s">
        <v>55</v>
      </c>
      <c r="O112" s="58">
        <v>949194</v>
      </c>
      <c r="P112" s="38">
        <f t="shared" si="89"/>
        <v>103501062.954</v>
      </c>
      <c r="Q112" s="39" t="s">
        <v>32</v>
      </c>
      <c r="R112" s="49">
        <v>109.041</v>
      </c>
      <c r="S112" s="40">
        <f t="shared" ref="S112" si="92">SUM(J112)+89</f>
        <v>41843</v>
      </c>
      <c r="T112" s="22" t="s">
        <v>27</v>
      </c>
      <c r="U112" s="41">
        <f t="shared" si="81"/>
        <v>124201.27554479998</v>
      </c>
      <c r="V112" s="36">
        <v>155.72999999999999</v>
      </c>
      <c r="W112" s="38">
        <f t="shared" ref="W112" si="93">SUM(U112*V112)</f>
        <v>19341864.6405917</v>
      </c>
      <c r="X112" s="45">
        <v>19341865.329999998</v>
      </c>
      <c r="Y112" s="40">
        <v>41816</v>
      </c>
      <c r="Z112" s="48">
        <v>1518</v>
      </c>
      <c r="AA112" s="113"/>
    </row>
    <row r="113" spans="1:27" ht="19.5" customHeight="1">
      <c r="A113" s="35">
        <f t="shared" si="85"/>
        <v>108</v>
      </c>
      <c r="B113" s="36" t="s">
        <v>494</v>
      </c>
      <c r="C113" s="22" t="s">
        <v>602</v>
      </c>
      <c r="D113" s="21">
        <v>41820</v>
      </c>
      <c r="E113" s="26" t="s">
        <v>474</v>
      </c>
      <c r="F113" s="22" t="s">
        <v>39</v>
      </c>
      <c r="G113" s="22" t="s">
        <v>97</v>
      </c>
      <c r="H113" s="22" t="s">
        <v>133</v>
      </c>
      <c r="I113" s="37">
        <v>801.22</v>
      </c>
      <c r="J113" s="21">
        <v>41731</v>
      </c>
      <c r="K113" s="22" t="s">
        <v>423</v>
      </c>
      <c r="L113" s="22" t="s">
        <v>49</v>
      </c>
      <c r="M113" s="22" t="s">
        <v>69</v>
      </c>
      <c r="N113" s="20" t="s">
        <v>291</v>
      </c>
      <c r="O113" s="23">
        <v>24000</v>
      </c>
      <c r="P113" s="38">
        <f t="shared" si="89"/>
        <v>2626368</v>
      </c>
      <c r="Q113" s="39" t="s">
        <v>32</v>
      </c>
      <c r="R113" s="9">
        <v>109.432</v>
      </c>
      <c r="S113" s="40">
        <f t="shared" ref="S113:S117" si="94">SUM(J113)+89</f>
        <v>41820</v>
      </c>
      <c r="T113" s="20" t="s">
        <v>39</v>
      </c>
      <c r="U113" s="41">
        <f t="shared" si="81"/>
        <v>3151.6415999999999</v>
      </c>
      <c r="V113" s="36">
        <v>155.72999999999999</v>
      </c>
      <c r="W113" s="38">
        <f t="shared" ref="W113:W117" si="95">SUM(U113*V113)</f>
        <v>490805.14636799996</v>
      </c>
      <c r="X113" s="45">
        <v>490805.15</v>
      </c>
      <c r="Y113" s="40">
        <v>41820</v>
      </c>
      <c r="Z113" s="48">
        <v>3594</v>
      </c>
      <c r="AA113" s="113"/>
    </row>
    <row r="114" spans="1:27" ht="19.5" customHeight="1">
      <c r="A114" s="35">
        <f t="shared" si="85"/>
        <v>109</v>
      </c>
      <c r="B114" s="36" t="s">
        <v>495</v>
      </c>
      <c r="C114" s="22" t="s">
        <v>603</v>
      </c>
      <c r="D114" s="21">
        <v>41820</v>
      </c>
      <c r="E114" s="26" t="s">
        <v>475</v>
      </c>
      <c r="F114" s="22" t="s">
        <v>39</v>
      </c>
      <c r="G114" s="22" t="s">
        <v>97</v>
      </c>
      <c r="H114" s="22" t="s">
        <v>133</v>
      </c>
      <c r="I114" s="37">
        <v>801.22</v>
      </c>
      <c r="J114" s="21">
        <v>41731</v>
      </c>
      <c r="K114" s="22" t="s">
        <v>423</v>
      </c>
      <c r="L114" s="22" t="s">
        <v>49</v>
      </c>
      <c r="M114" s="22" t="s">
        <v>69</v>
      </c>
      <c r="N114" s="20" t="s">
        <v>291</v>
      </c>
      <c r="O114" s="23">
        <v>36000</v>
      </c>
      <c r="P114" s="38">
        <f t="shared" si="89"/>
        <v>3939552</v>
      </c>
      <c r="Q114" s="39" t="s">
        <v>32</v>
      </c>
      <c r="R114" s="9">
        <v>109.432</v>
      </c>
      <c r="S114" s="40">
        <f t="shared" si="94"/>
        <v>41820</v>
      </c>
      <c r="T114" s="20" t="s">
        <v>39</v>
      </c>
      <c r="U114" s="41">
        <f t="shared" si="81"/>
        <v>4727.4623999999994</v>
      </c>
      <c r="V114" s="36">
        <v>155.72999999999999</v>
      </c>
      <c r="W114" s="38">
        <f t="shared" si="95"/>
        <v>736207.71955199982</v>
      </c>
      <c r="X114" s="45">
        <v>736204.72</v>
      </c>
      <c r="Y114" s="40">
        <v>41820</v>
      </c>
      <c r="Z114" s="48">
        <v>3595</v>
      </c>
      <c r="AA114" s="113"/>
    </row>
    <row r="115" spans="1:27" ht="19.5" customHeight="1">
      <c r="A115" s="35">
        <f t="shared" si="85"/>
        <v>110</v>
      </c>
      <c r="B115" s="36" t="s">
        <v>496</v>
      </c>
      <c r="C115" s="22" t="s">
        <v>604</v>
      </c>
      <c r="D115" s="21">
        <v>41820</v>
      </c>
      <c r="E115" s="26" t="s">
        <v>476</v>
      </c>
      <c r="F115" s="22" t="s">
        <v>187</v>
      </c>
      <c r="G115" s="22" t="s">
        <v>97</v>
      </c>
      <c r="H115" s="22" t="s">
        <v>133</v>
      </c>
      <c r="I115" s="37">
        <v>801.22</v>
      </c>
      <c r="J115" s="21">
        <v>41731</v>
      </c>
      <c r="K115" s="22" t="s">
        <v>423</v>
      </c>
      <c r="L115" s="22" t="s">
        <v>49</v>
      </c>
      <c r="M115" s="22" t="s">
        <v>69</v>
      </c>
      <c r="N115" s="20" t="s">
        <v>291</v>
      </c>
      <c r="O115" s="23">
        <v>30000</v>
      </c>
      <c r="P115" s="38">
        <f t="shared" si="89"/>
        <v>3282960</v>
      </c>
      <c r="Q115" s="39" t="s">
        <v>32</v>
      </c>
      <c r="R115" s="9">
        <v>109.432</v>
      </c>
      <c r="S115" s="40">
        <f t="shared" si="94"/>
        <v>41820</v>
      </c>
      <c r="T115" s="20" t="s">
        <v>39</v>
      </c>
      <c r="U115" s="41">
        <f t="shared" si="81"/>
        <v>3939.5519999999997</v>
      </c>
      <c r="V115" s="36">
        <v>155.72999999999999</v>
      </c>
      <c r="W115" s="38">
        <f t="shared" si="95"/>
        <v>613506.43295999989</v>
      </c>
      <c r="X115" s="45">
        <v>613506.43000000005</v>
      </c>
      <c r="Y115" s="40">
        <v>41820</v>
      </c>
      <c r="Z115" s="48">
        <v>3596</v>
      </c>
      <c r="AA115" s="113"/>
    </row>
    <row r="116" spans="1:27" ht="20.25" customHeight="1">
      <c r="A116" s="35">
        <f t="shared" si="85"/>
        <v>111</v>
      </c>
      <c r="B116" s="36" t="s">
        <v>506</v>
      </c>
      <c r="C116" s="22" t="s">
        <v>605</v>
      </c>
      <c r="D116" s="21">
        <v>41820</v>
      </c>
      <c r="E116" s="26" t="s">
        <v>486</v>
      </c>
      <c r="F116" s="22" t="s">
        <v>39</v>
      </c>
      <c r="G116" s="22" t="s">
        <v>97</v>
      </c>
      <c r="H116" s="22" t="s">
        <v>133</v>
      </c>
      <c r="I116" s="37">
        <v>801.22</v>
      </c>
      <c r="J116" s="21">
        <v>41747</v>
      </c>
      <c r="K116" s="22" t="s">
        <v>173</v>
      </c>
      <c r="L116" s="22" t="s">
        <v>49</v>
      </c>
      <c r="M116" s="22" t="s">
        <v>54</v>
      </c>
      <c r="N116" s="20" t="s">
        <v>86</v>
      </c>
      <c r="O116" s="58">
        <v>25000</v>
      </c>
      <c r="P116" s="38">
        <f t="shared" si="89"/>
        <v>2778600</v>
      </c>
      <c r="Q116" s="39" t="s">
        <v>32</v>
      </c>
      <c r="R116" s="9">
        <v>111.14400000000001</v>
      </c>
      <c r="S116" s="40">
        <f t="shared" si="94"/>
        <v>41836</v>
      </c>
      <c r="T116" s="20" t="s">
        <v>39</v>
      </c>
      <c r="U116" s="41">
        <f t="shared" si="81"/>
        <v>3334.3199999999997</v>
      </c>
      <c r="V116" s="36">
        <v>155.72999999999999</v>
      </c>
      <c r="W116" s="38">
        <f t="shared" si="95"/>
        <v>519253.6535999999</v>
      </c>
      <c r="X116" s="45">
        <v>519253.65</v>
      </c>
      <c r="Y116" s="40">
        <v>41820</v>
      </c>
      <c r="Z116" s="48">
        <v>3597</v>
      </c>
      <c r="AA116" s="113"/>
    </row>
    <row r="117" spans="1:27" ht="20.25" customHeight="1">
      <c r="A117" s="35">
        <f t="shared" si="85"/>
        <v>112</v>
      </c>
      <c r="B117" s="36" t="s">
        <v>507</v>
      </c>
      <c r="C117" s="22" t="s">
        <v>606</v>
      </c>
      <c r="D117" s="21">
        <v>41820</v>
      </c>
      <c r="E117" s="26" t="s">
        <v>487</v>
      </c>
      <c r="F117" s="22" t="s">
        <v>187</v>
      </c>
      <c r="G117" s="22" t="s">
        <v>97</v>
      </c>
      <c r="H117" s="22" t="s">
        <v>133</v>
      </c>
      <c r="I117" s="37">
        <v>801.22</v>
      </c>
      <c r="J117" s="21">
        <v>41747</v>
      </c>
      <c r="K117" s="22" t="s">
        <v>173</v>
      </c>
      <c r="L117" s="22" t="s">
        <v>49</v>
      </c>
      <c r="M117" s="22" t="s">
        <v>54</v>
      </c>
      <c r="N117" s="20" t="s">
        <v>86</v>
      </c>
      <c r="O117" s="58">
        <v>37000</v>
      </c>
      <c r="P117" s="38">
        <f t="shared" si="89"/>
        <v>4112328</v>
      </c>
      <c r="Q117" s="39" t="s">
        <v>32</v>
      </c>
      <c r="R117" s="9">
        <v>111.14400000000001</v>
      </c>
      <c r="S117" s="40">
        <f t="shared" si="94"/>
        <v>41836</v>
      </c>
      <c r="T117" s="20" t="s">
        <v>39</v>
      </c>
      <c r="U117" s="41">
        <f t="shared" si="81"/>
        <v>4934.7936</v>
      </c>
      <c r="V117" s="36">
        <v>155.72999999999999</v>
      </c>
      <c r="W117" s="38">
        <f t="shared" si="95"/>
        <v>768495.40732799994</v>
      </c>
      <c r="X117" s="45">
        <v>768495.41</v>
      </c>
      <c r="Y117" s="40">
        <v>41820</v>
      </c>
      <c r="Z117" s="48">
        <v>3599</v>
      </c>
      <c r="AA117" s="113"/>
    </row>
    <row r="118" spans="1:27" ht="19.5" customHeight="1">
      <c r="A118" s="35">
        <f t="shared" si="85"/>
        <v>113</v>
      </c>
      <c r="B118" s="36" t="s">
        <v>650</v>
      </c>
      <c r="C118" s="21" t="s">
        <v>607</v>
      </c>
      <c r="D118" s="19">
        <v>41820</v>
      </c>
      <c r="E118" s="18" t="s">
        <v>618</v>
      </c>
      <c r="F118" s="22" t="s">
        <v>278</v>
      </c>
      <c r="G118" s="22" t="s">
        <v>44</v>
      </c>
      <c r="H118" s="22" t="s">
        <v>133</v>
      </c>
      <c r="I118" s="37">
        <v>801.22</v>
      </c>
      <c r="J118" s="19">
        <v>41799</v>
      </c>
      <c r="K118" s="51" t="s">
        <v>96</v>
      </c>
      <c r="L118" s="74" t="s">
        <v>49</v>
      </c>
      <c r="M118" s="22" t="s">
        <v>77</v>
      </c>
      <c r="N118" s="20" t="s">
        <v>103</v>
      </c>
      <c r="O118" s="57">
        <v>399733</v>
      </c>
      <c r="P118" s="38">
        <f t="shared" si="89"/>
        <v>44673360.614</v>
      </c>
      <c r="Q118" s="39" t="s">
        <v>32</v>
      </c>
      <c r="R118" s="49">
        <v>111.758</v>
      </c>
      <c r="S118" s="40">
        <f t="shared" ref="S118:S124" si="96">SUM(J118)+89</f>
        <v>41888</v>
      </c>
      <c r="T118" s="22" t="s">
        <v>278</v>
      </c>
      <c r="U118" s="54">
        <f t="shared" si="81"/>
        <v>53608.032736799993</v>
      </c>
      <c r="V118" s="36">
        <v>155.72999999999999</v>
      </c>
      <c r="W118" s="38">
        <f t="shared" ref="W118:W124" si="97">SUM(U118*V118)</f>
        <v>8348378.9381018626</v>
      </c>
      <c r="X118" s="70">
        <f t="shared" ref="X118:X124" si="98">W118</f>
        <v>8348378.9381018626</v>
      </c>
      <c r="Y118" s="36"/>
      <c r="Z118" s="36"/>
      <c r="AA118" s="113"/>
    </row>
    <row r="119" spans="1:27" ht="19.5" customHeight="1">
      <c r="A119" s="35">
        <f t="shared" si="85"/>
        <v>114</v>
      </c>
      <c r="B119" s="36" t="s">
        <v>651</v>
      </c>
      <c r="C119" s="21" t="s">
        <v>608</v>
      </c>
      <c r="D119" s="19">
        <v>41820</v>
      </c>
      <c r="E119" s="18" t="s">
        <v>619</v>
      </c>
      <c r="F119" s="22" t="s">
        <v>278</v>
      </c>
      <c r="G119" s="22" t="s">
        <v>44</v>
      </c>
      <c r="H119" s="22" t="s">
        <v>133</v>
      </c>
      <c r="I119" s="37">
        <v>801.22</v>
      </c>
      <c r="J119" s="19">
        <v>41802</v>
      </c>
      <c r="K119" s="51" t="s">
        <v>364</v>
      </c>
      <c r="L119" s="74" t="s">
        <v>49</v>
      </c>
      <c r="M119" s="22" t="s">
        <v>50</v>
      </c>
      <c r="N119" s="20" t="s">
        <v>76</v>
      </c>
      <c r="O119" s="57">
        <v>949823</v>
      </c>
      <c r="P119" s="38">
        <f t="shared" si="89"/>
        <v>107770716.87199999</v>
      </c>
      <c r="Q119" s="39" t="s">
        <v>32</v>
      </c>
      <c r="R119" s="49">
        <v>113.464</v>
      </c>
      <c r="S119" s="40">
        <f t="shared" si="96"/>
        <v>41891</v>
      </c>
      <c r="T119" s="22" t="s">
        <v>278</v>
      </c>
      <c r="U119" s="54">
        <f t="shared" si="81"/>
        <v>129324.86024639999</v>
      </c>
      <c r="V119" s="36">
        <v>155.72999999999999</v>
      </c>
      <c r="W119" s="38">
        <f t="shared" si="97"/>
        <v>20139760.486171868</v>
      </c>
      <c r="X119" s="70">
        <f t="shared" si="98"/>
        <v>20139760.486171868</v>
      </c>
      <c r="Y119" s="36"/>
      <c r="Z119" s="36"/>
      <c r="AA119" s="113"/>
    </row>
    <row r="120" spans="1:27" ht="19.5" customHeight="1">
      <c r="A120" s="35">
        <f t="shared" si="85"/>
        <v>115</v>
      </c>
      <c r="B120" s="36" t="s">
        <v>638</v>
      </c>
      <c r="C120" s="21" t="s">
        <v>609</v>
      </c>
      <c r="D120" s="19">
        <v>41820</v>
      </c>
      <c r="E120" s="27" t="s">
        <v>620</v>
      </c>
      <c r="F120" s="22" t="s">
        <v>278</v>
      </c>
      <c r="G120" s="51" t="s">
        <v>44</v>
      </c>
      <c r="H120" s="22" t="s">
        <v>35</v>
      </c>
      <c r="I120" s="37">
        <v>801.22</v>
      </c>
      <c r="J120" s="19">
        <v>41807</v>
      </c>
      <c r="K120" s="51" t="s">
        <v>89</v>
      </c>
      <c r="L120" s="51" t="s">
        <v>36</v>
      </c>
      <c r="M120" s="22" t="s">
        <v>69</v>
      </c>
      <c r="N120" s="20" t="s">
        <v>70</v>
      </c>
      <c r="O120" s="57">
        <v>950330</v>
      </c>
      <c r="P120" s="38">
        <f t="shared" si="89"/>
        <v>110929169.91</v>
      </c>
      <c r="Q120" s="39" t="s">
        <v>32</v>
      </c>
      <c r="R120" s="49">
        <v>116.727</v>
      </c>
      <c r="S120" s="40">
        <f t="shared" si="96"/>
        <v>41896</v>
      </c>
      <c r="T120" s="22" t="s">
        <v>278</v>
      </c>
      <c r="U120" s="54">
        <f t="shared" si="81"/>
        <v>133115.00389199998</v>
      </c>
      <c r="V120" s="36">
        <v>155.72999999999999</v>
      </c>
      <c r="W120" s="38">
        <f t="shared" si="97"/>
        <v>20729999.556101155</v>
      </c>
      <c r="X120" s="70">
        <f t="shared" si="98"/>
        <v>20729999.556101155</v>
      </c>
      <c r="Y120" s="36"/>
      <c r="Z120" s="36"/>
      <c r="AA120" s="113"/>
    </row>
    <row r="121" spans="1:27" ht="19.5" customHeight="1">
      <c r="A121" s="35">
        <f t="shared" si="85"/>
        <v>116</v>
      </c>
      <c r="B121" s="36" t="s">
        <v>652</v>
      </c>
      <c r="C121" s="21" t="s">
        <v>610</v>
      </c>
      <c r="D121" s="19">
        <v>41820</v>
      </c>
      <c r="E121" s="27" t="s">
        <v>621</v>
      </c>
      <c r="F121" s="22" t="s">
        <v>278</v>
      </c>
      <c r="G121" s="51" t="s">
        <v>44</v>
      </c>
      <c r="H121" s="22" t="s">
        <v>45</v>
      </c>
      <c r="I121" s="37">
        <v>801.22</v>
      </c>
      <c r="J121" s="19">
        <v>41809</v>
      </c>
      <c r="K121" s="51" t="s">
        <v>633</v>
      </c>
      <c r="L121" s="51" t="s">
        <v>46</v>
      </c>
      <c r="M121" s="22" t="s">
        <v>74</v>
      </c>
      <c r="N121" s="20" t="s">
        <v>425</v>
      </c>
      <c r="O121" s="57">
        <v>899955</v>
      </c>
      <c r="P121" s="38">
        <f t="shared" si="89"/>
        <v>105461226.675</v>
      </c>
      <c r="Q121" s="39" t="s">
        <v>32</v>
      </c>
      <c r="R121" s="49">
        <v>117.185</v>
      </c>
      <c r="S121" s="40">
        <f t="shared" si="96"/>
        <v>41898</v>
      </c>
      <c r="T121" s="22" t="s">
        <v>278</v>
      </c>
      <c r="U121" s="54">
        <f t="shared" si="81"/>
        <v>126553.47200999998</v>
      </c>
      <c r="V121" s="36">
        <v>155.72999999999999</v>
      </c>
      <c r="W121" s="38">
        <f t="shared" si="97"/>
        <v>19708172.196117297</v>
      </c>
      <c r="X121" s="70">
        <f t="shared" si="98"/>
        <v>19708172.196117297</v>
      </c>
      <c r="Y121" s="36"/>
      <c r="Z121" s="36"/>
      <c r="AA121" s="113"/>
    </row>
    <row r="122" spans="1:27" ht="19.5" customHeight="1">
      <c r="A122" s="35">
        <f t="shared" si="85"/>
        <v>117</v>
      </c>
      <c r="B122" s="36" t="s">
        <v>642</v>
      </c>
      <c r="C122" s="21" t="s">
        <v>611</v>
      </c>
      <c r="D122" s="19">
        <v>41820</v>
      </c>
      <c r="E122" s="27" t="s">
        <v>627</v>
      </c>
      <c r="F122" s="22" t="s">
        <v>278</v>
      </c>
      <c r="G122" s="22" t="s">
        <v>44</v>
      </c>
      <c r="H122" s="22" t="s">
        <v>29</v>
      </c>
      <c r="I122" s="37">
        <v>801.22</v>
      </c>
      <c r="J122" s="19">
        <v>41813</v>
      </c>
      <c r="K122" s="51" t="s">
        <v>635</v>
      </c>
      <c r="L122" s="51" t="s">
        <v>30</v>
      </c>
      <c r="M122" s="22" t="s">
        <v>54</v>
      </c>
      <c r="N122" s="20" t="s">
        <v>55</v>
      </c>
      <c r="O122" s="57">
        <v>507077</v>
      </c>
      <c r="P122" s="38">
        <f t="shared" si="89"/>
        <v>57594819.813999996</v>
      </c>
      <c r="Q122" s="39" t="s">
        <v>32</v>
      </c>
      <c r="R122" s="76">
        <v>113.58199999999999</v>
      </c>
      <c r="S122" s="40">
        <f t="shared" si="96"/>
        <v>41902</v>
      </c>
      <c r="T122" s="22" t="s">
        <v>278</v>
      </c>
      <c r="U122" s="54">
        <f t="shared" si="81"/>
        <v>69113.783776799988</v>
      </c>
      <c r="V122" s="36">
        <v>155.72999999999999</v>
      </c>
      <c r="W122" s="38">
        <f t="shared" si="97"/>
        <v>10763089.547561061</v>
      </c>
      <c r="X122" s="70">
        <f t="shared" si="98"/>
        <v>10763089.547561061</v>
      </c>
      <c r="Y122" s="36"/>
      <c r="Z122" s="36"/>
      <c r="AA122" s="113"/>
    </row>
    <row r="123" spans="1:27" ht="19.5" customHeight="1">
      <c r="A123" s="35">
        <f t="shared" si="85"/>
        <v>118</v>
      </c>
      <c r="B123" s="36" t="s">
        <v>643</v>
      </c>
      <c r="C123" s="21" t="s">
        <v>612</v>
      </c>
      <c r="D123" s="19">
        <v>41820</v>
      </c>
      <c r="E123" s="27" t="s">
        <v>628</v>
      </c>
      <c r="F123" s="22" t="s">
        <v>278</v>
      </c>
      <c r="G123" s="22" t="s">
        <v>44</v>
      </c>
      <c r="H123" s="22" t="s">
        <v>29</v>
      </c>
      <c r="I123" s="37">
        <v>801.22</v>
      </c>
      <c r="J123" s="19">
        <v>41813</v>
      </c>
      <c r="K123" s="51" t="s">
        <v>635</v>
      </c>
      <c r="L123" s="51" t="s">
        <v>30</v>
      </c>
      <c r="M123" s="22" t="s">
        <v>54</v>
      </c>
      <c r="N123" s="20" t="s">
        <v>55</v>
      </c>
      <c r="O123" s="57">
        <v>30000</v>
      </c>
      <c r="P123" s="38">
        <f t="shared" si="89"/>
        <v>3407460</v>
      </c>
      <c r="Q123" s="39" t="s">
        <v>32</v>
      </c>
      <c r="R123" s="76">
        <v>113.58199999999999</v>
      </c>
      <c r="S123" s="40">
        <f t="shared" si="96"/>
        <v>41902</v>
      </c>
      <c r="T123" s="22" t="s">
        <v>278</v>
      </c>
      <c r="U123" s="54">
        <f t="shared" si="81"/>
        <v>4088.9519999999998</v>
      </c>
      <c r="V123" s="36">
        <v>155.72999999999999</v>
      </c>
      <c r="W123" s="38">
        <f t="shared" si="97"/>
        <v>636772.49495999992</v>
      </c>
      <c r="X123" s="70">
        <f t="shared" si="98"/>
        <v>636772.49495999992</v>
      </c>
      <c r="Y123" s="36"/>
      <c r="Z123" s="36"/>
      <c r="AA123" s="113"/>
    </row>
    <row r="124" spans="1:27" ht="21" customHeight="1">
      <c r="A124" s="35">
        <f t="shared" si="85"/>
        <v>119</v>
      </c>
      <c r="B124" s="36" t="s">
        <v>644</v>
      </c>
      <c r="C124" s="21" t="s">
        <v>613</v>
      </c>
      <c r="D124" s="19">
        <v>41820</v>
      </c>
      <c r="E124" s="27" t="s">
        <v>629</v>
      </c>
      <c r="F124" s="22" t="s">
        <v>278</v>
      </c>
      <c r="G124" s="22" t="s">
        <v>44</v>
      </c>
      <c r="H124" s="22" t="s">
        <v>29</v>
      </c>
      <c r="I124" s="37">
        <v>801.22</v>
      </c>
      <c r="J124" s="19">
        <v>41813</v>
      </c>
      <c r="K124" s="51" t="s">
        <v>635</v>
      </c>
      <c r="L124" s="51" t="s">
        <v>30</v>
      </c>
      <c r="M124" s="22" t="s">
        <v>54</v>
      </c>
      <c r="N124" s="20" t="s">
        <v>55</v>
      </c>
      <c r="O124" s="57">
        <v>400000</v>
      </c>
      <c r="P124" s="38">
        <f t="shared" si="89"/>
        <v>45432800</v>
      </c>
      <c r="Q124" s="39" t="s">
        <v>32</v>
      </c>
      <c r="R124" s="76">
        <v>113.58199999999999</v>
      </c>
      <c r="S124" s="40">
        <f t="shared" si="96"/>
        <v>41902</v>
      </c>
      <c r="T124" s="22" t="s">
        <v>278</v>
      </c>
      <c r="U124" s="54">
        <f t="shared" si="81"/>
        <v>54519.359999999993</v>
      </c>
      <c r="V124" s="36">
        <v>155.72999999999999</v>
      </c>
      <c r="W124" s="38">
        <f t="shared" si="97"/>
        <v>8490299.9327999987</v>
      </c>
      <c r="X124" s="70">
        <f t="shared" si="98"/>
        <v>8490299.9327999987</v>
      </c>
      <c r="Y124" s="36"/>
      <c r="Z124" s="36"/>
      <c r="AA124" s="113"/>
    </row>
    <row r="125" spans="1:27" ht="20.25" customHeight="1">
      <c r="A125" s="35">
        <f t="shared" si="85"/>
        <v>120</v>
      </c>
      <c r="B125" s="36" t="s">
        <v>344</v>
      </c>
      <c r="C125" s="22" t="s">
        <v>663</v>
      </c>
      <c r="D125" s="21">
        <v>41835</v>
      </c>
      <c r="E125" s="17">
        <v>201400010025</v>
      </c>
      <c r="F125" s="20" t="s">
        <v>120</v>
      </c>
      <c r="G125" s="20" t="s">
        <v>47</v>
      </c>
      <c r="H125" s="20" t="s">
        <v>133</v>
      </c>
      <c r="I125" s="37">
        <v>801.22</v>
      </c>
      <c r="J125" s="21">
        <v>41677</v>
      </c>
      <c r="K125" s="22" t="s">
        <v>335</v>
      </c>
      <c r="L125" s="22" t="s">
        <v>49</v>
      </c>
      <c r="M125" s="22" t="s">
        <v>37</v>
      </c>
      <c r="N125" s="22" t="s">
        <v>336</v>
      </c>
      <c r="O125" s="23">
        <v>90000</v>
      </c>
      <c r="P125" s="38">
        <f t="shared" ref="P125" si="99">SUM(O125*R125)</f>
        <v>9915300</v>
      </c>
      <c r="Q125" s="39" t="s">
        <v>32</v>
      </c>
      <c r="R125" s="9">
        <v>110.17</v>
      </c>
      <c r="S125" s="40">
        <f t="shared" ref="S125" si="100">SUM(J125)+89</f>
        <v>41766</v>
      </c>
      <c r="T125" s="20" t="s">
        <v>38</v>
      </c>
      <c r="U125" s="41">
        <f t="shared" si="81"/>
        <v>11898.359999999999</v>
      </c>
      <c r="V125" s="36">
        <v>155.75</v>
      </c>
      <c r="W125" s="38">
        <f t="shared" ref="W125" si="101">SUM(U125*V125)</f>
        <v>1853169.5699999998</v>
      </c>
      <c r="X125" s="45">
        <v>1841271.21</v>
      </c>
      <c r="Y125" s="40">
        <v>41817</v>
      </c>
      <c r="Z125" s="48">
        <v>11210</v>
      </c>
      <c r="AA125" s="113"/>
    </row>
    <row r="126" spans="1:27" ht="16.5">
      <c r="A126" s="35">
        <f t="shared" si="85"/>
        <v>121</v>
      </c>
      <c r="B126" s="36" t="s">
        <v>345</v>
      </c>
      <c r="C126" s="20" t="s">
        <v>661</v>
      </c>
      <c r="D126" s="21">
        <v>41835</v>
      </c>
      <c r="E126" s="18">
        <v>201400010026</v>
      </c>
      <c r="F126" s="20" t="s">
        <v>120</v>
      </c>
      <c r="G126" s="20" t="s">
        <v>53</v>
      </c>
      <c r="H126" s="20" t="s">
        <v>133</v>
      </c>
      <c r="I126" s="37">
        <v>801.22</v>
      </c>
      <c r="J126" s="21">
        <v>41677</v>
      </c>
      <c r="K126" s="22" t="s">
        <v>335</v>
      </c>
      <c r="L126" s="22" t="s">
        <v>49</v>
      </c>
      <c r="M126" s="22" t="s">
        <v>37</v>
      </c>
      <c r="N126" s="22" t="s">
        <v>336</v>
      </c>
      <c r="O126" s="23">
        <v>104779</v>
      </c>
      <c r="P126" s="38">
        <f t="shared" ref="P126:P128" si="102">SUM(O126*R126)</f>
        <v>11579525.450200001</v>
      </c>
      <c r="Q126" s="39" t="s">
        <v>32</v>
      </c>
      <c r="R126" s="9">
        <v>110.5138</v>
      </c>
      <c r="S126" s="40">
        <f t="shared" ref="S126:S131" si="103">SUM(J126)+89</f>
        <v>41766</v>
      </c>
      <c r="T126" s="20" t="s">
        <v>38</v>
      </c>
      <c r="U126" s="41">
        <f t="shared" si="81"/>
        <v>13895.43054024</v>
      </c>
      <c r="V126" s="36">
        <v>155.75</v>
      </c>
      <c r="W126" s="38">
        <f t="shared" ref="W126:W131" si="104">SUM(U126*V126)</f>
        <v>2164213.3066423801</v>
      </c>
      <c r="X126" s="45">
        <v>2150317.79</v>
      </c>
      <c r="Y126" s="40">
        <v>41817</v>
      </c>
      <c r="Z126" s="48">
        <v>11206</v>
      </c>
      <c r="AA126" s="113"/>
    </row>
    <row r="127" spans="1:27" ht="18.75" customHeight="1">
      <c r="A127" s="35">
        <f t="shared" si="85"/>
        <v>122</v>
      </c>
      <c r="B127" s="36" t="s">
        <v>429</v>
      </c>
      <c r="C127" s="22" t="s">
        <v>664</v>
      </c>
      <c r="D127" s="21">
        <v>41835</v>
      </c>
      <c r="E127" s="27" t="s">
        <v>410</v>
      </c>
      <c r="F127" s="22" t="s">
        <v>120</v>
      </c>
      <c r="G127" s="22" t="s">
        <v>47</v>
      </c>
      <c r="H127" s="22" t="s">
        <v>133</v>
      </c>
      <c r="I127" s="37">
        <v>801.22</v>
      </c>
      <c r="J127" s="19">
        <v>41703</v>
      </c>
      <c r="K127" s="51" t="s">
        <v>107</v>
      </c>
      <c r="L127" s="51" t="s">
        <v>49</v>
      </c>
      <c r="M127" s="22" t="s">
        <v>41</v>
      </c>
      <c r="N127" s="20" t="s">
        <v>42</v>
      </c>
      <c r="O127" s="57">
        <v>80000</v>
      </c>
      <c r="P127" s="53">
        <f t="shared" si="102"/>
        <v>8711920</v>
      </c>
      <c r="Q127" s="39" t="s">
        <v>32</v>
      </c>
      <c r="R127" s="9">
        <v>108.899</v>
      </c>
      <c r="S127" s="40">
        <f t="shared" si="103"/>
        <v>41792</v>
      </c>
      <c r="T127" s="20" t="s">
        <v>38</v>
      </c>
      <c r="U127" s="54">
        <f t="shared" si="81"/>
        <v>10454.303999999998</v>
      </c>
      <c r="V127" s="36">
        <v>155.74</v>
      </c>
      <c r="W127" s="53">
        <f t="shared" si="104"/>
        <v>1628153.3049599999</v>
      </c>
      <c r="X127" s="45">
        <v>1617802.93</v>
      </c>
      <c r="Y127" s="40">
        <v>41817</v>
      </c>
      <c r="Z127" s="48">
        <v>11212</v>
      </c>
      <c r="AA127" s="113"/>
    </row>
    <row r="128" spans="1:27" ht="18.75" customHeight="1">
      <c r="A128" s="35">
        <f t="shared" si="85"/>
        <v>123</v>
      </c>
      <c r="B128" s="36" t="s">
        <v>430</v>
      </c>
      <c r="C128" s="20" t="s">
        <v>662</v>
      </c>
      <c r="D128" s="21">
        <v>41835</v>
      </c>
      <c r="E128" s="26" t="s">
        <v>411</v>
      </c>
      <c r="F128" s="22" t="s">
        <v>120</v>
      </c>
      <c r="G128" s="22" t="s">
        <v>53</v>
      </c>
      <c r="H128" s="22" t="s">
        <v>133</v>
      </c>
      <c r="I128" s="37">
        <v>801.22</v>
      </c>
      <c r="J128" s="21">
        <v>41703</v>
      </c>
      <c r="K128" s="22" t="s">
        <v>107</v>
      </c>
      <c r="L128" s="22" t="s">
        <v>49</v>
      </c>
      <c r="M128" s="22" t="s">
        <v>41</v>
      </c>
      <c r="N128" s="20" t="s">
        <v>42</v>
      </c>
      <c r="O128" s="23">
        <v>377938</v>
      </c>
      <c r="P128" s="38">
        <f t="shared" si="102"/>
        <v>41460478.888400003</v>
      </c>
      <c r="Q128" s="39" t="s">
        <v>32</v>
      </c>
      <c r="R128" s="9">
        <v>109.70180000000001</v>
      </c>
      <c r="S128" s="40">
        <f t="shared" si="103"/>
        <v>41792</v>
      </c>
      <c r="T128" s="20" t="s">
        <v>38</v>
      </c>
      <c r="U128" s="41">
        <f t="shared" si="81"/>
        <v>49752.57466608</v>
      </c>
      <c r="V128" s="36">
        <v>155.74</v>
      </c>
      <c r="W128" s="38">
        <f t="shared" si="104"/>
        <v>7748465.9784952998</v>
      </c>
      <c r="X128" s="45">
        <v>7699210.21</v>
      </c>
      <c r="Y128" s="40">
        <v>41817</v>
      </c>
      <c r="Z128" s="48">
        <v>11207</v>
      </c>
      <c r="AA128" s="113"/>
    </row>
    <row r="129" spans="1:27" ht="18.75" customHeight="1">
      <c r="A129" s="35">
        <f t="shared" si="85"/>
        <v>124</v>
      </c>
      <c r="B129" s="36" t="s">
        <v>433</v>
      </c>
      <c r="C129" s="22" t="s">
        <v>665</v>
      </c>
      <c r="D129" s="21">
        <v>41835</v>
      </c>
      <c r="E129" s="27" t="s">
        <v>443</v>
      </c>
      <c r="F129" s="22" t="s">
        <v>120</v>
      </c>
      <c r="G129" s="22" t="s">
        <v>47</v>
      </c>
      <c r="H129" s="22" t="s">
        <v>133</v>
      </c>
      <c r="I129" s="37">
        <v>801.22</v>
      </c>
      <c r="J129" s="21">
        <v>41729</v>
      </c>
      <c r="K129" s="22" t="s">
        <v>423</v>
      </c>
      <c r="L129" s="22" t="s">
        <v>49</v>
      </c>
      <c r="M129" s="22" t="s">
        <v>69</v>
      </c>
      <c r="N129" s="20" t="s">
        <v>426</v>
      </c>
      <c r="O129" s="58">
        <v>90000</v>
      </c>
      <c r="P129" s="38">
        <f t="shared" ref="P129:P175" si="105">SUM(O129*R129)</f>
        <v>9800001</v>
      </c>
      <c r="Q129" s="39" t="s">
        <v>32</v>
      </c>
      <c r="R129" s="49">
        <v>108.88890000000001</v>
      </c>
      <c r="S129" s="40">
        <f t="shared" si="103"/>
        <v>41818</v>
      </c>
      <c r="T129" s="22" t="s">
        <v>38</v>
      </c>
      <c r="U129" s="41">
        <f t="shared" si="81"/>
        <v>11760.001199999999</v>
      </c>
      <c r="V129" s="36">
        <v>155.74</v>
      </c>
      <c r="W129" s="38">
        <f t="shared" si="104"/>
        <v>1831502.5868879999</v>
      </c>
      <c r="X129" s="45">
        <v>1819911.07</v>
      </c>
      <c r="Y129" s="40">
        <v>41817</v>
      </c>
      <c r="Z129" s="48">
        <v>11213</v>
      </c>
      <c r="AA129" s="113"/>
    </row>
    <row r="130" spans="1:27" ht="19.5" customHeight="1">
      <c r="A130" s="35">
        <f t="shared" si="85"/>
        <v>125</v>
      </c>
      <c r="B130" s="36" t="s">
        <v>639</v>
      </c>
      <c r="C130" s="44" t="s">
        <v>666</v>
      </c>
      <c r="D130" s="21">
        <v>41835</v>
      </c>
      <c r="E130" s="27" t="s">
        <v>660</v>
      </c>
      <c r="F130" s="22" t="s">
        <v>150</v>
      </c>
      <c r="G130" s="22" t="s">
        <v>279</v>
      </c>
      <c r="H130" s="22" t="s">
        <v>159</v>
      </c>
      <c r="I130" s="37">
        <v>801.22</v>
      </c>
      <c r="J130" s="19">
        <v>41792</v>
      </c>
      <c r="K130" s="51" t="s">
        <v>357</v>
      </c>
      <c r="L130" s="51" t="s">
        <v>160</v>
      </c>
      <c r="M130" s="22" t="s">
        <v>80</v>
      </c>
      <c r="N130" s="20" t="s">
        <v>166</v>
      </c>
      <c r="O130" s="57">
        <v>618102</v>
      </c>
      <c r="P130" s="38">
        <f t="shared" si="105"/>
        <v>64946449.548</v>
      </c>
      <c r="Q130" s="39" t="s">
        <v>32</v>
      </c>
      <c r="R130" s="9">
        <v>105.074</v>
      </c>
      <c r="S130" s="40">
        <f t="shared" si="103"/>
        <v>41881</v>
      </c>
      <c r="T130" s="22" t="s">
        <v>163</v>
      </c>
      <c r="U130" s="54">
        <f t="shared" si="81"/>
        <v>77935.739457599993</v>
      </c>
      <c r="V130" s="73">
        <v>155.72999999999999</v>
      </c>
      <c r="W130" s="38">
        <f t="shared" si="104"/>
        <v>12136932.705732046</v>
      </c>
      <c r="X130" s="45">
        <v>12136932.710000001</v>
      </c>
      <c r="Y130" s="40">
        <v>41831</v>
      </c>
      <c r="Z130" s="48">
        <v>2470</v>
      </c>
      <c r="AA130" s="113"/>
    </row>
    <row r="131" spans="1:27" ht="21.75" customHeight="1">
      <c r="A131" s="35">
        <f t="shared" si="85"/>
        <v>126</v>
      </c>
      <c r="B131" s="36" t="s">
        <v>640</v>
      </c>
      <c r="C131" s="44" t="s">
        <v>667</v>
      </c>
      <c r="D131" s="21">
        <v>41835</v>
      </c>
      <c r="E131" s="27" t="s">
        <v>659</v>
      </c>
      <c r="F131" s="22" t="s">
        <v>150</v>
      </c>
      <c r="G131" s="22" t="s">
        <v>279</v>
      </c>
      <c r="H131" s="22" t="s">
        <v>159</v>
      </c>
      <c r="I131" s="37">
        <v>801.22</v>
      </c>
      <c r="J131" s="19">
        <v>41813</v>
      </c>
      <c r="K131" s="51" t="s">
        <v>634</v>
      </c>
      <c r="L131" s="51" t="s">
        <v>160</v>
      </c>
      <c r="M131" s="22" t="s">
        <v>80</v>
      </c>
      <c r="N131" s="20" t="s">
        <v>166</v>
      </c>
      <c r="O131" s="57">
        <v>702158</v>
      </c>
      <c r="P131" s="38">
        <f t="shared" si="105"/>
        <v>76115331.516000003</v>
      </c>
      <c r="Q131" s="39" t="s">
        <v>32</v>
      </c>
      <c r="R131" s="49">
        <v>108.402</v>
      </c>
      <c r="S131" s="40">
        <f t="shared" si="103"/>
        <v>41902</v>
      </c>
      <c r="T131" s="20" t="s">
        <v>163</v>
      </c>
      <c r="U131" s="54">
        <f t="shared" si="81"/>
        <v>91338.397819199992</v>
      </c>
      <c r="V131" s="36">
        <v>155.72999999999999</v>
      </c>
      <c r="W131" s="38">
        <f t="shared" si="104"/>
        <v>14224128.692384014</v>
      </c>
      <c r="X131" s="45">
        <v>14224128.689999999</v>
      </c>
      <c r="Y131" s="40">
        <v>41831</v>
      </c>
      <c r="Z131" s="48">
        <v>2472</v>
      </c>
      <c r="AA131" s="113"/>
    </row>
    <row r="132" spans="1:27" ht="20.25" customHeight="1">
      <c r="A132" s="35">
        <f t="shared" si="85"/>
        <v>127</v>
      </c>
      <c r="B132" s="36" t="s">
        <v>505</v>
      </c>
      <c r="C132" s="22" t="s">
        <v>668</v>
      </c>
      <c r="D132" s="19">
        <v>41838</v>
      </c>
      <c r="E132" s="26" t="s">
        <v>485</v>
      </c>
      <c r="F132" s="22" t="s">
        <v>163</v>
      </c>
      <c r="G132" s="22" t="s">
        <v>65</v>
      </c>
      <c r="H132" s="22" t="s">
        <v>133</v>
      </c>
      <c r="I132" s="37">
        <v>801.22</v>
      </c>
      <c r="J132" s="21">
        <v>41747</v>
      </c>
      <c r="K132" s="22" t="s">
        <v>173</v>
      </c>
      <c r="L132" s="22" t="s">
        <v>49</v>
      </c>
      <c r="M132" s="22" t="s">
        <v>54</v>
      </c>
      <c r="N132" s="20" t="s">
        <v>86</v>
      </c>
      <c r="O132" s="58">
        <v>304000</v>
      </c>
      <c r="P132" s="38">
        <f t="shared" si="105"/>
        <v>33768624</v>
      </c>
      <c r="Q132" s="39" t="s">
        <v>32</v>
      </c>
      <c r="R132" s="9">
        <v>111.081</v>
      </c>
      <c r="S132" s="40">
        <f t="shared" ref="S132" si="106">SUM(J132)+89</f>
        <v>41836</v>
      </c>
      <c r="T132" s="20" t="s">
        <v>38</v>
      </c>
      <c r="U132" s="41">
        <f t="shared" si="81"/>
        <v>40522.3488</v>
      </c>
      <c r="V132" s="36">
        <v>155.72999999999999</v>
      </c>
      <c r="W132" s="38">
        <f t="shared" ref="W132" si="107">SUM(U132*V132)</f>
        <v>6310545.3786239997</v>
      </c>
      <c r="X132" s="45">
        <v>6509105.0800000001</v>
      </c>
      <c r="Y132" s="40">
        <v>41836</v>
      </c>
      <c r="Z132" s="48">
        <v>8920</v>
      </c>
      <c r="AA132" s="113"/>
    </row>
    <row r="133" spans="1:27" ht="24.75">
      <c r="A133" s="35">
        <f t="shared" si="85"/>
        <v>128</v>
      </c>
      <c r="B133" s="36" t="s">
        <v>582</v>
      </c>
      <c r="C133" s="22" t="s">
        <v>669</v>
      </c>
      <c r="D133" s="21">
        <v>41841</v>
      </c>
      <c r="E133" s="26" t="s">
        <v>557</v>
      </c>
      <c r="F133" s="22" t="s">
        <v>39</v>
      </c>
      <c r="G133" s="22" t="s">
        <v>97</v>
      </c>
      <c r="H133" s="22" t="s">
        <v>133</v>
      </c>
      <c r="I133" s="37">
        <v>801.22</v>
      </c>
      <c r="J133" s="19">
        <v>41776</v>
      </c>
      <c r="K133" s="22" t="s">
        <v>565</v>
      </c>
      <c r="L133" s="22" t="s">
        <v>49</v>
      </c>
      <c r="M133" s="22" t="s">
        <v>41</v>
      </c>
      <c r="N133" s="20" t="s">
        <v>571</v>
      </c>
      <c r="O133" s="23">
        <v>18000</v>
      </c>
      <c r="P133" s="38">
        <f t="shared" si="105"/>
        <v>2002572</v>
      </c>
      <c r="Q133" s="39" t="s">
        <v>32</v>
      </c>
      <c r="R133" s="49">
        <v>111.254</v>
      </c>
      <c r="S133" s="40">
        <f t="shared" ref="S133:S139" si="108">SUM(J133)+89</f>
        <v>41865</v>
      </c>
      <c r="T133" s="20" t="s">
        <v>39</v>
      </c>
      <c r="U133" s="41">
        <f t="shared" si="81"/>
        <v>2403.0863999999997</v>
      </c>
      <c r="V133" s="36">
        <v>155.72999999999999</v>
      </c>
      <c r="W133" s="38">
        <f t="shared" ref="W133:W139" si="109">SUM(U133*V133)</f>
        <v>374232.64507199993</v>
      </c>
      <c r="X133" s="45">
        <v>374232.65</v>
      </c>
      <c r="Y133" s="40">
        <v>41838</v>
      </c>
      <c r="Z133" s="48">
        <v>4410</v>
      </c>
      <c r="AA133" s="113"/>
    </row>
    <row r="134" spans="1:27" ht="24.75">
      <c r="A134" s="35">
        <f t="shared" si="85"/>
        <v>129</v>
      </c>
      <c r="B134" s="36" t="s">
        <v>583</v>
      </c>
      <c r="C134" s="22" t="s">
        <v>670</v>
      </c>
      <c r="D134" s="21">
        <v>41841</v>
      </c>
      <c r="E134" s="26" t="s">
        <v>558</v>
      </c>
      <c r="F134" s="22" t="s">
        <v>39</v>
      </c>
      <c r="G134" s="22" t="s">
        <v>97</v>
      </c>
      <c r="H134" s="22" t="s">
        <v>133</v>
      </c>
      <c r="I134" s="37">
        <v>801.22</v>
      </c>
      <c r="J134" s="19">
        <v>41776</v>
      </c>
      <c r="K134" s="22" t="s">
        <v>565</v>
      </c>
      <c r="L134" s="22" t="s">
        <v>49</v>
      </c>
      <c r="M134" s="22" t="s">
        <v>41</v>
      </c>
      <c r="N134" s="20" t="s">
        <v>571</v>
      </c>
      <c r="O134" s="23">
        <v>57000</v>
      </c>
      <c r="P134" s="38">
        <f t="shared" si="105"/>
        <v>6341478</v>
      </c>
      <c r="Q134" s="39" t="s">
        <v>32</v>
      </c>
      <c r="R134" s="49">
        <v>111.254</v>
      </c>
      <c r="S134" s="40">
        <f t="shared" si="108"/>
        <v>41865</v>
      </c>
      <c r="T134" s="20" t="s">
        <v>39</v>
      </c>
      <c r="U134" s="41">
        <f t="shared" si="81"/>
        <v>7609.7735999999995</v>
      </c>
      <c r="V134" s="36">
        <v>155.72999999999999</v>
      </c>
      <c r="W134" s="38">
        <f t="shared" si="109"/>
        <v>1185070.0427279999</v>
      </c>
      <c r="X134" s="45">
        <v>1185070.04</v>
      </c>
      <c r="Y134" s="40">
        <v>41838</v>
      </c>
      <c r="Z134" s="48">
        <v>4411</v>
      </c>
      <c r="AA134" s="113"/>
    </row>
    <row r="135" spans="1:27" ht="24.75">
      <c r="A135" s="35">
        <f t="shared" si="85"/>
        <v>130</v>
      </c>
      <c r="B135" s="36" t="s">
        <v>584</v>
      </c>
      <c r="C135" s="22" t="s">
        <v>671</v>
      </c>
      <c r="D135" s="21">
        <v>41841</v>
      </c>
      <c r="E135" s="26" t="s">
        <v>559</v>
      </c>
      <c r="F135" s="22" t="s">
        <v>187</v>
      </c>
      <c r="G135" s="22" t="s">
        <v>97</v>
      </c>
      <c r="H135" s="22" t="s">
        <v>133</v>
      </c>
      <c r="I135" s="37">
        <v>801.22</v>
      </c>
      <c r="J135" s="19">
        <v>41776</v>
      </c>
      <c r="K135" s="22" t="s">
        <v>565</v>
      </c>
      <c r="L135" s="22" t="s">
        <v>49</v>
      </c>
      <c r="M135" s="22" t="s">
        <v>41</v>
      </c>
      <c r="N135" s="20" t="s">
        <v>571</v>
      </c>
      <c r="O135" s="23">
        <v>39000</v>
      </c>
      <c r="P135" s="38">
        <f t="shared" si="105"/>
        <v>4338906</v>
      </c>
      <c r="Q135" s="39" t="s">
        <v>32</v>
      </c>
      <c r="R135" s="49">
        <v>111.254</v>
      </c>
      <c r="S135" s="40">
        <f t="shared" si="108"/>
        <v>41865</v>
      </c>
      <c r="T135" s="20" t="s">
        <v>39</v>
      </c>
      <c r="U135" s="41">
        <f t="shared" si="81"/>
        <v>5206.6871999999994</v>
      </c>
      <c r="V135" s="36">
        <v>155.72999999999999</v>
      </c>
      <c r="W135" s="38">
        <f t="shared" si="109"/>
        <v>810837.39765599987</v>
      </c>
      <c r="X135" s="45">
        <v>810837.4</v>
      </c>
      <c r="Y135" s="40">
        <v>41838</v>
      </c>
      <c r="Z135" s="48">
        <v>4412</v>
      </c>
      <c r="AA135" s="113"/>
    </row>
    <row r="136" spans="1:27" ht="19.5" customHeight="1">
      <c r="A136" s="35">
        <f t="shared" si="85"/>
        <v>131</v>
      </c>
      <c r="B136" s="36" t="s">
        <v>647</v>
      </c>
      <c r="C136" s="22" t="s">
        <v>672</v>
      </c>
      <c r="D136" s="21">
        <v>41841</v>
      </c>
      <c r="E136" s="27" t="s">
        <v>616</v>
      </c>
      <c r="F136" s="22" t="s">
        <v>39</v>
      </c>
      <c r="G136" s="22" t="s">
        <v>97</v>
      </c>
      <c r="H136" s="22" t="s">
        <v>133</v>
      </c>
      <c r="I136" s="37">
        <v>801.22</v>
      </c>
      <c r="J136" s="19">
        <v>41793</v>
      </c>
      <c r="K136" s="51" t="s">
        <v>227</v>
      </c>
      <c r="L136" s="51" t="s">
        <v>49</v>
      </c>
      <c r="M136" s="22" t="s">
        <v>67</v>
      </c>
      <c r="N136" s="20" t="s">
        <v>68</v>
      </c>
      <c r="O136" s="57">
        <v>32000</v>
      </c>
      <c r="P136" s="38">
        <f t="shared" si="105"/>
        <v>3631328</v>
      </c>
      <c r="Q136" s="39" t="s">
        <v>32</v>
      </c>
      <c r="R136" s="9">
        <v>113.479</v>
      </c>
      <c r="S136" s="40">
        <f t="shared" si="108"/>
        <v>41882</v>
      </c>
      <c r="T136" s="22" t="s">
        <v>39</v>
      </c>
      <c r="U136" s="54">
        <f t="shared" si="81"/>
        <v>4357.5935999999992</v>
      </c>
      <c r="V136" s="36">
        <v>155.72999999999999</v>
      </c>
      <c r="W136" s="38">
        <f t="shared" si="109"/>
        <v>678608.0513279998</v>
      </c>
      <c r="X136" s="45">
        <v>678608.05</v>
      </c>
      <c r="Y136" s="40">
        <v>41838</v>
      </c>
      <c r="Z136" s="48">
        <v>4405</v>
      </c>
      <c r="AA136" s="113"/>
    </row>
    <row r="137" spans="1:27" ht="19.5" customHeight="1">
      <c r="A137" s="35">
        <f t="shared" si="85"/>
        <v>132</v>
      </c>
      <c r="B137" s="36" t="s">
        <v>648</v>
      </c>
      <c r="C137" s="22" t="s">
        <v>673</v>
      </c>
      <c r="D137" s="21">
        <v>41841</v>
      </c>
      <c r="E137" s="27" t="s">
        <v>617</v>
      </c>
      <c r="F137" s="22" t="s">
        <v>39</v>
      </c>
      <c r="G137" s="22" t="s">
        <v>97</v>
      </c>
      <c r="H137" s="22" t="s">
        <v>133</v>
      </c>
      <c r="I137" s="37">
        <v>801.22</v>
      </c>
      <c r="J137" s="19">
        <v>41793</v>
      </c>
      <c r="K137" s="51" t="s">
        <v>227</v>
      </c>
      <c r="L137" s="51" t="s">
        <v>49</v>
      </c>
      <c r="M137" s="22" t="s">
        <v>67</v>
      </c>
      <c r="N137" s="20" t="s">
        <v>68</v>
      </c>
      <c r="O137" s="57">
        <v>34000</v>
      </c>
      <c r="P137" s="38">
        <f t="shared" si="105"/>
        <v>3858286</v>
      </c>
      <c r="Q137" s="39" t="s">
        <v>32</v>
      </c>
      <c r="R137" s="9">
        <v>113.479</v>
      </c>
      <c r="S137" s="40">
        <f t="shared" si="108"/>
        <v>41882</v>
      </c>
      <c r="T137" s="22" t="s">
        <v>39</v>
      </c>
      <c r="U137" s="54">
        <f t="shared" si="81"/>
        <v>4629.9431999999997</v>
      </c>
      <c r="V137" s="36">
        <v>155.72999999999999</v>
      </c>
      <c r="W137" s="38">
        <f t="shared" si="109"/>
        <v>721021.05453599989</v>
      </c>
      <c r="X137" s="45">
        <v>721021.05</v>
      </c>
      <c r="Y137" s="40">
        <v>41838</v>
      </c>
      <c r="Z137" s="48">
        <v>4406</v>
      </c>
      <c r="AA137" s="113"/>
    </row>
    <row r="138" spans="1:27" ht="19.5" customHeight="1">
      <c r="A138" s="35">
        <f t="shared" si="85"/>
        <v>133</v>
      </c>
      <c r="B138" s="36" t="s">
        <v>649</v>
      </c>
      <c r="C138" s="22" t="s">
        <v>674</v>
      </c>
      <c r="D138" s="21">
        <v>41841</v>
      </c>
      <c r="E138" s="18">
        <v>20149030006</v>
      </c>
      <c r="F138" s="22" t="s">
        <v>187</v>
      </c>
      <c r="G138" s="22" t="s">
        <v>97</v>
      </c>
      <c r="H138" s="22" t="s">
        <v>133</v>
      </c>
      <c r="I138" s="37">
        <v>801.22</v>
      </c>
      <c r="J138" s="19">
        <v>41793</v>
      </c>
      <c r="K138" s="51" t="s">
        <v>227</v>
      </c>
      <c r="L138" s="51" t="s">
        <v>49</v>
      </c>
      <c r="M138" s="22" t="s">
        <v>67</v>
      </c>
      <c r="N138" s="20" t="s">
        <v>68</v>
      </c>
      <c r="O138" s="57">
        <v>78000</v>
      </c>
      <c r="P138" s="38">
        <f t="shared" si="105"/>
        <v>8851362</v>
      </c>
      <c r="Q138" s="39" t="s">
        <v>32</v>
      </c>
      <c r="R138" s="9">
        <v>113.479</v>
      </c>
      <c r="S138" s="40">
        <f t="shared" si="108"/>
        <v>41882</v>
      </c>
      <c r="T138" s="22" t="s">
        <v>39</v>
      </c>
      <c r="U138" s="54">
        <f t="shared" si="81"/>
        <v>10621.634399999999</v>
      </c>
      <c r="V138" s="36">
        <v>155.72999999999999</v>
      </c>
      <c r="W138" s="38">
        <f t="shared" si="109"/>
        <v>1654107.1251119997</v>
      </c>
      <c r="X138" s="45">
        <v>1654107.13</v>
      </c>
      <c r="Y138" s="40">
        <v>41838</v>
      </c>
      <c r="Z138" s="48">
        <v>4407</v>
      </c>
      <c r="AA138" s="113"/>
    </row>
    <row r="139" spans="1:27" ht="21.75" customHeight="1">
      <c r="A139" s="35">
        <f t="shared" si="85"/>
        <v>134</v>
      </c>
      <c r="B139" s="36" t="s">
        <v>657</v>
      </c>
      <c r="C139" s="22" t="s">
        <v>675</v>
      </c>
      <c r="D139" s="21">
        <v>41841</v>
      </c>
      <c r="E139" s="27" t="s">
        <v>626</v>
      </c>
      <c r="F139" s="22" t="s">
        <v>39</v>
      </c>
      <c r="G139" s="22" t="s">
        <v>97</v>
      </c>
      <c r="H139" s="22" t="s">
        <v>133</v>
      </c>
      <c r="I139" s="37">
        <v>801.22</v>
      </c>
      <c r="J139" s="19">
        <v>41812</v>
      </c>
      <c r="K139" s="51" t="s">
        <v>79</v>
      </c>
      <c r="L139" s="51" t="s">
        <v>49</v>
      </c>
      <c r="M139" s="22" t="s">
        <v>60</v>
      </c>
      <c r="N139" s="20" t="s">
        <v>196</v>
      </c>
      <c r="O139" s="57">
        <v>50000</v>
      </c>
      <c r="P139" s="38">
        <f t="shared" si="105"/>
        <v>5673950</v>
      </c>
      <c r="Q139" s="39" t="s">
        <v>32</v>
      </c>
      <c r="R139" s="9">
        <v>113.479</v>
      </c>
      <c r="S139" s="40">
        <f t="shared" si="108"/>
        <v>41901</v>
      </c>
      <c r="T139" s="20" t="s">
        <v>39</v>
      </c>
      <c r="U139" s="54">
        <f t="shared" si="81"/>
        <v>6808.74</v>
      </c>
      <c r="V139" s="36">
        <v>155.72999999999999</v>
      </c>
      <c r="W139" s="38">
        <f t="shared" si="109"/>
        <v>1060325.0802</v>
      </c>
      <c r="X139" s="45">
        <v>1060325.08</v>
      </c>
      <c r="Y139" s="40">
        <v>41838</v>
      </c>
      <c r="Z139" s="48">
        <v>4409</v>
      </c>
      <c r="AA139" s="113"/>
    </row>
    <row r="140" spans="1:27" ht="21" customHeight="1">
      <c r="A140" s="35">
        <f t="shared" si="85"/>
        <v>135</v>
      </c>
      <c r="B140" s="36" t="s">
        <v>493</v>
      </c>
      <c r="C140" s="20" t="s">
        <v>677</v>
      </c>
      <c r="D140" s="19">
        <v>41842</v>
      </c>
      <c r="E140" s="27" t="s">
        <v>530</v>
      </c>
      <c r="F140" s="22" t="s">
        <v>120</v>
      </c>
      <c r="G140" s="22" t="s">
        <v>53</v>
      </c>
      <c r="H140" s="22" t="s">
        <v>133</v>
      </c>
      <c r="I140" s="37">
        <v>801.22</v>
      </c>
      <c r="J140" s="21">
        <v>41731</v>
      </c>
      <c r="K140" s="22" t="s">
        <v>423</v>
      </c>
      <c r="L140" s="22" t="s">
        <v>49</v>
      </c>
      <c r="M140" s="22" t="s">
        <v>69</v>
      </c>
      <c r="N140" s="20" t="s">
        <v>291</v>
      </c>
      <c r="O140" s="23">
        <v>227068</v>
      </c>
      <c r="P140" s="38">
        <f t="shared" si="105"/>
        <v>24914218.8552</v>
      </c>
      <c r="Q140" s="39" t="s">
        <v>32</v>
      </c>
      <c r="R140" s="9">
        <v>109.7214</v>
      </c>
      <c r="S140" s="40">
        <f t="shared" ref="S140:S145" si="110">SUM(J140)+89</f>
        <v>41820</v>
      </c>
      <c r="T140" s="20" t="s">
        <v>38</v>
      </c>
      <c r="U140" s="41">
        <f t="shared" si="81"/>
        <v>29897.062626239996</v>
      </c>
      <c r="V140" s="36">
        <v>155.72999999999999</v>
      </c>
      <c r="W140" s="38">
        <f t="shared" ref="W140:W145" si="111">SUM(U140*V140)</f>
        <v>4655869.5627843542</v>
      </c>
      <c r="X140" s="45">
        <v>4626271.0599999996</v>
      </c>
      <c r="Y140" s="40">
        <v>41838</v>
      </c>
      <c r="Z140" s="48">
        <v>11231</v>
      </c>
      <c r="AA140" s="113"/>
    </row>
    <row r="141" spans="1:27" ht="20.25" customHeight="1">
      <c r="A141" s="35">
        <f t="shared" si="85"/>
        <v>136</v>
      </c>
      <c r="B141" s="36" t="s">
        <v>504</v>
      </c>
      <c r="C141" s="22" t="s">
        <v>676</v>
      </c>
      <c r="D141" s="19">
        <v>41842</v>
      </c>
      <c r="E141" s="26" t="s">
        <v>484</v>
      </c>
      <c r="F141" s="22" t="s">
        <v>120</v>
      </c>
      <c r="G141" s="22" t="s">
        <v>47</v>
      </c>
      <c r="H141" s="22" t="s">
        <v>133</v>
      </c>
      <c r="I141" s="37">
        <v>801.22</v>
      </c>
      <c r="J141" s="21">
        <v>41747</v>
      </c>
      <c r="K141" s="22" t="s">
        <v>173</v>
      </c>
      <c r="L141" s="22" t="s">
        <v>49</v>
      </c>
      <c r="M141" s="22" t="s">
        <v>54</v>
      </c>
      <c r="N141" s="20" t="s">
        <v>86</v>
      </c>
      <c r="O141" s="58">
        <v>80000</v>
      </c>
      <c r="P141" s="38">
        <f t="shared" si="105"/>
        <v>8766640</v>
      </c>
      <c r="Q141" s="39" t="s">
        <v>32</v>
      </c>
      <c r="R141" s="9">
        <v>109.583</v>
      </c>
      <c r="S141" s="40">
        <f t="shared" si="110"/>
        <v>41836</v>
      </c>
      <c r="T141" s="20" t="s">
        <v>38</v>
      </c>
      <c r="U141" s="41">
        <f t="shared" si="81"/>
        <v>10519.967999999999</v>
      </c>
      <c r="V141" s="36">
        <v>155.72999999999999</v>
      </c>
      <c r="W141" s="38">
        <f t="shared" si="111"/>
        <v>1638274.6166399997</v>
      </c>
      <c r="X141" s="45">
        <v>1627754.96</v>
      </c>
      <c r="Y141" s="40">
        <v>41838</v>
      </c>
      <c r="Z141" s="48">
        <v>11233</v>
      </c>
      <c r="AA141" s="113"/>
    </row>
    <row r="142" spans="1:27" ht="20.25" customHeight="1">
      <c r="A142" s="35">
        <f t="shared" si="85"/>
        <v>137</v>
      </c>
      <c r="B142" s="36" t="s">
        <v>515</v>
      </c>
      <c r="C142" s="22" t="s">
        <v>681</v>
      </c>
      <c r="D142" s="21">
        <v>41842</v>
      </c>
      <c r="E142" s="27" t="s">
        <v>528</v>
      </c>
      <c r="F142" s="22" t="s">
        <v>163</v>
      </c>
      <c r="G142" s="22" t="s">
        <v>34</v>
      </c>
      <c r="H142" s="22" t="s">
        <v>35</v>
      </c>
      <c r="I142" s="37">
        <v>801.22</v>
      </c>
      <c r="J142" s="21">
        <v>41750</v>
      </c>
      <c r="K142" s="22" t="s">
        <v>94</v>
      </c>
      <c r="L142" s="22" t="s">
        <v>36</v>
      </c>
      <c r="M142" s="22" t="s">
        <v>37</v>
      </c>
      <c r="N142" s="20" t="s">
        <v>66</v>
      </c>
      <c r="O142" s="58">
        <v>950596</v>
      </c>
      <c r="P142" s="38">
        <f t="shared" si="105"/>
        <v>104259277.96880001</v>
      </c>
      <c r="Q142" s="39" t="s">
        <v>32</v>
      </c>
      <c r="R142" s="49">
        <v>109.6778</v>
      </c>
      <c r="S142" s="40">
        <f t="shared" ref="S142" si="112">SUM(J142)+89</f>
        <v>41839</v>
      </c>
      <c r="T142" s="20" t="s">
        <v>38</v>
      </c>
      <c r="U142" s="41">
        <f t="shared" si="81"/>
        <v>125111.13356256</v>
      </c>
      <c r="V142" s="36">
        <v>155.72999999999999</v>
      </c>
      <c r="W142" s="38">
        <f t="shared" ref="W142" si="113">SUM(U142*V142)</f>
        <v>19483556.829697467</v>
      </c>
      <c r="X142" s="45">
        <v>19679656.02</v>
      </c>
      <c r="Y142" s="40">
        <v>41831</v>
      </c>
      <c r="Z142" s="48">
        <v>11220</v>
      </c>
      <c r="AA142" s="113"/>
    </row>
    <row r="143" spans="1:27" ht="21.75" customHeight="1">
      <c r="A143" s="35">
        <f t="shared" si="85"/>
        <v>138</v>
      </c>
      <c r="B143" s="36" t="s">
        <v>578</v>
      </c>
      <c r="C143" s="20" t="s">
        <v>678</v>
      </c>
      <c r="D143" s="19">
        <v>41842</v>
      </c>
      <c r="E143" s="26" t="s">
        <v>553</v>
      </c>
      <c r="F143" s="22" t="s">
        <v>120</v>
      </c>
      <c r="G143" s="22" t="s">
        <v>53</v>
      </c>
      <c r="H143" s="22" t="s">
        <v>133</v>
      </c>
      <c r="I143" s="37">
        <v>801.22</v>
      </c>
      <c r="J143" s="19">
        <v>41776</v>
      </c>
      <c r="K143" s="22" t="s">
        <v>565</v>
      </c>
      <c r="L143" s="22" t="s">
        <v>49</v>
      </c>
      <c r="M143" s="22" t="s">
        <v>568</v>
      </c>
      <c r="N143" s="20" t="s">
        <v>51</v>
      </c>
      <c r="O143" s="23">
        <v>101000</v>
      </c>
      <c r="P143" s="38">
        <f t="shared" si="105"/>
        <v>11303667.5</v>
      </c>
      <c r="Q143" s="39" t="s">
        <v>32</v>
      </c>
      <c r="R143" s="49">
        <v>111.9175</v>
      </c>
      <c r="S143" s="40">
        <f t="shared" si="110"/>
        <v>41865</v>
      </c>
      <c r="T143" s="20" t="s">
        <v>38</v>
      </c>
      <c r="U143" s="41">
        <f t="shared" si="81"/>
        <v>13564.400999999998</v>
      </c>
      <c r="V143" s="36">
        <v>155.72999999999999</v>
      </c>
      <c r="W143" s="38">
        <f t="shared" si="111"/>
        <v>2112384.1677299994</v>
      </c>
      <c r="X143" s="45">
        <v>2098819.61</v>
      </c>
      <c r="Y143" s="40">
        <v>41838</v>
      </c>
      <c r="Z143" s="48">
        <v>11235</v>
      </c>
      <c r="AA143" s="113"/>
    </row>
    <row r="144" spans="1:27" ht="21.75" customHeight="1">
      <c r="A144" s="35">
        <f t="shared" si="85"/>
        <v>139</v>
      </c>
      <c r="B144" s="36" t="s">
        <v>579</v>
      </c>
      <c r="C144" s="20" t="s">
        <v>679</v>
      </c>
      <c r="D144" s="19">
        <v>41842</v>
      </c>
      <c r="E144" s="26" t="s">
        <v>554</v>
      </c>
      <c r="F144" s="22" t="s">
        <v>120</v>
      </c>
      <c r="G144" s="22" t="s">
        <v>53</v>
      </c>
      <c r="H144" s="22" t="s">
        <v>133</v>
      </c>
      <c r="I144" s="37">
        <v>801.22</v>
      </c>
      <c r="J144" s="19">
        <v>41776</v>
      </c>
      <c r="K144" s="22" t="s">
        <v>565</v>
      </c>
      <c r="L144" s="22" t="s">
        <v>49</v>
      </c>
      <c r="M144" s="22" t="s">
        <v>568</v>
      </c>
      <c r="N144" s="20" t="s">
        <v>51</v>
      </c>
      <c r="O144" s="23">
        <v>119592</v>
      </c>
      <c r="P144" s="38">
        <f t="shared" si="105"/>
        <v>13384437.66</v>
      </c>
      <c r="Q144" s="39" t="s">
        <v>32</v>
      </c>
      <c r="R144" s="49">
        <v>111.9175</v>
      </c>
      <c r="S144" s="40">
        <f t="shared" si="110"/>
        <v>41865</v>
      </c>
      <c r="T144" s="20" t="s">
        <v>38</v>
      </c>
      <c r="U144" s="41">
        <f t="shared" si="81"/>
        <v>16061.325191999998</v>
      </c>
      <c r="V144" s="36">
        <v>155.72999999999999</v>
      </c>
      <c r="W144" s="38">
        <f t="shared" si="111"/>
        <v>2501230.1721501597</v>
      </c>
      <c r="X144" s="45">
        <v>2485169.59</v>
      </c>
      <c r="Y144" s="40">
        <v>41838</v>
      </c>
      <c r="Z144" s="48">
        <v>11234</v>
      </c>
      <c r="AA144" s="113"/>
    </row>
    <row r="145" spans="1:27" ht="21.75" customHeight="1">
      <c r="A145" s="35">
        <f t="shared" si="85"/>
        <v>140</v>
      </c>
      <c r="B145" s="36" t="s">
        <v>580</v>
      </c>
      <c r="C145" s="22" t="s">
        <v>680</v>
      </c>
      <c r="D145" s="19">
        <v>41842</v>
      </c>
      <c r="E145" s="26" t="s">
        <v>555</v>
      </c>
      <c r="F145" s="22" t="s">
        <v>120</v>
      </c>
      <c r="G145" s="22" t="s">
        <v>47</v>
      </c>
      <c r="H145" s="22" t="s">
        <v>133</v>
      </c>
      <c r="I145" s="37">
        <v>801.22</v>
      </c>
      <c r="J145" s="19">
        <v>41776</v>
      </c>
      <c r="K145" s="22" t="s">
        <v>565</v>
      </c>
      <c r="L145" s="22" t="s">
        <v>49</v>
      </c>
      <c r="M145" s="22" t="s">
        <v>568</v>
      </c>
      <c r="N145" s="20" t="s">
        <v>51</v>
      </c>
      <c r="O145" s="23">
        <v>70000</v>
      </c>
      <c r="P145" s="38">
        <f t="shared" si="105"/>
        <v>7816830</v>
      </c>
      <c r="Q145" s="39" t="s">
        <v>32</v>
      </c>
      <c r="R145" s="49">
        <v>111.669</v>
      </c>
      <c r="S145" s="40">
        <f t="shared" si="110"/>
        <v>41865</v>
      </c>
      <c r="T145" s="20" t="s">
        <v>38</v>
      </c>
      <c r="U145" s="41">
        <f t="shared" si="81"/>
        <v>9380.1959999999999</v>
      </c>
      <c r="V145" s="36">
        <v>155.72999999999999</v>
      </c>
      <c r="W145" s="38">
        <f t="shared" si="111"/>
        <v>1460777.9230799999</v>
      </c>
      <c r="X145" s="45">
        <v>1451398.35</v>
      </c>
      <c r="Y145" s="40">
        <v>41838</v>
      </c>
      <c r="Z145" s="48">
        <v>11237</v>
      </c>
      <c r="AA145" s="113"/>
    </row>
    <row r="146" spans="1:27" ht="24.75">
      <c r="A146" s="35">
        <f t="shared" si="85"/>
        <v>141</v>
      </c>
      <c r="B146" s="36" t="s">
        <v>581</v>
      </c>
      <c r="C146" s="22" t="s">
        <v>683</v>
      </c>
      <c r="D146" s="21">
        <v>41850</v>
      </c>
      <c r="E146" s="26" t="s">
        <v>556</v>
      </c>
      <c r="F146" s="22" t="s">
        <v>163</v>
      </c>
      <c r="G146" s="22" t="s">
        <v>65</v>
      </c>
      <c r="H146" s="22" t="s">
        <v>133</v>
      </c>
      <c r="I146" s="37">
        <v>801.22</v>
      </c>
      <c r="J146" s="19">
        <v>41776</v>
      </c>
      <c r="K146" s="22" t="s">
        <v>565</v>
      </c>
      <c r="L146" s="22" t="s">
        <v>49</v>
      </c>
      <c r="M146" s="22" t="s">
        <v>41</v>
      </c>
      <c r="N146" s="20" t="s">
        <v>571</v>
      </c>
      <c r="O146" s="23">
        <v>359000</v>
      </c>
      <c r="P146" s="38">
        <f t="shared" si="105"/>
        <v>40551922</v>
      </c>
      <c r="Q146" s="39" t="s">
        <v>32</v>
      </c>
      <c r="R146" s="49">
        <v>112.958</v>
      </c>
      <c r="S146" s="40">
        <f t="shared" ref="S146" si="114">SUM(J146)+89</f>
        <v>41865</v>
      </c>
      <c r="T146" s="20" t="s">
        <v>38</v>
      </c>
      <c r="U146" s="41">
        <f t="shared" si="81"/>
        <v>48662.306399999994</v>
      </c>
      <c r="V146" s="36">
        <v>155.72999999999999</v>
      </c>
      <c r="W146" s="38">
        <f t="shared" ref="W146" si="115">SUM(U146*V146)</f>
        <v>7578180.9756719982</v>
      </c>
      <c r="X146" s="45">
        <v>7918817.7000000002</v>
      </c>
      <c r="Y146" s="40">
        <v>41845</v>
      </c>
      <c r="Z146" s="48">
        <v>8851</v>
      </c>
      <c r="AA146" s="113"/>
    </row>
    <row r="147" spans="1:27" ht="21.75" customHeight="1">
      <c r="A147" s="35">
        <f t="shared" si="85"/>
        <v>142</v>
      </c>
      <c r="B147" s="36" t="s">
        <v>723</v>
      </c>
      <c r="C147" s="21" t="s">
        <v>684</v>
      </c>
      <c r="D147" s="19">
        <v>41851</v>
      </c>
      <c r="E147" s="27" t="s">
        <v>697</v>
      </c>
      <c r="F147" s="22" t="s">
        <v>278</v>
      </c>
      <c r="G147" s="22" t="s">
        <v>44</v>
      </c>
      <c r="H147" s="22" t="s">
        <v>133</v>
      </c>
      <c r="I147" s="37">
        <v>801.22</v>
      </c>
      <c r="J147" s="19">
        <v>41822</v>
      </c>
      <c r="K147" s="51" t="s">
        <v>716</v>
      </c>
      <c r="L147" s="51" t="s">
        <v>49</v>
      </c>
      <c r="M147" s="22" t="s">
        <v>287</v>
      </c>
      <c r="N147" s="20" t="s">
        <v>720</v>
      </c>
      <c r="O147" s="57">
        <v>150000</v>
      </c>
      <c r="P147" s="38">
        <f t="shared" si="105"/>
        <v>16750650.000000002</v>
      </c>
      <c r="Q147" s="39" t="s">
        <v>32</v>
      </c>
      <c r="R147" s="9">
        <v>111.67100000000001</v>
      </c>
      <c r="S147" s="40">
        <f t="shared" ref="S147:S160" si="116">SUM(J147)+89</f>
        <v>41911</v>
      </c>
      <c r="T147" s="22" t="s">
        <v>278</v>
      </c>
      <c r="U147" s="41">
        <f t="shared" si="81"/>
        <v>20100.78</v>
      </c>
      <c r="V147" s="36">
        <v>155.72999999999999</v>
      </c>
      <c r="W147" s="38">
        <f t="shared" ref="W147:W160" si="117">SUM(U147*V147)</f>
        <v>3130294.4693999998</v>
      </c>
      <c r="X147" s="70">
        <f t="shared" ref="X147:X160" si="118">W147</f>
        <v>3130294.4693999998</v>
      </c>
      <c r="Y147" s="36"/>
      <c r="Z147" s="36"/>
      <c r="AA147" s="113"/>
    </row>
    <row r="148" spans="1:27" ht="21.75" customHeight="1">
      <c r="A148" s="35">
        <f t="shared" si="85"/>
        <v>143</v>
      </c>
      <c r="B148" s="36" t="s">
        <v>724</v>
      </c>
      <c r="C148" s="21" t="s">
        <v>685</v>
      </c>
      <c r="D148" s="19">
        <v>41851</v>
      </c>
      <c r="E148" s="27" t="s">
        <v>698</v>
      </c>
      <c r="F148" s="22" t="s">
        <v>278</v>
      </c>
      <c r="G148" s="22" t="s">
        <v>44</v>
      </c>
      <c r="H148" s="22" t="s">
        <v>133</v>
      </c>
      <c r="I148" s="37">
        <v>801.22</v>
      </c>
      <c r="J148" s="19">
        <v>41822</v>
      </c>
      <c r="K148" s="51" t="s">
        <v>716</v>
      </c>
      <c r="L148" s="51" t="s">
        <v>49</v>
      </c>
      <c r="M148" s="22" t="s">
        <v>287</v>
      </c>
      <c r="N148" s="20" t="s">
        <v>720</v>
      </c>
      <c r="O148" s="57">
        <v>173483</v>
      </c>
      <c r="P148" s="38">
        <f t="shared" si="105"/>
        <v>19373020.093000002</v>
      </c>
      <c r="Q148" s="39" t="s">
        <v>32</v>
      </c>
      <c r="R148" s="9">
        <v>111.67100000000001</v>
      </c>
      <c r="S148" s="40">
        <f t="shared" si="116"/>
        <v>41911</v>
      </c>
      <c r="T148" s="22" t="s">
        <v>278</v>
      </c>
      <c r="U148" s="41">
        <f t="shared" si="81"/>
        <v>23247.624111600002</v>
      </c>
      <c r="V148" s="36">
        <v>155.72999999999999</v>
      </c>
      <c r="W148" s="38">
        <f t="shared" si="117"/>
        <v>3620352.5028994679</v>
      </c>
      <c r="X148" s="70">
        <f t="shared" si="118"/>
        <v>3620352.5028994679</v>
      </c>
      <c r="Y148" s="36"/>
      <c r="Z148" s="36"/>
      <c r="AA148" s="113"/>
    </row>
    <row r="149" spans="1:27" ht="21.75" customHeight="1">
      <c r="A149" s="35">
        <f t="shared" si="85"/>
        <v>144</v>
      </c>
      <c r="B149" s="36" t="s">
        <v>725</v>
      </c>
      <c r="C149" s="21" t="s">
        <v>686</v>
      </c>
      <c r="D149" s="19">
        <v>41851</v>
      </c>
      <c r="E149" s="27" t="s">
        <v>699</v>
      </c>
      <c r="F149" s="22" t="s">
        <v>278</v>
      </c>
      <c r="G149" s="22" t="s">
        <v>44</v>
      </c>
      <c r="H149" s="22" t="s">
        <v>133</v>
      </c>
      <c r="I149" s="37">
        <v>801.22</v>
      </c>
      <c r="J149" s="19">
        <v>41822</v>
      </c>
      <c r="K149" s="51" t="s">
        <v>716</v>
      </c>
      <c r="L149" s="51" t="s">
        <v>49</v>
      </c>
      <c r="M149" s="22" t="s">
        <v>287</v>
      </c>
      <c r="N149" s="20" t="s">
        <v>720</v>
      </c>
      <c r="O149" s="57">
        <v>180000</v>
      </c>
      <c r="P149" s="38">
        <f t="shared" si="105"/>
        <v>20100780</v>
      </c>
      <c r="Q149" s="39" t="s">
        <v>32</v>
      </c>
      <c r="R149" s="9">
        <v>111.67100000000001</v>
      </c>
      <c r="S149" s="40">
        <f t="shared" si="116"/>
        <v>41911</v>
      </c>
      <c r="T149" s="22" t="s">
        <v>278</v>
      </c>
      <c r="U149" s="41">
        <f t="shared" si="81"/>
        <v>24120.935999999998</v>
      </c>
      <c r="V149" s="36">
        <v>155.72999999999999</v>
      </c>
      <c r="W149" s="38">
        <f t="shared" si="117"/>
        <v>3756353.3632799992</v>
      </c>
      <c r="X149" s="70">
        <f t="shared" si="118"/>
        <v>3756353.3632799992</v>
      </c>
      <c r="Y149" s="36"/>
      <c r="Z149" s="36"/>
      <c r="AA149" s="113"/>
    </row>
    <row r="150" spans="1:27" ht="21.75" customHeight="1">
      <c r="A150" s="35">
        <f t="shared" si="85"/>
        <v>145</v>
      </c>
      <c r="B150" s="36" t="s">
        <v>726</v>
      </c>
      <c r="C150" s="21" t="s">
        <v>687</v>
      </c>
      <c r="D150" s="19">
        <v>41851</v>
      </c>
      <c r="E150" s="27" t="s">
        <v>700</v>
      </c>
      <c r="F150" s="22" t="s">
        <v>278</v>
      </c>
      <c r="G150" s="22" t="s">
        <v>44</v>
      </c>
      <c r="H150" s="22" t="s">
        <v>133</v>
      </c>
      <c r="I150" s="37">
        <v>801.22</v>
      </c>
      <c r="J150" s="19">
        <v>41822</v>
      </c>
      <c r="K150" s="51" t="s">
        <v>716</v>
      </c>
      <c r="L150" s="51" t="s">
        <v>49</v>
      </c>
      <c r="M150" s="22" t="s">
        <v>287</v>
      </c>
      <c r="N150" s="20" t="s">
        <v>720</v>
      </c>
      <c r="O150" s="57">
        <v>180000</v>
      </c>
      <c r="P150" s="38">
        <f t="shared" si="105"/>
        <v>20100780</v>
      </c>
      <c r="Q150" s="39" t="s">
        <v>32</v>
      </c>
      <c r="R150" s="9">
        <v>111.67100000000001</v>
      </c>
      <c r="S150" s="40">
        <f t="shared" si="116"/>
        <v>41911</v>
      </c>
      <c r="T150" s="22" t="s">
        <v>278</v>
      </c>
      <c r="U150" s="41">
        <f t="shared" si="81"/>
        <v>24120.935999999998</v>
      </c>
      <c r="V150" s="36">
        <v>155.72999999999999</v>
      </c>
      <c r="W150" s="38">
        <f t="shared" si="117"/>
        <v>3756353.3632799992</v>
      </c>
      <c r="X150" s="70">
        <f t="shared" si="118"/>
        <v>3756353.3632799992</v>
      </c>
      <c r="Y150" s="36"/>
      <c r="Z150" s="36"/>
      <c r="AA150" s="113"/>
    </row>
    <row r="151" spans="1:27" ht="21.75" customHeight="1">
      <c r="A151" s="35">
        <f t="shared" si="85"/>
        <v>146</v>
      </c>
      <c r="B151" s="36" t="s">
        <v>727</v>
      </c>
      <c r="C151" s="21" t="s">
        <v>688</v>
      </c>
      <c r="D151" s="19">
        <v>41851</v>
      </c>
      <c r="E151" s="27" t="s">
        <v>701</v>
      </c>
      <c r="F151" s="22" t="s">
        <v>278</v>
      </c>
      <c r="G151" s="22" t="s">
        <v>44</v>
      </c>
      <c r="H151" s="22" t="s">
        <v>133</v>
      </c>
      <c r="I151" s="37">
        <v>801.22</v>
      </c>
      <c r="J151" s="19">
        <v>41822</v>
      </c>
      <c r="K151" s="51" t="s">
        <v>716</v>
      </c>
      <c r="L151" s="51" t="s">
        <v>49</v>
      </c>
      <c r="M151" s="22" t="s">
        <v>287</v>
      </c>
      <c r="N151" s="20" t="s">
        <v>720</v>
      </c>
      <c r="O151" s="57">
        <v>169000</v>
      </c>
      <c r="P151" s="38">
        <f t="shared" si="105"/>
        <v>18872399</v>
      </c>
      <c r="Q151" s="39" t="s">
        <v>32</v>
      </c>
      <c r="R151" s="9">
        <v>111.67100000000001</v>
      </c>
      <c r="S151" s="40">
        <f t="shared" si="116"/>
        <v>41911</v>
      </c>
      <c r="T151" s="22" t="s">
        <v>278</v>
      </c>
      <c r="U151" s="41">
        <f t="shared" si="81"/>
        <v>22646.878799999999</v>
      </c>
      <c r="V151" s="36">
        <v>155.72999999999999</v>
      </c>
      <c r="W151" s="38">
        <f t="shared" si="117"/>
        <v>3526798.4355239994</v>
      </c>
      <c r="X151" s="70">
        <f t="shared" si="118"/>
        <v>3526798.4355239994</v>
      </c>
      <c r="Y151" s="36"/>
      <c r="Z151" s="36"/>
      <c r="AA151" s="113"/>
    </row>
    <row r="152" spans="1:27" ht="21.75" customHeight="1">
      <c r="A152" s="35">
        <f t="shared" si="85"/>
        <v>147</v>
      </c>
      <c r="B152" s="36" t="s">
        <v>728</v>
      </c>
      <c r="C152" s="21" t="s">
        <v>689</v>
      </c>
      <c r="D152" s="19">
        <v>41851</v>
      </c>
      <c r="E152" s="27" t="s">
        <v>702</v>
      </c>
      <c r="F152" s="22" t="s">
        <v>278</v>
      </c>
      <c r="G152" s="22" t="s">
        <v>44</v>
      </c>
      <c r="H152" s="22" t="s">
        <v>133</v>
      </c>
      <c r="I152" s="37">
        <v>801.22</v>
      </c>
      <c r="J152" s="19">
        <v>41822</v>
      </c>
      <c r="K152" s="51" t="s">
        <v>716</v>
      </c>
      <c r="L152" s="51" t="s">
        <v>49</v>
      </c>
      <c r="M152" s="22" t="s">
        <v>287</v>
      </c>
      <c r="N152" s="20" t="s">
        <v>720</v>
      </c>
      <c r="O152" s="57">
        <v>47000</v>
      </c>
      <c r="P152" s="38">
        <f t="shared" si="105"/>
        <v>5248537</v>
      </c>
      <c r="Q152" s="39" t="s">
        <v>32</v>
      </c>
      <c r="R152" s="9">
        <v>111.67100000000001</v>
      </c>
      <c r="S152" s="40">
        <f t="shared" si="116"/>
        <v>41911</v>
      </c>
      <c r="T152" s="22" t="s">
        <v>278</v>
      </c>
      <c r="U152" s="41">
        <f t="shared" si="81"/>
        <v>6298.2443999999996</v>
      </c>
      <c r="V152" s="36">
        <v>155.72999999999999</v>
      </c>
      <c r="W152" s="38">
        <f t="shared" si="117"/>
        <v>980825.60041199985</v>
      </c>
      <c r="X152" s="70">
        <f t="shared" si="118"/>
        <v>980825.60041199985</v>
      </c>
      <c r="Y152" s="36"/>
      <c r="Z152" s="36"/>
      <c r="AA152" s="113"/>
    </row>
    <row r="153" spans="1:27" ht="21.75" customHeight="1">
      <c r="A153" s="35">
        <f t="shared" si="85"/>
        <v>148</v>
      </c>
      <c r="B153" s="36" t="s">
        <v>729</v>
      </c>
      <c r="C153" s="21" t="s">
        <v>690</v>
      </c>
      <c r="D153" s="19">
        <v>41851</v>
      </c>
      <c r="E153" s="27" t="s">
        <v>703</v>
      </c>
      <c r="F153" s="22" t="s">
        <v>278</v>
      </c>
      <c r="G153" s="22" t="s">
        <v>44</v>
      </c>
      <c r="H153" s="22" t="s">
        <v>133</v>
      </c>
      <c r="I153" s="37">
        <v>801.22</v>
      </c>
      <c r="J153" s="19">
        <v>41822</v>
      </c>
      <c r="K153" s="51" t="s">
        <v>716</v>
      </c>
      <c r="L153" s="51" t="s">
        <v>49</v>
      </c>
      <c r="M153" s="22" t="s">
        <v>287</v>
      </c>
      <c r="N153" s="20" t="s">
        <v>720</v>
      </c>
      <c r="O153" s="57">
        <v>50000</v>
      </c>
      <c r="P153" s="38">
        <f t="shared" si="105"/>
        <v>5583550</v>
      </c>
      <c r="Q153" s="39" t="s">
        <v>32</v>
      </c>
      <c r="R153" s="9">
        <v>111.67100000000001</v>
      </c>
      <c r="S153" s="40">
        <f t="shared" si="116"/>
        <v>41911</v>
      </c>
      <c r="T153" s="22" t="s">
        <v>278</v>
      </c>
      <c r="U153" s="41">
        <f t="shared" si="81"/>
        <v>6700.2599999999993</v>
      </c>
      <c r="V153" s="36">
        <v>155.72999999999999</v>
      </c>
      <c r="W153" s="38">
        <f t="shared" si="117"/>
        <v>1043431.4897999999</v>
      </c>
      <c r="X153" s="70">
        <f t="shared" si="118"/>
        <v>1043431.4897999999</v>
      </c>
      <c r="Y153" s="36"/>
      <c r="Z153" s="36"/>
      <c r="AA153" s="113"/>
    </row>
    <row r="154" spans="1:27" ht="21.75" customHeight="1">
      <c r="A154" s="35">
        <f t="shared" si="85"/>
        <v>149</v>
      </c>
      <c r="B154" s="36" t="s">
        <v>742</v>
      </c>
      <c r="C154" s="21" t="s">
        <v>691</v>
      </c>
      <c r="D154" s="19">
        <v>41851</v>
      </c>
      <c r="E154" s="18" t="s">
        <v>704</v>
      </c>
      <c r="F154" s="22" t="s">
        <v>278</v>
      </c>
      <c r="G154" s="22" t="s">
        <v>44</v>
      </c>
      <c r="H154" s="22" t="s">
        <v>35</v>
      </c>
      <c r="I154" s="37">
        <v>801.22</v>
      </c>
      <c r="J154" s="19">
        <v>41823</v>
      </c>
      <c r="K154" s="51" t="s">
        <v>142</v>
      </c>
      <c r="L154" s="74" t="s">
        <v>36</v>
      </c>
      <c r="M154" s="22" t="s">
        <v>80</v>
      </c>
      <c r="N154" s="20" t="s">
        <v>721</v>
      </c>
      <c r="O154" s="57">
        <v>475646</v>
      </c>
      <c r="P154" s="38">
        <f t="shared" si="105"/>
        <v>53307549.803999998</v>
      </c>
      <c r="Q154" s="39" t="s">
        <v>32</v>
      </c>
      <c r="R154" s="49">
        <v>112.074</v>
      </c>
      <c r="S154" s="40">
        <f t="shared" si="116"/>
        <v>41912</v>
      </c>
      <c r="T154" s="22" t="s">
        <v>278</v>
      </c>
      <c r="U154" s="41">
        <f t="shared" si="81"/>
        <v>63969.059764799989</v>
      </c>
      <c r="V154" s="36">
        <v>155.72999999999999</v>
      </c>
      <c r="W154" s="38">
        <f t="shared" si="117"/>
        <v>9961901.6771723013</v>
      </c>
      <c r="X154" s="70">
        <f t="shared" si="118"/>
        <v>9961901.6771723013</v>
      </c>
      <c r="Y154" s="36"/>
      <c r="Z154" s="36"/>
      <c r="AA154" s="112" t="s">
        <v>518</v>
      </c>
    </row>
    <row r="155" spans="1:27" ht="21.75" customHeight="1">
      <c r="A155" s="35">
        <f t="shared" si="85"/>
        <v>150</v>
      </c>
      <c r="B155" s="36" t="s">
        <v>743</v>
      </c>
      <c r="C155" s="21" t="s">
        <v>691</v>
      </c>
      <c r="D155" s="19">
        <v>41851</v>
      </c>
      <c r="E155" s="18" t="s">
        <v>750</v>
      </c>
      <c r="F155" s="22" t="s">
        <v>278</v>
      </c>
      <c r="G155" s="22" t="s">
        <v>44</v>
      </c>
      <c r="H155" s="22" t="s">
        <v>35</v>
      </c>
      <c r="I155" s="37">
        <v>801.22</v>
      </c>
      <c r="J155" s="19">
        <v>41823</v>
      </c>
      <c r="K155" s="51" t="s">
        <v>142</v>
      </c>
      <c r="L155" s="74" t="s">
        <v>36</v>
      </c>
      <c r="M155" s="22" t="s">
        <v>50</v>
      </c>
      <c r="N155" s="20" t="s">
        <v>83</v>
      </c>
      <c r="O155" s="57">
        <v>475000</v>
      </c>
      <c r="P155" s="38">
        <f t="shared" si="105"/>
        <v>53235150</v>
      </c>
      <c r="Q155" s="39" t="s">
        <v>32</v>
      </c>
      <c r="R155" s="49">
        <v>112.074</v>
      </c>
      <c r="S155" s="40">
        <f t="shared" si="116"/>
        <v>41912</v>
      </c>
      <c r="T155" s="22" t="s">
        <v>278</v>
      </c>
      <c r="U155" s="41">
        <f t="shared" si="81"/>
        <v>63882.179999999993</v>
      </c>
      <c r="V155" s="36">
        <v>155.72999999999999</v>
      </c>
      <c r="W155" s="38">
        <f t="shared" si="117"/>
        <v>9948371.8913999982</v>
      </c>
      <c r="X155" s="70">
        <f t="shared" si="118"/>
        <v>9948371.8913999982</v>
      </c>
      <c r="Y155" s="36"/>
      <c r="Z155" s="36"/>
      <c r="AA155" s="112"/>
    </row>
    <row r="156" spans="1:27" ht="21.75" customHeight="1">
      <c r="A156" s="35">
        <f t="shared" si="85"/>
        <v>151</v>
      </c>
      <c r="B156" s="36" t="s">
        <v>745</v>
      </c>
      <c r="C156" s="21" t="s">
        <v>692</v>
      </c>
      <c r="D156" s="19">
        <v>41851</v>
      </c>
      <c r="E156" s="18" t="s">
        <v>705</v>
      </c>
      <c r="F156" s="22" t="s">
        <v>278</v>
      </c>
      <c r="G156" s="22" t="s">
        <v>44</v>
      </c>
      <c r="H156" s="22" t="s">
        <v>45</v>
      </c>
      <c r="I156" s="37">
        <v>801.22</v>
      </c>
      <c r="J156" s="19">
        <v>41830</v>
      </c>
      <c r="K156" s="51" t="s">
        <v>140</v>
      </c>
      <c r="L156" s="74" t="s">
        <v>46</v>
      </c>
      <c r="M156" s="22" t="s">
        <v>78</v>
      </c>
      <c r="N156" s="20" t="s">
        <v>381</v>
      </c>
      <c r="O156" s="57">
        <v>899827</v>
      </c>
      <c r="P156" s="38">
        <f t="shared" si="105"/>
        <v>97880481.578999996</v>
      </c>
      <c r="Q156" s="39" t="s">
        <v>32</v>
      </c>
      <c r="R156" s="49">
        <v>108.777</v>
      </c>
      <c r="S156" s="40">
        <f t="shared" si="116"/>
        <v>41919</v>
      </c>
      <c r="T156" s="22" t="s">
        <v>278</v>
      </c>
      <c r="U156" s="41">
        <f t="shared" si="81"/>
        <v>117456.57789479998</v>
      </c>
      <c r="V156" s="36">
        <v>155.72999999999999</v>
      </c>
      <c r="W156" s="38">
        <f t="shared" si="117"/>
        <v>18291512.875557199</v>
      </c>
      <c r="X156" s="70">
        <f t="shared" si="118"/>
        <v>18291512.875557199</v>
      </c>
      <c r="Y156" s="36"/>
      <c r="Z156" s="36"/>
      <c r="AA156" s="113"/>
    </row>
    <row r="157" spans="1:27" ht="21.75" customHeight="1">
      <c r="A157" s="35">
        <f t="shared" si="85"/>
        <v>152</v>
      </c>
      <c r="B157" s="36" t="s">
        <v>730</v>
      </c>
      <c r="C157" s="21" t="s">
        <v>693</v>
      </c>
      <c r="D157" s="19">
        <v>41851</v>
      </c>
      <c r="E157" s="27" t="s">
        <v>706</v>
      </c>
      <c r="F157" s="22" t="s">
        <v>278</v>
      </c>
      <c r="G157" s="51" t="s">
        <v>44</v>
      </c>
      <c r="H157" s="22" t="s">
        <v>133</v>
      </c>
      <c r="I157" s="37">
        <v>801.22</v>
      </c>
      <c r="J157" s="19">
        <v>41832</v>
      </c>
      <c r="K157" s="51" t="s">
        <v>102</v>
      </c>
      <c r="L157" s="51" t="s">
        <v>49</v>
      </c>
      <c r="M157" s="22" t="s">
        <v>74</v>
      </c>
      <c r="N157" s="20" t="s">
        <v>75</v>
      </c>
      <c r="O157" s="57">
        <v>768328</v>
      </c>
      <c r="P157" s="38">
        <f t="shared" si="105"/>
        <v>82171142.943999991</v>
      </c>
      <c r="Q157" s="39" t="s">
        <v>32</v>
      </c>
      <c r="R157" s="49">
        <v>106.94799999999999</v>
      </c>
      <c r="S157" s="40">
        <f t="shared" si="116"/>
        <v>41921</v>
      </c>
      <c r="T157" s="22" t="s">
        <v>278</v>
      </c>
      <c r="U157" s="41">
        <f t="shared" si="81"/>
        <v>98605.371532799982</v>
      </c>
      <c r="V157" s="36">
        <v>155.72999999999999</v>
      </c>
      <c r="W157" s="38">
        <f t="shared" si="117"/>
        <v>15355814.508802939</v>
      </c>
      <c r="X157" s="70">
        <f t="shared" si="118"/>
        <v>15355814.508802939</v>
      </c>
      <c r="Y157" s="36"/>
      <c r="Z157" s="36"/>
      <c r="AA157" s="113"/>
    </row>
    <row r="158" spans="1:27" ht="21.75" customHeight="1">
      <c r="A158" s="35">
        <f t="shared" si="85"/>
        <v>153</v>
      </c>
      <c r="B158" s="36" t="s">
        <v>731</v>
      </c>
      <c r="C158" s="21" t="s">
        <v>694</v>
      </c>
      <c r="D158" s="19">
        <v>41851</v>
      </c>
      <c r="E158" s="27" t="s">
        <v>707</v>
      </c>
      <c r="F158" s="22" t="s">
        <v>278</v>
      </c>
      <c r="G158" s="51" t="s">
        <v>44</v>
      </c>
      <c r="H158" s="22" t="s">
        <v>133</v>
      </c>
      <c r="I158" s="37">
        <v>801.22</v>
      </c>
      <c r="J158" s="19">
        <v>41832</v>
      </c>
      <c r="K158" s="51" t="s">
        <v>102</v>
      </c>
      <c r="L158" s="51" t="s">
        <v>49</v>
      </c>
      <c r="M158" s="22" t="s">
        <v>74</v>
      </c>
      <c r="N158" s="20" t="s">
        <v>75</v>
      </c>
      <c r="O158" s="57">
        <v>180000</v>
      </c>
      <c r="P158" s="38">
        <f t="shared" si="105"/>
        <v>19250640</v>
      </c>
      <c r="Q158" s="39" t="s">
        <v>32</v>
      </c>
      <c r="R158" s="49">
        <v>106.94799999999999</v>
      </c>
      <c r="S158" s="40">
        <f t="shared" si="116"/>
        <v>41921</v>
      </c>
      <c r="T158" s="22" t="s">
        <v>278</v>
      </c>
      <c r="U158" s="41">
        <f t="shared" si="81"/>
        <v>23100.767999999996</v>
      </c>
      <c r="V158" s="36">
        <v>155.72999999999999</v>
      </c>
      <c r="W158" s="38">
        <f t="shared" si="117"/>
        <v>3597482.6006399994</v>
      </c>
      <c r="X158" s="70">
        <f t="shared" si="118"/>
        <v>3597482.6006399994</v>
      </c>
      <c r="Y158" s="36"/>
      <c r="Z158" s="36"/>
      <c r="AA158" s="113"/>
    </row>
    <row r="159" spans="1:27" ht="21.75" customHeight="1">
      <c r="A159" s="35">
        <f t="shared" si="85"/>
        <v>154</v>
      </c>
      <c r="B159" s="36" t="s">
        <v>747</v>
      </c>
      <c r="C159" s="21" t="s">
        <v>695</v>
      </c>
      <c r="D159" s="19">
        <v>41851</v>
      </c>
      <c r="E159" s="27" t="s">
        <v>708</v>
      </c>
      <c r="F159" s="22" t="s">
        <v>278</v>
      </c>
      <c r="G159" s="22" t="s">
        <v>44</v>
      </c>
      <c r="H159" s="22" t="s">
        <v>29</v>
      </c>
      <c r="I159" s="37">
        <v>801.22</v>
      </c>
      <c r="J159" s="19">
        <v>41844</v>
      </c>
      <c r="K159" s="51" t="s">
        <v>167</v>
      </c>
      <c r="L159" s="51" t="s">
        <v>30</v>
      </c>
      <c r="M159" s="22" t="s">
        <v>116</v>
      </c>
      <c r="N159" s="20" t="s">
        <v>117</v>
      </c>
      <c r="O159" s="57">
        <v>545992</v>
      </c>
      <c r="P159" s="38">
        <f t="shared" si="105"/>
        <v>57916647.391999997</v>
      </c>
      <c r="Q159" s="39" t="s">
        <v>32</v>
      </c>
      <c r="R159" s="49">
        <v>106.07599999999999</v>
      </c>
      <c r="S159" s="40">
        <f t="shared" si="116"/>
        <v>41933</v>
      </c>
      <c r="T159" s="22" t="s">
        <v>278</v>
      </c>
      <c r="U159" s="41">
        <f t="shared" si="81"/>
        <v>69499.976870399987</v>
      </c>
      <c r="V159" s="36">
        <v>155.72999999999999</v>
      </c>
      <c r="W159" s="38">
        <f t="shared" si="117"/>
        <v>10823231.398027388</v>
      </c>
      <c r="X159" s="70">
        <f t="shared" si="118"/>
        <v>10823231.398027388</v>
      </c>
      <c r="Y159" s="36"/>
      <c r="Z159" s="36"/>
      <c r="AA159" s="113"/>
    </row>
    <row r="160" spans="1:27" ht="21.75" customHeight="1">
      <c r="A160" s="35">
        <f t="shared" si="85"/>
        <v>155</v>
      </c>
      <c r="B160" s="36" t="s">
        <v>748</v>
      </c>
      <c r="C160" s="21" t="s">
        <v>696</v>
      </c>
      <c r="D160" s="19">
        <v>41851</v>
      </c>
      <c r="E160" s="27" t="s">
        <v>709</v>
      </c>
      <c r="F160" s="22" t="s">
        <v>278</v>
      </c>
      <c r="G160" s="22" t="s">
        <v>44</v>
      </c>
      <c r="H160" s="22" t="s">
        <v>29</v>
      </c>
      <c r="I160" s="37">
        <v>801.22</v>
      </c>
      <c r="J160" s="19">
        <v>41844</v>
      </c>
      <c r="K160" s="51" t="s">
        <v>167</v>
      </c>
      <c r="L160" s="51" t="s">
        <v>30</v>
      </c>
      <c r="M160" s="22" t="s">
        <v>116</v>
      </c>
      <c r="N160" s="20" t="s">
        <v>117</v>
      </c>
      <c r="O160" s="57">
        <v>450000</v>
      </c>
      <c r="P160" s="38">
        <f t="shared" si="105"/>
        <v>47734200</v>
      </c>
      <c r="Q160" s="39" t="s">
        <v>32</v>
      </c>
      <c r="R160" s="49">
        <v>106.07599999999999</v>
      </c>
      <c r="S160" s="40">
        <f t="shared" si="116"/>
        <v>41933</v>
      </c>
      <c r="T160" s="22" t="s">
        <v>278</v>
      </c>
      <c r="U160" s="41">
        <f t="shared" si="81"/>
        <v>57281.039999999994</v>
      </c>
      <c r="V160" s="36">
        <v>155.72999999999999</v>
      </c>
      <c r="W160" s="38">
        <f t="shared" si="117"/>
        <v>8920376.3591999989</v>
      </c>
      <c r="X160" s="70">
        <f t="shared" si="118"/>
        <v>8920376.3591999989</v>
      </c>
      <c r="Y160" s="36"/>
      <c r="Z160" s="36"/>
      <c r="AA160" s="113"/>
    </row>
    <row r="161" spans="1:27" ht="18.75" customHeight="1">
      <c r="A161" s="35">
        <f t="shared" si="85"/>
        <v>156</v>
      </c>
      <c r="B161" s="36" t="s">
        <v>434</v>
      </c>
      <c r="C161" s="20" t="s">
        <v>752</v>
      </c>
      <c r="D161" s="19">
        <v>41863</v>
      </c>
      <c r="E161" s="27" t="s">
        <v>529</v>
      </c>
      <c r="F161" s="22" t="s">
        <v>120</v>
      </c>
      <c r="G161" s="22" t="s">
        <v>53</v>
      </c>
      <c r="H161" s="22" t="s">
        <v>133</v>
      </c>
      <c r="I161" s="37">
        <v>801.22</v>
      </c>
      <c r="J161" s="21">
        <v>41729</v>
      </c>
      <c r="K161" s="22" t="s">
        <v>423</v>
      </c>
      <c r="L161" s="22" t="s">
        <v>49</v>
      </c>
      <c r="M161" s="22" t="s">
        <v>69</v>
      </c>
      <c r="N161" s="20" t="s">
        <v>426</v>
      </c>
      <c r="O161" s="58">
        <v>125030</v>
      </c>
      <c r="P161" s="38">
        <f t="shared" si="105"/>
        <v>13716878.761</v>
      </c>
      <c r="Q161" s="39" t="s">
        <v>32</v>
      </c>
      <c r="R161" s="59">
        <v>109.70869999999999</v>
      </c>
      <c r="S161" s="40">
        <f t="shared" ref="S161:S162" si="119">SUM(J161)+89</f>
        <v>41818</v>
      </c>
      <c r="T161" s="22" t="s">
        <v>38</v>
      </c>
      <c r="U161" s="41">
        <f t="shared" si="81"/>
        <v>16460.254513199998</v>
      </c>
      <c r="V161" s="36">
        <v>155.74</v>
      </c>
      <c r="W161" s="38">
        <f t="shared" ref="W161:W162" si="120">SUM(U161*V161)</f>
        <v>2563520.0378857679</v>
      </c>
      <c r="X161" s="45">
        <v>2547059.09</v>
      </c>
      <c r="Y161" s="40">
        <v>41817</v>
      </c>
      <c r="Z161" s="48">
        <v>11208</v>
      </c>
      <c r="AA161" s="113"/>
    </row>
    <row r="162" spans="1:27" ht="96.75" customHeight="1">
      <c r="A162" s="35">
        <f t="shared" si="85"/>
        <v>157</v>
      </c>
      <c r="B162" s="36" t="s">
        <v>503</v>
      </c>
      <c r="C162" s="22" t="s">
        <v>753</v>
      </c>
      <c r="D162" s="19">
        <v>41863</v>
      </c>
      <c r="E162" s="27" t="s">
        <v>519</v>
      </c>
      <c r="F162" s="22" t="s">
        <v>120</v>
      </c>
      <c r="G162" s="22" t="s">
        <v>53</v>
      </c>
      <c r="H162" s="22" t="s">
        <v>133</v>
      </c>
      <c r="I162" s="37">
        <v>801.22</v>
      </c>
      <c r="J162" s="21">
        <v>41747</v>
      </c>
      <c r="K162" s="22" t="s">
        <v>173</v>
      </c>
      <c r="L162" s="22" t="s">
        <v>49</v>
      </c>
      <c r="M162" s="22" t="s">
        <v>54</v>
      </c>
      <c r="N162" s="22" t="s">
        <v>86</v>
      </c>
      <c r="O162" s="58">
        <v>345399</v>
      </c>
      <c r="P162" s="38">
        <f t="shared" si="105"/>
        <v>37898283.5568</v>
      </c>
      <c r="Q162" s="39" t="s">
        <v>32</v>
      </c>
      <c r="R162" s="15">
        <v>109.72320000000001</v>
      </c>
      <c r="S162" s="40">
        <f t="shared" si="119"/>
        <v>41836</v>
      </c>
      <c r="T162" s="22" t="s">
        <v>38</v>
      </c>
      <c r="U162" s="41">
        <f t="shared" si="81"/>
        <v>45477.940268159997</v>
      </c>
      <c r="V162" s="36">
        <v>155.72999999999999</v>
      </c>
      <c r="W162" s="38">
        <f t="shared" si="120"/>
        <v>7082279.637960556</v>
      </c>
      <c r="X162" s="45">
        <v>7036801.6600000001</v>
      </c>
      <c r="Y162" s="40">
        <v>41838</v>
      </c>
      <c r="Z162" s="48">
        <v>11232</v>
      </c>
      <c r="AA162" s="22" t="s">
        <v>520</v>
      </c>
    </row>
    <row r="163" spans="1:27" ht="21.75" customHeight="1">
      <c r="A163" s="35">
        <f t="shared" si="85"/>
        <v>158</v>
      </c>
      <c r="B163" s="36" t="s">
        <v>746</v>
      </c>
      <c r="C163" s="21" t="s">
        <v>756</v>
      </c>
      <c r="D163" s="40">
        <v>41864</v>
      </c>
      <c r="E163" s="27" t="s">
        <v>749</v>
      </c>
      <c r="F163" s="22" t="s">
        <v>150</v>
      </c>
      <c r="G163" s="22" t="s">
        <v>279</v>
      </c>
      <c r="H163" s="22" t="s">
        <v>159</v>
      </c>
      <c r="I163" s="37">
        <v>801.22</v>
      </c>
      <c r="J163" s="19">
        <v>41841</v>
      </c>
      <c r="K163" s="51" t="s">
        <v>717</v>
      </c>
      <c r="L163" s="51" t="s">
        <v>160</v>
      </c>
      <c r="M163" s="22" t="s">
        <v>80</v>
      </c>
      <c r="N163" s="20" t="s">
        <v>166</v>
      </c>
      <c r="O163" s="57">
        <v>799844</v>
      </c>
      <c r="P163" s="38">
        <f t="shared" si="105"/>
        <v>81660073.179999992</v>
      </c>
      <c r="Q163" s="39" t="s">
        <v>32</v>
      </c>
      <c r="R163" s="49">
        <v>102.095</v>
      </c>
      <c r="S163" s="40">
        <f t="shared" ref="S163" si="121">SUM(J163)+89</f>
        <v>41930</v>
      </c>
      <c r="T163" s="20" t="s">
        <v>163</v>
      </c>
      <c r="U163" s="41">
        <f t="shared" si="81"/>
        <v>97992.087815999985</v>
      </c>
      <c r="V163" s="36">
        <v>155.72999999999999</v>
      </c>
      <c r="W163" s="38">
        <f t="shared" ref="W163" si="122">SUM(U163*V163)</f>
        <v>15260307.835585676</v>
      </c>
      <c r="X163" s="45">
        <v>15260308.18</v>
      </c>
      <c r="Y163" s="40">
        <v>41858</v>
      </c>
      <c r="Z163" s="48">
        <v>2174</v>
      </c>
      <c r="AA163" s="113"/>
    </row>
    <row r="164" spans="1:27" ht="24.75">
      <c r="A164" s="35">
        <f t="shared" si="85"/>
        <v>159</v>
      </c>
      <c r="B164" s="36" t="s">
        <v>585</v>
      </c>
      <c r="C164" s="60" t="s">
        <v>758</v>
      </c>
      <c r="D164" s="19">
        <v>41869</v>
      </c>
      <c r="E164" s="27" t="s">
        <v>757</v>
      </c>
      <c r="F164" s="22" t="s">
        <v>130</v>
      </c>
      <c r="G164" s="22" t="s">
        <v>87</v>
      </c>
      <c r="H164" s="22" t="s">
        <v>133</v>
      </c>
      <c r="I164" s="37">
        <v>801.22</v>
      </c>
      <c r="J164" s="19">
        <v>41776</v>
      </c>
      <c r="K164" s="22" t="s">
        <v>565</v>
      </c>
      <c r="L164" s="22" t="s">
        <v>49</v>
      </c>
      <c r="M164" s="22" t="s">
        <v>41</v>
      </c>
      <c r="N164" s="20" t="s">
        <v>571</v>
      </c>
      <c r="O164" s="23">
        <v>177000</v>
      </c>
      <c r="P164" s="38">
        <f t="shared" si="105"/>
        <v>19727358</v>
      </c>
      <c r="Q164" s="39" t="s">
        <v>32</v>
      </c>
      <c r="R164" s="49">
        <v>111.45399999999999</v>
      </c>
      <c r="S164" s="40">
        <f t="shared" ref="S164:S165" si="123">SUM(J164)+89</f>
        <v>41865</v>
      </c>
      <c r="T164" s="22" t="s">
        <v>144</v>
      </c>
      <c r="U164" s="41">
        <f t="shared" si="81"/>
        <v>23672.829599999997</v>
      </c>
      <c r="V164" s="36">
        <v>155.72999999999999</v>
      </c>
      <c r="W164" s="38">
        <f t="shared" ref="W164:W165" si="124">SUM(U164*V164)</f>
        <v>3686569.7536079995</v>
      </c>
      <c r="X164" s="45">
        <v>3686569.76</v>
      </c>
      <c r="Y164" s="40">
        <v>41863</v>
      </c>
      <c r="Z164" s="48">
        <v>28284</v>
      </c>
      <c r="AA164" s="112" t="s">
        <v>518</v>
      </c>
    </row>
    <row r="165" spans="1:27" ht="20.25" customHeight="1">
      <c r="A165" s="35">
        <f t="shared" si="85"/>
        <v>160</v>
      </c>
      <c r="B165" s="36" t="s">
        <v>586</v>
      </c>
      <c r="C165" s="60" t="s">
        <v>758</v>
      </c>
      <c r="D165" s="19">
        <v>41869</v>
      </c>
      <c r="E165" s="27" t="s">
        <v>761</v>
      </c>
      <c r="F165" s="22" t="s">
        <v>130</v>
      </c>
      <c r="G165" s="22" t="s">
        <v>87</v>
      </c>
      <c r="H165" s="22" t="s">
        <v>133</v>
      </c>
      <c r="I165" s="37">
        <v>801.22</v>
      </c>
      <c r="J165" s="19">
        <v>41776</v>
      </c>
      <c r="K165" s="22" t="s">
        <v>565</v>
      </c>
      <c r="L165" s="22" t="s">
        <v>49</v>
      </c>
      <c r="M165" s="22" t="s">
        <v>568</v>
      </c>
      <c r="N165" s="20" t="s">
        <v>51</v>
      </c>
      <c r="O165" s="23">
        <v>59000</v>
      </c>
      <c r="P165" s="38">
        <f t="shared" si="105"/>
        <v>6575786</v>
      </c>
      <c r="Q165" s="39" t="s">
        <v>32</v>
      </c>
      <c r="R165" s="49">
        <v>111.45399999999999</v>
      </c>
      <c r="S165" s="40">
        <f t="shared" si="123"/>
        <v>41865</v>
      </c>
      <c r="T165" s="22" t="s">
        <v>144</v>
      </c>
      <c r="U165" s="41">
        <f t="shared" si="81"/>
        <v>7890.9431999999997</v>
      </c>
      <c r="V165" s="36">
        <v>155.72999999999999</v>
      </c>
      <c r="W165" s="38">
        <f t="shared" si="124"/>
        <v>1228856.5845359999</v>
      </c>
      <c r="X165" s="45">
        <v>1228856.58</v>
      </c>
      <c r="Y165" s="40">
        <v>41863</v>
      </c>
      <c r="Z165" s="48">
        <v>28284</v>
      </c>
      <c r="AA165" s="112"/>
    </row>
    <row r="166" spans="1:27" ht="19.5" customHeight="1">
      <c r="A166" s="35">
        <f t="shared" si="85"/>
        <v>161</v>
      </c>
      <c r="B166" s="36" t="s">
        <v>655</v>
      </c>
      <c r="C166" s="22" t="s">
        <v>759</v>
      </c>
      <c r="D166" s="21">
        <v>41869</v>
      </c>
      <c r="E166" s="27" t="s">
        <v>624</v>
      </c>
      <c r="F166" s="22" t="s">
        <v>163</v>
      </c>
      <c r="G166" s="22" t="s">
        <v>631</v>
      </c>
      <c r="H166" s="22" t="s">
        <v>133</v>
      </c>
      <c r="I166" s="37">
        <v>801.22</v>
      </c>
      <c r="J166" s="19">
        <v>41812</v>
      </c>
      <c r="K166" s="51" t="s">
        <v>79</v>
      </c>
      <c r="L166" s="51" t="s">
        <v>49</v>
      </c>
      <c r="M166" s="22" t="s">
        <v>60</v>
      </c>
      <c r="N166" s="20" t="s">
        <v>64</v>
      </c>
      <c r="O166" s="57">
        <v>208000</v>
      </c>
      <c r="P166" s="38">
        <f t="shared" si="105"/>
        <v>23904400</v>
      </c>
      <c r="Q166" s="39" t="s">
        <v>32</v>
      </c>
      <c r="R166" s="49">
        <v>114.925</v>
      </c>
      <c r="S166" s="40">
        <f t="shared" ref="S166:S167" si="125">SUM(J166)+89</f>
        <v>41901</v>
      </c>
      <c r="T166" s="20" t="s">
        <v>38</v>
      </c>
      <c r="U166" s="54">
        <f t="shared" si="81"/>
        <v>28685.279999999999</v>
      </c>
      <c r="V166" s="36">
        <v>155.72999999999999</v>
      </c>
      <c r="W166" s="38">
        <f t="shared" ref="W166:W167" si="126">SUM(U166*V166)</f>
        <v>4467158.6543999994</v>
      </c>
      <c r="X166" s="45">
        <v>4674266.38</v>
      </c>
      <c r="Y166" s="40">
        <v>41865</v>
      </c>
      <c r="Z166" s="48">
        <v>8867</v>
      </c>
      <c r="AA166" s="113"/>
    </row>
    <row r="167" spans="1:27" ht="21" customHeight="1">
      <c r="A167" s="35">
        <f t="shared" si="85"/>
        <v>162</v>
      </c>
      <c r="B167" s="36" t="s">
        <v>656</v>
      </c>
      <c r="C167" s="22" t="s">
        <v>760</v>
      </c>
      <c r="D167" s="21">
        <v>41869</v>
      </c>
      <c r="E167" s="27" t="s">
        <v>625</v>
      </c>
      <c r="F167" s="22" t="s">
        <v>163</v>
      </c>
      <c r="G167" s="22" t="s">
        <v>631</v>
      </c>
      <c r="H167" s="22" t="s">
        <v>133</v>
      </c>
      <c r="I167" s="37">
        <v>801.22</v>
      </c>
      <c r="J167" s="19">
        <v>41812</v>
      </c>
      <c r="K167" s="51" t="s">
        <v>79</v>
      </c>
      <c r="L167" s="51" t="s">
        <v>49</v>
      </c>
      <c r="M167" s="22" t="s">
        <v>60</v>
      </c>
      <c r="N167" s="20" t="s">
        <v>196</v>
      </c>
      <c r="O167" s="57">
        <v>124000</v>
      </c>
      <c r="P167" s="38">
        <f t="shared" si="105"/>
        <v>14250700</v>
      </c>
      <c r="Q167" s="39" t="s">
        <v>32</v>
      </c>
      <c r="R167" s="49">
        <v>114.925</v>
      </c>
      <c r="S167" s="40">
        <f t="shared" si="125"/>
        <v>41901</v>
      </c>
      <c r="T167" s="20" t="s">
        <v>38</v>
      </c>
      <c r="U167" s="54">
        <f t="shared" si="81"/>
        <v>17100.84</v>
      </c>
      <c r="V167" s="36">
        <v>155.72999999999999</v>
      </c>
      <c r="W167" s="38">
        <f t="shared" si="126"/>
        <v>2663113.8131999997</v>
      </c>
      <c r="X167" s="45">
        <v>2786581.87</v>
      </c>
      <c r="Y167" s="40">
        <v>41865</v>
      </c>
      <c r="Z167" s="48">
        <v>8867</v>
      </c>
      <c r="AA167" s="113"/>
    </row>
    <row r="168" spans="1:27" ht="20.25" customHeight="1">
      <c r="A168" s="35">
        <f t="shared" si="85"/>
        <v>163</v>
      </c>
      <c r="B168" s="36" t="s">
        <v>658</v>
      </c>
      <c r="C168" s="60" t="s">
        <v>763</v>
      </c>
      <c r="D168" s="62">
        <v>41876</v>
      </c>
      <c r="E168" s="27" t="s">
        <v>762</v>
      </c>
      <c r="F168" s="22" t="s">
        <v>130</v>
      </c>
      <c r="G168" s="22" t="s">
        <v>98</v>
      </c>
      <c r="H168" s="22" t="s">
        <v>133</v>
      </c>
      <c r="I168" s="37">
        <v>801.22</v>
      </c>
      <c r="J168" s="19">
        <v>41812</v>
      </c>
      <c r="K168" s="51" t="s">
        <v>79</v>
      </c>
      <c r="L168" s="51" t="s">
        <v>49</v>
      </c>
      <c r="M168" s="22" t="s">
        <v>60</v>
      </c>
      <c r="N168" s="20" t="s">
        <v>196</v>
      </c>
      <c r="O168" s="57">
        <v>326000</v>
      </c>
      <c r="P168" s="38">
        <f t="shared" si="105"/>
        <v>37059354</v>
      </c>
      <c r="Q168" s="39" t="s">
        <v>32</v>
      </c>
      <c r="R168" s="49">
        <v>113.679</v>
      </c>
      <c r="S168" s="40">
        <f t="shared" ref="S168:S171" si="127">SUM(J168)+89</f>
        <v>41901</v>
      </c>
      <c r="T168" s="20" t="s">
        <v>144</v>
      </c>
      <c r="U168" s="54">
        <f t="shared" si="81"/>
        <v>44471.224799999996</v>
      </c>
      <c r="V168" s="36">
        <v>155.72999999999999</v>
      </c>
      <c r="W168" s="38">
        <f t="shared" ref="W168:W171" si="128">SUM(U168*V168)</f>
        <v>6925503.8381039994</v>
      </c>
      <c r="X168" s="45">
        <v>6925503.8399999999</v>
      </c>
      <c r="Y168" s="40">
        <v>41872</v>
      </c>
      <c r="Z168" s="48">
        <v>28292</v>
      </c>
      <c r="AA168" s="113"/>
    </row>
    <row r="169" spans="1:27" ht="19.5" customHeight="1">
      <c r="A169" s="35">
        <f t="shared" si="85"/>
        <v>164</v>
      </c>
      <c r="B169" s="36" t="s">
        <v>646</v>
      </c>
      <c r="C169" s="20" t="s">
        <v>764</v>
      </c>
      <c r="D169" s="21">
        <v>41876</v>
      </c>
      <c r="E169" s="27" t="s">
        <v>615</v>
      </c>
      <c r="F169" s="22" t="s">
        <v>120</v>
      </c>
      <c r="G169" s="22" t="s">
        <v>53</v>
      </c>
      <c r="H169" s="22" t="s">
        <v>133</v>
      </c>
      <c r="I169" s="37">
        <v>801.22</v>
      </c>
      <c r="J169" s="19">
        <v>41793</v>
      </c>
      <c r="K169" s="51" t="s">
        <v>227</v>
      </c>
      <c r="L169" s="51" t="s">
        <v>49</v>
      </c>
      <c r="M169" s="22" t="s">
        <v>67</v>
      </c>
      <c r="N169" s="20" t="s">
        <v>68</v>
      </c>
      <c r="O169" s="57">
        <v>149638</v>
      </c>
      <c r="P169" s="38">
        <f t="shared" si="105"/>
        <v>16966854.267999999</v>
      </c>
      <c r="Q169" s="39" t="s">
        <v>32</v>
      </c>
      <c r="R169" s="9">
        <v>113.386</v>
      </c>
      <c r="S169" s="40">
        <f t="shared" si="127"/>
        <v>41882</v>
      </c>
      <c r="T169" s="22" t="s">
        <v>38</v>
      </c>
      <c r="U169" s="54">
        <f t="shared" si="81"/>
        <v>20360.225121599997</v>
      </c>
      <c r="V169" s="36">
        <v>155.72999999999999</v>
      </c>
      <c r="W169" s="38">
        <f t="shared" si="128"/>
        <v>3170697.8581867674</v>
      </c>
      <c r="X169" s="45">
        <v>3150338.38</v>
      </c>
      <c r="Y169" s="40">
        <v>41873</v>
      </c>
      <c r="Z169" s="48">
        <v>11240</v>
      </c>
      <c r="AA169" s="113"/>
    </row>
    <row r="170" spans="1:27" ht="19.5" customHeight="1">
      <c r="A170" s="35">
        <f t="shared" si="85"/>
        <v>165</v>
      </c>
      <c r="B170" s="36" t="s">
        <v>653</v>
      </c>
      <c r="C170" s="20" t="s">
        <v>765</v>
      </c>
      <c r="D170" s="40">
        <v>41876</v>
      </c>
      <c r="E170" s="27" t="s">
        <v>622</v>
      </c>
      <c r="F170" s="22" t="s">
        <v>120</v>
      </c>
      <c r="G170" s="51" t="s">
        <v>47</v>
      </c>
      <c r="H170" s="22" t="s">
        <v>133</v>
      </c>
      <c r="I170" s="37">
        <v>801.22</v>
      </c>
      <c r="J170" s="19">
        <v>41812</v>
      </c>
      <c r="K170" s="51" t="s">
        <v>79</v>
      </c>
      <c r="L170" s="51" t="s">
        <v>49</v>
      </c>
      <c r="M170" s="22" t="s">
        <v>60</v>
      </c>
      <c r="N170" s="20" t="s">
        <v>64</v>
      </c>
      <c r="O170" s="57">
        <v>80000</v>
      </c>
      <c r="P170" s="38">
        <f t="shared" si="105"/>
        <v>9096720</v>
      </c>
      <c r="Q170" s="39" t="s">
        <v>32</v>
      </c>
      <c r="R170" s="49">
        <v>113.709</v>
      </c>
      <c r="S170" s="40">
        <f t="shared" si="127"/>
        <v>41901</v>
      </c>
      <c r="T170" s="20" t="s">
        <v>38</v>
      </c>
      <c r="U170" s="54">
        <f t="shared" si="81"/>
        <v>10916.063999999998</v>
      </c>
      <c r="V170" s="36">
        <v>155.72999999999999</v>
      </c>
      <c r="W170" s="38">
        <f t="shared" si="128"/>
        <v>1699958.6467199996</v>
      </c>
      <c r="X170" s="45">
        <v>1689041.96</v>
      </c>
      <c r="Y170" s="40">
        <v>41873</v>
      </c>
      <c r="Z170" s="48">
        <v>11242</v>
      </c>
      <c r="AA170" s="113"/>
    </row>
    <row r="171" spans="1:27" ht="21.75" customHeight="1">
      <c r="A171" s="35">
        <f t="shared" si="85"/>
        <v>166</v>
      </c>
      <c r="B171" s="36" t="s">
        <v>654</v>
      </c>
      <c r="C171" s="20" t="s">
        <v>766</v>
      </c>
      <c r="D171" s="21">
        <v>41876</v>
      </c>
      <c r="E171" s="27" t="s">
        <v>623</v>
      </c>
      <c r="F171" s="22" t="s">
        <v>120</v>
      </c>
      <c r="G171" s="51" t="s">
        <v>53</v>
      </c>
      <c r="H171" s="22" t="s">
        <v>133</v>
      </c>
      <c r="I171" s="37">
        <v>801.22</v>
      </c>
      <c r="J171" s="19">
        <v>41812</v>
      </c>
      <c r="K171" s="51" t="s">
        <v>79</v>
      </c>
      <c r="L171" s="51" t="s">
        <v>49</v>
      </c>
      <c r="M171" s="22" t="s">
        <v>60</v>
      </c>
      <c r="N171" s="20" t="s">
        <v>64</v>
      </c>
      <c r="O171" s="57">
        <v>242344</v>
      </c>
      <c r="P171" s="38">
        <f t="shared" si="105"/>
        <v>27462349.376800001</v>
      </c>
      <c r="Q171" s="39" t="s">
        <v>32</v>
      </c>
      <c r="R171" s="75">
        <v>113.3197</v>
      </c>
      <c r="S171" s="40">
        <f t="shared" si="127"/>
        <v>41901</v>
      </c>
      <c r="T171" s="20" t="s">
        <v>38</v>
      </c>
      <c r="U171" s="54">
        <f t="shared" ref="U171:U176" si="129">SUM(P171*0.12%)</f>
        <v>32954.819252159999</v>
      </c>
      <c r="V171" s="36">
        <v>155.72999999999999</v>
      </c>
      <c r="W171" s="38">
        <f t="shared" si="128"/>
        <v>5132054.0021388764</v>
      </c>
      <c r="X171" s="45">
        <v>5099099.29</v>
      </c>
      <c r="Y171" s="40">
        <v>41873</v>
      </c>
      <c r="Z171" s="48">
        <v>11241</v>
      </c>
      <c r="AA171" s="113"/>
    </row>
    <row r="172" spans="1:27" ht="93.75" customHeight="1">
      <c r="A172" s="35">
        <f t="shared" si="85"/>
        <v>167</v>
      </c>
      <c r="B172" s="36" t="s">
        <v>432</v>
      </c>
      <c r="C172" s="22" t="s">
        <v>769</v>
      </c>
      <c r="D172" s="19">
        <v>41879</v>
      </c>
      <c r="E172" s="26" t="s">
        <v>767</v>
      </c>
      <c r="F172" s="22" t="s">
        <v>163</v>
      </c>
      <c r="G172" s="22" t="s">
        <v>65</v>
      </c>
      <c r="H172" s="22" t="s">
        <v>133</v>
      </c>
      <c r="I172" s="37">
        <v>801.22</v>
      </c>
      <c r="J172" s="21">
        <v>41729</v>
      </c>
      <c r="K172" s="22" t="s">
        <v>423</v>
      </c>
      <c r="L172" s="22" t="s">
        <v>49</v>
      </c>
      <c r="M172" s="22" t="s">
        <v>69</v>
      </c>
      <c r="N172" s="22" t="s">
        <v>426</v>
      </c>
      <c r="O172" s="23">
        <v>355000</v>
      </c>
      <c r="P172" s="38">
        <f t="shared" si="105"/>
        <v>37800045</v>
      </c>
      <c r="Q172" s="39" t="s">
        <v>32</v>
      </c>
      <c r="R172" s="49">
        <v>106.479</v>
      </c>
      <c r="S172" s="40">
        <f t="shared" ref="S172" si="130">SUM(J172)+89</f>
        <v>41818</v>
      </c>
      <c r="T172" s="22" t="s">
        <v>38</v>
      </c>
      <c r="U172" s="41">
        <f t="shared" si="129"/>
        <v>45360.053999999996</v>
      </c>
      <c r="V172" s="36">
        <v>155.74</v>
      </c>
      <c r="W172" s="38">
        <f t="shared" ref="W172:W185" si="131">SUM(U172*V172)</f>
        <v>7064374.8099600002</v>
      </c>
      <c r="X172" s="45">
        <v>7286180.9400000004</v>
      </c>
      <c r="Y172" s="40">
        <v>41787</v>
      </c>
      <c r="Z172" s="48">
        <v>7715</v>
      </c>
      <c r="AA172" s="22" t="s">
        <v>768</v>
      </c>
    </row>
    <row r="173" spans="1:27" ht="21.75" customHeight="1">
      <c r="A173" s="35">
        <f t="shared" si="85"/>
        <v>168</v>
      </c>
      <c r="B173" s="36" t="s">
        <v>737</v>
      </c>
      <c r="C173" s="22" t="s">
        <v>770</v>
      </c>
      <c r="D173" s="21">
        <v>41879</v>
      </c>
      <c r="E173" s="27" t="s">
        <v>754</v>
      </c>
      <c r="F173" s="22" t="s">
        <v>39</v>
      </c>
      <c r="G173" s="22" t="s">
        <v>97</v>
      </c>
      <c r="H173" s="22" t="s">
        <v>133</v>
      </c>
      <c r="I173" s="37">
        <v>801.22</v>
      </c>
      <c r="J173" s="19">
        <v>41844</v>
      </c>
      <c r="K173" s="51" t="s">
        <v>719</v>
      </c>
      <c r="L173" s="51" t="s">
        <v>49</v>
      </c>
      <c r="M173" s="22" t="s">
        <v>41</v>
      </c>
      <c r="N173" s="20" t="s">
        <v>42</v>
      </c>
      <c r="O173" s="57">
        <v>47000</v>
      </c>
      <c r="P173" s="38">
        <f t="shared" si="105"/>
        <v>5070219</v>
      </c>
      <c r="Q173" s="39" t="s">
        <v>32</v>
      </c>
      <c r="R173" s="49">
        <v>107.877</v>
      </c>
      <c r="S173" s="40">
        <f t="shared" ref="S173:S175" si="132">SUM(J173)+89</f>
        <v>41933</v>
      </c>
      <c r="T173" s="22" t="s">
        <v>39</v>
      </c>
      <c r="U173" s="41">
        <f t="shared" si="129"/>
        <v>6084.2627999999995</v>
      </c>
      <c r="V173" s="36">
        <v>155.72999999999999</v>
      </c>
      <c r="W173" s="38">
        <f t="shared" si="131"/>
        <v>947502.2458439999</v>
      </c>
      <c r="X173" s="45">
        <v>947502.25</v>
      </c>
      <c r="Y173" s="40">
        <v>41877</v>
      </c>
      <c r="Z173" s="48">
        <v>4418</v>
      </c>
      <c r="AA173" s="113"/>
    </row>
    <row r="174" spans="1:27" ht="21.75" customHeight="1">
      <c r="A174" s="35">
        <f t="shared" ref="A174:A237" si="133">A173+1</f>
        <v>169</v>
      </c>
      <c r="B174" s="36" t="s">
        <v>738</v>
      </c>
      <c r="C174" s="22" t="s">
        <v>771</v>
      </c>
      <c r="D174" s="21">
        <v>41879</v>
      </c>
      <c r="E174" s="27" t="s">
        <v>755</v>
      </c>
      <c r="F174" s="22" t="s">
        <v>39</v>
      </c>
      <c r="G174" s="22" t="s">
        <v>97</v>
      </c>
      <c r="H174" s="22" t="s">
        <v>133</v>
      </c>
      <c r="I174" s="37">
        <v>801.22</v>
      </c>
      <c r="J174" s="19">
        <v>41844</v>
      </c>
      <c r="K174" s="51" t="s">
        <v>719</v>
      </c>
      <c r="L174" s="51" t="s">
        <v>49</v>
      </c>
      <c r="M174" s="22" t="s">
        <v>41</v>
      </c>
      <c r="N174" s="20" t="s">
        <v>42</v>
      </c>
      <c r="O174" s="57">
        <v>40000</v>
      </c>
      <c r="P174" s="38">
        <f t="shared" si="105"/>
        <v>4315080</v>
      </c>
      <c r="Q174" s="39" t="s">
        <v>32</v>
      </c>
      <c r="R174" s="49">
        <v>107.877</v>
      </c>
      <c r="S174" s="40">
        <f t="shared" si="132"/>
        <v>41933</v>
      </c>
      <c r="T174" s="22" t="s">
        <v>39</v>
      </c>
      <c r="U174" s="41">
        <f t="shared" si="129"/>
        <v>5178.0959999999995</v>
      </c>
      <c r="V174" s="36">
        <v>155.72999999999999</v>
      </c>
      <c r="W174" s="38">
        <f t="shared" si="131"/>
        <v>806384.89007999992</v>
      </c>
      <c r="X174" s="45">
        <v>806384.89</v>
      </c>
      <c r="Y174" s="40">
        <v>41877</v>
      </c>
      <c r="Z174" s="48">
        <v>4419</v>
      </c>
      <c r="AA174" s="113"/>
    </row>
    <row r="175" spans="1:27" ht="21.75" customHeight="1">
      <c r="A175" s="35">
        <f t="shared" si="133"/>
        <v>170</v>
      </c>
      <c r="B175" s="36" t="s">
        <v>739</v>
      </c>
      <c r="C175" s="22" t="s">
        <v>772</v>
      </c>
      <c r="D175" s="21">
        <v>41879</v>
      </c>
      <c r="E175" s="27" t="s">
        <v>715</v>
      </c>
      <c r="F175" s="22" t="s">
        <v>187</v>
      </c>
      <c r="G175" s="22" t="s">
        <v>97</v>
      </c>
      <c r="H175" s="22" t="s">
        <v>133</v>
      </c>
      <c r="I175" s="37">
        <v>801.22</v>
      </c>
      <c r="J175" s="19">
        <v>41844</v>
      </c>
      <c r="K175" s="51" t="s">
        <v>719</v>
      </c>
      <c r="L175" s="51" t="s">
        <v>49</v>
      </c>
      <c r="M175" s="22" t="s">
        <v>41</v>
      </c>
      <c r="N175" s="20" t="s">
        <v>42</v>
      </c>
      <c r="O175" s="57">
        <v>54000</v>
      </c>
      <c r="P175" s="38">
        <f t="shared" si="105"/>
        <v>5825358</v>
      </c>
      <c r="Q175" s="39" t="s">
        <v>32</v>
      </c>
      <c r="R175" s="49">
        <v>107.877</v>
      </c>
      <c r="S175" s="40">
        <f t="shared" si="132"/>
        <v>41933</v>
      </c>
      <c r="T175" s="22" t="s">
        <v>39</v>
      </c>
      <c r="U175" s="41">
        <f t="shared" si="129"/>
        <v>6990.4295999999995</v>
      </c>
      <c r="V175" s="36">
        <v>155.72999999999999</v>
      </c>
      <c r="W175" s="38">
        <f t="shared" si="131"/>
        <v>1088619.6016079998</v>
      </c>
      <c r="X175" s="45">
        <v>1088619.6000000001</v>
      </c>
      <c r="Y175" s="40">
        <v>41877</v>
      </c>
      <c r="Z175" s="48">
        <v>4420</v>
      </c>
      <c r="AA175" s="113"/>
    </row>
    <row r="176" spans="1:27" ht="20.25" customHeight="1">
      <c r="A176" s="35">
        <f t="shared" si="133"/>
        <v>171</v>
      </c>
      <c r="B176" s="36" t="s">
        <v>297</v>
      </c>
      <c r="C176" s="20" t="s">
        <v>774</v>
      </c>
      <c r="D176" s="19">
        <v>41880</v>
      </c>
      <c r="E176" s="26" t="s">
        <v>273</v>
      </c>
      <c r="F176" s="22" t="s">
        <v>120</v>
      </c>
      <c r="G176" s="22" t="s">
        <v>53</v>
      </c>
      <c r="H176" s="22" t="s">
        <v>133</v>
      </c>
      <c r="I176" s="37">
        <v>801.22</v>
      </c>
      <c r="J176" s="21">
        <v>41655</v>
      </c>
      <c r="K176" s="22" t="s">
        <v>281</v>
      </c>
      <c r="L176" s="22" t="s">
        <v>49</v>
      </c>
      <c r="M176" s="22" t="s">
        <v>31</v>
      </c>
      <c r="N176" s="20" t="s">
        <v>108</v>
      </c>
      <c r="O176" s="23">
        <v>120284</v>
      </c>
      <c r="P176" s="38">
        <f t="shared" ref="P176:P218" si="134">SUM(O176*R176)</f>
        <v>13193711.392000001</v>
      </c>
      <c r="Q176" s="39" t="s">
        <v>32</v>
      </c>
      <c r="R176" s="9">
        <v>109.688</v>
      </c>
      <c r="S176" s="40">
        <f t="shared" ref="S176" si="135">SUM(J176)+89</f>
        <v>41744</v>
      </c>
      <c r="T176" s="22" t="s">
        <v>38</v>
      </c>
      <c r="U176" s="41">
        <f t="shared" si="129"/>
        <v>15832.4536704</v>
      </c>
      <c r="V176" s="36">
        <v>155.75</v>
      </c>
      <c r="W176" s="38">
        <f t="shared" si="131"/>
        <v>2465904.6591647998</v>
      </c>
      <c r="X176" s="45">
        <v>2449596.66</v>
      </c>
      <c r="Y176" s="40">
        <v>41719</v>
      </c>
      <c r="Z176" s="48">
        <v>9345</v>
      </c>
      <c r="AA176" s="113"/>
    </row>
    <row r="177" spans="1:27" ht="20.25" customHeight="1">
      <c r="A177" s="35">
        <f t="shared" si="133"/>
        <v>172</v>
      </c>
      <c r="B177" s="36" t="s">
        <v>804</v>
      </c>
      <c r="C177" s="21" t="s">
        <v>775</v>
      </c>
      <c r="D177" s="21">
        <v>41882</v>
      </c>
      <c r="E177" s="27" t="s">
        <v>783</v>
      </c>
      <c r="F177" s="22" t="s">
        <v>278</v>
      </c>
      <c r="G177" s="22" t="s">
        <v>44</v>
      </c>
      <c r="H177" s="22" t="s">
        <v>35</v>
      </c>
      <c r="I177" s="37">
        <v>801.22</v>
      </c>
      <c r="J177" s="19">
        <v>41857</v>
      </c>
      <c r="K177" s="51" t="s">
        <v>794</v>
      </c>
      <c r="L177" s="51" t="s">
        <v>36</v>
      </c>
      <c r="M177" s="22" t="s">
        <v>78</v>
      </c>
      <c r="N177" s="20" t="s">
        <v>371</v>
      </c>
      <c r="O177" s="23">
        <v>950202</v>
      </c>
      <c r="P177" s="53">
        <f t="shared" si="134"/>
        <v>98874219.311999992</v>
      </c>
      <c r="Q177" s="39" t="s">
        <v>32</v>
      </c>
      <c r="R177" s="9">
        <v>104.056</v>
      </c>
      <c r="S177" s="40">
        <f t="shared" ref="S177:S182" si="136">SUM(J177)+89</f>
        <v>41946</v>
      </c>
      <c r="T177" s="22" t="s">
        <v>278</v>
      </c>
      <c r="U177" s="54">
        <f t="shared" ref="U177:U182" si="137">SUM(P177*0.12%)</f>
        <v>118649.06317439998</v>
      </c>
      <c r="V177" s="36">
        <v>155.72999999999999</v>
      </c>
      <c r="W177" s="53">
        <f t="shared" si="131"/>
        <v>18477218.608149309</v>
      </c>
      <c r="X177" s="70">
        <f t="shared" ref="X177:X182" si="138">W177</f>
        <v>18477218.608149309</v>
      </c>
      <c r="Y177" s="36"/>
      <c r="Z177" s="36"/>
      <c r="AA177" s="113"/>
    </row>
    <row r="178" spans="1:27" ht="20.25" customHeight="1">
      <c r="A178" s="35">
        <f t="shared" si="133"/>
        <v>173</v>
      </c>
      <c r="B178" s="36" t="s">
        <v>805</v>
      </c>
      <c r="C178" s="21" t="s">
        <v>776</v>
      </c>
      <c r="D178" s="21">
        <v>41882</v>
      </c>
      <c r="E178" s="27" t="s">
        <v>784</v>
      </c>
      <c r="F178" s="22" t="s">
        <v>278</v>
      </c>
      <c r="G178" s="22" t="s">
        <v>44</v>
      </c>
      <c r="H178" s="22" t="s">
        <v>45</v>
      </c>
      <c r="I178" s="37">
        <v>801.22</v>
      </c>
      <c r="J178" s="19">
        <v>41861</v>
      </c>
      <c r="K178" s="51" t="s">
        <v>795</v>
      </c>
      <c r="L178" s="51" t="s">
        <v>46</v>
      </c>
      <c r="M178" s="22" t="s">
        <v>90</v>
      </c>
      <c r="N178" s="20" t="s">
        <v>91</v>
      </c>
      <c r="O178" s="23">
        <v>899711</v>
      </c>
      <c r="P178" s="53">
        <f t="shared" si="134"/>
        <v>93354013.359999999</v>
      </c>
      <c r="Q178" s="39" t="s">
        <v>32</v>
      </c>
      <c r="R178" s="9">
        <v>103.76</v>
      </c>
      <c r="S178" s="40">
        <f t="shared" si="136"/>
        <v>41950</v>
      </c>
      <c r="T178" s="22" t="s">
        <v>278</v>
      </c>
      <c r="U178" s="54">
        <f t="shared" si="137"/>
        <v>112024.81603199999</v>
      </c>
      <c r="V178" s="36">
        <v>155.72999999999999</v>
      </c>
      <c r="W178" s="53">
        <f t="shared" si="131"/>
        <v>17445624.600663356</v>
      </c>
      <c r="X178" s="70">
        <f t="shared" si="138"/>
        <v>17445624.600663356</v>
      </c>
      <c r="Y178" s="36"/>
      <c r="Z178" s="36"/>
      <c r="AA178" s="113"/>
    </row>
    <row r="179" spans="1:27" ht="20.25" customHeight="1">
      <c r="A179" s="35">
        <f t="shared" si="133"/>
        <v>174</v>
      </c>
      <c r="B179" s="36" t="s">
        <v>806</v>
      </c>
      <c r="C179" s="21" t="s">
        <v>777</v>
      </c>
      <c r="D179" s="21">
        <v>41882</v>
      </c>
      <c r="E179" s="27" t="s">
        <v>785</v>
      </c>
      <c r="F179" s="22" t="s">
        <v>278</v>
      </c>
      <c r="G179" s="22" t="s">
        <v>44</v>
      </c>
      <c r="H179" s="22" t="s">
        <v>133</v>
      </c>
      <c r="I179" s="37">
        <v>801.22</v>
      </c>
      <c r="J179" s="19">
        <v>41864</v>
      </c>
      <c r="K179" s="51" t="s">
        <v>71</v>
      </c>
      <c r="L179" s="51" t="s">
        <v>49</v>
      </c>
      <c r="M179" s="22" t="s">
        <v>31</v>
      </c>
      <c r="N179" s="20" t="s">
        <v>108</v>
      </c>
      <c r="O179" s="23">
        <v>949173</v>
      </c>
      <c r="P179" s="53">
        <f t="shared" si="134"/>
        <v>96523300.715999991</v>
      </c>
      <c r="Q179" s="39" t="s">
        <v>32</v>
      </c>
      <c r="R179" s="9">
        <v>101.69199999999999</v>
      </c>
      <c r="S179" s="40">
        <f t="shared" si="136"/>
        <v>41953</v>
      </c>
      <c r="T179" s="22" t="s">
        <v>278</v>
      </c>
      <c r="U179" s="54">
        <f t="shared" si="137"/>
        <v>115827.96085919999</v>
      </c>
      <c r="V179" s="36">
        <v>155.72999999999999</v>
      </c>
      <c r="W179" s="53">
        <f t="shared" si="131"/>
        <v>18037888.344603214</v>
      </c>
      <c r="X179" s="70">
        <f t="shared" si="138"/>
        <v>18037888.344603214</v>
      </c>
      <c r="Y179" s="36"/>
      <c r="Z179" s="36"/>
      <c r="AA179" s="113"/>
    </row>
    <row r="180" spans="1:27" ht="20.25" customHeight="1">
      <c r="A180" s="35">
        <f t="shared" si="133"/>
        <v>175</v>
      </c>
      <c r="B180" s="36" t="s">
        <v>816</v>
      </c>
      <c r="C180" s="21" t="s">
        <v>778</v>
      </c>
      <c r="D180" s="21">
        <v>41882</v>
      </c>
      <c r="E180" s="18" t="s">
        <v>787</v>
      </c>
      <c r="F180" s="22" t="s">
        <v>278</v>
      </c>
      <c r="G180" s="22" t="s">
        <v>44</v>
      </c>
      <c r="H180" s="22" t="s">
        <v>35</v>
      </c>
      <c r="I180" s="37">
        <v>801.22</v>
      </c>
      <c r="J180" s="21">
        <v>41874</v>
      </c>
      <c r="K180" s="22" t="s">
        <v>129</v>
      </c>
      <c r="L180" s="22" t="s">
        <v>36</v>
      </c>
      <c r="M180" s="22" t="s">
        <v>80</v>
      </c>
      <c r="N180" s="20" t="s">
        <v>800</v>
      </c>
      <c r="O180" s="23">
        <v>950274</v>
      </c>
      <c r="P180" s="53">
        <f t="shared" si="134"/>
        <v>96485690.480399996</v>
      </c>
      <c r="Q180" s="39" t="s">
        <v>32</v>
      </c>
      <c r="R180" s="49">
        <v>101.5346</v>
      </c>
      <c r="S180" s="40">
        <f t="shared" si="136"/>
        <v>41963</v>
      </c>
      <c r="T180" s="22" t="s">
        <v>278</v>
      </c>
      <c r="U180" s="54">
        <f t="shared" si="137"/>
        <v>115782.82857647998</v>
      </c>
      <c r="V180" s="36">
        <v>155.72999999999999</v>
      </c>
      <c r="W180" s="53">
        <f t="shared" si="131"/>
        <v>18030859.894215226</v>
      </c>
      <c r="X180" s="70">
        <f t="shared" si="138"/>
        <v>18030859.894215226</v>
      </c>
      <c r="Y180" s="36"/>
      <c r="Z180" s="36"/>
      <c r="AA180" s="113"/>
    </row>
    <row r="181" spans="1:27" ht="20.25" customHeight="1">
      <c r="A181" s="35">
        <f t="shared" si="133"/>
        <v>176</v>
      </c>
      <c r="B181" s="36" t="s">
        <v>818</v>
      </c>
      <c r="C181" s="21" t="s">
        <v>779</v>
      </c>
      <c r="D181" s="21">
        <v>41882</v>
      </c>
      <c r="E181" s="26" t="s">
        <v>789</v>
      </c>
      <c r="F181" s="22" t="s">
        <v>278</v>
      </c>
      <c r="G181" s="22" t="s">
        <v>44</v>
      </c>
      <c r="H181" s="22" t="s">
        <v>133</v>
      </c>
      <c r="I181" s="37">
        <v>801.22</v>
      </c>
      <c r="J181" s="21">
        <v>41882</v>
      </c>
      <c r="K181" s="22" t="s">
        <v>96</v>
      </c>
      <c r="L181" s="22" t="s">
        <v>49</v>
      </c>
      <c r="M181" s="22" t="s">
        <v>77</v>
      </c>
      <c r="N181" s="20" t="s">
        <v>103</v>
      </c>
      <c r="O181" s="23">
        <v>24000</v>
      </c>
      <c r="P181" s="53">
        <f t="shared" si="134"/>
        <v>2427648</v>
      </c>
      <c r="Q181" s="39" t="s">
        <v>32</v>
      </c>
      <c r="R181" s="49">
        <v>101.152</v>
      </c>
      <c r="S181" s="40">
        <f t="shared" si="136"/>
        <v>41971</v>
      </c>
      <c r="T181" s="20" t="s">
        <v>278</v>
      </c>
      <c r="U181" s="54">
        <f t="shared" si="137"/>
        <v>2913.1775999999995</v>
      </c>
      <c r="V181" s="36">
        <v>155.72999999999999</v>
      </c>
      <c r="W181" s="53">
        <f t="shared" si="131"/>
        <v>453669.14764799993</v>
      </c>
      <c r="X181" s="70">
        <f t="shared" si="138"/>
        <v>453669.14764799993</v>
      </c>
      <c r="Y181" s="36"/>
      <c r="Z181" s="36"/>
      <c r="AA181" s="113"/>
    </row>
    <row r="182" spans="1:27" ht="20.25" customHeight="1">
      <c r="A182" s="35">
        <f t="shared" si="133"/>
        <v>177</v>
      </c>
      <c r="B182" s="36" t="s">
        <v>819</v>
      </c>
      <c r="C182" s="21" t="s">
        <v>780</v>
      </c>
      <c r="D182" s="21">
        <v>41882</v>
      </c>
      <c r="E182" s="26" t="s">
        <v>790</v>
      </c>
      <c r="F182" s="22" t="s">
        <v>278</v>
      </c>
      <c r="G182" s="22" t="s">
        <v>44</v>
      </c>
      <c r="H182" s="22" t="s">
        <v>133</v>
      </c>
      <c r="I182" s="37">
        <v>801.22</v>
      </c>
      <c r="J182" s="21">
        <v>41882</v>
      </c>
      <c r="K182" s="22" t="s">
        <v>96</v>
      </c>
      <c r="L182" s="22" t="s">
        <v>49</v>
      </c>
      <c r="M182" s="22" t="s">
        <v>77</v>
      </c>
      <c r="N182" s="20" t="s">
        <v>103</v>
      </c>
      <c r="O182" s="23">
        <v>276000</v>
      </c>
      <c r="P182" s="53">
        <f t="shared" si="134"/>
        <v>27917952</v>
      </c>
      <c r="Q182" s="39" t="s">
        <v>32</v>
      </c>
      <c r="R182" s="49">
        <v>101.152</v>
      </c>
      <c r="S182" s="40">
        <f t="shared" si="136"/>
        <v>41971</v>
      </c>
      <c r="T182" s="20" t="s">
        <v>278</v>
      </c>
      <c r="U182" s="54">
        <f t="shared" si="137"/>
        <v>33501.542399999998</v>
      </c>
      <c r="V182" s="36">
        <v>155.72999999999999</v>
      </c>
      <c r="W182" s="53">
        <f t="shared" si="131"/>
        <v>5217195.1979519995</v>
      </c>
      <c r="X182" s="70">
        <f t="shared" si="138"/>
        <v>5217195.1979519995</v>
      </c>
      <c r="Y182" s="36"/>
      <c r="Z182" s="36"/>
      <c r="AA182" s="113"/>
    </row>
    <row r="183" spans="1:27" ht="21" customHeight="1">
      <c r="A183" s="35">
        <f t="shared" si="133"/>
        <v>178</v>
      </c>
      <c r="B183" s="36" t="s">
        <v>637</v>
      </c>
      <c r="C183" s="22" t="s">
        <v>821</v>
      </c>
      <c r="D183" s="21">
        <v>41891</v>
      </c>
      <c r="E183" s="27" t="s">
        <v>682</v>
      </c>
      <c r="F183" s="22" t="s">
        <v>163</v>
      </c>
      <c r="G183" s="22" t="s">
        <v>34</v>
      </c>
      <c r="H183" s="22" t="s">
        <v>35</v>
      </c>
      <c r="I183" s="37">
        <v>801.22</v>
      </c>
      <c r="J183" s="19">
        <v>41791</v>
      </c>
      <c r="K183" s="51" t="s">
        <v>156</v>
      </c>
      <c r="L183" s="51" t="s">
        <v>36</v>
      </c>
      <c r="M183" s="22" t="s">
        <v>67</v>
      </c>
      <c r="N183" s="20" t="s">
        <v>68</v>
      </c>
      <c r="O183" s="23">
        <v>950125</v>
      </c>
      <c r="P183" s="38">
        <f t="shared" si="134"/>
        <v>108661615.7</v>
      </c>
      <c r="Q183" s="39" t="s">
        <v>32</v>
      </c>
      <c r="R183" s="9">
        <v>114.3656</v>
      </c>
      <c r="S183" s="40">
        <f t="shared" ref="S183" si="139">SUM(J183)+89</f>
        <v>41880</v>
      </c>
      <c r="T183" s="50" t="s">
        <v>38</v>
      </c>
      <c r="U183" s="54">
        <f t="shared" ref="U183:U184" si="140">SUM(P183*0.12%)</f>
        <v>130393.93883999999</v>
      </c>
      <c r="V183" s="36">
        <v>155.72999999999999</v>
      </c>
      <c r="W183" s="38">
        <f t="shared" si="131"/>
        <v>20306248.095553197</v>
      </c>
      <c r="X183" s="72">
        <v>20509310.579999998</v>
      </c>
      <c r="Y183" s="40">
        <v>41887</v>
      </c>
      <c r="Z183" s="48">
        <v>10317</v>
      </c>
      <c r="AA183" s="113"/>
    </row>
    <row r="184" spans="1:27" ht="20.25" customHeight="1">
      <c r="A184" s="35">
        <f t="shared" si="133"/>
        <v>179</v>
      </c>
      <c r="B184" s="36" t="s">
        <v>807</v>
      </c>
      <c r="C184" s="44" t="s">
        <v>822</v>
      </c>
      <c r="D184" s="40">
        <v>41893</v>
      </c>
      <c r="E184" s="27" t="s">
        <v>786</v>
      </c>
      <c r="F184" s="22" t="s">
        <v>150</v>
      </c>
      <c r="G184" s="22" t="s">
        <v>279</v>
      </c>
      <c r="H184" s="22" t="s">
        <v>159</v>
      </c>
      <c r="I184" s="37">
        <v>801.22</v>
      </c>
      <c r="J184" s="19">
        <v>41867</v>
      </c>
      <c r="K184" s="51" t="s">
        <v>796</v>
      </c>
      <c r="L184" s="51" t="s">
        <v>160</v>
      </c>
      <c r="M184" s="22" t="s">
        <v>80</v>
      </c>
      <c r="N184" s="20" t="s">
        <v>166</v>
      </c>
      <c r="O184" s="23">
        <v>701101</v>
      </c>
      <c r="P184" s="53">
        <f t="shared" si="134"/>
        <v>66076665.946999997</v>
      </c>
      <c r="Q184" s="39" t="s">
        <v>32</v>
      </c>
      <c r="R184" s="9">
        <v>94.247</v>
      </c>
      <c r="S184" s="40">
        <f t="shared" ref="S184" si="141">SUM(J184)+89</f>
        <v>41956</v>
      </c>
      <c r="T184" s="22" t="s">
        <v>163</v>
      </c>
      <c r="U184" s="54">
        <f t="shared" si="140"/>
        <v>79291.999136399987</v>
      </c>
      <c r="V184" s="36">
        <v>155.72999999999999</v>
      </c>
      <c r="W184" s="53">
        <f t="shared" si="131"/>
        <v>12348143.025511568</v>
      </c>
      <c r="X184" s="70">
        <v>12348143.029999999</v>
      </c>
      <c r="Y184" s="40">
        <v>41886</v>
      </c>
      <c r="Z184" s="48">
        <v>3613</v>
      </c>
      <c r="AA184" s="113"/>
    </row>
    <row r="185" spans="1:27" ht="20.25" customHeight="1">
      <c r="A185" s="35">
        <f t="shared" si="133"/>
        <v>180</v>
      </c>
      <c r="B185" s="36" t="s">
        <v>802</v>
      </c>
      <c r="C185" s="22" t="s">
        <v>823</v>
      </c>
      <c r="D185" s="21">
        <v>41906</v>
      </c>
      <c r="E185" s="27" t="s">
        <v>782</v>
      </c>
      <c r="F185" s="22" t="s">
        <v>39</v>
      </c>
      <c r="G185" s="22" t="s">
        <v>97</v>
      </c>
      <c r="H185" s="22" t="s">
        <v>133</v>
      </c>
      <c r="I185" s="37">
        <v>801.22</v>
      </c>
      <c r="J185" s="19">
        <v>41854</v>
      </c>
      <c r="K185" s="51" t="s">
        <v>793</v>
      </c>
      <c r="L185" s="51" t="s">
        <v>49</v>
      </c>
      <c r="M185" s="22" t="s">
        <v>56</v>
      </c>
      <c r="N185" s="78" t="s">
        <v>57</v>
      </c>
      <c r="O185" s="23">
        <v>42000</v>
      </c>
      <c r="P185" s="53">
        <f t="shared" si="134"/>
        <v>4263714</v>
      </c>
      <c r="Q185" s="39" t="s">
        <v>32</v>
      </c>
      <c r="R185" s="9">
        <v>101.517</v>
      </c>
      <c r="S185" s="40">
        <f t="shared" ref="S185:S188" si="142">SUM(J185)+89</f>
        <v>41943</v>
      </c>
      <c r="T185" s="22" t="s">
        <v>39</v>
      </c>
      <c r="U185" s="54">
        <f t="shared" ref="U185:U190" si="143">SUM(P185*0.12%)</f>
        <v>5116.4567999999999</v>
      </c>
      <c r="V185" s="36">
        <v>155.72999999999999</v>
      </c>
      <c r="W185" s="53">
        <f t="shared" si="131"/>
        <v>796785.81746399996</v>
      </c>
      <c r="X185" s="70">
        <v>796785.82</v>
      </c>
      <c r="Y185" s="40">
        <v>41905</v>
      </c>
      <c r="Z185" s="48">
        <v>4424</v>
      </c>
      <c r="AA185" s="113"/>
    </row>
    <row r="186" spans="1:27" ht="20.25" customHeight="1">
      <c r="A186" s="35">
        <f t="shared" si="133"/>
        <v>181</v>
      </c>
      <c r="B186" s="36" t="s">
        <v>812</v>
      </c>
      <c r="C186" s="22" t="s">
        <v>824</v>
      </c>
      <c r="D186" s="21">
        <v>41906</v>
      </c>
      <c r="E186" s="18">
        <v>201401010081</v>
      </c>
      <c r="F186" s="22" t="s">
        <v>39</v>
      </c>
      <c r="G186" s="22" t="s">
        <v>97</v>
      </c>
      <c r="H186" s="22" t="s">
        <v>133</v>
      </c>
      <c r="I186" s="37">
        <v>801.22</v>
      </c>
      <c r="J186" s="19">
        <v>41873</v>
      </c>
      <c r="K186" s="51" t="s">
        <v>798</v>
      </c>
      <c r="L186" s="74" t="s">
        <v>49</v>
      </c>
      <c r="M186" s="22" t="s">
        <v>50</v>
      </c>
      <c r="N186" s="20" t="s">
        <v>76</v>
      </c>
      <c r="O186" s="23">
        <v>34000</v>
      </c>
      <c r="P186" s="53">
        <f t="shared" si="134"/>
        <v>3451578</v>
      </c>
      <c r="Q186" s="39" t="s">
        <v>32</v>
      </c>
      <c r="R186" s="9">
        <v>101.517</v>
      </c>
      <c r="S186" s="40">
        <f t="shared" si="142"/>
        <v>41962</v>
      </c>
      <c r="T186" s="22" t="s">
        <v>39</v>
      </c>
      <c r="U186" s="54">
        <f t="shared" si="143"/>
        <v>4141.8935999999994</v>
      </c>
      <c r="V186" s="36">
        <v>155.72999999999999</v>
      </c>
      <c r="W186" s="53">
        <f t="shared" ref="W186:W190" si="144">SUM(U186*V186)</f>
        <v>645017.0903279999</v>
      </c>
      <c r="X186" s="70">
        <v>645017.09</v>
      </c>
      <c r="Y186" s="40">
        <v>41886</v>
      </c>
      <c r="Z186" s="48">
        <v>4425</v>
      </c>
      <c r="AA186" s="113"/>
    </row>
    <row r="187" spans="1:27" ht="20.25" customHeight="1">
      <c r="A187" s="35">
        <f t="shared" si="133"/>
        <v>182</v>
      </c>
      <c r="B187" s="36" t="s">
        <v>813</v>
      </c>
      <c r="C187" s="22" t="s">
        <v>825</v>
      </c>
      <c r="D187" s="21">
        <v>41906</v>
      </c>
      <c r="E187" s="18">
        <v>201401010082</v>
      </c>
      <c r="F187" s="22" t="s">
        <v>39</v>
      </c>
      <c r="G187" s="22" t="s">
        <v>97</v>
      </c>
      <c r="H187" s="22" t="s">
        <v>133</v>
      </c>
      <c r="I187" s="37">
        <v>801.22</v>
      </c>
      <c r="J187" s="19">
        <v>41873</v>
      </c>
      <c r="K187" s="51" t="s">
        <v>798</v>
      </c>
      <c r="L187" s="74" t="s">
        <v>49</v>
      </c>
      <c r="M187" s="22" t="s">
        <v>50</v>
      </c>
      <c r="N187" s="20" t="s">
        <v>76</v>
      </c>
      <c r="O187" s="23">
        <v>19000</v>
      </c>
      <c r="P187" s="53">
        <f t="shared" si="134"/>
        <v>1928823</v>
      </c>
      <c r="Q187" s="39" t="s">
        <v>32</v>
      </c>
      <c r="R187" s="9">
        <v>101.517</v>
      </c>
      <c r="S187" s="40">
        <f t="shared" si="142"/>
        <v>41962</v>
      </c>
      <c r="T187" s="20" t="s">
        <v>39</v>
      </c>
      <c r="U187" s="54">
        <f t="shared" si="143"/>
        <v>2314.5875999999998</v>
      </c>
      <c r="V187" s="36">
        <v>155.72999999999999</v>
      </c>
      <c r="W187" s="53">
        <f t="shared" si="144"/>
        <v>360450.72694799997</v>
      </c>
      <c r="X187" s="70">
        <v>360450.73</v>
      </c>
      <c r="Y187" s="40">
        <v>41886</v>
      </c>
      <c r="Z187" s="48">
        <v>4427</v>
      </c>
      <c r="AA187" s="113"/>
    </row>
    <row r="188" spans="1:27" ht="20.25" customHeight="1">
      <c r="A188" s="35">
        <f t="shared" si="133"/>
        <v>183</v>
      </c>
      <c r="B188" s="36" t="s">
        <v>814</v>
      </c>
      <c r="C188" s="22" t="s">
        <v>826</v>
      </c>
      <c r="D188" s="21">
        <v>41906</v>
      </c>
      <c r="E188" s="18">
        <v>20149030008</v>
      </c>
      <c r="F188" s="22" t="s">
        <v>187</v>
      </c>
      <c r="G188" s="22" t="s">
        <v>97</v>
      </c>
      <c r="H188" s="22" t="s">
        <v>133</v>
      </c>
      <c r="I188" s="37">
        <v>801.22</v>
      </c>
      <c r="J188" s="19">
        <v>41873</v>
      </c>
      <c r="K188" s="51" t="s">
        <v>798</v>
      </c>
      <c r="L188" s="74" t="s">
        <v>49</v>
      </c>
      <c r="M188" s="22" t="s">
        <v>50</v>
      </c>
      <c r="N188" s="20" t="s">
        <v>76</v>
      </c>
      <c r="O188" s="23">
        <v>65000</v>
      </c>
      <c r="P188" s="53">
        <f t="shared" si="134"/>
        <v>6598605</v>
      </c>
      <c r="Q188" s="39" t="s">
        <v>32</v>
      </c>
      <c r="R188" s="9">
        <v>101.517</v>
      </c>
      <c r="S188" s="40">
        <f t="shared" si="142"/>
        <v>41962</v>
      </c>
      <c r="T188" s="22" t="s">
        <v>39</v>
      </c>
      <c r="U188" s="54">
        <f t="shared" si="143"/>
        <v>7918.3259999999991</v>
      </c>
      <c r="V188" s="36">
        <v>155.72999999999999</v>
      </c>
      <c r="W188" s="53">
        <f t="shared" si="144"/>
        <v>1233120.9079799997</v>
      </c>
      <c r="X188" s="70">
        <v>1233120.9099999999</v>
      </c>
      <c r="Y188" s="40">
        <v>41886</v>
      </c>
      <c r="Z188" s="48">
        <v>4426</v>
      </c>
      <c r="AA188" s="113"/>
    </row>
    <row r="189" spans="1:27" ht="194.25" customHeight="1">
      <c r="A189" s="35">
        <f t="shared" si="133"/>
        <v>184</v>
      </c>
      <c r="B189" s="36" t="s">
        <v>641</v>
      </c>
      <c r="C189" s="21" t="s">
        <v>827</v>
      </c>
      <c r="D189" s="19">
        <v>41912</v>
      </c>
      <c r="E189" s="27" t="s">
        <v>614</v>
      </c>
      <c r="F189" s="22" t="s">
        <v>120</v>
      </c>
      <c r="G189" s="22" t="s">
        <v>28</v>
      </c>
      <c r="H189" s="22" t="s">
        <v>29</v>
      </c>
      <c r="I189" s="37">
        <v>801.22</v>
      </c>
      <c r="J189" s="19">
        <v>41793</v>
      </c>
      <c r="K189" s="51" t="s">
        <v>632</v>
      </c>
      <c r="L189" s="51" t="s">
        <v>30</v>
      </c>
      <c r="M189" s="22" t="s">
        <v>50</v>
      </c>
      <c r="N189" s="22" t="s">
        <v>76</v>
      </c>
      <c r="O189" s="57">
        <v>949268</v>
      </c>
      <c r="P189" s="38">
        <f t="shared" si="134"/>
        <v>103690442.176</v>
      </c>
      <c r="Q189" s="39" t="s">
        <v>32</v>
      </c>
      <c r="R189" s="9">
        <v>109.232</v>
      </c>
      <c r="S189" s="40">
        <f t="shared" ref="S189" si="145">SUM(J189)+89</f>
        <v>41882</v>
      </c>
      <c r="T189" s="22" t="s">
        <v>27</v>
      </c>
      <c r="U189" s="54">
        <f t="shared" si="143"/>
        <v>124428.53061119998</v>
      </c>
      <c r="V189" s="36">
        <v>155.72999999999999</v>
      </c>
      <c r="W189" s="38">
        <f t="shared" si="144"/>
        <v>19377255.072082173</v>
      </c>
      <c r="X189" s="45">
        <v>19377254.98</v>
      </c>
      <c r="Y189" s="40">
        <v>41899</v>
      </c>
      <c r="Z189" s="48">
        <v>1691</v>
      </c>
      <c r="AA189" s="16" t="s">
        <v>878</v>
      </c>
    </row>
    <row r="190" spans="1:27" ht="21.75" customHeight="1">
      <c r="A190" s="35">
        <f t="shared" si="133"/>
        <v>185</v>
      </c>
      <c r="B190" s="36" t="s">
        <v>736</v>
      </c>
      <c r="C190" s="44" t="s">
        <v>828</v>
      </c>
      <c r="D190" s="19">
        <v>41912</v>
      </c>
      <c r="E190" s="27" t="s">
        <v>714</v>
      </c>
      <c r="F190" s="22" t="s">
        <v>120</v>
      </c>
      <c r="G190" s="22" t="s">
        <v>28</v>
      </c>
      <c r="H190" s="22" t="s">
        <v>133</v>
      </c>
      <c r="I190" s="37">
        <v>801.22</v>
      </c>
      <c r="J190" s="19">
        <v>41844</v>
      </c>
      <c r="K190" s="51" t="s">
        <v>719</v>
      </c>
      <c r="L190" s="51" t="s">
        <v>49</v>
      </c>
      <c r="M190" s="22" t="s">
        <v>41</v>
      </c>
      <c r="N190" s="20" t="s">
        <v>42</v>
      </c>
      <c r="O190" s="57">
        <v>100000</v>
      </c>
      <c r="P190" s="38">
        <f t="shared" si="134"/>
        <v>10771500</v>
      </c>
      <c r="Q190" s="39" t="s">
        <v>32</v>
      </c>
      <c r="R190" s="49">
        <v>107.715</v>
      </c>
      <c r="S190" s="40">
        <f t="shared" ref="S190" si="146">SUM(J190)+89</f>
        <v>41933</v>
      </c>
      <c r="T190" s="20" t="s">
        <v>27</v>
      </c>
      <c r="U190" s="41">
        <f t="shared" si="143"/>
        <v>12925.8</v>
      </c>
      <c r="V190" s="36">
        <v>155.72999999999999</v>
      </c>
      <c r="W190" s="38">
        <f t="shared" si="144"/>
        <v>2012934.8339999998</v>
      </c>
      <c r="X190" s="45">
        <v>2012934.83</v>
      </c>
      <c r="Y190" s="40">
        <v>41893</v>
      </c>
      <c r="Z190" s="48">
        <v>1622</v>
      </c>
      <c r="AA190" s="113"/>
    </row>
    <row r="191" spans="1:27" ht="21.75" customHeight="1">
      <c r="A191" s="35">
        <f t="shared" si="133"/>
        <v>186</v>
      </c>
      <c r="B191" s="36" t="s">
        <v>855</v>
      </c>
      <c r="C191" s="21" t="s">
        <v>829</v>
      </c>
      <c r="D191" s="19">
        <v>41912</v>
      </c>
      <c r="E191" s="27" t="s">
        <v>833</v>
      </c>
      <c r="F191" s="22" t="s">
        <v>278</v>
      </c>
      <c r="G191" s="22" t="s">
        <v>44</v>
      </c>
      <c r="H191" s="22" t="s">
        <v>133</v>
      </c>
      <c r="I191" s="37">
        <v>801.22</v>
      </c>
      <c r="J191" s="19">
        <v>41901</v>
      </c>
      <c r="K191" s="51" t="s">
        <v>111</v>
      </c>
      <c r="L191" s="74" t="s">
        <v>49</v>
      </c>
      <c r="M191" s="22" t="s">
        <v>50</v>
      </c>
      <c r="N191" s="20" t="s">
        <v>76</v>
      </c>
      <c r="O191" s="57">
        <v>40000</v>
      </c>
      <c r="P191" s="38">
        <f t="shared" si="134"/>
        <v>3861640</v>
      </c>
      <c r="Q191" s="39" t="s">
        <v>32</v>
      </c>
      <c r="R191" s="49">
        <v>96.540999999999997</v>
      </c>
      <c r="S191" s="40">
        <f t="shared" ref="S191:S193" si="147">SUM(J191)+89</f>
        <v>41990</v>
      </c>
      <c r="T191" s="22" t="s">
        <v>278</v>
      </c>
      <c r="U191" s="54">
        <f t="shared" ref="U191:U193" si="148">SUM(P191*0.12%)</f>
        <v>4633.9679999999998</v>
      </c>
      <c r="V191" s="36">
        <v>155.75</v>
      </c>
      <c r="W191" s="53">
        <f t="shared" ref="W191:W194" si="149">SUM(U191*V191)</f>
        <v>721740.51599999995</v>
      </c>
      <c r="X191" s="70">
        <f t="shared" ref="X191:X193" si="150">W191</f>
        <v>721740.51599999995</v>
      </c>
      <c r="Y191" s="36"/>
      <c r="Z191" s="36"/>
      <c r="AA191" s="113"/>
    </row>
    <row r="192" spans="1:27" ht="21.75" customHeight="1">
      <c r="A192" s="35">
        <f t="shared" si="133"/>
        <v>187</v>
      </c>
      <c r="B192" s="36" t="s">
        <v>856</v>
      </c>
      <c r="C192" s="21" t="s">
        <v>830</v>
      </c>
      <c r="D192" s="19">
        <v>41912</v>
      </c>
      <c r="E192" s="27" t="s">
        <v>834</v>
      </c>
      <c r="F192" s="22" t="s">
        <v>278</v>
      </c>
      <c r="G192" s="22" t="s">
        <v>44</v>
      </c>
      <c r="H192" s="22" t="s">
        <v>133</v>
      </c>
      <c r="I192" s="37">
        <v>801.22</v>
      </c>
      <c r="J192" s="19">
        <v>41901</v>
      </c>
      <c r="K192" s="51" t="s">
        <v>111</v>
      </c>
      <c r="L192" s="74" t="s">
        <v>49</v>
      </c>
      <c r="M192" s="22" t="s">
        <v>50</v>
      </c>
      <c r="N192" s="20" t="s">
        <v>76</v>
      </c>
      <c r="O192" s="57">
        <v>63000</v>
      </c>
      <c r="P192" s="38">
        <f t="shared" si="134"/>
        <v>6082083</v>
      </c>
      <c r="Q192" s="39" t="s">
        <v>32</v>
      </c>
      <c r="R192" s="49">
        <v>96.540999999999997</v>
      </c>
      <c r="S192" s="40">
        <f t="shared" si="147"/>
        <v>41990</v>
      </c>
      <c r="T192" s="22" t="s">
        <v>278</v>
      </c>
      <c r="U192" s="54">
        <f t="shared" si="148"/>
        <v>7298.4995999999992</v>
      </c>
      <c r="V192" s="36">
        <v>155.75</v>
      </c>
      <c r="W192" s="53">
        <f t="shared" si="149"/>
        <v>1136741.3126999999</v>
      </c>
      <c r="X192" s="70">
        <f t="shared" si="150"/>
        <v>1136741.3126999999</v>
      </c>
      <c r="Y192" s="36"/>
      <c r="Z192" s="36"/>
      <c r="AA192" s="113"/>
    </row>
    <row r="193" spans="1:27" ht="21.75" customHeight="1">
      <c r="A193" s="35">
        <f t="shared" si="133"/>
        <v>188</v>
      </c>
      <c r="B193" s="36" t="s">
        <v>857</v>
      </c>
      <c r="C193" s="21" t="s">
        <v>831</v>
      </c>
      <c r="D193" s="19">
        <v>41912</v>
      </c>
      <c r="E193" s="27" t="s">
        <v>835</v>
      </c>
      <c r="F193" s="22" t="s">
        <v>278</v>
      </c>
      <c r="G193" s="22" t="s">
        <v>44</v>
      </c>
      <c r="H193" s="22" t="s">
        <v>133</v>
      </c>
      <c r="I193" s="37">
        <v>801.22</v>
      </c>
      <c r="J193" s="19">
        <v>41901</v>
      </c>
      <c r="K193" s="51" t="s">
        <v>111</v>
      </c>
      <c r="L193" s="74" t="s">
        <v>49</v>
      </c>
      <c r="M193" s="22" t="s">
        <v>50</v>
      </c>
      <c r="N193" s="20" t="s">
        <v>76</v>
      </c>
      <c r="O193" s="57">
        <v>145110</v>
      </c>
      <c r="P193" s="38">
        <f t="shared" si="134"/>
        <v>14009064.51</v>
      </c>
      <c r="Q193" s="39" t="s">
        <v>32</v>
      </c>
      <c r="R193" s="49">
        <v>96.540999999999997</v>
      </c>
      <c r="S193" s="40">
        <f t="shared" si="147"/>
        <v>41990</v>
      </c>
      <c r="T193" s="22" t="s">
        <v>278</v>
      </c>
      <c r="U193" s="54">
        <f t="shared" si="148"/>
        <v>16810.877411999998</v>
      </c>
      <c r="V193" s="36">
        <v>155.75</v>
      </c>
      <c r="W193" s="53">
        <f t="shared" si="149"/>
        <v>2618294.1569189997</v>
      </c>
      <c r="X193" s="70">
        <f t="shared" si="150"/>
        <v>2618294.1569189997</v>
      </c>
      <c r="Y193" s="36"/>
      <c r="Z193" s="36"/>
      <c r="AA193" s="113"/>
    </row>
    <row r="194" spans="1:27" ht="20.25" customHeight="1">
      <c r="A194" s="35">
        <f t="shared" si="133"/>
        <v>189</v>
      </c>
      <c r="B194" s="36" t="s">
        <v>808</v>
      </c>
      <c r="C194" s="21" t="s">
        <v>880</v>
      </c>
      <c r="D194" s="21">
        <v>41925</v>
      </c>
      <c r="E194" s="18">
        <v>201400020014</v>
      </c>
      <c r="F194" s="22" t="s">
        <v>120</v>
      </c>
      <c r="G194" s="22" t="s">
        <v>28</v>
      </c>
      <c r="H194" s="22" t="s">
        <v>29</v>
      </c>
      <c r="I194" s="37">
        <v>801.22</v>
      </c>
      <c r="J194" s="19">
        <v>41869</v>
      </c>
      <c r="K194" s="51" t="s">
        <v>797</v>
      </c>
      <c r="L194" s="74" t="s">
        <v>30</v>
      </c>
      <c r="M194" s="22" t="s">
        <v>101</v>
      </c>
      <c r="N194" s="20" t="s">
        <v>799</v>
      </c>
      <c r="O194" s="23">
        <v>948196</v>
      </c>
      <c r="P194" s="53">
        <f t="shared" si="134"/>
        <v>93651422.527999997</v>
      </c>
      <c r="Q194" s="39" t="s">
        <v>32</v>
      </c>
      <c r="R194" s="49">
        <v>98.768000000000001</v>
      </c>
      <c r="S194" s="40">
        <f t="shared" ref="S194:S195" si="151">SUM(J194)+89</f>
        <v>41958</v>
      </c>
      <c r="T194" s="22" t="s">
        <v>27</v>
      </c>
      <c r="U194" s="54">
        <f t="shared" ref="U194" si="152">SUM(P194*0.12%)</f>
        <v>112381.70703359999</v>
      </c>
      <c r="V194" s="36">
        <v>155.72999999999999</v>
      </c>
      <c r="W194" s="53">
        <f t="shared" si="149"/>
        <v>17501203.236342523</v>
      </c>
      <c r="X194" s="70">
        <v>17501203.699999999</v>
      </c>
      <c r="Y194" s="40">
        <v>41914</v>
      </c>
      <c r="Z194" s="48">
        <v>1696</v>
      </c>
      <c r="AA194" s="113"/>
    </row>
    <row r="195" spans="1:27" ht="21.75" customHeight="1">
      <c r="A195" s="35">
        <f t="shared" si="133"/>
        <v>190</v>
      </c>
      <c r="B195" s="36" t="s">
        <v>876</v>
      </c>
      <c r="C195" s="21" t="s">
        <v>881</v>
      </c>
      <c r="D195" s="40">
        <v>41927</v>
      </c>
      <c r="E195" s="27" t="s">
        <v>879</v>
      </c>
      <c r="F195" s="22" t="s">
        <v>150</v>
      </c>
      <c r="G195" s="22" t="s">
        <v>279</v>
      </c>
      <c r="H195" s="22" t="s">
        <v>159</v>
      </c>
      <c r="I195" s="37">
        <v>801.22</v>
      </c>
      <c r="J195" s="19">
        <v>41898</v>
      </c>
      <c r="K195" s="51" t="s">
        <v>717</v>
      </c>
      <c r="L195" s="51" t="s">
        <v>160</v>
      </c>
      <c r="M195" s="22" t="s">
        <v>80</v>
      </c>
      <c r="N195" s="20" t="s">
        <v>166</v>
      </c>
      <c r="O195" s="57">
        <v>702451</v>
      </c>
      <c r="P195" s="38">
        <f t="shared" si="134"/>
        <v>63712305.700000003</v>
      </c>
      <c r="Q195" s="39" t="s">
        <v>32</v>
      </c>
      <c r="R195" s="9">
        <v>90.7</v>
      </c>
      <c r="S195" s="40">
        <f t="shared" si="151"/>
        <v>41987</v>
      </c>
      <c r="T195" s="20" t="s">
        <v>163</v>
      </c>
      <c r="U195" s="54">
        <f t="shared" ref="U195" si="153">SUM(P195*0.12%)</f>
        <v>76454.766839999997</v>
      </c>
      <c r="V195" s="36">
        <v>155.75</v>
      </c>
      <c r="W195" s="53">
        <f t="shared" ref="W195:W201" si="154">SUM(U195*V195)</f>
        <v>11907829.93533</v>
      </c>
      <c r="X195" s="70">
        <v>11907830.43</v>
      </c>
      <c r="Y195" s="40">
        <v>41922</v>
      </c>
      <c r="Z195" s="48">
        <v>2996</v>
      </c>
      <c r="AA195" s="113"/>
    </row>
    <row r="196" spans="1:27" ht="21.75" customHeight="1">
      <c r="A196" s="35">
        <f t="shared" si="133"/>
        <v>191</v>
      </c>
      <c r="B196" s="36" t="s">
        <v>732</v>
      </c>
      <c r="C196" s="22" t="s">
        <v>883</v>
      </c>
      <c r="D196" s="21">
        <v>41928</v>
      </c>
      <c r="E196" s="27" t="s">
        <v>710</v>
      </c>
      <c r="F196" s="22" t="s">
        <v>120</v>
      </c>
      <c r="G196" s="51" t="s">
        <v>47</v>
      </c>
      <c r="H196" s="22" t="s">
        <v>133</v>
      </c>
      <c r="I196" s="37">
        <v>801.22</v>
      </c>
      <c r="J196" s="19">
        <v>41844</v>
      </c>
      <c r="K196" s="51" t="s">
        <v>719</v>
      </c>
      <c r="L196" s="51" t="s">
        <v>49</v>
      </c>
      <c r="M196" s="22" t="s">
        <v>41</v>
      </c>
      <c r="N196" s="20" t="s">
        <v>42</v>
      </c>
      <c r="O196" s="57">
        <v>80000</v>
      </c>
      <c r="P196" s="38">
        <f t="shared" si="134"/>
        <v>8667200</v>
      </c>
      <c r="Q196" s="39" t="s">
        <v>32</v>
      </c>
      <c r="R196" s="49">
        <v>108.34</v>
      </c>
      <c r="S196" s="40">
        <f t="shared" ref="S196:S201" si="155">SUM(J196)+89</f>
        <v>41933</v>
      </c>
      <c r="T196" s="20" t="s">
        <v>38</v>
      </c>
      <c r="U196" s="41">
        <f t="shared" ref="U196:U218" si="156">SUM(P196*0.12%)</f>
        <v>10400.64</v>
      </c>
      <c r="V196" s="36">
        <v>155.72999999999999</v>
      </c>
      <c r="W196" s="38">
        <f t="shared" si="154"/>
        <v>1619691.6671999998</v>
      </c>
      <c r="X196" s="45">
        <v>1609291.03</v>
      </c>
      <c r="Y196" s="40">
        <v>41922</v>
      </c>
      <c r="Z196" s="48">
        <v>10345</v>
      </c>
      <c r="AA196" s="113"/>
    </row>
    <row r="197" spans="1:27" ht="21.75" customHeight="1">
      <c r="A197" s="35">
        <f t="shared" si="133"/>
        <v>192</v>
      </c>
      <c r="B197" s="36" t="s">
        <v>733</v>
      </c>
      <c r="C197" s="20" t="s">
        <v>884</v>
      </c>
      <c r="D197" s="21">
        <v>41928</v>
      </c>
      <c r="E197" s="27" t="s">
        <v>711</v>
      </c>
      <c r="F197" s="22" t="s">
        <v>120</v>
      </c>
      <c r="G197" s="51" t="s">
        <v>53</v>
      </c>
      <c r="H197" s="22" t="s">
        <v>133</v>
      </c>
      <c r="I197" s="37">
        <v>801.22</v>
      </c>
      <c r="J197" s="19">
        <v>41844</v>
      </c>
      <c r="K197" s="51" t="s">
        <v>719</v>
      </c>
      <c r="L197" s="51" t="s">
        <v>49</v>
      </c>
      <c r="M197" s="22" t="s">
        <v>41</v>
      </c>
      <c r="N197" s="20" t="s">
        <v>42</v>
      </c>
      <c r="O197" s="57">
        <v>211324</v>
      </c>
      <c r="P197" s="38">
        <f t="shared" si="134"/>
        <v>22613337.459600002</v>
      </c>
      <c r="Q197" s="39" t="s">
        <v>32</v>
      </c>
      <c r="R197" s="49">
        <v>107.00790000000001</v>
      </c>
      <c r="S197" s="40">
        <f t="shared" si="155"/>
        <v>41933</v>
      </c>
      <c r="T197" s="20" t="s">
        <v>38</v>
      </c>
      <c r="U197" s="41">
        <f t="shared" si="156"/>
        <v>27136.004951520001</v>
      </c>
      <c r="V197" s="36">
        <v>155.72999999999999</v>
      </c>
      <c r="W197" s="38">
        <f t="shared" si="154"/>
        <v>4225890.0511002094</v>
      </c>
      <c r="X197" s="45">
        <v>4198753.28</v>
      </c>
      <c r="Y197" s="40">
        <v>41922</v>
      </c>
      <c r="Z197" s="48">
        <v>10338</v>
      </c>
      <c r="AA197" s="113"/>
    </row>
    <row r="198" spans="1:27" ht="21.75" customHeight="1">
      <c r="A198" s="35">
        <f t="shared" si="133"/>
        <v>193</v>
      </c>
      <c r="B198" s="36" t="s">
        <v>734</v>
      </c>
      <c r="C198" s="20" t="s">
        <v>885</v>
      </c>
      <c r="D198" s="21">
        <v>41928</v>
      </c>
      <c r="E198" s="27" t="s">
        <v>712</v>
      </c>
      <c r="F198" s="22" t="s">
        <v>120</v>
      </c>
      <c r="G198" s="51" t="s">
        <v>53</v>
      </c>
      <c r="H198" s="22" t="s">
        <v>133</v>
      </c>
      <c r="I198" s="37">
        <v>801.22</v>
      </c>
      <c r="J198" s="19">
        <v>41844</v>
      </c>
      <c r="K198" s="51" t="s">
        <v>719</v>
      </c>
      <c r="L198" s="51" t="s">
        <v>49</v>
      </c>
      <c r="M198" s="22" t="s">
        <v>41</v>
      </c>
      <c r="N198" s="20" t="s">
        <v>42</v>
      </c>
      <c r="O198" s="57">
        <v>55500</v>
      </c>
      <c r="P198" s="38">
        <f t="shared" si="134"/>
        <v>5938938.4500000002</v>
      </c>
      <c r="Q198" s="39" t="s">
        <v>32</v>
      </c>
      <c r="R198" s="49">
        <v>107.00790000000001</v>
      </c>
      <c r="S198" s="40">
        <f t="shared" si="155"/>
        <v>41933</v>
      </c>
      <c r="T198" s="20" t="s">
        <v>38</v>
      </c>
      <c r="U198" s="41">
        <f t="shared" si="156"/>
        <v>7126.7261399999998</v>
      </c>
      <c r="V198" s="36">
        <v>155.72999999999999</v>
      </c>
      <c r="W198" s="38">
        <f t="shared" si="154"/>
        <v>1109845.0617821999</v>
      </c>
      <c r="X198" s="45">
        <v>1102718.93</v>
      </c>
      <c r="Y198" s="40">
        <v>41922</v>
      </c>
      <c r="Z198" s="48">
        <v>10339</v>
      </c>
      <c r="AA198" s="113"/>
    </row>
    <row r="199" spans="1:27" ht="21.75" customHeight="1">
      <c r="A199" s="35">
        <f t="shared" si="133"/>
        <v>194</v>
      </c>
      <c r="B199" s="36" t="s">
        <v>741</v>
      </c>
      <c r="C199" s="20" t="s">
        <v>886</v>
      </c>
      <c r="D199" s="21">
        <v>41928</v>
      </c>
      <c r="E199" s="27" t="s">
        <v>751</v>
      </c>
      <c r="F199" s="22" t="s">
        <v>120</v>
      </c>
      <c r="G199" s="51" t="s">
        <v>53</v>
      </c>
      <c r="H199" s="22" t="s">
        <v>133</v>
      </c>
      <c r="I199" s="37">
        <v>801.22</v>
      </c>
      <c r="J199" s="19">
        <v>41850</v>
      </c>
      <c r="K199" s="51" t="s">
        <v>63</v>
      </c>
      <c r="L199" s="51" t="s">
        <v>49</v>
      </c>
      <c r="M199" s="22" t="s">
        <v>60</v>
      </c>
      <c r="N199" s="20" t="s">
        <v>722</v>
      </c>
      <c r="O199" s="77">
        <v>722963</v>
      </c>
      <c r="P199" s="53">
        <f t="shared" si="134"/>
        <v>78372804.015000001</v>
      </c>
      <c r="Q199" s="39" t="s">
        <v>32</v>
      </c>
      <c r="R199" s="76">
        <v>108.405</v>
      </c>
      <c r="S199" s="40">
        <f t="shared" si="155"/>
        <v>41939</v>
      </c>
      <c r="T199" s="22" t="s">
        <v>38</v>
      </c>
      <c r="U199" s="54">
        <f t="shared" si="156"/>
        <v>94047.364817999987</v>
      </c>
      <c r="V199" s="36">
        <v>155.72999999999999</v>
      </c>
      <c r="W199" s="53">
        <f t="shared" si="154"/>
        <v>14645996.123107137</v>
      </c>
      <c r="X199" s="70">
        <v>14551948.01</v>
      </c>
      <c r="Y199" s="40">
        <v>41922</v>
      </c>
      <c r="Z199" s="48">
        <v>10340</v>
      </c>
      <c r="AA199" s="113"/>
    </row>
    <row r="200" spans="1:27" ht="20.25" customHeight="1">
      <c r="A200" s="35">
        <f t="shared" si="133"/>
        <v>195</v>
      </c>
      <c r="B200" s="36" t="s">
        <v>810</v>
      </c>
      <c r="C200" s="20" t="s">
        <v>887</v>
      </c>
      <c r="D200" s="21">
        <v>41928</v>
      </c>
      <c r="E200" s="18">
        <v>201400010343</v>
      </c>
      <c r="F200" s="22" t="s">
        <v>120</v>
      </c>
      <c r="G200" s="22" t="s">
        <v>53</v>
      </c>
      <c r="H200" s="22" t="s">
        <v>133</v>
      </c>
      <c r="I200" s="37">
        <v>801.22</v>
      </c>
      <c r="J200" s="19">
        <v>41873</v>
      </c>
      <c r="K200" s="51" t="s">
        <v>798</v>
      </c>
      <c r="L200" s="74" t="s">
        <v>49</v>
      </c>
      <c r="M200" s="22" t="s">
        <v>50</v>
      </c>
      <c r="N200" s="20" t="s">
        <v>76</v>
      </c>
      <c r="O200" s="23">
        <v>130000</v>
      </c>
      <c r="P200" s="53">
        <f t="shared" si="134"/>
        <v>13293904</v>
      </c>
      <c r="Q200" s="39" t="s">
        <v>32</v>
      </c>
      <c r="R200" s="49">
        <v>102.2608</v>
      </c>
      <c r="S200" s="40">
        <f t="shared" si="155"/>
        <v>41962</v>
      </c>
      <c r="T200" s="22" t="s">
        <v>38</v>
      </c>
      <c r="U200" s="54">
        <f t="shared" si="156"/>
        <v>15952.684799999999</v>
      </c>
      <c r="V200" s="36">
        <v>155.72999999999999</v>
      </c>
      <c r="W200" s="53">
        <f t="shared" si="154"/>
        <v>2484311.6039039996</v>
      </c>
      <c r="X200" s="70">
        <v>2468358.1800000002</v>
      </c>
      <c r="Y200" s="40">
        <v>41922</v>
      </c>
      <c r="Z200" s="48">
        <v>10346</v>
      </c>
      <c r="AA200" s="113"/>
    </row>
    <row r="201" spans="1:27" ht="20.25" customHeight="1">
      <c r="A201" s="35">
        <f t="shared" si="133"/>
        <v>196</v>
      </c>
      <c r="B201" s="36" t="s">
        <v>811</v>
      </c>
      <c r="C201" s="20" t="s">
        <v>888</v>
      </c>
      <c r="D201" s="21">
        <v>41928</v>
      </c>
      <c r="E201" s="18">
        <v>201400010344</v>
      </c>
      <c r="F201" s="22" t="s">
        <v>120</v>
      </c>
      <c r="G201" s="22" t="s">
        <v>53</v>
      </c>
      <c r="H201" s="22" t="s">
        <v>133</v>
      </c>
      <c r="I201" s="37">
        <v>801.22</v>
      </c>
      <c r="J201" s="19">
        <v>41873</v>
      </c>
      <c r="K201" s="51" t="s">
        <v>798</v>
      </c>
      <c r="L201" s="74" t="s">
        <v>49</v>
      </c>
      <c r="M201" s="22" t="s">
        <v>50</v>
      </c>
      <c r="N201" s="20" t="s">
        <v>76</v>
      </c>
      <c r="O201" s="23">
        <v>461917</v>
      </c>
      <c r="P201" s="53">
        <f t="shared" si="134"/>
        <v>47236001.953600004</v>
      </c>
      <c r="Q201" s="39" t="s">
        <v>32</v>
      </c>
      <c r="R201" s="49">
        <v>102.2608</v>
      </c>
      <c r="S201" s="40">
        <f t="shared" si="155"/>
        <v>41962</v>
      </c>
      <c r="T201" s="22" t="s">
        <v>38</v>
      </c>
      <c r="U201" s="54">
        <f t="shared" si="156"/>
        <v>56683.202344320001</v>
      </c>
      <c r="V201" s="36">
        <v>155.72999999999999</v>
      </c>
      <c r="W201" s="53">
        <f t="shared" si="154"/>
        <v>8827275.1010809541</v>
      </c>
      <c r="X201" s="70">
        <v>8770591.5399999991</v>
      </c>
      <c r="Y201" s="40">
        <v>41922</v>
      </c>
      <c r="Z201" s="48">
        <v>10347</v>
      </c>
      <c r="AA201" s="113"/>
    </row>
    <row r="202" spans="1:27" ht="24.75">
      <c r="A202" s="35">
        <f t="shared" si="133"/>
        <v>197</v>
      </c>
      <c r="B202" s="36" t="s">
        <v>853</v>
      </c>
      <c r="C202" s="21" t="s">
        <v>900</v>
      </c>
      <c r="D202" s="21">
        <v>41932</v>
      </c>
      <c r="E202" s="26" t="s">
        <v>889</v>
      </c>
      <c r="F202" s="22" t="s">
        <v>278</v>
      </c>
      <c r="G202" s="22" t="s">
        <v>44</v>
      </c>
      <c r="H202" s="22" t="s">
        <v>133</v>
      </c>
      <c r="I202" s="37">
        <v>801.22</v>
      </c>
      <c r="J202" s="19">
        <v>41886</v>
      </c>
      <c r="K202" s="51" t="s">
        <v>839</v>
      </c>
      <c r="L202" s="51" t="s">
        <v>49</v>
      </c>
      <c r="M202" s="22" t="s">
        <v>67</v>
      </c>
      <c r="N202" s="20" t="s">
        <v>68</v>
      </c>
      <c r="O202" s="57">
        <v>949507</v>
      </c>
      <c r="P202" s="38">
        <f t="shared" si="134"/>
        <v>95159591.539999992</v>
      </c>
      <c r="Q202" s="39" t="s">
        <v>32</v>
      </c>
      <c r="R202" s="9">
        <v>100.22</v>
      </c>
      <c r="S202" s="40">
        <f t="shared" ref="S202:S216" si="157">SUM(J202)+89</f>
        <v>41975</v>
      </c>
      <c r="T202" s="22" t="s">
        <v>278</v>
      </c>
      <c r="U202" s="54">
        <f t="shared" si="156"/>
        <v>114191.50984799999</v>
      </c>
      <c r="V202" s="36">
        <v>155.75</v>
      </c>
      <c r="W202" s="53">
        <f t="shared" ref="W202:W218" si="158">SUM(U202*V202)</f>
        <v>17785327.658825997</v>
      </c>
      <c r="X202" s="70">
        <f t="shared" ref="X202:X206" si="159">W202</f>
        <v>17785327.658825997</v>
      </c>
      <c r="Y202" s="36"/>
      <c r="Z202" s="36"/>
      <c r="AA202" s="113"/>
    </row>
    <row r="203" spans="1:27" ht="21.75" customHeight="1">
      <c r="A203" s="35">
        <f t="shared" si="133"/>
        <v>198</v>
      </c>
      <c r="B203" s="36" t="s">
        <v>854</v>
      </c>
      <c r="C203" s="21" t="s">
        <v>901</v>
      </c>
      <c r="D203" s="21">
        <v>41932</v>
      </c>
      <c r="E203" s="26" t="s">
        <v>890</v>
      </c>
      <c r="F203" s="22" t="s">
        <v>278</v>
      </c>
      <c r="G203" s="22" t="s">
        <v>44</v>
      </c>
      <c r="H203" s="22" t="s">
        <v>133</v>
      </c>
      <c r="I203" s="37">
        <v>801.22</v>
      </c>
      <c r="J203" s="19">
        <v>41897</v>
      </c>
      <c r="K203" s="51" t="s">
        <v>841</v>
      </c>
      <c r="L203" s="51" t="s">
        <v>49</v>
      </c>
      <c r="M203" s="22" t="s">
        <v>50</v>
      </c>
      <c r="N203" s="20" t="s">
        <v>76</v>
      </c>
      <c r="O203" s="57">
        <v>949448</v>
      </c>
      <c r="P203" s="38">
        <f t="shared" si="134"/>
        <v>91879981.856000006</v>
      </c>
      <c r="Q203" s="39" t="s">
        <v>32</v>
      </c>
      <c r="R203" s="9">
        <v>96.772000000000006</v>
      </c>
      <c r="S203" s="40">
        <f t="shared" si="157"/>
        <v>41986</v>
      </c>
      <c r="T203" s="22" t="s">
        <v>278</v>
      </c>
      <c r="U203" s="54">
        <f t="shared" si="156"/>
        <v>110255.9782272</v>
      </c>
      <c r="V203" s="36">
        <v>155.75</v>
      </c>
      <c r="W203" s="53">
        <f t="shared" si="158"/>
        <v>17172368.608886398</v>
      </c>
      <c r="X203" s="70">
        <f t="shared" si="159"/>
        <v>17172368.608886398</v>
      </c>
      <c r="Y203" s="36"/>
      <c r="Z203" s="36"/>
      <c r="AA203" s="113"/>
    </row>
    <row r="204" spans="1:27" ht="21.75" customHeight="1">
      <c r="A204" s="35">
        <f t="shared" si="133"/>
        <v>199</v>
      </c>
      <c r="B204" s="36" t="s">
        <v>850</v>
      </c>
      <c r="C204" s="21" t="s">
        <v>902</v>
      </c>
      <c r="D204" s="21">
        <v>41932</v>
      </c>
      <c r="E204" s="26" t="s">
        <v>891</v>
      </c>
      <c r="F204" s="22" t="s">
        <v>278</v>
      </c>
      <c r="G204" s="22" t="s">
        <v>44</v>
      </c>
      <c r="H204" s="22" t="s">
        <v>29</v>
      </c>
      <c r="I204" s="37">
        <v>801.22</v>
      </c>
      <c r="J204" s="19">
        <v>41901</v>
      </c>
      <c r="K204" s="51" t="s">
        <v>71</v>
      </c>
      <c r="L204" s="51" t="s">
        <v>30</v>
      </c>
      <c r="M204" s="22" t="s">
        <v>844</v>
      </c>
      <c r="N204" s="20" t="s">
        <v>291</v>
      </c>
      <c r="O204" s="57">
        <v>548710</v>
      </c>
      <c r="P204" s="38">
        <f t="shared" si="134"/>
        <v>52040205.109999999</v>
      </c>
      <c r="Q204" s="39" t="s">
        <v>32</v>
      </c>
      <c r="R204" s="9">
        <v>94.840999999999994</v>
      </c>
      <c r="S204" s="40">
        <f t="shared" si="157"/>
        <v>41990</v>
      </c>
      <c r="T204" s="22" t="s">
        <v>278</v>
      </c>
      <c r="U204" s="54">
        <f t="shared" si="156"/>
        <v>62448.246131999993</v>
      </c>
      <c r="V204" s="36">
        <v>155.75</v>
      </c>
      <c r="W204" s="53">
        <f t="shared" si="158"/>
        <v>9726314.3350589983</v>
      </c>
      <c r="X204" s="70">
        <f t="shared" si="159"/>
        <v>9726314.3350589983</v>
      </c>
      <c r="Y204" s="36"/>
      <c r="Z204" s="36"/>
      <c r="AA204" s="113"/>
    </row>
    <row r="205" spans="1:27" ht="21.75" customHeight="1">
      <c r="A205" s="35">
        <f t="shared" si="133"/>
        <v>200</v>
      </c>
      <c r="B205" s="36" t="s">
        <v>851</v>
      </c>
      <c r="C205" s="21" t="s">
        <v>903</v>
      </c>
      <c r="D205" s="21">
        <v>41932</v>
      </c>
      <c r="E205" s="26" t="s">
        <v>892</v>
      </c>
      <c r="F205" s="22" t="s">
        <v>278</v>
      </c>
      <c r="G205" s="22" t="s">
        <v>44</v>
      </c>
      <c r="H205" s="22" t="s">
        <v>29</v>
      </c>
      <c r="I205" s="37">
        <v>801.22</v>
      </c>
      <c r="J205" s="19">
        <v>41901</v>
      </c>
      <c r="K205" s="51" t="s">
        <v>71</v>
      </c>
      <c r="L205" s="51" t="s">
        <v>30</v>
      </c>
      <c r="M205" s="22" t="s">
        <v>844</v>
      </c>
      <c r="N205" s="20" t="s">
        <v>291</v>
      </c>
      <c r="O205" s="57">
        <v>400000</v>
      </c>
      <c r="P205" s="38">
        <f t="shared" si="134"/>
        <v>37936400</v>
      </c>
      <c r="Q205" s="39" t="s">
        <v>32</v>
      </c>
      <c r="R205" s="9">
        <v>94.840999999999994</v>
      </c>
      <c r="S205" s="40">
        <f t="shared" si="157"/>
        <v>41990</v>
      </c>
      <c r="T205" s="22" t="s">
        <v>278</v>
      </c>
      <c r="U205" s="54">
        <f t="shared" si="156"/>
        <v>45523.679999999993</v>
      </c>
      <c r="V205" s="36">
        <v>155.75</v>
      </c>
      <c r="W205" s="53">
        <f t="shared" si="158"/>
        <v>7090313.1599999992</v>
      </c>
      <c r="X205" s="70">
        <f t="shared" si="159"/>
        <v>7090313.1599999992</v>
      </c>
      <c r="Y205" s="36"/>
      <c r="Z205" s="36"/>
      <c r="AA205" s="113"/>
    </row>
    <row r="206" spans="1:27" ht="21.75" customHeight="1">
      <c r="A206" s="35">
        <f t="shared" si="133"/>
        <v>201</v>
      </c>
      <c r="B206" s="36" t="s">
        <v>877</v>
      </c>
      <c r="C206" s="21" t="s">
        <v>904</v>
      </c>
      <c r="D206" s="21">
        <v>41932</v>
      </c>
      <c r="E206" s="26" t="s">
        <v>893</v>
      </c>
      <c r="F206" s="22" t="s">
        <v>278</v>
      </c>
      <c r="G206" s="22" t="s">
        <v>44</v>
      </c>
      <c r="H206" s="22" t="s">
        <v>45</v>
      </c>
      <c r="I206" s="37">
        <v>801.22</v>
      </c>
      <c r="J206" s="19">
        <v>41902</v>
      </c>
      <c r="K206" s="51" t="s">
        <v>364</v>
      </c>
      <c r="L206" s="51" t="s">
        <v>46</v>
      </c>
      <c r="M206" s="22" t="s">
        <v>74</v>
      </c>
      <c r="N206" s="20" t="s">
        <v>149</v>
      </c>
      <c r="O206" s="57">
        <v>899925</v>
      </c>
      <c r="P206" s="38">
        <f t="shared" si="134"/>
        <v>87182934.150000006</v>
      </c>
      <c r="Q206" s="39" t="s">
        <v>32</v>
      </c>
      <c r="R206" s="49">
        <v>96.878</v>
      </c>
      <c r="S206" s="40">
        <f t="shared" si="157"/>
        <v>41991</v>
      </c>
      <c r="T206" s="22" t="s">
        <v>278</v>
      </c>
      <c r="U206" s="54">
        <f t="shared" si="156"/>
        <v>104619.52098</v>
      </c>
      <c r="V206" s="36">
        <v>155.75</v>
      </c>
      <c r="W206" s="53">
        <f t="shared" si="158"/>
        <v>16294490.392635001</v>
      </c>
      <c r="X206" s="70">
        <f t="shared" si="159"/>
        <v>16294490.392635001</v>
      </c>
      <c r="Y206" s="36"/>
      <c r="Z206" s="36"/>
      <c r="AA206" s="113"/>
    </row>
    <row r="207" spans="1:27" ht="21.75" customHeight="1">
      <c r="A207" s="35">
        <f t="shared" si="133"/>
        <v>202</v>
      </c>
      <c r="B207" s="36" t="s">
        <v>874</v>
      </c>
      <c r="C207" s="21" t="s">
        <v>905</v>
      </c>
      <c r="D207" s="21">
        <v>41932</v>
      </c>
      <c r="E207" s="26" t="s">
        <v>894</v>
      </c>
      <c r="F207" s="22" t="s">
        <v>278</v>
      </c>
      <c r="G207" s="22" t="s">
        <v>44</v>
      </c>
      <c r="H207" s="22" t="s">
        <v>35</v>
      </c>
      <c r="I207" s="37">
        <v>801.22</v>
      </c>
      <c r="J207" s="19">
        <v>41910</v>
      </c>
      <c r="K207" s="51" t="s">
        <v>172</v>
      </c>
      <c r="L207" s="51" t="s">
        <v>36</v>
      </c>
      <c r="M207" s="22" t="s">
        <v>50</v>
      </c>
      <c r="N207" s="20" t="s">
        <v>83</v>
      </c>
      <c r="O207" s="57">
        <v>474935</v>
      </c>
      <c r="P207" s="38">
        <f t="shared" si="134"/>
        <v>45676873.625</v>
      </c>
      <c r="Q207" s="39" t="s">
        <v>32</v>
      </c>
      <c r="R207" s="49">
        <v>96.174999999999997</v>
      </c>
      <c r="S207" s="40">
        <f t="shared" si="157"/>
        <v>41999</v>
      </c>
      <c r="T207" s="20" t="s">
        <v>278</v>
      </c>
      <c r="U207" s="54">
        <f t="shared" si="156"/>
        <v>54812.248349999994</v>
      </c>
      <c r="V207" s="36">
        <v>155.75</v>
      </c>
      <c r="W207" s="53">
        <f t="shared" si="158"/>
        <v>8537007.6805124991</v>
      </c>
      <c r="X207" s="70">
        <f t="shared" ref="X207:X208" si="160">W207</f>
        <v>8537007.6805124991</v>
      </c>
      <c r="Y207" s="36"/>
      <c r="Z207" s="36"/>
      <c r="AA207" s="112" t="s">
        <v>518</v>
      </c>
    </row>
    <row r="208" spans="1:27" ht="21.75" customHeight="1">
      <c r="A208" s="35">
        <f t="shared" si="133"/>
        <v>203</v>
      </c>
      <c r="B208" s="36" t="s">
        <v>875</v>
      </c>
      <c r="C208" s="21" t="s">
        <v>905</v>
      </c>
      <c r="D208" s="21">
        <v>41932</v>
      </c>
      <c r="E208" s="26" t="s">
        <v>894</v>
      </c>
      <c r="F208" s="22" t="s">
        <v>278</v>
      </c>
      <c r="G208" s="22" t="s">
        <v>44</v>
      </c>
      <c r="H208" s="22" t="s">
        <v>35</v>
      </c>
      <c r="I208" s="37">
        <v>801.22</v>
      </c>
      <c r="J208" s="19">
        <v>41910</v>
      </c>
      <c r="K208" s="51" t="s">
        <v>172</v>
      </c>
      <c r="L208" s="51" t="s">
        <v>36</v>
      </c>
      <c r="M208" s="22" t="s">
        <v>50</v>
      </c>
      <c r="N208" s="20" t="s">
        <v>83</v>
      </c>
      <c r="O208" s="57">
        <v>475000</v>
      </c>
      <c r="P208" s="38">
        <f t="shared" si="134"/>
        <v>45683125</v>
      </c>
      <c r="Q208" s="39" t="s">
        <v>32</v>
      </c>
      <c r="R208" s="49">
        <v>96.174999999999997</v>
      </c>
      <c r="S208" s="40">
        <f t="shared" si="157"/>
        <v>41999</v>
      </c>
      <c r="T208" s="20" t="s">
        <v>278</v>
      </c>
      <c r="U208" s="54">
        <f t="shared" si="156"/>
        <v>54819.749999999993</v>
      </c>
      <c r="V208" s="36">
        <v>155.75</v>
      </c>
      <c r="W208" s="53">
        <f t="shared" si="158"/>
        <v>8538176.0624999981</v>
      </c>
      <c r="X208" s="70">
        <f t="shared" si="160"/>
        <v>8538176.0624999981</v>
      </c>
      <c r="Y208" s="36"/>
      <c r="Z208" s="36"/>
      <c r="AA208" s="112"/>
    </row>
    <row r="209" spans="1:27" ht="24.75">
      <c r="A209" s="35">
        <f t="shared" si="133"/>
        <v>204</v>
      </c>
      <c r="B209" s="36" t="s">
        <v>865</v>
      </c>
      <c r="C209" s="21" t="s">
        <v>906</v>
      </c>
      <c r="D209" s="21">
        <v>41932</v>
      </c>
      <c r="E209" s="26" t="s">
        <v>895</v>
      </c>
      <c r="F209" s="22" t="s">
        <v>278</v>
      </c>
      <c r="G209" s="22" t="s">
        <v>44</v>
      </c>
      <c r="H209" s="22" t="s">
        <v>133</v>
      </c>
      <c r="I209" s="37">
        <v>801.22</v>
      </c>
      <c r="J209" s="19">
        <v>41911</v>
      </c>
      <c r="K209" s="51" t="s">
        <v>843</v>
      </c>
      <c r="L209" s="51" t="s">
        <v>49</v>
      </c>
      <c r="M209" s="22" t="s">
        <v>69</v>
      </c>
      <c r="N209" s="20" t="s">
        <v>848</v>
      </c>
      <c r="O209" s="57">
        <v>200000</v>
      </c>
      <c r="P209" s="38">
        <f t="shared" si="134"/>
        <v>19035200</v>
      </c>
      <c r="Q209" s="39" t="s">
        <v>32</v>
      </c>
      <c r="R209" s="49">
        <v>95.176000000000002</v>
      </c>
      <c r="S209" s="40">
        <f t="shared" si="157"/>
        <v>42000</v>
      </c>
      <c r="T209" s="22" t="s">
        <v>278</v>
      </c>
      <c r="U209" s="54">
        <f t="shared" si="156"/>
        <v>22842.239999999998</v>
      </c>
      <c r="V209" s="36">
        <v>155.75</v>
      </c>
      <c r="W209" s="53">
        <f t="shared" si="158"/>
        <v>3557678.88</v>
      </c>
      <c r="X209" s="70">
        <f t="shared" ref="X209:X216" si="161">W209</f>
        <v>3557678.88</v>
      </c>
      <c r="Y209" s="36"/>
      <c r="Z209" s="36"/>
      <c r="AA209" s="112" t="s">
        <v>982</v>
      </c>
    </row>
    <row r="210" spans="1:27" ht="24.75">
      <c r="A210" s="35">
        <f t="shared" si="133"/>
        <v>205</v>
      </c>
      <c r="B210" s="36" t="s">
        <v>866</v>
      </c>
      <c r="C210" s="21" t="s">
        <v>906</v>
      </c>
      <c r="D210" s="21">
        <v>41932</v>
      </c>
      <c r="E210" s="26" t="s">
        <v>895</v>
      </c>
      <c r="F210" s="22" t="s">
        <v>278</v>
      </c>
      <c r="G210" s="22" t="s">
        <v>44</v>
      </c>
      <c r="H210" s="22" t="s">
        <v>133</v>
      </c>
      <c r="I210" s="37">
        <v>801.22</v>
      </c>
      <c r="J210" s="19">
        <v>41911</v>
      </c>
      <c r="K210" s="51" t="s">
        <v>843</v>
      </c>
      <c r="L210" s="51" t="s">
        <v>49</v>
      </c>
      <c r="M210" s="22" t="s">
        <v>69</v>
      </c>
      <c r="N210" s="20" t="s">
        <v>848</v>
      </c>
      <c r="O210" s="57">
        <v>200000</v>
      </c>
      <c r="P210" s="38">
        <f t="shared" si="134"/>
        <v>19035200</v>
      </c>
      <c r="Q210" s="39" t="s">
        <v>32</v>
      </c>
      <c r="R210" s="49">
        <v>95.176000000000002</v>
      </c>
      <c r="S210" s="40">
        <f t="shared" si="157"/>
        <v>42000</v>
      </c>
      <c r="T210" s="22" t="s">
        <v>278</v>
      </c>
      <c r="U210" s="54">
        <f t="shared" si="156"/>
        <v>22842.239999999998</v>
      </c>
      <c r="V210" s="36">
        <v>155.75</v>
      </c>
      <c r="W210" s="53">
        <f t="shared" si="158"/>
        <v>3557678.88</v>
      </c>
      <c r="X210" s="70">
        <f t="shared" si="161"/>
        <v>3557678.88</v>
      </c>
      <c r="Y210" s="36"/>
      <c r="Z210" s="36"/>
      <c r="AA210" s="112"/>
    </row>
    <row r="211" spans="1:27" ht="24.75">
      <c r="A211" s="35">
        <f t="shared" si="133"/>
        <v>206</v>
      </c>
      <c r="B211" s="36" t="s">
        <v>867</v>
      </c>
      <c r="C211" s="21" t="s">
        <v>906</v>
      </c>
      <c r="D211" s="21">
        <v>41932</v>
      </c>
      <c r="E211" s="26" t="s">
        <v>895</v>
      </c>
      <c r="F211" s="22" t="s">
        <v>278</v>
      </c>
      <c r="G211" s="22" t="s">
        <v>44</v>
      </c>
      <c r="H211" s="22" t="s">
        <v>133</v>
      </c>
      <c r="I211" s="37">
        <v>801.22</v>
      </c>
      <c r="J211" s="19">
        <v>41911</v>
      </c>
      <c r="K211" s="51" t="s">
        <v>843</v>
      </c>
      <c r="L211" s="51" t="s">
        <v>49</v>
      </c>
      <c r="M211" s="22" t="s">
        <v>69</v>
      </c>
      <c r="N211" s="20" t="s">
        <v>848</v>
      </c>
      <c r="O211" s="57">
        <v>200000</v>
      </c>
      <c r="P211" s="38">
        <f t="shared" si="134"/>
        <v>19035200</v>
      </c>
      <c r="Q211" s="39" t="s">
        <v>32</v>
      </c>
      <c r="R211" s="49">
        <v>95.176000000000002</v>
      </c>
      <c r="S211" s="40">
        <f t="shared" si="157"/>
        <v>42000</v>
      </c>
      <c r="T211" s="22" t="s">
        <v>278</v>
      </c>
      <c r="U211" s="54">
        <f t="shared" si="156"/>
        <v>22842.239999999998</v>
      </c>
      <c r="V211" s="36">
        <v>155.75</v>
      </c>
      <c r="W211" s="53">
        <f t="shared" si="158"/>
        <v>3557678.88</v>
      </c>
      <c r="X211" s="70">
        <f t="shared" si="161"/>
        <v>3557678.88</v>
      </c>
      <c r="Y211" s="36"/>
      <c r="Z211" s="36"/>
      <c r="AA211" s="112"/>
    </row>
    <row r="212" spans="1:27" ht="24.75">
      <c r="A212" s="35">
        <f t="shared" si="133"/>
        <v>207</v>
      </c>
      <c r="B212" s="36" t="s">
        <v>868</v>
      </c>
      <c r="C212" s="21" t="s">
        <v>906</v>
      </c>
      <c r="D212" s="21">
        <v>41932</v>
      </c>
      <c r="E212" s="26" t="s">
        <v>895</v>
      </c>
      <c r="F212" s="22" t="s">
        <v>278</v>
      </c>
      <c r="G212" s="22" t="s">
        <v>44</v>
      </c>
      <c r="H212" s="22" t="s">
        <v>133</v>
      </c>
      <c r="I212" s="37">
        <v>801.22</v>
      </c>
      <c r="J212" s="19">
        <v>41911</v>
      </c>
      <c r="K212" s="51" t="s">
        <v>843</v>
      </c>
      <c r="L212" s="51" t="s">
        <v>49</v>
      </c>
      <c r="M212" s="22" t="s">
        <v>69</v>
      </c>
      <c r="N212" s="20" t="s">
        <v>848</v>
      </c>
      <c r="O212" s="57">
        <v>13605</v>
      </c>
      <c r="P212" s="38">
        <f t="shared" si="134"/>
        <v>1294869.48</v>
      </c>
      <c r="Q212" s="39" t="s">
        <v>32</v>
      </c>
      <c r="R212" s="49">
        <v>95.176000000000002</v>
      </c>
      <c r="S212" s="40">
        <f t="shared" si="157"/>
        <v>42000</v>
      </c>
      <c r="T212" s="22" t="s">
        <v>278</v>
      </c>
      <c r="U212" s="54">
        <f t="shared" si="156"/>
        <v>1553.8433759999998</v>
      </c>
      <c r="V212" s="36">
        <v>155.75</v>
      </c>
      <c r="W212" s="53">
        <f t="shared" si="158"/>
        <v>242011.10581199997</v>
      </c>
      <c r="X212" s="70">
        <f t="shared" si="161"/>
        <v>242011.10581199997</v>
      </c>
      <c r="Y212" s="36"/>
      <c r="Z212" s="36"/>
      <c r="AA212" s="112"/>
    </row>
    <row r="213" spans="1:27" ht="24.75">
      <c r="A213" s="35">
        <f t="shared" si="133"/>
        <v>208</v>
      </c>
      <c r="B213" s="36" t="s">
        <v>869</v>
      </c>
      <c r="C213" s="21" t="s">
        <v>907</v>
      </c>
      <c r="D213" s="21">
        <v>41932</v>
      </c>
      <c r="E213" s="26" t="s">
        <v>896</v>
      </c>
      <c r="F213" s="22" t="s">
        <v>278</v>
      </c>
      <c r="G213" s="22" t="s">
        <v>44</v>
      </c>
      <c r="H213" s="22" t="s">
        <v>133</v>
      </c>
      <c r="I213" s="37">
        <v>801.22</v>
      </c>
      <c r="J213" s="19">
        <v>41911</v>
      </c>
      <c r="K213" s="51" t="s">
        <v>843</v>
      </c>
      <c r="L213" s="51" t="s">
        <v>49</v>
      </c>
      <c r="M213" s="22" t="s">
        <v>69</v>
      </c>
      <c r="N213" s="20" t="s">
        <v>848</v>
      </c>
      <c r="O213" s="57">
        <v>110000</v>
      </c>
      <c r="P213" s="38">
        <f t="shared" si="134"/>
        <v>10469360</v>
      </c>
      <c r="Q213" s="39" t="s">
        <v>32</v>
      </c>
      <c r="R213" s="49">
        <v>95.176000000000002</v>
      </c>
      <c r="S213" s="40">
        <f t="shared" si="157"/>
        <v>42000</v>
      </c>
      <c r="T213" s="22" t="s">
        <v>278</v>
      </c>
      <c r="U213" s="54">
        <f t="shared" si="156"/>
        <v>12563.231999999998</v>
      </c>
      <c r="V213" s="36">
        <v>155.75</v>
      </c>
      <c r="W213" s="53">
        <f t="shared" si="158"/>
        <v>1956723.3839999996</v>
      </c>
      <c r="X213" s="70">
        <f t="shared" si="161"/>
        <v>1956723.3839999996</v>
      </c>
      <c r="Y213" s="36"/>
      <c r="Z213" s="36"/>
      <c r="AA213" s="113"/>
    </row>
    <row r="214" spans="1:27" ht="24.75">
      <c r="A214" s="35">
        <f t="shared" si="133"/>
        <v>209</v>
      </c>
      <c r="B214" s="36" t="s">
        <v>870</v>
      </c>
      <c r="C214" s="21" t="s">
        <v>908</v>
      </c>
      <c r="D214" s="21">
        <v>41932</v>
      </c>
      <c r="E214" s="26" t="s">
        <v>897</v>
      </c>
      <c r="F214" s="22" t="s">
        <v>278</v>
      </c>
      <c r="G214" s="22" t="s">
        <v>44</v>
      </c>
      <c r="H214" s="22" t="s">
        <v>133</v>
      </c>
      <c r="I214" s="37">
        <v>801.22</v>
      </c>
      <c r="J214" s="19">
        <v>41911</v>
      </c>
      <c r="K214" s="51" t="s">
        <v>843</v>
      </c>
      <c r="L214" s="51" t="s">
        <v>49</v>
      </c>
      <c r="M214" s="22" t="s">
        <v>69</v>
      </c>
      <c r="N214" s="20" t="s">
        <v>848</v>
      </c>
      <c r="O214" s="57">
        <v>76000</v>
      </c>
      <c r="P214" s="38">
        <f t="shared" si="134"/>
        <v>7233376</v>
      </c>
      <c r="Q214" s="39" t="s">
        <v>32</v>
      </c>
      <c r="R214" s="49">
        <v>95.176000000000002</v>
      </c>
      <c r="S214" s="40">
        <f t="shared" si="157"/>
        <v>42000</v>
      </c>
      <c r="T214" s="22" t="s">
        <v>278</v>
      </c>
      <c r="U214" s="54">
        <f t="shared" si="156"/>
        <v>8680.0511999999999</v>
      </c>
      <c r="V214" s="36">
        <v>155.75</v>
      </c>
      <c r="W214" s="53">
        <f t="shared" si="158"/>
        <v>1351917.9743999999</v>
      </c>
      <c r="X214" s="70">
        <f t="shared" si="161"/>
        <v>1351917.9743999999</v>
      </c>
      <c r="Y214" s="36"/>
      <c r="Z214" s="36"/>
      <c r="AA214" s="113"/>
    </row>
    <row r="215" spans="1:27" ht="24.75">
      <c r="A215" s="35">
        <f t="shared" si="133"/>
        <v>210</v>
      </c>
      <c r="B215" s="36" t="s">
        <v>871</v>
      </c>
      <c r="C215" s="21" t="s">
        <v>909</v>
      </c>
      <c r="D215" s="21">
        <v>41932</v>
      </c>
      <c r="E215" s="26" t="s">
        <v>898</v>
      </c>
      <c r="F215" s="22" t="s">
        <v>278</v>
      </c>
      <c r="G215" s="22" t="s">
        <v>44</v>
      </c>
      <c r="H215" s="22" t="s">
        <v>133</v>
      </c>
      <c r="I215" s="37">
        <v>801.22</v>
      </c>
      <c r="J215" s="19">
        <v>41911</v>
      </c>
      <c r="K215" s="51" t="s">
        <v>843</v>
      </c>
      <c r="L215" s="51" t="s">
        <v>49</v>
      </c>
      <c r="M215" s="22" t="s">
        <v>69</v>
      </c>
      <c r="N215" s="20" t="s">
        <v>848</v>
      </c>
      <c r="O215" s="57">
        <v>90000</v>
      </c>
      <c r="P215" s="38">
        <f t="shared" si="134"/>
        <v>8565840</v>
      </c>
      <c r="Q215" s="39" t="s">
        <v>32</v>
      </c>
      <c r="R215" s="49">
        <v>95.176000000000002</v>
      </c>
      <c r="S215" s="40">
        <f t="shared" si="157"/>
        <v>42000</v>
      </c>
      <c r="T215" s="22" t="s">
        <v>278</v>
      </c>
      <c r="U215" s="41">
        <f t="shared" si="156"/>
        <v>10279.008</v>
      </c>
      <c r="V215" s="36">
        <v>155.75</v>
      </c>
      <c r="W215" s="38">
        <f t="shared" si="158"/>
        <v>1600955.496</v>
      </c>
      <c r="X215" s="70">
        <f t="shared" si="161"/>
        <v>1600955.496</v>
      </c>
      <c r="Y215" s="36"/>
      <c r="Z215" s="36"/>
      <c r="AA215" s="113"/>
    </row>
    <row r="216" spans="1:27" ht="24.75">
      <c r="A216" s="35">
        <f t="shared" si="133"/>
        <v>211</v>
      </c>
      <c r="B216" s="36" t="s">
        <v>872</v>
      </c>
      <c r="C216" s="21" t="s">
        <v>910</v>
      </c>
      <c r="D216" s="21">
        <v>41932</v>
      </c>
      <c r="E216" s="26" t="s">
        <v>899</v>
      </c>
      <c r="F216" s="22" t="s">
        <v>278</v>
      </c>
      <c r="G216" s="22" t="s">
        <v>44</v>
      </c>
      <c r="H216" s="22" t="s">
        <v>133</v>
      </c>
      <c r="I216" s="37">
        <v>801.22</v>
      </c>
      <c r="J216" s="19">
        <v>41911</v>
      </c>
      <c r="K216" s="51" t="s">
        <v>843</v>
      </c>
      <c r="L216" s="51" t="s">
        <v>49</v>
      </c>
      <c r="M216" s="22" t="s">
        <v>69</v>
      </c>
      <c r="N216" s="20" t="s">
        <v>848</v>
      </c>
      <c r="O216" s="23">
        <v>60000</v>
      </c>
      <c r="P216" s="38">
        <f t="shared" si="134"/>
        <v>5710560</v>
      </c>
      <c r="Q216" s="39" t="s">
        <v>32</v>
      </c>
      <c r="R216" s="49">
        <v>95.176000000000002</v>
      </c>
      <c r="S216" s="40">
        <f t="shared" si="157"/>
        <v>42000</v>
      </c>
      <c r="T216" s="22" t="s">
        <v>278</v>
      </c>
      <c r="U216" s="41">
        <f t="shared" si="156"/>
        <v>6852.6719999999996</v>
      </c>
      <c r="V216" s="36">
        <v>155.75</v>
      </c>
      <c r="W216" s="38">
        <f t="shared" si="158"/>
        <v>1067303.6639999999</v>
      </c>
      <c r="X216" s="70">
        <f t="shared" si="161"/>
        <v>1067303.6639999999</v>
      </c>
      <c r="Y216" s="36"/>
      <c r="Z216" s="36"/>
      <c r="AA216" s="113"/>
    </row>
    <row r="217" spans="1:27" ht="20.25" customHeight="1">
      <c r="A217" s="35">
        <f t="shared" si="133"/>
        <v>212</v>
      </c>
      <c r="B217" s="36" t="s">
        <v>809</v>
      </c>
      <c r="C217" s="22" t="s">
        <v>911</v>
      </c>
      <c r="D217" s="40">
        <v>41934</v>
      </c>
      <c r="E217" s="18">
        <v>201400010342</v>
      </c>
      <c r="F217" s="22" t="s">
        <v>120</v>
      </c>
      <c r="G217" s="22" t="s">
        <v>47</v>
      </c>
      <c r="H217" s="22" t="s">
        <v>133</v>
      </c>
      <c r="I217" s="37">
        <v>801.22</v>
      </c>
      <c r="J217" s="19">
        <v>41873</v>
      </c>
      <c r="K217" s="51" t="s">
        <v>798</v>
      </c>
      <c r="L217" s="74" t="s">
        <v>49</v>
      </c>
      <c r="M217" s="22" t="s">
        <v>50</v>
      </c>
      <c r="N217" s="20" t="s">
        <v>76</v>
      </c>
      <c r="O217" s="23">
        <v>80000</v>
      </c>
      <c r="P217" s="53">
        <f t="shared" si="134"/>
        <v>8124960</v>
      </c>
      <c r="Q217" s="39" t="s">
        <v>32</v>
      </c>
      <c r="R217" s="49">
        <v>101.562</v>
      </c>
      <c r="S217" s="40">
        <f t="shared" ref="S217:S218" si="162">SUM(J217)+89</f>
        <v>41962</v>
      </c>
      <c r="T217" s="22" t="s">
        <v>38</v>
      </c>
      <c r="U217" s="54">
        <f t="shared" si="156"/>
        <v>9749.9519999999993</v>
      </c>
      <c r="V217" s="36">
        <v>155.72999999999999</v>
      </c>
      <c r="W217" s="53">
        <f t="shared" si="158"/>
        <v>1518360.0249599998</v>
      </c>
      <c r="X217" s="70">
        <v>1508609.77</v>
      </c>
      <c r="Y217" s="40">
        <v>41922</v>
      </c>
      <c r="Z217" s="48">
        <v>11247</v>
      </c>
      <c r="AA217" s="113"/>
    </row>
    <row r="218" spans="1:27" ht="20.25" customHeight="1">
      <c r="A218" s="35">
        <f t="shared" si="133"/>
        <v>213</v>
      </c>
      <c r="B218" s="36" t="s">
        <v>817</v>
      </c>
      <c r="C218" s="82" t="s">
        <v>912</v>
      </c>
      <c r="D218" s="19">
        <v>41934</v>
      </c>
      <c r="E218" s="26" t="s">
        <v>788</v>
      </c>
      <c r="F218" s="22" t="s">
        <v>52</v>
      </c>
      <c r="G218" s="22" t="s">
        <v>82</v>
      </c>
      <c r="H218" s="22" t="s">
        <v>58</v>
      </c>
      <c r="I218" s="37">
        <v>801.22</v>
      </c>
      <c r="J218" s="21">
        <v>41879</v>
      </c>
      <c r="K218" s="22" t="s">
        <v>171</v>
      </c>
      <c r="L218" s="22" t="s">
        <v>59</v>
      </c>
      <c r="M218" s="22" t="s">
        <v>78</v>
      </c>
      <c r="N218" s="20" t="s">
        <v>109</v>
      </c>
      <c r="O218" s="23">
        <v>254852</v>
      </c>
      <c r="P218" s="53">
        <f t="shared" si="134"/>
        <v>25778789.504000001</v>
      </c>
      <c r="Q218" s="39" t="s">
        <v>32</v>
      </c>
      <c r="R218" s="49">
        <v>101.152</v>
      </c>
      <c r="S218" s="40">
        <f t="shared" si="162"/>
        <v>41968</v>
      </c>
      <c r="T218" s="20" t="s">
        <v>52</v>
      </c>
      <c r="U218" s="54">
        <f t="shared" si="156"/>
        <v>30934.5474048</v>
      </c>
      <c r="V218" s="36">
        <v>155.72999999999999</v>
      </c>
      <c r="W218" s="53">
        <f t="shared" si="158"/>
        <v>4817437.0673495037</v>
      </c>
      <c r="X218" s="70">
        <v>4802910.9800000004</v>
      </c>
      <c r="Y218" s="44" t="s">
        <v>914</v>
      </c>
      <c r="Z218" s="48" t="s">
        <v>913</v>
      </c>
      <c r="AA218" s="113"/>
    </row>
    <row r="219" spans="1:27" ht="21.75" customHeight="1">
      <c r="A219" s="35">
        <f t="shared" si="133"/>
        <v>214</v>
      </c>
      <c r="B219" s="36" t="s">
        <v>744</v>
      </c>
      <c r="C219" s="22" t="s">
        <v>882</v>
      </c>
      <c r="D219" s="21">
        <v>41935</v>
      </c>
      <c r="E219" s="27" t="s">
        <v>773</v>
      </c>
      <c r="F219" s="22" t="s">
        <v>163</v>
      </c>
      <c r="G219" s="22" t="s">
        <v>34</v>
      </c>
      <c r="H219" s="22" t="s">
        <v>35</v>
      </c>
      <c r="I219" s="37">
        <v>801.22</v>
      </c>
      <c r="J219" s="19">
        <v>41844</v>
      </c>
      <c r="K219" s="51" t="s">
        <v>718</v>
      </c>
      <c r="L219" s="51" t="s">
        <v>36</v>
      </c>
      <c r="M219" s="22" t="s">
        <v>80</v>
      </c>
      <c r="N219" s="20" t="s">
        <v>93</v>
      </c>
      <c r="O219" s="57">
        <v>948707</v>
      </c>
      <c r="P219" s="38">
        <f>SUM(O219*R219)</f>
        <v>103592922.41659999</v>
      </c>
      <c r="Q219" s="39" t="s">
        <v>32</v>
      </c>
      <c r="R219" s="59">
        <v>109.1938</v>
      </c>
      <c r="S219" s="40">
        <f t="shared" ref="S219" si="163">SUM(J219)+89</f>
        <v>41933</v>
      </c>
      <c r="T219" s="22" t="s">
        <v>38</v>
      </c>
      <c r="U219" s="41">
        <f>SUM(P219*0.12%)</f>
        <v>124311.50689991997</v>
      </c>
      <c r="V219" s="36">
        <v>155.72999999999999</v>
      </c>
      <c r="W219" s="38">
        <f>SUM(U219*V219)</f>
        <v>19359030.969524536</v>
      </c>
      <c r="X219" s="45">
        <v>19552621.280000001</v>
      </c>
      <c r="Y219" s="40">
        <v>41922</v>
      </c>
      <c r="Z219" s="48">
        <v>10331</v>
      </c>
      <c r="AA219" s="113"/>
    </row>
    <row r="220" spans="1:27" ht="24.75">
      <c r="A220" s="35">
        <f t="shared" si="133"/>
        <v>215</v>
      </c>
      <c r="B220" s="36" t="s">
        <v>861</v>
      </c>
      <c r="C220" s="22" t="s">
        <v>915</v>
      </c>
      <c r="D220" s="21">
        <v>41940</v>
      </c>
      <c r="E220" s="18">
        <v>201401010087</v>
      </c>
      <c r="F220" s="22" t="s">
        <v>39</v>
      </c>
      <c r="G220" s="22" t="s">
        <v>97</v>
      </c>
      <c r="H220" s="22" t="s">
        <v>133</v>
      </c>
      <c r="I220" s="37">
        <v>801.22</v>
      </c>
      <c r="J220" s="19">
        <v>41904</v>
      </c>
      <c r="K220" s="51" t="s">
        <v>165</v>
      </c>
      <c r="L220" s="51" t="s">
        <v>49</v>
      </c>
      <c r="M220" s="22" t="s">
        <v>50</v>
      </c>
      <c r="N220" s="20" t="s">
        <v>846</v>
      </c>
      <c r="O220" s="57">
        <v>20000</v>
      </c>
      <c r="P220" s="38">
        <f>SUM(O220*R218)</f>
        <v>2023040</v>
      </c>
      <c r="Q220" s="39" t="s">
        <v>32</v>
      </c>
      <c r="R220" s="9">
        <v>96.399000000000001</v>
      </c>
      <c r="S220" s="40">
        <f t="shared" ref="S220:S225" si="164">SUM(J220)+89</f>
        <v>41993</v>
      </c>
      <c r="T220" s="22" t="s">
        <v>39</v>
      </c>
      <c r="U220" s="54">
        <f t="shared" ref="U220:U225" si="165">SUM(P220*0.12%)</f>
        <v>2427.6479999999997</v>
      </c>
      <c r="V220" s="36">
        <v>155.75</v>
      </c>
      <c r="W220" s="53">
        <f t="shared" ref="W220:W222" si="166">SUM(U220*V220)</f>
        <v>378106.17599999998</v>
      </c>
      <c r="X220" s="70">
        <v>360339.46</v>
      </c>
      <c r="Y220" s="40">
        <v>41936</v>
      </c>
      <c r="Z220" s="48">
        <v>4431</v>
      </c>
      <c r="AA220" s="113"/>
    </row>
    <row r="221" spans="1:27" ht="24.75">
      <c r="A221" s="35">
        <f t="shared" si="133"/>
        <v>216</v>
      </c>
      <c r="B221" s="36" t="s">
        <v>862</v>
      </c>
      <c r="C221" s="22" t="s">
        <v>916</v>
      </c>
      <c r="D221" s="21">
        <v>41940</v>
      </c>
      <c r="E221" s="18">
        <v>201401010088</v>
      </c>
      <c r="F221" s="22" t="s">
        <v>39</v>
      </c>
      <c r="G221" s="22" t="s">
        <v>97</v>
      </c>
      <c r="H221" s="22" t="s">
        <v>133</v>
      </c>
      <c r="I221" s="37">
        <v>801.22</v>
      </c>
      <c r="J221" s="19">
        <v>41904</v>
      </c>
      <c r="K221" s="51" t="s">
        <v>165</v>
      </c>
      <c r="L221" s="51" t="s">
        <v>49</v>
      </c>
      <c r="M221" s="22" t="s">
        <v>50</v>
      </c>
      <c r="N221" s="20" t="s">
        <v>846</v>
      </c>
      <c r="O221" s="57">
        <v>18000</v>
      </c>
      <c r="P221" s="38">
        <f t="shared" ref="P221:P222" si="167">SUM(O221*R220)</f>
        <v>1735182</v>
      </c>
      <c r="Q221" s="39" t="s">
        <v>32</v>
      </c>
      <c r="R221" s="9">
        <v>96.399000000000001</v>
      </c>
      <c r="S221" s="40">
        <f t="shared" si="164"/>
        <v>41993</v>
      </c>
      <c r="T221" s="22" t="s">
        <v>39</v>
      </c>
      <c r="U221" s="54">
        <f t="shared" si="165"/>
        <v>2082.2183999999997</v>
      </c>
      <c r="V221" s="36">
        <v>155.75</v>
      </c>
      <c r="W221" s="53">
        <f t="shared" si="166"/>
        <v>324305.51579999994</v>
      </c>
      <c r="X221" s="70">
        <v>324305.52</v>
      </c>
      <c r="Y221" s="40">
        <v>41936</v>
      </c>
      <c r="Z221" s="48">
        <v>4433</v>
      </c>
      <c r="AA221" s="113"/>
    </row>
    <row r="222" spans="1:27" ht="24.75">
      <c r="A222" s="35">
        <f t="shared" si="133"/>
        <v>217</v>
      </c>
      <c r="B222" s="36" t="s">
        <v>863</v>
      </c>
      <c r="C222" s="22" t="s">
        <v>917</v>
      </c>
      <c r="D222" s="21">
        <v>41940</v>
      </c>
      <c r="E222" s="26" t="s">
        <v>836</v>
      </c>
      <c r="F222" s="22" t="s">
        <v>187</v>
      </c>
      <c r="G222" s="22" t="s">
        <v>97</v>
      </c>
      <c r="H222" s="22" t="s">
        <v>133</v>
      </c>
      <c r="I222" s="37">
        <v>801.22</v>
      </c>
      <c r="J222" s="19">
        <v>41904</v>
      </c>
      <c r="K222" s="51" t="s">
        <v>165</v>
      </c>
      <c r="L222" s="51" t="s">
        <v>49</v>
      </c>
      <c r="M222" s="22" t="s">
        <v>50</v>
      </c>
      <c r="N222" s="20" t="s">
        <v>846</v>
      </c>
      <c r="O222" s="57">
        <v>24000</v>
      </c>
      <c r="P222" s="38">
        <f t="shared" si="167"/>
        <v>2313576</v>
      </c>
      <c r="Q222" s="39" t="s">
        <v>32</v>
      </c>
      <c r="R222" s="9">
        <v>95.31</v>
      </c>
      <c r="S222" s="40">
        <f t="shared" si="164"/>
        <v>41993</v>
      </c>
      <c r="T222" s="22" t="s">
        <v>39</v>
      </c>
      <c r="U222" s="54">
        <f t="shared" si="165"/>
        <v>2776.2911999999997</v>
      </c>
      <c r="V222" s="36">
        <v>155.75</v>
      </c>
      <c r="W222" s="53">
        <f t="shared" si="166"/>
        <v>432407.35439999995</v>
      </c>
      <c r="X222" s="70">
        <v>432407.35</v>
      </c>
      <c r="Y222" s="40">
        <v>41936</v>
      </c>
      <c r="Z222" s="48">
        <v>4432</v>
      </c>
      <c r="AA222" s="113"/>
    </row>
    <row r="223" spans="1:27" ht="21.75" customHeight="1">
      <c r="A223" s="35">
        <f t="shared" si="133"/>
        <v>218</v>
      </c>
      <c r="B223" s="36" t="s">
        <v>735</v>
      </c>
      <c r="C223" s="22" t="s">
        <v>918</v>
      </c>
      <c r="D223" s="40">
        <v>41940</v>
      </c>
      <c r="E223" s="27" t="s">
        <v>713</v>
      </c>
      <c r="F223" s="22" t="s">
        <v>163</v>
      </c>
      <c r="G223" s="22" t="s">
        <v>631</v>
      </c>
      <c r="H223" s="22" t="s">
        <v>133</v>
      </c>
      <c r="I223" s="37">
        <v>801.22</v>
      </c>
      <c r="J223" s="19">
        <v>41844</v>
      </c>
      <c r="K223" s="51" t="s">
        <v>719</v>
      </c>
      <c r="L223" s="51" t="s">
        <v>49</v>
      </c>
      <c r="M223" s="22" t="s">
        <v>41</v>
      </c>
      <c r="N223" s="20" t="s">
        <v>42</v>
      </c>
      <c r="O223" s="57">
        <v>252934</v>
      </c>
      <c r="P223" s="38">
        <f t="shared" ref="P223:P263" si="168">SUM(O223*R223)</f>
        <v>27244785.810000002</v>
      </c>
      <c r="Q223" s="39" t="s">
        <v>32</v>
      </c>
      <c r="R223" s="49">
        <v>107.715</v>
      </c>
      <c r="S223" s="40">
        <f t="shared" si="164"/>
        <v>41933</v>
      </c>
      <c r="T223" s="22" t="s">
        <v>163</v>
      </c>
      <c r="U223" s="41">
        <f t="shared" si="165"/>
        <v>32693.742972</v>
      </c>
      <c r="V223" s="36">
        <v>155.72999999999999</v>
      </c>
      <c r="W223" s="38">
        <f t="shared" ref="W223:W224" si="169">SUM(U223*V223)</f>
        <v>5091396.5930295596</v>
      </c>
      <c r="X223" s="70">
        <v>5076030.53</v>
      </c>
      <c r="Y223" s="40">
        <v>41939</v>
      </c>
      <c r="Z223" s="48">
        <v>3553</v>
      </c>
      <c r="AA223" s="113"/>
    </row>
    <row r="224" spans="1:27" ht="20.25" customHeight="1">
      <c r="A224" s="35">
        <f t="shared" si="133"/>
        <v>219</v>
      </c>
      <c r="B224" s="36" t="s">
        <v>801</v>
      </c>
      <c r="C224" s="22" t="s">
        <v>920</v>
      </c>
      <c r="D224" s="40">
        <v>41940</v>
      </c>
      <c r="E224" s="27" t="s">
        <v>781</v>
      </c>
      <c r="F224" s="22" t="s">
        <v>163</v>
      </c>
      <c r="G224" s="22" t="s">
        <v>919</v>
      </c>
      <c r="H224" s="22" t="s">
        <v>133</v>
      </c>
      <c r="I224" s="37">
        <v>801.22</v>
      </c>
      <c r="J224" s="19">
        <v>41854</v>
      </c>
      <c r="K224" s="51" t="s">
        <v>793</v>
      </c>
      <c r="L224" s="51" t="s">
        <v>49</v>
      </c>
      <c r="M224" s="22" t="s">
        <v>56</v>
      </c>
      <c r="N224" s="78" t="s">
        <v>57</v>
      </c>
      <c r="O224" s="23">
        <v>627201</v>
      </c>
      <c r="P224" s="53">
        <f t="shared" si="168"/>
        <v>64809306.531000003</v>
      </c>
      <c r="Q224" s="39" t="s">
        <v>32</v>
      </c>
      <c r="R224" s="9">
        <v>103.331</v>
      </c>
      <c r="S224" s="40">
        <f t="shared" si="164"/>
        <v>41943</v>
      </c>
      <c r="T224" s="22" t="s">
        <v>163</v>
      </c>
      <c r="U224" s="54">
        <f t="shared" si="165"/>
        <v>77771.167837200002</v>
      </c>
      <c r="V224" s="36">
        <v>155.72999999999999</v>
      </c>
      <c r="W224" s="53">
        <f t="shared" si="169"/>
        <v>12111303.967287155</v>
      </c>
      <c r="X224" s="70">
        <v>12074751.52</v>
      </c>
      <c r="Y224" s="40">
        <v>41939</v>
      </c>
      <c r="Z224" s="48">
        <v>3552</v>
      </c>
      <c r="AA224" s="113"/>
    </row>
    <row r="225" spans="1:27" ht="24.75">
      <c r="A225" s="35">
        <f t="shared" si="133"/>
        <v>220</v>
      </c>
      <c r="B225" s="36" t="s">
        <v>859</v>
      </c>
      <c r="C225" s="22" t="s">
        <v>921</v>
      </c>
      <c r="D225" s="40">
        <v>41940</v>
      </c>
      <c r="E225" s="18">
        <v>201400010332</v>
      </c>
      <c r="F225" s="22" t="s">
        <v>163</v>
      </c>
      <c r="G225" s="22" t="s">
        <v>65</v>
      </c>
      <c r="H225" s="22" t="s">
        <v>133</v>
      </c>
      <c r="I225" s="37">
        <v>801.22</v>
      </c>
      <c r="J225" s="19">
        <v>41904</v>
      </c>
      <c r="K225" s="51" t="s">
        <v>165</v>
      </c>
      <c r="L225" s="51" t="s">
        <v>49</v>
      </c>
      <c r="M225" s="22" t="s">
        <v>50</v>
      </c>
      <c r="N225" s="20" t="s">
        <v>846</v>
      </c>
      <c r="O225" s="57">
        <v>555586</v>
      </c>
      <c r="P225" s="53">
        <f t="shared" si="168"/>
        <v>52854562.938000001</v>
      </c>
      <c r="Q225" s="39" t="s">
        <v>32</v>
      </c>
      <c r="R225" s="9">
        <v>95.132999999999996</v>
      </c>
      <c r="S225" s="40">
        <f t="shared" si="164"/>
        <v>41993</v>
      </c>
      <c r="T225" s="20" t="s">
        <v>163</v>
      </c>
      <c r="U225" s="54">
        <f t="shared" si="165"/>
        <v>63425.475525599999</v>
      </c>
      <c r="V225" s="36">
        <v>155.75</v>
      </c>
      <c r="W225" s="53">
        <f t="shared" ref="W225" si="170">SUM(U225*V225)</f>
        <v>9878517.8131121993</v>
      </c>
      <c r="X225" s="70">
        <v>9847439.3300000001</v>
      </c>
      <c r="Y225" s="40">
        <v>41939</v>
      </c>
      <c r="Z225" s="48">
        <v>3551</v>
      </c>
      <c r="AA225" s="113"/>
    </row>
    <row r="226" spans="1:27" ht="20.25" customHeight="1">
      <c r="A226" s="35">
        <f t="shared" si="133"/>
        <v>221</v>
      </c>
      <c r="B226" s="36" t="s">
        <v>803</v>
      </c>
      <c r="C226" s="60" t="s">
        <v>923</v>
      </c>
      <c r="D226" s="21">
        <v>41940</v>
      </c>
      <c r="E226" s="27" t="s">
        <v>922</v>
      </c>
      <c r="F226" s="22" t="s">
        <v>130</v>
      </c>
      <c r="G226" s="22" t="s">
        <v>87</v>
      </c>
      <c r="H226" s="22" t="s">
        <v>133</v>
      </c>
      <c r="I226" s="37">
        <v>801.22</v>
      </c>
      <c r="J226" s="19">
        <v>41854</v>
      </c>
      <c r="K226" s="51" t="s">
        <v>793</v>
      </c>
      <c r="L226" s="51" t="s">
        <v>49</v>
      </c>
      <c r="M226" s="22" t="s">
        <v>56</v>
      </c>
      <c r="N226" s="78" t="s">
        <v>57</v>
      </c>
      <c r="O226" s="23">
        <v>38000</v>
      </c>
      <c r="P226" s="53">
        <f t="shared" si="168"/>
        <v>3865246</v>
      </c>
      <c r="Q226" s="39" t="s">
        <v>32</v>
      </c>
      <c r="R226" s="9">
        <v>101.717</v>
      </c>
      <c r="S226" s="40">
        <f t="shared" ref="S226:S227" si="171">SUM(J226)+89</f>
        <v>41943</v>
      </c>
      <c r="T226" s="22" t="s">
        <v>144</v>
      </c>
      <c r="U226" s="54">
        <f t="shared" ref="U226:U237" si="172">SUM(P226*0.12%)</f>
        <v>4638.2951999999996</v>
      </c>
      <c r="V226" s="36">
        <v>155.72999999999999</v>
      </c>
      <c r="W226" s="53">
        <f t="shared" ref="W226:W227" si="173">SUM(U226*V226)</f>
        <v>722321.71149599983</v>
      </c>
      <c r="X226" s="70">
        <v>722321.71</v>
      </c>
      <c r="Y226" s="40">
        <v>41939</v>
      </c>
      <c r="Z226" s="48">
        <v>29092</v>
      </c>
      <c r="AA226" s="113"/>
    </row>
    <row r="227" spans="1:27" ht="20.25" customHeight="1">
      <c r="A227" s="35">
        <f t="shared" si="133"/>
        <v>222</v>
      </c>
      <c r="B227" s="36" t="s">
        <v>815</v>
      </c>
      <c r="C227" s="60" t="s">
        <v>924</v>
      </c>
      <c r="D227" s="21">
        <v>41940</v>
      </c>
      <c r="E227" s="18">
        <v>201402050458</v>
      </c>
      <c r="F227" s="22" t="s">
        <v>130</v>
      </c>
      <c r="G227" s="22" t="s">
        <v>792</v>
      </c>
      <c r="H227" s="22" t="s">
        <v>133</v>
      </c>
      <c r="I227" s="37">
        <v>801.22</v>
      </c>
      <c r="J227" s="21">
        <v>41873</v>
      </c>
      <c r="K227" s="22" t="s">
        <v>798</v>
      </c>
      <c r="L227" s="109" t="s">
        <v>49</v>
      </c>
      <c r="M227" s="22" t="s">
        <v>50</v>
      </c>
      <c r="N227" s="20" t="s">
        <v>76</v>
      </c>
      <c r="O227" s="23">
        <v>202000</v>
      </c>
      <c r="P227" s="53">
        <f t="shared" si="168"/>
        <v>20546834</v>
      </c>
      <c r="Q227" s="39" t="s">
        <v>32</v>
      </c>
      <c r="R227" s="9">
        <v>101.717</v>
      </c>
      <c r="S227" s="40">
        <f t="shared" si="171"/>
        <v>41962</v>
      </c>
      <c r="T227" s="22" t="s">
        <v>144</v>
      </c>
      <c r="U227" s="54">
        <f t="shared" si="172"/>
        <v>24656.200799999999</v>
      </c>
      <c r="V227" s="36">
        <v>155.72999999999999</v>
      </c>
      <c r="W227" s="53">
        <f t="shared" si="173"/>
        <v>3839710.1505839997</v>
      </c>
      <c r="X227" s="70">
        <v>3839710.15</v>
      </c>
      <c r="Y227" s="40">
        <v>41939</v>
      </c>
      <c r="Z227" s="48">
        <v>29093</v>
      </c>
      <c r="AA227" s="113"/>
    </row>
    <row r="228" spans="1:27" ht="24" customHeight="1">
      <c r="A228" s="35">
        <f t="shared" si="133"/>
        <v>223</v>
      </c>
      <c r="B228" s="36" t="s">
        <v>962</v>
      </c>
      <c r="C228" s="21" t="s">
        <v>1038</v>
      </c>
      <c r="D228" s="19">
        <v>41943</v>
      </c>
      <c r="E228" s="27" t="s">
        <v>934</v>
      </c>
      <c r="F228" s="22" t="s">
        <v>278</v>
      </c>
      <c r="G228" s="22" t="s">
        <v>44</v>
      </c>
      <c r="H228" s="22" t="s">
        <v>133</v>
      </c>
      <c r="I228" s="37">
        <v>801.22</v>
      </c>
      <c r="J228" s="19">
        <v>41921</v>
      </c>
      <c r="K228" s="51" t="s">
        <v>953</v>
      </c>
      <c r="L228" s="51" t="s">
        <v>49</v>
      </c>
      <c r="M228" s="22" t="s">
        <v>41</v>
      </c>
      <c r="N228" s="78" t="s">
        <v>42</v>
      </c>
      <c r="O228" s="57">
        <v>950120</v>
      </c>
      <c r="P228" s="53">
        <f t="shared" si="168"/>
        <v>85633365.480000004</v>
      </c>
      <c r="Q228" s="39" t="s">
        <v>32</v>
      </c>
      <c r="R228" s="9">
        <v>90.129000000000005</v>
      </c>
      <c r="S228" s="40">
        <f t="shared" ref="S228:S236" si="174">SUM(J228)+89</f>
        <v>42010</v>
      </c>
      <c r="T228" s="20" t="s">
        <v>278</v>
      </c>
      <c r="U228" s="41">
        <f t="shared" si="172"/>
        <v>102760.03857599999</v>
      </c>
      <c r="V228" s="36">
        <v>155.76</v>
      </c>
      <c r="W228" s="38">
        <f t="shared" ref="W228:W243" si="175">SUM(U228*V228)</f>
        <v>16005903.608597757</v>
      </c>
      <c r="X228" s="70">
        <f t="shared" ref="X228" si="176">W228</f>
        <v>16005903.608597757</v>
      </c>
      <c r="Y228" s="36"/>
      <c r="Z228" s="36"/>
      <c r="AA228" s="113"/>
    </row>
    <row r="229" spans="1:27" ht="24" customHeight="1">
      <c r="A229" s="35">
        <f t="shared" si="133"/>
        <v>224</v>
      </c>
      <c r="B229" s="36" t="s">
        <v>976</v>
      </c>
      <c r="C229" s="21" t="s">
        <v>926</v>
      </c>
      <c r="D229" s="19">
        <v>41943</v>
      </c>
      <c r="E229" s="27" t="s">
        <v>938</v>
      </c>
      <c r="F229" s="22" t="s">
        <v>278</v>
      </c>
      <c r="G229" s="22" t="s">
        <v>44</v>
      </c>
      <c r="H229" s="22" t="s">
        <v>29</v>
      </c>
      <c r="I229" s="37">
        <v>801.22</v>
      </c>
      <c r="J229" s="19">
        <v>41927</v>
      </c>
      <c r="K229" s="51" t="s">
        <v>122</v>
      </c>
      <c r="L229" s="51" t="s">
        <v>30</v>
      </c>
      <c r="M229" s="22" t="s">
        <v>74</v>
      </c>
      <c r="N229" s="20" t="s">
        <v>106</v>
      </c>
      <c r="O229" s="57">
        <v>548784</v>
      </c>
      <c r="P229" s="53">
        <f t="shared" si="168"/>
        <v>46033099.488000005</v>
      </c>
      <c r="Q229" s="39" t="s">
        <v>32</v>
      </c>
      <c r="R229" s="9">
        <v>83.882000000000005</v>
      </c>
      <c r="S229" s="40">
        <f t="shared" si="174"/>
        <v>42016</v>
      </c>
      <c r="T229" s="20" t="s">
        <v>278</v>
      </c>
      <c r="U229" s="41">
        <f t="shared" si="172"/>
        <v>55239.719385600001</v>
      </c>
      <c r="V229" s="36">
        <v>155.76</v>
      </c>
      <c r="W229" s="38">
        <f t="shared" si="175"/>
        <v>8604138.6915010549</v>
      </c>
      <c r="X229" s="70">
        <f t="shared" ref="X229:X233" si="177">W229</f>
        <v>8604138.6915010549</v>
      </c>
      <c r="Y229" s="36"/>
      <c r="Z229" s="36"/>
      <c r="AA229" s="113"/>
    </row>
    <row r="230" spans="1:27" ht="24" customHeight="1">
      <c r="A230" s="35">
        <f t="shared" si="133"/>
        <v>225</v>
      </c>
      <c r="B230" s="36" t="s">
        <v>977</v>
      </c>
      <c r="C230" s="21" t="s">
        <v>927</v>
      </c>
      <c r="D230" s="19">
        <v>41943</v>
      </c>
      <c r="E230" s="27" t="s">
        <v>939</v>
      </c>
      <c r="F230" s="22" t="s">
        <v>278</v>
      </c>
      <c r="G230" s="22" t="s">
        <v>44</v>
      </c>
      <c r="H230" s="22" t="s">
        <v>29</v>
      </c>
      <c r="I230" s="37">
        <v>801.22</v>
      </c>
      <c r="J230" s="19">
        <v>41927</v>
      </c>
      <c r="K230" s="51" t="s">
        <v>122</v>
      </c>
      <c r="L230" s="51" t="s">
        <v>30</v>
      </c>
      <c r="M230" s="22" t="s">
        <v>74</v>
      </c>
      <c r="N230" s="20" t="s">
        <v>106</v>
      </c>
      <c r="O230" s="57">
        <v>400000</v>
      </c>
      <c r="P230" s="53">
        <f t="shared" si="168"/>
        <v>33552800.000000004</v>
      </c>
      <c r="Q230" s="39" t="s">
        <v>32</v>
      </c>
      <c r="R230" s="9">
        <v>83.882000000000005</v>
      </c>
      <c r="S230" s="40">
        <f t="shared" si="174"/>
        <v>42016</v>
      </c>
      <c r="T230" s="22" t="s">
        <v>278</v>
      </c>
      <c r="U230" s="41">
        <f t="shared" si="172"/>
        <v>40263.360000000001</v>
      </c>
      <c r="V230" s="36">
        <v>155.76</v>
      </c>
      <c r="W230" s="38">
        <f t="shared" si="175"/>
        <v>6271420.9535999997</v>
      </c>
      <c r="X230" s="70">
        <f t="shared" si="177"/>
        <v>6271420.9535999997</v>
      </c>
      <c r="Y230" s="36"/>
      <c r="Z230" s="36"/>
      <c r="AA230" s="113"/>
    </row>
    <row r="231" spans="1:27" ht="24" customHeight="1">
      <c r="A231" s="35">
        <f t="shared" si="133"/>
        <v>226</v>
      </c>
      <c r="B231" s="36" t="s">
        <v>979</v>
      </c>
      <c r="C231" s="21" t="s">
        <v>928</v>
      </c>
      <c r="D231" s="19">
        <v>41943</v>
      </c>
      <c r="E231" s="27" t="s">
        <v>940</v>
      </c>
      <c r="F231" s="22" t="s">
        <v>278</v>
      </c>
      <c r="G231" s="22" t="s">
        <v>44</v>
      </c>
      <c r="H231" s="22" t="s">
        <v>35</v>
      </c>
      <c r="I231" s="37">
        <v>801.22</v>
      </c>
      <c r="J231" s="19">
        <v>41928</v>
      </c>
      <c r="K231" s="51" t="s">
        <v>164</v>
      </c>
      <c r="L231" s="51" t="s">
        <v>36</v>
      </c>
      <c r="M231" s="22" t="s">
        <v>67</v>
      </c>
      <c r="N231" s="20" t="s">
        <v>959</v>
      </c>
      <c r="O231" s="57">
        <v>949937</v>
      </c>
      <c r="P231" s="53">
        <f t="shared" si="168"/>
        <v>81677483.134000003</v>
      </c>
      <c r="Q231" s="39" t="s">
        <v>32</v>
      </c>
      <c r="R231" s="9">
        <v>85.981999999999999</v>
      </c>
      <c r="S231" s="40">
        <f t="shared" si="174"/>
        <v>42017</v>
      </c>
      <c r="T231" s="22" t="s">
        <v>278</v>
      </c>
      <c r="U231" s="41">
        <f t="shared" si="172"/>
        <v>98012.979760799994</v>
      </c>
      <c r="V231" s="36">
        <v>155.76</v>
      </c>
      <c r="W231" s="38">
        <f t="shared" si="175"/>
        <v>15266501.727542207</v>
      </c>
      <c r="X231" s="70">
        <f t="shared" si="177"/>
        <v>15266501.727542207</v>
      </c>
      <c r="Y231" s="36"/>
      <c r="Z231" s="36"/>
      <c r="AA231" s="113"/>
    </row>
    <row r="232" spans="1:27" ht="24" customHeight="1">
      <c r="A232" s="35">
        <f t="shared" si="133"/>
        <v>227</v>
      </c>
      <c r="B232" s="36" t="s">
        <v>966</v>
      </c>
      <c r="C232" s="21" t="s">
        <v>929</v>
      </c>
      <c r="D232" s="19">
        <v>41943</v>
      </c>
      <c r="E232" s="27" t="s">
        <v>941</v>
      </c>
      <c r="F232" s="22" t="s">
        <v>278</v>
      </c>
      <c r="G232" s="22" t="s">
        <v>44</v>
      </c>
      <c r="H232" s="22" t="s">
        <v>133</v>
      </c>
      <c r="I232" s="37">
        <v>801.22</v>
      </c>
      <c r="J232" s="19">
        <v>41928</v>
      </c>
      <c r="K232" s="51" t="s">
        <v>954</v>
      </c>
      <c r="L232" s="74" t="s">
        <v>49</v>
      </c>
      <c r="M232" s="22" t="s">
        <v>31</v>
      </c>
      <c r="N232" s="20" t="s">
        <v>960</v>
      </c>
      <c r="O232" s="57">
        <v>949771</v>
      </c>
      <c r="P232" s="53">
        <f t="shared" si="168"/>
        <v>80903393.321999997</v>
      </c>
      <c r="Q232" s="39" t="s">
        <v>32</v>
      </c>
      <c r="R232" s="49">
        <v>85.182000000000002</v>
      </c>
      <c r="S232" s="40">
        <f t="shared" si="174"/>
        <v>42017</v>
      </c>
      <c r="T232" s="22" t="s">
        <v>278</v>
      </c>
      <c r="U232" s="41">
        <f t="shared" si="172"/>
        <v>97084.071986399984</v>
      </c>
      <c r="V232" s="36">
        <v>155.76</v>
      </c>
      <c r="W232" s="38">
        <f t="shared" si="175"/>
        <v>15121815.052601662</v>
      </c>
      <c r="X232" s="70">
        <f t="shared" si="177"/>
        <v>15121815.052601662</v>
      </c>
      <c r="Y232" s="36"/>
      <c r="Z232" s="36"/>
      <c r="AA232" s="113"/>
    </row>
    <row r="233" spans="1:27" ht="24" customHeight="1">
      <c r="A233" s="35">
        <f t="shared" si="133"/>
        <v>228</v>
      </c>
      <c r="B233" s="36" t="s">
        <v>981</v>
      </c>
      <c r="C233" s="21" t="s">
        <v>930</v>
      </c>
      <c r="D233" s="19">
        <v>41943</v>
      </c>
      <c r="E233" s="27" t="s">
        <v>942</v>
      </c>
      <c r="F233" s="22" t="s">
        <v>278</v>
      </c>
      <c r="G233" s="22" t="s">
        <v>44</v>
      </c>
      <c r="H233" s="22" t="s">
        <v>45</v>
      </c>
      <c r="I233" s="37">
        <v>801.22</v>
      </c>
      <c r="J233" s="19">
        <v>41933</v>
      </c>
      <c r="K233" s="51" t="s">
        <v>955</v>
      </c>
      <c r="L233" s="74" t="s">
        <v>46</v>
      </c>
      <c r="M233" s="22" t="s">
        <v>74</v>
      </c>
      <c r="N233" s="20" t="s">
        <v>106</v>
      </c>
      <c r="O233" s="57">
        <v>899632</v>
      </c>
      <c r="P233" s="53">
        <f t="shared" si="168"/>
        <v>77756093.392000005</v>
      </c>
      <c r="Q233" s="39" t="s">
        <v>32</v>
      </c>
      <c r="R233" s="49">
        <v>86.430999999999997</v>
      </c>
      <c r="S233" s="40">
        <f t="shared" si="174"/>
        <v>42022</v>
      </c>
      <c r="T233" s="22" t="s">
        <v>278</v>
      </c>
      <c r="U233" s="41">
        <f t="shared" si="172"/>
        <v>93307.312070400003</v>
      </c>
      <c r="V233" s="36">
        <v>155.76</v>
      </c>
      <c r="W233" s="38">
        <f t="shared" si="175"/>
        <v>14533546.928085504</v>
      </c>
      <c r="X233" s="70">
        <f t="shared" si="177"/>
        <v>14533546.928085504</v>
      </c>
      <c r="Y233" s="36"/>
      <c r="Z233" s="36"/>
      <c r="AA233" s="113"/>
    </row>
    <row r="234" spans="1:27" ht="24" customHeight="1">
      <c r="A234" s="35">
        <f t="shared" si="133"/>
        <v>229</v>
      </c>
      <c r="B234" s="36" t="s">
        <v>973</v>
      </c>
      <c r="C234" s="21" t="s">
        <v>931</v>
      </c>
      <c r="D234" s="19">
        <v>41943</v>
      </c>
      <c r="E234" s="27" t="s">
        <v>949</v>
      </c>
      <c r="F234" s="22" t="s">
        <v>278</v>
      </c>
      <c r="G234" s="22" t="s">
        <v>44</v>
      </c>
      <c r="H234" s="22" t="s">
        <v>133</v>
      </c>
      <c r="I234" s="37">
        <v>801.22</v>
      </c>
      <c r="J234" s="19">
        <v>41943</v>
      </c>
      <c r="K234" s="51" t="s">
        <v>153</v>
      </c>
      <c r="L234" s="51" t="s">
        <v>49</v>
      </c>
      <c r="M234" s="22" t="s">
        <v>41</v>
      </c>
      <c r="N234" s="20" t="s">
        <v>95</v>
      </c>
      <c r="O234" s="57">
        <v>30000</v>
      </c>
      <c r="P234" s="53">
        <f t="shared" si="168"/>
        <v>2565270</v>
      </c>
      <c r="Q234" s="39" t="s">
        <v>32</v>
      </c>
      <c r="R234" s="9">
        <v>85.509</v>
      </c>
      <c r="S234" s="40">
        <f t="shared" si="174"/>
        <v>42032</v>
      </c>
      <c r="T234" s="22" t="s">
        <v>278</v>
      </c>
      <c r="U234" s="41">
        <f t="shared" si="172"/>
        <v>3078.3239999999996</v>
      </c>
      <c r="V234" s="36">
        <v>155.76</v>
      </c>
      <c r="W234" s="38">
        <f t="shared" si="175"/>
        <v>479479.74623999989</v>
      </c>
      <c r="X234" s="70">
        <f t="shared" ref="X234:X236" si="178">W234</f>
        <v>479479.74623999989</v>
      </c>
      <c r="Y234" s="36"/>
      <c r="Z234" s="36"/>
      <c r="AA234" s="113"/>
    </row>
    <row r="235" spans="1:27" ht="24" customHeight="1">
      <c r="A235" s="35">
        <f t="shared" si="133"/>
        <v>230</v>
      </c>
      <c r="B235" s="36" t="s">
        <v>974</v>
      </c>
      <c r="C235" s="21" t="s">
        <v>932</v>
      </c>
      <c r="D235" s="19">
        <v>41943</v>
      </c>
      <c r="E235" s="27" t="s">
        <v>950</v>
      </c>
      <c r="F235" s="22" t="s">
        <v>278</v>
      </c>
      <c r="G235" s="22" t="s">
        <v>44</v>
      </c>
      <c r="H235" s="22" t="s">
        <v>133</v>
      </c>
      <c r="I235" s="37">
        <v>801.22</v>
      </c>
      <c r="J235" s="19">
        <v>41943</v>
      </c>
      <c r="K235" s="51" t="s">
        <v>153</v>
      </c>
      <c r="L235" s="51" t="s">
        <v>49</v>
      </c>
      <c r="M235" s="22" t="s">
        <v>41</v>
      </c>
      <c r="N235" s="20" t="s">
        <v>95</v>
      </c>
      <c r="O235" s="57">
        <v>70000</v>
      </c>
      <c r="P235" s="53">
        <f t="shared" si="168"/>
        <v>5985630</v>
      </c>
      <c r="Q235" s="39" t="s">
        <v>32</v>
      </c>
      <c r="R235" s="9">
        <v>85.509</v>
      </c>
      <c r="S235" s="40">
        <f t="shared" si="174"/>
        <v>42032</v>
      </c>
      <c r="T235" s="22" t="s">
        <v>278</v>
      </c>
      <c r="U235" s="41">
        <f t="shared" si="172"/>
        <v>7182.7559999999994</v>
      </c>
      <c r="V235" s="36">
        <v>155.76</v>
      </c>
      <c r="W235" s="38">
        <f t="shared" si="175"/>
        <v>1118786.0745599999</v>
      </c>
      <c r="X235" s="70">
        <f t="shared" si="178"/>
        <v>1118786.0745599999</v>
      </c>
      <c r="Y235" s="36"/>
      <c r="Z235" s="36"/>
      <c r="AA235" s="113"/>
    </row>
    <row r="236" spans="1:27" ht="24" customHeight="1">
      <c r="A236" s="35">
        <f t="shared" si="133"/>
        <v>231</v>
      </c>
      <c r="B236" s="36" t="s">
        <v>975</v>
      </c>
      <c r="C236" s="21" t="s">
        <v>933</v>
      </c>
      <c r="D236" s="19">
        <v>41943</v>
      </c>
      <c r="E236" s="27" t="s">
        <v>951</v>
      </c>
      <c r="F236" s="22" t="s">
        <v>278</v>
      </c>
      <c r="G236" s="22" t="s">
        <v>44</v>
      </c>
      <c r="H236" s="22" t="s">
        <v>133</v>
      </c>
      <c r="I236" s="37">
        <v>801.22</v>
      </c>
      <c r="J236" s="19">
        <v>41943</v>
      </c>
      <c r="K236" s="51" t="s">
        <v>153</v>
      </c>
      <c r="L236" s="51" t="s">
        <v>49</v>
      </c>
      <c r="M236" s="22" t="s">
        <v>41</v>
      </c>
      <c r="N236" s="20" t="s">
        <v>95</v>
      </c>
      <c r="O236" s="57">
        <v>50000</v>
      </c>
      <c r="P236" s="53">
        <f t="shared" si="168"/>
        <v>4275450</v>
      </c>
      <c r="Q236" s="39" t="s">
        <v>32</v>
      </c>
      <c r="R236" s="9">
        <v>85.509</v>
      </c>
      <c r="S236" s="40">
        <f t="shared" si="174"/>
        <v>42032</v>
      </c>
      <c r="T236" s="20" t="s">
        <v>278</v>
      </c>
      <c r="U236" s="41">
        <f t="shared" si="172"/>
        <v>5130.54</v>
      </c>
      <c r="V236" s="36">
        <v>155.76</v>
      </c>
      <c r="W236" s="38">
        <f t="shared" si="175"/>
        <v>799132.91039999994</v>
      </c>
      <c r="X236" s="70">
        <f t="shared" si="178"/>
        <v>799132.91039999994</v>
      </c>
      <c r="Y236" s="36"/>
      <c r="Z236" s="36"/>
      <c r="AA236" s="113"/>
    </row>
    <row r="237" spans="1:27" ht="24" customHeight="1">
      <c r="A237" s="35">
        <f t="shared" si="133"/>
        <v>232</v>
      </c>
      <c r="B237" s="36" t="s">
        <v>980</v>
      </c>
      <c r="C237" s="44" t="s">
        <v>984</v>
      </c>
      <c r="D237" s="40">
        <v>41954</v>
      </c>
      <c r="E237" s="27" t="s">
        <v>983</v>
      </c>
      <c r="F237" s="22" t="s">
        <v>150</v>
      </c>
      <c r="G237" s="22" t="s">
        <v>279</v>
      </c>
      <c r="H237" s="22" t="s">
        <v>159</v>
      </c>
      <c r="I237" s="37">
        <v>801.22</v>
      </c>
      <c r="J237" s="19">
        <v>41932</v>
      </c>
      <c r="K237" s="51" t="s">
        <v>100</v>
      </c>
      <c r="L237" s="74" t="s">
        <v>160</v>
      </c>
      <c r="M237" s="22" t="s">
        <v>80</v>
      </c>
      <c r="N237" s="20" t="s">
        <v>166</v>
      </c>
      <c r="O237" s="57">
        <v>701303</v>
      </c>
      <c r="P237" s="53">
        <f t="shared" si="168"/>
        <v>56249409.720999993</v>
      </c>
      <c r="Q237" s="39" t="s">
        <v>32</v>
      </c>
      <c r="R237" s="49">
        <v>80.206999999999994</v>
      </c>
      <c r="S237" s="40">
        <f t="shared" ref="S237" si="179">SUM(J237)+89</f>
        <v>42021</v>
      </c>
      <c r="T237" s="22" t="s">
        <v>163</v>
      </c>
      <c r="U237" s="41">
        <f t="shared" si="172"/>
        <v>67499.291665199984</v>
      </c>
      <c r="V237" s="36">
        <v>155.76</v>
      </c>
      <c r="W237" s="38">
        <f t="shared" si="175"/>
        <v>10513689.669771548</v>
      </c>
      <c r="X237" s="70">
        <v>10516389.380000001</v>
      </c>
      <c r="Y237" s="40">
        <v>41950</v>
      </c>
      <c r="Z237" s="48">
        <v>3599</v>
      </c>
      <c r="AA237" s="113"/>
    </row>
    <row r="238" spans="1:27" ht="24" customHeight="1">
      <c r="A238" s="35">
        <f t="shared" ref="A238:A263" si="180">A237+1</f>
        <v>233</v>
      </c>
      <c r="B238" s="36" t="s">
        <v>963</v>
      </c>
      <c r="C238" s="22" t="s">
        <v>985</v>
      </c>
      <c r="D238" s="21">
        <v>41970</v>
      </c>
      <c r="E238" s="27" t="s">
        <v>935</v>
      </c>
      <c r="F238" s="22" t="s">
        <v>39</v>
      </c>
      <c r="G238" s="22" t="s">
        <v>97</v>
      </c>
      <c r="H238" s="22" t="s">
        <v>133</v>
      </c>
      <c r="I238" s="37">
        <v>801.22</v>
      </c>
      <c r="J238" s="19">
        <v>41921</v>
      </c>
      <c r="K238" s="51" t="s">
        <v>953</v>
      </c>
      <c r="L238" s="51" t="s">
        <v>49</v>
      </c>
      <c r="M238" s="22" t="s">
        <v>41</v>
      </c>
      <c r="N238" s="78" t="s">
        <v>42</v>
      </c>
      <c r="O238" s="57">
        <v>30000</v>
      </c>
      <c r="P238" s="53">
        <f t="shared" si="168"/>
        <v>2605680</v>
      </c>
      <c r="Q238" s="39" t="s">
        <v>32</v>
      </c>
      <c r="R238" s="9">
        <v>86.855999999999995</v>
      </c>
      <c r="S238" s="40">
        <f t="shared" ref="S238:S241" si="181">SUM(J238)+89</f>
        <v>42010</v>
      </c>
      <c r="T238" s="22" t="s">
        <v>39</v>
      </c>
      <c r="U238" s="41">
        <f t="shared" ref="U238:U243" si="182">SUM(P238*0.12%)</f>
        <v>3126.8159999999998</v>
      </c>
      <c r="V238" s="36">
        <v>155.76</v>
      </c>
      <c r="W238" s="38">
        <f t="shared" si="175"/>
        <v>487032.86015999992</v>
      </c>
      <c r="X238" s="70">
        <v>487038.86</v>
      </c>
      <c r="Y238" s="40">
        <v>41969</v>
      </c>
      <c r="Z238" s="48">
        <v>4435</v>
      </c>
      <c r="AA238" s="113"/>
    </row>
    <row r="239" spans="1:27" ht="24" customHeight="1">
      <c r="A239" s="35">
        <f t="shared" si="180"/>
        <v>234</v>
      </c>
      <c r="B239" s="36" t="s">
        <v>964</v>
      </c>
      <c r="C239" s="22" t="s">
        <v>986</v>
      </c>
      <c r="D239" s="21">
        <v>41970</v>
      </c>
      <c r="E239" s="27" t="s">
        <v>936</v>
      </c>
      <c r="F239" s="22" t="s">
        <v>39</v>
      </c>
      <c r="G239" s="22" t="s">
        <v>97</v>
      </c>
      <c r="H239" s="22" t="s">
        <v>133</v>
      </c>
      <c r="I239" s="37">
        <v>801.22</v>
      </c>
      <c r="J239" s="19">
        <v>41921</v>
      </c>
      <c r="K239" s="51" t="s">
        <v>953</v>
      </c>
      <c r="L239" s="51" t="s">
        <v>49</v>
      </c>
      <c r="M239" s="22" t="s">
        <v>41</v>
      </c>
      <c r="N239" s="78" t="s">
        <v>42</v>
      </c>
      <c r="O239" s="57">
        <v>54000</v>
      </c>
      <c r="P239" s="53">
        <f t="shared" si="168"/>
        <v>4690224</v>
      </c>
      <c r="Q239" s="39" t="s">
        <v>32</v>
      </c>
      <c r="R239" s="9">
        <v>86.855999999999995</v>
      </c>
      <c r="S239" s="40">
        <f t="shared" si="181"/>
        <v>42010</v>
      </c>
      <c r="T239" s="22" t="s">
        <v>39</v>
      </c>
      <c r="U239" s="41">
        <f t="shared" si="182"/>
        <v>5628.2687999999998</v>
      </c>
      <c r="V239" s="36">
        <v>155.76</v>
      </c>
      <c r="W239" s="38">
        <f t="shared" si="175"/>
        <v>876659.14828799991</v>
      </c>
      <c r="X239" s="70">
        <v>876659.15</v>
      </c>
      <c r="Y239" s="40">
        <v>41969</v>
      </c>
      <c r="Z239" s="48">
        <v>4436</v>
      </c>
      <c r="AA239" s="113"/>
    </row>
    <row r="240" spans="1:27" ht="24" customHeight="1">
      <c r="A240" s="35">
        <f t="shared" si="180"/>
        <v>235</v>
      </c>
      <c r="B240" s="36" t="s">
        <v>965</v>
      </c>
      <c r="C240" s="22" t="s">
        <v>987</v>
      </c>
      <c r="D240" s="21">
        <v>41970</v>
      </c>
      <c r="E240" s="27" t="s">
        <v>937</v>
      </c>
      <c r="F240" s="22" t="s">
        <v>187</v>
      </c>
      <c r="G240" s="22" t="s">
        <v>97</v>
      </c>
      <c r="H240" s="22" t="s">
        <v>133</v>
      </c>
      <c r="I240" s="37">
        <v>801.22</v>
      </c>
      <c r="J240" s="19">
        <v>41921</v>
      </c>
      <c r="K240" s="51" t="s">
        <v>953</v>
      </c>
      <c r="L240" s="51" t="s">
        <v>49</v>
      </c>
      <c r="M240" s="22" t="s">
        <v>41</v>
      </c>
      <c r="N240" s="78" t="s">
        <v>42</v>
      </c>
      <c r="O240" s="57">
        <v>16000</v>
      </c>
      <c r="P240" s="53">
        <f t="shared" si="168"/>
        <v>1389696</v>
      </c>
      <c r="Q240" s="39" t="s">
        <v>32</v>
      </c>
      <c r="R240" s="9">
        <v>86.855999999999995</v>
      </c>
      <c r="S240" s="40">
        <f t="shared" si="181"/>
        <v>42010</v>
      </c>
      <c r="T240" s="22" t="s">
        <v>39</v>
      </c>
      <c r="U240" s="41">
        <f t="shared" si="182"/>
        <v>1667.6351999999999</v>
      </c>
      <c r="V240" s="36">
        <v>155.76</v>
      </c>
      <c r="W240" s="38">
        <f t="shared" si="175"/>
        <v>259750.85875199997</v>
      </c>
      <c r="X240" s="70">
        <v>259750.86</v>
      </c>
      <c r="Y240" s="40">
        <v>41969</v>
      </c>
      <c r="Z240" s="48">
        <v>4437</v>
      </c>
      <c r="AA240" s="113"/>
    </row>
    <row r="241" spans="1:27" ht="24" customHeight="1">
      <c r="A241" s="35">
        <f t="shared" si="180"/>
        <v>236</v>
      </c>
      <c r="B241" s="36" t="s">
        <v>970</v>
      </c>
      <c r="C241" s="22" t="s">
        <v>988</v>
      </c>
      <c r="D241" s="21">
        <v>41970</v>
      </c>
      <c r="E241" s="27" t="s">
        <v>946</v>
      </c>
      <c r="F241" s="22" t="s">
        <v>39</v>
      </c>
      <c r="G241" s="22" t="s">
        <v>97</v>
      </c>
      <c r="H241" s="22" t="s">
        <v>133</v>
      </c>
      <c r="I241" s="37">
        <v>801.22</v>
      </c>
      <c r="J241" s="19">
        <v>41941</v>
      </c>
      <c r="K241" s="51" t="s">
        <v>957</v>
      </c>
      <c r="L241" s="51" t="s">
        <v>49</v>
      </c>
      <c r="M241" s="22" t="s">
        <v>41</v>
      </c>
      <c r="N241" s="20" t="s">
        <v>961</v>
      </c>
      <c r="O241" s="57">
        <v>12000</v>
      </c>
      <c r="P241" s="53">
        <f t="shared" si="168"/>
        <v>1042271.9999999999</v>
      </c>
      <c r="Q241" s="39" t="s">
        <v>32</v>
      </c>
      <c r="R241" s="9">
        <v>86.855999999999995</v>
      </c>
      <c r="S241" s="40">
        <f t="shared" si="181"/>
        <v>42030</v>
      </c>
      <c r="T241" s="22" t="s">
        <v>39</v>
      </c>
      <c r="U241" s="41">
        <f t="shared" si="182"/>
        <v>1250.7263999999998</v>
      </c>
      <c r="V241" s="36">
        <v>155.76</v>
      </c>
      <c r="W241" s="38">
        <f t="shared" si="175"/>
        <v>194813.14406399996</v>
      </c>
      <c r="X241" s="70">
        <v>194813.14</v>
      </c>
      <c r="Y241" s="40">
        <v>41969</v>
      </c>
      <c r="Z241" s="48">
        <v>4438</v>
      </c>
      <c r="AA241" s="113"/>
    </row>
    <row r="242" spans="1:27" ht="21.75" customHeight="1">
      <c r="A242" s="35">
        <f t="shared" si="180"/>
        <v>237</v>
      </c>
      <c r="B242" s="36" t="s">
        <v>740</v>
      </c>
      <c r="C242" s="60" t="s">
        <v>990</v>
      </c>
      <c r="D242" s="21">
        <v>41971</v>
      </c>
      <c r="E242" s="27" t="s">
        <v>989</v>
      </c>
      <c r="F242" s="22" t="s">
        <v>130</v>
      </c>
      <c r="G242" s="22" t="s">
        <v>98</v>
      </c>
      <c r="H242" s="22" t="s">
        <v>133</v>
      </c>
      <c r="I242" s="37">
        <v>801.22</v>
      </c>
      <c r="J242" s="19">
        <v>41844</v>
      </c>
      <c r="K242" s="51" t="s">
        <v>719</v>
      </c>
      <c r="L242" s="51" t="s">
        <v>49</v>
      </c>
      <c r="M242" s="22" t="s">
        <v>41</v>
      </c>
      <c r="N242" s="20" t="s">
        <v>42</v>
      </c>
      <c r="O242" s="57">
        <v>209000</v>
      </c>
      <c r="P242" s="38">
        <f t="shared" si="168"/>
        <v>22588093</v>
      </c>
      <c r="Q242" s="39" t="s">
        <v>32</v>
      </c>
      <c r="R242" s="49">
        <v>108.077</v>
      </c>
      <c r="S242" s="40">
        <f t="shared" ref="S242:S243" si="183">SUM(J242)+89</f>
        <v>41933</v>
      </c>
      <c r="T242" s="22" t="s">
        <v>144</v>
      </c>
      <c r="U242" s="41">
        <f t="shared" si="182"/>
        <v>27105.711599999999</v>
      </c>
      <c r="V242" s="36">
        <v>155.72999999999999</v>
      </c>
      <c r="W242" s="38">
        <f t="shared" si="175"/>
        <v>4221172.4674679991</v>
      </c>
      <c r="X242" s="45">
        <v>4221172.47</v>
      </c>
      <c r="Y242" s="40">
        <v>41971</v>
      </c>
      <c r="Z242" s="48">
        <v>28975</v>
      </c>
      <c r="AA242" s="113"/>
    </row>
    <row r="243" spans="1:27" ht="24.75">
      <c r="A243" s="35">
        <f t="shared" si="180"/>
        <v>238</v>
      </c>
      <c r="B243" s="36" t="s">
        <v>864</v>
      </c>
      <c r="C243" s="60" t="s">
        <v>992</v>
      </c>
      <c r="D243" s="21">
        <v>41971</v>
      </c>
      <c r="E243" s="27" t="s">
        <v>991</v>
      </c>
      <c r="F243" s="22" t="s">
        <v>130</v>
      </c>
      <c r="G243" s="22" t="s">
        <v>792</v>
      </c>
      <c r="H243" s="22" t="s">
        <v>133</v>
      </c>
      <c r="I243" s="37">
        <v>801.22</v>
      </c>
      <c r="J243" s="19">
        <v>41904</v>
      </c>
      <c r="K243" s="51" t="s">
        <v>165</v>
      </c>
      <c r="L243" s="51" t="s">
        <v>49</v>
      </c>
      <c r="M243" s="22" t="s">
        <v>50</v>
      </c>
      <c r="N243" s="20" t="s">
        <v>846</v>
      </c>
      <c r="O243" s="57">
        <v>88000</v>
      </c>
      <c r="P243" s="53">
        <f t="shared" si="168"/>
        <v>8500712</v>
      </c>
      <c r="Q243" s="39" t="s">
        <v>32</v>
      </c>
      <c r="R243" s="9">
        <v>96.599000000000004</v>
      </c>
      <c r="S243" s="40">
        <f t="shared" si="183"/>
        <v>41993</v>
      </c>
      <c r="T243" s="20" t="s">
        <v>144</v>
      </c>
      <c r="U243" s="54">
        <f t="shared" si="182"/>
        <v>10200.854399999998</v>
      </c>
      <c r="V243" s="36">
        <v>155.75</v>
      </c>
      <c r="W243" s="38">
        <f t="shared" si="175"/>
        <v>1588783.0727999997</v>
      </c>
      <c r="X243" s="70">
        <v>1588783.07</v>
      </c>
      <c r="Y243" s="40">
        <v>41971</v>
      </c>
      <c r="Z243" s="48">
        <v>28976</v>
      </c>
      <c r="AA243" s="113"/>
    </row>
    <row r="244" spans="1:27" ht="21.75" customHeight="1">
      <c r="A244" s="35">
        <f t="shared" si="180"/>
        <v>239</v>
      </c>
      <c r="B244" s="36" t="s">
        <v>1020</v>
      </c>
      <c r="C244" s="21" t="s">
        <v>993</v>
      </c>
      <c r="D244" s="19">
        <v>41971</v>
      </c>
      <c r="E244" s="27" t="s">
        <v>1000</v>
      </c>
      <c r="F244" s="22" t="s">
        <v>278</v>
      </c>
      <c r="G244" s="22" t="s">
        <v>44</v>
      </c>
      <c r="H244" s="22" t="s">
        <v>133</v>
      </c>
      <c r="I244" s="37">
        <v>801.22</v>
      </c>
      <c r="J244" s="19">
        <v>41945</v>
      </c>
      <c r="K244" s="51" t="s">
        <v>96</v>
      </c>
      <c r="L244" s="51" t="s">
        <v>49</v>
      </c>
      <c r="M244" s="22" t="s">
        <v>77</v>
      </c>
      <c r="N244" s="78" t="s">
        <v>145</v>
      </c>
      <c r="O244" s="57">
        <v>40000</v>
      </c>
      <c r="P244" s="38">
        <f t="shared" si="168"/>
        <v>3369720</v>
      </c>
      <c r="Q244" s="39" t="s">
        <v>32</v>
      </c>
      <c r="R244" s="9">
        <v>84.242999999999995</v>
      </c>
      <c r="S244" s="40">
        <f t="shared" ref="S244:S249" si="184">SUM(J244)+89</f>
        <v>42034</v>
      </c>
      <c r="T244" s="22" t="s">
        <v>278</v>
      </c>
      <c r="U244" s="41">
        <f t="shared" ref="U244:U249" si="185">SUM(P244*0.12%)</f>
        <v>4043.6639999999998</v>
      </c>
      <c r="V244" s="85">
        <v>165</v>
      </c>
      <c r="W244" s="38">
        <f t="shared" ref="W244:W249" si="186">SUM(U244*V244)</f>
        <v>667204.55999999994</v>
      </c>
      <c r="X244" s="70">
        <f t="shared" ref="X244:X245" si="187">W244</f>
        <v>667204.55999999994</v>
      </c>
      <c r="Y244" s="36"/>
      <c r="Z244" s="36"/>
      <c r="AA244" s="113"/>
    </row>
    <row r="245" spans="1:27" ht="21.75" customHeight="1">
      <c r="A245" s="35">
        <f t="shared" si="180"/>
        <v>240</v>
      </c>
      <c r="B245" s="36" t="s">
        <v>1021</v>
      </c>
      <c r="C245" s="21" t="s">
        <v>994</v>
      </c>
      <c r="D245" s="19">
        <v>41971</v>
      </c>
      <c r="E245" s="27" t="s">
        <v>1001</v>
      </c>
      <c r="F245" s="22" t="s">
        <v>278</v>
      </c>
      <c r="G245" s="22" t="s">
        <v>44</v>
      </c>
      <c r="H245" s="22" t="s">
        <v>133</v>
      </c>
      <c r="I245" s="37">
        <v>801.22</v>
      </c>
      <c r="J245" s="19">
        <v>41945</v>
      </c>
      <c r="K245" s="51" t="s">
        <v>96</v>
      </c>
      <c r="L245" s="51" t="s">
        <v>49</v>
      </c>
      <c r="M245" s="22" t="s">
        <v>77</v>
      </c>
      <c r="N245" s="78" t="s">
        <v>145</v>
      </c>
      <c r="O245" s="57">
        <v>259967</v>
      </c>
      <c r="P245" s="38">
        <f t="shared" si="168"/>
        <v>21900399.980999999</v>
      </c>
      <c r="Q245" s="39" t="s">
        <v>32</v>
      </c>
      <c r="R245" s="9">
        <v>84.242999999999995</v>
      </c>
      <c r="S245" s="40">
        <f t="shared" si="184"/>
        <v>42034</v>
      </c>
      <c r="T245" s="22" t="s">
        <v>278</v>
      </c>
      <c r="U245" s="41">
        <f t="shared" si="185"/>
        <v>26280.479977199997</v>
      </c>
      <c r="V245" s="85">
        <v>165</v>
      </c>
      <c r="W245" s="38">
        <f t="shared" si="186"/>
        <v>4336279.1962379999</v>
      </c>
      <c r="X245" s="70">
        <f t="shared" si="187"/>
        <v>4336279.1962379999</v>
      </c>
      <c r="Y245" s="36"/>
      <c r="Z245" s="36"/>
      <c r="AA245" s="113"/>
    </row>
    <row r="246" spans="1:27" ht="21.75" customHeight="1">
      <c r="A246" s="35">
        <f t="shared" si="180"/>
        <v>241</v>
      </c>
      <c r="B246" s="36" t="s">
        <v>1024</v>
      </c>
      <c r="C246" s="21" t="s">
        <v>995</v>
      </c>
      <c r="D246" s="19">
        <v>41971</v>
      </c>
      <c r="E246" s="27" t="s">
        <v>1003</v>
      </c>
      <c r="F246" s="22" t="s">
        <v>278</v>
      </c>
      <c r="G246" s="22" t="s">
        <v>44</v>
      </c>
      <c r="H246" s="22" t="s">
        <v>133</v>
      </c>
      <c r="I246" s="37">
        <v>801.22</v>
      </c>
      <c r="J246" s="19">
        <v>41952</v>
      </c>
      <c r="K246" s="51" t="s">
        <v>161</v>
      </c>
      <c r="L246" s="51" t="s">
        <v>49</v>
      </c>
      <c r="M246" s="22" t="s">
        <v>56</v>
      </c>
      <c r="N246" s="20" t="s">
        <v>57</v>
      </c>
      <c r="O246" s="57">
        <v>549998</v>
      </c>
      <c r="P246" s="38">
        <f t="shared" si="168"/>
        <v>45372085.010000005</v>
      </c>
      <c r="Q246" s="39" t="s">
        <v>32</v>
      </c>
      <c r="R246" s="9">
        <v>82.495000000000005</v>
      </c>
      <c r="S246" s="40">
        <f t="shared" si="184"/>
        <v>42041</v>
      </c>
      <c r="T246" s="22" t="s">
        <v>278</v>
      </c>
      <c r="U246" s="41">
        <f t="shared" si="185"/>
        <v>54446.502012000004</v>
      </c>
      <c r="V246" s="85">
        <v>165</v>
      </c>
      <c r="W246" s="38">
        <f t="shared" si="186"/>
        <v>8983672.8319800012</v>
      </c>
      <c r="X246" s="70">
        <f t="shared" ref="X246:X247" si="188">W246</f>
        <v>8983672.8319800012</v>
      </c>
      <c r="Y246" s="36"/>
      <c r="Z246" s="36"/>
      <c r="AA246" s="113"/>
    </row>
    <row r="247" spans="1:27" ht="21.75" customHeight="1">
      <c r="A247" s="35">
        <f t="shared" si="180"/>
        <v>242</v>
      </c>
      <c r="B247" s="36" t="s">
        <v>1025</v>
      </c>
      <c r="C247" s="21" t="s">
        <v>996</v>
      </c>
      <c r="D247" s="19">
        <v>41971</v>
      </c>
      <c r="E247" s="27" t="s">
        <v>1004</v>
      </c>
      <c r="F247" s="22" t="s">
        <v>278</v>
      </c>
      <c r="G247" s="22" t="s">
        <v>44</v>
      </c>
      <c r="H247" s="22" t="s">
        <v>133</v>
      </c>
      <c r="I247" s="37">
        <v>801.22</v>
      </c>
      <c r="J247" s="19">
        <v>41952</v>
      </c>
      <c r="K247" s="51" t="s">
        <v>161</v>
      </c>
      <c r="L247" s="51" t="s">
        <v>49</v>
      </c>
      <c r="M247" s="22" t="s">
        <v>56</v>
      </c>
      <c r="N247" s="20" t="s">
        <v>57</v>
      </c>
      <c r="O247" s="57">
        <v>100000</v>
      </c>
      <c r="P247" s="38">
        <f t="shared" si="168"/>
        <v>8249500</v>
      </c>
      <c r="Q247" s="39" t="s">
        <v>32</v>
      </c>
      <c r="R247" s="9">
        <v>82.495000000000005</v>
      </c>
      <c r="S247" s="40">
        <f t="shared" si="184"/>
        <v>42041</v>
      </c>
      <c r="T247" s="22" t="s">
        <v>278</v>
      </c>
      <c r="U247" s="41">
        <f t="shared" si="185"/>
        <v>9899.4</v>
      </c>
      <c r="V247" s="85">
        <v>165</v>
      </c>
      <c r="W247" s="38">
        <f t="shared" si="186"/>
        <v>1633401</v>
      </c>
      <c r="X247" s="70">
        <f t="shared" si="188"/>
        <v>1633401</v>
      </c>
      <c r="Y247" s="36"/>
      <c r="Z247" s="36"/>
      <c r="AA247" s="113"/>
    </row>
    <row r="248" spans="1:27" ht="21.75" customHeight="1">
      <c r="A248" s="35">
        <f t="shared" si="180"/>
        <v>243</v>
      </c>
      <c r="B248" s="36" t="s">
        <v>1029</v>
      </c>
      <c r="C248" s="21" t="s">
        <v>997</v>
      </c>
      <c r="D248" s="19">
        <v>41971</v>
      </c>
      <c r="E248" s="26" t="s">
        <v>1007</v>
      </c>
      <c r="F248" s="22" t="s">
        <v>278</v>
      </c>
      <c r="G248" s="22" t="s">
        <v>44</v>
      </c>
      <c r="H248" s="22" t="s">
        <v>29</v>
      </c>
      <c r="I248" s="37">
        <v>801.22</v>
      </c>
      <c r="J248" s="19">
        <v>41966</v>
      </c>
      <c r="K248" s="51" t="s">
        <v>148</v>
      </c>
      <c r="L248" s="51" t="s">
        <v>30</v>
      </c>
      <c r="M248" s="22" t="s">
        <v>116</v>
      </c>
      <c r="N248" s="20" t="s">
        <v>175</v>
      </c>
      <c r="O248" s="57">
        <v>400000</v>
      </c>
      <c r="P248" s="38">
        <f t="shared" si="168"/>
        <v>31454000.000000004</v>
      </c>
      <c r="Q248" s="39" t="s">
        <v>32</v>
      </c>
      <c r="R248" s="49">
        <v>78.635000000000005</v>
      </c>
      <c r="S248" s="40">
        <f t="shared" si="184"/>
        <v>42055</v>
      </c>
      <c r="T248" s="22" t="s">
        <v>278</v>
      </c>
      <c r="U248" s="41">
        <f t="shared" si="185"/>
        <v>37744.800000000003</v>
      </c>
      <c r="V248" s="85">
        <v>165</v>
      </c>
      <c r="W248" s="38">
        <f t="shared" si="186"/>
        <v>6227892.0000000009</v>
      </c>
      <c r="X248" s="70">
        <f t="shared" ref="X248:X249" si="189">W248</f>
        <v>6227892.0000000009</v>
      </c>
      <c r="Y248" s="36"/>
      <c r="Z248" s="36"/>
      <c r="AA248" s="113"/>
    </row>
    <row r="249" spans="1:27" ht="21.75" customHeight="1">
      <c r="A249" s="35">
        <f t="shared" si="180"/>
        <v>244</v>
      </c>
      <c r="B249" s="36" t="s">
        <v>1030</v>
      </c>
      <c r="C249" s="21" t="s">
        <v>998</v>
      </c>
      <c r="D249" s="19">
        <v>41971</v>
      </c>
      <c r="E249" s="26" t="s">
        <v>1008</v>
      </c>
      <c r="F249" s="22" t="s">
        <v>278</v>
      </c>
      <c r="G249" s="22" t="s">
        <v>44</v>
      </c>
      <c r="H249" s="22" t="s">
        <v>29</v>
      </c>
      <c r="I249" s="37">
        <v>801.22</v>
      </c>
      <c r="J249" s="19">
        <v>41966</v>
      </c>
      <c r="K249" s="51" t="s">
        <v>148</v>
      </c>
      <c r="L249" s="51" t="s">
        <v>30</v>
      </c>
      <c r="M249" s="22" t="s">
        <v>116</v>
      </c>
      <c r="N249" s="20" t="s">
        <v>175</v>
      </c>
      <c r="O249" s="57">
        <v>547848</v>
      </c>
      <c r="P249" s="38">
        <f t="shared" si="168"/>
        <v>43080027.480000004</v>
      </c>
      <c r="Q249" s="39" t="s">
        <v>32</v>
      </c>
      <c r="R249" s="49">
        <v>78.635000000000005</v>
      </c>
      <c r="S249" s="40">
        <f t="shared" si="184"/>
        <v>42055</v>
      </c>
      <c r="T249" s="22" t="s">
        <v>278</v>
      </c>
      <c r="U249" s="41">
        <f t="shared" si="185"/>
        <v>51696.032976000002</v>
      </c>
      <c r="V249" s="85">
        <v>165</v>
      </c>
      <c r="W249" s="38">
        <f t="shared" si="186"/>
        <v>8529845.4410399999</v>
      </c>
      <c r="X249" s="70">
        <f t="shared" si="189"/>
        <v>8529845.4410399999</v>
      </c>
      <c r="Y249" s="36"/>
      <c r="Z249" s="36"/>
      <c r="AA249" s="113"/>
    </row>
    <row r="250" spans="1:27" ht="21.75" customHeight="1">
      <c r="A250" s="35">
        <f t="shared" si="180"/>
        <v>245</v>
      </c>
      <c r="B250" s="36" t="s">
        <v>873</v>
      </c>
      <c r="C250" s="20" t="s">
        <v>1039</v>
      </c>
      <c r="D250" s="21">
        <v>42004</v>
      </c>
      <c r="E250" s="27" t="s">
        <v>925</v>
      </c>
      <c r="F250" s="22" t="s">
        <v>163</v>
      </c>
      <c r="G250" s="22" t="s">
        <v>34</v>
      </c>
      <c r="H250" s="22" t="s">
        <v>35</v>
      </c>
      <c r="I250" s="37">
        <v>801.22</v>
      </c>
      <c r="J250" s="19">
        <v>41892</v>
      </c>
      <c r="K250" s="51" t="s">
        <v>840</v>
      </c>
      <c r="L250" s="51" t="s">
        <v>36</v>
      </c>
      <c r="M250" s="22" t="s">
        <v>74</v>
      </c>
      <c r="N250" s="78" t="s">
        <v>106</v>
      </c>
      <c r="O250" s="57">
        <v>950071</v>
      </c>
      <c r="P250" s="53">
        <f t="shared" si="168"/>
        <v>93185123.191383004</v>
      </c>
      <c r="Q250" s="39" t="s">
        <v>32</v>
      </c>
      <c r="R250" s="84">
        <v>98.082273000000001</v>
      </c>
      <c r="S250" s="40">
        <f t="shared" ref="S250:S253" si="190">SUM(J250)+89</f>
        <v>41981</v>
      </c>
      <c r="T250" s="22" t="s">
        <v>38</v>
      </c>
      <c r="U250" s="54">
        <f t="shared" ref="U250:U263" si="191">SUM(P250*0.12%)</f>
        <v>111822.14782965959</v>
      </c>
      <c r="V250" s="36">
        <v>155.75</v>
      </c>
      <c r="W250" s="53">
        <f t="shared" ref="W250:W263" si="192">SUM(U250*V250)</f>
        <v>17416299.52446948</v>
      </c>
      <c r="X250" s="70">
        <v>17588203.710000001</v>
      </c>
      <c r="Y250" s="40">
        <v>41992</v>
      </c>
      <c r="Z250" s="48">
        <v>10425</v>
      </c>
      <c r="AA250" s="113"/>
    </row>
    <row r="251" spans="1:27" ht="24.75">
      <c r="A251" s="35">
        <f t="shared" si="180"/>
        <v>246</v>
      </c>
      <c r="B251" s="36" t="s">
        <v>860</v>
      </c>
      <c r="C251" s="20" t="s">
        <v>1040</v>
      </c>
      <c r="D251" s="40">
        <v>42004</v>
      </c>
      <c r="E251" s="18">
        <v>201400010402</v>
      </c>
      <c r="F251" s="22" t="s">
        <v>120</v>
      </c>
      <c r="G251" s="22" t="s">
        <v>53</v>
      </c>
      <c r="H251" s="22" t="s">
        <v>133</v>
      </c>
      <c r="I251" s="37">
        <v>801.22</v>
      </c>
      <c r="J251" s="19">
        <v>41904</v>
      </c>
      <c r="K251" s="51" t="s">
        <v>165</v>
      </c>
      <c r="L251" s="51" t="s">
        <v>49</v>
      </c>
      <c r="M251" s="22" t="s">
        <v>50</v>
      </c>
      <c r="N251" s="20" t="s">
        <v>846</v>
      </c>
      <c r="O251" s="57">
        <v>133872</v>
      </c>
      <c r="P251" s="53">
        <f t="shared" si="168"/>
        <v>13117943.246399999</v>
      </c>
      <c r="Q251" s="39" t="s">
        <v>32</v>
      </c>
      <c r="R251" s="9">
        <v>97.988699999999994</v>
      </c>
      <c r="S251" s="40">
        <f t="shared" si="190"/>
        <v>41993</v>
      </c>
      <c r="T251" s="22" t="s">
        <v>38</v>
      </c>
      <c r="U251" s="54">
        <f t="shared" si="191"/>
        <v>15741.531895679997</v>
      </c>
      <c r="V251" s="36">
        <v>155.75</v>
      </c>
      <c r="W251" s="53">
        <f t="shared" si="192"/>
        <v>2451743.5927521596</v>
      </c>
      <c r="X251" s="70">
        <v>2436001.77</v>
      </c>
      <c r="Y251" s="40">
        <v>41997</v>
      </c>
      <c r="Z251" s="48">
        <v>10434</v>
      </c>
      <c r="AA251" s="113"/>
    </row>
    <row r="252" spans="1:27" ht="24" customHeight="1">
      <c r="A252" s="35">
        <f t="shared" si="180"/>
        <v>247</v>
      </c>
      <c r="B252" s="36" t="s">
        <v>968</v>
      </c>
      <c r="C252" s="20" t="s">
        <v>1041</v>
      </c>
      <c r="D252" s="40">
        <v>42004</v>
      </c>
      <c r="E252" s="26" t="s">
        <v>944</v>
      </c>
      <c r="F252" s="22" t="s">
        <v>120</v>
      </c>
      <c r="G252" s="22" t="s">
        <v>53</v>
      </c>
      <c r="H252" s="22" t="s">
        <v>133</v>
      </c>
      <c r="I252" s="37">
        <v>801.22</v>
      </c>
      <c r="J252" s="19">
        <v>41941</v>
      </c>
      <c r="K252" s="51" t="s">
        <v>957</v>
      </c>
      <c r="L252" s="74" t="s">
        <v>49</v>
      </c>
      <c r="M252" s="22" t="s">
        <v>41</v>
      </c>
      <c r="N252" s="20" t="s">
        <v>961</v>
      </c>
      <c r="O252" s="57">
        <v>456926</v>
      </c>
      <c r="P252" s="53">
        <f t="shared" si="168"/>
        <v>40384993.276600003</v>
      </c>
      <c r="Q252" s="39" t="s">
        <v>32</v>
      </c>
      <c r="R252" s="9">
        <v>88.384100000000004</v>
      </c>
      <c r="S252" s="40">
        <f t="shared" si="190"/>
        <v>42030</v>
      </c>
      <c r="T252" s="20" t="s">
        <v>38</v>
      </c>
      <c r="U252" s="41">
        <f t="shared" si="191"/>
        <v>48461.991931919998</v>
      </c>
      <c r="V252" s="36">
        <v>155.76</v>
      </c>
      <c r="W252" s="38">
        <f t="shared" si="192"/>
        <v>7548439.8633158589</v>
      </c>
      <c r="X252" s="70">
        <v>7499977.5700000003</v>
      </c>
      <c r="Y252" s="40">
        <v>41997</v>
      </c>
      <c r="Z252" s="48">
        <v>10435</v>
      </c>
      <c r="AA252" s="113"/>
    </row>
    <row r="253" spans="1:27" ht="24" customHeight="1">
      <c r="A253" s="35">
        <f t="shared" si="180"/>
        <v>248</v>
      </c>
      <c r="B253" s="36" t="s">
        <v>969</v>
      </c>
      <c r="C253" s="22" t="s">
        <v>1042</v>
      </c>
      <c r="D253" s="40">
        <v>42004</v>
      </c>
      <c r="E253" s="27" t="s">
        <v>945</v>
      </c>
      <c r="F253" s="22" t="s">
        <v>120</v>
      </c>
      <c r="G253" s="22" t="s">
        <v>47</v>
      </c>
      <c r="H253" s="22" t="s">
        <v>133</v>
      </c>
      <c r="I253" s="37">
        <v>801.22</v>
      </c>
      <c r="J253" s="19">
        <v>41941</v>
      </c>
      <c r="K253" s="51" t="s">
        <v>957</v>
      </c>
      <c r="L253" s="74" t="s">
        <v>49</v>
      </c>
      <c r="M253" s="22" t="s">
        <v>41</v>
      </c>
      <c r="N253" s="20" t="s">
        <v>961</v>
      </c>
      <c r="O253" s="57">
        <v>80000</v>
      </c>
      <c r="P253" s="53">
        <f t="shared" si="168"/>
        <v>7012640</v>
      </c>
      <c r="Q253" s="39" t="s">
        <v>32</v>
      </c>
      <c r="R253" s="9">
        <v>87.658000000000001</v>
      </c>
      <c r="S253" s="40">
        <f t="shared" si="190"/>
        <v>42030</v>
      </c>
      <c r="T253" s="20" t="s">
        <v>38</v>
      </c>
      <c r="U253" s="41">
        <f t="shared" si="191"/>
        <v>8415.1679999999997</v>
      </c>
      <c r="V253" s="36">
        <v>155.76</v>
      </c>
      <c r="W253" s="38">
        <f t="shared" si="192"/>
        <v>1310746.5676799999</v>
      </c>
      <c r="X253" s="70">
        <v>1302331.71</v>
      </c>
      <c r="Y253" s="40">
        <v>41997</v>
      </c>
      <c r="Z253" s="48">
        <v>10437</v>
      </c>
      <c r="AA253" s="113"/>
    </row>
    <row r="254" spans="1:27" ht="19.5" customHeight="1">
      <c r="A254" s="35">
        <f t="shared" si="180"/>
        <v>249</v>
      </c>
      <c r="B254" s="36" t="s">
        <v>1090</v>
      </c>
      <c r="C254" s="21" t="s">
        <v>1077</v>
      </c>
      <c r="D254" s="19">
        <v>42004</v>
      </c>
      <c r="E254" s="27" t="s">
        <v>1046</v>
      </c>
      <c r="F254" s="22" t="s">
        <v>278</v>
      </c>
      <c r="G254" s="22" t="s">
        <v>44</v>
      </c>
      <c r="H254" s="22" t="s">
        <v>35</v>
      </c>
      <c r="I254" s="37">
        <v>801.22</v>
      </c>
      <c r="J254" s="19">
        <v>41975</v>
      </c>
      <c r="K254" s="51" t="s">
        <v>1067</v>
      </c>
      <c r="L254" s="51" t="s">
        <v>36</v>
      </c>
      <c r="M254" s="22" t="s">
        <v>74</v>
      </c>
      <c r="N254" s="78" t="s">
        <v>106</v>
      </c>
      <c r="O254" s="57">
        <v>961905</v>
      </c>
      <c r="P254" s="38">
        <f t="shared" si="168"/>
        <v>68932998.015000001</v>
      </c>
      <c r="Q254" s="39" t="s">
        <v>32</v>
      </c>
      <c r="R254" s="9">
        <v>71.662999999999997</v>
      </c>
      <c r="S254" s="40">
        <f t="shared" ref="S254:S263" si="193">SUM(J254)+89</f>
        <v>42064</v>
      </c>
      <c r="T254" s="22" t="s">
        <v>278</v>
      </c>
      <c r="U254" s="41">
        <f t="shared" si="191"/>
        <v>82719.597618</v>
      </c>
      <c r="V254" s="85">
        <v>168</v>
      </c>
      <c r="W254" s="38">
        <f t="shared" si="192"/>
        <v>13896892.399824001</v>
      </c>
      <c r="X254" s="70">
        <f t="shared" ref="X254:X256" si="194">W254</f>
        <v>13896892.399824001</v>
      </c>
      <c r="Y254" s="36"/>
      <c r="Z254" s="36"/>
      <c r="AA254" s="113"/>
    </row>
    <row r="255" spans="1:27" ht="19.5" customHeight="1">
      <c r="A255" s="35">
        <f t="shared" si="180"/>
        <v>250</v>
      </c>
      <c r="B255" s="36" t="s">
        <v>1093</v>
      </c>
      <c r="C255" s="21" t="s">
        <v>1078</v>
      </c>
      <c r="D255" s="19">
        <v>42004</v>
      </c>
      <c r="E255" s="27" t="s">
        <v>1087</v>
      </c>
      <c r="F255" s="22" t="s">
        <v>278</v>
      </c>
      <c r="G255" s="22" t="s">
        <v>44</v>
      </c>
      <c r="H255" s="22" t="s">
        <v>45</v>
      </c>
      <c r="I255" s="37">
        <v>801.22</v>
      </c>
      <c r="J255" s="19">
        <v>41975</v>
      </c>
      <c r="K255" s="51" t="s">
        <v>1068</v>
      </c>
      <c r="L255" s="51" t="s">
        <v>46</v>
      </c>
      <c r="M255" s="22" t="s">
        <v>69</v>
      </c>
      <c r="N255" s="78" t="s">
        <v>1074</v>
      </c>
      <c r="O255" s="57">
        <v>899965</v>
      </c>
      <c r="P255" s="38">
        <f t="shared" si="168"/>
        <v>64449193.545000002</v>
      </c>
      <c r="Q255" s="39" t="s">
        <v>32</v>
      </c>
      <c r="R255" s="9">
        <v>71.613</v>
      </c>
      <c r="S255" s="40">
        <f t="shared" si="193"/>
        <v>42064</v>
      </c>
      <c r="T255" s="22" t="s">
        <v>278</v>
      </c>
      <c r="U255" s="41">
        <f t="shared" si="191"/>
        <v>77339.032253999991</v>
      </c>
      <c r="V255" s="85">
        <v>168</v>
      </c>
      <c r="W255" s="38">
        <f t="shared" si="192"/>
        <v>12992957.418671999</v>
      </c>
      <c r="X255" s="70">
        <f t="shared" si="194"/>
        <v>12992957.418671999</v>
      </c>
      <c r="Y255" s="36"/>
      <c r="Z255" s="36"/>
      <c r="AA255" s="113"/>
    </row>
    <row r="256" spans="1:27" ht="19.5" customHeight="1">
      <c r="A256" s="35">
        <f t="shared" si="180"/>
        <v>251</v>
      </c>
      <c r="B256" s="36" t="s">
        <v>1092</v>
      </c>
      <c r="C256" s="21" t="s">
        <v>1079</v>
      </c>
      <c r="D256" s="19">
        <v>42004</v>
      </c>
      <c r="E256" s="27" t="s">
        <v>1047</v>
      </c>
      <c r="F256" s="22" t="s">
        <v>278</v>
      </c>
      <c r="G256" s="22" t="s">
        <v>44</v>
      </c>
      <c r="H256" s="22" t="s">
        <v>133</v>
      </c>
      <c r="I256" s="37">
        <v>801.22</v>
      </c>
      <c r="J256" s="19">
        <v>41979</v>
      </c>
      <c r="K256" s="51" t="s">
        <v>1069</v>
      </c>
      <c r="L256" s="51" t="s">
        <v>49</v>
      </c>
      <c r="M256" s="22" t="s">
        <v>31</v>
      </c>
      <c r="N256" s="78" t="s">
        <v>108</v>
      </c>
      <c r="O256" s="57">
        <v>950116</v>
      </c>
      <c r="P256" s="38">
        <f t="shared" si="168"/>
        <v>64114777.795999996</v>
      </c>
      <c r="Q256" s="39" t="s">
        <v>32</v>
      </c>
      <c r="R256" s="9">
        <v>67.480999999999995</v>
      </c>
      <c r="S256" s="40">
        <f t="shared" si="193"/>
        <v>42068</v>
      </c>
      <c r="T256" s="22" t="s">
        <v>278</v>
      </c>
      <c r="U256" s="41">
        <f t="shared" si="191"/>
        <v>76937.733355199991</v>
      </c>
      <c r="V256" s="85">
        <v>168</v>
      </c>
      <c r="W256" s="38">
        <f t="shared" si="192"/>
        <v>12925539.203673599</v>
      </c>
      <c r="X256" s="70">
        <f t="shared" si="194"/>
        <v>12925539.203673599</v>
      </c>
      <c r="Y256" s="36"/>
      <c r="Z256" s="36"/>
      <c r="AA256" s="113"/>
    </row>
    <row r="257" spans="1:27" ht="19.5" customHeight="1">
      <c r="A257" s="35">
        <f t="shared" si="180"/>
        <v>252</v>
      </c>
      <c r="B257" s="36" t="s">
        <v>1108</v>
      </c>
      <c r="C257" s="21" t="s">
        <v>1080</v>
      </c>
      <c r="D257" s="19">
        <v>42004</v>
      </c>
      <c r="E257" s="27" t="s">
        <v>1051</v>
      </c>
      <c r="F257" s="22" t="s">
        <v>278</v>
      </c>
      <c r="G257" s="22" t="s">
        <v>44</v>
      </c>
      <c r="H257" s="22" t="s">
        <v>29</v>
      </c>
      <c r="I257" s="37">
        <v>801.22</v>
      </c>
      <c r="J257" s="19">
        <v>41986</v>
      </c>
      <c r="K257" s="51" t="s">
        <v>281</v>
      </c>
      <c r="L257" s="74" t="s">
        <v>30</v>
      </c>
      <c r="M257" s="22" t="s">
        <v>74</v>
      </c>
      <c r="N257" s="20" t="s">
        <v>106</v>
      </c>
      <c r="O257" s="57">
        <v>400000</v>
      </c>
      <c r="P257" s="38">
        <f t="shared" si="168"/>
        <v>24416000</v>
      </c>
      <c r="Q257" s="39" t="s">
        <v>32</v>
      </c>
      <c r="R257" s="49">
        <v>61.04</v>
      </c>
      <c r="S257" s="40">
        <f t="shared" si="193"/>
        <v>42075</v>
      </c>
      <c r="T257" s="22" t="s">
        <v>278</v>
      </c>
      <c r="U257" s="41">
        <f t="shared" si="191"/>
        <v>29299.199999999997</v>
      </c>
      <c r="V257" s="85">
        <v>168</v>
      </c>
      <c r="W257" s="38">
        <f t="shared" si="192"/>
        <v>4922265.5999999996</v>
      </c>
      <c r="X257" s="70">
        <f t="shared" ref="X257:X258" si="195">W257</f>
        <v>4922265.5999999996</v>
      </c>
      <c r="Y257" s="36"/>
      <c r="Z257" s="36"/>
      <c r="AA257" s="113"/>
    </row>
    <row r="258" spans="1:27" ht="19.5" customHeight="1">
      <c r="A258" s="35">
        <f t="shared" si="180"/>
        <v>253</v>
      </c>
      <c r="B258" s="36" t="s">
        <v>1109</v>
      </c>
      <c r="C258" s="21" t="s">
        <v>1081</v>
      </c>
      <c r="D258" s="19">
        <v>42004</v>
      </c>
      <c r="E258" s="27" t="s">
        <v>1052</v>
      </c>
      <c r="F258" s="22" t="s">
        <v>278</v>
      </c>
      <c r="G258" s="22" t="s">
        <v>44</v>
      </c>
      <c r="H258" s="22" t="s">
        <v>29</v>
      </c>
      <c r="I258" s="37">
        <v>801.22</v>
      </c>
      <c r="J258" s="19">
        <v>41986</v>
      </c>
      <c r="K258" s="51" t="s">
        <v>281</v>
      </c>
      <c r="L258" s="74" t="s">
        <v>30</v>
      </c>
      <c r="M258" s="22" t="s">
        <v>74</v>
      </c>
      <c r="N258" s="20" t="s">
        <v>106</v>
      </c>
      <c r="O258" s="57">
        <v>548399</v>
      </c>
      <c r="P258" s="38">
        <f t="shared" si="168"/>
        <v>33474274.960000001</v>
      </c>
      <c r="Q258" s="39" t="s">
        <v>32</v>
      </c>
      <c r="R258" s="49">
        <v>61.04</v>
      </c>
      <c r="S258" s="40">
        <f t="shared" si="193"/>
        <v>42075</v>
      </c>
      <c r="T258" s="22" t="s">
        <v>278</v>
      </c>
      <c r="U258" s="41">
        <f t="shared" si="191"/>
        <v>40169.129951999996</v>
      </c>
      <c r="V258" s="85">
        <v>168</v>
      </c>
      <c r="W258" s="38">
        <f t="shared" si="192"/>
        <v>6748413.831935999</v>
      </c>
      <c r="X258" s="70">
        <f t="shared" si="195"/>
        <v>6748413.831935999</v>
      </c>
      <c r="Y258" s="36"/>
      <c r="Z258" s="36"/>
      <c r="AA258" s="113"/>
    </row>
    <row r="259" spans="1:27" ht="19.5" customHeight="1">
      <c r="A259" s="35">
        <f t="shared" si="180"/>
        <v>254</v>
      </c>
      <c r="B259" s="36" t="s">
        <v>1103</v>
      </c>
      <c r="C259" s="21" t="s">
        <v>1082</v>
      </c>
      <c r="D259" s="19">
        <v>42004</v>
      </c>
      <c r="E259" s="27" t="s">
        <v>1061</v>
      </c>
      <c r="F259" s="22" t="s">
        <v>278</v>
      </c>
      <c r="G259" s="22" t="s">
        <v>44</v>
      </c>
      <c r="H259" s="22" t="s">
        <v>133</v>
      </c>
      <c r="I259" s="37">
        <v>801.22</v>
      </c>
      <c r="J259" s="19">
        <v>42000</v>
      </c>
      <c r="K259" s="51" t="s">
        <v>88</v>
      </c>
      <c r="L259" s="51" t="s">
        <v>49</v>
      </c>
      <c r="M259" s="22" t="s">
        <v>41</v>
      </c>
      <c r="N259" s="20" t="s">
        <v>95</v>
      </c>
      <c r="O259" s="57">
        <v>91000</v>
      </c>
      <c r="P259" s="38">
        <f t="shared" si="168"/>
        <v>5309031</v>
      </c>
      <c r="Q259" s="39" t="s">
        <v>32</v>
      </c>
      <c r="R259" s="9">
        <v>58.341000000000001</v>
      </c>
      <c r="S259" s="40">
        <f t="shared" si="193"/>
        <v>42089</v>
      </c>
      <c r="T259" s="22" t="s">
        <v>278</v>
      </c>
      <c r="U259" s="41">
        <f t="shared" si="191"/>
        <v>6370.837199999999</v>
      </c>
      <c r="V259" s="85">
        <v>168</v>
      </c>
      <c r="W259" s="38">
        <f t="shared" si="192"/>
        <v>1070300.6495999999</v>
      </c>
      <c r="X259" s="70">
        <f t="shared" ref="X259:X263" si="196">W259</f>
        <v>1070300.6495999999</v>
      </c>
      <c r="Y259" s="36"/>
      <c r="Z259" s="36"/>
      <c r="AA259" s="113"/>
    </row>
    <row r="260" spans="1:27" ht="19.5" customHeight="1">
      <c r="A260" s="35">
        <f t="shared" si="180"/>
        <v>255</v>
      </c>
      <c r="B260" s="36" t="s">
        <v>1104</v>
      </c>
      <c r="C260" s="21" t="s">
        <v>1083</v>
      </c>
      <c r="D260" s="19">
        <v>42004</v>
      </c>
      <c r="E260" s="27" t="s">
        <v>1062</v>
      </c>
      <c r="F260" s="22" t="s">
        <v>278</v>
      </c>
      <c r="G260" s="22" t="s">
        <v>44</v>
      </c>
      <c r="H260" s="22" t="s">
        <v>133</v>
      </c>
      <c r="I260" s="37">
        <v>801.22</v>
      </c>
      <c r="J260" s="19">
        <v>42000</v>
      </c>
      <c r="K260" s="51" t="s">
        <v>88</v>
      </c>
      <c r="L260" s="51" t="s">
        <v>49</v>
      </c>
      <c r="M260" s="22" t="s">
        <v>41</v>
      </c>
      <c r="N260" s="20" t="s">
        <v>95</v>
      </c>
      <c r="O260" s="57">
        <v>96000</v>
      </c>
      <c r="P260" s="38">
        <f t="shared" si="168"/>
        <v>5600736</v>
      </c>
      <c r="Q260" s="39" t="s">
        <v>32</v>
      </c>
      <c r="R260" s="9">
        <v>58.341000000000001</v>
      </c>
      <c r="S260" s="40">
        <f t="shared" si="193"/>
        <v>42089</v>
      </c>
      <c r="T260" s="22" t="s">
        <v>278</v>
      </c>
      <c r="U260" s="41">
        <f t="shared" si="191"/>
        <v>6720.8831999999993</v>
      </c>
      <c r="V260" s="85">
        <v>168</v>
      </c>
      <c r="W260" s="38">
        <f t="shared" si="192"/>
        <v>1129108.3775999998</v>
      </c>
      <c r="X260" s="70">
        <f t="shared" si="196"/>
        <v>1129108.3775999998</v>
      </c>
      <c r="Y260" s="36"/>
      <c r="Z260" s="36"/>
      <c r="AA260" s="113"/>
    </row>
    <row r="261" spans="1:27" ht="19.5" customHeight="1">
      <c r="A261" s="35">
        <f t="shared" si="180"/>
        <v>256</v>
      </c>
      <c r="B261" s="36" t="s">
        <v>1105</v>
      </c>
      <c r="C261" s="21" t="s">
        <v>1084</v>
      </c>
      <c r="D261" s="19">
        <v>42004</v>
      </c>
      <c r="E261" s="27" t="s">
        <v>1063</v>
      </c>
      <c r="F261" s="22" t="s">
        <v>278</v>
      </c>
      <c r="G261" s="22" t="s">
        <v>44</v>
      </c>
      <c r="H261" s="22" t="s">
        <v>133</v>
      </c>
      <c r="I261" s="37">
        <v>801.22</v>
      </c>
      <c r="J261" s="19">
        <v>42000</v>
      </c>
      <c r="K261" s="51" t="s">
        <v>88</v>
      </c>
      <c r="L261" s="51" t="s">
        <v>49</v>
      </c>
      <c r="M261" s="22" t="s">
        <v>41</v>
      </c>
      <c r="N261" s="20" t="s">
        <v>95</v>
      </c>
      <c r="O261" s="57">
        <v>155000</v>
      </c>
      <c r="P261" s="38">
        <f t="shared" si="168"/>
        <v>9042855</v>
      </c>
      <c r="Q261" s="39" t="s">
        <v>32</v>
      </c>
      <c r="R261" s="9">
        <v>58.341000000000001</v>
      </c>
      <c r="S261" s="40">
        <f t="shared" si="193"/>
        <v>42089</v>
      </c>
      <c r="T261" s="22" t="s">
        <v>278</v>
      </c>
      <c r="U261" s="41">
        <f t="shared" si="191"/>
        <v>10851.425999999999</v>
      </c>
      <c r="V261" s="85">
        <v>168</v>
      </c>
      <c r="W261" s="38">
        <f t="shared" si="192"/>
        <v>1823039.568</v>
      </c>
      <c r="X261" s="70">
        <f t="shared" si="196"/>
        <v>1823039.568</v>
      </c>
      <c r="Y261" s="36"/>
      <c r="Z261" s="36"/>
      <c r="AA261" s="113"/>
    </row>
    <row r="262" spans="1:27" ht="19.5" customHeight="1">
      <c r="A262" s="35">
        <f t="shared" si="180"/>
        <v>257</v>
      </c>
      <c r="B262" s="36" t="s">
        <v>1106</v>
      </c>
      <c r="C262" s="21" t="s">
        <v>1085</v>
      </c>
      <c r="D262" s="19">
        <v>42004</v>
      </c>
      <c r="E262" s="27" t="s">
        <v>1064</v>
      </c>
      <c r="F262" s="22" t="s">
        <v>278</v>
      </c>
      <c r="G262" s="22" t="s">
        <v>44</v>
      </c>
      <c r="H262" s="22" t="s">
        <v>133</v>
      </c>
      <c r="I262" s="37">
        <v>801.22</v>
      </c>
      <c r="J262" s="19">
        <v>42000</v>
      </c>
      <c r="K262" s="51" t="s">
        <v>88</v>
      </c>
      <c r="L262" s="51" t="s">
        <v>49</v>
      </c>
      <c r="M262" s="22" t="s">
        <v>41</v>
      </c>
      <c r="N262" s="20" t="s">
        <v>95</v>
      </c>
      <c r="O262" s="57">
        <v>200000</v>
      </c>
      <c r="P262" s="38">
        <f t="shared" si="168"/>
        <v>11668200</v>
      </c>
      <c r="Q262" s="39" t="s">
        <v>32</v>
      </c>
      <c r="R262" s="9">
        <v>58.341000000000001</v>
      </c>
      <c r="S262" s="40">
        <f t="shared" si="193"/>
        <v>42089</v>
      </c>
      <c r="T262" s="22" t="s">
        <v>278</v>
      </c>
      <c r="U262" s="41">
        <f t="shared" si="191"/>
        <v>14001.839999999998</v>
      </c>
      <c r="V262" s="85">
        <v>168</v>
      </c>
      <c r="W262" s="38">
        <f t="shared" si="192"/>
        <v>2352309.1199999996</v>
      </c>
      <c r="X262" s="70">
        <f t="shared" si="196"/>
        <v>2352309.1199999996</v>
      </c>
      <c r="Y262" s="36"/>
      <c r="Z262" s="36"/>
      <c r="AA262" s="113"/>
    </row>
    <row r="263" spans="1:27" ht="21" customHeight="1" thickBot="1">
      <c r="A263" s="35">
        <f t="shared" si="180"/>
        <v>258</v>
      </c>
      <c r="B263" s="36" t="s">
        <v>1107</v>
      </c>
      <c r="C263" s="21" t="s">
        <v>1086</v>
      </c>
      <c r="D263" s="19">
        <v>42004</v>
      </c>
      <c r="E263" s="27" t="s">
        <v>1065</v>
      </c>
      <c r="F263" s="22" t="s">
        <v>278</v>
      </c>
      <c r="G263" s="22" t="s">
        <v>44</v>
      </c>
      <c r="H263" s="22" t="s">
        <v>133</v>
      </c>
      <c r="I263" s="37">
        <v>801.22</v>
      </c>
      <c r="J263" s="19">
        <v>42000</v>
      </c>
      <c r="K263" s="51" t="s">
        <v>88</v>
      </c>
      <c r="L263" s="51" t="s">
        <v>49</v>
      </c>
      <c r="M263" s="22" t="s">
        <v>41</v>
      </c>
      <c r="N263" s="20" t="s">
        <v>95</v>
      </c>
      <c r="O263" s="57">
        <v>407700</v>
      </c>
      <c r="P263" s="38">
        <f t="shared" si="168"/>
        <v>23785625.699999999</v>
      </c>
      <c r="Q263" s="39" t="s">
        <v>32</v>
      </c>
      <c r="R263" s="9">
        <v>58.341000000000001</v>
      </c>
      <c r="S263" s="40">
        <f t="shared" si="193"/>
        <v>42089</v>
      </c>
      <c r="T263" s="22" t="s">
        <v>278</v>
      </c>
      <c r="U263" s="41">
        <f t="shared" si="191"/>
        <v>28542.750839999997</v>
      </c>
      <c r="V263" s="85">
        <v>168</v>
      </c>
      <c r="W263" s="38">
        <f t="shared" si="192"/>
        <v>4795182.1411199998</v>
      </c>
      <c r="X263" s="70">
        <f t="shared" si="196"/>
        <v>4795182.1411199998</v>
      </c>
      <c r="Y263" s="36"/>
      <c r="Z263" s="36"/>
      <c r="AA263" s="113"/>
    </row>
    <row r="264" spans="1:27" ht="15.75" thickBot="1">
      <c r="A264" s="43"/>
      <c r="B264" s="43"/>
      <c r="C264" s="34"/>
      <c r="D264" s="34"/>
      <c r="E264" s="34"/>
      <c r="F264" s="34"/>
      <c r="G264" s="34"/>
      <c r="H264" s="34"/>
      <c r="I264" s="43"/>
      <c r="J264" s="86"/>
      <c r="K264" s="34"/>
      <c r="L264" s="86"/>
      <c r="M264" s="87"/>
      <c r="N264" s="88"/>
      <c r="O264" s="89">
        <f>SUM(O6:O263)</f>
        <v>94763891</v>
      </c>
      <c r="P264" s="90">
        <f>SUM(P6:P263)</f>
        <v>9822993037.0491848</v>
      </c>
      <c r="Q264" s="91"/>
      <c r="R264" s="92"/>
      <c r="S264" s="93"/>
      <c r="T264" s="94"/>
      <c r="U264" s="90">
        <f>SUM(U6:U263)</f>
        <v>11787591.644459015</v>
      </c>
      <c r="V264" s="91"/>
      <c r="W264" s="90">
        <f>SUM(W6:W263)</f>
        <v>1842055050.7712917</v>
      </c>
      <c r="X264" s="90">
        <f>SUM(X6:X263)</f>
        <v>1845057989.7524033</v>
      </c>
      <c r="Y264" s="43"/>
      <c r="Z264" s="43"/>
      <c r="AA264" s="43"/>
    </row>
  </sheetData>
  <mergeCells count="6">
    <mergeCell ref="AA209:AA212"/>
    <mergeCell ref="AA78:AA79"/>
    <mergeCell ref="AA73:AA74"/>
    <mergeCell ref="AA154:AA155"/>
    <mergeCell ref="AA164:AA165"/>
    <mergeCell ref="AA207:AA208"/>
  </mergeCells>
  <pageMargins left="0" right="0" top="0" bottom="0" header="0.31496062992125984" footer="0"/>
  <pageSetup orientation="landscape" r:id="rId1"/>
  <ignoredErrors>
    <ignoredError sqref="E6 E8:E12 E19:E36 E40 E45:E48 E50:E56 E59:E60 E66:E72 E78 E87:E90 E92:E96 E107:E117 E127:E146 E161:E164 E166:E176 E183:E185 E189:E190 E195 E218:E219 E222:E224 E226 E196:E201 E237 E238:E241 E242:E243 E250:E253" numberStoredAsText="1"/>
    <ignoredError sqref="W9 S37 P57 S59 P70 P89 S87:S88 P109:P110 W109 S142:W142 S172" formula="1"/>
  </ignoredError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dimension ref="A2:Z44"/>
  <sheetViews>
    <sheetView workbookViewId="0">
      <selection activeCell="H3" sqref="H3"/>
    </sheetView>
  </sheetViews>
  <sheetFormatPr defaultRowHeight="15"/>
  <cols>
    <col min="1" max="1" width="4.140625" customWidth="1"/>
    <col min="2" max="2" width="7.85546875" customWidth="1"/>
    <col min="3" max="3" width="8.85546875" customWidth="1"/>
    <col min="4" max="4" width="7.5703125" style="1" customWidth="1"/>
    <col min="5" max="5" width="13.5703125" style="4" customWidth="1"/>
    <col min="6" max="6" width="10.42578125" style="4" customWidth="1"/>
    <col min="7" max="7" width="9" style="4" customWidth="1"/>
    <col min="8" max="8" width="10.140625" style="4" customWidth="1"/>
    <col min="9" max="9" width="7.28515625" customWidth="1"/>
    <col min="10" max="10" width="8.5703125" style="1" customWidth="1"/>
    <col min="11" max="11" width="11.5703125" style="4" customWidth="1"/>
    <col min="12" max="12" width="8.5703125" style="4" customWidth="1"/>
    <col min="13" max="13" width="10.42578125" style="6" customWidth="1"/>
    <col min="14" max="14" width="12.42578125" style="7" customWidth="1"/>
    <col min="15" max="15" width="12" customWidth="1"/>
    <col min="16" max="16" width="15.85546875" customWidth="1"/>
    <col min="17" max="17" width="15" customWidth="1"/>
    <col min="18" max="18" width="15" style="4" customWidth="1"/>
    <col min="19" max="19" width="13.5703125" style="1" customWidth="1"/>
    <col min="20" max="20" width="10.28515625" style="4" customWidth="1"/>
    <col min="21" max="22" width="12.5703125" customWidth="1"/>
    <col min="23" max="24" width="14" customWidth="1"/>
    <col min="25" max="26" width="11.5703125" customWidth="1"/>
  </cols>
  <sheetData>
    <row r="2" spans="1:26" ht="15.75">
      <c r="K2" s="5" t="s">
        <v>0</v>
      </c>
    </row>
    <row r="3" spans="1:26" ht="22.5" customHeight="1">
      <c r="K3" s="5" t="s">
        <v>1114</v>
      </c>
      <c r="O3" s="2"/>
    </row>
    <row r="4" spans="1:26" ht="13.15" customHeight="1" thickBot="1">
      <c r="E4" s="11"/>
    </row>
    <row r="5" spans="1:26" s="4" customFormat="1" ht="42.6" customHeight="1" thickBot="1">
      <c r="A5" s="28" t="s">
        <v>1</v>
      </c>
      <c r="B5" s="29" t="s">
        <v>2</v>
      </c>
      <c r="C5" s="29" t="s">
        <v>3</v>
      </c>
      <c r="D5" s="29" t="s">
        <v>4</v>
      </c>
      <c r="E5" s="30" t="s">
        <v>5</v>
      </c>
      <c r="F5" s="31" t="s">
        <v>6</v>
      </c>
      <c r="G5" s="29" t="s">
        <v>7</v>
      </c>
      <c r="H5" s="29" t="s">
        <v>8</v>
      </c>
      <c r="I5" s="29" t="s">
        <v>9</v>
      </c>
      <c r="J5" s="29" t="s">
        <v>10</v>
      </c>
      <c r="K5" s="29" t="s">
        <v>11</v>
      </c>
      <c r="L5" s="29" t="s">
        <v>12</v>
      </c>
      <c r="M5" s="29" t="s">
        <v>13</v>
      </c>
      <c r="N5" s="29" t="s">
        <v>14</v>
      </c>
      <c r="O5" s="29" t="s">
        <v>15</v>
      </c>
      <c r="P5" s="29" t="s">
        <v>16</v>
      </c>
      <c r="Q5" s="29" t="s">
        <v>17</v>
      </c>
      <c r="R5" s="29" t="s">
        <v>18</v>
      </c>
      <c r="S5" s="29" t="s">
        <v>19</v>
      </c>
      <c r="T5" s="29" t="s">
        <v>20</v>
      </c>
      <c r="U5" s="29" t="s">
        <v>21</v>
      </c>
      <c r="V5" s="29" t="s">
        <v>22</v>
      </c>
      <c r="W5" s="29" t="s">
        <v>23</v>
      </c>
      <c r="X5" s="29" t="s">
        <v>24</v>
      </c>
      <c r="Y5" s="29" t="s">
        <v>25</v>
      </c>
      <c r="Z5" s="33" t="s">
        <v>26</v>
      </c>
    </row>
    <row r="6" spans="1:26" ht="24.75">
      <c r="A6" s="35">
        <v>1</v>
      </c>
      <c r="B6" s="36" t="s">
        <v>292</v>
      </c>
      <c r="C6" s="21" t="s">
        <v>72</v>
      </c>
      <c r="D6" s="21"/>
      <c r="E6" s="26" t="s">
        <v>265</v>
      </c>
      <c r="F6" s="22" t="s">
        <v>150</v>
      </c>
      <c r="G6" s="22" t="s">
        <v>151</v>
      </c>
      <c r="H6" s="22" t="s">
        <v>133</v>
      </c>
      <c r="I6" s="37">
        <v>801.22</v>
      </c>
      <c r="J6" s="21">
        <v>41645</v>
      </c>
      <c r="K6" s="22" t="s">
        <v>188</v>
      </c>
      <c r="L6" s="22" t="s">
        <v>49</v>
      </c>
      <c r="M6" s="22" t="s">
        <v>69</v>
      </c>
      <c r="N6" s="20" t="s">
        <v>288</v>
      </c>
      <c r="O6" s="23">
        <v>950057</v>
      </c>
      <c r="P6" s="38">
        <f t="shared" ref="P6" si="0">SUM(O6*R6)</f>
        <v>102945326.34899999</v>
      </c>
      <c r="Q6" s="39" t="s">
        <v>32</v>
      </c>
      <c r="R6" s="8">
        <v>108.357</v>
      </c>
      <c r="S6" s="40">
        <f t="shared" ref="S6" si="1">SUM(J6)+89</f>
        <v>41734</v>
      </c>
      <c r="T6" s="22" t="s">
        <v>163</v>
      </c>
      <c r="U6" s="41">
        <f t="shared" ref="U6" si="2">SUM(P6*0.12%)</f>
        <v>123534.39161879999</v>
      </c>
      <c r="V6" s="36">
        <v>155.75</v>
      </c>
      <c r="W6" s="38">
        <f t="shared" ref="W6:W10" si="3">SUM(U6*V6)</f>
        <v>19240481.494628098</v>
      </c>
      <c r="X6" s="42">
        <v>0</v>
      </c>
      <c r="Y6" s="36"/>
      <c r="Z6" s="36"/>
    </row>
    <row r="7" spans="1:26" ht="18.75" customHeight="1">
      <c r="A7" s="35">
        <f t="shared" ref="A7:A43" si="4">A6+1</f>
        <v>2</v>
      </c>
      <c r="B7" s="36" t="s">
        <v>431</v>
      </c>
      <c r="C7" s="44" t="s">
        <v>72</v>
      </c>
      <c r="D7" s="21"/>
      <c r="E7" s="26" t="s">
        <v>415</v>
      </c>
      <c r="F7" s="22" t="s">
        <v>150</v>
      </c>
      <c r="G7" s="22" t="s">
        <v>151</v>
      </c>
      <c r="H7" s="22" t="s">
        <v>133</v>
      </c>
      <c r="I7" s="37">
        <v>801.22</v>
      </c>
      <c r="J7" s="21">
        <v>41717</v>
      </c>
      <c r="K7" s="22" t="s">
        <v>119</v>
      </c>
      <c r="L7" s="22" t="s">
        <v>49</v>
      </c>
      <c r="M7" s="22" t="s">
        <v>141</v>
      </c>
      <c r="N7" s="20" t="s">
        <v>424</v>
      </c>
      <c r="O7" s="23">
        <v>949583</v>
      </c>
      <c r="P7" s="38">
        <f t="shared" ref="P7" si="5">SUM(O7*R7)</f>
        <v>102586300.23900001</v>
      </c>
      <c r="Q7" s="39" t="s">
        <v>32</v>
      </c>
      <c r="R7" s="8">
        <v>108.033</v>
      </c>
      <c r="S7" s="40">
        <f t="shared" ref="S7" si="6">SUM(J7)+89</f>
        <v>41806</v>
      </c>
      <c r="T7" s="22" t="s">
        <v>163</v>
      </c>
      <c r="U7" s="41">
        <f t="shared" ref="U7" si="7">SUM(P7*0.12%)</f>
        <v>123103.5602868</v>
      </c>
      <c r="V7" s="36">
        <v>155.74</v>
      </c>
      <c r="W7" s="38">
        <f t="shared" si="3"/>
        <v>19172148.479066234</v>
      </c>
      <c r="X7" s="42">
        <v>0</v>
      </c>
      <c r="Y7" s="36"/>
      <c r="Z7" s="36"/>
    </row>
    <row r="8" spans="1:26" ht="19.5" customHeight="1">
      <c r="A8" s="35">
        <f t="shared" si="4"/>
        <v>3</v>
      </c>
      <c r="B8" s="36" t="s">
        <v>511</v>
      </c>
      <c r="C8" s="44" t="s">
        <v>72</v>
      </c>
      <c r="D8" s="21"/>
      <c r="E8" s="26" t="s">
        <v>477</v>
      </c>
      <c r="F8" s="22" t="s">
        <v>39</v>
      </c>
      <c r="G8" s="22" t="s">
        <v>40</v>
      </c>
      <c r="H8" s="22" t="s">
        <v>29</v>
      </c>
      <c r="I8" s="37">
        <v>801.22</v>
      </c>
      <c r="J8" s="21">
        <v>41733</v>
      </c>
      <c r="K8" s="22" t="s">
        <v>421</v>
      </c>
      <c r="L8" s="22" t="s">
        <v>30</v>
      </c>
      <c r="M8" s="22" t="s">
        <v>54</v>
      </c>
      <c r="N8" s="20" t="s">
        <v>55</v>
      </c>
      <c r="O8" s="23">
        <v>349060</v>
      </c>
      <c r="P8" s="38">
        <f t="shared" ref="P8:P9" si="8">SUM(O8*R8)</f>
        <v>36712385.5</v>
      </c>
      <c r="Q8" s="39" t="s">
        <v>32</v>
      </c>
      <c r="R8" s="8">
        <v>105.175</v>
      </c>
      <c r="S8" s="40">
        <f t="shared" ref="S8:S9" si="9">SUM(J8)+89</f>
        <v>41822</v>
      </c>
      <c r="T8" s="20" t="s">
        <v>39</v>
      </c>
      <c r="U8" s="41">
        <f t="shared" ref="U8:U9" si="10">SUM(P8*0.12%)</f>
        <v>44054.862599999993</v>
      </c>
      <c r="V8" s="36">
        <v>155.72999999999999</v>
      </c>
      <c r="W8" s="38">
        <f t="shared" si="3"/>
        <v>6860663.7526979987</v>
      </c>
      <c r="X8" s="42">
        <v>0</v>
      </c>
      <c r="Y8" s="36"/>
      <c r="Z8" s="36"/>
    </row>
    <row r="9" spans="1:26" ht="20.25" customHeight="1">
      <c r="A9" s="35">
        <f t="shared" si="4"/>
        <v>4</v>
      </c>
      <c r="B9" s="36" t="s">
        <v>645</v>
      </c>
      <c r="C9" s="44" t="s">
        <v>72</v>
      </c>
      <c r="D9" s="21"/>
      <c r="E9" s="27" t="s">
        <v>630</v>
      </c>
      <c r="F9" s="22" t="s">
        <v>39</v>
      </c>
      <c r="G9" s="22" t="s">
        <v>40</v>
      </c>
      <c r="H9" s="22" t="s">
        <v>29</v>
      </c>
      <c r="I9" s="37">
        <v>801.22</v>
      </c>
      <c r="J9" s="19">
        <v>41820</v>
      </c>
      <c r="K9" s="51" t="s">
        <v>636</v>
      </c>
      <c r="L9" s="51" t="s">
        <v>30</v>
      </c>
      <c r="M9" s="22" t="s">
        <v>50</v>
      </c>
      <c r="N9" s="20" t="s">
        <v>76</v>
      </c>
      <c r="O9" s="58">
        <v>299495</v>
      </c>
      <c r="P9" s="38">
        <f t="shared" si="8"/>
        <v>33252031.365000002</v>
      </c>
      <c r="Q9" s="39" t="s">
        <v>32</v>
      </c>
      <c r="R9" s="49">
        <v>111.027</v>
      </c>
      <c r="S9" s="40">
        <f t="shared" si="9"/>
        <v>41909</v>
      </c>
      <c r="T9" s="22" t="s">
        <v>39</v>
      </c>
      <c r="U9" s="41">
        <f t="shared" si="10"/>
        <v>39902.437637999996</v>
      </c>
      <c r="V9" s="36">
        <v>155.72999999999999</v>
      </c>
      <c r="W9" s="38">
        <f t="shared" si="3"/>
        <v>6214006.6133657387</v>
      </c>
      <c r="X9" s="42">
        <v>0</v>
      </c>
      <c r="Y9" s="36"/>
      <c r="Z9" s="36"/>
    </row>
    <row r="10" spans="1:26" ht="20.25" customHeight="1">
      <c r="A10" s="35">
        <f t="shared" si="4"/>
        <v>5</v>
      </c>
      <c r="B10" s="36" t="s">
        <v>820</v>
      </c>
      <c r="C10" s="44" t="s">
        <v>72</v>
      </c>
      <c r="D10" s="21"/>
      <c r="E10" s="18" t="s">
        <v>791</v>
      </c>
      <c r="F10" s="22" t="s">
        <v>278</v>
      </c>
      <c r="G10" s="22" t="s">
        <v>44</v>
      </c>
      <c r="H10" s="22" t="s">
        <v>133</v>
      </c>
      <c r="I10" s="37">
        <v>801.22</v>
      </c>
      <c r="J10" s="21">
        <v>41882</v>
      </c>
      <c r="K10" s="22" t="s">
        <v>96</v>
      </c>
      <c r="L10" s="22" t="s">
        <v>49</v>
      </c>
      <c r="M10" s="22" t="s">
        <v>77</v>
      </c>
      <c r="N10" s="20" t="s">
        <v>103</v>
      </c>
      <c r="O10" s="23">
        <v>99471</v>
      </c>
      <c r="P10" s="53">
        <f t="shared" ref="P10:P17" si="11">SUM(O10*R10)</f>
        <v>10061690.592</v>
      </c>
      <c r="Q10" s="39" t="s">
        <v>32</v>
      </c>
      <c r="R10" s="49">
        <v>101.152</v>
      </c>
      <c r="S10" s="40">
        <f t="shared" ref="S10" si="12">SUM(J10)+89</f>
        <v>41971</v>
      </c>
      <c r="T10" s="20" t="s">
        <v>278</v>
      </c>
      <c r="U10" s="54">
        <f t="shared" ref="U10:U17" si="13">SUM(P10*0.12%)</f>
        <v>12074.0287104</v>
      </c>
      <c r="V10" s="36">
        <v>155.72999999999999</v>
      </c>
      <c r="W10" s="53">
        <f t="shared" si="3"/>
        <v>1880288.4910705918</v>
      </c>
      <c r="X10" s="83">
        <v>0</v>
      </c>
      <c r="Y10" s="36"/>
      <c r="Z10" s="36"/>
    </row>
    <row r="11" spans="1:26" ht="23.25" customHeight="1">
      <c r="A11" s="35">
        <f t="shared" si="4"/>
        <v>6</v>
      </c>
      <c r="B11" s="36" t="s">
        <v>849</v>
      </c>
      <c r="C11" s="44" t="s">
        <v>72</v>
      </c>
      <c r="D11" s="21"/>
      <c r="E11" s="27" t="s">
        <v>832</v>
      </c>
      <c r="F11" s="22" t="s">
        <v>120</v>
      </c>
      <c r="G11" s="22" t="s">
        <v>28</v>
      </c>
      <c r="H11" s="22" t="s">
        <v>29</v>
      </c>
      <c r="I11" s="37">
        <v>801.22</v>
      </c>
      <c r="J11" s="19">
        <v>41884</v>
      </c>
      <c r="K11" s="51" t="s">
        <v>838</v>
      </c>
      <c r="L11" s="51" t="s">
        <v>30</v>
      </c>
      <c r="M11" s="22" t="s">
        <v>74</v>
      </c>
      <c r="N11" s="78" t="s">
        <v>845</v>
      </c>
      <c r="O11" s="57">
        <v>949286</v>
      </c>
      <c r="P11" s="38">
        <f t="shared" si="11"/>
        <v>92941744.401999995</v>
      </c>
      <c r="Q11" s="39" t="s">
        <v>32</v>
      </c>
      <c r="R11" s="9">
        <v>97.906999999999996</v>
      </c>
      <c r="S11" s="40">
        <f t="shared" ref="S11:S13" si="14">SUM(J11)+89</f>
        <v>41973</v>
      </c>
      <c r="T11" s="20" t="s">
        <v>27</v>
      </c>
      <c r="U11" s="54">
        <f t="shared" si="13"/>
        <v>111530.09328239999</v>
      </c>
      <c r="V11" s="36">
        <v>155.75</v>
      </c>
      <c r="W11" s="53">
        <f t="shared" ref="W11:W13" si="15">SUM(U11*V11)</f>
        <v>17370812.028733797</v>
      </c>
      <c r="X11" s="83">
        <v>0</v>
      </c>
      <c r="Y11" s="36"/>
      <c r="Z11" s="36"/>
    </row>
    <row r="12" spans="1:26" ht="24.75">
      <c r="A12" s="35">
        <f t="shared" si="4"/>
        <v>7</v>
      </c>
      <c r="B12" s="36" t="s">
        <v>858</v>
      </c>
      <c r="C12" s="44" t="s">
        <v>72</v>
      </c>
      <c r="D12" s="21"/>
      <c r="E12" s="18">
        <v>201400020016</v>
      </c>
      <c r="F12" s="22" t="s">
        <v>120</v>
      </c>
      <c r="G12" s="22" t="s">
        <v>28</v>
      </c>
      <c r="H12" s="22" t="s">
        <v>133</v>
      </c>
      <c r="I12" s="37">
        <v>801.22</v>
      </c>
      <c r="J12" s="19">
        <v>41904</v>
      </c>
      <c r="K12" s="51" t="s">
        <v>165</v>
      </c>
      <c r="L12" s="51" t="s">
        <v>49</v>
      </c>
      <c r="M12" s="22" t="s">
        <v>50</v>
      </c>
      <c r="N12" s="20" t="s">
        <v>846</v>
      </c>
      <c r="O12" s="57">
        <v>110000</v>
      </c>
      <c r="P12" s="38">
        <f t="shared" si="11"/>
        <v>10464630</v>
      </c>
      <c r="Q12" s="39" t="s">
        <v>32</v>
      </c>
      <c r="R12" s="9">
        <v>95.132999999999996</v>
      </c>
      <c r="S12" s="40">
        <f t="shared" si="14"/>
        <v>41993</v>
      </c>
      <c r="T12" s="20" t="s">
        <v>27</v>
      </c>
      <c r="U12" s="54">
        <f t="shared" si="13"/>
        <v>12557.555999999999</v>
      </c>
      <c r="V12" s="36">
        <v>155.75</v>
      </c>
      <c r="W12" s="53">
        <f t="shared" si="15"/>
        <v>1955839.3469999998</v>
      </c>
      <c r="X12" s="83">
        <v>0</v>
      </c>
      <c r="Y12" s="36"/>
      <c r="Z12" s="36"/>
    </row>
    <row r="13" spans="1:26" ht="21.75" customHeight="1">
      <c r="A13" s="35">
        <f t="shared" si="4"/>
        <v>8</v>
      </c>
      <c r="B13" s="36" t="s">
        <v>852</v>
      </c>
      <c r="C13" s="44" t="s">
        <v>72</v>
      </c>
      <c r="D13" s="21"/>
      <c r="E13" s="27" t="s">
        <v>837</v>
      </c>
      <c r="F13" s="22" t="s">
        <v>39</v>
      </c>
      <c r="G13" s="22" t="s">
        <v>40</v>
      </c>
      <c r="H13" s="22" t="s">
        <v>29</v>
      </c>
      <c r="I13" s="37">
        <v>801.22</v>
      </c>
      <c r="J13" s="19">
        <v>41910</v>
      </c>
      <c r="K13" s="51" t="s">
        <v>842</v>
      </c>
      <c r="L13" s="51" t="s">
        <v>30</v>
      </c>
      <c r="M13" s="22" t="s">
        <v>54</v>
      </c>
      <c r="N13" s="20" t="s">
        <v>847</v>
      </c>
      <c r="O13" s="57">
        <v>398587</v>
      </c>
      <c r="P13" s="38">
        <f t="shared" si="11"/>
        <v>37309736.134999998</v>
      </c>
      <c r="Q13" s="39" t="s">
        <v>32</v>
      </c>
      <c r="R13" s="49">
        <v>93.605000000000004</v>
      </c>
      <c r="S13" s="40">
        <f t="shared" si="14"/>
        <v>41999</v>
      </c>
      <c r="T13" s="20" t="s">
        <v>39</v>
      </c>
      <c r="U13" s="54">
        <f t="shared" si="13"/>
        <v>44771.683361999996</v>
      </c>
      <c r="V13" s="36">
        <v>155.75</v>
      </c>
      <c r="W13" s="53">
        <f t="shared" si="15"/>
        <v>6973189.6836314993</v>
      </c>
      <c r="X13" s="83">
        <v>0</v>
      </c>
      <c r="Y13" s="36"/>
      <c r="Z13" s="36"/>
    </row>
    <row r="14" spans="1:26" ht="24" customHeight="1">
      <c r="A14" s="35">
        <f t="shared" si="4"/>
        <v>9</v>
      </c>
      <c r="B14" s="36" t="s">
        <v>967</v>
      </c>
      <c r="C14" s="44" t="s">
        <v>72</v>
      </c>
      <c r="D14" s="21"/>
      <c r="E14" s="27" t="s">
        <v>943</v>
      </c>
      <c r="F14" s="22" t="s">
        <v>163</v>
      </c>
      <c r="G14" s="22" t="s">
        <v>919</v>
      </c>
      <c r="H14" s="22" t="s">
        <v>133</v>
      </c>
      <c r="I14" s="37">
        <v>801.22</v>
      </c>
      <c r="J14" s="19">
        <v>41937</v>
      </c>
      <c r="K14" s="51" t="s">
        <v>956</v>
      </c>
      <c r="L14" s="51" t="s">
        <v>49</v>
      </c>
      <c r="M14" s="22" t="s">
        <v>56</v>
      </c>
      <c r="N14" s="20" t="s">
        <v>57</v>
      </c>
      <c r="O14" s="57">
        <v>703078</v>
      </c>
      <c r="P14" s="53">
        <f t="shared" si="11"/>
        <v>58923561.024000004</v>
      </c>
      <c r="Q14" s="39" t="s">
        <v>32</v>
      </c>
      <c r="R14" s="49">
        <v>83.808000000000007</v>
      </c>
      <c r="S14" s="40">
        <f t="shared" ref="S14:S17" si="16">SUM(J14)+89</f>
        <v>42026</v>
      </c>
      <c r="T14" s="22" t="s">
        <v>163</v>
      </c>
      <c r="U14" s="41">
        <f t="shared" si="13"/>
        <v>70708.273228799997</v>
      </c>
      <c r="V14" s="36">
        <v>155.76</v>
      </c>
      <c r="W14" s="38">
        <f t="shared" ref="W14:W30" si="17">SUM(U14*V14)</f>
        <v>11013520.638117887</v>
      </c>
      <c r="X14" s="83">
        <v>0</v>
      </c>
      <c r="Y14" s="36"/>
      <c r="Z14" s="36"/>
    </row>
    <row r="15" spans="1:26" ht="24" customHeight="1">
      <c r="A15" s="35">
        <f t="shared" si="4"/>
        <v>10</v>
      </c>
      <c r="B15" s="36" t="s">
        <v>971</v>
      </c>
      <c r="C15" s="44" t="s">
        <v>72</v>
      </c>
      <c r="D15" s="21"/>
      <c r="E15" s="27" t="s">
        <v>947</v>
      </c>
      <c r="F15" s="22" t="s">
        <v>130</v>
      </c>
      <c r="G15" s="22" t="s">
        <v>87</v>
      </c>
      <c r="H15" s="22" t="s">
        <v>133</v>
      </c>
      <c r="I15" s="37">
        <v>801.22</v>
      </c>
      <c r="J15" s="19">
        <v>41941</v>
      </c>
      <c r="K15" s="51" t="s">
        <v>957</v>
      </c>
      <c r="L15" s="51" t="s">
        <v>49</v>
      </c>
      <c r="M15" s="22" t="s">
        <v>41</v>
      </c>
      <c r="N15" s="20" t="s">
        <v>961</v>
      </c>
      <c r="O15" s="57">
        <v>58000</v>
      </c>
      <c r="P15" s="53">
        <f t="shared" si="11"/>
        <v>4980576</v>
      </c>
      <c r="Q15" s="39" t="s">
        <v>32</v>
      </c>
      <c r="R15" s="9">
        <v>85.872</v>
      </c>
      <c r="S15" s="40">
        <f t="shared" si="16"/>
        <v>42030</v>
      </c>
      <c r="T15" s="22" t="s">
        <v>144</v>
      </c>
      <c r="U15" s="41">
        <f t="shared" si="13"/>
        <v>5976.6911999999993</v>
      </c>
      <c r="V15" s="36">
        <v>155.76</v>
      </c>
      <c r="W15" s="38">
        <f t="shared" si="17"/>
        <v>930929.42131199979</v>
      </c>
      <c r="X15" s="83">
        <v>0</v>
      </c>
      <c r="Y15" s="36"/>
      <c r="Z15" s="36"/>
    </row>
    <row r="16" spans="1:26" ht="24" customHeight="1">
      <c r="A16" s="35">
        <f t="shared" si="4"/>
        <v>11</v>
      </c>
      <c r="B16" s="36" t="s">
        <v>972</v>
      </c>
      <c r="C16" s="44" t="s">
        <v>72</v>
      </c>
      <c r="D16" s="21"/>
      <c r="E16" s="27" t="s">
        <v>948</v>
      </c>
      <c r="F16" s="22" t="s">
        <v>278</v>
      </c>
      <c r="G16" s="22" t="s">
        <v>44</v>
      </c>
      <c r="H16" s="22" t="s">
        <v>133</v>
      </c>
      <c r="I16" s="37">
        <v>801.22</v>
      </c>
      <c r="J16" s="19">
        <v>41943</v>
      </c>
      <c r="K16" s="51" t="s">
        <v>153</v>
      </c>
      <c r="L16" s="51" t="s">
        <v>49</v>
      </c>
      <c r="M16" s="22" t="s">
        <v>41</v>
      </c>
      <c r="N16" s="20" t="s">
        <v>95</v>
      </c>
      <c r="O16" s="57">
        <v>99960</v>
      </c>
      <c r="P16" s="53">
        <f t="shared" si="11"/>
        <v>8547479.6400000006</v>
      </c>
      <c r="Q16" s="39" t="s">
        <v>32</v>
      </c>
      <c r="R16" s="9">
        <v>85.509</v>
      </c>
      <c r="S16" s="40">
        <f t="shared" si="16"/>
        <v>42032</v>
      </c>
      <c r="T16" s="22" t="s">
        <v>278</v>
      </c>
      <c r="U16" s="41">
        <f t="shared" si="13"/>
        <v>10256.975568</v>
      </c>
      <c r="V16" s="36">
        <v>155.76</v>
      </c>
      <c r="W16" s="38">
        <f t="shared" si="17"/>
        <v>1597626.5144716799</v>
      </c>
      <c r="X16" s="83">
        <v>0</v>
      </c>
      <c r="Y16" s="36"/>
      <c r="Z16" s="36"/>
    </row>
    <row r="17" spans="1:26" ht="24" customHeight="1">
      <c r="A17" s="35">
        <f t="shared" si="4"/>
        <v>12</v>
      </c>
      <c r="B17" s="36" t="s">
        <v>978</v>
      </c>
      <c r="C17" s="44" t="s">
        <v>72</v>
      </c>
      <c r="D17" s="21"/>
      <c r="E17" s="27" t="s">
        <v>952</v>
      </c>
      <c r="F17" s="22" t="s">
        <v>120</v>
      </c>
      <c r="G17" s="22" t="s">
        <v>28</v>
      </c>
      <c r="H17" s="22" t="s">
        <v>29</v>
      </c>
      <c r="I17" s="37">
        <v>801.22</v>
      </c>
      <c r="J17" s="19">
        <v>41943</v>
      </c>
      <c r="K17" s="51" t="s">
        <v>958</v>
      </c>
      <c r="L17" s="51" t="s">
        <v>30</v>
      </c>
      <c r="M17" s="22" t="s">
        <v>101</v>
      </c>
      <c r="N17" s="20" t="s">
        <v>799</v>
      </c>
      <c r="O17" s="57">
        <v>905784</v>
      </c>
      <c r="P17" s="38">
        <f t="shared" si="11"/>
        <v>74141137.751999989</v>
      </c>
      <c r="Q17" s="39" t="s">
        <v>32</v>
      </c>
      <c r="R17" s="49">
        <v>81.852999999999994</v>
      </c>
      <c r="S17" s="40">
        <f t="shared" si="16"/>
        <v>42032</v>
      </c>
      <c r="T17" s="20" t="s">
        <v>27</v>
      </c>
      <c r="U17" s="41">
        <f t="shared" si="13"/>
        <v>88969.36530239998</v>
      </c>
      <c r="V17" s="36">
        <v>155.76</v>
      </c>
      <c r="W17" s="38">
        <f t="shared" si="17"/>
        <v>13857868.339501821</v>
      </c>
      <c r="X17" s="83">
        <v>0</v>
      </c>
      <c r="Y17" s="36"/>
      <c r="Z17" s="36"/>
    </row>
    <row r="18" spans="1:26" ht="21.75" customHeight="1">
      <c r="A18" s="35">
        <f t="shared" si="4"/>
        <v>13</v>
      </c>
      <c r="B18" s="36" t="s">
        <v>1019</v>
      </c>
      <c r="C18" s="44" t="s">
        <v>72</v>
      </c>
      <c r="D18" s="21"/>
      <c r="E18" s="27" t="s">
        <v>999</v>
      </c>
      <c r="F18" s="22" t="s">
        <v>120</v>
      </c>
      <c r="G18" s="22" t="s">
        <v>47</v>
      </c>
      <c r="H18" s="22" t="s">
        <v>45</v>
      </c>
      <c r="I18" s="37">
        <v>801.22</v>
      </c>
      <c r="J18" s="19">
        <v>41945</v>
      </c>
      <c r="K18" s="51" t="s">
        <v>957</v>
      </c>
      <c r="L18" s="51" t="s">
        <v>46</v>
      </c>
      <c r="M18" s="22" t="s">
        <v>80</v>
      </c>
      <c r="N18" s="78" t="s">
        <v>800</v>
      </c>
      <c r="O18" s="57">
        <v>399989</v>
      </c>
      <c r="P18" s="38">
        <f t="shared" ref="P18:P43" si="18">SUM(O18*R18)</f>
        <v>34112261.887000002</v>
      </c>
      <c r="Q18" s="39" t="s">
        <v>32</v>
      </c>
      <c r="R18" s="9">
        <v>85.283000000000001</v>
      </c>
      <c r="S18" s="40">
        <f t="shared" ref="S18:S30" si="19">SUM(J18)+89</f>
        <v>42034</v>
      </c>
      <c r="T18" s="20" t="s">
        <v>38</v>
      </c>
      <c r="U18" s="41">
        <f t="shared" ref="U18:U43" si="20">SUM(P18*0.12%)</f>
        <v>40934.714264399998</v>
      </c>
      <c r="V18" s="85">
        <v>165</v>
      </c>
      <c r="W18" s="38">
        <f t="shared" si="17"/>
        <v>6754227.8536259998</v>
      </c>
      <c r="X18" s="83">
        <v>0</v>
      </c>
      <c r="Y18" s="36"/>
      <c r="Z18" s="36"/>
    </row>
    <row r="19" spans="1:26" ht="21.75" customHeight="1">
      <c r="A19" s="35">
        <f t="shared" si="4"/>
        <v>14</v>
      </c>
      <c r="B19" s="36" t="s">
        <v>1022</v>
      </c>
      <c r="C19" s="44" t="s">
        <v>72</v>
      </c>
      <c r="D19" s="21"/>
      <c r="E19" s="27" t="s">
        <v>1002</v>
      </c>
      <c r="F19" s="22" t="s">
        <v>278</v>
      </c>
      <c r="G19" s="22" t="s">
        <v>44</v>
      </c>
      <c r="H19" s="22" t="s">
        <v>159</v>
      </c>
      <c r="I19" s="37">
        <v>801.22</v>
      </c>
      <c r="J19" s="19">
        <v>41951</v>
      </c>
      <c r="K19" s="51" t="s">
        <v>1016</v>
      </c>
      <c r="L19" s="51" t="s">
        <v>160</v>
      </c>
      <c r="M19" s="22" t="s">
        <v>50</v>
      </c>
      <c r="N19" s="78" t="s">
        <v>51</v>
      </c>
      <c r="O19" s="57">
        <v>361426</v>
      </c>
      <c r="P19" s="38">
        <f t="shared" si="18"/>
        <v>28427239.178000003</v>
      </c>
      <c r="Q19" s="39" t="s">
        <v>32</v>
      </c>
      <c r="R19" s="9">
        <v>78.653000000000006</v>
      </c>
      <c r="S19" s="40">
        <f t="shared" si="19"/>
        <v>42040</v>
      </c>
      <c r="T19" s="22" t="s">
        <v>278</v>
      </c>
      <c r="U19" s="41">
        <f t="shared" si="20"/>
        <v>34112.6870136</v>
      </c>
      <c r="V19" s="85">
        <v>165</v>
      </c>
      <c r="W19" s="38">
        <f t="shared" si="17"/>
        <v>5628593.3572439998</v>
      </c>
      <c r="X19" s="83">
        <v>0</v>
      </c>
      <c r="Y19" s="36"/>
      <c r="Z19" s="36"/>
    </row>
    <row r="20" spans="1:26" ht="21.75" customHeight="1">
      <c r="A20" s="35">
        <f t="shared" si="4"/>
        <v>15</v>
      </c>
      <c r="B20" s="36" t="s">
        <v>1023</v>
      </c>
      <c r="C20" s="44" t="s">
        <v>72</v>
      </c>
      <c r="D20" s="21"/>
      <c r="E20" s="27" t="s">
        <v>1043</v>
      </c>
      <c r="F20" s="22" t="s">
        <v>163</v>
      </c>
      <c r="G20" s="22" t="s">
        <v>34</v>
      </c>
      <c r="H20" s="22" t="s">
        <v>159</v>
      </c>
      <c r="I20" s="37">
        <v>801.22</v>
      </c>
      <c r="J20" s="19">
        <v>41951</v>
      </c>
      <c r="K20" s="51" t="s">
        <v>1016</v>
      </c>
      <c r="L20" s="51" t="s">
        <v>160</v>
      </c>
      <c r="M20" s="22" t="s">
        <v>50</v>
      </c>
      <c r="N20" s="78" t="s">
        <v>51</v>
      </c>
      <c r="O20" s="57">
        <v>240737</v>
      </c>
      <c r="P20" s="38">
        <f t="shared" si="18"/>
        <v>18934687.261</v>
      </c>
      <c r="Q20" s="39" t="s">
        <v>32</v>
      </c>
      <c r="R20" s="9">
        <v>78.653000000000006</v>
      </c>
      <c r="S20" s="40">
        <f t="shared" si="19"/>
        <v>42040</v>
      </c>
      <c r="T20" s="20" t="s">
        <v>38</v>
      </c>
      <c r="U20" s="41">
        <f t="shared" si="20"/>
        <v>22721.624713199999</v>
      </c>
      <c r="V20" s="85">
        <v>165</v>
      </c>
      <c r="W20" s="38">
        <f t="shared" si="17"/>
        <v>3749068.0776779996</v>
      </c>
      <c r="X20" s="83">
        <v>0</v>
      </c>
      <c r="Y20" s="36"/>
      <c r="Z20" s="36"/>
    </row>
    <row r="21" spans="1:26" ht="21.75" customHeight="1">
      <c r="A21" s="35">
        <f t="shared" si="4"/>
        <v>16</v>
      </c>
      <c r="B21" s="36" t="s">
        <v>1026</v>
      </c>
      <c r="C21" s="44" t="s">
        <v>72</v>
      </c>
      <c r="D21" s="21"/>
      <c r="E21" s="27" t="s">
        <v>1044</v>
      </c>
      <c r="F21" s="22" t="s">
        <v>163</v>
      </c>
      <c r="G21" s="22" t="s">
        <v>34</v>
      </c>
      <c r="H21" s="22" t="s">
        <v>35</v>
      </c>
      <c r="I21" s="37">
        <v>801.22</v>
      </c>
      <c r="J21" s="19">
        <v>41953</v>
      </c>
      <c r="K21" s="51" t="s">
        <v>99</v>
      </c>
      <c r="L21" s="74" t="s">
        <v>36</v>
      </c>
      <c r="M21" s="22" t="s">
        <v>67</v>
      </c>
      <c r="N21" s="20" t="s">
        <v>68</v>
      </c>
      <c r="O21" s="57">
        <v>909781</v>
      </c>
      <c r="P21" s="38">
        <f t="shared" si="18"/>
        <v>75521830.590999991</v>
      </c>
      <c r="Q21" s="39" t="s">
        <v>32</v>
      </c>
      <c r="R21" s="49">
        <v>83.010999999999996</v>
      </c>
      <c r="S21" s="40">
        <f t="shared" si="19"/>
        <v>42042</v>
      </c>
      <c r="T21" s="22" t="s">
        <v>38</v>
      </c>
      <c r="U21" s="41">
        <f t="shared" si="20"/>
        <v>90626.196709199983</v>
      </c>
      <c r="V21" s="85">
        <v>165</v>
      </c>
      <c r="W21" s="38">
        <f t="shared" si="17"/>
        <v>14953322.457017997</v>
      </c>
      <c r="X21" s="83">
        <v>0</v>
      </c>
      <c r="Y21" s="36"/>
      <c r="Z21" s="36"/>
    </row>
    <row r="22" spans="1:26" ht="21.75" customHeight="1">
      <c r="A22" s="35">
        <f t="shared" si="4"/>
        <v>17</v>
      </c>
      <c r="B22" s="36" t="s">
        <v>1027</v>
      </c>
      <c r="C22" s="44" t="s">
        <v>72</v>
      </c>
      <c r="D22" s="21"/>
      <c r="E22" s="27" t="s">
        <v>1005</v>
      </c>
      <c r="F22" s="22" t="s">
        <v>163</v>
      </c>
      <c r="G22" s="22" t="s">
        <v>65</v>
      </c>
      <c r="H22" s="22" t="s">
        <v>133</v>
      </c>
      <c r="I22" s="37">
        <v>801.22</v>
      </c>
      <c r="J22" s="19">
        <v>41956</v>
      </c>
      <c r="K22" s="51" t="s">
        <v>1017</v>
      </c>
      <c r="L22" s="74" t="s">
        <v>49</v>
      </c>
      <c r="M22" s="22" t="s">
        <v>37</v>
      </c>
      <c r="N22" s="20" t="s">
        <v>336</v>
      </c>
      <c r="O22" s="57">
        <v>551867</v>
      </c>
      <c r="P22" s="38">
        <f t="shared" si="18"/>
        <v>42680841.913000003</v>
      </c>
      <c r="Q22" s="39" t="s">
        <v>32</v>
      </c>
      <c r="R22" s="49">
        <v>77.338999999999999</v>
      </c>
      <c r="S22" s="40">
        <f t="shared" si="19"/>
        <v>42045</v>
      </c>
      <c r="T22" s="22" t="s">
        <v>163</v>
      </c>
      <c r="U22" s="41">
        <f t="shared" si="20"/>
        <v>51217.010295599997</v>
      </c>
      <c r="V22" s="85">
        <v>165</v>
      </c>
      <c r="W22" s="38">
        <f t="shared" si="17"/>
        <v>8450806.6987739988</v>
      </c>
      <c r="X22" s="83">
        <v>0</v>
      </c>
      <c r="Y22" s="36"/>
      <c r="Z22" s="36"/>
    </row>
    <row r="23" spans="1:26" ht="21.75" customHeight="1">
      <c r="A23" s="35">
        <f t="shared" si="4"/>
        <v>18</v>
      </c>
      <c r="B23" s="36" t="s">
        <v>1028</v>
      </c>
      <c r="C23" s="44" t="s">
        <v>72</v>
      </c>
      <c r="D23" s="21"/>
      <c r="E23" s="27" t="s">
        <v>1006</v>
      </c>
      <c r="F23" s="22" t="s">
        <v>278</v>
      </c>
      <c r="G23" s="22" t="s">
        <v>44</v>
      </c>
      <c r="H23" s="22" t="s">
        <v>133</v>
      </c>
      <c r="I23" s="37">
        <v>801.22</v>
      </c>
      <c r="J23" s="19">
        <v>41958</v>
      </c>
      <c r="K23" s="51" t="s">
        <v>96</v>
      </c>
      <c r="L23" s="74" t="s">
        <v>49</v>
      </c>
      <c r="M23" s="22" t="s">
        <v>77</v>
      </c>
      <c r="N23" s="20" t="s">
        <v>145</v>
      </c>
      <c r="O23" s="57">
        <v>599852</v>
      </c>
      <c r="P23" s="38">
        <f t="shared" si="18"/>
        <v>46294777.804000005</v>
      </c>
      <c r="Q23" s="39" t="s">
        <v>32</v>
      </c>
      <c r="R23" s="49">
        <v>77.177000000000007</v>
      </c>
      <c r="S23" s="40">
        <f t="shared" si="19"/>
        <v>42047</v>
      </c>
      <c r="T23" s="22" t="s">
        <v>278</v>
      </c>
      <c r="U23" s="41">
        <f t="shared" si="20"/>
        <v>55553.733364799999</v>
      </c>
      <c r="V23" s="85">
        <v>165</v>
      </c>
      <c r="W23" s="38">
        <f t="shared" si="17"/>
        <v>9166366.0051920004</v>
      </c>
      <c r="X23" s="83">
        <v>0</v>
      </c>
      <c r="Y23" s="36"/>
      <c r="Z23" s="36"/>
    </row>
    <row r="24" spans="1:26" ht="21.75" customHeight="1">
      <c r="A24" s="35">
        <f t="shared" si="4"/>
        <v>19</v>
      </c>
      <c r="B24" s="36" t="s">
        <v>1031</v>
      </c>
      <c r="C24" s="44" t="s">
        <v>72</v>
      </c>
      <c r="D24" s="21"/>
      <c r="E24" s="27" t="s">
        <v>1009</v>
      </c>
      <c r="F24" s="22" t="s">
        <v>278</v>
      </c>
      <c r="G24" s="22" t="s">
        <v>44</v>
      </c>
      <c r="H24" s="22" t="s">
        <v>133</v>
      </c>
      <c r="I24" s="37">
        <v>801.22</v>
      </c>
      <c r="J24" s="19">
        <v>41966</v>
      </c>
      <c r="K24" s="51" t="s">
        <v>1018</v>
      </c>
      <c r="L24" s="74" t="s">
        <v>49</v>
      </c>
      <c r="M24" s="22" t="s">
        <v>77</v>
      </c>
      <c r="N24" s="20" t="s">
        <v>103</v>
      </c>
      <c r="O24" s="57">
        <v>349722</v>
      </c>
      <c r="P24" s="38">
        <f t="shared" si="18"/>
        <v>27619294.949999999</v>
      </c>
      <c r="Q24" s="39" t="s">
        <v>32</v>
      </c>
      <c r="R24" s="9">
        <v>78.974999999999994</v>
      </c>
      <c r="S24" s="40">
        <f t="shared" si="19"/>
        <v>42055</v>
      </c>
      <c r="T24" s="22" t="s">
        <v>278</v>
      </c>
      <c r="U24" s="41">
        <f t="shared" si="20"/>
        <v>33143.153939999997</v>
      </c>
      <c r="V24" s="85">
        <v>165</v>
      </c>
      <c r="W24" s="38">
        <f t="shared" si="17"/>
        <v>5468620.4000999993</v>
      </c>
      <c r="X24" s="83">
        <v>0</v>
      </c>
      <c r="Y24" s="36"/>
      <c r="Z24" s="36"/>
    </row>
    <row r="25" spans="1:26" ht="21.75" customHeight="1">
      <c r="A25" s="35">
        <f t="shared" si="4"/>
        <v>20</v>
      </c>
      <c r="B25" s="36" t="s">
        <v>1032</v>
      </c>
      <c r="C25" s="44" t="s">
        <v>72</v>
      </c>
      <c r="D25" s="21"/>
      <c r="E25" s="27" t="s">
        <v>1010</v>
      </c>
      <c r="F25" s="22" t="s">
        <v>120</v>
      </c>
      <c r="G25" s="22" t="s">
        <v>53</v>
      </c>
      <c r="H25" s="22" t="s">
        <v>133</v>
      </c>
      <c r="I25" s="37">
        <v>801.22</v>
      </c>
      <c r="J25" s="19">
        <v>41971</v>
      </c>
      <c r="K25" s="51" t="s">
        <v>127</v>
      </c>
      <c r="L25" s="51" t="s">
        <v>49</v>
      </c>
      <c r="M25" s="22" t="s">
        <v>31</v>
      </c>
      <c r="N25" s="20" t="s">
        <v>108</v>
      </c>
      <c r="O25" s="57">
        <v>571837</v>
      </c>
      <c r="P25" s="38">
        <f t="shared" si="18"/>
        <v>41530233.962000005</v>
      </c>
      <c r="Q25" s="39" t="s">
        <v>32</v>
      </c>
      <c r="R25" s="9">
        <v>72.626000000000005</v>
      </c>
      <c r="S25" s="40">
        <f t="shared" si="19"/>
        <v>42060</v>
      </c>
      <c r="T25" s="22" t="s">
        <v>38</v>
      </c>
      <c r="U25" s="41">
        <f t="shared" si="20"/>
        <v>49836.280754400002</v>
      </c>
      <c r="V25" s="85">
        <v>165</v>
      </c>
      <c r="W25" s="38">
        <f t="shared" si="17"/>
        <v>8222986.3244760009</v>
      </c>
      <c r="X25" s="83">
        <v>0</v>
      </c>
      <c r="Y25" s="36"/>
      <c r="Z25" s="36"/>
    </row>
    <row r="26" spans="1:26" ht="21.75" customHeight="1">
      <c r="A26" s="35">
        <f t="shared" si="4"/>
        <v>21</v>
      </c>
      <c r="B26" s="36" t="s">
        <v>1033</v>
      </c>
      <c r="C26" s="44" t="s">
        <v>72</v>
      </c>
      <c r="D26" s="21"/>
      <c r="E26" s="27" t="s">
        <v>1011</v>
      </c>
      <c r="F26" s="22" t="s">
        <v>120</v>
      </c>
      <c r="G26" s="22" t="s">
        <v>47</v>
      </c>
      <c r="H26" s="22" t="s">
        <v>133</v>
      </c>
      <c r="I26" s="37">
        <v>801.22</v>
      </c>
      <c r="J26" s="19">
        <v>41971</v>
      </c>
      <c r="K26" s="51" t="s">
        <v>127</v>
      </c>
      <c r="L26" s="51" t="s">
        <v>49</v>
      </c>
      <c r="M26" s="22" t="s">
        <v>31</v>
      </c>
      <c r="N26" s="20" t="s">
        <v>108</v>
      </c>
      <c r="O26" s="57">
        <v>100000</v>
      </c>
      <c r="P26" s="38">
        <f t="shared" si="18"/>
        <v>7262600.0000000009</v>
      </c>
      <c r="Q26" s="39" t="s">
        <v>32</v>
      </c>
      <c r="R26" s="9">
        <v>72.626000000000005</v>
      </c>
      <c r="S26" s="40">
        <f t="shared" si="19"/>
        <v>42060</v>
      </c>
      <c r="T26" s="22" t="s">
        <v>38</v>
      </c>
      <c r="U26" s="41">
        <f t="shared" si="20"/>
        <v>8715.1200000000008</v>
      </c>
      <c r="V26" s="85">
        <v>165</v>
      </c>
      <c r="W26" s="38">
        <f t="shared" si="17"/>
        <v>1437994.8</v>
      </c>
      <c r="X26" s="83">
        <v>0</v>
      </c>
      <c r="Y26" s="36"/>
      <c r="Z26" s="36"/>
    </row>
    <row r="27" spans="1:26" ht="21.75" customHeight="1">
      <c r="A27" s="35">
        <f t="shared" si="4"/>
        <v>22</v>
      </c>
      <c r="B27" s="36" t="s">
        <v>1034</v>
      </c>
      <c r="C27" s="44" t="s">
        <v>72</v>
      </c>
      <c r="D27" s="21"/>
      <c r="E27" s="27" t="s">
        <v>1012</v>
      </c>
      <c r="F27" s="22" t="s">
        <v>39</v>
      </c>
      <c r="G27" s="22" t="s">
        <v>97</v>
      </c>
      <c r="H27" s="22" t="s">
        <v>133</v>
      </c>
      <c r="I27" s="37">
        <v>801.22</v>
      </c>
      <c r="J27" s="19">
        <v>41971</v>
      </c>
      <c r="K27" s="51" t="s">
        <v>127</v>
      </c>
      <c r="L27" s="51" t="s">
        <v>49</v>
      </c>
      <c r="M27" s="22" t="s">
        <v>31</v>
      </c>
      <c r="N27" s="20" t="s">
        <v>108</v>
      </c>
      <c r="O27" s="57">
        <v>65000</v>
      </c>
      <c r="P27" s="38">
        <f t="shared" si="18"/>
        <v>5116085</v>
      </c>
      <c r="Q27" s="39" t="s">
        <v>32</v>
      </c>
      <c r="R27" s="9">
        <v>78.709000000000003</v>
      </c>
      <c r="S27" s="40">
        <f t="shared" si="19"/>
        <v>42060</v>
      </c>
      <c r="T27" s="22" t="s">
        <v>39</v>
      </c>
      <c r="U27" s="41">
        <f t="shared" si="20"/>
        <v>6139.3019999999997</v>
      </c>
      <c r="V27" s="85">
        <v>165</v>
      </c>
      <c r="W27" s="38">
        <f t="shared" si="17"/>
        <v>1012984.83</v>
      </c>
      <c r="X27" s="83">
        <v>0</v>
      </c>
      <c r="Y27" s="36"/>
      <c r="Z27" s="36"/>
    </row>
    <row r="28" spans="1:26" ht="21.75" customHeight="1">
      <c r="A28" s="35">
        <f t="shared" si="4"/>
        <v>23</v>
      </c>
      <c r="B28" s="36" t="s">
        <v>1035</v>
      </c>
      <c r="C28" s="44" t="s">
        <v>72</v>
      </c>
      <c r="D28" s="21"/>
      <c r="E28" s="27" t="s">
        <v>1013</v>
      </c>
      <c r="F28" s="22" t="s">
        <v>39</v>
      </c>
      <c r="G28" s="22" t="s">
        <v>97</v>
      </c>
      <c r="H28" s="22" t="s">
        <v>133</v>
      </c>
      <c r="I28" s="37">
        <v>801.22</v>
      </c>
      <c r="J28" s="19">
        <v>41971</v>
      </c>
      <c r="K28" s="51" t="s">
        <v>127</v>
      </c>
      <c r="L28" s="51" t="s">
        <v>49</v>
      </c>
      <c r="M28" s="22" t="s">
        <v>31</v>
      </c>
      <c r="N28" s="20" t="s">
        <v>108</v>
      </c>
      <c r="O28" s="57">
        <v>61000</v>
      </c>
      <c r="P28" s="38">
        <f t="shared" si="18"/>
        <v>4801249</v>
      </c>
      <c r="Q28" s="39" t="s">
        <v>32</v>
      </c>
      <c r="R28" s="9">
        <v>78.709000000000003</v>
      </c>
      <c r="S28" s="40">
        <f t="shared" si="19"/>
        <v>42060</v>
      </c>
      <c r="T28" s="22" t="s">
        <v>39</v>
      </c>
      <c r="U28" s="41">
        <f t="shared" si="20"/>
        <v>5761.4987999999994</v>
      </c>
      <c r="V28" s="85">
        <v>165</v>
      </c>
      <c r="W28" s="38">
        <f t="shared" si="17"/>
        <v>950647.30199999991</v>
      </c>
      <c r="X28" s="83">
        <v>0</v>
      </c>
      <c r="Y28" s="36"/>
      <c r="Z28" s="36"/>
    </row>
    <row r="29" spans="1:26" ht="21.75" customHeight="1">
      <c r="A29" s="35">
        <f t="shared" si="4"/>
        <v>24</v>
      </c>
      <c r="B29" s="36" t="s">
        <v>1036</v>
      </c>
      <c r="C29" s="44" t="s">
        <v>72</v>
      </c>
      <c r="D29" s="21"/>
      <c r="E29" s="27" t="s">
        <v>1014</v>
      </c>
      <c r="F29" s="22" t="s">
        <v>187</v>
      </c>
      <c r="G29" s="22" t="s">
        <v>97</v>
      </c>
      <c r="H29" s="22" t="s">
        <v>133</v>
      </c>
      <c r="I29" s="37">
        <v>801.22</v>
      </c>
      <c r="J29" s="19">
        <v>41971</v>
      </c>
      <c r="K29" s="51" t="s">
        <v>127</v>
      </c>
      <c r="L29" s="51" t="s">
        <v>49</v>
      </c>
      <c r="M29" s="22" t="s">
        <v>31</v>
      </c>
      <c r="N29" s="20" t="s">
        <v>108</v>
      </c>
      <c r="O29" s="57">
        <v>45000</v>
      </c>
      <c r="P29" s="38">
        <f t="shared" si="18"/>
        <v>3541905</v>
      </c>
      <c r="Q29" s="39" t="s">
        <v>32</v>
      </c>
      <c r="R29" s="9">
        <v>78.709000000000003</v>
      </c>
      <c r="S29" s="40">
        <f t="shared" si="19"/>
        <v>42060</v>
      </c>
      <c r="T29" s="22" t="s">
        <v>39</v>
      </c>
      <c r="U29" s="41">
        <f t="shared" si="20"/>
        <v>4250.2860000000001</v>
      </c>
      <c r="V29" s="85">
        <v>165</v>
      </c>
      <c r="W29" s="38">
        <f t="shared" si="17"/>
        <v>701297.19000000006</v>
      </c>
      <c r="X29" s="83">
        <v>0</v>
      </c>
      <c r="Y29" s="36"/>
      <c r="Z29" s="36"/>
    </row>
    <row r="30" spans="1:26" ht="21.75" customHeight="1">
      <c r="A30" s="35">
        <f t="shared" si="4"/>
        <v>25</v>
      </c>
      <c r="B30" s="36" t="s">
        <v>1037</v>
      </c>
      <c r="C30" s="44" t="s">
        <v>72</v>
      </c>
      <c r="D30" s="21"/>
      <c r="E30" s="27" t="s">
        <v>1015</v>
      </c>
      <c r="F30" s="22" t="s">
        <v>130</v>
      </c>
      <c r="G30" s="22" t="s">
        <v>87</v>
      </c>
      <c r="H30" s="22" t="s">
        <v>133</v>
      </c>
      <c r="I30" s="37">
        <v>801.22</v>
      </c>
      <c r="J30" s="19">
        <v>41971</v>
      </c>
      <c r="K30" s="51" t="s">
        <v>127</v>
      </c>
      <c r="L30" s="51" t="s">
        <v>49</v>
      </c>
      <c r="M30" s="22" t="s">
        <v>31</v>
      </c>
      <c r="N30" s="20" t="s">
        <v>108</v>
      </c>
      <c r="O30" s="57">
        <v>169000</v>
      </c>
      <c r="P30" s="38">
        <f t="shared" si="18"/>
        <v>12273794</v>
      </c>
      <c r="Q30" s="39" t="s">
        <v>32</v>
      </c>
      <c r="R30" s="9">
        <v>72.626000000000005</v>
      </c>
      <c r="S30" s="40">
        <f t="shared" si="19"/>
        <v>42060</v>
      </c>
      <c r="T30" s="20" t="s">
        <v>144</v>
      </c>
      <c r="U30" s="41">
        <f t="shared" si="20"/>
        <v>14728.552799999999</v>
      </c>
      <c r="V30" s="85">
        <v>165</v>
      </c>
      <c r="W30" s="38">
        <f t="shared" si="17"/>
        <v>2430211.2119999998</v>
      </c>
      <c r="X30" s="83">
        <v>0</v>
      </c>
      <c r="Y30" s="36"/>
      <c r="Z30" s="36"/>
    </row>
    <row r="31" spans="1:26" ht="19.5" customHeight="1">
      <c r="A31" s="35">
        <f t="shared" si="4"/>
        <v>26</v>
      </c>
      <c r="B31" s="36" t="s">
        <v>1088</v>
      </c>
      <c r="C31" s="44" t="s">
        <v>72</v>
      </c>
      <c r="D31" s="21"/>
      <c r="E31" s="27" t="s">
        <v>1045</v>
      </c>
      <c r="F31" s="22" t="s">
        <v>150</v>
      </c>
      <c r="G31" s="22" t="s">
        <v>279</v>
      </c>
      <c r="H31" s="22" t="s">
        <v>159</v>
      </c>
      <c r="I31" s="37">
        <v>801.22</v>
      </c>
      <c r="J31" s="19">
        <v>41975</v>
      </c>
      <c r="K31" s="51" t="s">
        <v>1066</v>
      </c>
      <c r="L31" s="51" t="s">
        <v>160</v>
      </c>
      <c r="M31" s="22" t="s">
        <v>50</v>
      </c>
      <c r="N31" s="78" t="s">
        <v>51</v>
      </c>
      <c r="O31" s="57">
        <v>607670</v>
      </c>
      <c r="P31" s="38">
        <f t="shared" si="18"/>
        <v>40278190.609999999</v>
      </c>
      <c r="Q31" s="39" t="s">
        <v>32</v>
      </c>
      <c r="R31" s="9">
        <v>66.283000000000001</v>
      </c>
      <c r="S31" s="40">
        <f t="shared" ref="S31:S43" si="21">SUM(J31)+89</f>
        <v>42064</v>
      </c>
      <c r="T31" s="22" t="s">
        <v>163</v>
      </c>
      <c r="U31" s="41">
        <f t="shared" si="20"/>
        <v>48333.828731999994</v>
      </c>
      <c r="V31" s="85">
        <v>168</v>
      </c>
      <c r="W31" s="38">
        <f t="shared" ref="W31:W43" si="22">SUM(U31*V31)</f>
        <v>8120083.2269759988</v>
      </c>
      <c r="X31" s="83">
        <v>0</v>
      </c>
      <c r="Y31" s="36"/>
      <c r="Z31" s="36"/>
    </row>
    <row r="32" spans="1:26" ht="19.5" customHeight="1">
      <c r="A32" s="35">
        <f t="shared" si="4"/>
        <v>27</v>
      </c>
      <c r="B32" s="36" t="s">
        <v>1094</v>
      </c>
      <c r="C32" s="44" t="s">
        <v>72</v>
      </c>
      <c r="D32" s="21"/>
      <c r="E32" s="27" t="s">
        <v>1048</v>
      </c>
      <c r="F32" s="22" t="s">
        <v>163</v>
      </c>
      <c r="G32" s="22" t="s">
        <v>65</v>
      </c>
      <c r="H32" s="22" t="s">
        <v>133</v>
      </c>
      <c r="I32" s="37">
        <v>801.22</v>
      </c>
      <c r="J32" s="19">
        <v>41984</v>
      </c>
      <c r="K32" s="51" t="s">
        <v>1070</v>
      </c>
      <c r="L32" s="51" t="s">
        <v>49</v>
      </c>
      <c r="M32" s="22" t="s">
        <v>37</v>
      </c>
      <c r="N32" s="78" t="s">
        <v>336</v>
      </c>
      <c r="O32" s="57">
        <v>571541</v>
      </c>
      <c r="P32" s="38">
        <f t="shared" si="18"/>
        <v>36312285.894000001</v>
      </c>
      <c r="Q32" s="39" t="s">
        <v>32</v>
      </c>
      <c r="R32" s="9">
        <v>63.533999999999999</v>
      </c>
      <c r="S32" s="40">
        <f t="shared" si="21"/>
        <v>42073</v>
      </c>
      <c r="T32" s="20" t="s">
        <v>38</v>
      </c>
      <c r="U32" s="41">
        <f t="shared" si="20"/>
        <v>43574.743072799996</v>
      </c>
      <c r="V32" s="85">
        <v>168</v>
      </c>
      <c r="W32" s="38">
        <f t="shared" si="22"/>
        <v>7320556.8362303991</v>
      </c>
      <c r="X32" s="83">
        <v>0</v>
      </c>
      <c r="Y32" s="36"/>
      <c r="Z32" s="36"/>
    </row>
    <row r="33" spans="1:26" ht="19.5" customHeight="1">
      <c r="A33" s="35">
        <f t="shared" si="4"/>
        <v>28</v>
      </c>
      <c r="B33" s="36" t="s">
        <v>1095</v>
      </c>
      <c r="C33" s="44" t="s">
        <v>72</v>
      </c>
      <c r="D33" s="21"/>
      <c r="E33" s="27" t="s">
        <v>1049</v>
      </c>
      <c r="F33" s="22" t="s">
        <v>120</v>
      </c>
      <c r="G33" s="22" t="s">
        <v>53</v>
      </c>
      <c r="H33" s="22" t="s">
        <v>133</v>
      </c>
      <c r="I33" s="37">
        <v>801.22</v>
      </c>
      <c r="J33" s="19">
        <v>41984</v>
      </c>
      <c r="K33" s="51" t="s">
        <v>1070</v>
      </c>
      <c r="L33" s="51" t="s">
        <v>49</v>
      </c>
      <c r="M33" s="22" t="s">
        <v>37</v>
      </c>
      <c r="N33" s="20" t="s">
        <v>336</v>
      </c>
      <c r="O33" s="57">
        <v>10000</v>
      </c>
      <c r="P33" s="38">
        <f t="shared" si="18"/>
        <v>635340</v>
      </c>
      <c r="Q33" s="39" t="s">
        <v>32</v>
      </c>
      <c r="R33" s="9">
        <v>63.533999999999999</v>
      </c>
      <c r="S33" s="40">
        <f t="shared" si="21"/>
        <v>42073</v>
      </c>
      <c r="T33" s="20" t="s">
        <v>38</v>
      </c>
      <c r="U33" s="41">
        <f t="shared" si="20"/>
        <v>762.4079999999999</v>
      </c>
      <c r="V33" s="85">
        <v>168</v>
      </c>
      <c r="W33" s="38">
        <f t="shared" si="22"/>
        <v>128084.54399999998</v>
      </c>
      <c r="X33" s="83">
        <v>0</v>
      </c>
      <c r="Y33" s="36"/>
      <c r="Z33" s="36"/>
    </row>
    <row r="34" spans="1:26" ht="19.5" customHeight="1">
      <c r="A34" s="35">
        <f t="shared" si="4"/>
        <v>29</v>
      </c>
      <c r="B34" s="36" t="s">
        <v>1096</v>
      </c>
      <c r="C34" s="44" t="s">
        <v>72</v>
      </c>
      <c r="D34" s="21"/>
      <c r="E34" s="27" t="s">
        <v>1050</v>
      </c>
      <c r="F34" s="22" t="s">
        <v>130</v>
      </c>
      <c r="G34" s="22" t="s">
        <v>87</v>
      </c>
      <c r="H34" s="22" t="s">
        <v>133</v>
      </c>
      <c r="I34" s="37">
        <v>801.22</v>
      </c>
      <c r="J34" s="19">
        <v>41984</v>
      </c>
      <c r="K34" s="51" t="s">
        <v>1070</v>
      </c>
      <c r="L34" s="51" t="s">
        <v>49</v>
      </c>
      <c r="M34" s="22" t="s">
        <v>37</v>
      </c>
      <c r="N34" s="20" t="s">
        <v>336</v>
      </c>
      <c r="O34" s="57">
        <v>120000</v>
      </c>
      <c r="P34" s="38">
        <f t="shared" si="18"/>
        <v>7624080</v>
      </c>
      <c r="Q34" s="39" t="s">
        <v>32</v>
      </c>
      <c r="R34" s="9">
        <v>63.533999999999999</v>
      </c>
      <c r="S34" s="40">
        <f t="shared" si="21"/>
        <v>42073</v>
      </c>
      <c r="T34" s="22" t="s">
        <v>144</v>
      </c>
      <c r="U34" s="41">
        <f t="shared" si="20"/>
        <v>9148.8959999999988</v>
      </c>
      <c r="V34" s="85">
        <v>168</v>
      </c>
      <c r="W34" s="38">
        <f t="shared" si="22"/>
        <v>1537014.5279999997</v>
      </c>
      <c r="X34" s="83">
        <v>0</v>
      </c>
      <c r="Y34" s="36"/>
      <c r="Z34" s="36"/>
    </row>
    <row r="35" spans="1:26" ht="19.5" customHeight="1">
      <c r="A35" s="35">
        <f t="shared" si="4"/>
        <v>30</v>
      </c>
      <c r="B35" s="36" t="s">
        <v>1097</v>
      </c>
      <c r="C35" s="44" t="s">
        <v>72</v>
      </c>
      <c r="D35" s="21"/>
      <c r="E35" s="27" t="s">
        <v>1053</v>
      </c>
      <c r="F35" s="22" t="s">
        <v>120</v>
      </c>
      <c r="G35" s="22" t="s">
        <v>28</v>
      </c>
      <c r="H35" s="22" t="s">
        <v>133</v>
      </c>
      <c r="I35" s="37">
        <v>801.22</v>
      </c>
      <c r="J35" s="19">
        <v>41992</v>
      </c>
      <c r="K35" s="51" t="s">
        <v>1071</v>
      </c>
      <c r="L35" s="74" t="s">
        <v>49</v>
      </c>
      <c r="M35" s="22" t="s">
        <v>74</v>
      </c>
      <c r="N35" s="20" t="s">
        <v>106</v>
      </c>
      <c r="O35" s="57">
        <v>200000</v>
      </c>
      <c r="P35" s="38">
        <f t="shared" si="18"/>
        <v>11891200</v>
      </c>
      <c r="Q35" s="39" t="s">
        <v>32</v>
      </c>
      <c r="R35" s="9">
        <v>59.456000000000003</v>
      </c>
      <c r="S35" s="40">
        <f t="shared" si="21"/>
        <v>42081</v>
      </c>
      <c r="T35" s="22" t="s">
        <v>27</v>
      </c>
      <c r="U35" s="41">
        <f t="shared" si="20"/>
        <v>14269.439999999999</v>
      </c>
      <c r="V35" s="85">
        <v>168</v>
      </c>
      <c r="W35" s="38">
        <f t="shared" si="22"/>
        <v>2397265.9199999999</v>
      </c>
      <c r="X35" s="83">
        <v>0</v>
      </c>
      <c r="Y35" s="36"/>
      <c r="Z35" s="36"/>
    </row>
    <row r="36" spans="1:26" ht="19.5" customHeight="1">
      <c r="A36" s="35">
        <f t="shared" si="4"/>
        <v>31</v>
      </c>
      <c r="B36" s="36" t="s">
        <v>1098</v>
      </c>
      <c r="C36" s="44" t="s">
        <v>72</v>
      </c>
      <c r="D36" s="21"/>
      <c r="E36" s="26" t="s">
        <v>1054</v>
      </c>
      <c r="F36" s="22" t="s">
        <v>120</v>
      </c>
      <c r="G36" s="22" t="s">
        <v>53</v>
      </c>
      <c r="H36" s="22" t="s">
        <v>133</v>
      </c>
      <c r="I36" s="37">
        <v>801.22</v>
      </c>
      <c r="J36" s="19">
        <v>41992</v>
      </c>
      <c r="K36" s="51" t="s">
        <v>1071</v>
      </c>
      <c r="L36" s="51" t="s">
        <v>49</v>
      </c>
      <c r="M36" s="22" t="s">
        <v>74</v>
      </c>
      <c r="N36" s="20" t="s">
        <v>106</v>
      </c>
      <c r="O36" s="57">
        <v>572611</v>
      </c>
      <c r="P36" s="38">
        <f t="shared" si="18"/>
        <v>34045159.616000004</v>
      </c>
      <c r="Q36" s="39" t="s">
        <v>32</v>
      </c>
      <c r="R36" s="9">
        <v>59.456000000000003</v>
      </c>
      <c r="S36" s="40">
        <f t="shared" si="21"/>
        <v>42081</v>
      </c>
      <c r="T36" s="22" t="s">
        <v>38</v>
      </c>
      <c r="U36" s="41">
        <f t="shared" si="20"/>
        <v>40854.191539200001</v>
      </c>
      <c r="V36" s="85">
        <v>168</v>
      </c>
      <c r="W36" s="38">
        <f t="shared" si="22"/>
        <v>6863504.1785856001</v>
      </c>
      <c r="X36" s="83">
        <v>0</v>
      </c>
      <c r="Y36" s="36"/>
      <c r="Z36" s="36"/>
    </row>
    <row r="37" spans="1:26" ht="19.5" customHeight="1">
      <c r="A37" s="35">
        <f t="shared" si="4"/>
        <v>32</v>
      </c>
      <c r="B37" s="36" t="s">
        <v>1099</v>
      </c>
      <c r="C37" s="44" t="s">
        <v>72</v>
      </c>
      <c r="D37" s="21"/>
      <c r="E37" s="26" t="s">
        <v>1055</v>
      </c>
      <c r="F37" s="22" t="s">
        <v>120</v>
      </c>
      <c r="G37" s="22" t="s">
        <v>53</v>
      </c>
      <c r="H37" s="22" t="s">
        <v>133</v>
      </c>
      <c r="I37" s="37">
        <v>801.22</v>
      </c>
      <c r="J37" s="19">
        <v>41992</v>
      </c>
      <c r="K37" s="51" t="s">
        <v>1071</v>
      </c>
      <c r="L37" s="51" t="s">
        <v>49</v>
      </c>
      <c r="M37" s="22" t="s">
        <v>74</v>
      </c>
      <c r="N37" s="20" t="s">
        <v>106</v>
      </c>
      <c r="O37" s="57">
        <v>120000</v>
      </c>
      <c r="P37" s="38">
        <f t="shared" si="18"/>
        <v>7134720</v>
      </c>
      <c r="Q37" s="39" t="s">
        <v>32</v>
      </c>
      <c r="R37" s="9">
        <v>59.456000000000003</v>
      </c>
      <c r="S37" s="40">
        <f t="shared" si="21"/>
        <v>42081</v>
      </c>
      <c r="T37" s="22" t="s">
        <v>38</v>
      </c>
      <c r="U37" s="41">
        <f t="shared" si="20"/>
        <v>8561.6639999999989</v>
      </c>
      <c r="V37" s="85">
        <v>168</v>
      </c>
      <c r="W37" s="38">
        <f t="shared" si="22"/>
        <v>1438359.5519999999</v>
      </c>
      <c r="X37" s="83">
        <v>0</v>
      </c>
      <c r="Y37" s="36"/>
      <c r="Z37" s="36"/>
    </row>
    <row r="38" spans="1:26" ht="19.5" customHeight="1">
      <c r="A38" s="35">
        <f t="shared" si="4"/>
        <v>33</v>
      </c>
      <c r="B38" s="36" t="s">
        <v>1100</v>
      </c>
      <c r="C38" s="44" t="s">
        <v>72</v>
      </c>
      <c r="D38" s="21"/>
      <c r="E38" s="27" t="s">
        <v>1056</v>
      </c>
      <c r="F38" s="22" t="s">
        <v>39</v>
      </c>
      <c r="G38" s="22" t="s">
        <v>97</v>
      </c>
      <c r="H38" s="22" t="s">
        <v>133</v>
      </c>
      <c r="I38" s="37">
        <v>801.22</v>
      </c>
      <c r="J38" s="19">
        <v>41992</v>
      </c>
      <c r="K38" s="51" t="s">
        <v>1071</v>
      </c>
      <c r="L38" s="51" t="s">
        <v>49</v>
      </c>
      <c r="M38" s="22" t="s">
        <v>74</v>
      </c>
      <c r="N38" s="20" t="s">
        <v>106</v>
      </c>
      <c r="O38" s="57">
        <v>41000</v>
      </c>
      <c r="P38" s="38">
        <f t="shared" si="18"/>
        <v>2437696</v>
      </c>
      <c r="Q38" s="39" t="s">
        <v>32</v>
      </c>
      <c r="R38" s="9">
        <v>59.456000000000003</v>
      </c>
      <c r="S38" s="40">
        <f t="shared" si="21"/>
        <v>42081</v>
      </c>
      <c r="T38" s="22" t="s">
        <v>39</v>
      </c>
      <c r="U38" s="41">
        <f t="shared" si="20"/>
        <v>2925.2351999999996</v>
      </c>
      <c r="V38" s="85">
        <v>168</v>
      </c>
      <c r="W38" s="38">
        <f t="shared" si="22"/>
        <v>491439.51359999995</v>
      </c>
      <c r="X38" s="83">
        <v>0</v>
      </c>
      <c r="Y38" s="36"/>
      <c r="Z38" s="36"/>
    </row>
    <row r="39" spans="1:26" ht="19.5" customHeight="1">
      <c r="A39" s="35">
        <f t="shared" si="4"/>
        <v>34</v>
      </c>
      <c r="B39" s="36" t="s">
        <v>1101</v>
      </c>
      <c r="C39" s="44" t="s">
        <v>72</v>
      </c>
      <c r="D39" s="21"/>
      <c r="E39" s="27" t="s">
        <v>1057</v>
      </c>
      <c r="F39" s="22" t="s">
        <v>39</v>
      </c>
      <c r="G39" s="22" t="s">
        <v>97</v>
      </c>
      <c r="H39" s="22" t="s">
        <v>133</v>
      </c>
      <c r="I39" s="37">
        <v>801.22</v>
      </c>
      <c r="J39" s="19">
        <v>41992</v>
      </c>
      <c r="K39" s="51" t="s">
        <v>1071</v>
      </c>
      <c r="L39" s="51" t="s">
        <v>49</v>
      </c>
      <c r="M39" s="22" t="s">
        <v>74</v>
      </c>
      <c r="N39" s="20" t="s">
        <v>106</v>
      </c>
      <c r="O39" s="57">
        <v>30000</v>
      </c>
      <c r="P39" s="38">
        <f t="shared" si="18"/>
        <v>1783680</v>
      </c>
      <c r="Q39" s="39" t="s">
        <v>32</v>
      </c>
      <c r="R39" s="9">
        <v>59.456000000000003</v>
      </c>
      <c r="S39" s="40">
        <f t="shared" si="21"/>
        <v>42081</v>
      </c>
      <c r="T39" s="22" t="s">
        <v>39</v>
      </c>
      <c r="U39" s="41">
        <f t="shared" si="20"/>
        <v>2140.4159999999997</v>
      </c>
      <c r="V39" s="85">
        <v>168</v>
      </c>
      <c r="W39" s="38">
        <f t="shared" si="22"/>
        <v>359589.88799999998</v>
      </c>
      <c r="X39" s="83">
        <v>0</v>
      </c>
      <c r="Y39" s="36"/>
      <c r="Z39" s="36"/>
    </row>
    <row r="40" spans="1:26" ht="19.5" customHeight="1">
      <c r="A40" s="35">
        <f t="shared" si="4"/>
        <v>35</v>
      </c>
      <c r="B40" s="36" t="s">
        <v>1102</v>
      </c>
      <c r="C40" s="44" t="s">
        <v>72</v>
      </c>
      <c r="D40" s="21"/>
      <c r="E40" s="27" t="s">
        <v>1058</v>
      </c>
      <c r="F40" s="22" t="s">
        <v>187</v>
      </c>
      <c r="G40" s="22" t="s">
        <v>97</v>
      </c>
      <c r="H40" s="22" t="s">
        <v>133</v>
      </c>
      <c r="I40" s="37">
        <v>801.22</v>
      </c>
      <c r="J40" s="19">
        <v>41992</v>
      </c>
      <c r="K40" s="51" t="s">
        <v>1071</v>
      </c>
      <c r="L40" s="51" t="s">
        <v>49</v>
      </c>
      <c r="M40" s="22" t="s">
        <v>74</v>
      </c>
      <c r="N40" s="20" t="s">
        <v>106</v>
      </c>
      <c r="O40" s="57">
        <v>35000</v>
      </c>
      <c r="P40" s="38">
        <f t="shared" si="18"/>
        <v>2080960</v>
      </c>
      <c r="Q40" s="39" t="s">
        <v>32</v>
      </c>
      <c r="R40" s="9">
        <v>59.456000000000003</v>
      </c>
      <c r="S40" s="40">
        <f t="shared" si="21"/>
        <v>42081</v>
      </c>
      <c r="T40" s="22" t="s">
        <v>39</v>
      </c>
      <c r="U40" s="41">
        <f t="shared" si="20"/>
        <v>2497.1519999999996</v>
      </c>
      <c r="V40" s="85">
        <v>168</v>
      </c>
      <c r="W40" s="38">
        <f t="shared" si="22"/>
        <v>419521.53599999991</v>
      </c>
      <c r="X40" s="83">
        <v>0</v>
      </c>
      <c r="Y40" s="36"/>
      <c r="Z40" s="36"/>
    </row>
    <row r="41" spans="1:26" ht="19.5" customHeight="1">
      <c r="A41" s="35">
        <f t="shared" si="4"/>
        <v>36</v>
      </c>
      <c r="B41" s="36" t="s">
        <v>1089</v>
      </c>
      <c r="C41" s="44" t="s">
        <v>72</v>
      </c>
      <c r="D41" s="21"/>
      <c r="E41" s="27" t="s">
        <v>1059</v>
      </c>
      <c r="F41" s="22" t="s">
        <v>150</v>
      </c>
      <c r="G41" s="22" t="s">
        <v>279</v>
      </c>
      <c r="H41" s="22" t="s">
        <v>159</v>
      </c>
      <c r="I41" s="37">
        <v>801.22</v>
      </c>
      <c r="J41" s="19">
        <v>41994</v>
      </c>
      <c r="K41" s="51" t="s">
        <v>1072</v>
      </c>
      <c r="L41" s="51" t="s">
        <v>160</v>
      </c>
      <c r="M41" s="22" t="s">
        <v>60</v>
      </c>
      <c r="N41" s="20" t="s">
        <v>162</v>
      </c>
      <c r="O41" s="57">
        <v>600551</v>
      </c>
      <c r="P41" s="38">
        <f t="shared" si="18"/>
        <v>32914999.208000001</v>
      </c>
      <c r="Q41" s="39" t="s">
        <v>32</v>
      </c>
      <c r="R41" s="49">
        <v>54.808</v>
      </c>
      <c r="S41" s="40">
        <f t="shared" si="21"/>
        <v>42083</v>
      </c>
      <c r="T41" s="22" t="s">
        <v>163</v>
      </c>
      <c r="U41" s="41">
        <f t="shared" si="20"/>
        <v>39497.999049599995</v>
      </c>
      <c r="V41" s="85">
        <v>168</v>
      </c>
      <c r="W41" s="38">
        <f t="shared" si="22"/>
        <v>6635663.8403327996</v>
      </c>
      <c r="X41" s="83">
        <v>0</v>
      </c>
      <c r="Y41" s="36"/>
      <c r="Z41" s="36"/>
    </row>
    <row r="42" spans="1:26" ht="19.5" customHeight="1">
      <c r="A42" s="35">
        <f t="shared" si="4"/>
        <v>37</v>
      </c>
      <c r="B42" s="36" t="s">
        <v>1091</v>
      </c>
      <c r="C42" s="44" t="s">
        <v>72</v>
      </c>
      <c r="D42" s="21"/>
      <c r="E42" s="27" t="s">
        <v>1060</v>
      </c>
      <c r="F42" s="22" t="s">
        <v>163</v>
      </c>
      <c r="G42" s="22" t="s">
        <v>34</v>
      </c>
      <c r="H42" s="22" t="s">
        <v>35</v>
      </c>
      <c r="I42" s="37">
        <v>801.22</v>
      </c>
      <c r="J42" s="19">
        <v>41994</v>
      </c>
      <c r="K42" s="51" t="s">
        <v>839</v>
      </c>
      <c r="L42" s="51" t="s">
        <v>36</v>
      </c>
      <c r="M42" s="22" t="s">
        <v>80</v>
      </c>
      <c r="N42" s="20" t="s">
        <v>1075</v>
      </c>
      <c r="O42" s="57">
        <v>950061</v>
      </c>
      <c r="P42" s="38">
        <f t="shared" si="18"/>
        <v>57182271.468000002</v>
      </c>
      <c r="Q42" s="39" t="s">
        <v>32</v>
      </c>
      <c r="R42" s="49">
        <v>60.188000000000002</v>
      </c>
      <c r="S42" s="40">
        <f t="shared" si="21"/>
        <v>42083</v>
      </c>
      <c r="T42" s="22" t="s">
        <v>38</v>
      </c>
      <c r="U42" s="41">
        <f t="shared" si="20"/>
        <v>68618.725761599999</v>
      </c>
      <c r="V42" s="85">
        <v>168</v>
      </c>
      <c r="W42" s="38">
        <f t="shared" si="22"/>
        <v>11527945.927948799</v>
      </c>
      <c r="X42" s="83">
        <v>0</v>
      </c>
      <c r="Y42" s="36"/>
      <c r="Z42" s="36"/>
    </row>
    <row r="43" spans="1:26" ht="20.25" customHeight="1" thickBot="1">
      <c r="A43" s="35">
        <f t="shared" si="4"/>
        <v>38</v>
      </c>
      <c r="B43" s="36" t="s">
        <v>1110</v>
      </c>
      <c r="C43" s="44" t="s">
        <v>72</v>
      </c>
      <c r="D43" s="21"/>
      <c r="E43" s="27" t="s">
        <v>1111</v>
      </c>
      <c r="F43" s="22" t="s">
        <v>120</v>
      </c>
      <c r="G43" s="22" t="s">
        <v>28</v>
      </c>
      <c r="H43" s="22" t="s">
        <v>29</v>
      </c>
      <c r="I43" s="37">
        <v>801.22</v>
      </c>
      <c r="J43" s="19">
        <v>42004</v>
      </c>
      <c r="K43" s="51" t="s">
        <v>1073</v>
      </c>
      <c r="L43" s="51" t="s">
        <v>30</v>
      </c>
      <c r="M43" s="22" t="s">
        <v>141</v>
      </c>
      <c r="N43" s="20" t="s">
        <v>1076</v>
      </c>
      <c r="O43" s="57">
        <v>947834</v>
      </c>
      <c r="P43" s="38">
        <f t="shared" si="18"/>
        <v>52086321.802000001</v>
      </c>
      <c r="Q43" s="39" t="s">
        <v>32</v>
      </c>
      <c r="R43" s="9">
        <v>54.953000000000003</v>
      </c>
      <c r="S43" s="40">
        <f t="shared" si="21"/>
        <v>42093</v>
      </c>
      <c r="T43" s="20" t="s">
        <v>27</v>
      </c>
      <c r="U43" s="41">
        <f t="shared" si="20"/>
        <v>62503.586162399995</v>
      </c>
      <c r="V43" s="85">
        <v>168</v>
      </c>
      <c r="W43" s="38">
        <f t="shared" si="22"/>
        <v>10500602.4752832</v>
      </c>
      <c r="X43" s="83">
        <v>0</v>
      </c>
      <c r="Y43" s="36"/>
      <c r="Z43" s="36"/>
    </row>
    <row r="44" spans="1:26" ht="15.75" thickBot="1">
      <c r="A44" s="91"/>
      <c r="B44" s="91"/>
      <c r="C44" s="91"/>
      <c r="D44" s="93"/>
      <c r="E44" s="94"/>
      <c r="F44" s="94"/>
      <c r="G44" s="94"/>
      <c r="H44" s="94"/>
      <c r="I44" s="91"/>
      <c r="J44" s="93"/>
      <c r="K44" s="94"/>
      <c r="L44" s="94"/>
      <c r="M44" s="110"/>
      <c r="N44" s="110"/>
      <c r="O44" s="89">
        <f>SUM(O6:O43)</f>
        <v>15103840</v>
      </c>
      <c r="P44" s="90">
        <f>SUM(P6:P43)</f>
        <v>1207390304.1420002</v>
      </c>
      <c r="Q44" s="91"/>
      <c r="R44" s="94"/>
      <c r="S44" s="93"/>
      <c r="T44" s="94"/>
      <c r="U44" s="90">
        <f>SUM(U6:U43)</f>
        <v>1448868.3649704</v>
      </c>
      <c r="V44" s="91"/>
      <c r="W44" s="90">
        <f>SUM(W6:W43)</f>
        <v>233734133.27866217</v>
      </c>
      <c r="X44" s="111">
        <f>SUM(X6:X43)</f>
        <v>0</v>
      </c>
      <c r="Y44" s="91"/>
      <c r="Z44" s="91"/>
    </row>
  </sheetData>
  <pageMargins left="0" right="0" top="0" bottom="0" header="0.31496062992125984" footer="0"/>
  <pageSetup orientation="landscape" r:id="rId1"/>
  <ignoredErrors>
    <ignoredError sqref="E6 E8 E7 E10:E11 E14 E18:E21 E15:E17 E22:E30 E32:E43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COMPREHENSIVE (YEAR 2014)</vt:lpstr>
      <vt:lpstr>COMPLIANT (YEAR 2014)</vt:lpstr>
      <vt:lpstr>NON-COMPLIANT (YEAR 2014)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2014-08-25T10:28:55Z</cp:lastPrinted>
  <dcterms:created xsi:type="dcterms:W3CDTF">2013-10-09T11:18:50Z</dcterms:created>
  <dcterms:modified xsi:type="dcterms:W3CDTF">2015-01-22T10:07:21Z</dcterms:modified>
</cp:coreProperties>
</file>