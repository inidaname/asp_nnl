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930" windowWidth="19335" windowHeight="7080"/>
  </bookViews>
  <sheets>
    <sheet name="COMPREHENSIVE (APR'14)" sheetId="3" r:id="rId1"/>
    <sheet name="COMPLIANT (APR'14)" sheetId="2" r:id="rId2"/>
    <sheet name="NON-COMPLIANT (APR'14)" sheetId="4" r:id="rId3"/>
  </sheets>
  <calcPr calcId="125725"/>
</workbook>
</file>

<file path=xl/calcChain.xml><?xml version="1.0" encoding="utf-8"?>
<calcChain xmlns="http://schemas.openxmlformats.org/spreadsheetml/2006/main">
  <c r="Y22" i="4"/>
  <c r="P22"/>
  <c r="T21"/>
  <c r="Q21"/>
  <c r="V21" s="1"/>
  <c r="X21" s="1"/>
  <c r="T20"/>
  <c r="Q20"/>
  <c r="V20" s="1"/>
  <c r="X20" s="1"/>
  <c r="T19"/>
  <c r="Q19"/>
  <c r="V19" s="1"/>
  <c r="X19" s="1"/>
  <c r="T18"/>
  <c r="Q18"/>
  <c r="V18" s="1"/>
  <c r="X18" s="1"/>
  <c r="T17"/>
  <c r="Q17"/>
  <c r="V17" s="1"/>
  <c r="X17" s="1"/>
  <c r="T16"/>
  <c r="Q16"/>
  <c r="V16" s="1"/>
  <c r="X16" s="1"/>
  <c r="T15"/>
  <c r="Q15"/>
  <c r="V15" s="1"/>
  <c r="X15" s="1"/>
  <c r="T14"/>
  <c r="Q14"/>
  <c r="V14" s="1"/>
  <c r="X14" s="1"/>
  <c r="T13"/>
  <c r="Q13"/>
  <c r="V13" s="1"/>
  <c r="X13" s="1"/>
  <c r="T12"/>
  <c r="Q12"/>
  <c r="V12" s="1"/>
  <c r="X12" s="1"/>
  <c r="T11"/>
  <c r="Q11"/>
  <c r="V11" s="1"/>
  <c r="X11" s="1"/>
  <c r="T10"/>
  <c r="Q10"/>
  <c r="V10" s="1"/>
  <c r="X10" s="1"/>
  <c r="T9"/>
  <c r="Q9"/>
  <c r="V9" s="1"/>
  <c r="X9" s="1"/>
  <c r="T8"/>
  <c r="Q8"/>
  <c r="V8" s="1"/>
  <c r="X8" s="1"/>
  <c r="T7"/>
  <c r="Q7"/>
  <c r="V7" s="1"/>
  <c r="X7" s="1"/>
  <c r="T6"/>
  <c r="Q6"/>
  <c r="V6" s="1"/>
  <c r="X6" s="1"/>
  <c r="T5"/>
  <c r="Q5"/>
  <c r="V5" s="1"/>
  <c r="X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Q22"/>
  <c r="P28" i="3"/>
  <c r="T27"/>
  <c r="Q27"/>
  <c r="V27" s="1"/>
  <c r="X27" s="1"/>
  <c r="Y27" s="1"/>
  <c r="T26"/>
  <c r="Q26"/>
  <c r="V26" s="1"/>
  <c r="X26" s="1"/>
  <c r="T25"/>
  <c r="Q25"/>
  <c r="V25" s="1"/>
  <c r="X25" s="1"/>
  <c r="T24"/>
  <c r="Q24"/>
  <c r="V24" s="1"/>
  <c r="X24" s="1"/>
  <c r="T23"/>
  <c r="Q23"/>
  <c r="V23" s="1"/>
  <c r="X23" s="1"/>
  <c r="T22"/>
  <c r="Q22"/>
  <c r="V22" s="1"/>
  <c r="X22" s="1"/>
  <c r="T21"/>
  <c r="Q21"/>
  <c r="V21" s="1"/>
  <c r="X21" s="1"/>
  <c r="T20"/>
  <c r="Q20"/>
  <c r="V20" s="1"/>
  <c r="X20" s="1"/>
  <c r="T19"/>
  <c r="Q19"/>
  <c r="V19" s="1"/>
  <c r="X19" s="1"/>
  <c r="T18"/>
  <c r="Q18"/>
  <c r="V18" s="1"/>
  <c r="X18" s="1"/>
  <c r="T17"/>
  <c r="Q17"/>
  <c r="V17" s="1"/>
  <c r="X17" s="1"/>
  <c r="T16"/>
  <c r="Q16"/>
  <c r="V16" s="1"/>
  <c r="X16" s="1"/>
  <c r="T15"/>
  <c r="Q15"/>
  <c r="V15" s="1"/>
  <c r="X15" s="1"/>
  <c r="Y15" s="1"/>
  <c r="T14"/>
  <c r="Q14"/>
  <c r="V14" s="1"/>
  <c r="X14" s="1"/>
  <c r="Y14" s="1"/>
  <c r="T13"/>
  <c r="Q13"/>
  <c r="V13" s="1"/>
  <c r="X13" s="1"/>
  <c r="Y13" s="1"/>
  <c r="T12"/>
  <c r="Q12"/>
  <c r="V12" s="1"/>
  <c r="X12" s="1"/>
  <c r="Y12" s="1"/>
  <c r="T11"/>
  <c r="Q11"/>
  <c r="V11" s="1"/>
  <c r="X11" s="1"/>
  <c r="Y11" s="1"/>
  <c r="T10"/>
  <c r="Q10"/>
  <c r="V10" s="1"/>
  <c r="X10" s="1"/>
  <c r="T9"/>
  <c r="Q9"/>
  <c r="V9" s="1"/>
  <c r="X9" s="1"/>
  <c r="T8"/>
  <c r="Q8"/>
  <c r="V8" s="1"/>
  <c r="X8" s="1"/>
  <c r="T7"/>
  <c r="Q7"/>
  <c r="V7" s="1"/>
  <c r="X7" s="1"/>
  <c r="T6"/>
  <c r="Q6"/>
  <c r="V6" s="1"/>
  <c r="X6" s="1"/>
  <c r="T5"/>
  <c r="Q5"/>
  <c r="V5" s="1"/>
  <c r="X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Y28"/>
  <c r="V22" i="4" l="1"/>
  <c r="X22"/>
  <c r="Q28" i="3"/>
  <c r="V28" l="1"/>
  <c r="X28"/>
  <c r="P26" i="2" l="1"/>
  <c r="T25"/>
  <c r="Q25"/>
  <c r="V25" s="1"/>
  <c r="X25" s="1"/>
  <c r="Y25" s="1"/>
  <c r="T24"/>
  <c r="Q24"/>
  <c r="V24" s="1"/>
  <c r="X24" s="1"/>
  <c r="Y24" s="1"/>
  <c r="T23"/>
  <c r="Q23"/>
  <c r="V23" s="1"/>
  <c r="X23" s="1"/>
  <c r="Y23" s="1"/>
  <c r="T22"/>
  <c r="Q22"/>
  <c r="V22" s="1"/>
  <c r="X22" s="1"/>
  <c r="Y22" s="1"/>
  <c r="T21"/>
  <c r="Q21"/>
  <c r="V21" s="1"/>
  <c r="X21" s="1"/>
  <c r="Y21" s="1"/>
  <c r="T20"/>
  <c r="Q20"/>
  <c r="V20" s="1"/>
  <c r="X20" s="1"/>
  <c r="Y20" s="1"/>
  <c r="T19"/>
  <c r="Q19"/>
  <c r="V19" s="1"/>
  <c r="X19" s="1"/>
  <c r="T18"/>
  <c r="Q18"/>
  <c r="V18" s="1"/>
  <c r="X18" s="1"/>
  <c r="T17"/>
  <c r="Q17"/>
  <c r="V17" s="1"/>
  <c r="X17" s="1"/>
  <c r="T16" l="1"/>
  <c r="Q16"/>
  <c r="V16" s="1"/>
  <c r="X16" s="1"/>
  <c r="Y16" s="1"/>
  <c r="T15"/>
  <c r="Q15"/>
  <c r="V15" s="1"/>
  <c r="X15" s="1"/>
  <c r="Y15" s="1"/>
  <c r="T14"/>
  <c r="Q14"/>
  <c r="V14" s="1"/>
  <c r="X14" s="1"/>
  <c r="Y14" s="1"/>
  <c r="T13"/>
  <c r="Q13"/>
  <c r="V13" s="1"/>
  <c r="X13" s="1"/>
  <c r="Y13" s="1"/>
  <c r="T12"/>
  <c r="Q12"/>
  <c r="V12" s="1"/>
  <c r="X12" s="1"/>
  <c r="Y12" s="1"/>
  <c r="Y26" s="1"/>
  <c r="T9" l="1"/>
  <c r="Q9"/>
  <c r="V9" s="1"/>
  <c r="X9" s="1"/>
  <c r="T8"/>
  <c r="Q8"/>
  <c r="V8" s="1"/>
  <c r="X8" s="1"/>
  <c r="T7"/>
  <c r="Q7"/>
  <c r="V7" s="1"/>
  <c r="X7" s="1"/>
  <c r="T6"/>
  <c r="Q6"/>
  <c r="V6" s="1"/>
  <c r="X6" s="1"/>
  <c r="T5"/>
  <c r="Q5"/>
  <c r="T11"/>
  <c r="Q11"/>
  <c r="V11" s="1"/>
  <c r="X11" s="1"/>
  <c r="T10"/>
  <c r="Q10"/>
  <c r="V10" s="1"/>
  <c r="X10" s="1"/>
  <c r="V5" l="1"/>
  <c r="Q26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X5" l="1"/>
  <c r="X26" s="1"/>
  <c r="V26"/>
</calcChain>
</file>

<file path=xl/sharedStrings.xml><?xml version="1.0" encoding="utf-8"?>
<sst xmlns="http://schemas.openxmlformats.org/spreadsheetml/2006/main" count="819" uniqueCount="210">
  <si>
    <t>ROBINSON INTERNATIONAL ENERGY LIMITED</t>
  </si>
  <si>
    <t>S/N</t>
  </si>
  <si>
    <t>REF NO</t>
  </si>
  <si>
    <t>CCI NO.</t>
  </si>
  <si>
    <t>CCI DATE</t>
  </si>
  <si>
    <t>NXP NO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</si>
  <si>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</si>
  <si>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</si>
  <si>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</si>
  <si>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</si>
  <si>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</si>
  <si>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</si>
  <si>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</si>
  <si>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</si>
  <si>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</si>
  <si>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</t>
  </si>
  <si>
    <t>FOB Value ($)</t>
  </si>
  <si>
    <t>FOB CURRENCY (CCY)</t>
  </si>
  <si>
    <t>PRICE PER BARREL</t>
  </si>
  <si>
    <t>REPATRIATION DUE DATE</t>
  </si>
  <si>
    <t>DESIGNATED BANK</t>
  </si>
  <si>
    <t>NESS FEE PAYABLE  ($)</t>
  </si>
  <si>
    <t>EXCHANGE RATE APPLIED BY PIA</t>
  </si>
  <si>
    <t>NESS FEE PAYABLE (NAIRA)</t>
  </si>
  <si>
    <t>NESS FEE PAID (NAIRA)</t>
  </si>
  <si>
    <t>RECEIPT DATE</t>
  </si>
  <si>
    <t>RECEIPT NO</t>
  </si>
  <si>
    <t>SOUTH AFRICA</t>
  </si>
  <si>
    <t>C182</t>
  </si>
  <si>
    <t>MOBIL PRODUCING</t>
  </si>
  <si>
    <t>YOHO BLEND CRUDE OIL</t>
  </si>
  <si>
    <t>YOHO</t>
  </si>
  <si>
    <t>USA</t>
  </si>
  <si>
    <t>UBA</t>
  </si>
  <si>
    <t>SKYE BANK</t>
  </si>
  <si>
    <t>BRASS</t>
  </si>
  <si>
    <t>SPAIN</t>
  </si>
  <si>
    <t>UNITED KINGDOM</t>
  </si>
  <si>
    <t>MIDWESTERN OIL</t>
  </si>
  <si>
    <t>PLATFORM PETROLEUM</t>
  </si>
  <si>
    <t>HUELVA</t>
  </si>
  <si>
    <t>DURBAN FOR ORDERS</t>
  </si>
  <si>
    <t>GEORGE S</t>
  </si>
  <si>
    <t>GUARANTY TRUST BANK</t>
  </si>
  <si>
    <t>BRASS BLEND CRUDE OIL</t>
  </si>
  <si>
    <t>STANBIC IBTC</t>
  </si>
  <si>
    <t>EBOK BLEND CRUDE OIL</t>
  </si>
  <si>
    <t>EBOK</t>
  </si>
  <si>
    <t>STANDARD CHARTERED</t>
  </si>
  <si>
    <t>TETNEY</t>
  </si>
  <si>
    <t>STERLING BANK</t>
  </si>
  <si>
    <t>ORIENTAL ENERGY</t>
  </si>
  <si>
    <t>PRINCIMAR LOYALTY</t>
  </si>
  <si>
    <t>BRASS 435</t>
  </si>
  <si>
    <t>YOHO 094</t>
  </si>
  <si>
    <t>201400010064</t>
  </si>
  <si>
    <t>AFRA HAWTHORN</t>
  </si>
  <si>
    <t>PORTLAND, MAINE</t>
  </si>
  <si>
    <t>BRASS 438</t>
  </si>
  <si>
    <t>201401010058</t>
  </si>
  <si>
    <t>BRASS 439</t>
  </si>
  <si>
    <t>201401010059</t>
  </si>
  <si>
    <t>BRASS 440</t>
  </si>
  <si>
    <t>20149030002</t>
  </si>
  <si>
    <t>BRASS 441</t>
  </si>
  <si>
    <t>201400010184</t>
  </si>
  <si>
    <t>CAPE BATA</t>
  </si>
  <si>
    <t>EBOK 016</t>
  </si>
  <si>
    <t>201402050034</t>
  </si>
  <si>
    <t>201402050081</t>
  </si>
  <si>
    <t>MIDWESTERN BRASS 037</t>
  </si>
  <si>
    <t>MIDWESTERN BRASS 038</t>
  </si>
  <si>
    <t>MOBIL YOHO 038</t>
  </si>
  <si>
    <t>N/A</t>
  </si>
  <si>
    <t>PLATFORM BRASS 095</t>
  </si>
  <si>
    <t>PLATFORM BRASS 096</t>
  </si>
  <si>
    <t>PLATFORM BRASS 097</t>
  </si>
  <si>
    <t>ORIENTAL EBOK 016</t>
  </si>
  <si>
    <t>COMPLIANT INSPECTION REPORT FOR THE PERIOD OF APRIL 2014</t>
  </si>
  <si>
    <t>BRASS 444</t>
  </si>
  <si>
    <t>NNPC BRASS 141</t>
  </si>
  <si>
    <t>41301105C38/66</t>
  </si>
  <si>
    <t>CENTRAL BANK</t>
  </si>
  <si>
    <t>NNPC</t>
  </si>
  <si>
    <t>HS MEDEA</t>
  </si>
  <si>
    <t>GHANA</t>
  </si>
  <si>
    <t>TEMA</t>
  </si>
  <si>
    <t>BRASS 445</t>
  </si>
  <si>
    <t>41301105C38/ 66</t>
  </si>
  <si>
    <t>NIPPON PRINCESS</t>
  </si>
  <si>
    <t>BRASS 446</t>
  </si>
  <si>
    <t>NNPC BRASS 143</t>
  </si>
  <si>
    <t>41102105C7/78A</t>
  </si>
  <si>
    <t>NORDIC ZENITH</t>
  </si>
  <si>
    <t>FRANCE</t>
  </si>
  <si>
    <t>LAVERA</t>
  </si>
  <si>
    <t>BRASS 447</t>
  </si>
  <si>
    <t>NNPC BRASS 144</t>
  </si>
  <si>
    <t>41102105C7/78B</t>
  </si>
  <si>
    <t>BRASS 448</t>
  </si>
  <si>
    <t>NNPC BRASS 145</t>
  </si>
  <si>
    <t>41102105C7/78C</t>
  </si>
  <si>
    <t>BRASS 391</t>
  </si>
  <si>
    <t>ATLANTIC BRASS 005</t>
  </si>
  <si>
    <t>201300010428</t>
  </si>
  <si>
    <t>ATLANTIC ENERGY</t>
  </si>
  <si>
    <t>ENERGY SKIER</t>
  </si>
  <si>
    <t>ITALY</t>
  </si>
  <si>
    <t>SAVONA</t>
  </si>
  <si>
    <t>STANDARD CHARTERED BANK</t>
  </si>
  <si>
    <t>BRASS 392</t>
  </si>
  <si>
    <t>20130001042 8</t>
  </si>
  <si>
    <t>FOS</t>
  </si>
  <si>
    <t>BRASS 398</t>
  </si>
  <si>
    <t>ATLANTIC BRASS 006</t>
  </si>
  <si>
    <t>HUELVA SPIRIT</t>
  </si>
  <si>
    <t>TRANMERE FOR ORDERS</t>
  </si>
  <si>
    <t>BRASS 462</t>
  </si>
  <si>
    <t>NNPC BRASS 146</t>
  </si>
  <si>
    <t>42002105C7/65B</t>
  </si>
  <si>
    <t>GENMAR KARA G</t>
  </si>
  <si>
    <t>SWEDEN</t>
  </si>
  <si>
    <t>GOTHENBURG</t>
  </si>
  <si>
    <t>BRASS 463</t>
  </si>
  <si>
    <t>NNPC BRASS 147</t>
  </si>
  <si>
    <t>42002105C7/65C</t>
  </si>
  <si>
    <t>BRASS 464</t>
  </si>
  <si>
    <t>NNPC OKONO 058</t>
  </si>
  <si>
    <t>41703115C40/39</t>
  </si>
  <si>
    <t>OKONO BLEND CRUDE OIL</t>
  </si>
  <si>
    <t>TEIDE SPIRIT</t>
  </si>
  <si>
    <t>OKONO</t>
  </si>
  <si>
    <t>BRASS 465</t>
  </si>
  <si>
    <t>NNPC BRASS 148</t>
  </si>
  <si>
    <t>41703105C52/5A</t>
  </si>
  <si>
    <t>ABOADZE</t>
  </si>
  <si>
    <t>BRASS 466</t>
  </si>
  <si>
    <t>NNPC BRASS 149</t>
  </si>
  <si>
    <t>41703105C52/5B</t>
  </si>
  <si>
    <t>BRASS 474</t>
  </si>
  <si>
    <t>NNPC BRASS 151</t>
  </si>
  <si>
    <t>41703105C38/70</t>
  </si>
  <si>
    <t>COSMIC</t>
  </si>
  <si>
    <t>US ATLANTIC COAST FOR ORDERS</t>
  </si>
  <si>
    <t>CITI BANK</t>
  </si>
  <si>
    <t>ADDAX PETROLEUM</t>
  </si>
  <si>
    <t>ANTAN BLEND CRUDE OIL</t>
  </si>
  <si>
    <t>ANTAN</t>
  </si>
  <si>
    <t>MONI PULO</t>
  </si>
  <si>
    <t>AGIP ENERGY</t>
  </si>
  <si>
    <t>ZENITH BANK</t>
  </si>
  <si>
    <t>NIGERIAN AGIP</t>
  </si>
  <si>
    <t>PORTUGAL</t>
  </si>
  <si>
    <t>LEIXOES</t>
  </si>
  <si>
    <t>OYO BLEND CRUDE OIL</t>
  </si>
  <si>
    <t>OYO</t>
  </si>
  <si>
    <t>PHILLIPS OIL</t>
  </si>
  <si>
    <t>PHILADELPHIA</t>
  </si>
  <si>
    <t>INDIA</t>
  </si>
  <si>
    <t>NOT YET ISSUED</t>
  </si>
  <si>
    <t>ALLIED ENERGY</t>
  </si>
  <si>
    <t>SINES</t>
  </si>
  <si>
    <t>AUTHENTIC</t>
  </si>
  <si>
    <t>AEGEAN HORIZON</t>
  </si>
  <si>
    <t>CITI BANK OF NIG</t>
  </si>
  <si>
    <t>GTB</t>
  </si>
  <si>
    <t>TOLEDO SPIRIT</t>
  </si>
  <si>
    <t>EAGLE SAN ANTONIO</t>
  </si>
  <si>
    <t>ONE OR MORE SAFE PORT(S)</t>
  </si>
  <si>
    <t>FLEVES</t>
  </si>
  <si>
    <t>BRASS 457</t>
  </si>
  <si>
    <t>AWAITING 3A</t>
  </si>
  <si>
    <t>BRASS 458</t>
  </si>
  <si>
    <t>201401010064</t>
  </si>
  <si>
    <t>BRASS 459</t>
  </si>
  <si>
    <t>201401010065</t>
  </si>
  <si>
    <t>BRASS 460</t>
  </si>
  <si>
    <t>201409030003</t>
  </si>
  <si>
    <t>BRASS 461</t>
  </si>
  <si>
    <t>AWAITING 1A</t>
  </si>
  <si>
    <t>ANTAN 099</t>
  </si>
  <si>
    <t>AWAITING 4A</t>
  </si>
  <si>
    <t>BRASS 467</t>
  </si>
  <si>
    <t>AWAITING 5A</t>
  </si>
  <si>
    <t>EBOK 017</t>
  </si>
  <si>
    <t>201400010251</t>
  </si>
  <si>
    <t>BERGINA</t>
  </si>
  <si>
    <t>ONE OR MORE SAFE PORT(S) USGC</t>
  </si>
  <si>
    <t>BRASS 468</t>
  </si>
  <si>
    <t>201400010148</t>
  </si>
  <si>
    <t>BRASS 469</t>
  </si>
  <si>
    <t>201400010150</t>
  </si>
  <si>
    <t>BRASS 470</t>
  </si>
  <si>
    <t>201400010133</t>
  </si>
  <si>
    <t>BRASS 471</t>
  </si>
  <si>
    <t>201401010066</t>
  </si>
  <si>
    <t>BRASS 472</t>
  </si>
  <si>
    <t>20149030004</t>
  </si>
  <si>
    <t>BRASS 473</t>
  </si>
  <si>
    <t>AWAITING 2B</t>
  </si>
  <si>
    <t>OYO 013</t>
  </si>
  <si>
    <t>201400010131</t>
  </si>
  <si>
    <t>YOHO 099</t>
  </si>
  <si>
    <t>AWAITING 7A</t>
  </si>
  <si>
    <t>ANTAN 100</t>
  </si>
  <si>
    <t>201400020008</t>
  </si>
  <si>
    <t>COMPREHENSIVE INSPECTION REPORT FOR THE PERIOD OF  APRIL 2014</t>
  </si>
  <si>
    <t>NON-COMPLIANT INSPECTION REPORT FOR THE PERIOD OF APRIL 2014</t>
  </si>
  <si>
    <t>Issued with 1(One) CCI for these 2(Two) split inspections</t>
  </si>
  <si>
    <t>REMARK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</si>
</sst>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0.0000"/>
    <numFmt numFmtId="165" formatCode="0000000"/>
    <numFmt numFmtId="166" formatCode="00000000000000"/>
    <numFmt numFmtId="167" formatCode="_-* #,##0_-;\-* #,##0_-;_-* &quot;-&quot;??_-;_-@_-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6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164" fontId="6" fillId="0" borderId="6" xfId="0" applyNumberFormat="1" applyFont="1" applyFill="1" applyBorder="1" applyAlignment="1">
      <alignment horizontal="center"/>
    </xf>
    <xf numFmtId="164" fontId="6" fillId="0" borderId="5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6" fillId="0" borderId="5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wrapText="1"/>
    </xf>
    <xf numFmtId="1" fontId="6" fillId="0" borderId="6" xfId="0" applyNumberFormat="1" applyFont="1" applyFill="1" applyBorder="1" applyAlignment="1">
      <alignment horizontal="center" wrapText="1"/>
    </xf>
    <xf numFmtId="3" fontId="6" fillId="0" borderId="6" xfId="0" applyNumberFormat="1" applyFont="1" applyFill="1" applyBorder="1"/>
    <xf numFmtId="0" fontId="6" fillId="0" borderId="6" xfId="0" applyFont="1" applyFill="1" applyBorder="1" applyAlignment="1">
      <alignment horizontal="center" vertical="center" wrapText="1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7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164" fontId="7" fillId="0" borderId="0" xfId="0" applyNumberFormat="1" applyFont="1" applyFill="1" applyAlignment="1">
      <alignment horizontal="center"/>
    </xf>
    <xf numFmtId="0" fontId="9" fillId="0" borderId="0" xfId="0" applyFont="1" applyFill="1"/>
    <xf numFmtId="0" fontId="10" fillId="0" borderId="2" xfId="2" applyFont="1" applyFill="1" applyBorder="1" applyAlignment="1">
      <alignment horizontal="center" vertical="center" wrapText="1"/>
    </xf>
    <xf numFmtId="0" fontId="10" fillId="0" borderId="3" xfId="2" applyFont="1" applyFill="1" applyBorder="1" applyAlignment="1">
      <alignment horizontal="center" vertical="center" wrapText="1"/>
    </xf>
    <xf numFmtId="49" fontId="10" fillId="0" borderId="3" xfId="2" applyNumberFormat="1" applyFont="1" applyFill="1" applyBorder="1" applyAlignment="1">
      <alignment horizontal="center" vertical="center"/>
    </xf>
    <xf numFmtId="49" fontId="10" fillId="0" borderId="3" xfId="2" applyNumberFormat="1" applyFont="1" applyFill="1" applyBorder="1" applyAlignment="1">
      <alignment horizontal="center" vertical="center" wrapText="1"/>
    </xf>
    <xf numFmtId="164" fontId="10" fillId="0" borderId="3" xfId="2" applyNumberFormat="1" applyFont="1" applyFill="1" applyBorder="1" applyAlignment="1">
      <alignment horizontal="center" vertical="center" wrapText="1"/>
    </xf>
    <xf numFmtId="0" fontId="10" fillId="0" borderId="4" xfId="2" applyFont="1" applyFill="1" applyBorder="1" applyAlignment="1">
      <alignment horizontal="center" vertical="center" wrapText="1"/>
    </xf>
    <xf numFmtId="0" fontId="6" fillId="0" borderId="6" xfId="0" applyFont="1" applyFill="1" applyBorder="1"/>
    <xf numFmtId="0" fontId="6" fillId="0" borderId="6" xfId="0" applyFont="1" applyFill="1" applyBorder="1" applyAlignment="1">
      <alignment horizontal="center"/>
    </xf>
    <xf numFmtId="14" fontId="6" fillId="0" borderId="6" xfId="0" applyNumberFormat="1" applyFont="1" applyFill="1" applyBorder="1" applyAlignment="1">
      <alignment horizontal="center" vertical="center" wrapText="1"/>
    </xf>
    <xf numFmtId="14" fontId="6" fillId="0" borderId="6" xfId="0" applyNumberFormat="1" applyFont="1" applyFill="1" applyBorder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164" fontId="6" fillId="0" borderId="6" xfId="0" applyNumberFormat="1" applyFont="1" applyFill="1" applyBorder="1" applyAlignment="1">
      <alignment horizontal="center" wrapText="1"/>
    </xf>
    <xf numFmtId="4" fontId="6" fillId="0" borderId="6" xfId="0" applyNumberFormat="1" applyFont="1" applyFill="1" applyBorder="1" applyAlignment="1">
      <alignment horizontal="right"/>
    </xf>
    <xf numFmtId="4" fontId="6" fillId="0" borderId="6" xfId="0" applyNumberFormat="1" applyFont="1" applyFill="1" applyBorder="1" applyAlignment="1">
      <alignment horizontal="center"/>
    </xf>
    <xf numFmtId="14" fontId="6" fillId="0" borderId="6" xfId="0" applyNumberFormat="1" applyFont="1" applyFill="1" applyBorder="1" applyAlignment="1">
      <alignment horizontal="center"/>
    </xf>
    <xf numFmtId="4" fontId="6" fillId="0" borderId="6" xfId="0" applyNumberFormat="1" applyFont="1" applyFill="1" applyBorder="1"/>
    <xf numFmtId="2" fontId="6" fillId="0" borderId="6" xfId="0" applyNumberFormat="1" applyFont="1" applyFill="1" applyBorder="1"/>
    <xf numFmtId="43" fontId="6" fillId="0" borderId="6" xfId="1" applyFont="1" applyFill="1" applyBorder="1"/>
    <xf numFmtId="3" fontId="6" fillId="0" borderId="6" xfId="0" applyNumberFormat="1" applyFont="1" applyFill="1" applyBorder="1" applyAlignment="1" applyProtection="1">
      <protection locked="0"/>
    </xf>
    <xf numFmtId="3" fontId="6" fillId="0" borderId="8" xfId="0" applyNumberFormat="1" applyFont="1" applyFill="1" applyBorder="1" applyAlignment="1" applyProtection="1">
      <alignment horizontal="right"/>
      <protection locked="0"/>
    </xf>
    <xf numFmtId="4" fontId="6" fillId="0" borderId="8" xfId="0" applyNumberFormat="1" applyFont="1" applyFill="1" applyBorder="1" applyAlignment="1">
      <alignment horizontal="right"/>
    </xf>
    <xf numFmtId="4" fontId="6" fillId="0" borderId="8" xfId="0" applyNumberFormat="1" applyFont="1" applyFill="1" applyBorder="1"/>
    <xf numFmtId="3" fontId="10" fillId="0" borderId="7" xfId="0" applyNumberFormat="1" applyFont="1" applyFill="1" applyBorder="1"/>
    <xf numFmtId="4" fontId="10" fillId="0" borderId="7" xfId="0" applyNumberFormat="1" applyFont="1" applyFill="1" applyBorder="1"/>
    <xf numFmtId="0" fontId="10" fillId="0" borderId="0" xfId="0" applyFont="1" applyFill="1"/>
    <xf numFmtId="164" fontId="10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left"/>
    </xf>
    <xf numFmtId="0" fontId="10" fillId="0" borderId="0" xfId="0" applyFont="1" applyFill="1" applyAlignment="1">
      <alignment horizontal="center"/>
    </xf>
    <xf numFmtId="43" fontId="10" fillId="0" borderId="7" xfId="0" applyNumberFormat="1" applyFont="1" applyFill="1" applyBorder="1"/>
    <xf numFmtId="14" fontId="6" fillId="0" borderId="5" xfId="0" applyNumberFormat="1" applyFont="1" applyFill="1" applyBorder="1" applyAlignment="1">
      <alignment horizontal="center" wrapText="1"/>
    </xf>
    <xf numFmtId="49" fontId="6" fillId="0" borderId="5" xfId="0" applyNumberFormat="1" applyFont="1" applyFill="1" applyBorder="1" applyAlignment="1">
      <alignment horizontal="center" wrapText="1"/>
    </xf>
    <xf numFmtId="164" fontId="6" fillId="0" borderId="6" xfId="4" applyNumberFormat="1" applyFont="1" applyFill="1" applyBorder="1" applyAlignment="1">
      <alignment horizontal="center"/>
    </xf>
    <xf numFmtId="165" fontId="6" fillId="0" borderId="6" xfId="0" applyNumberFormat="1" applyFont="1" applyFill="1" applyBorder="1" applyAlignment="1">
      <alignment horizontal="center"/>
    </xf>
    <xf numFmtId="4" fontId="6" fillId="0" borderId="6" xfId="0" applyNumberFormat="1" applyFont="1" applyFill="1" applyBorder="1" applyAlignment="1">
      <alignment horizontal="center" vertical="center" wrapText="1"/>
    </xf>
    <xf numFmtId="3" fontId="6" fillId="0" borderId="5" xfId="0" applyNumberFormat="1" applyFont="1" applyFill="1" applyBorder="1" applyAlignment="1">
      <alignment horizontal="center" wrapText="1"/>
    </xf>
    <xf numFmtId="2" fontId="6" fillId="0" borderId="6" xfId="0" applyNumberFormat="1" applyFont="1" applyFill="1" applyBorder="1" applyAlignment="1">
      <alignment horizontal="center"/>
    </xf>
    <xf numFmtId="1" fontId="6" fillId="0" borderId="6" xfId="0" applyNumberFormat="1" applyFont="1" applyFill="1" applyBorder="1" applyAlignment="1">
      <alignment horizontal="center"/>
    </xf>
    <xf numFmtId="4" fontId="6" fillId="0" borderId="6" xfId="0" applyNumberFormat="1" applyFont="1" applyFill="1" applyBorder="1" applyAlignment="1">
      <alignment horizontal="center" wrapText="1"/>
    </xf>
    <xf numFmtId="167" fontId="6" fillId="0" borderId="6" xfId="5" applyNumberFormat="1" applyFont="1" applyFill="1" applyBorder="1"/>
    <xf numFmtId="0" fontId="10" fillId="0" borderId="0" xfId="0" applyFont="1" applyFill="1" applyAlignment="1">
      <alignment horizontal="center" wrapText="1"/>
    </xf>
    <xf numFmtId="0" fontId="10" fillId="0" borderId="9" xfId="2" applyFont="1" applyFill="1" applyBorder="1" applyAlignment="1">
      <alignment horizontal="center" vertical="center" wrapText="1"/>
    </xf>
    <xf numFmtId="0" fontId="0" fillId="0" borderId="6" xfId="0" applyBorder="1"/>
    <xf numFmtId="0" fontId="6" fillId="0" borderId="5" xfId="0" applyFont="1" applyFill="1" applyBorder="1"/>
    <xf numFmtId="0" fontId="6" fillId="0" borderId="5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vertical="center" wrapText="1"/>
    </xf>
    <xf numFmtId="164" fontId="6" fillId="0" borderId="5" xfId="0" applyNumberFormat="1" applyFont="1" applyFill="1" applyBorder="1" applyAlignment="1">
      <alignment horizontal="center" wrapText="1"/>
    </xf>
    <xf numFmtId="3" fontId="6" fillId="0" borderId="5" xfId="0" applyNumberFormat="1" applyFont="1" applyFill="1" applyBorder="1"/>
    <xf numFmtId="4" fontId="6" fillId="0" borderId="5" xfId="0" applyNumberFormat="1" applyFont="1" applyFill="1" applyBorder="1" applyAlignment="1">
      <alignment horizontal="right"/>
    </xf>
    <xf numFmtId="4" fontId="6" fillId="0" borderId="5" xfId="0" applyNumberFormat="1" applyFont="1" applyFill="1" applyBorder="1" applyAlignment="1">
      <alignment horizontal="center"/>
    </xf>
    <xf numFmtId="164" fontId="6" fillId="0" borderId="5" xfId="4" applyNumberFormat="1" applyFont="1" applyFill="1" applyBorder="1" applyAlignment="1">
      <alignment horizontal="center"/>
    </xf>
    <xf numFmtId="14" fontId="6" fillId="0" borderId="5" xfId="0" applyNumberFormat="1" applyFont="1" applyFill="1" applyBorder="1" applyAlignment="1">
      <alignment horizontal="center"/>
    </xf>
    <xf numFmtId="4" fontId="6" fillId="0" borderId="5" xfId="0" applyNumberFormat="1" applyFont="1" applyFill="1" applyBorder="1"/>
    <xf numFmtId="0" fontId="6" fillId="0" borderId="5" xfId="0" applyFont="1" applyFill="1" applyBorder="1" applyAlignment="1">
      <alignment horizontal="center"/>
    </xf>
    <xf numFmtId="43" fontId="6" fillId="0" borderId="5" xfId="1" applyFont="1" applyFill="1" applyBorder="1"/>
    <xf numFmtId="165" fontId="6" fillId="0" borderId="5" xfId="0" applyNumberFormat="1" applyFont="1" applyFill="1" applyBorder="1" applyAlignment="1">
      <alignment horizontal="center"/>
    </xf>
    <xf numFmtId="0" fontId="0" fillId="0" borderId="5" xfId="0" applyBorder="1"/>
    <xf numFmtId="0" fontId="11" fillId="0" borderId="0" xfId="0" applyFont="1"/>
    <xf numFmtId="0" fontId="12" fillId="0" borderId="0" xfId="0" applyFont="1"/>
    <xf numFmtId="0" fontId="5" fillId="0" borderId="6" xfId="0" applyFont="1" applyBorder="1" applyAlignment="1">
      <alignment horizontal="center" vertical="center" wrapText="1"/>
    </xf>
  </cellXfs>
  <cellStyles count="13">
    <cellStyle name="Check Cell" xfId="2" builtinId="23"/>
    <cellStyle name="Comma" xfId="1" builtinId="3"/>
    <cellStyle name="Comma 11" xfId="3"/>
    <cellStyle name="Comma 13" xfId="6"/>
    <cellStyle name="Comma 14" xfId="7"/>
    <cellStyle name="Comma 15" xfId="8"/>
    <cellStyle name="Comma 2" xfId="4"/>
    <cellStyle name="Comma 2 2" xfId="9"/>
    <cellStyle name="Comma 2 3" xfId="5"/>
    <cellStyle name="Comma 6" xfId="10"/>
    <cellStyle name="Comma 7" xfId="11"/>
    <cellStyle name="Comma 8" xfId="1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0</xdr:row>
      <xdr:rowOff>123824</xdr:rowOff>
    </xdr:from>
    <xdr:to>
      <xdr:col>3</xdr:col>
      <xdr:colOff>457200</xdr:colOff>
      <xdr:row>2</xdr:row>
      <xdr:rowOff>57150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8225" y="123824"/>
          <a:ext cx="419100" cy="323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66674</xdr:rowOff>
    </xdr:from>
    <xdr:to>
      <xdr:col>3</xdr:col>
      <xdr:colOff>514350</xdr:colOff>
      <xdr:row>2</xdr:row>
      <xdr:rowOff>123825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6775" y="66674"/>
          <a:ext cx="447675" cy="447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114299</xdr:rowOff>
    </xdr:from>
    <xdr:to>
      <xdr:col>4</xdr:col>
      <xdr:colOff>190500</xdr:colOff>
      <xdr:row>2</xdr:row>
      <xdr:rowOff>152399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6775" y="114299"/>
          <a:ext cx="514350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A41"/>
  <sheetViews>
    <sheetView tabSelected="1" workbookViewId="0">
      <selection activeCell="C38" sqref="C38:C41"/>
    </sheetView>
  </sheetViews>
  <sheetFormatPr defaultRowHeight="15"/>
  <cols>
    <col min="1" max="1" width="3" style="15" customWidth="1"/>
    <col min="2" max="2" width="4.140625" style="15" customWidth="1"/>
    <col min="3" max="3" width="5.85546875" style="16" customWidth="1"/>
    <col min="4" max="4" width="7.28515625" style="16" customWidth="1"/>
    <col min="5" max="5" width="5.5703125" style="16" customWidth="1"/>
    <col min="6" max="6" width="10.140625" style="16" customWidth="1"/>
    <col min="7" max="7" width="9.5703125" style="16" customWidth="1"/>
    <col min="8" max="8" width="9" style="16" customWidth="1"/>
    <col min="9" max="9" width="9.140625" style="16" customWidth="1"/>
    <col min="10" max="10" width="6" style="15" customWidth="1"/>
    <col min="11" max="11" width="6.42578125" style="17" customWidth="1"/>
    <col min="12" max="12" width="8" style="16" customWidth="1"/>
    <col min="13" max="13" width="6" style="16" customWidth="1"/>
    <col min="14" max="14" width="7.140625" style="19" customWidth="1"/>
    <col min="15" max="15" width="12.42578125" style="20" customWidth="1"/>
    <col min="16" max="16" width="7.5703125" style="15" customWidth="1"/>
    <col min="17" max="17" width="10.7109375" style="15" customWidth="1"/>
    <col min="18" max="18" width="5.28515625" style="15" customWidth="1"/>
    <col min="19" max="19" width="7.7109375" style="21" customWidth="1"/>
    <col min="20" max="20" width="6.42578125" style="17" customWidth="1"/>
    <col min="21" max="21" width="8" style="16" customWidth="1"/>
    <col min="22" max="22" width="8.28515625" style="15" customWidth="1"/>
    <col min="23" max="23" width="5.7109375" style="15" customWidth="1"/>
    <col min="24" max="24" width="10.28515625" style="15" customWidth="1"/>
    <col min="25" max="25" width="11.5703125" style="15" customWidth="1"/>
    <col min="26" max="26" width="9.140625" style="15" customWidth="1"/>
    <col min="27" max="27" width="8.85546875" style="15" customWidth="1"/>
    <col min="28" max="16384" width="9.140625" style="15"/>
  </cols>
  <sheetData>
    <row r="2" spans="2:27" ht="15.75">
      <c r="L2" s="18" t="s">
        <v>0</v>
      </c>
    </row>
    <row r="3" spans="2:27" ht="23.25" customHeight="1" thickBot="1">
      <c r="L3" s="18" t="s">
        <v>206</v>
      </c>
      <c r="P3" s="22"/>
    </row>
    <row r="4" spans="2:27" s="16" customFormat="1" ht="50.25" customHeight="1" thickBot="1">
      <c r="B4" s="23" t="s">
        <v>1</v>
      </c>
      <c r="C4" s="24" t="s">
        <v>2</v>
      </c>
      <c r="D4" s="24" t="s">
        <v>3</v>
      </c>
      <c r="E4" s="24" t="s">
        <v>4</v>
      </c>
      <c r="F4" s="25" t="s">
        <v>5</v>
      </c>
      <c r="G4" s="26" t="s">
        <v>6</v>
      </c>
      <c r="H4" s="24" t="s">
        <v>7</v>
      </c>
      <c r="I4" s="24" t="s">
        <v>8</v>
      </c>
      <c r="J4" s="24" t="s">
        <v>9</v>
      </c>
      <c r="K4" s="24" t="s">
        <v>10</v>
      </c>
      <c r="L4" s="24" t="s">
        <v>11</v>
      </c>
      <c r="M4" s="24" t="s">
        <v>12</v>
      </c>
      <c r="N4" s="24" t="s">
        <v>13</v>
      </c>
      <c r="O4" s="24" t="s">
        <v>14</v>
      </c>
      <c r="P4" s="24" t="s">
        <v>15</v>
      </c>
      <c r="Q4" s="24" t="s">
        <v>16</v>
      </c>
      <c r="R4" s="24" t="s">
        <v>17</v>
      </c>
      <c r="S4" s="27" t="s">
        <v>18</v>
      </c>
      <c r="T4" s="24" t="s">
        <v>19</v>
      </c>
      <c r="U4" s="24" t="s">
        <v>20</v>
      </c>
      <c r="V4" s="24" t="s">
        <v>21</v>
      </c>
      <c r="W4" s="24" t="s">
        <v>22</v>
      </c>
      <c r="X4" s="24" t="s">
        <v>23</v>
      </c>
      <c r="Y4" s="24" t="s">
        <v>24</v>
      </c>
      <c r="Z4" s="24" t="s">
        <v>25</v>
      </c>
      <c r="AA4" s="28" t="s">
        <v>26</v>
      </c>
    </row>
    <row r="5" spans="2:27" ht="19.5" customHeight="1">
      <c r="B5" s="29">
        <v>1</v>
      </c>
      <c r="C5" s="11" t="s">
        <v>170</v>
      </c>
      <c r="D5" s="31" t="s">
        <v>159</v>
      </c>
      <c r="E5" s="32"/>
      <c r="F5" s="33" t="s">
        <v>171</v>
      </c>
      <c r="G5" s="11" t="s">
        <v>164</v>
      </c>
      <c r="H5" s="11" t="s">
        <v>151</v>
      </c>
      <c r="I5" s="11" t="s">
        <v>44</v>
      </c>
      <c r="J5" s="34">
        <v>801.22</v>
      </c>
      <c r="K5" s="32">
        <v>41731</v>
      </c>
      <c r="L5" s="11" t="s">
        <v>169</v>
      </c>
      <c r="M5" s="11" t="s">
        <v>35</v>
      </c>
      <c r="N5" s="11" t="s">
        <v>158</v>
      </c>
      <c r="O5" s="14" t="s">
        <v>168</v>
      </c>
      <c r="P5" s="13">
        <v>227068</v>
      </c>
      <c r="Q5" s="35">
        <f t="shared" ref="Q5:Q27" si="0">SUM(P5*S5)</f>
        <v>24366894.148000002</v>
      </c>
      <c r="R5" s="36" t="s">
        <v>28</v>
      </c>
      <c r="S5" s="7">
        <v>107.31100000000001</v>
      </c>
      <c r="T5" s="37">
        <f t="shared" ref="T5:T21" si="1">SUM(K5)+89</f>
        <v>41820</v>
      </c>
      <c r="U5" s="14" t="s">
        <v>33</v>
      </c>
      <c r="V5" s="38">
        <f t="shared" ref="V5:V27" si="2">SUM(Q5*0.12%)</f>
        <v>29240.272977600001</v>
      </c>
      <c r="W5" s="30">
        <v>155.72999999999999</v>
      </c>
      <c r="X5" s="35">
        <f t="shared" ref="X5:X27" si="3">SUM(V5*W5)</f>
        <v>4553587.710801648</v>
      </c>
      <c r="Y5" s="39">
        <v>0</v>
      </c>
      <c r="Z5" s="30"/>
      <c r="AA5" s="30"/>
    </row>
    <row r="6" spans="2:27" ht="19.5" customHeight="1">
      <c r="B6" s="29">
        <f t="shared" ref="B6:B21" si="4">B5+1</f>
        <v>2</v>
      </c>
      <c r="C6" s="11" t="s">
        <v>172</v>
      </c>
      <c r="D6" s="31" t="s">
        <v>159</v>
      </c>
      <c r="E6" s="32"/>
      <c r="F6" s="33" t="s">
        <v>173</v>
      </c>
      <c r="G6" s="11" t="s">
        <v>34</v>
      </c>
      <c r="H6" s="11" t="s">
        <v>39</v>
      </c>
      <c r="I6" s="11" t="s">
        <v>44</v>
      </c>
      <c r="J6" s="34">
        <v>801.22</v>
      </c>
      <c r="K6" s="32">
        <v>41731</v>
      </c>
      <c r="L6" s="11" t="s">
        <v>169</v>
      </c>
      <c r="M6" s="11" t="s">
        <v>35</v>
      </c>
      <c r="N6" s="11" t="s">
        <v>158</v>
      </c>
      <c r="O6" s="14" t="s">
        <v>168</v>
      </c>
      <c r="P6" s="13">
        <v>24000</v>
      </c>
      <c r="Q6" s="35">
        <f t="shared" si="0"/>
        <v>2575464</v>
      </c>
      <c r="R6" s="36" t="s">
        <v>28</v>
      </c>
      <c r="S6" s="7">
        <v>107.31100000000001</v>
      </c>
      <c r="T6" s="37">
        <f t="shared" si="1"/>
        <v>41820</v>
      </c>
      <c r="U6" s="14" t="s">
        <v>34</v>
      </c>
      <c r="V6" s="38">
        <f t="shared" si="2"/>
        <v>3090.5567999999998</v>
      </c>
      <c r="W6" s="30">
        <v>155.72999999999999</v>
      </c>
      <c r="X6" s="35">
        <f t="shared" si="3"/>
        <v>481292.41046399996</v>
      </c>
      <c r="Y6" s="39">
        <v>0</v>
      </c>
      <c r="Z6" s="30"/>
      <c r="AA6" s="30"/>
    </row>
    <row r="7" spans="2:27" ht="19.5" customHeight="1">
      <c r="B7" s="29">
        <f t="shared" si="4"/>
        <v>3</v>
      </c>
      <c r="C7" s="11" t="s">
        <v>174</v>
      </c>
      <c r="D7" s="31" t="s">
        <v>159</v>
      </c>
      <c r="E7" s="32"/>
      <c r="F7" s="33" t="s">
        <v>175</v>
      </c>
      <c r="G7" s="11" t="s">
        <v>34</v>
      </c>
      <c r="H7" s="11" t="s">
        <v>39</v>
      </c>
      <c r="I7" s="11" t="s">
        <v>44</v>
      </c>
      <c r="J7" s="34">
        <v>801.22</v>
      </c>
      <c r="K7" s="32">
        <v>41731</v>
      </c>
      <c r="L7" s="11" t="s">
        <v>169</v>
      </c>
      <c r="M7" s="11" t="s">
        <v>35</v>
      </c>
      <c r="N7" s="11" t="s">
        <v>158</v>
      </c>
      <c r="O7" s="14" t="s">
        <v>168</v>
      </c>
      <c r="P7" s="13">
        <v>36000</v>
      </c>
      <c r="Q7" s="35">
        <f t="shared" si="0"/>
        <v>3863196.0000000005</v>
      </c>
      <c r="R7" s="36" t="s">
        <v>28</v>
      </c>
      <c r="S7" s="7">
        <v>107.31100000000001</v>
      </c>
      <c r="T7" s="37">
        <f t="shared" si="1"/>
        <v>41820</v>
      </c>
      <c r="U7" s="14" t="s">
        <v>34</v>
      </c>
      <c r="V7" s="38">
        <f t="shared" si="2"/>
        <v>4635.8352000000004</v>
      </c>
      <c r="W7" s="30">
        <v>155.72999999999999</v>
      </c>
      <c r="X7" s="35">
        <f t="shared" si="3"/>
        <v>721938.61569600005</v>
      </c>
      <c r="Y7" s="39">
        <v>0</v>
      </c>
      <c r="Z7" s="30"/>
      <c r="AA7" s="30"/>
    </row>
    <row r="8" spans="2:27" ht="19.5" customHeight="1">
      <c r="B8" s="29">
        <f t="shared" si="4"/>
        <v>4</v>
      </c>
      <c r="C8" s="11" t="s">
        <v>176</v>
      </c>
      <c r="D8" s="31" t="s">
        <v>159</v>
      </c>
      <c r="E8" s="32"/>
      <c r="F8" s="33" t="s">
        <v>177</v>
      </c>
      <c r="G8" s="11" t="s">
        <v>50</v>
      </c>
      <c r="H8" s="11" t="s">
        <v>39</v>
      </c>
      <c r="I8" s="11" t="s">
        <v>44</v>
      </c>
      <c r="J8" s="34">
        <v>801.22</v>
      </c>
      <c r="K8" s="32">
        <v>41731</v>
      </c>
      <c r="L8" s="11" t="s">
        <v>169</v>
      </c>
      <c r="M8" s="11" t="s">
        <v>35</v>
      </c>
      <c r="N8" s="11" t="s">
        <v>158</v>
      </c>
      <c r="O8" s="14" t="s">
        <v>168</v>
      </c>
      <c r="P8" s="13">
        <v>30000</v>
      </c>
      <c r="Q8" s="35">
        <f t="shared" si="0"/>
        <v>3219330</v>
      </c>
      <c r="R8" s="36" t="s">
        <v>28</v>
      </c>
      <c r="S8" s="7">
        <v>107.31100000000001</v>
      </c>
      <c r="T8" s="37">
        <f t="shared" si="1"/>
        <v>41820</v>
      </c>
      <c r="U8" s="14" t="s">
        <v>34</v>
      </c>
      <c r="V8" s="38">
        <f t="shared" si="2"/>
        <v>3863.1959999999995</v>
      </c>
      <c r="W8" s="30">
        <v>155.72999999999999</v>
      </c>
      <c r="X8" s="35">
        <f t="shared" si="3"/>
        <v>601615.51307999983</v>
      </c>
      <c r="Y8" s="39">
        <v>0</v>
      </c>
      <c r="Z8" s="30"/>
      <c r="AA8" s="30"/>
    </row>
    <row r="9" spans="2:27" ht="19.5" customHeight="1">
      <c r="B9" s="29">
        <f t="shared" si="4"/>
        <v>5</v>
      </c>
      <c r="C9" s="11" t="s">
        <v>178</v>
      </c>
      <c r="D9" s="31" t="s">
        <v>159</v>
      </c>
      <c r="E9" s="32"/>
      <c r="F9" s="33" t="s">
        <v>179</v>
      </c>
      <c r="G9" s="11" t="s">
        <v>43</v>
      </c>
      <c r="H9" s="11" t="s">
        <v>38</v>
      </c>
      <c r="I9" s="11" t="s">
        <v>44</v>
      </c>
      <c r="J9" s="34">
        <v>801.22</v>
      </c>
      <c r="K9" s="32">
        <v>41731</v>
      </c>
      <c r="L9" s="11" t="s">
        <v>169</v>
      </c>
      <c r="M9" s="11" t="s">
        <v>35</v>
      </c>
      <c r="N9" s="11" t="s">
        <v>158</v>
      </c>
      <c r="O9" s="14" t="s">
        <v>168</v>
      </c>
      <c r="P9" s="13">
        <v>110000</v>
      </c>
      <c r="Q9" s="35">
        <f t="shared" si="0"/>
        <v>11804210</v>
      </c>
      <c r="R9" s="36" t="s">
        <v>28</v>
      </c>
      <c r="S9" s="7">
        <v>107.31100000000001</v>
      </c>
      <c r="T9" s="37">
        <f t="shared" si="1"/>
        <v>41820</v>
      </c>
      <c r="U9" s="11" t="s">
        <v>165</v>
      </c>
      <c r="V9" s="38">
        <f t="shared" si="2"/>
        <v>14165.051999999998</v>
      </c>
      <c r="W9" s="30">
        <v>155.72999999999999</v>
      </c>
      <c r="X9" s="35">
        <f t="shared" si="3"/>
        <v>2205923.5479599996</v>
      </c>
      <c r="Y9" s="39">
        <v>0</v>
      </c>
      <c r="Z9" s="30"/>
      <c r="AA9" s="30"/>
    </row>
    <row r="10" spans="2:27" ht="19.5" customHeight="1">
      <c r="B10" s="29">
        <f t="shared" si="4"/>
        <v>6</v>
      </c>
      <c r="C10" s="11" t="s">
        <v>180</v>
      </c>
      <c r="D10" s="31" t="s">
        <v>159</v>
      </c>
      <c r="E10" s="32"/>
      <c r="F10" s="33" t="s">
        <v>181</v>
      </c>
      <c r="G10" s="11" t="s">
        <v>34</v>
      </c>
      <c r="H10" s="11" t="s">
        <v>148</v>
      </c>
      <c r="I10" s="11" t="s">
        <v>146</v>
      </c>
      <c r="J10" s="34">
        <v>801.22</v>
      </c>
      <c r="K10" s="32">
        <v>41733</v>
      </c>
      <c r="L10" s="11" t="s">
        <v>66</v>
      </c>
      <c r="M10" s="11" t="s">
        <v>147</v>
      </c>
      <c r="N10" s="11" t="s">
        <v>152</v>
      </c>
      <c r="O10" s="14" t="s">
        <v>153</v>
      </c>
      <c r="P10" s="13">
        <v>349060</v>
      </c>
      <c r="Q10" s="35">
        <f t="shared" si="0"/>
        <v>36712385.5</v>
      </c>
      <c r="R10" s="36" t="s">
        <v>28</v>
      </c>
      <c r="S10" s="7">
        <v>105.175</v>
      </c>
      <c r="T10" s="37">
        <f t="shared" si="1"/>
        <v>41822</v>
      </c>
      <c r="U10" s="14" t="s">
        <v>34</v>
      </c>
      <c r="V10" s="38">
        <f t="shared" si="2"/>
        <v>44054.862599999993</v>
      </c>
      <c r="W10" s="30">
        <v>155.72999999999999</v>
      </c>
      <c r="X10" s="35">
        <f t="shared" si="3"/>
        <v>6860663.7526979987</v>
      </c>
      <c r="Y10" s="39">
        <v>0</v>
      </c>
      <c r="Z10" s="30"/>
      <c r="AA10" s="30"/>
    </row>
    <row r="11" spans="2:27" ht="19.5" customHeight="1">
      <c r="B11" s="29">
        <f t="shared" si="4"/>
        <v>7</v>
      </c>
      <c r="C11" s="11" t="s">
        <v>117</v>
      </c>
      <c r="D11" s="32" t="s">
        <v>118</v>
      </c>
      <c r="E11" s="32">
        <v>41759</v>
      </c>
      <c r="F11" s="12" t="s">
        <v>119</v>
      </c>
      <c r="G11" s="11" t="s">
        <v>82</v>
      </c>
      <c r="H11" s="11" t="s">
        <v>83</v>
      </c>
      <c r="I11" s="11" t="s">
        <v>44</v>
      </c>
      <c r="J11" s="34">
        <v>801.22</v>
      </c>
      <c r="K11" s="32">
        <v>41734</v>
      </c>
      <c r="L11" s="11" t="s">
        <v>120</v>
      </c>
      <c r="M11" s="11" t="s">
        <v>35</v>
      </c>
      <c r="N11" s="11" t="s">
        <v>121</v>
      </c>
      <c r="O11" s="14" t="s">
        <v>122</v>
      </c>
      <c r="P11" s="13">
        <v>199536</v>
      </c>
      <c r="Q11" s="35">
        <f t="shared" si="0"/>
        <v>21475660.607999999</v>
      </c>
      <c r="R11" s="36" t="s">
        <v>28</v>
      </c>
      <c r="S11" s="7">
        <v>107.628</v>
      </c>
      <c r="T11" s="37">
        <f t="shared" si="1"/>
        <v>41823</v>
      </c>
      <c r="U11" s="11" t="s">
        <v>82</v>
      </c>
      <c r="V11" s="38">
        <f t="shared" si="2"/>
        <v>25770.792729599998</v>
      </c>
      <c r="W11" s="30">
        <v>155.72999999999999</v>
      </c>
      <c r="X11" s="35">
        <f t="shared" si="3"/>
        <v>4013285.5517806076</v>
      </c>
      <c r="Y11" s="40">
        <f t="shared" ref="Y11:Y15" si="5">X11</f>
        <v>4013285.5517806076</v>
      </c>
      <c r="Z11" s="30"/>
      <c r="AA11" s="30"/>
    </row>
    <row r="12" spans="2:27" ht="19.5" customHeight="1">
      <c r="B12" s="29">
        <f t="shared" si="4"/>
        <v>8</v>
      </c>
      <c r="C12" s="11" t="s">
        <v>123</v>
      </c>
      <c r="D12" s="32" t="s">
        <v>124</v>
      </c>
      <c r="E12" s="32">
        <v>41759</v>
      </c>
      <c r="F12" s="12" t="s">
        <v>125</v>
      </c>
      <c r="G12" s="11" t="s">
        <v>82</v>
      </c>
      <c r="H12" s="11" t="s">
        <v>83</v>
      </c>
      <c r="I12" s="11" t="s">
        <v>44</v>
      </c>
      <c r="J12" s="34">
        <v>801.22</v>
      </c>
      <c r="K12" s="32">
        <v>41734</v>
      </c>
      <c r="L12" s="11" t="s">
        <v>120</v>
      </c>
      <c r="M12" s="11" t="s">
        <v>35</v>
      </c>
      <c r="N12" s="11" t="s">
        <v>121</v>
      </c>
      <c r="O12" s="14" t="s">
        <v>122</v>
      </c>
      <c r="P12" s="13">
        <v>120000</v>
      </c>
      <c r="Q12" s="35">
        <f t="shared" si="0"/>
        <v>12915360</v>
      </c>
      <c r="R12" s="36" t="s">
        <v>28</v>
      </c>
      <c r="S12" s="54">
        <v>107.628</v>
      </c>
      <c r="T12" s="37">
        <f t="shared" si="1"/>
        <v>41823</v>
      </c>
      <c r="U12" s="11" t="s">
        <v>82</v>
      </c>
      <c r="V12" s="38">
        <f t="shared" si="2"/>
        <v>15498.431999999999</v>
      </c>
      <c r="W12" s="30">
        <v>155.72999999999999</v>
      </c>
      <c r="X12" s="35">
        <f t="shared" si="3"/>
        <v>2413570.8153599999</v>
      </c>
      <c r="Y12" s="40">
        <f t="shared" si="5"/>
        <v>2413570.8153599999</v>
      </c>
      <c r="Z12" s="30"/>
      <c r="AA12" s="30"/>
    </row>
    <row r="13" spans="2:27" ht="19.5" customHeight="1">
      <c r="B13" s="29">
        <f t="shared" si="4"/>
        <v>9</v>
      </c>
      <c r="C13" s="11" t="s">
        <v>126</v>
      </c>
      <c r="D13" s="32" t="s">
        <v>127</v>
      </c>
      <c r="E13" s="32">
        <v>41759</v>
      </c>
      <c r="F13" s="33" t="s">
        <v>128</v>
      </c>
      <c r="G13" s="11" t="s">
        <v>82</v>
      </c>
      <c r="H13" s="11" t="s">
        <v>83</v>
      </c>
      <c r="I13" s="11" t="s">
        <v>129</v>
      </c>
      <c r="J13" s="34">
        <v>801.22</v>
      </c>
      <c r="K13" s="32">
        <v>41742</v>
      </c>
      <c r="L13" s="11" t="s">
        <v>130</v>
      </c>
      <c r="M13" s="11" t="s">
        <v>131</v>
      </c>
      <c r="N13" s="11" t="s">
        <v>107</v>
      </c>
      <c r="O13" s="14" t="s">
        <v>40</v>
      </c>
      <c r="P13" s="13">
        <v>899774</v>
      </c>
      <c r="Q13" s="35">
        <f t="shared" si="0"/>
        <v>99304457.283999994</v>
      </c>
      <c r="R13" s="36" t="s">
        <v>28</v>
      </c>
      <c r="S13" s="54">
        <v>110.366</v>
      </c>
      <c r="T13" s="37">
        <f t="shared" si="1"/>
        <v>41831</v>
      </c>
      <c r="U13" s="11" t="s">
        <v>82</v>
      </c>
      <c r="V13" s="38">
        <f t="shared" si="2"/>
        <v>119165.34874079998</v>
      </c>
      <c r="W13" s="30">
        <v>155.72999999999999</v>
      </c>
      <c r="X13" s="35">
        <f t="shared" si="3"/>
        <v>18557619.759404778</v>
      </c>
      <c r="Y13" s="40">
        <f t="shared" si="5"/>
        <v>18557619.759404778</v>
      </c>
      <c r="Z13" s="30"/>
      <c r="AA13" s="30"/>
    </row>
    <row r="14" spans="2:27" ht="19.5" customHeight="1">
      <c r="B14" s="29">
        <f t="shared" si="4"/>
        <v>10</v>
      </c>
      <c r="C14" s="11" t="s">
        <v>132</v>
      </c>
      <c r="D14" s="32" t="s">
        <v>133</v>
      </c>
      <c r="E14" s="32">
        <v>41759</v>
      </c>
      <c r="F14" s="33" t="s">
        <v>134</v>
      </c>
      <c r="G14" s="11" t="s">
        <v>82</v>
      </c>
      <c r="H14" s="11" t="s">
        <v>83</v>
      </c>
      <c r="I14" s="11" t="s">
        <v>44</v>
      </c>
      <c r="J14" s="34">
        <v>801.22</v>
      </c>
      <c r="K14" s="32">
        <v>41742</v>
      </c>
      <c r="L14" s="11" t="s">
        <v>89</v>
      </c>
      <c r="M14" s="11" t="s">
        <v>35</v>
      </c>
      <c r="N14" s="11" t="s">
        <v>85</v>
      </c>
      <c r="O14" s="14" t="s">
        <v>135</v>
      </c>
      <c r="P14" s="13">
        <v>170000</v>
      </c>
      <c r="Q14" s="35">
        <f t="shared" si="0"/>
        <v>18685720</v>
      </c>
      <c r="R14" s="36" t="s">
        <v>28</v>
      </c>
      <c r="S14" s="54">
        <v>109.916</v>
      </c>
      <c r="T14" s="37">
        <f t="shared" si="1"/>
        <v>41831</v>
      </c>
      <c r="U14" s="11" t="s">
        <v>82</v>
      </c>
      <c r="V14" s="38">
        <f t="shared" si="2"/>
        <v>22422.863999999998</v>
      </c>
      <c r="W14" s="30">
        <v>155.72999999999999</v>
      </c>
      <c r="X14" s="35">
        <f t="shared" si="3"/>
        <v>3491912.6107199993</v>
      </c>
      <c r="Y14" s="40">
        <f t="shared" si="5"/>
        <v>3491912.6107199993</v>
      </c>
      <c r="Z14" s="30"/>
      <c r="AA14" s="30"/>
    </row>
    <row r="15" spans="2:27" ht="19.5" customHeight="1">
      <c r="B15" s="29">
        <f t="shared" si="4"/>
        <v>11</v>
      </c>
      <c r="C15" s="11" t="s">
        <v>136</v>
      </c>
      <c r="D15" s="32" t="s">
        <v>137</v>
      </c>
      <c r="E15" s="32">
        <v>41759</v>
      </c>
      <c r="F15" s="33" t="s">
        <v>138</v>
      </c>
      <c r="G15" s="11" t="s">
        <v>82</v>
      </c>
      <c r="H15" s="11" t="s">
        <v>83</v>
      </c>
      <c r="I15" s="11" t="s">
        <v>44</v>
      </c>
      <c r="J15" s="34">
        <v>801.22</v>
      </c>
      <c r="K15" s="32">
        <v>41742</v>
      </c>
      <c r="L15" s="11" t="s">
        <v>89</v>
      </c>
      <c r="M15" s="11" t="s">
        <v>35</v>
      </c>
      <c r="N15" s="11" t="s">
        <v>85</v>
      </c>
      <c r="O15" s="14" t="s">
        <v>135</v>
      </c>
      <c r="P15" s="13">
        <v>50000</v>
      </c>
      <c r="Q15" s="35">
        <f t="shared" si="0"/>
        <v>5495800</v>
      </c>
      <c r="R15" s="36" t="s">
        <v>28</v>
      </c>
      <c r="S15" s="54">
        <v>109.916</v>
      </c>
      <c r="T15" s="37">
        <f t="shared" si="1"/>
        <v>41831</v>
      </c>
      <c r="U15" s="11" t="s">
        <v>82</v>
      </c>
      <c r="V15" s="38">
        <f t="shared" si="2"/>
        <v>6594.9599999999991</v>
      </c>
      <c r="W15" s="30">
        <v>155.72999999999999</v>
      </c>
      <c r="X15" s="35">
        <f t="shared" si="3"/>
        <v>1027033.1207999998</v>
      </c>
      <c r="Y15" s="40">
        <f t="shared" si="5"/>
        <v>1027033.1207999998</v>
      </c>
      <c r="Z15" s="30"/>
      <c r="AA15" s="30"/>
    </row>
    <row r="16" spans="2:27" ht="19.5" customHeight="1">
      <c r="B16" s="29">
        <f t="shared" si="4"/>
        <v>12</v>
      </c>
      <c r="C16" s="11" t="s">
        <v>182</v>
      </c>
      <c r="D16" s="31" t="s">
        <v>159</v>
      </c>
      <c r="E16" s="32"/>
      <c r="F16" s="33" t="s">
        <v>183</v>
      </c>
      <c r="G16" s="11" t="s">
        <v>82</v>
      </c>
      <c r="H16" s="11" t="s">
        <v>83</v>
      </c>
      <c r="I16" s="11" t="s">
        <v>44</v>
      </c>
      <c r="J16" s="34">
        <v>801.22</v>
      </c>
      <c r="K16" s="32">
        <v>41742</v>
      </c>
      <c r="L16" s="11" t="s">
        <v>89</v>
      </c>
      <c r="M16" s="11" t="s">
        <v>35</v>
      </c>
      <c r="N16" s="11" t="s">
        <v>85</v>
      </c>
      <c r="O16" s="14" t="s">
        <v>135</v>
      </c>
      <c r="P16" s="13">
        <v>78386</v>
      </c>
      <c r="Q16" s="35">
        <f t="shared" si="0"/>
        <v>8615875.5759999994</v>
      </c>
      <c r="R16" s="36" t="s">
        <v>28</v>
      </c>
      <c r="S16" s="54">
        <v>109.916</v>
      </c>
      <c r="T16" s="37">
        <f t="shared" si="1"/>
        <v>41831</v>
      </c>
      <c r="U16" s="11" t="s">
        <v>82</v>
      </c>
      <c r="V16" s="38">
        <f t="shared" si="2"/>
        <v>10339.050691199998</v>
      </c>
      <c r="W16" s="30">
        <v>155.72999999999999</v>
      </c>
      <c r="X16" s="35">
        <f t="shared" si="3"/>
        <v>1610100.3641405755</v>
      </c>
      <c r="Y16" s="39">
        <v>0</v>
      </c>
      <c r="Z16" s="30"/>
      <c r="AA16" s="30"/>
    </row>
    <row r="17" spans="2:27" ht="21" customHeight="1">
      <c r="B17" s="29">
        <f t="shared" si="4"/>
        <v>13</v>
      </c>
      <c r="C17" s="11" t="s">
        <v>184</v>
      </c>
      <c r="D17" s="31" t="s">
        <v>159</v>
      </c>
      <c r="E17" s="32"/>
      <c r="F17" s="33" t="s">
        <v>185</v>
      </c>
      <c r="G17" s="11" t="s">
        <v>48</v>
      </c>
      <c r="H17" s="11" t="s">
        <v>51</v>
      </c>
      <c r="I17" s="11" t="s">
        <v>46</v>
      </c>
      <c r="J17" s="34">
        <v>801.22</v>
      </c>
      <c r="K17" s="32">
        <v>41743</v>
      </c>
      <c r="L17" s="11" t="s">
        <v>186</v>
      </c>
      <c r="M17" s="11" t="s">
        <v>47</v>
      </c>
      <c r="N17" s="11" t="s">
        <v>32</v>
      </c>
      <c r="O17" s="14" t="s">
        <v>187</v>
      </c>
      <c r="P17" s="13">
        <v>649457</v>
      </c>
      <c r="Q17" s="35">
        <f t="shared" si="0"/>
        <v>66604413.178000003</v>
      </c>
      <c r="R17" s="36" t="s">
        <v>28</v>
      </c>
      <c r="S17" s="54">
        <v>102.554</v>
      </c>
      <c r="T17" s="37">
        <f t="shared" si="1"/>
        <v>41832</v>
      </c>
      <c r="U17" s="11" t="s">
        <v>48</v>
      </c>
      <c r="V17" s="38">
        <f t="shared" si="2"/>
        <v>79925.295813599994</v>
      </c>
      <c r="W17" s="30">
        <v>155.72999999999999</v>
      </c>
      <c r="X17" s="35">
        <f t="shared" si="3"/>
        <v>12446766.317051927</v>
      </c>
      <c r="Y17" s="39">
        <v>0</v>
      </c>
      <c r="Z17" s="30"/>
      <c r="AA17" s="30"/>
    </row>
    <row r="18" spans="2:27" ht="20.25" customHeight="1">
      <c r="B18" s="29">
        <f t="shared" si="4"/>
        <v>14</v>
      </c>
      <c r="C18" s="11" t="s">
        <v>188</v>
      </c>
      <c r="D18" s="31" t="s">
        <v>159</v>
      </c>
      <c r="E18" s="32"/>
      <c r="F18" s="33" t="s">
        <v>189</v>
      </c>
      <c r="G18" s="11" t="s">
        <v>45</v>
      </c>
      <c r="H18" s="11" t="s">
        <v>151</v>
      </c>
      <c r="I18" s="11" t="s">
        <v>44</v>
      </c>
      <c r="J18" s="34">
        <v>801.22</v>
      </c>
      <c r="K18" s="32">
        <v>41747</v>
      </c>
      <c r="L18" s="11" t="s">
        <v>166</v>
      </c>
      <c r="M18" s="11" t="s">
        <v>35</v>
      </c>
      <c r="N18" s="11" t="s">
        <v>152</v>
      </c>
      <c r="O18" s="14" t="s">
        <v>161</v>
      </c>
      <c r="P18" s="41">
        <v>345399</v>
      </c>
      <c r="Q18" s="35">
        <f t="shared" si="0"/>
        <v>38354210.2368</v>
      </c>
      <c r="R18" s="36" t="s">
        <v>28</v>
      </c>
      <c r="S18" s="7">
        <v>111.0432</v>
      </c>
      <c r="T18" s="37">
        <f t="shared" si="1"/>
        <v>41836</v>
      </c>
      <c r="U18" s="14" t="s">
        <v>33</v>
      </c>
      <c r="V18" s="38">
        <f t="shared" si="2"/>
        <v>46025.052284159996</v>
      </c>
      <c r="W18" s="30">
        <v>155.72999999999999</v>
      </c>
      <c r="X18" s="35">
        <f t="shared" si="3"/>
        <v>7167481.3922122354</v>
      </c>
      <c r="Y18" s="39">
        <v>0</v>
      </c>
      <c r="Z18" s="30"/>
      <c r="AA18" s="30"/>
    </row>
    <row r="19" spans="2:27" ht="20.25" customHeight="1">
      <c r="B19" s="29">
        <f t="shared" si="4"/>
        <v>15</v>
      </c>
      <c r="C19" s="11" t="s">
        <v>190</v>
      </c>
      <c r="D19" s="31" t="s">
        <v>159</v>
      </c>
      <c r="E19" s="32"/>
      <c r="F19" s="33" t="s">
        <v>191</v>
      </c>
      <c r="G19" s="11" t="s">
        <v>164</v>
      </c>
      <c r="H19" s="11" t="s">
        <v>149</v>
      </c>
      <c r="I19" s="11" t="s">
        <v>44</v>
      </c>
      <c r="J19" s="34">
        <v>801.22</v>
      </c>
      <c r="K19" s="32">
        <v>41747</v>
      </c>
      <c r="L19" s="11" t="s">
        <v>166</v>
      </c>
      <c r="M19" s="11" t="s">
        <v>35</v>
      </c>
      <c r="N19" s="11" t="s">
        <v>152</v>
      </c>
      <c r="O19" s="14" t="s">
        <v>161</v>
      </c>
      <c r="P19" s="41">
        <v>80000</v>
      </c>
      <c r="Q19" s="35">
        <f t="shared" si="0"/>
        <v>8883456</v>
      </c>
      <c r="R19" s="36" t="s">
        <v>28</v>
      </c>
      <c r="S19" s="7">
        <v>111.0432</v>
      </c>
      <c r="T19" s="37">
        <f t="shared" si="1"/>
        <v>41836</v>
      </c>
      <c r="U19" s="14" t="s">
        <v>33</v>
      </c>
      <c r="V19" s="38">
        <f t="shared" si="2"/>
        <v>10660.147199999999</v>
      </c>
      <c r="W19" s="30">
        <v>155.72999999999999</v>
      </c>
      <c r="X19" s="35">
        <f t="shared" si="3"/>
        <v>1660104.7234559997</v>
      </c>
      <c r="Y19" s="39">
        <v>0</v>
      </c>
      <c r="Z19" s="30"/>
      <c r="AA19" s="30"/>
    </row>
    <row r="20" spans="2:27" ht="20.25" customHeight="1">
      <c r="B20" s="29">
        <f t="shared" si="4"/>
        <v>16</v>
      </c>
      <c r="C20" s="11" t="s">
        <v>192</v>
      </c>
      <c r="D20" s="31" t="s">
        <v>159</v>
      </c>
      <c r="E20" s="32"/>
      <c r="F20" s="33" t="s">
        <v>193</v>
      </c>
      <c r="G20" s="11" t="s">
        <v>48</v>
      </c>
      <c r="H20" s="11" t="s">
        <v>156</v>
      </c>
      <c r="I20" s="11" t="s">
        <v>44</v>
      </c>
      <c r="J20" s="34">
        <v>801.22</v>
      </c>
      <c r="K20" s="32">
        <v>41747</v>
      </c>
      <c r="L20" s="11" t="s">
        <v>166</v>
      </c>
      <c r="M20" s="11" t="s">
        <v>35</v>
      </c>
      <c r="N20" s="11" t="s">
        <v>152</v>
      </c>
      <c r="O20" s="14" t="s">
        <v>161</v>
      </c>
      <c r="P20" s="41">
        <v>304000</v>
      </c>
      <c r="Q20" s="35">
        <f t="shared" si="0"/>
        <v>33757132.799999997</v>
      </c>
      <c r="R20" s="36" t="s">
        <v>28</v>
      </c>
      <c r="S20" s="7">
        <v>111.0432</v>
      </c>
      <c r="T20" s="37">
        <f t="shared" si="1"/>
        <v>41836</v>
      </c>
      <c r="U20" s="14" t="s">
        <v>33</v>
      </c>
      <c r="V20" s="38">
        <f t="shared" si="2"/>
        <v>40508.559359999992</v>
      </c>
      <c r="W20" s="30">
        <v>155.72999999999999</v>
      </c>
      <c r="X20" s="35">
        <f t="shared" si="3"/>
        <v>6308397.9491327982</v>
      </c>
      <c r="Y20" s="39">
        <v>0</v>
      </c>
      <c r="Z20" s="30"/>
      <c r="AA20" s="30"/>
    </row>
    <row r="21" spans="2:27" ht="20.25" customHeight="1">
      <c r="B21" s="29">
        <f t="shared" si="4"/>
        <v>17</v>
      </c>
      <c r="C21" s="11" t="s">
        <v>194</v>
      </c>
      <c r="D21" s="31" t="s">
        <v>159</v>
      </c>
      <c r="E21" s="32"/>
      <c r="F21" s="33" t="s">
        <v>195</v>
      </c>
      <c r="G21" s="11" t="s">
        <v>34</v>
      </c>
      <c r="H21" s="11" t="s">
        <v>39</v>
      </c>
      <c r="I21" s="11" t="s">
        <v>44</v>
      </c>
      <c r="J21" s="34">
        <v>801.22</v>
      </c>
      <c r="K21" s="32">
        <v>41747</v>
      </c>
      <c r="L21" s="11" t="s">
        <v>166</v>
      </c>
      <c r="M21" s="11" t="s">
        <v>35</v>
      </c>
      <c r="N21" s="11" t="s">
        <v>152</v>
      </c>
      <c r="O21" s="14" t="s">
        <v>161</v>
      </c>
      <c r="P21" s="41">
        <v>25000</v>
      </c>
      <c r="Q21" s="35">
        <f t="shared" si="0"/>
        <v>2776080</v>
      </c>
      <c r="R21" s="36" t="s">
        <v>28</v>
      </c>
      <c r="S21" s="7">
        <v>111.0432</v>
      </c>
      <c r="T21" s="37">
        <f t="shared" si="1"/>
        <v>41836</v>
      </c>
      <c r="U21" s="14" t="s">
        <v>34</v>
      </c>
      <c r="V21" s="38">
        <f t="shared" si="2"/>
        <v>3331.2959999999998</v>
      </c>
      <c r="W21" s="30">
        <v>155.72999999999999</v>
      </c>
      <c r="X21" s="35">
        <f t="shared" si="3"/>
        <v>518782.72607999993</v>
      </c>
      <c r="Y21" s="39">
        <v>0</v>
      </c>
      <c r="Z21" s="30"/>
      <c r="AA21" s="30"/>
    </row>
    <row r="22" spans="2:27" ht="20.25" customHeight="1">
      <c r="B22" s="29">
        <f t="shared" ref="B22:B27" si="6">B21+1</f>
        <v>18</v>
      </c>
      <c r="C22" s="11" t="s">
        <v>196</v>
      </c>
      <c r="D22" s="31" t="s">
        <v>159</v>
      </c>
      <c r="E22" s="32"/>
      <c r="F22" s="33" t="s">
        <v>197</v>
      </c>
      <c r="G22" s="11" t="s">
        <v>34</v>
      </c>
      <c r="H22" s="11" t="s">
        <v>39</v>
      </c>
      <c r="I22" s="11" t="s">
        <v>44</v>
      </c>
      <c r="J22" s="34">
        <v>801.22</v>
      </c>
      <c r="K22" s="32">
        <v>41747</v>
      </c>
      <c r="L22" s="11" t="s">
        <v>166</v>
      </c>
      <c r="M22" s="11" t="s">
        <v>35</v>
      </c>
      <c r="N22" s="11" t="s">
        <v>152</v>
      </c>
      <c r="O22" s="14" t="s">
        <v>161</v>
      </c>
      <c r="P22" s="41">
        <v>37000</v>
      </c>
      <c r="Q22" s="35">
        <f t="shared" si="0"/>
        <v>4108598.4</v>
      </c>
      <c r="R22" s="36" t="s">
        <v>28</v>
      </c>
      <c r="S22" s="7">
        <v>111.0432</v>
      </c>
      <c r="T22" s="37">
        <f t="shared" ref="T22:T27" si="7">SUM(K22)+89</f>
        <v>41836</v>
      </c>
      <c r="U22" s="14" t="s">
        <v>34</v>
      </c>
      <c r="V22" s="38">
        <f t="shared" si="2"/>
        <v>4930.3180799999991</v>
      </c>
      <c r="W22" s="30">
        <v>155.72999999999999</v>
      </c>
      <c r="X22" s="35">
        <f t="shared" si="3"/>
        <v>767798.43459839979</v>
      </c>
      <c r="Y22" s="39">
        <v>0</v>
      </c>
      <c r="Z22" s="30"/>
      <c r="AA22" s="30"/>
    </row>
    <row r="23" spans="2:27" ht="20.25" customHeight="1">
      <c r="B23" s="29">
        <f t="shared" si="6"/>
        <v>19</v>
      </c>
      <c r="C23" s="11" t="s">
        <v>198</v>
      </c>
      <c r="D23" s="31" t="s">
        <v>159</v>
      </c>
      <c r="E23" s="32"/>
      <c r="F23" s="33" t="s">
        <v>199</v>
      </c>
      <c r="G23" s="11" t="s">
        <v>43</v>
      </c>
      <c r="H23" s="11" t="s">
        <v>38</v>
      </c>
      <c r="I23" s="11" t="s">
        <v>44</v>
      </c>
      <c r="J23" s="34">
        <v>801.22</v>
      </c>
      <c r="K23" s="32">
        <v>41747</v>
      </c>
      <c r="L23" s="11" t="s">
        <v>166</v>
      </c>
      <c r="M23" s="11" t="s">
        <v>35</v>
      </c>
      <c r="N23" s="11" t="s">
        <v>152</v>
      </c>
      <c r="O23" s="14" t="s">
        <v>161</v>
      </c>
      <c r="P23" s="41">
        <v>178000</v>
      </c>
      <c r="Q23" s="35">
        <f t="shared" si="0"/>
        <v>19765689.600000001</v>
      </c>
      <c r="R23" s="36" t="s">
        <v>28</v>
      </c>
      <c r="S23" s="7">
        <v>111.0432</v>
      </c>
      <c r="T23" s="37">
        <f t="shared" si="7"/>
        <v>41836</v>
      </c>
      <c r="U23" s="11" t="s">
        <v>165</v>
      </c>
      <c r="V23" s="38">
        <f t="shared" si="2"/>
        <v>23718.827519999999</v>
      </c>
      <c r="W23" s="30">
        <v>155.72999999999999</v>
      </c>
      <c r="X23" s="35">
        <f t="shared" si="3"/>
        <v>3693733.0096895997</v>
      </c>
      <c r="Y23" s="39">
        <v>0</v>
      </c>
      <c r="Z23" s="30"/>
      <c r="AA23" s="30"/>
    </row>
    <row r="24" spans="2:27" ht="20.25" customHeight="1">
      <c r="B24" s="29">
        <f t="shared" si="6"/>
        <v>20</v>
      </c>
      <c r="C24" s="11" t="s">
        <v>200</v>
      </c>
      <c r="D24" s="31" t="s">
        <v>159</v>
      </c>
      <c r="E24" s="32"/>
      <c r="F24" s="33" t="s">
        <v>201</v>
      </c>
      <c r="G24" s="11" t="s">
        <v>150</v>
      </c>
      <c r="H24" s="11" t="s">
        <v>160</v>
      </c>
      <c r="I24" s="11" t="s">
        <v>154</v>
      </c>
      <c r="J24" s="34">
        <v>801.22</v>
      </c>
      <c r="K24" s="32">
        <v>41749</v>
      </c>
      <c r="L24" s="11" t="s">
        <v>167</v>
      </c>
      <c r="M24" s="11" t="s">
        <v>155</v>
      </c>
      <c r="N24" s="11" t="s">
        <v>94</v>
      </c>
      <c r="O24" s="14" t="s">
        <v>112</v>
      </c>
      <c r="P24" s="13">
        <v>153776</v>
      </c>
      <c r="Q24" s="35">
        <f t="shared" si="0"/>
        <v>16977331.728</v>
      </c>
      <c r="R24" s="36" t="s">
        <v>28</v>
      </c>
      <c r="S24" s="54">
        <v>110.40300000000001</v>
      </c>
      <c r="T24" s="37">
        <f t="shared" si="7"/>
        <v>41838</v>
      </c>
      <c r="U24" s="11" t="s">
        <v>150</v>
      </c>
      <c r="V24" s="38">
        <f t="shared" si="2"/>
        <v>20372.798073599999</v>
      </c>
      <c r="W24" s="30">
        <v>155.72999999999999</v>
      </c>
      <c r="X24" s="35">
        <f t="shared" si="3"/>
        <v>3172655.8440017276</v>
      </c>
      <c r="Y24" s="39">
        <v>0</v>
      </c>
      <c r="Z24" s="30"/>
      <c r="AA24" s="30"/>
    </row>
    <row r="25" spans="2:27" ht="20.25" customHeight="1">
      <c r="B25" s="29">
        <f t="shared" si="6"/>
        <v>21</v>
      </c>
      <c r="C25" s="11" t="s">
        <v>202</v>
      </c>
      <c r="D25" s="31" t="s">
        <v>159</v>
      </c>
      <c r="E25" s="32"/>
      <c r="F25" s="33" t="s">
        <v>203</v>
      </c>
      <c r="G25" s="11" t="s">
        <v>48</v>
      </c>
      <c r="H25" s="11" t="s">
        <v>29</v>
      </c>
      <c r="I25" s="11" t="s">
        <v>30</v>
      </c>
      <c r="J25" s="34">
        <v>801.22</v>
      </c>
      <c r="K25" s="32">
        <v>41750</v>
      </c>
      <c r="L25" s="11" t="s">
        <v>162</v>
      </c>
      <c r="M25" s="11" t="s">
        <v>31</v>
      </c>
      <c r="N25" s="11" t="s">
        <v>32</v>
      </c>
      <c r="O25" s="14" t="s">
        <v>157</v>
      </c>
      <c r="P25" s="41">
        <v>950596</v>
      </c>
      <c r="Q25" s="35">
        <f t="shared" si="0"/>
        <v>105597146.7792</v>
      </c>
      <c r="R25" s="36" t="s">
        <v>28</v>
      </c>
      <c r="S25" s="54">
        <v>111.0852</v>
      </c>
      <c r="T25" s="37">
        <f t="shared" si="7"/>
        <v>41839</v>
      </c>
      <c r="U25" s="14" t="s">
        <v>33</v>
      </c>
      <c r="V25" s="38">
        <f t="shared" si="2"/>
        <v>126716.57613504</v>
      </c>
      <c r="W25" s="30">
        <v>155.72999999999999</v>
      </c>
      <c r="X25" s="35">
        <f t="shared" si="3"/>
        <v>19733572.401509777</v>
      </c>
      <c r="Y25" s="39">
        <v>0</v>
      </c>
      <c r="Z25" s="30"/>
      <c r="AA25" s="30"/>
    </row>
    <row r="26" spans="2:27" ht="20.25" customHeight="1">
      <c r="B26" s="29">
        <f t="shared" si="6"/>
        <v>22</v>
      </c>
      <c r="C26" s="11" t="s">
        <v>204</v>
      </c>
      <c r="D26" s="31" t="s">
        <v>159</v>
      </c>
      <c r="E26" s="32"/>
      <c r="F26" s="33" t="s">
        <v>205</v>
      </c>
      <c r="G26" s="11" t="s">
        <v>164</v>
      </c>
      <c r="H26" s="11" t="s">
        <v>145</v>
      </c>
      <c r="I26" s="11" t="s">
        <v>146</v>
      </c>
      <c r="J26" s="34">
        <v>801.22</v>
      </c>
      <c r="K26" s="32">
        <v>41754</v>
      </c>
      <c r="L26" s="11" t="s">
        <v>163</v>
      </c>
      <c r="M26" s="11" t="s">
        <v>147</v>
      </c>
      <c r="N26" s="11" t="s">
        <v>152</v>
      </c>
      <c r="O26" s="14" t="s">
        <v>153</v>
      </c>
      <c r="P26" s="41">
        <v>949194</v>
      </c>
      <c r="Q26" s="35">
        <f t="shared" si="0"/>
        <v>103645340.442</v>
      </c>
      <c r="R26" s="36" t="s">
        <v>28</v>
      </c>
      <c r="S26" s="54">
        <v>109.193</v>
      </c>
      <c r="T26" s="37">
        <f t="shared" si="7"/>
        <v>41843</v>
      </c>
      <c r="U26" s="11" t="s">
        <v>144</v>
      </c>
      <c r="V26" s="38">
        <f t="shared" si="2"/>
        <v>124374.40853039999</v>
      </c>
      <c r="W26" s="30">
        <v>155.72999999999999</v>
      </c>
      <c r="X26" s="35">
        <f t="shared" si="3"/>
        <v>19368826.64043919</v>
      </c>
      <c r="Y26" s="39">
        <v>0</v>
      </c>
      <c r="Z26" s="30"/>
      <c r="AA26" s="30"/>
    </row>
    <row r="27" spans="2:27" ht="24.75" customHeight="1" thickBot="1">
      <c r="B27" s="29">
        <f t="shared" si="6"/>
        <v>23</v>
      </c>
      <c r="C27" s="11" t="s">
        <v>139</v>
      </c>
      <c r="D27" s="32" t="s">
        <v>140</v>
      </c>
      <c r="E27" s="32">
        <v>41759</v>
      </c>
      <c r="F27" s="33" t="s">
        <v>141</v>
      </c>
      <c r="G27" s="11" t="s">
        <v>82</v>
      </c>
      <c r="H27" s="11" t="s">
        <v>83</v>
      </c>
      <c r="I27" s="11" t="s">
        <v>44</v>
      </c>
      <c r="J27" s="34">
        <v>801.22</v>
      </c>
      <c r="K27" s="32">
        <v>41758</v>
      </c>
      <c r="L27" s="11" t="s">
        <v>142</v>
      </c>
      <c r="M27" s="11" t="s">
        <v>35</v>
      </c>
      <c r="N27" s="11" t="s">
        <v>32</v>
      </c>
      <c r="O27" s="14" t="s">
        <v>143</v>
      </c>
      <c r="P27" s="42">
        <v>949719</v>
      </c>
      <c r="Q27" s="43">
        <f t="shared" si="0"/>
        <v>105507132.867</v>
      </c>
      <c r="R27" s="36" t="s">
        <v>28</v>
      </c>
      <c r="S27" s="54">
        <v>111.093</v>
      </c>
      <c r="T27" s="37">
        <f t="shared" si="7"/>
        <v>41847</v>
      </c>
      <c r="U27" s="11" t="s">
        <v>82</v>
      </c>
      <c r="V27" s="44">
        <f t="shared" si="2"/>
        <v>126608.55944039999</v>
      </c>
      <c r="W27" s="30">
        <v>155.72999999999999</v>
      </c>
      <c r="X27" s="43">
        <f t="shared" si="3"/>
        <v>19716750.96165349</v>
      </c>
      <c r="Y27" s="40">
        <f t="shared" ref="Y27" si="8">X27</f>
        <v>19716750.96165349</v>
      </c>
      <c r="Z27" s="30"/>
      <c r="AA27" s="30"/>
    </row>
    <row r="28" spans="2:27" ht="15.75" thickBot="1">
      <c r="P28" s="45">
        <f>SUM(P5:P27)</f>
        <v>6915965</v>
      </c>
      <c r="Q28" s="46">
        <f>SUM(Q5:Q27)</f>
        <v>755010885.14700007</v>
      </c>
      <c r="R28" s="47"/>
      <c r="S28" s="48"/>
      <c r="T28" s="49"/>
      <c r="U28" s="50"/>
      <c r="V28" s="46">
        <f>SUM(V5:V27)</f>
        <v>906013.06217639998</v>
      </c>
      <c r="W28" s="47"/>
      <c r="X28" s="46">
        <f>SUM(X5:X27)</f>
        <v>141093414.17273077</v>
      </c>
      <c r="Y28" s="51">
        <f>SUM(Y5:Y27)</f>
        <v>49220172.819718875</v>
      </c>
    </row>
    <row r="38" spans="3:3">
      <c r="C38" s="79"/>
    </row>
    <row r="39" spans="3:3">
      <c r="C39" s="79"/>
    </row>
    <row r="40" spans="3:3">
      <c r="C40" s="80"/>
    </row>
    <row r="41" spans="3:3">
      <c r="C41" s="79"/>
    </row>
  </sheetData>
  <pageMargins left="0" right="0" top="0" bottom="0" header="0.31496062992125984" footer="0"/>
  <pageSetup paperSize="8" orientation="landscape" r:id="rId1"/>
  <ignoredErrors>
    <ignoredError sqref="F6:F2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AB37"/>
  <sheetViews>
    <sheetView workbookViewId="0">
      <selection activeCell="C34" sqref="C34:C37"/>
    </sheetView>
  </sheetViews>
  <sheetFormatPr defaultRowHeight="15"/>
  <cols>
    <col min="1" max="1" width="3.7109375" customWidth="1"/>
    <col min="2" max="2" width="4.140625" customWidth="1"/>
    <col min="3" max="3" width="6.42578125" customWidth="1"/>
    <col min="4" max="4" width="8.85546875" style="3" customWidth="1"/>
    <col min="5" max="5" width="6" style="3" customWidth="1"/>
    <col min="6" max="6" width="10" style="3" customWidth="1"/>
    <col min="7" max="7" width="8.7109375" style="3" customWidth="1"/>
    <col min="8" max="8" width="8" style="3" customWidth="1"/>
    <col min="9" max="9" width="9.42578125" style="3" customWidth="1"/>
    <col min="10" max="10" width="6" customWidth="1"/>
    <col min="11" max="11" width="6.5703125" style="1" customWidth="1"/>
    <col min="12" max="12" width="9.140625" style="3" customWidth="1"/>
    <col min="13" max="13" width="5.5703125" style="1" customWidth="1"/>
    <col min="14" max="14" width="8" style="5" customWidth="1"/>
    <col min="15" max="15" width="9" style="6" customWidth="1"/>
    <col min="16" max="16" width="7.5703125" customWidth="1"/>
    <col min="17" max="17" width="11.42578125" customWidth="1"/>
    <col min="18" max="18" width="4.85546875" customWidth="1"/>
    <col min="19" max="19" width="6" style="9" customWidth="1"/>
    <col min="20" max="20" width="6.7109375" style="1" customWidth="1"/>
    <col min="21" max="21" width="7.5703125" style="3" customWidth="1"/>
    <col min="22" max="22" width="8.42578125" customWidth="1"/>
    <col min="23" max="23" width="5.28515625" customWidth="1"/>
    <col min="24" max="24" width="10.7109375" customWidth="1"/>
    <col min="25" max="25" width="10.85546875" customWidth="1"/>
    <col min="26" max="26" width="6.5703125" customWidth="1"/>
    <col min="27" max="27" width="7" customWidth="1"/>
  </cols>
  <sheetData>
    <row r="2" spans="2:28" ht="15.75">
      <c r="L2" s="4" t="s">
        <v>0</v>
      </c>
    </row>
    <row r="3" spans="2:28" ht="23.25" customHeight="1" thickBot="1">
      <c r="L3" s="4" t="s">
        <v>78</v>
      </c>
      <c r="P3" s="2"/>
    </row>
    <row r="4" spans="2:28" s="3" customFormat="1" ht="55.5" customHeight="1" thickBot="1">
      <c r="B4" s="23" t="s">
        <v>1</v>
      </c>
      <c r="C4" s="24" t="s">
        <v>2</v>
      </c>
      <c r="D4" s="24" t="s">
        <v>3</v>
      </c>
      <c r="E4" s="24" t="s">
        <v>4</v>
      </c>
      <c r="F4" s="25" t="s">
        <v>5</v>
      </c>
      <c r="G4" s="26" t="s">
        <v>6</v>
      </c>
      <c r="H4" s="24" t="s">
        <v>7</v>
      </c>
      <c r="I4" s="24" t="s">
        <v>8</v>
      </c>
      <c r="J4" s="24" t="s">
        <v>9</v>
      </c>
      <c r="K4" s="24" t="s">
        <v>10</v>
      </c>
      <c r="L4" s="24" t="s">
        <v>11</v>
      </c>
      <c r="M4" s="24" t="s">
        <v>12</v>
      </c>
      <c r="N4" s="24" t="s">
        <v>13</v>
      </c>
      <c r="O4" s="24" t="s">
        <v>14</v>
      </c>
      <c r="P4" s="24" t="s">
        <v>15</v>
      </c>
      <c r="Q4" s="24" t="s">
        <v>16</v>
      </c>
      <c r="R4" s="24" t="s">
        <v>17</v>
      </c>
      <c r="S4" s="27" t="s">
        <v>18</v>
      </c>
      <c r="T4" s="24" t="s">
        <v>19</v>
      </c>
      <c r="U4" s="24" t="s">
        <v>20</v>
      </c>
      <c r="V4" s="24" t="s">
        <v>21</v>
      </c>
      <c r="W4" s="24" t="s">
        <v>22</v>
      </c>
      <c r="X4" s="24" t="s">
        <v>23</v>
      </c>
      <c r="Y4" s="24" t="s">
        <v>24</v>
      </c>
      <c r="Z4" s="24" t="s">
        <v>25</v>
      </c>
      <c r="AA4" s="24" t="s">
        <v>26</v>
      </c>
      <c r="AB4" s="63" t="s">
        <v>209</v>
      </c>
    </row>
    <row r="5" spans="2:28" ht="20.25" customHeight="1">
      <c r="B5" s="65">
        <v>1</v>
      </c>
      <c r="C5" s="66" t="s">
        <v>54</v>
      </c>
      <c r="D5" s="67" t="s">
        <v>72</v>
      </c>
      <c r="E5" s="52">
        <v>41743</v>
      </c>
      <c r="F5" s="53" t="s">
        <v>55</v>
      </c>
      <c r="G5" s="66" t="s">
        <v>48</v>
      </c>
      <c r="H5" s="66" t="s">
        <v>29</v>
      </c>
      <c r="I5" s="66" t="s">
        <v>30</v>
      </c>
      <c r="J5" s="68">
        <v>801.22</v>
      </c>
      <c r="K5" s="52">
        <v>41665</v>
      </c>
      <c r="L5" s="66" t="s">
        <v>42</v>
      </c>
      <c r="M5" s="66" t="s">
        <v>31</v>
      </c>
      <c r="N5" s="66" t="s">
        <v>36</v>
      </c>
      <c r="O5" s="67" t="s">
        <v>40</v>
      </c>
      <c r="P5" s="69">
        <v>950131</v>
      </c>
      <c r="Q5" s="70">
        <f t="shared" ref="Q5:Q8" si="0">SUM(P5*S5)</f>
        <v>104211888.2896</v>
      </c>
      <c r="R5" s="71" t="s">
        <v>28</v>
      </c>
      <c r="S5" s="72">
        <v>109.6816</v>
      </c>
      <c r="T5" s="73">
        <f t="shared" ref="T5:T9" si="1">SUM(K5)+89</f>
        <v>41754</v>
      </c>
      <c r="U5" s="66" t="s">
        <v>33</v>
      </c>
      <c r="V5" s="74">
        <f t="shared" ref="V5:V9" si="2">SUM(Q5*0.12%)</f>
        <v>125054.26594751999</v>
      </c>
      <c r="W5" s="75">
        <v>155.75</v>
      </c>
      <c r="X5" s="70">
        <f t="shared" ref="X5:X9" si="3">SUM(V5*W5)</f>
        <v>19477201.921326239</v>
      </c>
      <c r="Y5" s="76">
        <v>19665658.699999999</v>
      </c>
      <c r="Z5" s="75" t="s">
        <v>73</v>
      </c>
      <c r="AA5" s="77">
        <v>9957</v>
      </c>
      <c r="AB5" s="78"/>
    </row>
    <row r="6" spans="2:28" ht="20.25" customHeight="1">
      <c r="B6" s="29">
        <f t="shared" ref="B6:B25" si="4">B5+1</f>
        <v>2</v>
      </c>
      <c r="C6" s="11" t="s">
        <v>58</v>
      </c>
      <c r="D6" s="14" t="s">
        <v>74</v>
      </c>
      <c r="E6" s="31">
        <v>41743</v>
      </c>
      <c r="F6" s="33" t="s">
        <v>59</v>
      </c>
      <c r="G6" s="56" t="s">
        <v>34</v>
      </c>
      <c r="H6" s="14" t="s">
        <v>39</v>
      </c>
      <c r="I6" s="14" t="s">
        <v>44</v>
      </c>
      <c r="J6" s="34">
        <v>801.22</v>
      </c>
      <c r="K6" s="32">
        <v>41677</v>
      </c>
      <c r="L6" s="11" t="s">
        <v>56</v>
      </c>
      <c r="M6" s="11" t="s">
        <v>35</v>
      </c>
      <c r="N6" s="11" t="s">
        <v>32</v>
      </c>
      <c r="O6" s="11" t="s">
        <v>57</v>
      </c>
      <c r="P6" s="13">
        <v>24000</v>
      </c>
      <c r="Q6" s="35">
        <f t="shared" si="0"/>
        <v>2640696</v>
      </c>
      <c r="R6" s="36" t="s">
        <v>28</v>
      </c>
      <c r="S6" s="10">
        <v>110.029</v>
      </c>
      <c r="T6" s="37">
        <f t="shared" si="1"/>
        <v>41766</v>
      </c>
      <c r="U6" s="14" t="s">
        <v>34</v>
      </c>
      <c r="V6" s="38">
        <f t="shared" si="2"/>
        <v>3168.8351999999995</v>
      </c>
      <c r="W6" s="30">
        <v>155.75</v>
      </c>
      <c r="X6" s="35">
        <f t="shared" si="3"/>
        <v>493546.08239999996</v>
      </c>
      <c r="Y6" s="40">
        <v>423546.08</v>
      </c>
      <c r="Z6" s="37">
        <v>41736</v>
      </c>
      <c r="AA6" s="55">
        <v>3584</v>
      </c>
      <c r="AB6" s="64"/>
    </row>
    <row r="7" spans="2:28" ht="20.25" customHeight="1">
      <c r="B7" s="29">
        <f t="shared" si="4"/>
        <v>3</v>
      </c>
      <c r="C7" s="11" t="s">
        <v>60</v>
      </c>
      <c r="D7" s="14" t="s">
        <v>75</v>
      </c>
      <c r="E7" s="31">
        <v>41743</v>
      </c>
      <c r="F7" s="33" t="s">
        <v>61</v>
      </c>
      <c r="G7" s="56" t="s">
        <v>34</v>
      </c>
      <c r="H7" s="14" t="s">
        <v>39</v>
      </c>
      <c r="I7" s="14" t="s">
        <v>44</v>
      </c>
      <c r="J7" s="34">
        <v>801.22</v>
      </c>
      <c r="K7" s="32">
        <v>41677</v>
      </c>
      <c r="L7" s="11" t="s">
        <v>56</v>
      </c>
      <c r="M7" s="11" t="s">
        <v>35</v>
      </c>
      <c r="N7" s="11" t="s">
        <v>32</v>
      </c>
      <c r="O7" s="11" t="s">
        <v>57</v>
      </c>
      <c r="P7" s="13">
        <v>36000</v>
      </c>
      <c r="Q7" s="35">
        <f t="shared" si="0"/>
        <v>3961044</v>
      </c>
      <c r="R7" s="36" t="s">
        <v>28</v>
      </c>
      <c r="S7" s="10">
        <v>110.029</v>
      </c>
      <c r="T7" s="37">
        <f t="shared" si="1"/>
        <v>41766</v>
      </c>
      <c r="U7" s="14" t="s">
        <v>34</v>
      </c>
      <c r="V7" s="38">
        <f t="shared" si="2"/>
        <v>4753.2527999999993</v>
      </c>
      <c r="W7" s="30">
        <v>155.75</v>
      </c>
      <c r="X7" s="35">
        <f t="shared" si="3"/>
        <v>740319.12359999993</v>
      </c>
      <c r="Y7" s="40">
        <v>740319.12</v>
      </c>
      <c r="Z7" s="37">
        <v>41736</v>
      </c>
      <c r="AA7" s="55">
        <v>3585</v>
      </c>
      <c r="AB7" s="64"/>
    </row>
    <row r="8" spans="2:28" ht="20.25" customHeight="1">
      <c r="B8" s="29">
        <f t="shared" si="4"/>
        <v>4</v>
      </c>
      <c r="C8" s="11" t="s">
        <v>62</v>
      </c>
      <c r="D8" s="14" t="s">
        <v>76</v>
      </c>
      <c r="E8" s="31">
        <v>41743</v>
      </c>
      <c r="F8" s="33" t="s">
        <v>63</v>
      </c>
      <c r="G8" s="14" t="s">
        <v>50</v>
      </c>
      <c r="H8" s="14" t="s">
        <v>39</v>
      </c>
      <c r="I8" s="14" t="s">
        <v>44</v>
      </c>
      <c r="J8" s="34">
        <v>801.22</v>
      </c>
      <c r="K8" s="32">
        <v>41677</v>
      </c>
      <c r="L8" s="11" t="s">
        <v>56</v>
      </c>
      <c r="M8" s="11" t="s">
        <v>35</v>
      </c>
      <c r="N8" s="11" t="s">
        <v>32</v>
      </c>
      <c r="O8" s="11" t="s">
        <v>57</v>
      </c>
      <c r="P8" s="13">
        <v>30000</v>
      </c>
      <c r="Q8" s="35">
        <f t="shared" si="0"/>
        <v>3300870</v>
      </c>
      <c r="R8" s="36" t="s">
        <v>28</v>
      </c>
      <c r="S8" s="10">
        <v>110.029</v>
      </c>
      <c r="T8" s="37">
        <f t="shared" si="1"/>
        <v>41766</v>
      </c>
      <c r="U8" s="14" t="s">
        <v>34</v>
      </c>
      <c r="V8" s="38">
        <f t="shared" si="2"/>
        <v>3961.0439999999999</v>
      </c>
      <c r="W8" s="30">
        <v>155.75</v>
      </c>
      <c r="X8" s="35">
        <f t="shared" si="3"/>
        <v>616932.603</v>
      </c>
      <c r="Y8" s="40">
        <v>616932.6</v>
      </c>
      <c r="Z8" s="37">
        <v>41736</v>
      </c>
      <c r="AA8" s="55">
        <v>3586</v>
      </c>
      <c r="AB8" s="64"/>
    </row>
    <row r="9" spans="2:28" ht="30.75" customHeight="1">
      <c r="B9" s="29">
        <f t="shared" si="4"/>
        <v>5</v>
      </c>
      <c r="C9" s="11" t="s">
        <v>67</v>
      </c>
      <c r="D9" s="31" t="s">
        <v>77</v>
      </c>
      <c r="E9" s="32">
        <v>41743</v>
      </c>
      <c r="F9" s="33" t="s">
        <v>65</v>
      </c>
      <c r="G9" s="11" t="s">
        <v>45</v>
      </c>
      <c r="H9" s="11" t="s">
        <v>51</v>
      </c>
      <c r="I9" s="11" t="s">
        <v>46</v>
      </c>
      <c r="J9" s="34">
        <v>801.22</v>
      </c>
      <c r="K9" s="32">
        <v>41718</v>
      </c>
      <c r="L9" s="11" t="s">
        <v>66</v>
      </c>
      <c r="M9" s="11" t="s">
        <v>47</v>
      </c>
      <c r="N9" s="11" t="s">
        <v>37</v>
      </c>
      <c r="O9" s="14" t="s">
        <v>49</v>
      </c>
      <c r="P9" s="13">
        <v>629594</v>
      </c>
      <c r="Q9" s="35">
        <f t="shared" ref="Q9" si="5">SUM(P9*S9)</f>
        <v>64634120.039999999</v>
      </c>
      <c r="R9" s="36" t="s">
        <v>28</v>
      </c>
      <c r="S9" s="7">
        <v>102.66</v>
      </c>
      <c r="T9" s="37">
        <f t="shared" si="1"/>
        <v>41807</v>
      </c>
      <c r="U9" s="11" t="s">
        <v>48</v>
      </c>
      <c r="V9" s="38">
        <f t="shared" si="2"/>
        <v>77560.94404799999</v>
      </c>
      <c r="W9" s="30">
        <v>155.74</v>
      </c>
      <c r="X9" s="35">
        <f t="shared" si="3"/>
        <v>12079341.42603552</v>
      </c>
      <c r="Y9" s="40">
        <v>12079340.800000001</v>
      </c>
      <c r="Z9" s="37">
        <v>41732</v>
      </c>
      <c r="AA9" s="55">
        <v>4091</v>
      </c>
      <c r="AB9" s="64"/>
    </row>
    <row r="10" spans="2:28" ht="28.5" customHeight="1">
      <c r="B10" s="29">
        <f t="shared" si="4"/>
        <v>6</v>
      </c>
      <c r="C10" s="11" t="s">
        <v>53</v>
      </c>
      <c r="D10" s="31" t="s">
        <v>70</v>
      </c>
      <c r="E10" s="52">
        <v>41744</v>
      </c>
      <c r="F10" s="53" t="s">
        <v>68</v>
      </c>
      <c r="G10" s="11" t="s">
        <v>43</v>
      </c>
      <c r="H10" s="11" t="s">
        <v>38</v>
      </c>
      <c r="I10" s="11" t="s">
        <v>44</v>
      </c>
      <c r="J10" s="34">
        <v>801.22</v>
      </c>
      <c r="K10" s="32">
        <v>41655</v>
      </c>
      <c r="L10" s="11" t="s">
        <v>52</v>
      </c>
      <c r="M10" s="11" t="s">
        <v>35</v>
      </c>
      <c r="N10" s="11" t="s">
        <v>27</v>
      </c>
      <c r="O10" s="14" t="s">
        <v>41</v>
      </c>
      <c r="P10" s="13">
        <v>216000</v>
      </c>
      <c r="Q10" s="35">
        <f>SUM(P10*S10)</f>
        <v>23663880</v>
      </c>
      <c r="R10" s="36" t="s">
        <v>28</v>
      </c>
      <c r="S10" s="8">
        <v>109.55500000000001</v>
      </c>
      <c r="T10" s="37">
        <f>SUM(K10)+89</f>
        <v>41744</v>
      </c>
      <c r="U10" s="11" t="s">
        <v>43</v>
      </c>
      <c r="V10" s="38">
        <f>SUM(Q10*0.12%)</f>
        <v>28396.655999999999</v>
      </c>
      <c r="W10" s="30">
        <v>155.75</v>
      </c>
      <c r="X10" s="35">
        <f>SUM(V10*W10)</f>
        <v>4422779.1720000003</v>
      </c>
      <c r="Y10" s="40">
        <v>4422779.17</v>
      </c>
      <c r="Z10" s="37">
        <v>41738</v>
      </c>
      <c r="AA10" s="55">
        <v>29503</v>
      </c>
      <c r="AB10" s="64"/>
    </row>
    <row r="11" spans="2:28" ht="25.5" customHeight="1">
      <c r="B11" s="29">
        <f t="shared" si="4"/>
        <v>7</v>
      </c>
      <c r="C11" s="11" t="s">
        <v>64</v>
      </c>
      <c r="D11" s="31" t="s">
        <v>71</v>
      </c>
      <c r="E11" s="52">
        <v>41744</v>
      </c>
      <c r="F11" s="53" t="s">
        <v>69</v>
      </c>
      <c r="G11" s="14" t="s">
        <v>43</v>
      </c>
      <c r="H11" s="14" t="s">
        <v>38</v>
      </c>
      <c r="I11" s="14" t="s">
        <v>44</v>
      </c>
      <c r="J11" s="34">
        <v>801.22</v>
      </c>
      <c r="K11" s="32">
        <v>41677</v>
      </c>
      <c r="L11" s="11" t="s">
        <v>56</v>
      </c>
      <c r="M11" s="11" t="s">
        <v>35</v>
      </c>
      <c r="N11" s="11" t="s">
        <v>32</v>
      </c>
      <c r="O11" s="11" t="s">
        <v>57</v>
      </c>
      <c r="P11" s="13">
        <v>110000</v>
      </c>
      <c r="Q11" s="35">
        <f>SUM(P11*S11)</f>
        <v>12125190</v>
      </c>
      <c r="R11" s="36" t="s">
        <v>28</v>
      </c>
      <c r="S11" s="8">
        <v>110.229</v>
      </c>
      <c r="T11" s="37">
        <f>SUM(K11)+89</f>
        <v>41766</v>
      </c>
      <c r="U11" s="14" t="s">
        <v>43</v>
      </c>
      <c r="V11" s="38">
        <f>SUM(Q11*0.12%)</f>
        <v>14550.227999999999</v>
      </c>
      <c r="W11" s="30">
        <v>155.75</v>
      </c>
      <c r="X11" s="35">
        <f>SUM(V11*W11)</f>
        <v>2266198.0109999999</v>
      </c>
      <c r="Y11" s="40">
        <v>2266198.0099999998</v>
      </c>
      <c r="Z11" s="37">
        <v>41738</v>
      </c>
      <c r="AA11" s="55">
        <v>29504</v>
      </c>
      <c r="AB11" s="64"/>
    </row>
    <row r="12" spans="2:28" ht="20.25" customHeight="1">
      <c r="B12" s="29">
        <f t="shared" si="4"/>
        <v>8</v>
      </c>
      <c r="C12" s="11" t="s">
        <v>79</v>
      </c>
      <c r="D12" s="31" t="s">
        <v>80</v>
      </c>
      <c r="E12" s="52">
        <v>41753</v>
      </c>
      <c r="F12" s="12" t="s">
        <v>81</v>
      </c>
      <c r="G12" s="14" t="s">
        <v>82</v>
      </c>
      <c r="H12" s="14" t="s">
        <v>83</v>
      </c>
      <c r="I12" s="14" t="s">
        <v>44</v>
      </c>
      <c r="J12" s="34">
        <v>801.22</v>
      </c>
      <c r="K12" s="32">
        <v>41690</v>
      </c>
      <c r="L12" s="11" t="s">
        <v>84</v>
      </c>
      <c r="M12" s="11" t="s">
        <v>35</v>
      </c>
      <c r="N12" s="11" t="s">
        <v>85</v>
      </c>
      <c r="O12" s="11" t="s">
        <v>86</v>
      </c>
      <c r="P12" s="13">
        <v>499863</v>
      </c>
      <c r="Q12" s="35">
        <f t="shared" ref="Q12:Q16" si="6">SUM(P12*S12)</f>
        <v>55397316.975000001</v>
      </c>
      <c r="R12" s="36" t="s">
        <v>28</v>
      </c>
      <c r="S12" s="54">
        <v>110.825</v>
      </c>
      <c r="T12" s="37">
        <f t="shared" ref="T12:T16" si="7">SUM(K12)+89</f>
        <v>41779</v>
      </c>
      <c r="U12" s="14" t="s">
        <v>82</v>
      </c>
      <c r="V12" s="38">
        <f t="shared" ref="V12:V19" si="8">SUM(Q12*0.12%)</f>
        <v>66476.780369999993</v>
      </c>
      <c r="W12" s="30">
        <v>155.75</v>
      </c>
      <c r="X12" s="35">
        <f t="shared" ref="X12:X16" si="9">SUM(V12*W12)</f>
        <v>10353758.542627499</v>
      </c>
      <c r="Y12" s="40">
        <f t="shared" ref="Y12:Y16" si="10">X12</f>
        <v>10353758.542627499</v>
      </c>
      <c r="Z12" s="30"/>
      <c r="AA12" s="30"/>
      <c r="AB12" s="81" t="s">
        <v>208</v>
      </c>
    </row>
    <row r="13" spans="2:28" ht="20.25" customHeight="1">
      <c r="B13" s="29">
        <f t="shared" si="4"/>
        <v>9</v>
      </c>
      <c r="C13" s="11" t="s">
        <v>87</v>
      </c>
      <c r="D13" s="31" t="s">
        <v>80</v>
      </c>
      <c r="E13" s="52">
        <v>41753</v>
      </c>
      <c r="F13" s="12" t="s">
        <v>88</v>
      </c>
      <c r="G13" s="14" t="s">
        <v>82</v>
      </c>
      <c r="H13" s="14" t="s">
        <v>83</v>
      </c>
      <c r="I13" s="14" t="s">
        <v>44</v>
      </c>
      <c r="J13" s="34">
        <v>801.22</v>
      </c>
      <c r="K13" s="32">
        <v>41693</v>
      </c>
      <c r="L13" s="11" t="s">
        <v>89</v>
      </c>
      <c r="M13" s="11" t="s">
        <v>35</v>
      </c>
      <c r="N13" s="11" t="s">
        <v>85</v>
      </c>
      <c r="O13" s="11" t="s">
        <v>86</v>
      </c>
      <c r="P13" s="13">
        <v>421023</v>
      </c>
      <c r="Q13" s="35">
        <f t="shared" si="6"/>
        <v>46563038.685000002</v>
      </c>
      <c r="R13" s="36" t="s">
        <v>28</v>
      </c>
      <c r="S13" s="7">
        <v>110.595</v>
      </c>
      <c r="T13" s="37">
        <f t="shared" si="7"/>
        <v>41782</v>
      </c>
      <c r="U13" s="14" t="s">
        <v>82</v>
      </c>
      <c r="V13" s="38">
        <f t="shared" si="8"/>
        <v>55875.646421999998</v>
      </c>
      <c r="W13" s="30">
        <v>155.75</v>
      </c>
      <c r="X13" s="35">
        <f t="shared" si="9"/>
        <v>8702631.9302264992</v>
      </c>
      <c r="Y13" s="40">
        <f t="shared" si="10"/>
        <v>8702631.9302264992</v>
      </c>
      <c r="Z13" s="30"/>
      <c r="AA13" s="30"/>
      <c r="AB13" s="81"/>
    </row>
    <row r="14" spans="2:28" ht="20.25" customHeight="1">
      <c r="B14" s="29">
        <f t="shared" si="4"/>
        <v>10</v>
      </c>
      <c r="C14" s="11" t="s">
        <v>90</v>
      </c>
      <c r="D14" s="31" t="s">
        <v>91</v>
      </c>
      <c r="E14" s="52">
        <v>41753</v>
      </c>
      <c r="F14" s="53" t="s">
        <v>92</v>
      </c>
      <c r="G14" s="14" t="s">
        <v>82</v>
      </c>
      <c r="H14" s="14" t="s">
        <v>83</v>
      </c>
      <c r="I14" s="14" t="s">
        <v>44</v>
      </c>
      <c r="J14" s="34">
        <v>801.22</v>
      </c>
      <c r="K14" s="32">
        <v>41695</v>
      </c>
      <c r="L14" s="11" t="s">
        <v>93</v>
      </c>
      <c r="M14" s="11" t="s">
        <v>35</v>
      </c>
      <c r="N14" s="11" t="s">
        <v>94</v>
      </c>
      <c r="O14" s="11" t="s">
        <v>95</v>
      </c>
      <c r="P14" s="13">
        <v>63000</v>
      </c>
      <c r="Q14" s="35">
        <f t="shared" si="6"/>
        <v>6969564</v>
      </c>
      <c r="R14" s="36" t="s">
        <v>28</v>
      </c>
      <c r="S14" s="54">
        <v>110.628</v>
      </c>
      <c r="T14" s="37">
        <f t="shared" si="7"/>
        <v>41784</v>
      </c>
      <c r="U14" s="14" t="s">
        <v>82</v>
      </c>
      <c r="V14" s="38">
        <f t="shared" si="8"/>
        <v>8363.4767999999985</v>
      </c>
      <c r="W14" s="30">
        <v>155.75</v>
      </c>
      <c r="X14" s="35">
        <f t="shared" si="9"/>
        <v>1302611.5115999999</v>
      </c>
      <c r="Y14" s="40">
        <f t="shared" si="10"/>
        <v>1302611.5115999999</v>
      </c>
      <c r="Z14" s="30"/>
      <c r="AA14" s="30"/>
      <c r="AB14" s="64"/>
    </row>
    <row r="15" spans="2:28" ht="20.25" customHeight="1">
      <c r="B15" s="29">
        <f t="shared" si="4"/>
        <v>11</v>
      </c>
      <c r="C15" s="11" t="s">
        <v>96</v>
      </c>
      <c r="D15" s="31" t="s">
        <v>97</v>
      </c>
      <c r="E15" s="52">
        <v>41753</v>
      </c>
      <c r="F15" s="53" t="s">
        <v>98</v>
      </c>
      <c r="G15" s="14" t="s">
        <v>82</v>
      </c>
      <c r="H15" s="14" t="s">
        <v>83</v>
      </c>
      <c r="I15" s="14" t="s">
        <v>44</v>
      </c>
      <c r="J15" s="34">
        <v>801.22</v>
      </c>
      <c r="K15" s="32">
        <v>41695</v>
      </c>
      <c r="L15" s="11" t="s">
        <v>93</v>
      </c>
      <c r="M15" s="11" t="s">
        <v>35</v>
      </c>
      <c r="N15" s="11" t="s">
        <v>94</v>
      </c>
      <c r="O15" s="11" t="s">
        <v>95</v>
      </c>
      <c r="P15" s="13">
        <v>42000</v>
      </c>
      <c r="Q15" s="35">
        <f t="shared" si="6"/>
        <v>4646376</v>
      </c>
      <c r="R15" s="36" t="s">
        <v>28</v>
      </c>
      <c r="S15" s="54">
        <v>110.628</v>
      </c>
      <c r="T15" s="37">
        <f t="shared" si="7"/>
        <v>41784</v>
      </c>
      <c r="U15" s="14" t="s">
        <v>82</v>
      </c>
      <c r="V15" s="38">
        <f t="shared" si="8"/>
        <v>5575.6511999999993</v>
      </c>
      <c r="W15" s="30">
        <v>155.75</v>
      </c>
      <c r="X15" s="35">
        <f t="shared" si="9"/>
        <v>868407.6743999999</v>
      </c>
      <c r="Y15" s="40">
        <f t="shared" si="10"/>
        <v>868407.6743999999</v>
      </c>
      <c r="Z15" s="30"/>
      <c r="AA15" s="30"/>
      <c r="AB15" s="64"/>
    </row>
    <row r="16" spans="2:28" ht="20.25" customHeight="1">
      <c r="B16" s="29">
        <f t="shared" si="4"/>
        <v>12</v>
      </c>
      <c r="C16" s="11" t="s">
        <v>99</v>
      </c>
      <c r="D16" s="31" t="s">
        <v>100</v>
      </c>
      <c r="E16" s="52">
        <v>41753</v>
      </c>
      <c r="F16" s="53" t="s">
        <v>101</v>
      </c>
      <c r="G16" s="14" t="s">
        <v>82</v>
      </c>
      <c r="H16" s="14" t="s">
        <v>83</v>
      </c>
      <c r="I16" s="14" t="s">
        <v>44</v>
      </c>
      <c r="J16" s="34">
        <v>801.22</v>
      </c>
      <c r="K16" s="32">
        <v>41695</v>
      </c>
      <c r="L16" s="11" t="s">
        <v>93</v>
      </c>
      <c r="M16" s="11" t="s">
        <v>35</v>
      </c>
      <c r="N16" s="11" t="s">
        <v>94</v>
      </c>
      <c r="O16" s="11" t="s">
        <v>95</v>
      </c>
      <c r="P16" s="13">
        <v>144472</v>
      </c>
      <c r="Q16" s="35">
        <f t="shared" si="6"/>
        <v>15982648.415999999</v>
      </c>
      <c r="R16" s="36" t="s">
        <v>28</v>
      </c>
      <c r="S16" s="54">
        <v>110.628</v>
      </c>
      <c r="T16" s="37">
        <f t="shared" si="7"/>
        <v>41784</v>
      </c>
      <c r="U16" s="14" t="s">
        <v>82</v>
      </c>
      <c r="V16" s="38">
        <f t="shared" si="8"/>
        <v>19179.178099199999</v>
      </c>
      <c r="W16" s="30">
        <v>155.75</v>
      </c>
      <c r="X16" s="35">
        <f t="shared" si="9"/>
        <v>2987156.9889503997</v>
      </c>
      <c r="Y16" s="40">
        <f t="shared" si="10"/>
        <v>2987156.9889503997</v>
      </c>
      <c r="Z16" s="30"/>
      <c r="AA16" s="30"/>
      <c r="AB16" s="64"/>
    </row>
    <row r="17" spans="2:28" ht="27.75" customHeight="1">
      <c r="B17" s="29">
        <f t="shared" si="4"/>
        <v>13</v>
      </c>
      <c r="C17" s="11" t="s">
        <v>102</v>
      </c>
      <c r="D17" s="57" t="s">
        <v>103</v>
      </c>
      <c r="E17" s="32">
        <v>41758</v>
      </c>
      <c r="F17" s="53" t="s">
        <v>104</v>
      </c>
      <c r="G17" s="11" t="s">
        <v>45</v>
      </c>
      <c r="H17" s="11" t="s">
        <v>105</v>
      </c>
      <c r="I17" s="11" t="s">
        <v>44</v>
      </c>
      <c r="J17" s="34">
        <v>801.22</v>
      </c>
      <c r="K17" s="32">
        <v>41555</v>
      </c>
      <c r="L17" s="11" t="s">
        <v>106</v>
      </c>
      <c r="M17" s="11" t="s">
        <v>35</v>
      </c>
      <c r="N17" s="11" t="s">
        <v>107</v>
      </c>
      <c r="O17" s="14" t="s">
        <v>108</v>
      </c>
      <c r="P17" s="13">
        <v>649094</v>
      </c>
      <c r="Q17" s="35">
        <f t="shared" ref="Q17:Q18" si="11">SUM(P17*S17)</f>
        <v>72116290.681999996</v>
      </c>
      <c r="R17" s="36" t="s">
        <v>28</v>
      </c>
      <c r="S17" s="54">
        <v>111.10299999999999</v>
      </c>
      <c r="T17" s="37">
        <f t="shared" ref="T17:T18" si="12">SUM(K17)+89</f>
        <v>41644</v>
      </c>
      <c r="U17" s="11" t="s">
        <v>109</v>
      </c>
      <c r="V17" s="38">
        <f t="shared" si="8"/>
        <v>86539.548818399984</v>
      </c>
      <c r="W17" s="58">
        <v>155.80000000000001</v>
      </c>
      <c r="X17" s="35">
        <f t="shared" ref="X17:X19" si="13">SUM(V17*W17)</f>
        <v>13482861.705906719</v>
      </c>
      <c r="Y17" s="40">
        <v>13439592.109999999</v>
      </c>
      <c r="Z17" s="37">
        <v>41022</v>
      </c>
      <c r="AA17" s="55">
        <v>4097</v>
      </c>
      <c r="AB17" s="81" t="s">
        <v>208</v>
      </c>
    </row>
    <row r="18" spans="2:28" ht="27.75" customHeight="1">
      <c r="B18" s="29">
        <f t="shared" si="4"/>
        <v>14</v>
      </c>
      <c r="C18" s="11" t="s">
        <v>110</v>
      </c>
      <c r="D18" s="57" t="s">
        <v>103</v>
      </c>
      <c r="E18" s="32">
        <v>41758</v>
      </c>
      <c r="F18" s="53" t="s">
        <v>111</v>
      </c>
      <c r="G18" s="11" t="s">
        <v>45</v>
      </c>
      <c r="H18" s="11" t="s">
        <v>105</v>
      </c>
      <c r="I18" s="11" t="s">
        <v>44</v>
      </c>
      <c r="J18" s="34">
        <v>801.22</v>
      </c>
      <c r="K18" s="32">
        <v>41555</v>
      </c>
      <c r="L18" s="11" t="s">
        <v>106</v>
      </c>
      <c r="M18" s="11" t="s">
        <v>35</v>
      </c>
      <c r="N18" s="11" t="s">
        <v>94</v>
      </c>
      <c r="O18" s="14" t="s">
        <v>112</v>
      </c>
      <c r="P18" s="13">
        <v>300000</v>
      </c>
      <c r="Q18" s="35">
        <f t="shared" si="11"/>
        <v>33330900</v>
      </c>
      <c r="R18" s="36" t="s">
        <v>28</v>
      </c>
      <c r="S18" s="54">
        <v>111.10299999999999</v>
      </c>
      <c r="T18" s="37">
        <f t="shared" si="12"/>
        <v>41644</v>
      </c>
      <c r="U18" s="11" t="s">
        <v>109</v>
      </c>
      <c r="V18" s="38">
        <f t="shared" si="8"/>
        <v>39997.079999999994</v>
      </c>
      <c r="W18" s="58">
        <v>155.80000000000001</v>
      </c>
      <c r="X18" s="35">
        <f t="shared" si="13"/>
        <v>6231545.0639999993</v>
      </c>
      <c r="Y18" s="40">
        <v>6211546.3499999996</v>
      </c>
      <c r="Z18" s="37">
        <v>41022</v>
      </c>
      <c r="AA18" s="55">
        <v>4097</v>
      </c>
      <c r="AB18" s="81"/>
    </row>
    <row r="19" spans="2:28" ht="27" customHeight="1">
      <c r="B19" s="29">
        <f t="shared" si="4"/>
        <v>15</v>
      </c>
      <c r="C19" s="11" t="s">
        <v>113</v>
      </c>
      <c r="D19" s="57" t="s">
        <v>114</v>
      </c>
      <c r="E19" s="32">
        <v>41758</v>
      </c>
      <c r="F19" s="59">
        <v>201300010461</v>
      </c>
      <c r="G19" s="60" t="s">
        <v>45</v>
      </c>
      <c r="H19" s="11" t="s">
        <v>105</v>
      </c>
      <c r="I19" s="11" t="s">
        <v>44</v>
      </c>
      <c r="J19" s="34">
        <v>801.22</v>
      </c>
      <c r="K19" s="37">
        <v>41573</v>
      </c>
      <c r="L19" s="11" t="s">
        <v>115</v>
      </c>
      <c r="M19" s="30" t="s">
        <v>35</v>
      </c>
      <c r="N19" s="11" t="s">
        <v>37</v>
      </c>
      <c r="O19" s="14" t="s">
        <v>116</v>
      </c>
      <c r="P19" s="61">
        <v>949538</v>
      </c>
      <c r="Q19" s="35">
        <f t="shared" ref="Q19:Q25" si="14">SUM(P19*S19)</f>
        <v>104414047.094</v>
      </c>
      <c r="R19" s="36" t="s">
        <v>28</v>
      </c>
      <c r="S19" s="54">
        <v>109.96299999999999</v>
      </c>
      <c r="T19" s="37">
        <f t="shared" ref="T19" si="15">SUM(K19)+89</f>
        <v>41662</v>
      </c>
      <c r="U19" s="11" t="s">
        <v>109</v>
      </c>
      <c r="V19" s="38">
        <f t="shared" si="8"/>
        <v>125296.85651279999</v>
      </c>
      <c r="W19" s="58">
        <v>155.80000000000001</v>
      </c>
      <c r="X19" s="35">
        <f t="shared" si="13"/>
        <v>19521250.24469424</v>
      </c>
      <c r="Y19" s="40">
        <v>19458601.82</v>
      </c>
      <c r="Z19" s="37">
        <v>41022</v>
      </c>
      <c r="AA19" s="55">
        <v>4098</v>
      </c>
      <c r="AB19" s="64"/>
    </row>
    <row r="20" spans="2:28" ht="19.5" customHeight="1">
      <c r="B20" s="29">
        <f t="shared" si="4"/>
        <v>16</v>
      </c>
      <c r="C20" s="11" t="s">
        <v>117</v>
      </c>
      <c r="D20" s="32" t="s">
        <v>118</v>
      </c>
      <c r="E20" s="32">
        <v>41759</v>
      </c>
      <c r="F20" s="12" t="s">
        <v>119</v>
      </c>
      <c r="G20" s="11" t="s">
        <v>82</v>
      </c>
      <c r="H20" s="11" t="s">
        <v>83</v>
      </c>
      <c r="I20" s="11" t="s">
        <v>44</v>
      </c>
      <c r="J20" s="34">
        <v>801.22</v>
      </c>
      <c r="K20" s="32">
        <v>41734</v>
      </c>
      <c r="L20" s="11" t="s">
        <v>120</v>
      </c>
      <c r="M20" s="11" t="s">
        <v>35</v>
      </c>
      <c r="N20" s="11" t="s">
        <v>121</v>
      </c>
      <c r="O20" s="14" t="s">
        <v>122</v>
      </c>
      <c r="P20" s="13">
        <v>199536</v>
      </c>
      <c r="Q20" s="35">
        <f t="shared" si="14"/>
        <v>21475660.607999999</v>
      </c>
      <c r="R20" s="36" t="s">
        <v>28</v>
      </c>
      <c r="S20" s="7">
        <v>107.628</v>
      </c>
      <c r="T20" s="37">
        <f t="shared" ref="T20:T25" si="16">SUM(K20)+89</f>
        <v>41823</v>
      </c>
      <c r="U20" s="11" t="s">
        <v>82</v>
      </c>
      <c r="V20" s="38">
        <f t="shared" ref="V20:V25" si="17">SUM(Q20*0.12%)</f>
        <v>25770.792729599998</v>
      </c>
      <c r="W20" s="30">
        <v>155.72999999999999</v>
      </c>
      <c r="X20" s="35">
        <f t="shared" ref="X20:X25" si="18">SUM(V20*W20)</f>
        <v>4013285.5517806076</v>
      </c>
      <c r="Y20" s="40">
        <f t="shared" ref="Y20:Y25" si="19">X20</f>
        <v>4013285.5517806076</v>
      </c>
      <c r="Z20" s="30"/>
      <c r="AA20" s="30"/>
      <c r="AB20" s="64"/>
    </row>
    <row r="21" spans="2:28" ht="19.5" customHeight="1">
      <c r="B21" s="29">
        <f t="shared" si="4"/>
        <v>17</v>
      </c>
      <c r="C21" s="11" t="s">
        <v>123</v>
      </c>
      <c r="D21" s="32" t="s">
        <v>124</v>
      </c>
      <c r="E21" s="32">
        <v>41759</v>
      </c>
      <c r="F21" s="12" t="s">
        <v>125</v>
      </c>
      <c r="G21" s="11" t="s">
        <v>82</v>
      </c>
      <c r="H21" s="11" t="s">
        <v>83</v>
      </c>
      <c r="I21" s="11" t="s">
        <v>44</v>
      </c>
      <c r="J21" s="34">
        <v>801.22</v>
      </c>
      <c r="K21" s="32">
        <v>41734</v>
      </c>
      <c r="L21" s="11" t="s">
        <v>120</v>
      </c>
      <c r="M21" s="11" t="s">
        <v>35</v>
      </c>
      <c r="N21" s="11" t="s">
        <v>121</v>
      </c>
      <c r="O21" s="14" t="s">
        <v>122</v>
      </c>
      <c r="P21" s="13">
        <v>120000</v>
      </c>
      <c r="Q21" s="35">
        <f t="shared" si="14"/>
        <v>12915360</v>
      </c>
      <c r="R21" s="36" t="s">
        <v>28</v>
      </c>
      <c r="S21" s="54">
        <v>107.628</v>
      </c>
      <c r="T21" s="37">
        <f t="shared" si="16"/>
        <v>41823</v>
      </c>
      <c r="U21" s="11" t="s">
        <v>82</v>
      </c>
      <c r="V21" s="38">
        <f t="shared" si="17"/>
        <v>15498.431999999999</v>
      </c>
      <c r="W21" s="30">
        <v>155.72999999999999</v>
      </c>
      <c r="X21" s="35">
        <f t="shared" si="18"/>
        <v>2413570.8153599999</v>
      </c>
      <c r="Y21" s="40">
        <f t="shared" si="19"/>
        <v>2413570.8153599999</v>
      </c>
      <c r="Z21" s="30"/>
      <c r="AA21" s="30"/>
      <c r="AB21" s="64"/>
    </row>
    <row r="22" spans="2:28" ht="19.5" customHeight="1">
      <c r="B22" s="29">
        <f t="shared" si="4"/>
        <v>18</v>
      </c>
      <c r="C22" s="11" t="s">
        <v>126</v>
      </c>
      <c r="D22" s="32" t="s">
        <v>127</v>
      </c>
      <c r="E22" s="32">
        <v>41759</v>
      </c>
      <c r="F22" s="33" t="s">
        <v>128</v>
      </c>
      <c r="G22" s="11" t="s">
        <v>82</v>
      </c>
      <c r="H22" s="11" t="s">
        <v>83</v>
      </c>
      <c r="I22" s="11" t="s">
        <v>129</v>
      </c>
      <c r="J22" s="34">
        <v>801.22</v>
      </c>
      <c r="K22" s="32">
        <v>41742</v>
      </c>
      <c r="L22" s="11" t="s">
        <v>130</v>
      </c>
      <c r="M22" s="11" t="s">
        <v>131</v>
      </c>
      <c r="N22" s="11" t="s">
        <v>107</v>
      </c>
      <c r="O22" s="14" t="s">
        <v>40</v>
      </c>
      <c r="P22" s="13">
        <v>899774</v>
      </c>
      <c r="Q22" s="35">
        <f t="shared" si="14"/>
        <v>99304457.283999994</v>
      </c>
      <c r="R22" s="36" t="s">
        <v>28</v>
      </c>
      <c r="S22" s="54">
        <v>110.366</v>
      </c>
      <c r="T22" s="37">
        <f t="shared" si="16"/>
        <v>41831</v>
      </c>
      <c r="U22" s="11" t="s">
        <v>82</v>
      </c>
      <c r="V22" s="38">
        <f t="shared" si="17"/>
        <v>119165.34874079998</v>
      </c>
      <c r="W22" s="30">
        <v>155.72999999999999</v>
      </c>
      <c r="X22" s="35">
        <f t="shared" si="18"/>
        <v>18557619.759404778</v>
      </c>
      <c r="Y22" s="40">
        <f t="shared" si="19"/>
        <v>18557619.759404778</v>
      </c>
      <c r="Z22" s="30"/>
      <c r="AA22" s="30"/>
      <c r="AB22" s="64"/>
    </row>
    <row r="23" spans="2:28" ht="19.5" customHeight="1">
      <c r="B23" s="29">
        <f t="shared" si="4"/>
        <v>19</v>
      </c>
      <c r="C23" s="11" t="s">
        <v>132</v>
      </c>
      <c r="D23" s="32" t="s">
        <v>133</v>
      </c>
      <c r="E23" s="32">
        <v>41759</v>
      </c>
      <c r="F23" s="33" t="s">
        <v>134</v>
      </c>
      <c r="G23" s="11" t="s">
        <v>82</v>
      </c>
      <c r="H23" s="11" t="s">
        <v>83</v>
      </c>
      <c r="I23" s="11" t="s">
        <v>44</v>
      </c>
      <c r="J23" s="34">
        <v>801.22</v>
      </c>
      <c r="K23" s="32">
        <v>41742</v>
      </c>
      <c r="L23" s="11" t="s">
        <v>89</v>
      </c>
      <c r="M23" s="11" t="s">
        <v>35</v>
      </c>
      <c r="N23" s="11" t="s">
        <v>85</v>
      </c>
      <c r="O23" s="14" t="s">
        <v>135</v>
      </c>
      <c r="P23" s="13">
        <v>170000</v>
      </c>
      <c r="Q23" s="35">
        <f t="shared" si="14"/>
        <v>18685720</v>
      </c>
      <c r="R23" s="36" t="s">
        <v>28</v>
      </c>
      <c r="S23" s="54">
        <v>109.916</v>
      </c>
      <c r="T23" s="37">
        <f t="shared" si="16"/>
        <v>41831</v>
      </c>
      <c r="U23" s="11" t="s">
        <v>82</v>
      </c>
      <c r="V23" s="38">
        <f t="shared" si="17"/>
        <v>22422.863999999998</v>
      </c>
      <c r="W23" s="30">
        <v>155.72999999999999</v>
      </c>
      <c r="X23" s="35">
        <f t="shared" si="18"/>
        <v>3491912.6107199993</v>
      </c>
      <c r="Y23" s="40">
        <f t="shared" si="19"/>
        <v>3491912.6107199993</v>
      </c>
      <c r="Z23" s="30"/>
      <c r="AA23" s="30"/>
      <c r="AB23" s="64"/>
    </row>
    <row r="24" spans="2:28" ht="19.5" customHeight="1">
      <c r="B24" s="29">
        <f t="shared" si="4"/>
        <v>20</v>
      </c>
      <c r="C24" s="11" t="s">
        <v>136</v>
      </c>
      <c r="D24" s="32" t="s">
        <v>137</v>
      </c>
      <c r="E24" s="32">
        <v>41759</v>
      </c>
      <c r="F24" s="33" t="s">
        <v>138</v>
      </c>
      <c r="G24" s="11" t="s">
        <v>82</v>
      </c>
      <c r="H24" s="11" t="s">
        <v>83</v>
      </c>
      <c r="I24" s="11" t="s">
        <v>44</v>
      </c>
      <c r="J24" s="34">
        <v>801.22</v>
      </c>
      <c r="K24" s="32">
        <v>41742</v>
      </c>
      <c r="L24" s="11" t="s">
        <v>89</v>
      </c>
      <c r="M24" s="11" t="s">
        <v>35</v>
      </c>
      <c r="N24" s="11" t="s">
        <v>85</v>
      </c>
      <c r="O24" s="14" t="s">
        <v>135</v>
      </c>
      <c r="P24" s="13">
        <v>50000</v>
      </c>
      <c r="Q24" s="35">
        <f t="shared" si="14"/>
        <v>5495800</v>
      </c>
      <c r="R24" s="36" t="s">
        <v>28</v>
      </c>
      <c r="S24" s="54">
        <v>109.916</v>
      </c>
      <c r="T24" s="37">
        <f t="shared" si="16"/>
        <v>41831</v>
      </c>
      <c r="U24" s="11" t="s">
        <v>82</v>
      </c>
      <c r="V24" s="38">
        <f t="shared" si="17"/>
        <v>6594.9599999999991</v>
      </c>
      <c r="W24" s="30">
        <v>155.72999999999999</v>
      </c>
      <c r="X24" s="35">
        <f t="shared" si="18"/>
        <v>1027033.1207999998</v>
      </c>
      <c r="Y24" s="40">
        <f t="shared" si="19"/>
        <v>1027033.1207999998</v>
      </c>
      <c r="Z24" s="30"/>
      <c r="AA24" s="30"/>
      <c r="AB24" s="64"/>
    </row>
    <row r="25" spans="2:28" ht="24.75" customHeight="1" thickBot="1">
      <c r="B25" s="29">
        <f t="shared" si="4"/>
        <v>21</v>
      </c>
      <c r="C25" s="11" t="s">
        <v>139</v>
      </c>
      <c r="D25" s="32" t="s">
        <v>140</v>
      </c>
      <c r="E25" s="32">
        <v>41759</v>
      </c>
      <c r="F25" s="33" t="s">
        <v>141</v>
      </c>
      <c r="G25" s="11" t="s">
        <v>82</v>
      </c>
      <c r="H25" s="11" t="s">
        <v>83</v>
      </c>
      <c r="I25" s="11" t="s">
        <v>44</v>
      </c>
      <c r="J25" s="34">
        <v>801.22</v>
      </c>
      <c r="K25" s="32">
        <v>41758</v>
      </c>
      <c r="L25" s="11" t="s">
        <v>142</v>
      </c>
      <c r="M25" s="11" t="s">
        <v>35</v>
      </c>
      <c r="N25" s="11" t="s">
        <v>32</v>
      </c>
      <c r="O25" s="14" t="s">
        <v>143</v>
      </c>
      <c r="P25" s="42">
        <v>949719</v>
      </c>
      <c r="Q25" s="43">
        <f t="shared" si="14"/>
        <v>105507132.867</v>
      </c>
      <c r="R25" s="36" t="s">
        <v>28</v>
      </c>
      <c r="S25" s="54">
        <v>111.093</v>
      </c>
      <c r="T25" s="37">
        <f t="shared" si="16"/>
        <v>41847</v>
      </c>
      <c r="U25" s="11" t="s">
        <v>82</v>
      </c>
      <c r="V25" s="44">
        <f t="shared" si="17"/>
        <v>126608.55944039999</v>
      </c>
      <c r="W25" s="30">
        <v>155.72999999999999</v>
      </c>
      <c r="X25" s="43">
        <f t="shared" si="18"/>
        <v>19716750.96165349</v>
      </c>
      <c r="Y25" s="40">
        <f t="shared" si="19"/>
        <v>19716750.96165349</v>
      </c>
      <c r="Z25" s="30"/>
      <c r="AA25" s="30"/>
      <c r="AB25" s="64"/>
    </row>
    <row r="26" spans="2:28" ht="15.75" thickBot="1">
      <c r="B26" s="15"/>
      <c r="C26" s="15"/>
      <c r="D26" s="16"/>
      <c r="E26" s="16"/>
      <c r="F26" s="16"/>
      <c r="G26" s="16"/>
      <c r="H26" s="16"/>
      <c r="I26" s="16"/>
      <c r="J26" s="15"/>
      <c r="K26" s="17"/>
      <c r="L26" s="16"/>
      <c r="M26" s="17"/>
      <c r="N26" s="19"/>
      <c r="O26" s="20"/>
      <c r="P26" s="45">
        <f>SUM(P5:P25)</f>
        <v>7453744</v>
      </c>
      <c r="Q26" s="46">
        <f>SUM(Q5:Q25)</f>
        <v>817342000.94060004</v>
      </c>
      <c r="R26" s="47"/>
      <c r="S26" s="48"/>
      <c r="T26" s="49"/>
      <c r="U26" s="50"/>
      <c r="V26" s="46">
        <f>SUM(V5:V25)</f>
        <v>980810.40112871979</v>
      </c>
      <c r="W26" s="47"/>
      <c r="X26" s="46">
        <f t="shared" ref="X26:Y26" si="20">SUM(X5:X25)</f>
        <v>152766714.821486</v>
      </c>
      <c r="Y26" s="46">
        <f t="shared" si="20"/>
        <v>152759254.22752327</v>
      </c>
      <c r="Z26" s="15"/>
      <c r="AA26" s="15"/>
    </row>
    <row r="34" spans="3:3">
      <c r="C34" s="79"/>
    </row>
    <row r="35" spans="3:3">
      <c r="C35" s="79"/>
    </row>
    <row r="36" spans="3:3">
      <c r="C36" s="80"/>
    </row>
    <row r="37" spans="3:3">
      <c r="C37" s="79"/>
    </row>
  </sheetData>
  <mergeCells count="2">
    <mergeCell ref="AB12:AB13"/>
    <mergeCell ref="AB17:AB18"/>
  </mergeCells>
  <pageMargins left="0" right="0" top="0" bottom="0" header="0.31496062992125984" footer="0"/>
  <pageSetup paperSize="8" orientation="landscape" r:id="rId1"/>
  <ignoredErrors>
    <ignoredError sqref="F5:F9 F10:F11 F17" numberStoredAsText="1"/>
    <ignoredError sqref="Q9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AA33"/>
  <sheetViews>
    <sheetView workbookViewId="0">
      <selection activeCell="C30" sqref="C30:C33"/>
    </sheetView>
  </sheetViews>
  <sheetFormatPr defaultRowHeight="15"/>
  <cols>
    <col min="1" max="1" width="4.42578125" customWidth="1"/>
    <col min="2" max="2" width="4.140625" customWidth="1"/>
    <col min="3" max="3" width="7.85546875" customWidth="1"/>
    <col min="4" max="4" width="5.85546875" customWidth="1"/>
    <col min="5" max="5" width="4.42578125" style="1" customWidth="1"/>
    <col min="6" max="6" width="10" style="3" customWidth="1"/>
    <col min="7" max="7" width="10.42578125" style="3" customWidth="1"/>
    <col min="8" max="8" width="9" style="3" customWidth="1"/>
    <col min="9" max="9" width="9.42578125" style="3" customWidth="1"/>
    <col min="10" max="10" width="5.85546875" customWidth="1"/>
    <col min="11" max="11" width="6.5703125" style="1" customWidth="1"/>
    <col min="12" max="12" width="9.85546875" style="3" customWidth="1"/>
    <col min="13" max="13" width="6.7109375" style="3" customWidth="1"/>
    <col min="14" max="14" width="7.85546875" style="5" customWidth="1"/>
    <col min="15" max="15" width="9.5703125" style="6" customWidth="1"/>
    <col min="16" max="16" width="7.85546875" customWidth="1"/>
    <col min="17" max="17" width="11.140625" customWidth="1"/>
    <col min="18" max="18" width="8.140625" customWidth="1"/>
    <col min="19" max="19" width="7" style="3" customWidth="1"/>
    <col min="20" max="20" width="7.28515625" style="1" customWidth="1"/>
    <col min="21" max="21" width="10.28515625" style="3" customWidth="1"/>
    <col min="22" max="22" width="9.85546875" customWidth="1"/>
    <col min="23" max="23" width="6.42578125" customWidth="1"/>
    <col min="24" max="24" width="10.140625" customWidth="1"/>
    <col min="25" max="25" width="8.42578125" customWidth="1"/>
    <col min="26" max="27" width="6.42578125" customWidth="1"/>
  </cols>
  <sheetData>
    <row r="2" spans="2:27" ht="15.75">
      <c r="L2" s="4" t="s">
        <v>0</v>
      </c>
    </row>
    <row r="3" spans="2:27" ht="22.5" customHeight="1" thickBot="1">
      <c r="L3" s="4" t="s">
        <v>207</v>
      </c>
      <c r="P3" s="2"/>
    </row>
    <row r="4" spans="2:27" s="3" customFormat="1" ht="42.6" customHeight="1" thickBot="1">
      <c r="B4" s="23" t="s">
        <v>1</v>
      </c>
      <c r="C4" s="24" t="s">
        <v>2</v>
      </c>
      <c r="D4" s="24" t="s">
        <v>3</v>
      </c>
      <c r="E4" s="24" t="s">
        <v>4</v>
      </c>
      <c r="F4" s="25" t="s">
        <v>5</v>
      </c>
      <c r="G4" s="26" t="s">
        <v>6</v>
      </c>
      <c r="H4" s="24" t="s">
        <v>7</v>
      </c>
      <c r="I4" s="24" t="s">
        <v>8</v>
      </c>
      <c r="J4" s="24" t="s">
        <v>9</v>
      </c>
      <c r="K4" s="24" t="s">
        <v>10</v>
      </c>
      <c r="L4" s="24" t="s">
        <v>11</v>
      </c>
      <c r="M4" s="24" t="s">
        <v>12</v>
      </c>
      <c r="N4" s="24" t="s">
        <v>13</v>
      </c>
      <c r="O4" s="24" t="s">
        <v>14</v>
      </c>
      <c r="P4" s="24" t="s">
        <v>15</v>
      </c>
      <c r="Q4" s="24" t="s">
        <v>16</v>
      </c>
      <c r="R4" s="24" t="s">
        <v>17</v>
      </c>
      <c r="S4" s="24" t="s">
        <v>18</v>
      </c>
      <c r="T4" s="24" t="s">
        <v>19</v>
      </c>
      <c r="U4" s="24" t="s">
        <v>20</v>
      </c>
      <c r="V4" s="24" t="s">
        <v>21</v>
      </c>
      <c r="W4" s="24" t="s">
        <v>22</v>
      </c>
      <c r="X4" s="24" t="s">
        <v>23</v>
      </c>
      <c r="Y4" s="24" t="s">
        <v>24</v>
      </c>
      <c r="Z4" s="24" t="s">
        <v>25</v>
      </c>
      <c r="AA4" s="28" t="s">
        <v>26</v>
      </c>
    </row>
    <row r="5" spans="2:27" ht="19.5" customHeight="1">
      <c r="B5" s="29">
        <v>1</v>
      </c>
      <c r="C5" s="30" t="s">
        <v>170</v>
      </c>
      <c r="D5" s="31" t="s">
        <v>159</v>
      </c>
      <c r="E5" s="32"/>
      <c r="F5" s="33" t="s">
        <v>171</v>
      </c>
      <c r="G5" s="11" t="s">
        <v>164</v>
      </c>
      <c r="H5" s="11" t="s">
        <v>151</v>
      </c>
      <c r="I5" s="11" t="s">
        <v>44</v>
      </c>
      <c r="J5" s="34">
        <v>801.22</v>
      </c>
      <c r="K5" s="32">
        <v>41731</v>
      </c>
      <c r="L5" s="11" t="s">
        <v>169</v>
      </c>
      <c r="M5" s="11" t="s">
        <v>35</v>
      </c>
      <c r="N5" s="11" t="s">
        <v>158</v>
      </c>
      <c r="O5" s="14" t="s">
        <v>168</v>
      </c>
      <c r="P5" s="13">
        <v>227068</v>
      </c>
      <c r="Q5" s="35">
        <f t="shared" ref="Q5:Q21" si="0">SUM(P5*S5)</f>
        <v>24366894.148000002</v>
      </c>
      <c r="R5" s="36" t="s">
        <v>28</v>
      </c>
      <c r="S5" s="7">
        <v>107.31100000000001</v>
      </c>
      <c r="T5" s="37">
        <f t="shared" ref="T5:T21" si="1">SUM(K5)+89</f>
        <v>41820</v>
      </c>
      <c r="U5" s="14" t="s">
        <v>33</v>
      </c>
      <c r="V5" s="38">
        <f t="shared" ref="V5:V21" si="2">SUM(Q5*0.12%)</f>
        <v>29240.272977600001</v>
      </c>
      <c r="W5" s="30">
        <v>155.72999999999999</v>
      </c>
      <c r="X5" s="35">
        <f t="shared" ref="X5:X21" si="3">SUM(V5*W5)</f>
        <v>4553587.710801648</v>
      </c>
      <c r="Y5" s="39">
        <v>0</v>
      </c>
      <c r="Z5" s="30"/>
      <c r="AA5" s="30"/>
    </row>
    <row r="6" spans="2:27" ht="19.5" customHeight="1">
      <c r="B6" s="29">
        <f t="shared" ref="B6:B21" si="4">B5+1</f>
        <v>2</v>
      </c>
      <c r="C6" s="30" t="s">
        <v>172</v>
      </c>
      <c r="D6" s="31" t="s">
        <v>159</v>
      </c>
      <c r="E6" s="32"/>
      <c r="F6" s="33" t="s">
        <v>173</v>
      </c>
      <c r="G6" s="11" t="s">
        <v>34</v>
      </c>
      <c r="H6" s="11" t="s">
        <v>39</v>
      </c>
      <c r="I6" s="11" t="s">
        <v>44</v>
      </c>
      <c r="J6" s="34">
        <v>801.22</v>
      </c>
      <c r="K6" s="32">
        <v>41731</v>
      </c>
      <c r="L6" s="11" t="s">
        <v>169</v>
      </c>
      <c r="M6" s="11" t="s">
        <v>35</v>
      </c>
      <c r="N6" s="11" t="s">
        <v>158</v>
      </c>
      <c r="O6" s="14" t="s">
        <v>168</v>
      </c>
      <c r="P6" s="13">
        <v>24000</v>
      </c>
      <c r="Q6" s="35">
        <f t="shared" si="0"/>
        <v>2575464</v>
      </c>
      <c r="R6" s="36" t="s">
        <v>28</v>
      </c>
      <c r="S6" s="7">
        <v>107.31100000000001</v>
      </c>
      <c r="T6" s="37">
        <f t="shared" si="1"/>
        <v>41820</v>
      </c>
      <c r="U6" s="14" t="s">
        <v>34</v>
      </c>
      <c r="V6" s="38">
        <f t="shared" si="2"/>
        <v>3090.5567999999998</v>
      </c>
      <c r="W6" s="30">
        <v>155.72999999999999</v>
      </c>
      <c r="X6" s="35">
        <f t="shared" si="3"/>
        <v>481292.41046399996</v>
      </c>
      <c r="Y6" s="39">
        <v>0</v>
      </c>
      <c r="Z6" s="30"/>
      <c r="AA6" s="30"/>
    </row>
    <row r="7" spans="2:27" ht="19.5" customHeight="1">
      <c r="B7" s="29">
        <f t="shared" si="4"/>
        <v>3</v>
      </c>
      <c r="C7" s="30" t="s">
        <v>174</v>
      </c>
      <c r="D7" s="31" t="s">
        <v>159</v>
      </c>
      <c r="E7" s="32"/>
      <c r="F7" s="33" t="s">
        <v>175</v>
      </c>
      <c r="G7" s="11" t="s">
        <v>34</v>
      </c>
      <c r="H7" s="11" t="s">
        <v>39</v>
      </c>
      <c r="I7" s="11" t="s">
        <v>44</v>
      </c>
      <c r="J7" s="34">
        <v>801.22</v>
      </c>
      <c r="K7" s="32">
        <v>41731</v>
      </c>
      <c r="L7" s="11" t="s">
        <v>169</v>
      </c>
      <c r="M7" s="11" t="s">
        <v>35</v>
      </c>
      <c r="N7" s="11" t="s">
        <v>158</v>
      </c>
      <c r="O7" s="14" t="s">
        <v>168</v>
      </c>
      <c r="P7" s="13">
        <v>36000</v>
      </c>
      <c r="Q7" s="35">
        <f t="shared" si="0"/>
        <v>3863196.0000000005</v>
      </c>
      <c r="R7" s="36" t="s">
        <v>28</v>
      </c>
      <c r="S7" s="7">
        <v>107.31100000000001</v>
      </c>
      <c r="T7" s="37">
        <f t="shared" si="1"/>
        <v>41820</v>
      </c>
      <c r="U7" s="14" t="s">
        <v>34</v>
      </c>
      <c r="V7" s="38">
        <f t="shared" si="2"/>
        <v>4635.8352000000004</v>
      </c>
      <c r="W7" s="30">
        <v>155.72999999999999</v>
      </c>
      <c r="X7" s="35">
        <f t="shared" si="3"/>
        <v>721938.61569600005</v>
      </c>
      <c r="Y7" s="39">
        <v>0</v>
      </c>
      <c r="Z7" s="30"/>
      <c r="AA7" s="30"/>
    </row>
    <row r="8" spans="2:27" ht="19.5" customHeight="1">
      <c r="B8" s="29">
        <f t="shared" si="4"/>
        <v>4</v>
      </c>
      <c r="C8" s="30" t="s">
        <v>176</v>
      </c>
      <c r="D8" s="31" t="s">
        <v>159</v>
      </c>
      <c r="E8" s="32"/>
      <c r="F8" s="33" t="s">
        <v>177</v>
      </c>
      <c r="G8" s="11" t="s">
        <v>50</v>
      </c>
      <c r="H8" s="11" t="s">
        <v>39</v>
      </c>
      <c r="I8" s="11" t="s">
        <v>44</v>
      </c>
      <c r="J8" s="34">
        <v>801.22</v>
      </c>
      <c r="K8" s="32">
        <v>41731</v>
      </c>
      <c r="L8" s="11" t="s">
        <v>169</v>
      </c>
      <c r="M8" s="11" t="s">
        <v>35</v>
      </c>
      <c r="N8" s="11" t="s">
        <v>158</v>
      </c>
      <c r="O8" s="14" t="s">
        <v>168</v>
      </c>
      <c r="P8" s="13">
        <v>30000</v>
      </c>
      <c r="Q8" s="35">
        <f t="shared" si="0"/>
        <v>3219330</v>
      </c>
      <c r="R8" s="36" t="s">
        <v>28</v>
      </c>
      <c r="S8" s="7">
        <v>107.31100000000001</v>
      </c>
      <c r="T8" s="37">
        <f t="shared" si="1"/>
        <v>41820</v>
      </c>
      <c r="U8" s="14" t="s">
        <v>34</v>
      </c>
      <c r="V8" s="38">
        <f t="shared" si="2"/>
        <v>3863.1959999999995</v>
      </c>
      <c r="W8" s="30">
        <v>155.72999999999999</v>
      </c>
      <c r="X8" s="35">
        <f t="shared" si="3"/>
        <v>601615.51307999983</v>
      </c>
      <c r="Y8" s="39">
        <v>0</v>
      </c>
      <c r="Z8" s="30"/>
      <c r="AA8" s="30"/>
    </row>
    <row r="9" spans="2:27" ht="19.5" customHeight="1">
      <c r="B9" s="29">
        <f t="shared" si="4"/>
        <v>5</v>
      </c>
      <c r="C9" s="30" t="s">
        <v>178</v>
      </c>
      <c r="D9" s="31" t="s">
        <v>159</v>
      </c>
      <c r="E9" s="32"/>
      <c r="F9" s="33" t="s">
        <v>179</v>
      </c>
      <c r="G9" s="11" t="s">
        <v>43</v>
      </c>
      <c r="H9" s="11" t="s">
        <v>38</v>
      </c>
      <c r="I9" s="11" t="s">
        <v>44</v>
      </c>
      <c r="J9" s="34">
        <v>801.22</v>
      </c>
      <c r="K9" s="32">
        <v>41731</v>
      </c>
      <c r="L9" s="11" t="s">
        <v>169</v>
      </c>
      <c r="M9" s="11" t="s">
        <v>35</v>
      </c>
      <c r="N9" s="11" t="s">
        <v>158</v>
      </c>
      <c r="O9" s="14" t="s">
        <v>168</v>
      </c>
      <c r="P9" s="13">
        <v>110000</v>
      </c>
      <c r="Q9" s="35">
        <f t="shared" si="0"/>
        <v>11804210</v>
      </c>
      <c r="R9" s="36" t="s">
        <v>28</v>
      </c>
      <c r="S9" s="7">
        <v>107.31100000000001</v>
      </c>
      <c r="T9" s="37">
        <f t="shared" si="1"/>
        <v>41820</v>
      </c>
      <c r="U9" s="11" t="s">
        <v>165</v>
      </c>
      <c r="V9" s="38">
        <f t="shared" si="2"/>
        <v>14165.051999999998</v>
      </c>
      <c r="W9" s="30">
        <v>155.72999999999999</v>
      </c>
      <c r="X9" s="35">
        <f t="shared" si="3"/>
        <v>2205923.5479599996</v>
      </c>
      <c r="Y9" s="39">
        <v>0</v>
      </c>
      <c r="Z9" s="30"/>
      <c r="AA9" s="30"/>
    </row>
    <row r="10" spans="2:27" ht="19.5" customHeight="1">
      <c r="B10" s="29">
        <f t="shared" si="4"/>
        <v>6</v>
      </c>
      <c r="C10" s="30" t="s">
        <v>180</v>
      </c>
      <c r="D10" s="31" t="s">
        <v>159</v>
      </c>
      <c r="E10" s="32"/>
      <c r="F10" s="33" t="s">
        <v>181</v>
      </c>
      <c r="G10" s="11" t="s">
        <v>34</v>
      </c>
      <c r="H10" s="11" t="s">
        <v>148</v>
      </c>
      <c r="I10" s="11" t="s">
        <v>146</v>
      </c>
      <c r="J10" s="34">
        <v>801.22</v>
      </c>
      <c r="K10" s="32">
        <v>41733</v>
      </c>
      <c r="L10" s="11" t="s">
        <v>66</v>
      </c>
      <c r="M10" s="11" t="s">
        <v>147</v>
      </c>
      <c r="N10" s="11" t="s">
        <v>152</v>
      </c>
      <c r="O10" s="14" t="s">
        <v>153</v>
      </c>
      <c r="P10" s="13">
        <v>349060</v>
      </c>
      <c r="Q10" s="35">
        <f t="shared" si="0"/>
        <v>36712385.5</v>
      </c>
      <c r="R10" s="36" t="s">
        <v>28</v>
      </c>
      <c r="S10" s="7">
        <v>105.175</v>
      </c>
      <c r="T10" s="37">
        <f t="shared" si="1"/>
        <v>41822</v>
      </c>
      <c r="U10" s="14" t="s">
        <v>34</v>
      </c>
      <c r="V10" s="38">
        <f t="shared" si="2"/>
        <v>44054.862599999993</v>
      </c>
      <c r="W10" s="30">
        <v>155.72999999999999</v>
      </c>
      <c r="X10" s="35">
        <f t="shared" si="3"/>
        <v>6860663.7526979987</v>
      </c>
      <c r="Y10" s="39">
        <v>0</v>
      </c>
      <c r="Z10" s="30"/>
      <c r="AA10" s="30"/>
    </row>
    <row r="11" spans="2:27" ht="19.5" customHeight="1">
      <c r="B11" s="29">
        <f t="shared" si="4"/>
        <v>7</v>
      </c>
      <c r="C11" s="30" t="s">
        <v>182</v>
      </c>
      <c r="D11" s="31" t="s">
        <v>159</v>
      </c>
      <c r="E11" s="32"/>
      <c r="F11" s="33" t="s">
        <v>183</v>
      </c>
      <c r="G11" s="11" t="s">
        <v>82</v>
      </c>
      <c r="H11" s="11" t="s">
        <v>83</v>
      </c>
      <c r="I11" s="11" t="s">
        <v>44</v>
      </c>
      <c r="J11" s="34">
        <v>801.22</v>
      </c>
      <c r="K11" s="32">
        <v>41742</v>
      </c>
      <c r="L11" s="11" t="s">
        <v>89</v>
      </c>
      <c r="M11" s="11" t="s">
        <v>35</v>
      </c>
      <c r="N11" s="11" t="s">
        <v>85</v>
      </c>
      <c r="O11" s="14" t="s">
        <v>135</v>
      </c>
      <c r="P11" s="13">
        <v>78386</v>
      </c>
      <c r="Q11" s="35">
        <f t="shared" si="0"/>
        <v>8615875.5759999994</v>
      </c>
      <c r="R11" s="36" t="s">
        <v>28</v>
      </c>
      <c r="S11" s="54">
        <v>109.916</v>
      </c>
      <c r="T11" s="37">
        <f t="shared" si="1"/>
        <v>41831</v>
      </c>
      <c r="U11" s="11" t="s">
        <v>82</v>
      </c>
      <c r="V11" s="38">
        <f t="shared" si="2"/>
        <v>10339.050691199998</v>
      </c>
      <c r="W11" s="30">
        <v>155.72999999999999</v>
      </c>
      <c r="X11" s="35">
        <f t="shared" si="3"/>
        <v>1610100.3641405755</v>
      </c>
      <c r="Y11" s="39">
        <v>0</v>
      </c>
      <c r="Z11" s="30"/>
      <c r="AA11" s="30"/>
    </row>
    <row r="12" spans="2:27" ht="30" customHeight="1">
      <c r="B12" s="29">
        <f t="shared" si="4"/>
        <v>8</v>
      </c>
      <c r="C12" s="30" t="s">
        <v>184</v>
      </c>
      <c r="D12" s="31" t="s">
        <v>159</v>
      </c>
      <c r="E12" s="32"/>
      <c r="F12" s="33" t="s">
        <v>185</v>
      </c>
      <c r="G12" s="11" t="s">
        <v>48</v>
      </c>
      <c r="H12" s="11" t="s">
        <v>51</v>
      </c>
      <c r="I12" s="11" t="s">
        <v>46</v>
      </c>
      <c r="J12" s="34">
        <v>801.22</v>
      </c>
      <c r="K12" s="32">
        <v>41743</v>
      </c>
      <c r="L12" s="11" t="s">
        <v>186</v>
      </c>
      <c r="M12" s="11" t="s">
        <v>47</v>
      </c>
      <c r="N12" s="11" t="s">
        <v>32</v>
      </c>
      <c r="O12" s="14" t="s">
        <v>187</v>
      </c>
      <c r="P12" s="13">
        <v>649457</v>
      </c>
      <c r="Q12" s="35">
        <f t="shared" si="0"/>
        <v>66604413.178000003</v>
      </c>
      <c r="R12" s="36" t="s">
        <v>28</v>
      </c>
      <c r="S12" s="54">
        <v>102.554</v>
      </c>
      <c r="T12" s="37">
        <f t="shared" si="1"/>
        <v>41832</v>
      </c>
      <c r="U12" s="11" t="s">
        <v>48</v>
      </c>
      <c r="V12" s="38">
        <f t="shared" si="2"/>
        <v>79925.295813599994</v>
      </c>
      <c r="W12" s="30">
        <v>155.72999999999999</v>
      </c>
      <c r="X12" s="35">
        <f t="shared" si="3"/>
        <v>12446766.317051927</v>
      </c>
      <c r="Y12" s="39">
        <v>0</v>
      </c>
      <c r="Z12" s="30"/>
      <c r="AA12" s="30"/>
    </row>
    <row r="13" spans="2:27" ht="20.25" customHeight="1">
      <c r="B13" s="29">
        <f t="shared" si="4"/>
        <v>9</v>
      </c>
      <c r="C13" s="30" t="s">
        <v>188</v>
      </c>
      <c r="D13" s="31" t="s">
        <v>159</v>
      </c>
      <c r="E13" s="32"/>
      <c r="F13" s="33" t="s">
        <v>189</v>
      </c>
      <c r="G13" s="11" t="s">
        <v>45</v>
      </c>
      <c r="H13" s="11" t="s">
        <v>151</v>
      </c>
      <c r="I13" s="11" t="s">
        <v>44</v>
      </c>
      <c r="J13" s="34">
        <v>801.22</v>
      </c>
      <c r="K13" s="32">
        <v>41747</v>
      </c>
      <c r="L13" s="11" t="s">
        <v>166</v>
      </c>
      <c r="M13" s="11" t="s">
        <v>35</v>
      </c>
      <c r="N13" s="11" t="s">
        <v>152</v>
      </c>
      <c r="O13" s="14" t="s">
        <v>161</v>
      </c>
      <c r="P13" s="41">
        <v>345399</v>
      </c>
      <c r="Q13" s="35">
        <f t="shared" si="0"/>
        <v>38354210.2368</v>
      </c>
      <c r="R13" s="36" t="s">
        <v>28</v>
      </c>
      <c r="S13" s="7">
        <v>111.0432</v>
      </c>
      <c r="T13" s="37">
        <f t="shared" si="1"/>
        <v>41836</v>
      </c>
      <c r="U13" s="14" t="s">
        <v>33</v>
      </c>
      <c r="V13" s="38">
        <f t="shared" si="2"/>
        <v>46025.052284159996</v>
      </c>
      <c r="W13" s="30">
        <v>155.72999999999999</v>
      </c>
      <c r="X13" s="35">
        <f t="shared" si="3"/>
        <v>7167481.3922122354</v>
      </c>
      <c r="Y13" s="39">
        <v>0</v>
      </c>
      <c r="Z13" s="30"/>
      <c r="AA13" s="30"/>
    </row>
    <row r="14" spans="2:27" ht="20.25" customHeight="1">
      <c r="B14" s="29">
        <f t="shared" si="4"/>
        <v>10</v>
      </c>
      <c r="C14" s="30" t="s">
        <v>190</v>
      </c>
      <c r="D14" s="31" t="s">
        <v>159</v>
      </c>
      <c r="E14" s="32"/>
      <c r="F14" s="33" t="s">
        <v>191</v>
      </c>
      <c r="G14" s="11" t="s">
        <v>164</v>
      </c>
      <c r="H14" s="11" t="s">
        <v>149</v>
      </c>
      <c r="I14" s="11" t="s">
        <v>44</v>
      </c>
      <c r="J14" s="34">
        <v>801.22</v>
      </c>
      <c r="K14" s="32">
        <v>41747</v>
      </c>
      <c r="L14" s="11" t="s">
        <v>166</v>
      </c>
      <c r="M14" s="11" t="s">
        <v>35</v>
      </c>
      <c r="N14" s="11" t="s">
        <v>152</v>
      </c>
      <c r="O14" s="14" t="s">
        <v>161</v>
      </c>
      <c r="P14" s="41">
        <v>80000</v>
      </c>
      <c r="Q14" s="35">
        <f t="shared" si="0"/>
        <v>8883456</v>
      </c>
      <c r="R14" s="36" t="s">
        <v>28</v>
      </c>
      <c r="S14" s="7">
        <v>111.0432</v>
      </c>
      <c r="T14" s="37">
        <f t="shared" si="1"/>
        <v>41836</v>
      </c>
      <c r="U14" s="14" t="s">
        <v>33</v>
      </c>
      <c r="V14" s="38">
        <f t="shared" si="2"/>
        <v>10660.147199999999</v>
      </c>
      <c r="W14" s="30">
        <v>155.72999999999999</v>
      </c>
      <c r="X14" s="35">
        <f t="shared" si="3"/>
        <v>1660104.7234559997</v>
      </c>
      <c r="Y14" s="39">
        <v>0</v>
      </c>
      <c r="Z14" s="30"/>
      <c r="AA14" s="30"/>
    </row>
    <row r="15" spans="2:27" ht="20.25" customHeight="1">
      <c r="B15" s="29">
        <f t="shared" si="4"/>
        <v>11</v>
      </c>
      <c r="C15" s="30" t="s">
        <v>192</v>
      </c>
      <c r="D15" s="31" t="s">
        <v>159</v>
      </c>
      <c r="E15" s="32"/>
      <c r="F15" s="33" t="s">
        <v>193</v>
      </c>
      <c r="G15" s="11" t="s">
        <v>48</v>
      </c>
      <c r="H15" s="11" t="s">
        <v>156</v>
      </c>
      <c r="I15" s="11" t="s">
        <v>44</v>
      </c>
      <c r="J15" s="34">
        <v>801.22</v>
      </c>
      <c r="K15" s="32">
        <v>41747</v>
      </c>
      <c r="L15" s="11" t="s">
        <v>166</v>
      </c>
      <c r="M15" s="11" t="s">
        <v>35</v>
      </c>
      <c r="N15" s="11" t="s">
        <v>152</v>
      </c>
      <c r="O15" s="14" t="s">
        <v>161</v>
      </c>
      <c r="P15" s="41">
        <v>304000</v>
      </c>
      <c r="Q15" s="35">
        <f t="shared" si="0"/>
        <v>33757132.799999997</v>
      </c>
      <c r="R15" s="36" t="s">
        <v>28</v>
      </c>
      <c r="S15" s="7">
        <v>111.0432</v>
      </c>
      <c r="T15" s="37">
        <f t="shared" si="1"/>
        <v>41836</v>
      </c>
      <c r="U15" s="14" t="s">
        <v>33</v>
      </c>
      <c r="V15" s="38">
        <f t="shared" si="2"/>
        <v>40508.559359999992</v>
      </c>
      <c r="W15" s="30">
        <v>155.72999999999999</v>
      </c>
      <c r="X15" s="35">
        <f t="shared" si="3"/>
        <v>6308397.9491327982</v>
      </c>
      <c r="Y15" s="39">
        <v>0</v>
      </c>
      <c r="Z15" s="30"/>
      <c r="AA15" s="30"/>
    </row>
    <row r="16" spans="2:27" ht="20.25" customHeight="1">
      <c r="B16" s="29">
        <f t="shared" si="4"/>
        <v>12</v>
      </c>
      <c r="C16" s="30" t="s">
        <v>194</v>
      </c>
      <c r="D16" s="31" t="s">
        <v>159</v>
      </c>
      <c r="E16" s="32"/>
      <c r="F16" s="33" t="s">
        <v>195</v>
      </c>
      <c r="G16" s="11" t="s">
        <v>34</v>
      </c>
      <c r="H16" s="11" t="s">
        <v>39</v>
      </c>
      <c r="I16" s="11" t="s">
        <v>44</v>
      </c>
      <c r="J16" s="34">
        <v>801.22</v>
      </c>
      <c r="K16" s="32">
        <v>41747</v>
      </c>
      <c r="L16" s="11" t="s">
        <v>166</v>
      </c>
      <c r="M16" s="11" t="s">
        <v>35</v>
      </c>
      <c r="N16" s="11" t="s">
        <v>152</v>
      </c>
      <c r="O16" s="14" t="s">
        <v>161</v>
      </c>
      <c r="P16" s="41">
        <v>25000</v>
      </c>
      <c r="Q16" s="35">
        <f t="shared" si="0"/>
        <v>2776080</v>
      </c>
      <c r="R16" s="36" t="s">
        <v>28</v>
      </c>
      <c r="S16" s="7">
        <v>111.0432</v>
      </c>
      <c r="T16" s="37">
        <f t="shared" si="1"/>
        <v>41836</v>
      </c>
      <c r="U16" s="14" t="s">
        <v>34</v>
      </c>
      <c r="V16" s="38">
        <f t="shared" si="2"/>
        <v>3331.2959999999998</v>
      </c>
      <c r="W16" s="30">
        <v>155.72999999999999</v>
      </c>
      <c r="X16" s="35">
        <f t="shared" si="3"/>
        <v>518782.72607999993</v>
      </c>
      <c r="Y16" s="39">
        <v>0</v>
      </c>
      <c r="Z16" s="30"/>
      <c r="AA16" s="30"/>
    </row>
    <row r="17" spans="2:27" ht="20.25" customHeight="1">
      <c r="B17" s="29">
        <f t="shared" si="4"/>
        <v>13</v>
      </c>
      <c r="C17" s="30" t="s">
        <v>196</v>
      </c>
      <c r="D17" s="31" t="s">
        <v>159</v>
      </c>
      <c r="E17" s="32"/>
      <c r="F17" s="33" t="s">
        <v>197</v>
      </c>
      <c r="G17" s="11" t="s">
        <v>34</v>
      </c>
      <c r="H17" s="11" t="s">
        <v>39</v>
      </c>
      <c r="I17" s="11" t="s">
        <v>44</v>
      </c>
      <c r="J17" s="34">
        <v>801.22</v>
      </c>
      <c r="K17" s="32">
        <v>41747</v>
      </c>
      <c r="L17" s="11" t="s">
        <v>166</v>
      </c>
      <c r="M17" s="11" t="s">
        <v>35</v>
      </c>
      <c r="N17" s="11" t="s">
        <v>152</v>
      </c>
      <c r="O17" s="14" t="s">
        <v>161</v>
      </c>
      <c r="P17" s="41">
        <v>37000</v>
      </c>
      <c r="Q17" s="35">
        <f t="shared" si="0"/>
        <v>4108598.4</v>
      </c>
      <c r="R17" s="36" t="s">
        <v>28</v>
      </c>
      <c r="S17" s="7">
        <v>111.0432</v>
      </c>
      <c r="T17" s="37">
        <f t="shared" si="1"/>
        <v>41836</v>
      </c>
      <c r="U17" s="14" t="s">
        <v>34</v>
      </c>
      <c r="V17" s="38">
        <f t="shared" si="2"/>
        <v>4930.3180799999991</v>
      </c>
      <c r="W17" s="30">
        <v>155.72999999999999</v>
      </c>
      <c r="X17" s="35">
        <f t="shared" si="3"/>
        <v>767798.43459839979</v>
      </c>
      <c r="Y17" s="39">
        <v>0</v>
      </c>
      <c r="Z17" s="30"/>
      <c r="AA17" s="30"/>
    </row>
    <row r="18" spans="2:27" ht="20.25" customHeight="1">
      <c r="B18" s="29">
        <f t="shared" si="4"/>
        <v>14</v>
      </c>
      <c r="C18" s="30" t="s">
        <v>198</v>
      </c>
      <c r="D18" s="31" t="s">
        <v>159</v>
      </c>
      <c r="E18" s="32"/>
      <c r="F18" s="33" t="s">
        <v>199</v>
      </c>
      <c r="G18" s="11" t="s">
        <v>43</v>
      </c>
      <c r="H18" s="11" t="s">
        <v>38</v>
      </c>
      <c r="I18" s="11" t="s">
        <v>44</v>
      </c>
      <c r="J18" s="34">
        <v>801.22</v>
      </c>
      <c r="K18" s="32">
        <v>41747</v>
      </c>
      <c r="L18" s="11" t="s">
        <v>166</v>
      </c>
      <c r="M18" s="11" t="s">
        <v>35</v>
      </c>
      <c r="N18" s="11" t="s">
        <v>152</v>
      </c>
      <c r="O18" s="14" t="s">
        <v>161</v>
      </c>
      <c r="P18" s="41">
        <v>178000</v>
      </c>
      <c r="Q18" s="35">
        <f t="shared" si="0"/>
        <v>19765689.600000001</v>
      </c>
      <c r="R18" s="36" t="s">
        <v>28</v>
      </c>
      <c r="S18" s="7">
        <v>111.0432</v>
      </c>
      <c r="T18" s="37">
        <f t="shared" si="1"/>
        <v>41836</v>
      </c>
      <c r="U18" s="11" t="s">
        <v>165</v>
      </c>
      <c r="V18" s="38">
        <f t="shared" si="2"/>
        <v>23718.827519999999</v>
      </c>
      <c r="W18" s="30">
        <v>155.72999999999999</v>
      </c>
      <c r="X18" s="35">
        <f t="shared" si="3"/>
        <v>3693733.0096895997</v>
      </c>
      <c r="Y18" s="39">
        <v>0</v>
      </c>
      <c r="Z18" s="30"/>
      <c r="AA18" s="30"/>
    </row>
    <row r="19" spans="2:27" ht="20.25" customHeight="1">
      <c r="B19" s="29">
        <f t="shared" si="4"/>
        <v>15</v>
      </c>
      <c r="C19" s="30" t="s">
        <v>200</v>
      </c>
      <c r="D19" s="31" t="s">
        <v>159</v>
      </c>
      <c r="E19" s="32"/>
      <c r="F19" s="33" t="s">
        <v>201</v>
      </c>
      <c r="G19" s="11" t="s">
        <v>150</v>
      </c>
      <c r="H19" s="11" t="s">
        <v>160</v>
      </c>
      <c r="I19" s="11" t="s">
        <v>154</v>
      </c>
      <c r="J19" s="34">
        <v>801.22</v>
      </c>
      <c r="K19" s="32">
        <v>41749</v>
      </c>
      <c r="L19" s="11" t="s">
        <v>167</v>
      </c>
      <c r="M19" s="11" t="s">
        <v>155</v>
      </c>
      <c r="N19" s="11" t="s">
        <v>94</v>
      </c>
      <c r="O19" s="14" t="s">
        <v>112</v>
      </c>
      <c r="P19" s="13">
        <v>153776</v>
      </c>
      <c r="Q19" s="35">
        <f t="shared" si="0"/>
        <v>16977331.728</v>
      </c>
      <c r="R19" s="36" t="s">
        <v>28</v>
      </c>
      <c r="S19" s="54">
        <v>110.40300000000001</v>
      </c>
      <c r="T19" s="37">
        <f t="shared" si="1"/>
        <v>41838</v>
      </c>
      <c r="U19" s="11" t="s">
        <v>150</v>
      </c>
      <c r="V19" s="38">
        <f t="shared" si="2"/>
        <v>20372.798073599999</v>
      </c>
      <c r="W19" s="30">
        <v>155.72999999999999</v>
      </c>
      <c r="X19" s="35">
        <f t="shared" si="3"/>
        <v>3172655.8440017276</v>
      </c>
      <c r="Y19" s="39">
        <v>0</v>
      </c>
      <c r="Z19" s="30"/>
      <c r="AA19" s="30"/>
    </row>
    <row r="20" spans="2:27" ht="20.25" customHeight="1">
      <c r="B20" s="29">
        <f t="shared" si="4"/>
        <v>16</v>
      </c>
      <c r="C20" s="30" t="s">
        <v>202</v>
      </c>
      <c r="D20" s="31" t="s">
        <v>159</v>
      </c>
      <c r="E20" s="32"/>
      <c r="F20" s="33" t="s">
        <v>203</v>
      </c>
      <c r="G20" s="11" t="s">
        <v>48</v>
      </c>
      <c r="H20" s="11" t="s">
        <v>29</v>
      </c>
      <c r="I20" s="11" t="s">
        <v>30</v>
      </c>
      <c r="J20" s="34">
        <v>801.22</v>
      </c>
      <c r="K20" s="32">
        <v>41750</v>
      </c>
      <c r="L20" s="11" t="s">
        <v>162</v>
      </c>
      <c r="M20" s="11" t="s">
        <v>31</v>
      </c>
      <c r="N20" s="11" t="s">
        <v>32</v>
      </c>
      <c r="O20" s="14" t="s">
        <v>157</v>
      </c>
      <c r="P20" s="41">
        <v>950596</v>
      </c>
      <c r="Q20" s="35">
        <f t="shared" si="0"/>
        <v>105597146.7792</v>
      </c>
      <c r="R20" s="36" t="s">
        <v>28</v>
      </c>
      <c r="S20" s="54">
        <v>111.0852</v>
      </c>
      <c r="T20" s="37">
        <f t="shared" si="1"/>
        <v>41839</v>
      </c>
      <c r="U20" s="14" t="s">
        <v>33</v>
      </c>
      <c r="V20" s="38">
        <f t="shared" si="2"/>
        <v>126716.57613504</v>
      </c>
      <c r="W20" s="30">
        <v>155.72999999999999</v>
      </c>
      <c r="X20" s="35">
        <f t="shared" si="3"/>
        <v>19733572.401509777</v>
      </c>
      <c r="Y20" s="39">
        <v>0</v>
      </c>
      <c r="Z20" s="30"/>
      <c r="AA20" s="30"/>
    </row>
    <row r="21" spans="2:27" ht="20.25" customHeight="1" thickBot="1">
      <c r="B21" s="29">
        <f t="shared" si="4"/>
        <v>17</v>
      </c>
      <c r="C21" s="30" t="s">
        <v>204</v>
      </c>
      <c r="D21" s="31" t="s">
        <v>159</v>
      </c>
      <c r="E21" s="32"/>
      <c r="F21" s="33" t="s">
        <v>205</v>
      </c>
      <c r="G21" s="11" t="s">
        <v>164</v>
      </c>
      <c r="H21" s="11" t="s">
        <v>145</v>
      </c>
      <c r="I21" s="11" t="s">
        <v>146</v>
      </c>
      <c r="J21" s="34">
        <v>801.22</v>
      </c>
      <c r="K21" s="32">
        <v>41754</v>
      </c>
      <c r="L21" s="11" t="s">
        <v>163</v>
      </c>
      <c r="M21" s="11" t="s">
        <v>147</v>
      </c>
      <c r="N21" s="11" t="s">
        <v>152</v>
      </c>
      <c r="O21" s="14" t="s">
        <v>153</v>
      </c>
      <c r="P21" s="41">
        <v>949194</v>
      </c>
      <c r="Q21" s="35">
        <f t="shared" si="0"/>
        <v>103645340.442</v>
      </c>
      <c r="R21" s="36" t="s">
        <v>28</v>
      </c>
      <c r="S21" s="54">
        <v>109.193</v>
      </c>
      <c r="T21" s="37">
        <f t="shared" si="1"/>
        <v>41843</v>
      </c>
      <c r="U21" s="11" t="s">
        <v>144</v>
      </c>
      <c r="V21" s="38">
        <f t="shared" si="2"/>
        <v>124374.40853039999</v>
      </c>
      <c r="W21" s="30">
        <v>155.72999999999999</v>
      </c>
      <c r="X21" s="35">
        <f t="shared" si="3"/>
        <v>19368826.64043919</v>
      </c>
      <c r="Y21" s="39">
        <v>0</v>
      </c>
      <c r="Z21" s="30"/>
      <c r="AA21" s="30"/>
    </row>
    <row r="22" spans="2:27" ht="15.75" thickBot="1">
      <c r="B22" s="47"/>
      <c r="C22" s="47"/>
      <c r="D22" s="47"/>
      <c r="E22" s="49"/>
      <c r="F22" s="50"/>
      <c r="G22" s="50"/>
      <c r="H22" s="50"/>
      <c r="I22" s="50"/>
      <c r="J22" s="47"/>
      <c r="K22" s="49"/>
      <c r="L22" s="50"/>
      <c r="M22" s="50"/>
      <c r="N22" s="62"/>
      <c r="O22" s="62"/>
      <c r="P22" s="45">
        <f>SUM(P5:P21)</f>
        <v>4526936</v>
      </c>
      <c r="Q22" s="46">
        <f>SUM(Q5:Q21)</f>
        <v>491626754.38800001</v>
      </c>
      <c r="R22" s="47"/>
      <c r="S22" s="50"/>
      <c r="T22" s="49"/>
      <c r="U22" s="50"/>
      <c r="V22" s="46">
        <f>SUM(V5:V21)</f>
        <v>589952.10526559991</v>
      </c>
      <c r="W22" s="47"/>
      <c r="X22" s="46">
        <f>SUM(X5:X21)</f>
        <v>91873241.353011876</v>
      </c>
      <c r="Y22" s="46">
        <f>SUM(Y5:Y21)</f>
        <v>0</v>
      </c>
      <c r="Z22" s="47"/>
      <c r="AA22" s="47"/>
    </row>
    <row r="30" spans="2:27">
      <c r="C30" s="79"/>
    </row>
    <row r="31" spans="2:27">
      <c r="C31" s="79"/>
    </row>
    <row r="32" spans="2:27">
      <c r="C32" s="80"/>
    </row>
    <row r="33" spans="3:3">
      <c r="C33" s="79"/>
    </row>
  </sheetData>
  <pageMargins left="0" right="0" top="0" bottom="0" header="0.31496062992125984" footer="0"/>
  <pageSetup paperSize="8" orientation="landscape" r:id="rId1"/>
  <ignoredErrors>
    <ignoredError sqref="F6:F21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COMPREHENSIVE (APR'14)</vt:lpstr>
      <vt:lpstr>COMPLIANT (APR'14)</vt:lpstr>
      <vt:lpstr>NON-COMPLIANT (APR'14)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2014-05-07T14:00:19Z</cp:lastPrinted>
  <dcterms:created xsi:type="dcterms:W3CDTF">2013-10-09T11:18:50Z</dcterms:created>
  <dcterms:modified xsi:type="dcterms:W3CDTF">2014-05-12T08:22:43Z</dcterms:modified>
</cp:coreProperties>
</file>