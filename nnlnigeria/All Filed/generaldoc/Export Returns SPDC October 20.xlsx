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48" windowWidth="23256" windowHeight="6720" tabRatio="907" activeTab="3"/>
  </bookViews>
  <sheets>
    <sheet name="Template - Q1_Returns" sheetId="15" r:id="rId1"/>
    <sheet name="Template - Q2_Returns" sheetId="18" r:id="rId2"/>
    <sheet name="Template - Q3_Returns" sheetId="19" r:id="rId3"/>
    <sheet name="Template - Q4_Returns" sheetId="20" r:id="rId4"/>
    <sheet name="TEMPLATE - Proceeds Bonny" sheetId="2" r:id="rId5"/>
    <sheet name="TEMPLATE - Lifting Bonny" sheetId="5" r:id="rId6"/>
    <sheet name="TEMPLATE - Proceeds Forcados" sheetId="8" r:id="rId7"/>
    <sheet name="TEMPLATE - Lifting Forcados" sheetId="9" r:id="rId8"/>
    <sheet name="TEMPLATE - Proceeds EA" sheetId="10" r:id="rId9"/>
    <sheet name="TEMPLATE - Lifting EA" sheetId="11" r:id="rId10"/>
    <sheet name="TEMPLATE - Proceeds BRASS" sheetId="16" r:id="rId11"/>
    <sheet name="TEMPLATE - Lifting BRASS" sheetId="17" r:id="rId12"/>
  </sheets>
  <externalReferences>
    <externalReference r:id="rId13"/>
  </externalReferences>
  <definedNames>
    <definedName name="Brass_GrossUnitisation">[1]Calculation!$H$15</definedName>
    <definedName name="_xlnm.Print_Area" localSheetId="5">'TEMPLATE - Lifting Bonny'!#REF!</definedName>
    <definedName name="_xlnm.Print_Area" localSheetId="11">'TEMPLATE - Lifting BRASS'!#REF!</definedName>
    <definedName name="_xlnm.Print_Area" localSheetId="9">'TEMPLATE - Lifting EA'!#REF!</definedName>
    <definedName name="_xlnm.Print_Area" localSheetId="7">'TEMPLATE - Lifting Forcados'!#REF!</definedName>
    <definedName name="_xlnm.Print_Area" localSheetId="4">'TEMPLATE - Proceeds Bonny'!#REF!</definedName>
    <definedName name="_xlnm.Print_Area" localSheetId="10">'TEMPLATE - Proceeds BRASS'!#REF!</definedName>
    <definedName name="_xlnm.Print_Area" localSheetId="8">'TEMPLATE - Proceeds EA'!#REF!</definedName>
    <definedName name="_xlnm.Print_Area" localSheetId="6">'TEMPLATE - Proceeds Forcados'!#REF!</definedName>
    <definedName name="_xlnm.Print_Area" localSheetId="0">'Template - Q1_Returns'!$B$1:$T$11</definedName>
    <definedName name="_xlnm.Print_Area" localSheetId="1">'Template - Q2_Returns'!$B$1:$T$11</definedName>
    <definedName name="_xlnm.Print_Area" localSheetId="2">'Template - Q3_Returns'!$B$1:$T$12</definedName>
    <definedName name="_xlnm.Print_Area" localSheetId="3">'Template - Q4_Returns'!$B$1:$T$26</definedName>
    <definedName name="_xlnm.Print_Titles" localSheetId="5">'TEMPLATE - Lifting Bonny'!#REF!</definedName>
    <definedName name="_xlnm.Print_Titles" localSheetId="11">'TEMPLATE - Lifting BRASS'!#REF!</definedName>
    <definedName name="_xlnm.Print_Titles" localSheetId="9">'TEMPLATE - Lifting EA'!#REF!</definedName>
    <definedName name="_xlnm.Print_Titles" localSheetId="7">'TEMPLATE - Lifting Forcados'!#REF!</definedName>
    <definedName name="_xlnm.Print_Titles" localSheetId="4">'TEMPLATE - Proceeds Bonny'!#REF!</definedName>
    <definedName name="_xlnm.Print_Titles" localSheetId="10">'TEMPLATE - Proceeds BRASS'!#REF!</definedName>
    <definedName name="_xlnm.Print_Titles" localSheetId="8">'TEMPLATE - Proceeds EA'!#REF!</definedName>
    <definedName name="_xlnm.Print_Titles" localSheetId="6">'TEMPLATE - Proceeds Forcados'!#REF!</definedName>
    <definedName name="_xlnm.Print_Titles" localSheetId="0">'Template - Q1_Returns'!$39:$39</definedName>
    <definedName name="_xlnm.Print_Titles" localSheetId="1">'Template - Q2_Returns'!$39:$39</definedName>
    <definedName name="_xlnm.Print_Titles" localSheetId="2">'Template - Q3_Returns'!$40:$40</definedName>
  </definedNames>
  <calcPr calcId="145621"/>
</workbook>
</file>

<file path=xl/calcChain.xml><?xml version="1.0" encoding="utf-8"?>
<calcChain xmlns="http://schemas.openxmlformats.org/spreadsheetml/2006/main">
  <c r="T6" i="20" l="1"/>
  <c r="S6" i="20"/>
  <c r="R6" i="20"/>
  <c r="Q6" i="20"/>
  <c r="E9" i="20" l="1"/>
  <c r="E7" i="20"/>
  <c r="E6" i="20"/>
  <c r="S9" i="20" l="1"/>
  <c r="V9" i="20" s="1"/>
  <c r="L9" i="20"/>
  <c r="H9" i="20"/>
  <c r="D9" i="20"/>
  <c r="S8" i="20"/>
  <c r="V8" i="20" s="1"/>
  <c r="L8" i="20"/>
  <c r="J8" i="20"/>
  <c r="H8" i="20"/>
  <c r="T8" i="20" s="1"/>
  <c r="F8" i="20"/>
  <c r="D8" i="20"/>
  <c r="V7" i="20"/>
  <c r="P7" i="20"/>
  <c r="H7" i="20"/>
  <c r="F7" i="20"/>
  <c r="D7" i="20"/>
  <c r="V6" i="20"/>
  <c r="H6" i="20"/>
  <c r="D6" i="20"/>
  <c r="T9" i="20" l="1"/>
  <c r="F6" i="20"/>
  <c r="F9" i="20"/>
  <c r="I9" i="19" l="1"/>
  <c r="E9" i="19"/>
  <c r="P7" i="19"/>
  <c r="P6" i="19"/>
  <c r="N6" i="19"/>
  <c r="M7" i="19"/>
  <c r="N7" i="19" s="1"/>
  <c r="M6" i="19"/>
  <c r="L9" i="19" l="1"/>
  <c r="L8" i="19"/>
  <c r="L7" i="19"/>
  <c r="L6" i="19"/>
  <c r="J8" i="19"/>
  <c r="H9" i="19"/>
  <c r="H8" i="19"/>
  <c r="H7" i="19"/>
  <c r="H6" i="19"/>
  <c r="J9" i="19"/>
  <c r="I7" i="19"/>
  <c r="J7" i="19" s="1"/>
  <c r="I6" i="19"/>
  <c r="J6" i="19" s="1"/>
  <c r="E7" i="19"/>
  <c r="E6" i="19"/>
  <c r="M7" i="18" l="1"/>
  <c r="M6" i="18"/>
  <c r="I7" i="18"/>
  <c r="I6" i="18"/>
  <c r="E7" i="18"/>
  <c r="E6" i="18"/>
  <c r="P9" i="18" l="1"/>
  <c r="P8" i="18"/>
  <c r="P7" i="18"/>
  <c r="P6" i="18"/>
  <c r="L9" i="18"/>
  <c r="L8" i="18"/>
  <c r="L7" i="18"/>
  <c r="L6" i="18"/>
  <c r="H9" i="18"/>
  <c r="H8" i="18"/>
  <c r="H7" i="18"/>
  <c r="H6" i="18"/>
  <c r="M9" i="18" l="1"/>
  <c r="M8" i="18"/>
  <c r="I9" i="18" l="1"/>
  <c r="I8" i="18"/>
  <c r="N9" i="18" l="1"/>
  <c r="N8" i="18"/>
  <c r="N7" i="18"/>
  <c r="N6" i="18"/>
  <c r="J9" i="18"/>
  <c r="J8" i="18"/>
  <c r="J7" i="18"/>
  <c r="J6" i="18"/>
  <c r="E9" i="18"/>
  <c r="E8" i="18"/>
  <c r="T9" i="19" l="1"/>
  <c r="S9" i="19"/>
  <c r="V9" i="19" s="1"/>
  <c r="F9" i="19"/>
  <c r="D9" i="19"/>
  <c r="T8" i="19"/>
  <c r="S8" i="19"/>
  <c r="V8" i="19" s="1"/>
  <c r="Q8" i="19"/>
  <c r="D8" i="19"/>
  <c r="T7" i="19"/>
  <c r="S7" i="19"/>
  <c r="V7" i="19" s="1"/>
  <c r="F7" i="19"/>
  <c r="D7" i="19"/>
  <c r="T6" i="19"/>
  <c r="S6" i="19"/>
  <c r="V6" i="19" s="1"/>
  <c r="Q6" i="19"/>
  <c r="D6" i="19"/>
  <c r="R9" i="19" l="1"/>
  <c r="R7" i="19"/>
  <c r="F6" i="19"/>
  <c r="R6" i="19" s="1"/>
  <c r="F8" i="19"/>
  <c r="R8" i="19" s="1"/>
  <c r="Q7" i="19"/>
  <c r="Q9" i="19"/>
  <c r="T9" i="18" l="1"/>
  <c r="S9" i="18"/>
  <c r="V9" i="18" s="1"/>
  <c r="Q9" i="18"/>
  <c r="F9" i="18"/>
  <c r="D9" i="18"/>
  <c r="T8" i="18"/>
  <c r="S8" i="18"/>
  <c r="V8" i="18" s="1"/>
  <c r="Q8" i="18"/>
  <c r="F8" i="18"/>
  <c r="D8" i="18"/>
  <c r="T7" i="18"/>
  <c r="S7" i="18"/>
  <c r="V7" i="18" s="1"/>
  <c r="Q7" i="18"/>
  <c r="F7" i="18"/>
  <c r="D7" i="18"/>
  <c r="T6" i="18"/>
  <c r="S6" i="18"/>
  <c r="V6" i="18" s="1"/>
  <c r="Q6" i="18"/>
  <c r="F6" i="18"/>
  <c r="D6" i="18"/>
  <c r="R9" i="18" l="1"/>
  <c r="R8" i="18"/>
  <c r="R7" i="18"/>
  <c r="R6" i="18"/>
  <c r="N9" i="15" l="1"/>
  <c r="M8" i="15"/>
  <c r="N8" i="15" s="1"/>
  <c r="M7" i="15"/>
  <c r="N7" i="15" s="1"/>
  <c r="M6" i="15"/>
  <c r="N6" i="15" s="1"/>
  <c r="J20" i="17"/>
  <c r="I20" i="17"/>
  <c r="H20" i="17"/>
  <c r="G20" i="17"/>
  <c r="K21" i="16"/>
  <c r="J21" i="16"/>
  <c r="D4" i="16"/>
  <c r="J20" i="11"/>
  <c r="I20" i="11"/>
  <c r="H20" i="11"/>
  <c r="G20" i="11"/>
  <c r="K21" i="10"/>
  <c r="J21" i="10"/>
  <c r="D4" i="10"/>
  <c r="J17" i="9"/>
  <c r="I17" i="9"/>
  <c r="H17" i="9"/>
  <c r="G17" i="9"/>
  <c r="K20" i="8"/>
  <c r="J20" i="8"/>
  <c r="D3" i="8"/>
  <c r="J12" i="5"/>
  <c r="I12" i="5"/>
  <c r="H12" i="5"/>
  <c r="G12" i="5"/>
  <c r="K16" i="2"/>
  <c r="J16" i="2"/>
  <c r="D4" i="2"/>
  <c r="T9" i="15"/>
  <c r="S9" i="15"/>
  <c r="V9" i="15" s="1"/>
  <c r="Q9" i="15"/>
  <c r="J9" i="15"/>
  <c r="F9" i="15"/>
  <c r="D9" i="15"/>
  <c r="T8" i="15"/>
  <c r="S8" i="15"/>
  <c r="V8" i="15" s="1"/>
  <c r="Q8" i="15"/>
  <c r="I8" i="15"/>
  <c r="J8" i="15" s="1"/>
  <c r="F8" i="15"/>
  <c r="D8" i="15"/>
  <c r="T7" i="15"/>
  <c r="S7" i="15"/>
  <c r="V7" i="15" s="1"/>
  <c r="I7" i="15"/>
  <c r="J7" i="15" s="1"/>
  <c r="F7" i="15"/>
  <c r="R7" i="15" s="1"/>
  <c r="D7" i="15"/>
  <c r="T6" i="15"/>
  <c r="S6" i="15"/>
  <c r="V6" i="15" s="1"/>
  <c r="I6" i="15"/>
  <c r="Q6" i="15" s="1"/>
  <c r="F6" i="15"/>
  <c r="D6" i="15"/>
  <c r="R8" i="15" l="1"/>
  <c r="Q7" i="15"/>
  <c r="J6" i="15"/>
  <c r="R6" i="15" s="1"/>
  <c r="R9" i="15"/>
</calcChain>
</file>

<file path=xl/sharedStrings.xml><?xml version="1.0" encoding="utf-8"?>
<sst xmlns="http://schemas.openxmlformats.org/spreadsheetml/2006/main" count="495" uniqueCount="134">
  <si>
    <t>The Permanent Secretary</t>
  </si>
  <si>
    <t>Federal Government Secretariat</t>
  </si>
  <si>
    <t>P. M. B. 88</t>
  </si>
  <si>
    <t>Garki - Abuja</t>
  </si>
  <si>
    <t>Dear Sir,</t>
  </si>
  <si>
    <t>With reference to your letters EXP.T/S.18/Vol.153 dated July  6, 2005 and EXP.T/408/ol.VII/292 dated</t>
  </si>
  <si>
    <t>STREAM</t>
  </si>
  <si>
    <t>* TEPNG equity production from TEPNG and SPDC JVs</t>
  </si>
  <si>
    <t>**TEPNG equity production from non-operated JV and PSC</t>
  </si>
  <si>
    <t>Yours  faithfully,</t>
  </si>
  <si>
    <t>Cc:  GGM, COMD -NNPC,  ABUJA</t>
  </si>
  <si>
    <t>MONTHLY AND QUARTERLY RETURNS OF CRUDE OIL PRODUCTION AND EXPORT -  1QTR. 2012</t>
  </si>
  <si>
    <t>NB: Please note that the exported crude oil volumes  are expressed in Net Barrels at 60°/60°F.</t>
  </si>
  <si>
    <t>NB: Please note that  Usan is still on the trial marketing period for 6months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</si>
  <si>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</si>
  <si>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</si>
  <si>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</si>
  <si>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</si>
  <si>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</si>
  <si>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</si>
  <si>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</si>
  <si>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</si>
  <si>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</si>
  <si>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</si>
  <si>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</si>
  <si>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</si>
  <si>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</si>
  <si>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</si>
  <si>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</si>
  <si>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</si>
  <si>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</si>
  <si>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</si>
  <si>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</si>
  <si>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</si>
  <si>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</si>
  <si>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</si>
  <si>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</si>
  <si>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</si>
  <si>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</si>
  <si>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</si>
  <si>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</si>
  <si>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</si>
  <si>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</si>
  <si>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</si>
  <si>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</si>
  <si>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</si>
  <si>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</si>
  <si>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</si>
  <si>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</si>
  <si>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</si>
  <si>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</si>
  <si>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</si>
  <si>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</si>
  <si>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</si>
  <si>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Federal Ministry of trade and investment</t>
  </si>
  <si>
    <t>October 7, 2009 ,  we hereby advise the actual volumes of crude oil produced by COMPANY JV and the</t>
  </si>
  <si>
    <t>crude oil exported by COMPANY XX Nigeria Limited for the month of January to March 2012</t>
  </si>
  <si>
    <t>For:  COMPANY A Nigeria Limited</t>
  </si>
  <si>
    <t>SIGNED</t>
  </si>
  <si>
    <t>EXPORT Manager/DIVISION</t>
  </si>
  <si>
    <t>GAC (NIG.) LTD.</t>
  </si>
  <si>
    <t>INSPECTORATE</t>
  </si>
  <si>
    <t>BONNY LIGHT</t>
  </si>
  <si>
    <t>FORCADOS</t>
  </si>
  <si>
    <t>BRASS</t>
  </si>
  <si>
    <t>EA</t>
  </si>
  <si>
    <t>JANUARY</t>
  </si>
  <si>
    <t>FEBRUARY</t>
  </si>
  <si>
    <t>MARCH</t>
  </si>
  <si>
    <t>COMPANY Name:  SPDC (BONNY)</t>
  </si>
  <si>
    <t>SPDC (BONNY)</t>
  </si>
  <si>
    <t>SPDC</t>
  </si>
  <si>
    <t>CRUDE OIL LIFTING STATISTICS  -  SPDC (BONNY)</t>
  </si>
  <si>
    <t>TOTAL SPDC (BONNY) LIFTINGS</t>
  </si>
  <si>
    <t>COMPANY Name:  SPDC (FORCADOS)</t>
  </si>
  <si>
    <t>SPDC (FORCADOS)</t>
  </si>
  <si>
    <t>CRUDE OIL LIFTING STATISTICS  -  SPDC (FORCADOS)</t>
  </si>
  <si>
    <t>TOTAL SPDC (FORCADOS) LIFTINGS</t>
  </si>
  <si>
    <t>COMPANY Name:  SPDC (SEA EAGLE)</t>
  </si>
  <si>
    <t>SPDC (SEA EAGLE)</t>
  </si>
  <si>
    <t>CRUDE OIL LIFTING STATISTICS  -  SPDC (SEA EAGLE)</t>
  </si>
  <si>
    <t xml:space="preserve">NOTE: </t>
  </si>
  <si>
    <t>ER</t>
  </si>
  <si>
    <t>Proceeds @ REALISABLE PRICE</t>
  </si>
  <si>
    <t>TOTAL SPDC (SEA EAGLE) LIFTINGS</t>
  </si>
  <si>
    <t>Production shown above is Shell exclusive which is 30% of the total SPDC JV production as obtained in the month's field by field report.</t>
  </si>
  <si>
    <t>HEALTH CHECK</t>
  </si>
  <si>
    <t>PRODUCTION VOLUMES</t>
  </si>
  <si>
    <t>EXPORT VOLUMES</t>
  </si>
  <si>
    <t>NET BBLS</t>
  </si>
  <si>
    <t>NET MT</t>
  </si>
  <si>
    <t>Conversion rate from net barrels to net metric tonnes used on production volumes was 0.133774139</t>
  </si>
  <si>
    <t>CRUDE OIL LIFTING STATISTICS  -  SPDC (BRASS)</t>
  </si>
  <si>
    <t>COMPANY Name:  SPDC (BRASS)</t>
  </si>
  <si>
    <t>SPDC (BRASS)</t>
  </si>
  <si>
    <t>SPDC Q1 2014 PRODUCTION AND EXPORT SUMMARY</t>
  </si>
  <si>
    <t>Q1 2014 SUMMARY</t>
  </si>
  <si>
    <t>Q1 2014 EXPORT  PERMIT VOLUMES</t>
  </si>
  <si>
    <t>Bonny Light</t>
  </si>
  <si>
    <t>Forcados Blend</t>
  </si>
  <si>
    <t>APRIL</t>
  </si>
  <si>
    <t>MAY</t>
  </si>
  <si>
    <t>JUNE</t>
  </si>
  <si>
    <t>Q2 2014 SUMMARY</t>
  </si>
  <si>
    <t>SPDC Q2 2014 PRODUCTION AND EXPORT SUMMARY</t>
  </si>
  <si>
    <t>SPDC Q3 2014 PRODUCTION AND EXPORT SUMMARY</t>
  </si>
  <si>
    <t>JULY</t>
  </si>
  <si>
    <t>AUGUST</t>
  </si>
  <si>
    <t>SEPTEMBER</t>
  </si>
  <si>
    <t>Q3 2014 SUMMARY</t>
  </si>
  <si>
    <t>Q2 2014 EXPORT  PERMIT VOLUMES</t>
  </si>
  <si>
    <t>TOTAL SPDC (BRASS) LIFTINGS</t>
  </si>
  <si>
    <t>Q3 2014 EXPORT  PERMIT VOLUMES</t>
  </si>
  <si>
    <t>OCTOBER</t>
  </si>
  <si>
    <t>NOVEMBER</t>
  </si>
  <si>
    <t>DECEMBER</t>
  </si>
  <si>
    <t>Q4 2014 SUMMARY</t>
  </si>
  <si>
    <t>Q4 2014 EXPORT  PERMIT VOLUMES</t>
  </si>
  <si>
    <t>17/10/14</t>
  </si>
  <si>
    <t>UNIVERSAL CROWN</t>
  </si>
  <si>
    <t>TEXAS</t>
  </si>
  <si>
    <t>OMSP(S) INDIA</t>
  </si>
  <si>
    <t>WILHELMSEN SHIPS SERVICES</t>
  </si>
  <si>
    <t>13/10/14</t>
  </si>
  <si>
    <t>PRINCIMAR JOY</t>
  </si>
  <si>
    <t>ABIDJAN FOR ORDERS</t>
  </si>
  <si>
    <t>___________________________</t>
  </si>
  <si>
    <t>Prepared by: Charles Chukwuma</t>
  </si>
  <si>
    <t>_____________________________</t>
  </si>
  <si>
    <t>Reviewed by: Peter DIRISU</t>
  </si>
  <si>
    <t>______________________________</t>
  </si>
  <si>
    <t>Approved by: Capt. Rick HIBBERT</t>
  </si>
  <si>
    <t xml:space="preserve"> $88.8193 
</t>
  </si>
  <si>
    <t>SPDC Q4 (ONLY OCTOBER IS AVAILABLE) 2014 PRODUCTION AND EXPORT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</si>
</sst>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dd\-mmm\-yyyy"/>
    <numFmt numFmtId="167" formatCode="\$0.0000"/>
    <numFmt numFmtId="168" formatCode="_(* #,##0_);_(* \(#,##0\);_(* &quot;-&quot;??_);_(@_)"/>
    <numFmt numFmtId="169" formatCode="_-* #,##0.00000_-;\-* #,##0.000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u/>
      <sz val="12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sz val="10"/>
      <name val="Helv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2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99">
    <xf numFmtId="0" fontId="0" fillId="0" borderId="0" xfId="0"/>
    <xf numFmtId="164" fontId="2" fillId="0" borderId="0" xfId="1"/>
    <xf numFmtId="0" fontId="6" fillId="0" borderId="0" xfId="0" applyFont="1"/>
    <xf numFmtId="164" fontId="6" fillId="0" borderId="0" xfId="1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9" fillId="0" borderId="0" xfId="0" applyFont="1" applyBorder="1"/>
    <xf numFmtId="0" fontId="10" fillId="0" borderId="0" xfId="0" applyFont="1"/>
    <xf numFmtId="0" fontId="0" fillId="0" borderId="0" xfId="0" applyAlignment="1">
      <alignment vertical="center" wrapText="1"/>
    </xf>
    <xf numFmtId="164" fontId="2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Font="1" applyAlignment="1">
      <alignment vertical="center"/>
    </xf>
    <xf numFmtId="15" fontId="14" fillId="0" borderId="0" xfId="0" applyNumberFormat="1" applyFont="1" applyBorder="1" applyAlignment="1">
      <alignment horizontal="left" vertical="center"/>
    </xf>
    <xf numFmtId="3" fontId="0" fillId="0" borderId="0" xfId="0" applyNumberFormat="1"/>
    <xf numFmtId="0" fontId="9" fillId="0" borderId="0" xfId="0" applyFont="1"/>
    <xf numFmtId="0" fontId="3" fillId="0" borderId="0" xfId="0" applyFont="1" applyBorder="1"/>
    <xf numFmtId="0" fontId="7" fillId="0" borderId="0" xfId="0" applyFont="1" applyBorder="1"/>
    <xf numFmtId="0" fontId="4" fillId="0" borderId="0" xfId="0" applyFont="1" applyBorder="1"/>
    <xf numFmtId="0" fontId="0" fillId="0" borderId="0" xfId="0" applyBorder="1"/>
    <xf numFmtId="0" fontId="16" fillId="0" borderId="0" xfId="0" applyFont="1" applyBorder="1"/>
    <xf numFmtId="3" fontId="15" fillId="0" borderId="0" xfId="0" applyNumberFormat="1" applyFont="1" applyFill="1" applyBorder="1" applyAlignment="1">
      <alignment horizontal="center"/>
    </xf>
    <xf numFmtId="14" fontId="17" fillId="0" borderId="0" xfId="0" applyNumberFormat="1" applyFont="1" applyBorder="1" applyAlignment="1">
      <alignment horizontal="center"/>
    </xf>
    <xf numFmtId="3" fontId="18" fillId="0" borderId="0" xfId="0" applyNumberFormat="1" applyFont="1" applyBorder="1" applyAlignment="1">
      <alignment horizontal="center"/>
    </xf>
    <xf numFmtId="3" fontId="15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14" fillId="0" borderId="0" xfId="0" applyFont="1" applyAlignment="1">
      <alignment vertical="center"/>
    </xf>
    <xf numFmtId="3" fontId="14" fillId="0" borderId="0" xfId="0" applyNumberFormat="1" applyFont="1" applyBorder="1" applyAlignment="1">
      <alignment horizontal="center" vertical="center"/>
    </xf>
    <xf numFmtId="3" fontId="19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0" xfId="0" applyFont="1"/>
    <xf numFmtId="17" fontId="10" fillId="0" borderId="0" xfId="0" applyNumberFormat="1" applyFont="1" applyAlignment="1">
      <alignment horizontal="left" vertical="center"/>
    </xf>
    <xf numFmtId="17" fontId="10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7" fontId="21" fillId="0" borderId="0" xfId="0" applyNumberFormat="1" applyFont="1" applyAlignment="1">
      <alignment horizontal="left" vertical="center"/>
    </xf>
    <xf numFmtId="167" fontId="10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2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0" fontId="6" fillId="0" borderId="0" xfId="2" applyFont="1"/>
    <xf numFmtId="0" fontId="6" fillId="0" borderId="0" xfId="2" applyFont="1" applyFill="1" applyAlignment="1">
      <alignment horizontal="left"/>
    </xf>
    <xf numFmtId="0" fontId="6" fillId="0" borderId="0" xfId="2" applyFont="1" applyAlignment="1">
      <alignment horizontal="center"/>
    </xf>
    <xf numFmtId="3" fontId="6" fillId="0" borderId="0" xfId="2" applyNumberFormat="1" applyFont="1"/>
    <xf numFmtId="2" fontId="6" fillId="0" borderId="0" xfId="2" applyNumberFormat="1" applyFont="1"/>
    <xf numFmtId="0" fontId="8" fillId="3" borderId="0" xfId="0" applyFont="1" applyFill="1" applyAlignment="1">
      <alignment horizontal="left"/>
    </xf>
    <xf numFmtId="0" fontId="9" fillId="3" borderId="0" xfId="0" applyFont="1" applyFill="1" applyBorder="1"/>
    <xf numFmtId="166" fontId="10" fillId="0" borderId="0" xfId="0" applyNumberFormat="1" applyFont="1" applyAlignment="1">
      <alignment horizontal="left" vertical="center"/>
    </xf>
    <xf numFmtId="0" fontId="12" fillId="0" borderId="0" xfId="0" applyFont="1" applyBorder="1"/>
    <xf numFmtId="164" fontId="12" fillId="0" borderId="0" xfId="1" applyFont="1"/>
    <xf numFmtId="0" fontId="12" fillId="0" borderId="0" xfId="2" applyFont="1" applyAlignment="1">
      <alignment horizontal="left"/>
    </xf>
    <xf numFmtId="0" fontId="12" fillId="0" borderId="0" xfId="2" applyFont="1" applyFill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center"/>
    </xf>
    <xf numFmtId="2" fontId="12" fillId="0" borderId="0" xfId="2" applyNumberFormat="1" applyFont="1"/>
    <xf numFmtId="0" fontId="11" fillId="0" borderId="5" xfId="2" applyFont="1" applyBorder="1" applyAlignment="1">
      <alignment horizontal="center"/>
    </xf>
    <xf numFmtId="0" fontId="11" fillId="0" borderId="5" xfId="2" applyFont="1" applyFill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6" xfId="2" applyFont="1" applyBorder="1" applyAlignment="1">
      <alignment horizontal="right"/>
    </xf>
    <xf numFmtId="2" fontId="11" fillId="0" borderId="5" xfId="2" applyNumberFormat="1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8" xfId="2" applyFont="1" applyFill="1" applyBorder="1" applyAlignment="1">
      <alignment horizontal="center"/>
    </xf>
    <xf numFmtId="2" fontId="11" fillId="0" borderId="8" xfId="2" applyNumberFormat="1" applyFont="1" applyBorder="1" applyAlignment="1">
      <alignment horizontal="center"/>
    </xf>
    <xf numFmtId="3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vertical="center" wrapText="1"/>
    </xf>
    <xf numFmtId="0" fontId="24" fillId="0" borderId="0" xfId="0" applyFont="1" applyBorder="1"/>
    <xf numFmtId="0" fontId="25" fillId="0" borderId="0" xfId="0" applyFont="1" applyBorder="1"/>
    <xf numFmtId="0" fontId="26" fillId="0" borderId="0" xfId="0" applyFont="1" applyBorder="1"/>
    <xf numFmtId="3" fontId="25" fillId="0" borderId="0" xfId="0" applyNumberFormat="1" applyFont="1" applyFill="1" applyBorder="1" applyAlignment="1">
      <alignment horizontal="center"/>
    </xf>
    <xf numFmtId="14" fontId="27" fillId="0" borderId="0" xfId="0" applyNumberFormat="1" applyFont="1" applyBorder="1" applyAlignment="1">
      <alignment horizontal="center"/>
    </xf>
    <xf numFmtId="3" fontId="27" fillId="0" borderId="0" xfId="0" applyNumberFormat="1" applyFont="1" applyBorder="1" applyAlignment="1">
      <alignment horizontal="center"/>
    </xf>
    <xf numFmtId="3" fontId="25" fillId="0" borderId="0" xfId="0" applyNumberFormat="1" applyFont="1" applyBorder="1" applyAlignment="1">
      <alignment horizontal="center"/>
    </xf>
    <xf numFmtId="0" fontId="28" fillId="0" borderId="0" xfId="0" applyFont="1" applyBorder="1"/>
    <xf numFmtId="0" fontId="29" fillId="0" borderId="0" xfId="0" applyFont="1"/>
    <xf numFmtId="14" fontId="29" fillId="0" borderId="0" xfId="0" applyNumberFormat="1" applyFont="1" applyAlignment="1">
      <alignment horizontal="left"/>
    </xf>
    <xf numFmtId="165" fontId="12" fillId="0" borderId="0" xfId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0" fontId="19" fillId="0" borderId="12" xfId="0" applyFont="1" applyBorder="1" applyAlignment="1">
      <alignment horizontal="left" vertical="center"/>
    </xf>
    <xf numFmtId="0" fontId="14" fillId="0" borderId="12" xfId="0" applyFont="1" applyBorder="1" applyAlignment="1">
      <alignment vertical="center"/>
    </xf>
    <xf numFmtId="4" fontId="19" fillId="0" borderId="12" xfId="0" applyNumberFormat="1" applyFont="1" applyBorder="1" applyAlignment="1">
      <alignment horizontal="center" vertical="center"/>
    </xf>
    <xf numFmtId="3" fontId="19" fillId="0" borderId="12" xfId="0" applyNumberFormat="1" applyFont="1" applyBorder="1" applyAlignment="1">
      <alignment horizontal="center" vertical="center"/>
    </xf>
    <xf numFmtId="164" fontId="14" fillId="0" borderId="0" xfId="1" applyFont="1" applyBorder="1" applyAlignment="1">
      <alignment horizontal="center" vertical="center"/>
    </xf>
    <xf numFmtId="165" fontId="14" fillId="0" borderId="0" xfId="1" applyNumberFormat="1" applyFont="1" applyBorder="1" applyAlignment="1">
      <alignment horizontal="center" vertical="center"/>
    </xf>
    <xf numFmtId="15" fontId="19" fillId="0" borderId="0" xfId="0" applyNumberFormat="1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168" fontId="29" fillId="0" borderId="0" xfId="1" applyNumberFormat="1" applyFont="1" applyFill="1" applyAlignment="1">
      <alignment horizontal="center"/>
    </xf>
    <xf numFmtId="168" fontId="29" fillId="0" borderId="0" xfId="1" applyNumberFormat="1" applyFont="1"/>
    <xf numFmtId="0" fontId="29" fillId="0" borderId="0" xfId="0" applyFont="1" applyAlignment="1"/>
    <xf numFmtId="168" fontId="29" fillId="0" borderId="0" xfId="1" applyNumberFormat="1" applyFont="1" applyAlignment="1"/>
    <xf numFmtId="43" fontId="29" fillId="0" borderId="0" xfId="1" applyNumberFormat="1" applyFont="1" applyFill="1" applyAlignment="1">
      <alignment horizontal="center"/>
    </xf>
    <xf numFmtId="43" fontId="29" fillId="0" borderId="0" xfId="1" applyNumberFormat="1" applyFont="1"/>
    <xf numFmtId="168" fontId="29" fillId="0" borderId="0" xfId="1" applyNumberFormat="1" applyFont="1" applyAlignment="1">
      <alignment horizontal="right"/>
    </xf>
    <xf numFmtId="164" fontId="31" fillId="0" borderId="0" xfId="1" applyFont="1"/>
    <xf numFmtId="164" fontId="31" fillId="0" borderId="0" xfId="1" applyFont="1" applyAlignment="1">
      <alignment horizontal="center"/>
    </xf>
    <xf numFmtId="3" fontId="19" fillId="0" borderId="12" xfId="0" applyNumberFormat="1" applyFont="1" applyBorder="1" applyAlignment="1">
      <alignment horizontal="right" vertical="center"/>
    </xf>
    <xf numFmtId="165" fontId="0" fillId="4" borderId="0" xfId="1" applyNumberFormat="1" applyFont="1" applyFill="1"/>
    <xf numFmtId="3" fontId="6" fillId="5" borderId="0" xfId="0" applyNumberFormat="1" applyFont="1" applyFill="1" applyAlignment="1">
      <alignment vertical="center"/>
    </xf>
    <xf numFmtId="3" fontId="13" fillId="5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13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vertical="center"/>
    </xf>
    <xf numFmtId="3" fontId="13" fillId="0" borderId="0" xfId="0" applyNumberFormat="1" applyFont="1" applyFill="1" applyAlignment="1">
      <alignment vertical="center"/>
    </xf>
    <xf numFmtId="15" fontId="19" fillId="0" borderId="1" xfId="0" applyNumberFormat="1" applyFont="1" applyBorder="1" applyAlignment="1">
      <alignment horizontal="left" vertical="center"/>
    </xf>
    <xf numFmtId="15" fontId="19" fillId="0" borderId="15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centerContinuous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3" fontId="14" fillId="0" borderId="19" xfId="0" applyNumberFormat="1" applyFont="1" applyBorder="1" applyAlignment="1">
      <alignment horizontal="right" vertical="center"/>
    </xf>
    <xf numFmtId="3" fontId="14" fillId="0" borderId="20" xfId="0" applyNumberFormat="1" applyFont="1" applyBorder="1" applyAlignment="1">
      <alignment horizontal="right" vertical="center"/>
    </xf>
    <xf numFmtId="3" fontId="14" fillId="0" borderId="21" xfId="0" applyNumberFormat="1" applyFont="1" applyBorder="1" applyAlignment="1">
      <alignment horizontal="right" vertical="center"/>
    </xf>
    <xf numFmtId="3" fontId="14" fillId="0" borderId="22" xfId="0" applyNumberFormat="1" applyFont="1" applyBorder="1" applyAlignment="1">
      <alignment horizontal="right" vertical="center"/>
    </xf>
    <xf numFmtId="169" fontId="6" fillId="0" borderId="0" xfId="1" applyNumberFormat="1" applyFont="1" applyAlignment="1">
      <alignment vertical="center"/>
    </xf>
    <xf numFmtId="3" fontId="14" fillId="0" borderId="21" xfId="0" applyNumberFormat="1" applyFont="1" applyFill="1" applyBorder="1" applyAlignment="1">
      <alignment horizontal="right" vertical="center"/>
    </xf>
    <xf numFmtId="3" fontId="14" fillId="0" borderId="22" xfId="0" applyNumberFormat="1" applyFont="1" applyFill="1" applyBorder="1" applyAlignment="1">
      <alignment horizontal="right" vertical="center"/>
    </xf>
    <xf numFmtId="0" fontId="14" fillId="0" borderId="0" xfId="0" applyFont="1" applyBorder="1" applyAlignment="1">
      <alignment horizontal="center" vertical="center"/>
    </xf>
    <xf numFmtId="165" fontId="0" fillId="0" borderId="0" xfId="1" applyNumberFormat="1" applyFont="1"/>
    <xf numFmtId="165" fontId="14" fillId="0" borderId="19" xfId="1" applyNumberFormat="1" applyFont="1" applyBorder="1" applyAlignment="1">
      <alignment horizontal="right" vertical="center"/>
    </xf>
    <xf numFmtId="14" fontId="29" fillId="0" borderId="0" xfId="0" applyNumberFormat="1" applyFont="1" applyFill="1" applyAlignment="1">
      <alignment horizontal="left"/>
    </xf>
    <xf numFmtId="0" fontId="29" fillId="0" borderId="0" xfId="0" applyFont="1" applyFill="1"/>
    <xf numFmtId="168" fontId="29" fillId="0" borderId="0" xfId="1" applyNumberFormat="1" applyFont="1" applyFill="1" applyAlignment="1">
      <alignment horizontal="left"/>
    </xf>
    <xf numFmtId="14" fontId="29" fillId="0" borderId="0" xfId="0" applyNumberFormat="1" applyFont="1" applyFill="1"/>
    <xf numFmtId="165" fontId="29" fillId="0" borderId="0" xfId="1" applyNumberFormat="1" applyFont="1" applyFill="1" applyAlignment="1">
      <alignment horizontal="center"/>
    </xf>
    <xf numFmtId="0" fontId="4" fillId="0" borderId="16" xfId="3" applyFont="1" applyBorder="1" applyAlignment="1">
      <alignment horizontal="centerContinuous" wrapText="1"/>
    </xf>
    <xf numFmtId="0" fontId="32" fillId="0" borderId="0" xfId="0" applyFont="1" applyFill="1"/>
    <xf numFmtId="14" fontId="32" fillId="0" borderId="0" xfId="0" applyNumberFormat="1" applyFont="1" applyFill="1" applyAlignment="1">
      <alignment horizontal="left"/>
    </xf>
    <xf numFmtId="43" fontId="32" fillId="0" borderId="0" xfId="1" applyNumberFormat="1" applyFont="1" applyFill="1" applyAlignment="1">
      <alignment horizontal="center"/>
    </xf>
    <xf numFmtId="168" fontId="29" fillId="0" borderId="0" xfId="1" applyNumberFormat="1" applyFont="1" applyFill="1" applyAlignment="1">
      <alignment horizontal="right"/>
    </xf>
    <xf numFmtId="168" fontId="32" fillId="0" borderId="0" xfId="1" applyNumberFormat="1" applyFont="1" applyFill="1" applyAlignment="1">
      <alignment horizontal="right"/>
    </xf>
    <xf numFmtId="168" fontId="32" fillId="0" borderId="0" xfId="1" applyNumberFormat="1" applyFont="1" applyFill="1"/>
    <xf numFmtId="43" fontId="32" fillId="0" borderId="0" xfId="1" applyNumberFormat="1" applyFont="1" applyFill="1"/>
    <xf numFmtId="168" fontId="32" fillId="0" borderId="0" xfId="1" applyNumberFormat="1" applyFont="1" applyFill="1" applyAlignment="1">
      <alignment horizontal="center"/>
    </xf>
    <xf numFmtId="168" fontId="32" fillId="0" borderId="0" xfId="1" applyNumberFormat="1" applyFont="1" applyFill="1" applyAlignment="1">
      <alignment horizontal="left"/>
    </xf>
    <xf numFmtId="43" fontId="32" fillId="0" borderId="0" xfId="1" applyNumberFormat="1" applyFont="1" applyFill="1" applyAlignment="1">
      <alignment horizontal="right"/>
    </xf>
    <xf numFmtId="2" fontId="32" fillId="0" borderId="0" xfId="0" applyNumberFormat="1" applyFont="1" applyFill="1" applyAlignment="1">
      <alignment horizontal="right"/>
    </xf>
    <xf numFmtId="14" fontId="29" fillId="0" borderId="0" xfId="0" applyNumberFormat="1" applyFont="1" applyFill="1" applyAlignment="1">
      <alignment horizontal="right"/>
    </xf>
    <xf numFmtId="43" fontId="29" fillId="0" borderId="0" xfId="1" applyNumberFormat="1" applyFont="1" applyFill="1"/>
    <xf numFmtId="43" fontId="29" fillId="0" borderId="0" xfId="1" applyNumberFormat="1" applyFont="1" applyFill="1" applyAlignment="1"/>
    <xf numFmtId="15" fontId="33" fillId="0" borderId="0" xfId="0" applyNumberFormat="1" applyFont="1" applyBorder="1" applyAlignment="1">
      <alignment horizontal="left" vertical="center"/>
    </xf>
    <xf numFmtId="38" fontId="34" fillId="0" borderId="0" xfId="0" applyNumberFormat="1" applyFont="1" applyFill="1" applyBorder="1" applyAlignment="1" applyProtection="1">
      <alignment horizontal="right"/>
      <protection locked="0"/>
    </xf>
    <xf numFmtId="0" fontId="19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4" fillId="0" borderId="16" xfId="3" applyFont="1" applyBorder="1" applyAlignment="1">
      <alignment horizontal="center" wrapText="1"/>
    </xf>
    <xf numFmtId="0" fontId="20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23" fillId="3" borderId="0" xfId="2" applyFont="1" applyFill="1" applyAlignment="1">
      <alignment horizontal="center"/>
    </xf>
    <xf numFmtId="17" fontId="23" fillId="3" borderId="0" xfId="2" applyNumberFormat="1" applyFont="1" applyFill="1" applyAlignment="1">
      <alignment horizontal="center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3" fontId="14" fillId="0" borderId="23" xfId="0" applyNumberFormat="1" applyFont="1" applyBorder="1" applyAlignment="1">
      <alignment horizontal="right" vertical="center"/>
    </xf>
    <xf numFmtId="3" fontId="14" fillId="0" borderId="24" xfId="0" applyNumberFormat="1" applyFont="1" applyBorder="1" applyAlignment="1">
      <alignment horizontal="right" vertical="center"/>
    </xf>
    <xf numFmtId="3" fontId="14" fillId="0" borderId="25" xfId="0" applyNumberFormat="1" applyFont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14" fontId="29" fillId="0" borderId="0" xfId="4" applyNumberFormat="1" applyFont="1" applyFill="1" applyAlignment="1">
      <alignment horizontal="left"/>
    </xf>
    <xf numFmtId="0" fontId="29" fillId="0" borderId="0" xfId="4" applyFont="1" applyFill="1" applyAlignment="1">
      <alignment horizontal="left"/>
    </xf>
    <xf numFmtId="165" fontId="29" fillId="0" borderId="0" xfId="1" applyNumberFormat="1" applyFont="1" applyFill="1" applyAlignment="1"/>
    <xf numFmtId="0" fontId="29" fillId="0" borderId="0" xfId="4" applyFont="1" applyFill="1"/>
    <xf numFmtId="43" fontId="29" fillId="0" borderId="0" xfId="5" applyFont="1" applyFill="1" applyAlignment="1">
      <alignment horizontal="center"/>
    </xf>
    <xf numFmtId="168" fontId="29" fillId="0" borderId="0" xfId="5" applyNumberFormat="1" applyFont="1" applyFill="1" applyAlignment="1">
      <alignment horizontal="center"/>
    </xf>
    <xf numFmtId="165" fontId="29" fillId="0" borderId="0" xfId="1" applyNumberFormat="1" applyFont="1" applyFill="1"/>
    <xf numFmtId="0" fontId="29" fillId="0" borderId="0" xfId="4" applyFont="1" applyFill="1"/>
    <xf numFmtId="0" fontId="29" fillId="0" borderId="0" xfId="4" applyFont="1" applyFill="1"/>
    <xf numFmtId="14" fontId="29" fillId="0" borderId="0" xfId="4" applyNumberFormat="1" applyFont="1" applyFill="1"/>
    <xf numFmtId="0" fontId="29" fillId="0" borderId="0" xfId="4" applyFont="1" applyFill="1"/>
    <xf numFmtId="167" fontId="10" fillId="0" borderId="0" xfId="0" applyNumberFormat="1" applyFont="1" applyAlignment="1">
      <alignment horizontal="left" vertical="center"/>
    </xf>
    <xf numFmtId="43" fontId="29" fillId="0" borderId="0" xfId="5" applyFont="1" applyFill="1" applyAlignment="1">
      <alignment horizontal="center"/>
    </xf>
    <xf numFmtId="14" fontId="29" fillId="0" borderId="0" xfId="4" applyNumberFormat="1" applyFont="1" applyFill="1" applyAlignment="1">
      <alignment horizontal="left"/>
    </xf>
    <xf numFmtId="0" fontId="29" fillId="0" borderId="0" xfId="4" applyFont="1" applyFill="1" applyAlignment="1">
      <alignment horizontal="left"/>
    </xf>
    <xf numFmtId="0" fontId="29" fillId="0" borderId="0" xfId="4" applyFont="1" applyFill="1"/>
    <xf numFmtId="14" fontId="29" fillId="0" borderId="0" xfId="4" applyNumberFormat="1" applyFont="1" applyFill="1" applyAlignment="1">
      <alignment horizontal="left"/>
    </xf>
    <xf numFmtId="0" fontId="29" fillId="0" borderId="0" xfId="4" applyFont="1" applyFill="1" applyAlignment="1">
      <alignment horizontal="left"/>
    </xf>
    <xf numFmtId="0" fontId="29" fillId="0" borderId="0" xfId="4" applyFont="1" applyFill="1"/>
    <xf numFmtId="43" fontId="29" fillId="0" borderId="0" xfId="5" applyFont="1" applyFill="1" applyAlignment="1">
      <alignment horizontal="center"/>
    </xf>
    <xf numFmtId="168" fontId="29" fillId="0" borderId="0" xfId="5" applyNumberFormat="1" applyFont="1" applyFill="1"/>
    <xf numFmtId="0" fontId="29" fillId="0" borderId="0" xfId="4" applyFont="1" applyFill="1"/>
    <xf numFmtId="0" fontId="29" fillId="0" borderId="0" xfId="4" applyFont="1" applyFill="1"/>
    <xf numFmtId="168" fontId="29" fillId="0" borderId="0" xfId="5" applyNumberFormat="1" applyFont="1" applyFill="1" applyAlignment="1">
      <alignment horizontal="center"/>
    </xf>
    <xf numFmtId="164" fontId="29" fillId="0" borderId="0" xfId="1" applyNumberFormat="1" applyFont="1" applyFill="1" applyAlignment="1"/>
    <xf numFmtId="167" fontId="10" fillId="0" borderId="0" xfId="0" applyNumberFormat="1" applyFont="1" applyAlignment="1">
      <alignment horizontal="left"/>
    </xf>
    <xf numFmtId="14" fontId="29" fillId="0" borderId="0" xfId="4" applyNumberFormat="1" applyFont="1" applyFill="1"/>
    <xf numFmtId="0" fontId="29" fillId="0" borderId="0" xfId="4" applyFont="1" applyFill="1"/>
    <xf numFmtId="168" fontId="29" fillId="0" borderId="0" xfId="5" applyNumberFormat="1" applyFont="1" applyFill="1"/>
    <xf numFmtId="0" fontId="29" fillId="0" borderId="0" xfId="4" applyFont="1" applyFill="1"/>
    <xf numFmtId="14" fontId="29" fillId="0" borderId="0" xfId="4" applyNumberFormat="1" applyFont="1" applyFill="1" applyAlignment="1">
      <alignment horizontal="left"/>
    </xf>
    <xf numFmtId="0" fontId="29" fillId="0" borderId="0" xfId="4" applyFont="1" applyFill="1" applyAlignment="1">
      <alignment horizontal="left"/>
    </xf>
  </cellXfs>
  <cellStyles count="9">
    <cellStyle name="Comma" xfId="1" builtinId="3"/>
    <cellStyle name="Comma 2" xfId="5"/>
    <cellStyle name="Comma 5" xfId="7"/>
    <cellStyle name="Normal" xfId="0" builtinId="0"/>
    <cellStyle name="Normal 2" xfId="2"/>
    <cellStyle name="Normal 2 2" xfId="6"/>
    <cellStyle name="Normal 3" xfId="3"/>
    <cellStyle name="Normal 4" xfId="8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Departmental%20Files/TRN.01.03%20Statements%20&amp;%20Reconciliations/TRN.01.03.01%20Schedule%201B/2014%20Finals/July%202014(Final)_Schedule%201B_3%206(30.%2006.%202014-PeterDirisu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Admin"/>
      <sheetName val="Tracker(MCA)_Input"/>
      <sheetName val="Tracker(NNPC &amp; NPDC)_Input "/>
      <sheetName val="Input "/>
      <sheetName val="Calculation"/>
      <sheetName val="All Stream"/>
      <sheetName val="Light"/>
      <sheetName val="SPDC Bonny Farmor Share"/>
      <sheetName val="Forcados"/>
      <sheetName val="SPDC Forc Farmor Share"/>
      <sheetName val="Forc Condens"/>
      <sheetName val="EA"/>
      <sheetName val="Brass"/>
      <sheetName val="3rd Party Bonny"/>
      <sheetName val="3rd Party Forcados"/>
      <sheetName val="Summary"/>
      <sheetName val="SPDC_Closing stock_Calculation"/>
      <sheetName val="SPDC_Prod Calculation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5">
          <cell r="H15">
            <v>151153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8"/>
  <sheetViews>
    <sheetView showGridLines="0" view="pageLayout" zoomScale="85" zoomScaleNormal="100" zoomScalePageLayoutView="85" workbookViewId="0">
      <selection activeCell="H16" sqref="H16"/>
    </sheetView>
  </sheetViews>
  <sheetFormatPr defaultRowHeight="13.2" x14ac:dyDescent="0.25"/>
  <cols>
    <col min="1" max="1" width="1.44140625" customWidth="1"/>
    <col min="2" max="2" width="13" customWidth="1"/>
    <col min="3" max="3" width="9" customWidth="1"/>
    <col min="4" max="4" width="8.6640625" customWidth="1"/>
    <col min="5" max="5" width="10.88671875" bestFit="1" customWidth="1"/>
    <col min="6" max="6" width="7.5546875" customWidth="1"/>
    <col min="7" max="7" width="9.109375" customWidth="1"/>
    <col min="8" max="8" width="7.5546875" customWidth="1"/>
    <col min="9" max="9" width="9" customWidth="1"/>
    <col min="10" max="10" width="7.44140625" customWidth="1"/>
    <col min="11" max="11" width="9.5546875" customWidth="1"/>
    <col min="12" max="12" width="7.88671875" customWidth="1"/>
    <col min="13" max="13" width="9.44140625" customWidth="1"/>
    <col min="14" max="14" width="7.5546875" customWidth="1"/>
    <col min="15" max="15" width="8.5546875" customWidth="1"/>
    <col min="16" max="16" width="7.44140625" customWidth="1"/>
    <col min="17" max="17" width="9.33203125" customWidth="1"/>
    <col min="18" max="18" width="8.5546875" customWidth="1"/>
    <col min="19" max="19" width="9.44140625" customWidth="1"/>
    <col min="20" max="20" width="7.44140625" customWidth="1"/>
    <col min="21" max="21" width="2.109375" customWidth="1"/>
    <col min="22" max="22" width="13.88671875" customWidth="1"/>
    <col min="23" max="23" width="11.88671875" customWidth="1"/>
    <col min="24" max="24" width="15.5546875" customWidth="1"/>
    <col min="25" max="25" width="20.109375" customWidth="1"/>
    <col min="26" max="26" width="11.33203125" style="1" bestFit="1" customWidth="1"/>
  </cols>
  <sheetData>
    <row r="1" spans="1:26" ht="16.2" thickBot="1" x14ac:dyDescent="0.35">
      <c r="B1" s="148" t="s">
        <v>95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</row>
    <row r="2" spans="1:26" ht="15.6" thickBot="1" x14ac:dyDescent="0.3">
      <c r="E2" s="109" t="s">
        <v>66</v>
      </c>
      <c r="F2" s="109"/>
      <c r="G2" s="109"/>
      <c r="H2" s="109"/>
      <c r="I2" s="109" t="s">
        <v>67</v>
      </c>
      <c r="J2" s="109"/>
      <c r="K2" s="109"/>
      <c r="L2" s="109"/>
      <c r="M2" s="109" t="s">
        <v>68</v>
      </c>
      <c r="N2" s="109"/>
      <c r="O2" s="109"/>
      <c r="P2" s="109"/>
      <c r="Q2" s="149" t="s">
        <v>96</v>
      </c>
      <c r="R2" s="149"/>
      <c r="S2" s="149"/>
      <c r="T2" s="149"/>
    </row>
    <row r="3" spans="1:26" s="13" customFormat="1" ht="27.9" customHeight="1" x14ac:dyDescent="0.25">
      <c r="B3" s="150" t="s">
        <v>6</v>
      </c>
      <c r="C3" s="144" t="s">
        <v>97</v>
      </c>
      <c r="D3" s="145"/>
      <c r="E3" s="144" t="s">
        <v>87</v>
      </c>
      <c r="F3" s="145"/>
      <c r="G3" s="144" t="s">
        <v>88</v>
      </c>
      <c r="H3" s="145"/>
      <c r="I3" s="144" t="s">
        <v>87</v>
      </c>
      <c r="J3" s="145"/>
      <c r="K3" s="144" t="s">
        <v>88</v>
      </c>
      <c r="L3" s="145"/>
      <c r="M3" s="144" t="s">
        <v>87</v>
      </c>
      <c r="N3" s="145"/>
      <c r="O3" s="144" t="s">
        <v>88</v>
      </c>
      <c r="P3" s="145"/>
      <c r="Q3" s="144" t="s">
        <v>87</v>
      </c>
      <c r="R3" s="145"/>
      <c r="S3" s="144" t="s">
        <v>88</v>
      </c>
      <c r="T3" s="145"/>
      <c r="U3" s="12"/>
      <c r="V3" s="101"/>
      <c r="Z3" s="14"/>
    </row>
    <row r="4" spans="1:26" s="13" customFormat="1" ht="51.75" customHeight="1" x14ac:dyDescent="0.25">
      <c r="B4" s="151"/>
      <c r="C4" s="146"/>
      <c r="D4" s="147"/>
      <c r="E4" s="146"/>
      <c r="F4" s="147"/>
      <c r="G4" s="146"/>
      <c r="H4" s="147"/>
      <c r="I4" s="146"/>
      <c r="J4" s="147"/>
      <c r="K4" s="146"/>
      <c r="L4" s="147"/>
      <c r="M4" s="146"/>
      <c r="N4" s="147"/>
      <c r="O4" s="146"/>
      <c r="P4" s="147"/>
      <c r="Q4" s="146"/>
      <c r="R4" s="147"/>
      <c r="S4" s="146"/>
      <c r="T4" s="147"/>
      <c r="U4" s="12"/>
      <c r="V4" s="102" t="s">
        <v>86</v>
      </c>
      <c r="Z4" s="14"/>
    </row>
    <row r="5" spans="1:26" s="13" customFormat="1" ht="37.5" customHeight="1" x14ac:dyDescent="0.25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 x14ac:dyDescent="0.25">
      <c r="B6" s="107" t="s">
        <v>62</v>
      </c>
      <c r="C6" s="112">
        <v>8500000</v>
      </c>
      <c r="D6" s="113">
        <f>C6*0.133774139</f>
        <v>1137080.1814999999</v>
      </c>
      <c r="E6" s="121">
        <v>2048641.8922799998</v>
      </c>
      <c r="F6" s="113">
        <f>E6*0.133774139</f>
        <v>274055.30525908771</v>
      </c>
      <c r="G6" s="112">
        <v>832120</v>
      </c>
      <c r="H6" s="113">
        <v>111868</v>
      </c>
      <c r="I6" s="112">
        <f>5527218.4465*0.3</f>
        <v>1658165.5339499998</v>
      </c>
      <c r="J6" s="113">
        <f>I6*0.13377</f>
        <v>221812.80347649148</v>
      </c>
      <c r="K6" s="112">
        <v>2636099</v>
      </c>
      <c r="L6" s="113">
        <v>357094</v>
      </c>
      <c r="M6" s="112">
        <f>5836718.337043*0.3</f>
        <v>1751015.5011129</v>
      </c>
      <c r="N6" s="113">
        <f>0.133774139*M6</f>
        <v>234240.5910370317</v>
      </c>
      <c r="O6" s="112">
        <v>1555804</v>
      </c>
      <c r="P6" s="113">
        <v>208911</v>
      </c>
      <c r="Q6" s="112">
        <f t="shared" ref="Q6:T9" si="0">+E6+I6+M6</f>
        <v>5457822.9273428991</v>
      </c>
      <c r="R6" s="113">
        <f t="shared" si="0"/>
        <v>730108.69977261091</v>
      </c>
      <c r="S6" s="112">
        <f t="shared" si="0"/>
        <v>5024023</v>
      </c>
      <c r="T6" s="113">
        <f t="shared" si="0"/>
        <v>677873</v>
      </c>
      <c r="U6"/>
      <c r="V6" s="100">
        <f>C6-S6</f>
        <v>3475977</v>
      </c>
      <c r="W6"/>
      <c r="X6"/>
      <c r="Z6" s="116"/>
    </row>
    <row r="7" spans="1:26" s="13" customFormat="1" ht="37.5" customHeight="1" x14ac:dyDescent="0.25">
      <c r="B7" s="107" t="s">
        <v>63</v>
      </c>
      <c r="C7" s="112">
        <v>4000000</v>
      </c>
      <c r="D7" s="113">
        <f t="shared" ref="D7:F9" si="1">C7*0.133774139</f>
        <v>535096.55599999998</v>
      </c>
      <c r="E7" s="112">
        <v>994353.89999999991</v>
      </c>
      <c r="F7" s="113">
        <f t="shared" si="1"/>
        <v>133018.83683379207</v>
      </c>
      <c r="G7" s="112">
        <v>0</v>
      </c>
      <c r="H7" s="113">
        <v>0</v>
      </c>
      <c r="I7" s="112">
        <f>2352052*0.3</f>
        <v>705615.6</v>
      </c>
      <c r="J7" s="113">
        <f>I7*0.13377</f>
        <v>94390.198812000002</v>
      </c>
      <c r="K7" s="112">
        <v>1774416</v>
      </c>
      <c r="L7" s="113">
        <v>243413</v>
      </c>
      <c r="M7" s="112">
        <f>1622768*0.3</f>
        <v>486830.39999999997</v>
      </c>
      <c r="N7" s="113">
        <f t="shared" ref="N7:N9" si="2">0.133774139*M7</f>
        <v>65125.317599025591</v>
      </c>
      <c r="O7" s="112">
        <v>0</v>
      </c>
      <c r="P7" s="113">
        <v>0</v>
      </c>
      <c r="Q7" s="112">
        <f t="shared" si="0"/>
        <v>2186799.9</v>
      </c>
      <c r="R7" s="113">
        <f t="shared" si="0"/>
        <v>292534.3532448177</v>
      </c>
      <c r="S7" s="112">
        <f t="shared" si="0"/>
        <v>1774416</v>
      </c>
      <c r="T7" s="113">
        <f t="shared" si="0"/>
        <v>243413</v>
      </c>
      <c r="U7"/>
      <c r="V7" s="100">
        <f>C7-S7</f>
        <v>2225584</v>
      </c>
      <c r="W7"/>
      <c r="X7"/>
      <c r="Z7" s="14"/>
    </row>
    <row r="8" spans="1:26" s="13" customFormat="1" ht="37.5" customHeight="1" x14ac:dyDescent="0.25">
      <c r="B8" s="107" t="s">
        <v>65</v>
      </c>
      <c r="C8" s="112">
        <v>2500000</v>
      </c>
      <c r="D8" s="113">
        <f t="shared" si="1"/>
        <v>334435.34749999997</v>
      </c>
      <c r="E8" s="112">
        <v>391378.8</v>
      </c>
      <c r="F8" s="113">
        <f t="shared" si="1"/>
        <v>52356.361992853192</v>
      </c>
      <c r="G8" s="112">
        <v>948910</v>
      </c>
      <c r="H8" s="113">
        <v>130480</v>
      </c>
      <c r="I8" s="112">
        <f>1220750*0.3</f>
        <v>366225</v>
      </c>
      <c r="J8" s="113">
        <f>I8*0.13377</f>
        <v>48989.918250000002</v>
      </c>
      <c r="K8" s="112">
        <v>0</v>
      </c>
      <c r="L8" s="113">
        <v>0</v>
      </c>
      <c r="M8" s="112">
        <f>1166808*0.3</f>
        <v>350042.39999999997</v>
      </c>
      <c r="N8" s="113">
        <f t="shared" si="2"/>
        <v>46826.620673493591</v>
      </c>
      <c r="O8" s="112">
        <v>0</v>
      </c>
      <c r="P8" s="113">
        <v>0</v>
      </c>
      <c r="Q8" s="112">
        <f t="shared" si="0"/>
        <v>1107646.2</v>
      </c>
      <c r="R8" s="113">
        <f t="shared" si="0"/>
        <v>148172.90091634679</v>
      </c>
      <c r="S8" s="112">
        <f t="shared" si="0"/>
        <v>948910</v>
      </c>
      <c r="T8" s="113">
        <f t="shared" si="0"/>
        <v>130480</v>
      </c>
      <c r="U8"/>
      <c r="V8" s="100">
        <f>C8-S8</f>
        <v>1551090</v>
      </c>
      <c r="W8"/>
      <c r="X8"/>
      <c r="Z8" s="14"/>
    </row>
    <row r="9" spans="1:26" s="13" customFormat="1" ht="27" customHeight="1" thickBot="1" x14ac:dyDescent="0.3">
      <c r="B9" s="108" t="s">
        <v>64</v>
      </c>
      <c r="C9" s="114">
        <v>0</v>
      </c>
      <c r="D9" s="115">
        <f t="shared" si="1"/>
        <v>0</v>
      </c>
      <c r="E9" s="114">
        <v>31630.799999999999</v>
      </c>
      <c r="F9" s="115">
        <f t="shared" si="1"/>
        <v>4231.3830358811992</v>
      </c>
      <c r="G9" s="114">
        <v>0</v>
      </c>
      <c r="H9" s="115">
        <v>0</v>
      </c>
      <c r="I9" s="114">
        <v>22992</v>
      </c>
      <c r="J9" s="115">
        <f>I9*0.13377</f>
        <v>3075.6398399999998</v>
      </c>
      <c r="K9" s="114">
        <v>0</v>
      </c>
      <c r="L9" s="118">
        <v>0</v>
      </c>
      <c r="M9" s="117">
        <v>20049</v>
      </c>
      <c r="N9" s="115">
        <f t="shared" si="2"/>
        <v>2682.0377128109999</v>
      </c>
      <c r="O9" s="114">
        <v>0</v>
      </c>
      <c r="P9" s="115">
        <v>0</v>
      </c>
      <c r="Q9" s="114">
        <f t="shared" si="0"/>
        <v>74671.8</v>
      </c>
      <c r="R9" s="115">
        <f t="shared" si="0"/>
        <v>9989.0605886921985</v>
      </c>
      <c r="S9" s="114">
        <f t="shared" si="0"/>
        <v>0</v>
      </c>
      <c r="T9" s="115">
        <f t="shared" si="0"/>
        <v>0</v>
      </c>
      <c r="U9"/>
      <c r="V9" s="100">
        <f>C9-S9</f>
        <v>0</v>
      </c>
      <c r="W9"/>
      <c r="X9"/>
      <c r="Z9" s="14"/>
    </row>
    <row r="10" spans="1:26" s="13" customFormat="1" ht="25.5" customHeight="1" x14ac:dyDescent="0.25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 x14ac:dyDescent="0.25">
      <c r="D11" s="88" t="s">
        <v>91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 x14ac:dyDescent="0.25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 x14ac:dyDescent="0.25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 x14ac:dyDescent="0.25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 x14ac:dyDescent="0.25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 x14ac:dyDescent="0.25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 x14ac:dyDescent="0.25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 x14ac:dyDescent="0.25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 x14ac:dyDescent="0.25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 x14ac:dyDescent="0.25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 x14ac:dyDescent="0.25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 x14ac:dyDescent="0.25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 x14ac:dyDescent="0.25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 x14ac:dyDescent="0.25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 x14ac:dyDescent="0.25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6" x14ac:dyDescent="0.3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 x14ac:dyDescent="0.2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 x14ac:dyDescent="0.2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 x14ac:dyDescent="0.2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 x14ac:dyDescent="0.2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 x14ac:dyDescent="0.25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 x14ac:dyDescent="0.3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 x14ac:dyDescent="0.25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 x14ac:dyDescent="0.25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 x14ac:dyDescent="0.2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 x14ac:dyDescent="0.25">
      <c r="Z39" s="10"/>
    </row>
    <row r="40" spans="1:26" s="13" customFormat="1" ht="12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 x14ac:dyDescent="0.25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 x14ac:dyDescent="0.25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 x14ac:dyDescent="0.25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 x14ac:dyDescent="0.25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 x14ac:dyDescent="0.25"/>
    <row r="46" spans="1:26" ht="12" customHeight="1" x14ac:dyDescent="0.3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 x14ac:dyDescent="0.3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6" x14ac:dyDescent="0.3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 x14ac:dyDescent="0.25">
      <c r="U49"/>
      <c r="V49"/>
      <c r="W49"/>
      <c r="X49"/>
      <c r="Z49" s="3"/>
    </row>
    <row r="50" spans="1:26" s="2" customFormat="1" ht="15" customHeight="1" x14ac:dyDescent="0.3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 x14ac:dyDescent="0.25">
      <c r="U51"/>
      <c r="V51"/>
      <c r="W51"/>
      <c r="X51"/>
      <c r="Z51" s="3"/>
    </row>
    <row r="52" spans="1:26" s="2" customFormat="1" x14ac:dyDescent="0.25">
      <c r="U52"/>
      <c r="V52"/>
      <c r="W52"/>
      <c r="X52"/>
      <c r="Z52" s="3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6" x14ac:dyDescent="0.3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.6" x14ac:dyDescent="0.3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 x14ac:dyDescent="0.2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 x14ac:dyDescent="0.25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 x14ac:dyDescent="0.25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.6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.6" x14ac:dyDescent="0.3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3.8" x14ac:dyDescent="0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3.8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3.8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3.8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3.8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3.8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3.8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3.8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3.8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3.8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3.8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3.8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3.8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3.8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3.8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3.8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3.8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x14ac:dyDescent="0.2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6" x14ac:dyDescent="0.3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6" x14ac:dyDescent="0.3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6" x14ac:dyDescent="0.3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.6" x14ac:dyDescent="0.3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.6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.6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.6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.6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.6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.6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.6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.6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.6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.6" x14ac:dyDescent="0.3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.6" x14ac:dyDescent="0.3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.6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.6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.6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 x14ac:dyDescent="0.25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 x14ac:dyDescent="0.25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 x14ac:dyDescent="0.25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 x14ac:dyDescent="0.25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.6" x14ac:dyDescent="0.3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.6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.6" x14ac:dyDescent="0.3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.6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.6" x14ac:dyDescent="0.3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.6" x14ac:dyDescent="0.3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.6" x14ac:dyDescent="0.3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.6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.6" x14ac:dyDescent="0.3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.6" x14ac:dyDescent="0.3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.6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.6" x14ac:dyDescent="0.3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.6" x14ac:dyDescent="0.3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.6" x14ac:dyDescent="0.3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.6" x14ac:dyDescent="0.3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.6" x14ac:dyDescent="0.3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.6" x14ac:dyDescent="0.3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.6" x14ac:dyDescent="0.3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.6" x14ac:dyDescent="0.3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3.8" x14ac:dyDescent="0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 x14ac:dyDescent="0.25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6" x14ac:dyDescent="0.3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6" x14ac:dyDescent="0.3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6" x14ac:dyDescent="0.3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.6" x14ac:dyDescent="0.3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.6" x14ac:dyDescent="0.3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.6" x14ac:dyDescent="0.3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.6" x14ac:dyDescent="0.3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.6" x14ac:dyDescent="0.3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.6" x14ac:dyDescent="0.3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.6" x14ac:dyDescent="0.3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.6" x14ac:dyDescent="0.3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.6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.6" x14ac:dyDescent="0.3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.6" x14ac:dyDescent="0.3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.6" x14ac:dyDescent="0.3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.6" x14ac:dyDescent="0.3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.6" x14ac:dyDescent="0.3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.6" x14ac:dyDescent="0.3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 x14ac:dyDescent="0.25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 x14ac:dyDescent="0.25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 x14ac:dyDescent="0.25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 x14ac:dyDescent="0.25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.6" x14ac:dyDescent="0.3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.6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.6" x14ac:dyDescent="0.3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.6" x14ac:dyDescent="0.3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.6" x14ac:dyDescent="0.3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.6" x14ac:dyDescent="0.3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.6" x14ac:dyDescent="0.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.6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.6" x14ac:dyDescent="0.3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3.8" x14ac:dyDescent="0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 x14ac:dyDescent="0.25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 x14ac:dyDescent="0.2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 x14ac:dyDescent="0.2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 x14ac:dyDescent="0.2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 x14ac:dyDescent="0.2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 x14ac:dyDescent="0.2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6" x14ac:dyDescent="0.3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6" x14ac:dyDescent="0.3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6" x14ac:dyDescent="0.3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.6" x14ac:dyDescent="0.3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.6" x14ac:dyDescent="0.3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.6" x14ac:dyDescent="0.3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.6" x14ac:dyDescent="0.3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.6" x14ac:dyDescent="0.3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.6" x14ac:dyDescent="0.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.6" x14ac:dyDescent="0.3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.6" x14ac:dyDescent="0.3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.6" x14ac:dyDescent="0.3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.6" x14ac:dyDescent="0.3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.6" x14ac:dyDescent="0.3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.6" x14ac:dyDescent="0.3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.6" x14ac:dyDescent="0.3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.6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.6" x14ac:dyDescent="0.3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 x14ac:dyDescent="0.25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 x14ac:dyDescent="0.25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 x14ac:dyDescent="0.25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 x14ac:dyDescent="0.25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.6" x14ac:dyDescent="0.3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.6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.6" x14ac:dyDescent="0.3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.6" x14ac:dyDescent="0.3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.6" x14ac:dyDescent="0.3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.6" x14ac:dyDescent="0.3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.6" x14ac:dyDescent="0.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.6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.6" x14ac:dyDescent="0.3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3.8" x14ac:dyDescent="0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 x14ac:dyDescent="0.25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 x14ac:dyDescent="0.25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6" x14ac:dyDescent="0.3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6" x14ac:dyDescent="0.3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6" x14ac:dyDescent="0.3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.6" x14ac:dyDescent="0.3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.6" x14ac:dyDescent="0.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.6" x14ac:dyDescent="0.3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.6" x14ac:dyDescent="0.3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.6" x14ac:dyDescent="0.3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.6" x14ac:dyDescent="0.3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.6" x14ac:dyDescent="0.3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.6" x14ac:dyDescent="0.3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.6" x14ac:dyDescent="0.3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.6" x14ac:dyDescent="0.3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.6" x14ac:dyDescent="0.3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.6" x14ac:dyDescent="0.3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.6" x14ac:dyDescent="0.3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.6" x14ac:dyDescent="0.3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.6" x14ac:dyDescent="0.3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 x14ac:dyDescent="0.25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 x14ac:dyDescent="0.25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 x14ac:dyDescent="0.25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 x14ac:dyDescent="0.25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 x14ac:dyDescent="0.3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.6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.6" x14ac:dyDescent="0.3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.6" x14ac:dyDescent="0.3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.6" x14ac:dyDescent="0.3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.6" x14ac:dyDescent="0.3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.6" x14ac:dyDescent="0.3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.6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.6" x14ac:dyDescent="0.3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3.8" x14ac:dyDescent="0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3.8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3.8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 x14ac:dyDescent="0.25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 x14ac:dyDescent="0.25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 x14ac:dyDescent="0.2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 x14ac:dyDescent="0.25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 x14ac:dyDescent="0.25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 x14ac:dyDescent="0.25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 x14ac:dyDescent="0.25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 x14ac:dyDescent="0.25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 x14ac:dyDescent="0.25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 x14ac:dyDescent="0.25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 x14ac:dyDescent="0.25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 x14ac:dyDescent="0.25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 x14ac:dyDescent="0.2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 x14ac:dyDescent="0.25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 x14ac:dyDescent="0.25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 x14ac:dyDescent="0.25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 x14ac:dyDescent="0.25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 x14ac:dyDescent="0.25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 x14ac:dyDescent="0.25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 x14ac:dyDescent="0.25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 x14ac:dyDescent="0.25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 x14ac:dyDescent="0.25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 x14ac:dyDescent="0.2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 x14ac:dyDescent="0.25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 x14ac:dyDescent="0.25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 x14ac:dyDescent="0.25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 x14ac:dyDescent="0.25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 x14ac:dyDescent="0.25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 x14ac:dyDescent="0.25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 x14ac:dyDescent="0.25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 x14ac:dyDescent="0.25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 x14ac:dyDescent="0.25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 x14ac:dyDescent="0.2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 x14ac:dyDescent="0.25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 x14ac:dyDescent="0.25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 x14ac:dyDescent="0.25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8"/>
  <sheetViews>
    <sheetView showGridLines="0" view="pageLayout" topLeftCell="A10" zoomScale="85" zoomScaleNormal="100" zoomScalePageLayoutView="85" workbookViewId="0">
      <selection activeCell="M9" sqref="M9"/>
    </sheetView>
  </sheetViews>
  <sheetFormatPr defaultRowHeight="13.2" x14ac:dyDescent="0.25"/>
  <cols>
    <col min="1" max="1" width="1.44140625" customWidth="1"/>
    <col min="2" max="2" width="13" customWidth="1"/>
    <col min="3" max="3" width="10" customWidth="1"/>
    <col min="4" max="4" width="8.6640625" customWidth="1"/>
    <col min="5" max="5" width="11" bestFit="1" customWidth="1"/>
    <col min="6" max="6" width="7.5546875" customWidth="1"/>
    <col min="7" max="7" width="9" customWidth="1"/>
    <col min="8" max="8" width="7.5546875" customWidth="1"/>
    <col min="9" max="9" width="9" customWidth="1"/>
    <col min="10" max="10" width="7.44140625" customWidth="1"/>
    <col min="11" max="11" width="9.5546875" customWidth="1"/>
    <col min="12" max="12" width="7.88671875" customWidth="1"/>
    <col min="13" max="13" width="9.44140625" customWidth="1"/>
    <col min="14" max="14" width="7.5546875" customWidth="1"/>
    <col min="15" max="15" width="8.5546875" customWidth="1"/>
    <col min="16" max="16" width="7.44140625" customWidth="1"/>
    <col min="17" max="17" width="9.33203125" customWidth="1"/>
    <col min="18" max="18" width="8.5546875" customWidth="1"/>
    <col min="19" max="19" width="9.44140625" customWidth="1"/>
    <col min="20" max="20" width="7.44140625" customWidth="1"/>
    <col min="21" max="21" width="2.109375" customWidth="1"/>
    <col min="22" max="22" width="13.88671875" customWidth="1"/>
    <col min="23" max="23" width="11.88671875" customWidth="1"/>
    <col min="24" max="24" width="15.5546875" customWidth="1"/>
    <col min="25" max="25" width="20.109375" customWidth="1"/>
    <col min="26" max="26" width="11.33203125" style="1" bestFit="1" customWidth="1"/>
  </cols>
  <sheetData>
    <row r="1" spans="1:26" ht="16.2" thickBot="1" x14ac:dyDescent="0.35">
      <c r="B1" s="148" t="s">
        <v>104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</row>
    <row r="2" spans="1:26" ht="15.75" customHeight="1" thickBot="1" x14ac:dyDescent="0.3">
      <c r="E2" s="127" t="s">
        <v>100</v>
      </c>
      <c r="F2" s="127"/>
      <c r="G2" s="127"/>
      <c r="H2" s="127"/>
      <c r="I2" s="127" t="s">
        <v>101</v>
      </c>
      <c r="J2" s="127"/>
      <c r="K2" s="127"/>
      <c r="L2" s="127"/>
      <c r="M2" s="127" t="s">
        <v>102</v>
      </c>
      <c r="N2" s="127"/>
      <c r="O2" s="127"/>
      <c r="P2" s="127"/>
      <c r="Q2" s="152" t="s">
        <v>103</v>
      </c>
      <c r="R2" s="152"/>
      <c r="S2" s="152"/>
      <c r="T2" s="152"/>
    </row>
    <row r="3" spans="1:26" s="13" customFormat="1" ht="27.9" customHeight="1" x14ac:dyDescent="0.25">
      <c r="B3" s="150" t="s">
        <v>6</v>
      </c>
      <c r="C3" s="144" t="s">
        <v>110</v>
      </c>
      <c r="D3" s="145"/>
      <c r="E3" s="144" t="s">
        <v>87</v>
      </c>
      <c r="F3" s="145"/>
      <c r="G3" s="144" t="s">
        <v>88</v>
      </c>
      <c r="H3" s="145"/>
      <c r="I3" s="144" t="s">
        <v>87</v>
      </c>
      <c r="J3" s="145"/>
      <c r="K3" s="144" t="s">
        <v>88</v>
      </c>
      <c r="L3" s="145"/>
      <c r="M3" s="144" t="s">
        <v>87</v>
      </c>
      <c r="N3" s="145"/>
      <c r="O3" s="144" t="s">
        <v>88</v>
      </c>
      <c r="P3" s="145"/>
      <c r="Q3" s="144" t="s">
        <v>87</v>
      </c>
      <c r="R3" s="145"/>
      <c r="S3" s="144" t="s">
        <v>88</v>
      </c>
      <c r="T3" s="145"/>
      <c r="U3" s="12"/>
      <c r="V3" s="101"/>
      <c r="Z3" s="14"/>
    </row>
    <row r="4" spans="1:26" s="13" customFormat="1" ht="51.75" customHeight="1" x14ac:dyDescent="0.25">
      <c r="B4" s="151"/>
      <c r="C4" s="146"/>
      <c r="D4" s="147"/>
      <c r="E4" s="146"/>
      <c r="F4" s="147"/>
      <c r="G4" s="146"/>
      <c r="H4" s="147"/>
      <c r="I4" s="146"/>
      <c r="J4" s="147"/>
      <c r="K4" s="146"/>
      <c r="L4" s="147"/>
      <c r="M4" s="146"/>
      <c r="N4" s="147"/>
      <c r="O4" s="146"/>
      <c r="P4" s="147"/>
      <c r="Q4" s="146"/>
      <c r="R4" s="147"/>
      <c r="S4" s="146"/>
      <c r="T4" s="147"/>
      <c r="U4" s="12"/>
      <c r="V4" s="102" t="s">
        <v>86</v>
      </c>
      <c r="Z4" s="14"/>
    </row>
    <row r="5" spans="1:26" s="13" customFormat="1" ht="37.5" customHeight="1" x14ac:dyDescent="0.25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 x14ac:dyDescent="0.25">
      <c r="B6" s="107" t="s">
        <v>62</v>
      </c>
      <c r="C6" s="112">
        <v>8000000</v>
      </c>
      <c r="D6" s="113">
        <f>C6*0.133774139</f>
        <v>1070193.112</v>
      </c>
      <c r="E6" s="112">
        <f>6098453.14321335*0.3</f>
        <v>1829535.9429640051</v>
      </c>
      <c r="F6" s="113">
        <f>E6*0.133774139</f>
        <v>244744.59553956287</v>
      </c>
      <c r="G6" s="112">
        <v>2613893</v>
      </c>
      <c r="H6" s="113">
        <f>G6*0.133774139</f>
        <v>349671.28551312699</v>
      </c>
      <c r="I6" s="112">
        <f>5550191*0.3</f>
        <v>1665057.3</v>
      </c>
      <c r="J6" s="113">
        <f>I6*0.133774139</f>
        <v>222741.60669316468</v>
      </c>
      <c r="K6" s="112">
        <v>566447</v>
      </c>
      <c r="L6" s="113">
        <f>K6*0.133774139</f>
        <v>75775.959714132987</v>
      </c>
      <c r="M6" s="112">
        <f>6281351*0.3</f>
        <v>1884405.3</v>
      </c>
      <c r="N6" s="113">
        <f>M6*0.133774139</f>
        <v>252084.69653453669</v>
      </c>
      <c r="O6" s="112">
        <v>2102118</v>
      </c>
      <c r="P6" s="113">
        <f>O6*0.133774139</f>
        <v>281209.02552640199</v>
      </c>
      <c r="Q6" s="112">
        <f t="shared" ref="Q6:T9" si="0">+E6+I6+M6</f>
        <v>5378998.5429640049</v>
      </c>
      <c r="R6" s="113">
        <f t="shared" si="0"/>
        <v>719570.89876726421</v>
      </c>
      <c r="S6" s="112">
        <f t="shared" si="0"/>
        <v>5282458</v>
      </c>
      <c r="T6" s="113">
        <f t="shared" si="0"/>
        <v>706656.27075366199</v>
      </c>
      <c r="U6"/>
      <c r="V6" s="100">
        <f>C6-S6</f>
        <v>2717542</v>
      </c>
      <c r="W6"/>
      <c r="X6"/>
      <c r="Z6" s="116"/>
    </row>
    <row r="7" spans="1:26" s="13" customFormat="1" ht="37.5" customHeight="1" x14ac:dyDescent="0.25">
      <c r="B7" s="107" t="s">
        <v>63</v>
      </c>
      <c r="C7" s="112">
        <v>5000000</v>
      </c>
      <c r="D7" s="113">
        <f t="shared" ref="D7:H9" si="1">C7*0.133774139</f>
        <v>668870.69499999995</v>
      </c>
      <c r="E7" s="112">
        <f>2756249.85609078*0.3</f>
        <v>826874.95682723389</v>
      </c>
      <c r="F7" s="113">
        <f t="shared" si="1"/>
        <v>110614.48541022537</v>
      </c>
      <c r="G7" s="112">
        <v>643920</v>
      </c>
      <c r="H7" s="113">
        <f t="shared" si="1"/>
        <v>86139.843584879985</v>
      </c>
      <c r="I7" s="112">
        <f>3030740.30098899*0.3</f>
        <v>909222.09029669699</v>
      </c>
      <c r="J7" s="113">
        <f t="shared" ref="J7:J9" si="2">I7*0.133774139</f>
        <v>121630.40228922089</v>
      </c>
      <c r="K7" s="112">
        <v>120527</v>
      </c>
      <c r="L7" s="113">
        <f t="shared" ref="L7:L9" si="3">K7*0.133774139</f>
        <v>16123.395651252999</v>
      </c>
      <c r="M7" s="112">
        <f>2939246*0.3</f>
        <v>881773.79999999993</v>
      </c>
      <c r="N7" s="113">
        <f t="shared" ref="N7:N9" si="4">M7*0.133774139</f>
        <v>117958.53088775818</v>
      </c>
      <c r="O7" s="112">
        <v>1544415</v>
      </c>
      <c r="P7" s="113">
        <f t="shared" ref="P7:P9" si="5">O7*0.133774139</f>
        <v>206602.78688368498</v>
      </c>
      <c r="Q7" s="112">
        <f t="shared" si="0"/>
        <v>2617870.8471239307</v>
      </c>
      <c r="R7" s="113">
        <f t="shared" si="0"/>
        <v>350203.41858720442</v>
      </c>
      <c r="S7" s="112">
        <f t="shared" si="0"/>
        <v>2308862</v>
      </c>
      <c r="T7" s="113">
        <f t="shared" si="0"/>
        <v>308866.02611981798</v>
      </c>
      <c r="U7"/>
      <c r="V7" s="100">
        <f>C7-S7</f>
        <v>2691138</v>
      </c>
      <c r="W7"/>
      <c r="X7"/>
      <c r="Z7" s="14"/>
    </row>
    <row r="8" spans="1:26" s="13" customFormat="1" ht="37.5" customHeight="1" x14ac:dyDescent="0.25">
      <c r="B8" s="107" t="s">
        <v>65</v>
      </c>
      <c r="C8" s="112">
        <v>2500000</v>
      </c>
      <c r="D8" s="113">
        <f t="shared" si="1"/>
        <v>334435.34749999997</v>
      </c>
      <c r="E8" s="112">
        <f>1282718*0.3</f>
        <v>384815.39999999997</v>
      </c>
      <c r="F8" s="113">
        <f t="shared" si="1"/>
        <v>51478.348808940587</v>
      </c>
      <c r="G8" s="112">
        <v>947760</v>
      </c>
      <c r="H8" s="113">
        <f t="shared" si="1"/>
        <v>126785.77797863999</v>
      </c>
      <c r="I8" s="112">
        <f>1305695*0.3</f>
        <v>391708.5</v>
      </c>
      <c r="J8" s="113">
        <f t="shared" si="2"/>
        <v>52400.467326481492</v>
      </c>
      <c r="K8" s="112">
        <v>0</v>
      </c>
      <c r="L8" s="113">
        <f t="shared" si="3"/>
        <v>0</v>
      </c>
      <c r="M8" s="112">
        <f>243999*0.3</f>
        <v>73199.7</v>
      </c>
      <c r="N8" s="113">
        <f t="shared" si="4"/>
        <v>9792.2268425582988</v>
      </c>
      <c r="O8" s="112">
        <v>648604</v>
      </c>
      <c r="P8" s="113">
        <f t="shared" si="5"/>
        <v>86766.441651955989</v>
      </c>
      <c r="Q8" s="112">
        <f t="shared" si="0"/>
        <v>849723.59999999986</v>
      </c>
      <c r="R8" s="113">
        <f t="shared" si="0"/>
        <v>113671.04297798038</v>
      </c>
      <c r="S8" s="112">
        <f t="shared" si="0"/>
        <v>1596364</v>
      </c>
      <c r="T8" s="113">
        <f t="shared" si="0"/>
        <v>213552.219630596</v>
      </c>
      <c r="U8"/>
      <c r="V8" s="100">
        <f>C8-S8</f>
        <v>903636</v>
      </c>
      <c r="W8"/>
      <c r="X8"/>
      <c r="Z8" s="14"/>
    </row>
    <row r="9" spans="1:26" s="13" customFormat="1" ht="27" customHeight="1" thickBot="1" x14ac:dyDescent="0.3">
      <c r="B9" s="108" t="s">
        <v>64</v>
      </c>
      <c r="C9" s="114">
        <v>0</v>
      </c>
      <c r="D9" s="115">
        <f t="shared" si="1"/>
        <v>0</v>
      </c>
      <c r="E9" s="117">
        <f>59968.0078*0.3</f>
        <v>17990.402340000001</v>
      </c>
      <c r="F9" s="115">
        <f t="shared" si="1"/>
        <v>2406.6505832970852</v>
      </c>
      <c r="G9" s="114">
        <v>0</v>
      </c>
      <c r="H9" s="115">
        <f t="shared" si="1"/>
        <v>0</v>
      </c>
      <c r="I9" s="117">
        <f>55834*0.3</f>
        <v>16750.2</v>
      </c>
      <c r="J9" s="115">
        <f t="shared" si="2"/>
        <v>2240.7435830777999</v>
      </c>
      <c r="K9" s="114">
        <v>0</v>
      </c>
      <c r="L9" s="115">
        <f t="shared" si="3"/>
        <v>0</v>
      </c>
      <c r="M9" s="117">
        <f>86236.399742*0.3</f>
        <v>25870.919922599998</v>
      </c>
      <c r="N9" s="115">
        <f t="shared" si="4"/>
        <v>3460.8600377837611</v>
      </c>
      <c r="O9" s="114">
        <v>0</v>
      </c>
      <c r="P9" s="115">
        <f t="shared" si="5"/>
        <v>0</v>
      </c>
      <c r="Q9" s="114">
        <f t="shared" si="0"/>
        <v>60611.522262599996</v>
      </c>
      <c r="R9" s="115">
        <f t="shared" si="0"/>
        <v>8108.2542041586457</v>
      </c>
      <c r="S9" s="114">
        <f t="shared" si="0"/>
        <v>0</v>
      </c>
      <c r="T9" s="115">
        <f t="shared" si="0"/>
        <v>0</v>
      </c>
      <c r="U9"/>
      <c r="V9" s="100">
        <f>C9-S9</f>
        <v>0</v>
      </c>
      <c r="W9"/>
      <c r="X9"/>
      <c r="Z9" s="14"/>
    </row>
    <row r="10" spans="1:26" s="13" customFormat="1" ht="25.5" customHeight="1" x14ac:dyDescent="0.25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 x14ac:dyDescent="0.25">
      <c r="D11" s="88" t="s">
        <v>91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 x14ac:dyDescent="0.25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 x14ac:dyDescent="0.25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 x14ac:dyDescent="0.25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 x14ac:dyDescent="0.25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 x14ac:dyDescent="0.25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 x14ac:dyDescent="0.25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 x14ac:dyDescent="0.25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 x14ac:dyDescent="0.25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 x14ac:dyDescent="0.25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 x14ac:dyDescent="0.25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 x14ac:dyDescent="0.25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 x14ac:dyDescent="0.25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 x14ac:dyDescent="0.25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 x14ac:dyDescent="0.25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6" x14ac:dyDescent="0.3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 x14ac:dyDescent="0.2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 x14ac:dyDescent="0.2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 x14ac:dyDescent="0.2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 x14ac:dyDescent="0.2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 x14ac:dyDescent="0.25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 x14ac:dyDescent="0.3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 x14ac:dyDescent="0.25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 x14ac:dyDescent="0.25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 x14ac:dyDescent="0.2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 x14ac:dyDescent="0.25">
      <c r="Z39" s="10"/>
    </row>
    <row r="40" spans="1:26" s="13" customFormat="1" ht="12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 x14ac:dyDescent="0.25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 x14ac:dyDescent="0.25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 x14ac:dyDescent="0.25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 x14ac:dyDescent="0.25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 x14ac:dyDescent="0.25"/>
    <row r="46" spans="1:26" ht="12" customHeight="1" x14ac:dyDescent="0.3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 x14ac:dyDescent="0.3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6" x14ac:dyDescent="0.3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 x14ac:dyDescent="0.25">
      <c r="U49"/>
      <c r="V49"/>
      <c r="W49"/>
      <c r="X49"/>
      <c r="Z49" s="3"/>
    </row>
    <row r="50" spans="1:26" s="2" customFormat="1" ht="15" customHeight="1" x14ac:dyDescent="0.3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 x14ac:dyDescent="0.25">
      <c r="U51"/>
      <c r="V51"/>
      <c r="W51"/>
      <c r="X51"/>
      <c r="Z51" s="3"/>
    </row>
    <row r="52" spans="1:26" s="2" customFormat="1" x14ac:dyDescent="0.25">
      <c r="U52"/>
      <c r="V52"/>
      <c r="W52"/>
      <c r="X52"/>
      <c r="Z52" s="3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6" x14ac:dyDescent="0.3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.6" x14ac:dyDescent="0.3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 x14ac:dyDescent="0.2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 x14ac:dyDescent="0.25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 x14ac:dyDescent="0.25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.6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.6" x14ac:dyDescent="0.3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3.8" x14ac:dyDescent="0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3.8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3.8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3.8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3.8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3.8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3.8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3.8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3.8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3.8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3.8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3.8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3.8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3.8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3.8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3.8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3.8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x14ac:dyDescent="0.2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6" x14ac:dyDescent="0.3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6" x14ac:dyDescent="0.3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6" x14ac:dyDescent="0.3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.6" x14ac:dyDescent="0.3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.6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.6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.6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.6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.6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.6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.6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.6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.6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.6" x14ac:dyDescent="0.3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.6" x14ac:dyDescent="0.3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.6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.6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.6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 x14ac:dyDescent="0.25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 x14ac:dyDescent="0.25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 x14ac:dyDescent="0.25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 x14ac:dyDescent="0.25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.6" x14ac:dyDescent="0.3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.6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.6" x14ac:dyDescent="0.3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.6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.6" x14ac:dyDescent="0.3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.6" x14ac:dyDescent="0.3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.6" x14ac:dyDescent="0.3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.6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.6" x14ac:dyDescent="0.3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.6" x14ac:dyDescent="0.3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.6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.6" x14ac:dyDescent="0.3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.6" x14ac:dyDescent="0.3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.6" x14ac:dyDescent="0.3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.6" x14ac:dyDescent="0.3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.6" x14ac:dyDescent="0.3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.6" x14ac:dyDescent="0.3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.6" x14ac:dyDescent="0.3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.6" x14ac:dyDescent="0.3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3.8" x14ac:dyDescent="0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 x14ac:dyDescent="0.25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6" x14ac:dyDescent="0.3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6" x14ac:dyDescent="0.3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6" x14ac:dyDescent="0.3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.6" x14ac:dyDescent="0.3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.6" x14ac:dyDescent="0.3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.6" x14ac:dyDescent="0.3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.6" x14ac:dyDescent="0.3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.6" x14ac:dyDescent="0.3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.6" x14ac:dyDescent="0.3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.6" x14ac:dyDescent="0.3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.6" x14ac:dyDescent="0.3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.6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.6" x14ac:dyDescent="0.3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.6" x14ac:dyDescent="0.3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.6" x14ac:dyDescent="0.3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.6" x14ac:dyDescent="0.3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.6" x14ac:dyDescent="0.3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.6" x14ac:dyDescent="0.3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 x14ac:dyDescent="0.25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 x14ac:dyDescent="0.25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 x14ac:dyDescent="0.25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 x14ac:dyDescent="0.25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.6" x14ac:dyDescent="0.3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.6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.6" x14ac:dyDescent="0.3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.6" x14ac:dyDescent="0.3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.6" x14ac:dyDescent="0.3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.6" x14ac:dyDescent="0.3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.6" x14ac:dyDescent="0.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.6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.6" x14ac:dyDescent="0.3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3.8" x14ac:dyDescent="0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 x14ac:dyDescent="0.25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 x14ac:dyDescent="0.2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 x14ac:dyDescent="0.2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 x14ac:dyDescent="0.2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 x14ac:dyDescent="0.2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 x14ac:dyDescent="0.2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6" x14ac:dyDescent="0.3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6" x14ac:dyDescent="0.3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6" x14ac:dyDescent="0.3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.6" x14ac:dyDescent="0.3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.6" x14ac:dyDescent="0.3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.6" x14ac:dyDescent="0.3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.6" x14ac:dyDescent="0.3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.6" x14ac:dyDescent="0.3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.6" x14ac:dyDescent="0.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.6" x14ac:dyDescent="0.3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.6" x14ac:dyDescent="0.3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.6" x14ac:dyDescent="0.3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.6" x14ac:dyDescent="0.3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.6" x14ac:dyDescent="0.3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.6" x14ac:dyDescent="0.3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.6" x14ac:dyDescent="0.3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.6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.6" x14ac:dyDescent="0.3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 x14ac:dyDescent="0.25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 x14ac:dyDescent="0.25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 x14ac:dyDescent="0.25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 x14ac:dyDescent="0.25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.6" x14ac:dyDescent="0.3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.6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.6" x14ac:dyDescent="0.3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.6" x14ac:dyDescent="0.3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.6" x14ac:dyDescent="0.3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.6" x14ac:dyDescent="0.3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.6" x14ac:dyDescent="0.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.6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.6" x14ac:dyDescent="0.3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3.8" x14ac:dyDescent="0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 x14ac:dyDescent="0.25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 x14ac:dyDescent="0.25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6" x14ac:dyDescent="0.3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6" x14ac:dyDescent="0.3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6" x14ac:dyDescent="0.3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.6" x14ac:dyDescent="0.3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.6" x14ac:dyDescent="0.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.6" x14ac:dyDescent="0.3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.6" x14ac:dyDescent="0.3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.6" x14ac:dyDescent="0.3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.6" x14ac:dyDescent="0.3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.6" x14ac:dyDescent="0.3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.6" x14ac:dyDescent="0.3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.6" x14ac:dyDescent="0.3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.6" x14ac:dyDescent="0.3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.6" x14ac:dyDescent="0.3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.6" x14ac:dyDescent="0.3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.6" x14ac:dyDescent="0.3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.6" x14ac:dyDescent="0.3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.6" x14ac:dyDescent="0.3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 x14ac:dyDescent="0.25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 x14ac:dyDescent="0.25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 x14ac:dyDescent="0.25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 x14ac:dyDescent="0.25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 x14ac:dyDescent="0.3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.6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.6" x14ac:dyDescent="0.3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.6" x14ac:dyDescent="0.3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.6" x14ac:dyDescent="0.3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.6" x14ac:dyDescent="0.3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.6" x14ac:dyDescent="0.3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.6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.6" x14ac:dyDescent="0.3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3.8" x14ac:dyDescent="0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3.8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3.8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 x14ac:dyDescent="0.25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 x14ac:dyDescent="0.25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 x14ac:dyDescent="0.2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 x14ac:dyDescent="0.25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 x14ac:dyDescent="0.25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 x14ac:dyDescent="0.25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 x14ac:dyDescent="0.25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 x14ac:dyDescent="0.25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 x14ac:dyDescent="0.25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 x14ac:dyDescent="0.25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 x14ac:dyDescent="0.25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 x14ac:dyDescent="0.25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 x14ac:dyDescent="0.2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 x14ac:dyDescent="0.25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 x14ac:dyDescent="0.25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 x14ac:dyDescent="0.25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 x14ac:dyDescent="0.25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 x14ac:dyDescent="0.25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 x14ac:dyDescent="0.25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 x14ac:dyDescent="0.25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 x14ac:dyDescent="0.25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 x14ac:dyDescent="0.25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 x14ac:dyDescent="0.2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 x14ac:dyDescent="0.25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 x14ac:dyDescent="0.25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 x14ac:dyDescent="0.25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 x14ac:dyDescent="0.25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 x14ac:dyDescent="0.25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 x14ac:dyDescent="0.25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 x14ac:dyDescent="0.25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 x14ac:dyDescent="0.25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 x14ac:dyDescent="0.25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 x14ac:dyDescent="0.2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 x14ac:dyDescent="0.25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 x14ac:dyDescent="0.25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 x14ac:dyDescent="0.25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9"/>
  <sheetViews>
    <sheetView showGridLines="0" view="pageLayout" topLeftCell="A4" zoomScale="85" zoomScaleNormal="100" zoomScalePageLayoutView="85" workbookViewId="0">
      <selection activeCell="A10" sqref="A10:XFD435"/>
    </sheetView>
  </sheetViews>
  <sheetFormatPr defaultRowHeight="13.2" x14ac:dyDescent="0.25"/>
  <cols>
    <col min="1" max="1" width="1.44140625" customWidth="1"/>
    <col min="2" max="2" width="13" customWidth="1"/>
    <col min="3" max="3" width="9" customWidth="1"/>
    <col min="4" max="4" width="8.6640625" customWidth="1"/>
    <col min="5" max="5" width="8.5546875" customWidth="1"/>
    <col min="6" max="6" width="7.5546875" customWidth="1"/>
    <col min="7" max="7" width="9.5546875" customWidth="1"/>
    <col min="8" max="8" width="7.5546875" customWidth="1"/>
    <col min="9" max="9" width="9" customWidth="1"/>
    <col min="10" max="10" width="7.44140625" customWidth="1"/>
    <col min="11" max="11" width="9.5546875" customWidth="1"/>
    <col min="12" max="12" width="7.88671875" customWidth="1"/>
    <col min="13" max="13" width="9.44140625" customWidth="1"/>
    <col min="14" max="14" width="7.5546875" customWidth="1"/>
    <col min="15" max="15" width="8.5546875" customWidth="1"/>
    <col min="16" max="16" width="7.44140625" customWidth="1"/>
    <col min="17" max="17" width="9.33203125" customWidth="1"/>
    <col min="18" max="18" width="8.5546875" customWidth="1"/>
    <col min="19" max="19" width="9.44140625" customWidth="1"/>
    <col min="20" max="20" width="7.44140625" customWidth="1"/>
    <col min="21" max="21" width="2.109375" customWidth="1"/>
    <col min="22" max="22" width="13.88671875" customWidth="1"/>
    <col min="23" max="23" width="11.88671875" customWidth="1"/>
    <col min="24" max="24" width="15.5546875" customWidth="1"/>
    <col min="25" max="25" width="20.109375" customWidth="1"/>
    <col min="26" max="26" width="11.33203125" style="1" bestFit="1" customWidth="1"/>
  </cols>
  <sheetData>
    <row r="1" spans="1:26" ht="16.2" thickBot="1" x14ac:dyDescent="0.35">
      <c r="B1" s="148" t="s">
        <v>105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</row>
    <row r="2" spans="1:26" ht="15.75" customHeight="1" thickBot="1" x14ac:dyDescent="0.3">
      <c r="E2" s="127" t="s">
        <v>106</v>
      </c>
      <c r="F2" s="127"/>
      <c r="G2" s="127"/>
      <c r="H2" s="127"/>
      <c r="I2" s="127" t="s">
        <v>107</v>
      </c>
      <c r="J2" s="127"/>
      <c r="K2" s="127"/>
      <c r="L2" s="127"/>
      <c r="M2" s="127" t="s">
        <v>108</v>
      </c>
      <c r="N2" s="127"/>
      <c r="O2" s="127"/>
      <c r="P2" s="127"/>
      <c r="Q2" s="152" t="s">
        <v>109</v>
      </c>
      <c r="R2" s="152"/>
      <c r="S2" s="152"/>
      <c r="T2" s="152"/>
    </row>
    <row r="3" spans="1:26" s="13" customFormat="1" ht="27.9" customHeight="1" x14ac:dyDescent="0.25">
      <c r="B3" s="150" t="s">
        <v>6</v>
      </c>
      <c r="C3" s="144" t="s">
        <v>112</v>
      </c>
      <c r="D3" s="145"/>
      <c r="E3" s="144" t="s">
        <v>87</v>
      </c>
      <c r="F3" s="145"/>
      <c r="G3" s="144" t="s">
        <v>88</v>
      </c>
      <c r="H3" s="145"/>
      <c r="I3" s="144" t="s">
        <v>87</v>
      </c>
      <c r="J3" s="145"/>
      <c r="K3" s="144" t="s">
        <v>88</v>
      </c>
      <c r="L3" s="145"/>
      <c r="M3" s="144" t="s">
        <v>87</v>
      </c>
      <c r="N3" s="145"/>
      <c r="O3" s="144" t="s">
        <v>88</v>
      </c>
      <c r="P3" s="145"/>
      <c r="Q3" s="144" t="s">
        <v>87</v>
      </c>
      <c r="R3" s="145"/>
      <c r="S3" s="144" t="s">
        <v>88</v>
      </c>
      <c r="T3" s="145"/>
      <c r="U3" s="12"/>
      <c r="V3" s="101"/>
      <c r="Z3" s="14"/>
    </row>
    <row r="4" spans="1:26" s="13" customFormat="1" ht="51.75" customHeight="1" x14ac:dyDescent="0.25">
      <c r="B4" s="151"/>
      <c r="C4" s="146"/>
      <c r="D4" s="147"/>
      <c r="E4" s="146"/>
      <c r="F4" s="147"/>
      <c r="G4" s="146"/>
      <c r="H4" s="147"/>
      <c r="I4" s="146"/>
      <c r="J4" s="147"/>
      <c r="K4" s="146"/>
      <c r="L4" s="147"/>
      <c r="M4" s="146"/>
      <c r="N4" s="147"/>
      <c r="O4" s="146"/>
      <c r="P4" s="147"/>
      <c r="Q4" s="146"/>
      <c r="R4" s="147"/>
      <c r="S4" s="146"/>
      <c r="T4" s="147"/>
      <c r="U4" s="12"/>
      <c r="V4" s="102" t="s">
        <v>86</v>
      </c>
      <c r="Z4" s="14"/>
    </row>
    <row r="5" spans="1:26" s="13" customFormat="1" ht="37.5" customHeight="1" x14ac:dyDescent="0.25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 x14ac:dyDescent="0.25">
      <c r="B6" s="107" t="s">
        <v>62</v>
      </c>
      <c r="C6" s="112">
        <v>8500000</v>
      </c>
      <c r="D6" s="113">
        <f>C6*0.133774139</f>
        <v>1137080.1814999999</v>
      </c>
      <c r="E6" s="112">
        <f>5467782.50062378*0.3</f>
        <v>1640334.7501871341</v>
      </c>
      <c r="F6" s="113">
        <f>E6*0.133774139</f>
        <v>219434.36887806395</v>
      </c>
      <c r="G6" s="112">
        <v>1618421</v>
      </c>
      <c r="H6" s="113">
        <f>G6*0.133774139</f>
        <v>216502.87581451898</v>
      </c>
      <c r="I6" s="112">
        <f>4923640*0.3</f>
        <v>1477092</v>
      </c>
      <c r="J6" s="113">
        <f>I6*0.133774139</f>
        <v>197596.71052378797</v>
      </c>
      <c r="K6" s="112">
        <v>1548822</v>
      </c>
      <c r="L6" s="113">
        <f>K6*0.133774139</f>
        <v>207192.32951425799</v>
      </c>
      <c r="M6" s="112">
        <f>3164423*0.3</f>
        <v>949326.89999999991</v>
      </c>
      <c r="N6" s="113">
        <f>M6*0.133774139</f>
        <v>126995.38867703908</v>
      </c>
      <c r="O6" s="112">
        <v>1745754</v>
      </c>
      <c r="P6" s="113">
        <f>O6*0.133774139</f>
        <v>233536.73825580598</v>
      </c>
      <c r="Q6" s="112">
        <f t="shared" ref="Q6:T9" si="0">+E6+I6+M6</f>
        <v>4066753.6501871343</v>
      </c>
      <c r="R6" s="113">
        <f t="shared" si="0"/>
        <v>544026.46807889105</v>
      </c>
      <c r="S6" s="112">
        <f t="shared" si="0"/>
        <v>4912997</v>
      </c>
      <c r="T6" s="113">
        <f t="shared" si="0"/>
        <v>657231.943584583</v>
      </c>
      <c r="U6"/>
      <c r="V6" s="100">
        <f>C6-S6</f>
        <v>3587003</v>
      </c>
      <c r="W6"/>
      <c r="X6"/>
      <c r="Z6" s="116"/>
    </row>
    <row r="7" spans="1:26" s="13" customFormat="1" ht="37.5" customHeight="1" x14ac:dyDescent="0.25">
      <c r="B7" s="107" t="s">
        <v>63</v>
      </c>
      <c r="C7" s="112">
        <v>4500000</v>
      </c>
      <c r="D7" s="113">
        <f t="shared" ref="D7:L9" si="1">C7*0.133774139</f>
        <v>601983.62549999997</v>
      </c>
      <c r="E7" s="112">
        <f>2830215.98011149*0.3</f>
        <v>849064.79403344693</v>
      </c>
      <c r="F7" s="113">
        <f t="shared" si="1"/>
        <v>113582.91177703669</v>
      </c>
      <c r="G7" s="112">
        <v>1246742</v>
      </c>
      <c r="H7" s="113">
        <f t="shared" si="1"/>
        <v>166781.83760513799</v>
      </c>
      <c r="I7" s="112">
        <f>2727846*0.3</f>
        <v>818353.79999999993</v>
      </c>
      <c r="J7" s="113">
        <f t="shared" si="1"/>
        <v>109474.57499237818</v>
      </c>
      <c r="K7" s="112">
        <v>1543325</v>
      </c>
      <c r="L7" s="113">
        <f t="shared" si="1"/>
        <v>206456.97307217497</v>
      </c>
      <c r="M7" s="112">
        <f>2742494.9*0.3</f>
        <v>822748.47</v>
      </c>
      <c r="N7" s="113">
        <f>M7*0.133774139</f>
        <v>110062.46818781731</v>
      </c>
      <c r="O7" s="112">
        <v>0</v>
      </c>
      <c r="P7" s="113">
        <f>O7*0.133774139</f>
        <v>0</v>
      </c>
      <c r="Q7" s="112">
        <f t="shared" si="0"/>
        <v>2490167.0640334468</v>
      </c>
      <c r="R7" s="113">
        <f t="shared" si="0"/>
        <v>333119.95495723217</v>
      </c>
      <c r="S7" s="112">
        <f t="shared" si="0"/>
        <v>2790067</v>
      </c>
      <c r="T7" s="113">
        <f t="shared" si="0"/>
        <v>373238.81067731295</v>
      </c>
      <c r="U7"/>
      <c r="V7" s="100">
        <f>C7-S7</f>
        <v>1709933</v>
      </c>
      <c r="W7"/>
      <c r="X7"/>
      <c r="Z7" s="14"/>
    </row>
    <row r="8" spans="1:26" s="13" customFormat="1" ht="37.5" customHeight="1" x14ac:dyDescent="0.25">
      <c r="B8" s="107" t="s">
        <v>65</v>
      </c>
      <c r="C8" s="112">
        <v>1000000</v>
      </c>
      <c r="D8" s="113">
        <f t="shared" si="1"/>
        <v>133774.139</v>
      </c>
      <c r="E8" s="112">
        <v>0</v>
      </c>
      <c r="F8" s="113">
        <f t="shared" si="1"/>
        <v>0</v>
      </c>
      <c r="G8" s="112">
        <v>0</v>
      </c>
      <c r="H8" s="113">
        <f t="shared" si="1"/>
        <v>0</v>
      </c>
      <c r="I8" s="112">
        <v>0</v>
      </c>
      <c r="J8" s="113">
        <f t="shared" si="1"/>
        <v>0</v>
      </c>
      <c r="K8" s="112">
        <v>0</v>
      </c>
      <c r="L8" s="113">
        <f t="shared" si="1"/>
        <v>0</v>
      </c>
      <c r="M8" s="112">
        <v>0</v>
      </c>
      <c r="N8" s="113">
        <v>0</v>
      </c>
      <c r="O8" s="112">
        <v>0</v>
      </c>
      <c r="P8" s="113">
        <v>0</v>
      </c>
      <c r="Q8" s="112">
        <f t="shared" si="0"/>
        <v>0</v>
      </c>
      <c r="R8" s="113">
        <f t="shared" si="0"/>
        <v>0</v>
      </c>
      <c r="S8" s="112">
        <f t="shared" si="0"/>
        <v>0</v>
      </c>
      <c r="T8" s="113">
        <f t="shared" si="0"/>
        <v>0</v>
      </c>
      <c r="U8"/>
      <c r="V8" s="100">
        <f>C8-S8</f>
        <v>1000000</v>
      </c>
      <c r="W8"/>
      <c r="X8"/>
      <c r="Z8" s="14"/>
    </row>
    <row r="9" spans="1:26" s="13" customFormat="1" ht="27" customHeight="1" thickBot="1" x14ac:dyDescent="0.3">
      <c r="B9" s="108" t="s">
        <v>64</v>
      </c>
      <c r="C9" s="114">
        <v>0</v>
      </c>
      <c r="D9" s="115">
        <f t="shared" si="1"/>
        <v>0</v>
      </c>
      <c r="E9" s="117">
        <f>151153*0.3</f>
        <v>45345.9</v>
      </c>
      <c r="F9" s="115">
        <f t="shared" si="1"/>
        <v>6066.1087296800997</v>
      </c>
      <c r="G9" s="114">
        <v>0</v>
      </c>
      <c r="H9" s="115">
        <f t="shared" si="1"/>
        <v>0</v>
      </c>
      <c r="I9" s="114">
        <f>144014*0.3</f>
        <v>43204.2</v>
      </c>
      <c r="J9" s="115">
        <f t="shared" si="1"/>
        <v>5779.6046561837993</v>
      </c>
      <c r="K9" s="114">
        <v>0</v>
      </c>
      <c r="L9" s="115">
        <f t="shared" si="1"/>
        <v>0</v>
      </c>
      <c r="M9" s="114">
        <v>0</v>
      </c>
      <c r="N9" s="115">
        <v>0</v>
      </c>
      <c r="O9" s="114">
        <v>0</v>
      </c>
      <c r="P9" s="115">
        <v>0</v>
      </c>
      <c r="Q9" s="114">
        <f t="shared" si="0"/>
        <v>88550.1</v>
      </c>
      <c r="R9" s="115">
        <f t="shared" si="0"/>
        <v>11845.713385863899</v>
      </c>
      <c r="S9" s="114">
        <f t="shared" si="0"/>
        <v>0</v>
      </c>
      <c r="T9" s="115">
        <f t="shared" si="0"/>
        <v>0</v>
      </c>
      <c r="U9"/>
      <c r="V9" s="100">
        <f>C9-S9</f>
        <v>0</v>
      </c>
      <c r="W9"/>
      <c r="X9"/>
      <c r="Z9" s="14"/>
    </row>
    <row r="10" spans="1:26" s="13" customFormat="1" ht="25.5" customHeight="1" x14ac:dyDescent="0.25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 x14ac:dyDescent="0.25">
      <c r="B11" s="88"/>
      <c r="C11" s="88"/>
      <c r="D11" s="142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 x14ac:dyDescent="0.25">
      <c r="D12" s="88" t="s">
        <v>91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/>
      <c r="V12"/>
      <c r="W12"/>
      <c r="X12"/>
      <c r="Z12" s="14"/>
    </row>
    <row r="13" spans="1:26" s="13" customFormat="1" ht="25.5" customHeight="1" x14ac:dyDescent="0.25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 x14ac:dyDescent="0.25">
      <c r="B14" s="88"/>
      <c r="C14" s="88"/>
      <c r="D14" s="30"/>
      <c r="E14" s="30"/>
      <c r="F14" s="30"/>
      <c r="G14" s="30"/>
      <c r="H14" s="30"/>
      <c r="I14" s="143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 x14ac:dyDescent="0.25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 x14ac:dyDescent="0.25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 x14ac:dyDescent="0.25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 x14ac:dyDescent="0.25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 x14ac:dyDescent="0.25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 x14ac:dyDescent="0.25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 x14ac:dyDescent="0.25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 x14ac:dyDescent="0.25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 x14ac:dyDescent="0.25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 x14ac:dyDescent="0.25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 s="13" customFormat="1" ht="25.5" customHeight="1" x14ac:dyDescent="0.25"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/>
      <c r="V25"/>
      <c r="W25"/>
      <c r="X25"/>
      <c r="Z25" s="14"/>
    </row>
    <row r="26" spans="1:26" x14ac:dyDescent="0.25">
      <c r="A26" s="13"/>
      <c r="B26" s="88"/>
      <c r="C26" s="88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6" ht="15.6" x14ac:dyDescent="0.3">
      <c r="B27" s="5" t="s">
        <v>0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 x14ac:dyDescent="0.25">
      <c r="B28" s="6" t="s">
        <v>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 x14ac:dyDescent="0.25">
      <c r="B29" s="6" t="s"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 x14ac:dyDescent="0.25">
      <c r="B30" s="6" t="s"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 x14ac:dyDescent="0.25">
      <c r="B31" s="6" t="s">
        <v>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5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ht="12.75" customHeight="1" x14ac:dyDescent="0.25">
      <c r="B33" s="6" t="s">
        <v>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6" s="2" customFormat="1" ht="18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Z34" s="3"/>
    </row>
    <row r="35" spans="1:26" s="2" customFormat="1" ht="7.5" customHeight="1" x14ac:dyDescent="0.3">
      <c r="B35" s="50" t="s">
        <v>11</v>
      </c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Z35" s="3"/>
    </row>
    <row r="36" spans="1:26" s="2" customFormat="1" ht="12.75" customHeigh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Z36" s="3"/>
    </row>
    <row r="37" spans="1:26" s="2" customFormat="1" ht="13.5" customHeight="1" x14ac:dyDescent="0.25">
      <c r="B37" s="8" t="s">
        <v>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Z37" s="3"/>
    </row>
    <row r="38" spans="1:26" ht="14.25" customHeight="1" x14ac:dyDescent="0.25">
      <c r="A38" s="2"/>
      <c r="B38" s="8" t="s">
        <v>55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"/>
      <c r="V38" s="2"/>
    </row>
    <row r="39" spans="1:26" s="9" customFormat="1" ht="15" x14ac:dyDescent="0.25">
      <c r="A39"/>
      <c r="B39" s="8" t="s">
        <v>56</v>
      </c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/>
      <c r="V39"/>
      <c r="Z39" s="10"/>
    </row>
    <row r="40" spans="1:26" s="9" customFormat="1" x14ac:dyDescent="0.25">
      <c r="Z40" s="10"/>
    </row>
    <row r="41" spans="1:26" s="13" customFormat="1" ht="12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1"/>
      <c r="W41"/>
      <c r="X41"/>
      <c r="Z41" s="14"/>
    </row>
    <row r="42" spans="1:26" s="13" customFormat="1" ht="8.25" customHeight="1" x14ac:dyDescent="0.25">
      <c r="B42" s="15" t="s">
        <v>7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/>
      <c r="V42"/>
      <c r="W42"/>
      <c r="X42"/>
      <c r="Z42" s="14"/>
    </row>
    <row r="43" spans="1:26" ht="14.25" customHeight="1" x14ac:dyDescent="0.25">
      <c r="A43" s="13"/>
      <c r="B43" s="15" t="s">
        <v>8</v>
      </c>
      <c r="C43" s="1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0.5" customHeight="1" x14ac:dyDescent="0.25">
      <c r="B44" s="28" t="s">
        <v>12</v>
      </c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6" ht="18.75" customHeight="1" x14ac:dyDescent="0.25">
      <c r="B45" s="28" t="s">
        <v>13</v>
      </c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6" ht="3" customHeight="1" x14ac:dyDescent="0.25"/>
    <row r="47" spans="1:26" ht="12" customHeight="1" x14ac:dyDescent="0.3">
      <c r="B47" s="5"/>
      <c r="C47" s="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6" s="2" customFormat="1" ht="14.25" customHeight="1" x14ac:dyDescent="0.3">
      <c r="A48"/>
      <c r="B48" s="6" t="s">
        <v>9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/>
      <c r="V48"/>
      <c r="W48"/>
      <c r="X48"/>
      <c r="Z48" s="3"/>
    </row>
    <row r="49" spans="1:26" s="2" customFormat="1" ht="15.6" x14ac:dyDescent="0.3">
      <c r="B49" s="5" t="s">
        <v>57</v>
      </c>
      <c r="C49" s="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/>
      <c r="V49"/>
      <c r="W49"/>
      <c r="X49"/>
      <c r="Z49" s="3"/>
    </row>
    <row r="50" spans="1:26" s="2" customFormat="1" ht="12.75" customHeight="1" x14ac:dyDescent="0.25">
      <c r="U50"/>
      <c r="V50"/>
      <c r="W50"/>
      <c r="X50"/>
      <c r="Z50" s="3"/>
    </row>
    <row r="51" spans="1:26" s="2" customFormat="1" ht="15" customHeight="1" x14ac:dyDescent="0.3">
      <c r="B51" s="5"/>
      <c r="C51" s="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/>
      <c r="V51"/>
      <c r="W51"/>
      <c r="X51"/>
      <c r="Z51" s="3"/>
    </row>
    <row r="52" spans="1:26" s="2" customFormat="1" x14ac:dyDescent="0.25">
      <c r="U52"/>
      <c r="V52"/>
      <c r="W52"/>
      <c r="X52"/>
      <c r="Z52" s="3"/>
    </row>
    <row r="53" spans="1:26" s="2" customFormat="1" x14ac:dyDescent="0.25">
      <c r="U53"/>
      <c r="V53"/>
      <c r="W53"/>
      <c r="X53"/>
      <c r="Z53" s="3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6" spans="1:26" ht="15.6" x14ac:dyDescent="0.3">
      <c r="B56" s="5" t="s">
        <v>58</v>
      </c>
      <c r="C56" s="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6" ht="15.6" x14ac:dyDescent="0.3">
      <c r="B57" s="6" t="s">
        <v>59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9" spans="1:26" ht="15" x14ac:dyDescent="0.25">
      <c r="B59" s="6" t="s">
        <v>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4" spans="1:26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 customFormat="1" x14ac:dyDescent="0.25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customFormat="1" x14ac:dyDescent="0.25"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2:20" customFormat="1" ht="15.6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2:20" customFormat="1" ht="15.6" x14ac:dyDescent="0.3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2:20" customFormat="1" ht="13.8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customFormat="1" ht="13.8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customFormat="1" ht="13.8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customFormat="1" ht="13.8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customFormat="1" ht="13.8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customFormat="1" ht="13.8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customFormat="1" ht="13.8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customFormat="1" ht="13.8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customFormat="1" ht="13.8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customFormat="1" ht="13.8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customFormat="1" ht="13.8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customFormat="1" ht="13.8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customFormat="1" ht="13.8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customFormat="1" ht="13.8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customFormat="1" ht="13.8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customFormat="1" ht="13.8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customFormat="1" ht="13.8" x14ac:dyDescent="0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 spans="2:20" customFormat="1" x14ac:dyDescent="0.25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2:20" customFormat="1" ht="15.6" x14ac:dyDescent="0.3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customFormat="1" ht="15.6" x14ac:dyDescent="0.3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customFormat="1" ht="15.6" x14ac:dyDescent="0.3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2:20" customFormat="1" ht="15.6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customFormat="1" ht="15.6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customFormat="1" ht="15.6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customFormat="1" ht="15.6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customFormat="1" ht="15.6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customFormat="1" ht="15.6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customFormat="1" ht="15.6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customFormat="1" ht="15.6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customFormat="1" ht="15.6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customFormat="1" ht="15.6" x14ac:dyDescent="0.3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2:20" customFormat="1" ht="15.6" x14ac:dyDescent="0.3">
      <c r="B100" s="22"/>
      <c r="C100" s="2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2:20" customFormat="1" ht="15.6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customFormat="1" ht="15.6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customFormat="1" ht="15.6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 customFormat="1" ht="15.6" x14ac:dyDescent="0.3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2:20" customFormat="1" x14ac:dyDescent="0.2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2:20" customFormat="1" x14ac:dyDescent="0.25">
      <c r="B106" s="24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 customFormat="1" x14ac:dyDescent="0.25">
      <c r="B107" s="26"/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2:20" customFormat="1" x14ac:dyDescent="0.25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2:20" customFormat="1" ht="15.6" x14ac:dyDescent="0.3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2:20" customFormat="1" ht="15.6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2:20" customFormat="1" ht="15.6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customFormat="1" ht="15.6" x14ac:dyDescent="0.3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customFormat="1" ht="15.6" x14ac:dyDescent="0.3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customFormat="1" ht="15.6" x14ac:dyDescent="0.3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customFormat="1" ht="15.6" x14ac:dyDescent="0.3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2:20" customFormat="1" ht="15.6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2:20" customFormat="1" ht="15.6" x14ac:dyDescent="0.3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customFormat="1" ht="15.6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customFormat="1" ht="15.6" x14ac:dyDescent="0.3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customFormat="1" ht="15.6" x14ac:dyDescent="0.3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customFormat="1" ht="15.6" x14ac:dyDescent="0.3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customFormat="1" ht="15.6" x14ac:dyDescent="0.3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customFormat="1" ht="15.6" x14ac:dyDescent="0.3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customFormat="1" ht="15.6" x14ac:dyDescent="0.3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customFormat="1" ht="15.6" x14ac:dyDescent="0.3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customFormat="1" ht="15.6" x14ac:dyDescent="0.3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customFormat="1" ht="15.6" x14ac:dyDescent="0.3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2:20" customFormat="1" ht="13.8" x14ac:dyDescent="0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</row>
    <row r="129" spans="2:20" customFormat="1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 customFormat="1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 customFormat="1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 customFormat="1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 customFormat="1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 customFormat="1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customFormat="1" x14ac:dyDescent="0.2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2:20" customFormat="1" ht="15.6" x14ac:dyDescent="0.3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customFormat="1" ht="15.6" x14ac:dyDescent="0.3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customFormat="1" ht="15.6" x14ac:dyDescent="0.3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2:20" customFormat="1" ht="15.6" x14ac:dyDescent="0.3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customFormat="1" ht="15.6" x14ac:dyDescent="0.3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customFormat="1" ht="15.6" x14ac:dyDescent="0.3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customFormat="1" ht="15.6" x14ac:dyDescent="0.3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customFormat="1" ht="15.6" x14ac:dyDescent="0.3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customFormat="1" ht="15.6" x14ac:dyDescent="0.3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customFormat="1" ht="15.6" x14ac:dyDescent="0.3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customFormat="1" ht="15.6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customFormat="1" ht="15.6" x14ac:dyDescent="0.3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customFormat="1" ht="15.6" x14ac:dyDescent="0.3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2:20" customFormat="1" ht="15.6" x14ac:dyDescent="0.3">
      <c r="B149" s="22"/>
      <c r="C149" s="2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2:20" customFormat="1" ht="15.6" x14ac:dyDescent="0.3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customFormat="1" ht="15.6" x14ac:dyDescent="0.3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customFormat="1" ht="15.6" x14ac:dyDescent="0.3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 customFormat="1" ht="15.6" x14ac:dyDescent="0.3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2:20" customFormat="1" x14ac:dyDescent="0.25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 spans="2:20" customFormat="1" x14ac:dyDescent="0.25">
      <c r="B155" s="24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 customFormat="1" x14ac:dyDescent="0.25">
      <c r="B156" s="26"/>
      <c r="C156" s="26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spans="2:20" customFormat="1" x14ac:dyDescent="0.25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2:20" customFormat="1" ht="15.6" x14ac:dyDescent="0.3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2:20" customFormat="1" ht="15.6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2:20" customFormat="1" ht="15.6" x14ac:dyDescent="0.3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customFormat="1" ht="15.6" x14ac:dyDescent="0.3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customFormat="1" ht="15.6" x14ac:dyDescent="0.3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customFormat="1" ht="15.6" x14ac:dyDescent="0.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customFormat="1" ht="15.6" x14ac:dyDescent="0.3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2:20" customFormat="1" ht="15.6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2:20" customFormat="1" ht="15.6" x14ac:dyDescent="0.3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2:20" customFormat="1" ht="13.8" x14ac:dyDescent="0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</row>
    <row r="168" spans="2:20" customFormat="1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 customFormat="1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 customFormat="1" x14ac:dyDescent="0.2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 customFormat="1" x14ac:dyDescent="0.2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 customFormat="1" x14ac:dyDescent="0.2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 customFormat="1" x14ac:dyDescent="0.2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 customFormat="1" x14ac:dyDescent="0.2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customFormat="1" x14ac:dyDescent="0.2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 spans="2:20" customFormat="1" ht="15.6" x14ac:dyDescent="0.3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customFormat="1" ht="15.6" x14ac:dyDescent="0.3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customFormat="1" ht="15.6" x14ac:dyDescent="0.3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spans="2:20" customFormat="1" ht="15.6" x14ac:dyDescent="0.3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customFormat="1" ht="15.6" x14ac:dyDescent="0.3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customFormat="1" ht="15.6" x14ac:dyDescent="0.3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customFormat="1" ht="15.6" x14ac:dyDescent="0.3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customFormat="1" ht="15.6" x14ac:dyDescent="0.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customFormat="1" ht="15.6" x14ac:dyDescent="0.3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customFormat="1" ht="15.6" x14ac:dyDescent="0.3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customFormat="1" ht="15.6" x14ac:dyDescent="0.3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customFormat="1" ht="15.6" x14ac:dyDescent="0.3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customFormat="1" ht="15.6" x14ac:dyDescent="0.3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2:20" customFormat="1" ht="15.6" x14ac:dyDescent="0.3">
      <c r="B189" s="22"/>
      <c r="C189" s="2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2:20" customFormat="1" ht="15.6" x14ac:dyDescent="0.3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customFormat="1" ht="15.6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customFormat="1" ht="15.6" x14ac:dyDescent="0.3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 customFormat="1" ht="15.6" x14ac:dyDescent="0.3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2:20" customFormat="1" x14ac:dyDescent="0.25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 spans="2:20" customFormat="1" x14ac:dyDescent="0.25">
      <c r="B195" s="24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 customFormat="1" x14ac:dyDescent="0.25">
      <c r="B196" s="26"/>
      <c r="C196" s="26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spans="2:20" customFormat="1" x14ac:dyDescent="0.25"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2:20" customFormat="1" ht="15.6" x14ac:dyDescent="0.3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2:20" customFormat="1" ht="15.6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2:20" customFormat="1" ht="15.6" x14ac:dyDescent="0.3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customFormat="1" ht="15.6" x14ac:dyDescent="0.3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customFormat="1" ht="15.6" x14ac:dyDescent="0.3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customFormat="1" ht="15.6" x14ac:dyDescent="0.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customFormat="1" ht="15.6" x14ac:dyDescent="0.3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2:20" customFormat="1" ht="15.6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2:20" customFormat="1" ht="15.6" x14ac:dyDescent="0.3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2:20" customFormat="1" ht="13.8" x14ac:dyDescent="0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</row>
    <row r="208" spans="2:20" customFormat="1" x14ac:dyDescent="0.25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customFormat="1" x14ac:dyDescent="0.25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 spans="2:20" customFormat="1" ht="15.6" x14ac:dyDescent="0.3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customFormat="1" ht="15.6" x14ac:dyDescent="0.3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customFormat="1" ht="15.6" x14ac:dyDescent="0.3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2:20" customFormat="1" ht="15.6" x14ac:dyDescent="0.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customFormat="1" ht="15.6" x14ac:dyDescent="0.3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customFormat="1" ht="15.6" x14ac:dyDescent="0.3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customFormat="1" ht="15.6" x14ac:dyDescent="0.3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customFormat="1" ht="15.6" x14ac:dyDescent="0.3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customFormat="1" ht="15.6" x14ac:dyDescent="0.3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customFormat="1" ht="15.6" x14ac:dyDescent="0.3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customFormat="1" ht="15.6" x14ac:dyDescent="0.3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customFormat="1" ht="15.6" x14ac:dyDescent="0.3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customFormat="1" ht="15.6" x14ac:dyDescent="0.3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2:20" customFormat="1" ht="15.6" x14ac:dyDescent="0.3">
      <c r="B223" s="22"/>
      <c r="C223" s="2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2:20" customFormat="1" ht="15.6" x14ac:dyDescent="0.3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customFormat="1" ht="15.6" x14ac:dyDescent="0.3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customFormat="1" ht="15.6" x14ac:dyDescent="0.3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 customFormat="1" ht="15.6" x14ac:dyDescent="0.3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2:20" customFormat="1" x14ac:dyDescent="0.25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 spans="2:20" customFormat="1" x14ac:dyDescent="0.25">
      <c r="B229" s="24"/>
      <c r="C229" s="24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 customFormat="1" x14ac:dyDescent="0.25">
      <c r="B230" s="26"/>
      <c r="C230" s="26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</row>
    <row r="231" spans="2:20" customFormat="1" x14ac:dyDescent="0.25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 spans="2:20" customFormat="1" ht="21" customHeight="1" x14ac:dyDescent="0.3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2:20" customFormat="1" ht="15.6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2:20" customFormat="1" ht="15.6" x14ac:dyDescent="0.3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customFormat="1" ht="15.6" x14ac:dyDescent="0.3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customFormat="1" ht="15.6" x14ac:dyDescent="0.3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customFormat="1" ht="15.6" x14ac:dyDescent="0.3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customFormat="1" ht="15.6" x14ac:dyDescent="0.3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2:20" customFormat="1" ht="15.6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2:20" customFormat="1" ht="15.6" x14ac:dyDescent="0.3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2:20" customFormat="1" ht="13.8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customFormat="1" ht="13.8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 customFormat="1" ht="13.8" x14ac:dyDescent="0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</row>
    <row r="244" spans="2:20" customFormat="1" x14ac:dyDescent="0.25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 customFormat="1" x14ac:dyDescent="0.2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 customFormat="1" x14ac:dyDescent="0.25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 customFormat="1" x14ac:dyDescent="0.25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 customFormat="1" x14ac:dyDescent="0.25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 customFormat="1" x14ac:dyDescent="0.25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 customFormat="1" x14ac:dyDescent="0.25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 customFormat="1" x14ac:dyDescent="0.25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 customFormat="1" x14ac:dyDescent="0.25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 customFormat="1" x14ac:dyDescent="0.25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 customFormat="1" x14ac:dyDescent="0.25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 customFormat="1" x14ac:dyDescent="0.2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 customFormat="1" x14ac:dyDescent="0.25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 customFormat="1" x14ac:dyDescent="0.25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 customFormat="1" x14ac:dyDescent="0.25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 customFormat="1" x14ac:dyDescent="0.25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 customFormat="1" x14ac:dyDescent="0.25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 customFormat="1" x14ac:dyDescent="0.25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 customFormat="1" x14ac:dyDescent="0.25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 customFormat="1" x14ac:dyDescent="0.25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 customFormat="1" x14ac:dyDescent="0.25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 customFormat="1" x14ac:dyDescent="0.2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 customFormat="1" x14ac:dyDescent="0.25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 customFormat="1" x14ac:dyDescent="0.25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 customFormat="1" x14ac:dyDescent="0.25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 customFormat="1" x14ac:dyDescent="0.25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 customFormat="1" x14ac:dyDescent="0.25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 customFormat="1" x14ac:dyDescent="0.25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 customFormat="1" x14ac:dyDescent="0.25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6" x14ac:dyDescent="0.25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Z273"/>
    </row>
    <row r="274" spans="2:26" x14ac:dyDescent="0.25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Z274"/>
    </row>
    <row r="275" spans="2:26" x14ac:dyDescent="0.2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Z275"/>
    </row>
    <row r="276" spans="2:26" x14ac:dyDescent="0.25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Z276"/>
    </row>
    <row r="277" spans="2:26" x14ac:dyDescent="0.25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Z277"/>
    </row>
    <row r="278" spans="2:26" x14ac:dyDescent="0.25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Z278"/>
    </row>
    <row r="279" spans="2:26" x14ac:dyDescent="0.25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Z27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  <pageSetUpPr fitToPage="1"/>
  </sheetPr>
  <dimension ref="A1:Z279"/>
  <sheetViews>
    <sheetView tabSelected="1" workbookViewId="0">
      <selection activeCell="K6" sqref="K6"/>
    </sheetView>
  </sheetViews>
  <sheetFormatPr defaultRowHeight="13.2" x14ac:dyDescent="0.25"/>
  <cols>
    <col min="1" max="1" width="1.44140625" customWidth="1"/>
    <col min="2" max="2" width="13" customWidth="1"/>
    <col min="3" max="3" width="9" customWidth="1"/>
    <col min="4" max="4" width="8.6640625" customWidth="1"/>
    <col min="5" max="5" width="8.5546875" customWidth="1"/>
    <col min="6" max="6" width="7.5546875" customWidth="1"/>
    <col min="7" max="7" width="9.5546875" customWidth="1"/>
    <col min="8" max="8" width="7.5546875" customWidth="1"/>
    <col min="9" max="9" width="9" customWidth="1"/>
    <col min="10" max="10" width="7.44140625" customWidth="1"/>
    <col min="11" max="11" width="9.5546875" customWidth="1"/>
    <col min="12" max="12" width="7.88671875" customWidth="1"/>
    <col min="13" max="13" width="9.44140625" customWidth="1"/>
    <col min="14" max="14" width="7.5546875" customWidth="1"/>
    <col min="15" max="15" width="8.5546875" customWidth="1"/>
    <col min="16" max="16" width="7.44140625" customWidth="1"/>
    <col min="17" max="17" width="9.33203125" customWidth="1"/>
    <col min="18" max="18" width="8.5546875" customWidth="1"/>
    <col min="19" max="19" width="9.44140625" customWidth="1"/>
    <col min="20" max="20" width="7.44140625" customWidth="1"/>
    <col min="21" max="21" width="2.109375" customWidth="1"/>
    <col min="22" max="22" width="13.88671875" customWidth="1"/>
    <col min="23" max="23" width="11.88671875" customWidth="1"/>
    <col min="24" max="24" width="15.5546875" customWidth="1"/>
    <col min="25" max="25" width="20.109375" customWidth="1"/>
    <col min="26" max="26" width="11.33203125" style="1" bestFit="1" customWidth="1"/>
  </cols>
  <sheetData>
    <row r="1" spans="1:26" ht="16.2" thickBot="1" x14ac:dyDescent="0.35">
      <c r="B1" s="148" t="s">
        <v>133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</row>
    <row r="2" spans="1:26" ht="15.75" customHeight="1" thickBot="1" x14ac:dyDescent="0.3">
      <c r="E2" s="127" t="s">
        <v>113</v>
      </c>
      <c r="F2" s="127"/>
      <c r="G2" s="127"/>
      <c r="H2" s="127"/>
      <c r="I2" s="127" t="s">
        <v>114</v>
      </c>
      <c r="J2" s="127"/>
      <c r="K2" s="127"/>
      <c r="L2" s="127"/>
      <c r="M2" s="127" t="s">
        <v>115</v>
      </c>
      <c r="N2" s="127"/>
      <c r="O2" s="127"/>
      <c r="P2" s="127"/>
      <c r="Q2" s="152" t="s">
        <v>116</v>
      </c>
      <c r="R2" s="152"/>
      <c r="S2" s="152"/>
      <c r="T2" s="152"/>
    </row>
    <row r="3" spans="1:26" s="13" customFormat="1" ht="27.9" customHeight="1" x14ac:dyDescent="0.25">
      <c r="B3" s="150" t="s">
        <v>6</v>
      </c>
      <c r="C3" s="144" t="s">
        <v>117</v>
      </c>
      <c r="D3" s="145"/>
      <c r="E3" s="144" t="s">
        <v>87</v>
      </c>
      <c r="F3" s="145"/>
      <c r="G3" s="144" t="s">
        <v>88</v>
      </c>
      <c r="H3" s="145"/>
      <c r="I3" s="144" t="s">
        <v>87</v>
      </c>
      <c r="J3" s="145"/>
      <c r="K3" s="144" t="s">
        <v>88</v>
      </c>
      <c r="L3" s="145"/>
      <c r="M3" s="144" t="s">
        <v>87</v>
      </c>
      <c r="N3" s="145"/>
      <c r="O3" s="144" t="s">
        <v>88</v>
      </c>
      <c r="P3" s="145"/>
      <c r="Q3" s="144" t="s">
        <v>87</v>
      </c>
      <c r="R3" s="145"/>
      <c r="S3" s="144" t="s">
        <v>88</v>
      </c>
      <c r="T3" s="145"/>
      <c r="U3" s="12"/>
      <c r="V3" s="101"/>
      <c r="Z3" s="14"/>
    </row>
    <row r="4" spans="1:26" s="13" customFormat="1" ht="51.75" customHeight="1" x14ac:dyDescent="0.25">
      <c r="B4" s="151"/>
      <c r="C4" s="146"/>
      <c r="D4" s="147"/>
      <c r="E4" s="146"/>
      <c r="F4" s="147"/>
      <c r="G4" s="146"/>
      <c r="H4" s="147"/>
      <c r="I4" s="146"/>
      <c r="J4" s="147"/>
      <c r="K4" s="146"/>
      <c r="L4" s="147"/>
      <c r="M4" s="146"/>
      <c r="N4" s="147"/>
      <c r="O4" s="146"/>
      <c r="P4" s="147"/>
      <c r="Q4" s="146"/>
      <c r="R4" s="147"/>
      <c r="S4" s="146"/>
      <c r="T4" s="147"/>
      <c r="U4" s="12"/>
      <c r="V4" s="102" t="s">
        <v>86</v>
      </c>
      <c r="Z4" s="14"/>
    </row>
    <row r="5" spans="1:26" s="13" customFormat="1" ht="37.5" customHeight="1" x14ac:dyDescent="0.25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 x14ac:dyDescent="0.25">
      <c r="B6" s="107" t="s">
        <v>62</v>
      </c>
      <c r="C6" s="112">
        <v>8000000</v>
      </c>
      <c r="D6" s="113">
        <f>C6*0.133774139</f>
        <v>1070193.112</v>
      </c>
      <c r="E6" s="112">
        <f>5555341.50062378*0.3</f>
        <v>1666602.4501871341</v>
      </c>
      <c r="F6" s="113">
        <f>E6*0.133774139</f>
        <v>222948.30782907424</v>
      </c>
      <c r="G6" s="112">
        <v>1593437</v>
      </c>
      <c r="H6" s="113">
        <f>G6*0.133774139</f>
        <v>213160.66272574296</v>
      </c>
      <c r="I6" s="112">
        <v>0</v>
      </c>
      <c r="J6" s="163">
        <v>0</v>
      </c>
      <c r="K6" s="112">
        <v>0</v>
      </c>
      <c r="L6" s="163">
        <v>0</v>
      </c>
      <c r="M6" s="112">
        <v>0</v>
      </c>
      <c r="N6" s="163">
        <v>0</v>
      </c>
      <c r="O6" s="112">
        <v>0</v>
      </c>
      <c r="P6" s="163">
        <v>0</v>
      </c>
      <c r="Q6" s="112">
        <f>E6+I6+M6</f>
        <v>1666602.4501871341</v>
      </c>
      <c r="R6" s="163">
        <f>F6+J6+N6</f>
        <v>222948.30782907424</v>
      </c>
      <c r="S6" s="112">
        <f>G6+K6+O6</f>
        <v>1593437</v>
      </c>
      <c r="T6" s="113">
        <f>H6+L6+P6</f>
        <v>213160.66272574296</v>
      </c>
      <c r="U6"/>
      <c r="V6" s="100">
        <f>C6-S6</f>
        <v>6406563</v>
      </c>
      <c r="W6"/>
      <c r="X6"/>
      <c r="Z6" s="116"/>
    </row>
    <row r="7" spans="1:26" s="13" customFormat="1" ht="37.5" customHeight="1" x14ac:dyDescent="0.25">
      <c r="B7" s="107" t="s">
        <v>63</v>
      </c>
      <c r="C7" s="112">
        <v>4500000</v>
      </c>
      <c r="D7" s="113">
        <f t="shared" ref="D7:L9" si="0">C7*0.133774139</f>
        <v>601983.62549999997</v>
      </c>
      <c r="E7" s="112">
        <f>2860263.44129057*0.3</f>
        <v>858079.03238717094</v>
      </c>
      <c r="F7" s="113">
        <f t="shared" si="0"/>
        <v>114788.7837515469</v>
      </c>
      <c r="G7" s="112">
        <v>472170</v>
      </c>
      <c r="H7" s="113">
        <f t="shared" si="0"/>
        <v>63164.135211629997</v>
      </c>
      <c r="I7" s="112">
        <v>0</v>
      </c>
      <c r="J7" s="163">
        <v>0</v>
      </c>
      <c r="K7" s="112">
        <v>0</v>
      </c>
      <c r="L7" s="163">
        <v>0</v>
      </c>
      <c r="M7" s="112">
        <v>0</v>
      </c>
      <c r="N7" s="163">
        <v>0</v>
      </c>
      <c r="O7" s="112">
        <v>0</v>
      </c>
      <c r="P7" s="113">
        <f>O7*0.133774139</f>
        <v>0</v>
      </c>
      <c r="Q7" s="112">
        <v>0</v>
      </c>
      <c r="R7" s="163">
        <v>0</v>
      </c>
      <c r="S7" s="112">
        <v>0</v>
      </c>
      <c r="T7" s="113">
        <v>0</v>
      </c>
      <c r="U7"/>
      <c r="V7" s="100">
        <f>C7-S7</f>
        <v>4500000</v>
      </c>
      <c r="W7"/>
      <c r="X7"/>
      <c r="Z7" s="14"/>
    </row>
    <row r="8" spans="1:26" s="13" customFormat="1" ht="37.5" customHeight="1" x14ac:dyDescent="0.25">
      <c r="B8" s="107" t="s">
        <v>65</v>
      </c>
      <c r="C8" s="112">
        <v>2000000</v>
      </c>
      <c r="D8" s="113">
        <f t="shared" si="0"/>
        <v>267548.27799999999</v>
      </c>
      <c r="E8" s="112">
        <v>0</v>
      </c>
      <c r="F8" s="113">
        <f t="shared" si="0"/>
        <v>0</v>
      </c>
      <c r="G8" s="112">
        <v>0</v>
      </c>
      <c r="H8" s="113">
        <f t="shared" si="0"/>
        <v>0</v>
      </c>
      <c r="I8" s="112">
        <v>0</v>
      </c>
      <c r="J8" s="164">
        <f t="shared" si="0"/>
        <v>0</v>
      </c>
      <c r="K8" s="112">
        <v>0</v>
      </c>
      <c r="L8" s="164">
        <f t="shared" si="0"/>
        <v>0</v>
      </c>
      <c r="M8" s="112">
        <v>0</v>
      </c>
      <c r="N8" s="113">
        <v>0</v>
      </c>
      <c r="O8" s="112">
        <v>0</v>
      </c>
      <c r="P8" s="113">
        <v>0</v>
      </c>
      <c r="Q8" s="112">
        <v>0</v>
      </c>
      <c r="R8" s="163">
        <v>0</v>
      </c>
      <c r="S8" s="112">
        <f t="shared" ref="Q6:T9" si="1">+G8+K8+O8</f>
        <v>0</v>
      </c>
      <c r="T8" s="113">
        <f t="shared" si="1"/>
        <v>0</v>
      </c>
      <c r="U8"/>
      <c r="V8" s="100">
        <f>C8-S8</f>
        <v>2000000</v>
      </c>
      <c r="W8"/>
      <c r="X8"/>
      <c r="Z8" s="14"/>
    </row>
    <row r="9" spans="1:26" s="13" customFormat="1" ht="27" customHeight="1" thickBot="1" x14ac:dyDescent="0.3">
      <c r="B9" s="108" t="s">
        <v>64</v>
      </c>
      <c r="C9" s="114">
        <v>0</v>
      </c>
      <c r="D9" s="115">
        <f t="shared" si="0"/>
        <v>0</v>
      </c>
      <c r="E9" s="117">
        <f>166883*0.3</f>
        <v>50064.9</v>
      </c>
      <c r="F9" s="115">
        <f t="shared" si="0"/>
        <v>6697.3888916210999</v>
      </c>
      <c r="G9" s="114">
        <v>0</v>
      </c>
      <c r="H9" s="115">
        <f t="shared" si="0"/>
        <v>0</v>
      </c>
      <c r="I9" s="114">
        <v>0</v>
      </c>
      <c r="J9" s="166">
        <v>0</v>
      </c>
      <c r="K9" s="114">
        <v>0</v>
      </c>
      <c r="L9" s="165">
        <f t="shared" si="0"/>
        <v>0</v>
      </c>
      <c r="M9" s="114">
        <v>0</v>
      </c>
      <c r="N9" s="115">
        <v>0</v>
      </c>
      <c r="O9" s="114">
        <v>0</v>
      </c>
      <c r="P9" s="115">
        <v>0</v>
      </c>
      <c r="Q9" s="114">
        <v>0</v>
      </c>
      <c r="R9" s="166">
        <v>0</v>
      </c>
      <c r="S9" s="114">
        <f t="shared" si="1"/>
        <v>0</v>
      </c>
      <c r="T9" s="115">
        <f t="shared" si="1"/>
        <v>0</v>
      </c>
      <c r="U9"/>
      <c r="V9" s="100">
        <f>C9-S9</f>
        <v>0</v>
      </c>
      <c r="W9"/>
      <c r="X9"/>
      <c r="Z9" s="14"/>
    </row>
    <row r="10" spans="1:26" s="13" customFormat="1" ht="25.5" customHeight="1" x14ac:dyDescent="0.25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 x14ac:dyDescent="0.25">
      <c r="B11" s="88"/>
      <c r="C11" s="88"/>
      <c r="D11" s="142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 x14ac:dyDescent="0.25">
      <c r="D12" s="88" t="s">
        <v>91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/>
      <c r="V12"/>
      <c r="W12"/>
      <c r="X12"/>
      <c r="Z12" s="14"/>
    </row>
    <row r="13" spans="1:26" s="13" customFormat="1" ht="25.5" customHeight="1" x14ac:dyDescent="0.25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 x14ac:dyDescent="0.25">
      <c r="B14" s="88"/>
      <c r="C14" s="88"/>
      <c r="D14" s="30"/>
      <c r="E14" s="30"/>
      <c r="F14" s="30"/>
      <c r="G14" s="30"/>
      <c r="H14" s="30"/>
      <c r="I14" s="143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 x14ac:dyDescent="0.25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 x14ac:dyDescent="0.25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 x14ac:dyDescent="0.25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 x14ac:dyDescent="0.25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 x14ac:dyDescent="0.25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 x14ac:dyDescent="0.25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 x14ac:dyDescent="0.25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 x14ac:dyDescent="0.25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 x14ac:dyDescent="0.25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 x14ac:dyDescent="0.25">
      <c r="B24" s="88"/>
      <c r="C24" s="88" t="s">
        <v>126</v>
      </c>
      <c r="D24" s="30"/>
      <c r="E24" s="30"/>
      <c r="F24" s="30"/>
      <c r="I24" s="30"/>
      <c r="J24" s="30"/>
      <c r="K24" s="30" t="s">
        <v>128</v>
      </c>
      <c r="L24" s="30"/>
      <c r="P24" s="30"/>
      <c r="R24" s="30" t="s">
        <v>130</v>
      </c>
      <c r="S24" s="30"/>
      <c r="T24" s="30"/>
      <c r="U24"/>
      <c r="V24"/>
      <c r="W24"/>
      <c r="X24"/>
      <c r="Z24" s="14"/>
    </row>
    <row r="25" spans="1:26" s="13" customFormat="1" ht="25.5" customHeight="1" x14ac:dyDescent="0.25">
      <c r="B25" s="88"/>
      <c r="C25" s="88" t="s">
        <v>127</v>
      </c>
      <c r="D25" s="30"/>
      <c r="E25" s="30"/>
      <c r="F25" s="30"/>
      <c r="I25" s="30"/>
      <c r="J25" s="30"/>
      <c r="K25" s="30" t="s">
        <v>129</v>
      </c>
      <c r="L25" s="30"/>
      <c r="P25" s="30"/>
      <c r="R25" s="30" t="s">
        <v>131</v>
      </c>
      <c r="S25" s="30"/>
      <c r="T25" s="30"/>
      <c r="U25"/>
      <c r="V25"/>
      <c r="W25"/>
      <c r="X25"/>
      <c r="Z25" s="14"/>
    </row>
    <row r="26" spans="1:26" x14ac:dyDescent="0.25">
      <c r="A26" s="13"/>
      <c r="B26" s="88"/>
      <c r="C26" s="88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6" ht="15.6" x14ac:dyDescent="0.3">
      <c r="B27" s="5" t="s">
        <v>0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 x14ac:dyDescent="0.25">
      <c r="B28" s="6" t="s">
        <v>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 x14ac:dyDescent="0.25">
      <c r="B29" s="6" t="s"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 x14ac:dyDescent="0.25">
      <c r="B30" s="6" t="s"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 x14ac:dyDescent="0.25">
      <c r="B31" s="6" t="s">
        <v>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5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ht="12.75" customHeight="1" x14ac:dyDescent="0.25">
      <c r="B33" s="6" t="s">
        <v>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6" s="2" customFormat="1" ht="18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Z34" s="3"/>
    </row>
    <row r="35" spans="1:26" s="2" customFormat="1" ht="7.5" customHeight="1" x14ac:dyDescent="0.3">
      <c r="B35" s="50" t="s">
        <v>11</v>
      </c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Z35" s="3"/>
    </row>
    <row r="36" spans="1:26" s="2" customFormat="1" ht="12.75" customHeigh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Z36" s="3"/>
    </row>
    <row r="37" spans="1:26" s="2" customFormat="1" ht="13.5" customHeight="1" x14ac:dyDescent="0.25">
      <c r="B37" s="8" t="s">
        <v>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Z37" s="3"/>
    </row>
    <row r="38" spans="1:26" ht="14.25" customHeight="1" x14ac:dyDescent="0.25">
      <c r="A38" s="2"/>
      <c r="B38" s="8" t="s">
        <v>55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"/>
      <c r="V38" s="2"/>
    </row>
    <row r="39" spans="1:26" s="9" customFormat="1" ht="15" x14ac:dyDescent="0.25">
      <c r="A39"/>
      <c r="B39" s="8" t="s">
        <v>56</v>
      </c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/>
      <c r="V39"/>
      <c r="Z39" s="10"/>
    </row>
    <row r="40" spans="1:26" s="9" customFormat="1" x14ac:dyDescent="0.25">
      <c r="Z40" s="10"/>
    </row>
    <row r="41" spans="1:26" s="13" customFormat="1" ht="12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1"/>
      <c r="W41"/>
      <c r="X41"/>
      <c r="Z41" s="14"/>
    </row>
    <row r="42" spans="1:26" s="13" customFormat="1" ht="8.25" customHeight="1" x14ac:dyDescent="0.25">
      <c r="B42" s="15" t="s">
        <v>7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/>
      <c r="V42"/>
      <c r="W42"/>
      <c r="X42"/>
      <c r="Z42" s="14"/>
    </row>
    <row r="43" spans="1:26" ht="14.25" customHeight="1" x14ac:dyDescent="0.25">
      <c r="A43" s="13"/>
      <c r="B43" s="15" t="s">
        <v>8</v>
      </c>
      <c r="C43" s="1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0.5" customHeight="1" x14ac:dyDescent="0.25">
      <c r="B44" s="28" t="s">
        <v>12</v>
      </c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6" ht="18.75" customHeight="1" x14ac:dyDescent="0.25">
      <c r="B45" s="28" t="s">
        <v>13</v>
      </c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6" ht="3" customHeight="1" x14ac:dyDescent="0.25"/>
    <row r="47" spans="1:26" ht="12" customHeight="1" x14ac:dyDescent="0.3">
      <c r="B47" s="5"/>
      <c r="C47" s="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6" s="2" customFormat="1" ht="14.25" customHeight="1" x14ac:dyDescent="0.3">
      <c r="A48"/>
      <c r="B48" s="6" t="s">
        <v>9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/>
      <c r="V48"/>
      <c r="W48"/>
      <c r="X48"/>
      <c r="Z48" s="3"/>
    </row>
    <row r="49" spans="1:26" s="2" customFormat="1" ht="15.6" x14ac:dyDescent="0.3">
      <c r="B49" s="5" t="s">
        <v>57</v>
      </c>
      <c r="C49" s="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/>
      <c r="V49"/>
      <c r="W49"/>
      <c r="X49"/>
      <c r="Z49" s="3"/>
    </row>
    <row r="50" spans="1:26" s="2" customFormat="1" ht="12.75" customHeight="1" x14ac:dyDescent="0.25">
      <c r="U50"/>
      <c r="V50"/>
      <c r="W50"/>
      <c r="X50"/>
      <c r="Z50" s="3"/>
    </row>
    <row r="51" spans="1:26" s="2" customFormat="1" ht="15" customHeight="1" x14ac:dyDescent="0.3">
      <c r="B51" s="5"/>
      <c r="C51" s="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/>
      <c r="V51"/>
      <c r="W51"/>
      <c r="X51"/>
      <c r="Z51" s="3"/>
    </row>
    <row r="52" spans="1:26" s="2" customFormat="1" x14ac:dyDescent="0.25">
      <c r="U52"/>
      <c r="V52"/>
      <c r="W52"/>
      <c r="X52"/>
      <c r="Z52" s="3"/>
    </row>
    <row r="53" spans="1:26" s="2" customFormat="1" x14ac:dyDescent="0.25">
      <c r="U53"/>
      <c r="V53"/>
      <c r="W53"/>
      <c r="X53"/>
      <c r="Z53" s="3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6" spans="1:26" ht="15.6" x14ac:dyDescent="0.3">
      <c r="B56" s="5" t="s">
        <v>58</v>
      </c>
      <c r="C56" s="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6" ht="15.6" x14ac:dyDescent="0.3">
      <c r="B57" s="6" t="s">
        <v>59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9" spans="1:26" ht="15" x14ac:dyDescent="0.25">
      <c r="B59" s="6" t="s">
        <v>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4" spans="1:26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6" x14ac:dyDescent="0.25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Z65"/>
    </row>
    <row r="66" spans="2:26" x14ac:dyDescent="0.25"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Z66"/>
    </row>
    <row r="67" spans="2:26" ht="15.6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Z67"/>
    </row>
    <row r="68" spans="2:26" ht="15.6" x14ac:dyDescent="0.3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Z68"/>
    </row>
    <row r="69" spans="2:26" ht="13.8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Z69"/>
    </row>
    <row r="70" spans="2:26" ht="13.8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Z70"/>
    </row>
    <row r="71" spans="2:26" ht="13.8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Z71"/>
    </row>
    <row r="72" spans="2:26" ht="13.8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Z72"/>
    </row>
    <row r="73" spans="2:26" ht="13.8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Z73"/>
    </row>
    <row r="74" spans="2:26" ht="13.8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Z74"/>
    </row>
    <row r="75" spans="2:26" ht="13.8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Z75"/>
    </row>
    <row r="76" spans="2:26" ht="13.8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Z76"/>
    </row>
    <row r="77" spans="2:26" ht="13.8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Z77"/>
    </row>
    <row r="78" spans="2:26" ht="13.8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Z78"/>
    </row>
    <row r="79" spans="2:26" ht="13.8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Z79"/>
    </row>
    <row r="80" spans="2:26" ht="13.8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Z80"/>
    </row>
    <row r="81" spans="2:26" ht="13.8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Z81"/>
    </row>
    <row r="82" spans="2:26" ht="13.8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Z82"/>
    </row>
    <row r="83" spans="2:26" ht="13.8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Z83"/>
    </row>
    <row r="84" spans="2:26" ht="13.8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Z84"/>
    </row>
    <row r="85" spans="2:26" ht="13.8" x14ac:dyDescent="0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Z85"/>
    </row>
    <row r="86" spans="2:26" x14ac:dyDescent="0.25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Z86"/>
    </row>
    <row r="87" spans="2:26" ht="15.6" x14ac:dyDescent="0.3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Z87"/>
    </row>
    <row r="88" spans="2:26" ht="15.6" x14ac:dyDescent="0.3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Z88"/>
    </row>
    <row r="89" spans="2:26" ht="15.6" x14ac:dyDescent="0.3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Z89"/>
    </row>
    <row r="90" spans="2:26" ht="15.6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Z90"/>
    </row>
    <row r="91" spans="2:26" ht="15.6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Z91"/>
    </row>
    <row r="92" spans="2:26" ht="15.6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Z92"/>
    </row>
    <row r="93" spans="2:26" ht="15.6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Z93"/>
    </row>
    <row r="94" spans="2:26" ht="15.6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Z94"/>
    </row>
    <row r="95" spans="2:26" ht="15.6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Z95"/>
    </row>
    <row r="96" spans="2:26" ht="15.6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Z96"/>
    </row>
    <row r="97" spans="2:26" ht="15.6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Z97"/>
    </row>
    <row r="98" spans="2:26" ht="15.6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Z98"/>
    </row>
    <row r="99" spans="2:26" ht="15.6" x14ac:dyDescent="0.3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Z99"/>
    </row>
    <row r="100" spans="2:26" ht="15.6" x14ac:dyDescent="0.3">
      <c r="B100" s="22"/>
      <c r="C100" s="2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Z100"/>
    </row>
    <row r="101" spans="2:26" ht="15.6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Z101"/>
    </row>
    <row r="102" spans="2:26" ht="15.6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Z102"/>
    </row>
    <row r="103" spans="2:26" ht="15.6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Z103"/>
    </row>
    <row r="104" spans="2:26" ht="15.6" x14ac:dyDescent="0.3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Z104"/>
    </row>
    <row r="105" spans="2:26" x14ac:dyDescent="0.2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Z105"/>
    </row>
    <row r="106" spans="2:26" x14ac:dyDescent="0.25">
      <c r="B106" s="24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Z106"/>
    </row>
    <row r="107" spans="2:26" x14ac:dyDescent="0.25">
      <c r="B107" s="26"/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Z107"/>
    </row>
    <row r="108" spans="2:26" x14ac:dyDescent="0.25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Z108"/>
    </row>
    <row r="109" spans="2:26" ht="15.6" x14ac:dyDescent="0.3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Z109"/>
    </row>
    <row r="110" spans="2:26" ht="15.6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Z110"/>
    </row>
    <row r="111" spans="2:26" ht="15.6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Z111"/>
    </row>
    <row r="112" spans="2:26" ht="15.6" x14ac:dyDescent="0.3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Z112"/>
    </row>
    <row r="113" spans="2:26" ht="15.6" x14ac:dyDescent="0.3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Z113"/>
    </row>
    <row r="114" spans="2:26" ht="15.6" x14ac:dyDescent="0.3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Z114"/>
    </row>
    <row r="115" spans="2:26" ht="15.6" x14ac:dyDescent="0.3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Z115"/>
    </row>
    <row r="116" spans="2:26" ht="15.6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Z116"/>
    </row>
    <row r="117" spans="2:26" ht="15.6" x14ac:dyDescent="0.3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Z117"/>
    </row>
    <row r="118" spans="2:26" ht="15.6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Z118"/>
    </row>
    <row r="119" spans="2:26" ht="15.6" x14ac:dyDescent="0.3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Z119"/>
    </row>
    <row r="120" spans="2:26" ht="15.6" x14ac:dyDescent="0.3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Z120"/>
    </row>
    <row r="121" spans="2:26" ht="15.6" x14ac:dyDescent="0.3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Z121"/>
    </row>
    <row r="122" spans="2:26" ht="15.6" x14ac:dyDescent="0.3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Z122"/>
    </row>
    <row r="123" spans="2:26" ht="15.6" x14ac:dyDescent="0.3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Z123"/>
    </row>
    <row r="124" spans="2:26" ht="15.6" x14ac:dyDescent="0.3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Z124"/>
    </row>
    <row r="125" spans="2:26" ht="15.6" x14ac:dyDescent="0.3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Z125"/>
    </row>
    <row r="126" spans="2:26" ht="15.6" x14ac:dyDescent="0.3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Z126"/>
    </row>
    <row r="127" spans="2:26" ht="15.6" x14ac:dyDescent="0.3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Z127"/>
    </row>
    <row r="128" spans="2:26" ht="13.8" x14ac:dyDescent="0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Z128"/>
    </row>
    <row r="129" spans="2:26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Z129"/>
    </row>
    <row r="130" spans="2:26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Z130"/>
    </row>
    <row r="131" spans="2:26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Z131"/>
    </row>
    <row r="132" spans="2:26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Z132"/>
    </row>
    <row r="133" spans="2:26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Z133"/>
    </row>
    <row r="134" spans="2:26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Z134"/>
    </row>
    <row r="135" spans="2:26" x14ac:dyDescent="0.2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Z135"/>
    </row>
    <row r="136" spans="2:26" ht="15.6" x14ac:dyDescent="0.3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Z136"/>
    </row>
    <row r="137" spans="2:26" ht="15.6" x14ac:dyDescent="0.3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Z137"/>
    </row>
    <row r="138" spans="2:26" ht="15.6" x14ac:dyDescent="0.3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Z138"/>
    </row>
    <row r="139" spans="2:26" ht="15.6" x14ac:dyDescent="0.3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Z139"/>
    </row>
    <row r="140" spans="2:26" ht="15.6" x14ac:dyDescent="0.3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Z140"/>
    </row>
    <row r="141" spans="2:26" ht="15.6" x14ac:dyDescent="0.3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Z141"/>
    </row>
    <row r="142" spans="2:26" ht="15.6" x14ac:dyDescent="0.3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Z142"/>
    </row>
    <row r="143" spans="2:26" ht="15.6" x14ac:dyDescent="0.3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Z143"/>
    </row>
    <row r="144" spans="2:26" ht="15.6" x14ac:dyDescent="0.3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Z144"/>
    </row>
    <row r="145" spans="2:26" ht="15.6" x14ac:dyDescent="0.3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Z145"/>
    </row>
    <row r="146" spans="2:26" ht="15.6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Z146"/>
    </row>
    <row r="147" spans="2:26" ht="15.6" x14ac:dyDescent="0.3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Z147"/>
    </row>
    <row r="148" spans="2:26" ht="15.6" x14ac:dyDescent="0.3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Z148"/>
    </row>
    <row r="149" spans="2:26" ht="15.6" x14ac:dyDescent="0.3">
      <c r="B149" s="22"/>
      <c r="C149" s="2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Z149"/>
    </row>
    <row r="150" spans="2:26" ht="15.6" x14ac:dyDescent="0.3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Z150"/>
    </row>
    <row r="151" spans="2:26" ht="15.6" x14ac:dyDescent="0.3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Z151"/>
    </row>
    <row r="152" spans="2:26" ht="15.6" x14ac:dyDescent="0.3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Z152"/>
    </row>
    <row r="153" spans="2:26" ht="15.6" x14ac:dyDescent="0.3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Z153"/>
    </row>
    <row r="154" spans="2:26" x14ac:dyDescent="0.25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Z154"/>
    </row>
    <row r="155" spans="2:26" x14ac:dyDescent="0.25">
      <c r="B155" s="24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Z155"/>
    </row>
    <row r="156" spans="2:26" x14ac:dyDescent="0.25">
      <c r="B156" s="26"/>
      <c r="C156" s="26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Z156"/>
    </row>
    <row r="157" spans="2:26" x14ac:dyDescent="0.25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Z157"/>
    </row>
    <row r="158" spans="2:26" ht="15.6" x14ac:dyDescent="0.3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Z158"/>
    </row>
    <row r="159" spans="2:26" ht="15.6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Z159"/>
    </row>
    <row r="160" spans="2:26" ht="15.6" x14ac:dyDescent="0.3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Z160"/>
    </row>
    <row r="161" spans="2:26" ht="15.6" x14ac:dyDescent="0.3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Z161"/>
    </row>
    <row r="162" spans="2:26" ht="15.6" x14ac:dyDescent="0.3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Z162"/>
    </row>
    <row r="163" spans="2:26" ht="15.6" x14ac:dyDescent="0.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Z163"/>
    </row>
    <row r="164" spans="2:26" ht="15.6" x14ac:dyDescent="0.3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Z164"/>
    </row>
    <row r="165" spans="2:26" ht="15.6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Z165"/>
    </row>
    <row r="166" spans="2:26" ht="15.6" x14ac:dyDescent="0.3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Z166"/>
    </row>
    <row r="167" spans="2:26" ht="13.8" x14ac:dyDescent="0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Z167"/>
    </row>
    <row r="168" spans="2:26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Z168"/>
    </row>
    <row r="169" spans="2:26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Z169"/>
    </row>
    <row r="170" spans="2:26" x14ac:dyDescent="0.2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Z170"/>
    </row>
    <row r="171" spans="2:26" x14ac:dyDescent="0.2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Z171"/>
    </row>
    <row r="172" spans="2:26" x14ac:dyDescent="0.2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Z172"/>
    </row>
    <row r="173" spans="2:26" x14ac:dyDescent="0.2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Z173"/>
    </row>
    <row r="174" spans="2:26" x14ac:dyDescent="0.2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Z174"/>
    </row>
    <row r="175" spans="2:26" x14ac:dyDescent="0.2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Z175"/>
    </row>
    <row r="176" spans="2:26" ht="15.6" x14ac:dyDescent="0.3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Z176"/>
    </row>
    <row r="177" spans="2:26" ht="15.6" x14ac:dyDescent="0.3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Z177"/>
    </row>
    <row r="178" spans="2:26" ht="15.6" x14ac:dyDescent="0.3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Z178"/>
    </row>
    <row r="179" spans="2:26" ht="15.6" x14ac:dyDescent="0.3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Z179"/>
    </row>
    <row r="180" spans="2:26" ht="15.6" x14ac:dyDescent="0.3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Z180"/>
    </row>
    <row r="181" spans="2:26" ht="15.6" x14ac:dyDescent="0.3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Z181"/>
    </row>
    <row r="182" spans="2:26" ht="15.6" x14ac:dyDescent="0.3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Z182"/>
    </row>
    <row r="183" spans="2:26" ht="15.6" x14ac:dyDescent="0.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Z183"/>
    </row>
    <row r="184" spans="2:26" ht="15.6" x14ac:dyDescent="0.3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Z184"/>
    </row>
    <row r="185" spans="2:26" ht="15.6" x14ac:dyDescent="0.3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Z185"/>
    </row>
    <row r="186" spans="2:26" ht="15.6" x14ac:dyDescent="0.3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Z186"/>
    </row>
    <row r="187" spans="2:26" ht="15.6" x14ac:dyDescent="0.3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Z187"/>
    </row>
    <row r="188" spans="2:26" ht="15.6" x14ac:dyDescent="0.3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Z188"/>
    </row>
    <row r="189" spans="2:26" ht="15.6" x14ac:dyDescent="0.3">
      <c r="B189" s="22"/>
      <c r="C189" s="2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Z189"/>
    </row>
    <row r="190" spans="2:26" ht="15.6" x14ac:dyDescent="0.3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Z190"/>
    </row>
    <row r="191" spans="2:26" ht="15.6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Z191"/>
    </row>
    <row r="192" spans="2:26" ht="15.6" x14ac:dyDescent="0.3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Z192"/>
    </row>
    <row r="193" spans="2:26" ht="15.6" x14ac:dyDescent="0.3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Z193"/>
    </row>
    <row r="194" spans="2:26" x14ac:dyDescent="0.25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Z194"/>
    </row>
    <row r="195" spans="2:26" x14ac:dyDescent="0.25">
      <c r="B195" s="24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Z195"/>
    </row>
    <row r="196" spans="2:26" x14ac:dyDescent="0.25">
      <c r="B196" s="26"/>
      <c r="C196" s="26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Z196"/>
    </row>
    <row r="197" spans="2:26" x14ac:dyDescent="0.25"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Z197"/>
    </row>
    <row r="198" spans="2:26" ht="15.6" x14ac:dyDescent="0.3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Z198"/>
    </row>
    <row r="199" spans="2:26" ht="15.6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Z199"/>
    </row>
    <row r="200" spans="2:26" ht="15.6" x14ac:dyDescent="0.3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Z200"/>
    </row>
    <row r="201" spans="2:26" ht="15.6" x14ac:dyDescent="0.3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Z201"/>
    </row>
    <row r="202" spans="2:26" ht="15.6" x14ac:dyDescent="0.3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Z202"/>
    </row>
    <row r="203" spans="2:26" ht="15.6" x14ac:dyDescent="0.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Z203"/>
    </row>
    <row r="204" spans="2:26" ht="15.6" x14ac:dyDescent="0.3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Z204"/>
    </row>
    <row r="205" spans="2:26" ht="15.6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Z205"/>
    </row>
    <row r="206" spans="2:26" ht="15.6" x14ac:dyDescent="0.3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Z206"/>
    </row>
    <row r="207" spans="2:26" ht="13.8" x14ac:dyDescent="0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Z207"/>
    </row>
    <row r="208" spans="2:26" x14ac:dyDescent="0.25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Z208"/>
    </row>
    <row r="209" spans="2:26" x14ac:dyDescent="0.25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Z209"/>
    </row>
    <row r="210" spans="2:26" ht="15.6" x14ac:dyDescent="0.3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Z210"/>
    </row>
    <row r="211" spans="2:26" ht="15.6" x14ac:dyDescent="0.3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Z211"/>
    </row>
    <row r="212" spans="2:26" ht="15.6" x14ac:dyDescent="0.3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Z212"/>
    </row>
    <row r="213" spans="2:26" ht="15.6" x14ac:dyDescent="0.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Z213"/>
    </row>
    <row r="214" spans="2:26" ht="15.6" x14ac:dyDescent="0.3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Z214"/>
    </row>
    <row r="215" spans="2:26" ht="15.6" x14ac:dyDescent="0.3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Z215"/>
    </row>
    <row r="216" spans="2:26" ht="15.6" x14ac:dyDescent="0.3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Z216"/>
    </row>
    <row r="217" spans="2:26" ht="15.6" x14ac:dyDescent="0.3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Z217"/>
    </row>
    <row r="218" spans="2:26" ht="15.6" x14ac:dyDescent="0.3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Z218"/>
    </row>
    <row r="219" spans="2:26" ht="15.6" x14ac:dyDescent="0.3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Z219"/>
    </row>
    <row r="220" spans="2:26" ht="15.6" x14ac:dyDescent="0.3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Z220"/>
    </row>
    <row r="221" spans="2:26" ht="15.6" x14ac:dyDescent="0.3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Z221"/>
    </row>
    <row r="222" spans="2:26" ht="15.6" x14ac:dyDescent="0.3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Z222"/>
    </row>
    <row r="223" spans="2:26" ht="15.6" x14ac:dyDescent="0.3">
      <c r="B223" s="22"/>
      <c r="C223" s="2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Z223"/>
    </row>
    <row r="224" spans="2:26" ht="15.6" x14ac:dyDescent="0.3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Z224"/>
    </row>
    <row r="225" spans="2:26" ht="15.6" x14ac:dyDescent="0.3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Z225"/>
    </row>
    <row r="226" spans="2:26" ht="15.6" x14ac:dyDescent="0.3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Z226"/>
    </row>
    <row r="227" spans="2:26" ht="15.6" x14ac:dyDescent="0.3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Z227"/>
    </row>
    <row r="228" spans="2:26" x14ac:dyDescent="0.25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Z228"/>
    </row>
    <row r="229" spans="2:26" x14ac:dyDescent="0.25">
      <c r="B229" s="24"/>
      <c r="C229" s="24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Z229"/>
    </row>
    <row r="230" spans="2:26" x14ac:dyDescent="0.25">
      <c r="B230" s="26"/>
      <c r="C230" s="26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Z230"/>
    </row>
    <row r="231" spans="2:26" x14ac:dyDescent="0.25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Z231"/>
    </row>
    <row r="232" spans="2:26" ht="21" customHeight="1" x14ac:dyDescent="0.3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Z232"/>
    </row>
    <row r="233" spans="2:26" ht="15.6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Z233"/>
    </row>
    <row r="234" spans="2:26" ht="15.6" x14ac:dyDescent="0.3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Z234"/>
    </row>
    <row r="235" spans="2:26" ht="15.6" x14ac:dyDescent="0.3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Z235"/>
    </row>
    <row r="236" spans="2:26" ht="15.6" x14ac:dyDescent="0.3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Z236"/>
    </row>
    <row r="237" spans="2:26" ht="15.6" x14ac:dyDescent="0.3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Z237"/>
    </row>
    <row r="238" spans="2:26" ht="15.6" x14ac:dyDescent="0.3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Z238"/>
    </row>
    <row r="239" spans="2:26" ht="15.6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Z239"/>
    </row>
    <row r="240" spans="2:26" ht="15.6" x14ac:dyDescent="0.3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Z240"/>
    </row>
    <row r="241" spans="2:26" ht="13.8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Z241"/>
    </row>
    <row r="242" spans="2:26" ht="13.8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Z242"/>
    </row>
    <row r="243" spans="2:26" ht="13.8" x14ac:dyDescent="0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Z243"/>
    </row>
    <row r="244" spans="2:26" x14ac:dyDescent="0.25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Z244"/>
    </row>
    <row r="245" spans="2:26" x14ac:dyDescent="0.2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Z245"/>
    </row>
    <row r="246" spans="2:26" x14ac:dyDescent="0.25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Z246"/>
    </row>
    <row r="247" spans="2:26" x14ac:dyDescent="0.25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Z247"/>
    </row>
    <row r="248" spans="2:26" x14ac:dyDescent="0.25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Z248"/>
    </row>
    <row r="249" spans="2:26" x14ac:dyDescent="0.25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Z249"/>
    </row>
    <row r="250" spans="2:26" x14ac:dyDescent="0.25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Z250"/>
    </row>
    <row r="251" spans="2:26" x14ac:dyDescent="0.25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Z251"/>
    </row>
    <row r="252" spans="2:26" x14ac:dyDescent="0.25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Z252"/>
    </row>
    <row r="253" spans="2:26" x14ac:dyDescent="0.25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Z253"/>
    </row>
    <row r="254" spans="2:26" x14ac:dyDescent="0.25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Z254"/>
    </row>
    <row r="255" spans="2:26" x14ac:dyDescent="0.2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Z255"/>
    </row>
    <row r="256" spans="2:26" x14ac:dyDescent="0.25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Z256"/>
    </row>
    <row r="257" spans="2:26" x14ac:dyDescent="0.25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Z257"/>
    </row>
    <row r="258" spans="2:26" x14ac:dyDescent="0.25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Z258"/>
    </row>
    <row r="259" spans="2:26" x14ac:dyDescent="0.25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Z259"/>
    </row>
    <row r="260" spans="2:26" x14ac:dyDescent="0.25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Z260"/>
    </row>
    <row r="261" spans="2:26" x14ac:dyDescent="0.25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Z261"/>
    </row>
    <row r="262" spans="2:26" x14ac:dyDescent="0.25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Z262"/>
    </row>
    <row r="263" spans="2:26" x14ac:dyDescent="0.25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Z263"/>
    </row>
    <row r="264" spans="2:26" x14ac:dyDescent="0.25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Z264"/>
    </row>
    <row r="265" spans="2:26" x14ac:dyDescent="0.2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Z265"/>
    </row>
    <row r="266" spans="2:26" x14ac:dyDescent="0.25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Z266"/>
    </row>
    <row r="267" spans="2:26" x14ac:dyDescent="0.25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Z267"/>
    </row>
    <row r="268" spans="2:26" x14ac:dyDescent="0.25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Z268"/>
    </row>
    <row r="269" spans="2:26" x14ac:dyDescent="0.25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Z269"/>
    </row>
    <row r="270" spans="2:26" x14ac:dyDescent="0.25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Z270"/>
    </row>
    <row r="271" spans="2:26" x14ac:dyDescent="0.25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Z271"/>
    </row>
    <row r="272" spans="2:26" x14ac:dyDescent="0.25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Z272"/>
    </row>
    <row r="273" spans="2:26" x14ac:dyDescent="0.25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Z273"/>
    </row>
    <row r="274" spans="2:26" x14ac:dyDescent="0.25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Z274"/>
    </row>
    <row r="275" spans="2:26" x14ac:dyDescent="0.2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Z275"/>
    </row>
    <row r="276" spans="2:26" x14ac:dyDescent="0.25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Z276"/>
    </row>
    <row r="277" spans="2:26" x14ac:dyDescent="0.25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Z277"/>
    </row>
    <row r="278" spans="2:26" x14ac:dyDescent="0.25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Z278"/>
    </row>
    <row r="279" spans="2:26" x14ac:dyDescent="0.25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Z27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ageMargins left="0.7" right="0.7" top="0.75" bottom="0.75" header="0.3" footer="0.3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196"/>
  <sheetViews>
    <sheetView view="pageLayout" zoomScale="85" zoomScaleNormal="110" zoomScalePageLayoutView="85" workbookViewId="0">
      <selection activeCell="H6" sqref="H6"/>
    </sheetView>
  </sheetViews>
  <sheetFormatPr defaultRowHeight="13.2" x14ac:dyDescent="0.25"/>
  <cols>
    <col min="1" max="1" width="4" customWidth="1"/>
    <col min="2" max="2" width="13" customWidth="1"/>
    <col min="3" max="3" width="14" bestFit="1" customWidth="1"/>
    <col min="4" max="4" width="14.10937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6.6640625" customWidth="1"/>
    <col min="10" max="10" width="15.33203125" bestFit="1" customWidth="1"/>
    <col min="11" max="11" width="18" bestFit="1" customWidth="1"/>
  </cols>
  <sheetData>
    <row r="1" spans="1:12" s="1" customFormat="1" ht="15.6" x14ac:dyDescent="0.3">
      <c r="A1"/>
      <c r="B1" s="5" t="s">
        <v>69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399999999999999" x14ac:dyDescent="0.3">
      <c r="A2"/>
      <c r="B2" s="153" t="s">
        <v>14</v>
      </c>
      <c r="C2" s="153"/>
      <c r="D2" s="153"/>
      <c r="E2" s="153"/>
      <c r="F2" s="153"/>
      <c r="G2" s="153"/>
      <c r="H2" s="153"/>
      <c r="I2" s="153"/>
      <c r="J2" s="153"/>
      <c r="K2" s="153"/>
    </row>
    <row r="3" spans="1:12" s="1" customFormat="1" ht="17.399999999999999" x14ac:dyDescent="0.3">
      <c r="A3"/>
      <c r="B3" s="154"/>
      <c r="C3" s="154"/>
      <c r="D3" s="154"/>
      <c r="E3" s="154"/>
      <c r="F3" s="154"/>
      <c r="G3" s="154"/>
      <c r="H3" s="154"/>
      <c r="I3" s="154"/>
      <c r="J3" s="154"/>
      <c r="K3" s="154"/>
    </row>
    <row r="4" spans="1:12" s="1" customFormat="1" ht="13.8" x14ac:dyDescent="0.25">
      <c r="A4"/>
      <c r="B4" s="33" t="s">
        <v>15</v>
      </c>
      <c r="C4" s="34" t="s">
        <v>16</v>
      </c>
      <c r="D4" s="52">
        <f ca="1">NOW()</f>
        <v>41967.663497337962</v>
      </c>
      <c r="E4" s="35"/>
      <c r="F4" s="35"/>
      <c r="G4" s="35"/>
      <c r="H4" s="35"/>
      <c r="I4" s="35"/>
      <c r="J4" s="35"/>
      <c r="K4" s="35"/>
    </row>
    <row r="5" spans="1:12" s="1" customFormat="1" ht="13.8" x14ac:dyDescent="0.25">
      <c r="A5"/>
      <c r="B5" s="33" t="s">
        <v>17</v>
      </c>
      <c r="C5" s="34" t="s">
        <v>16</v>
      </c>
      <c r="D5" s="36">
        <v>41913</v>
      </c>
      <c r="E5" s="35"/>
      <c r="F5" s="35"/>
      <c r="G5" s="35"/>
      <c r="H5" s="35"/>
      <c r="I5" s="35"/>
      <c r="J5" s="35"/>
      <c r="K5" s="35"/>
    </row>
    <row r="6" spans="1:12" s="1" customFormat="1" ht="13.8" x14ac:dyDescent="0.25">
      <c r="A6"/>
      <c r="B6" s="33" t="s">
        <v>18</v>
      </c>
      <c r="C6" s="34" t="s">
        <v>16</v>
      </c>
      <c r="D6" s="33" t="s">
        <v>70</v>
      </c>
      <c r="E6" s="35"/>
      <c r="F6" s="35"/>
      <c r="G6" s="35"/>
      <c r="H6" s="35"/>
      <c r="I6" s="35"/>
      <c r="J6" s="35"/>
      <c r="K6" s="35"/>
    </row>
    <row r="7" spans="1:12" s="1" customFormat="1" ht="13.8" x14ac:dyDescent="0.25">
      <c r="A7"/>
      <c r="B7" s="33" t="s">
        <v>19</v>
      </c>
      <c r="C7" s="34" t="s">
        <v>16</v>
      </c>
      <c r="D7" s="33" t="s">
        <v>71</v>
      </c>
      <c r="E7" s="35"/>
      <c r="F7" s="35"/>
      <c r="G7" s="35"/>
      <c r="H7" s="35"/>
      <c r="I7" s="35"/>
      <c r="J7" s="35"/>
      <c r="K7" s="35"/>
    </row>
    <row r="8" spans="1:12" s="1" customFormat="1" ht="13.8" x14ac:dyDescent="0.25">
      <c r="A8"/>
      <c r="B8" s="33" t="s">
        <v>20</v>
      </c>
      <c r="C8" s="34" t="s">
        <v>16</v>
      </c>
      <c r="D8" s="178">
        <v>88.492400000000004</v>
      </c>
      <c r="E8" s="35"/>
      <c r="F8" s="35"/>
      <c r="G8" s="35"/>
      <c r="H8" s="35"/>
      <c r="I8" s="35"/>
      <c r="J8" s="35"/>
      <c r="K8" s="35"/>
    </row>
    <row r="9" spans="1:12" s="1" customFormat="1" x14ac:dyDescent="0.25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 x14ac:dyDescent="0.25">
      <c r="A10"/>
      <c r="B10" s="4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55" t="s">
        <v>83</v>
      </c>
      <c r="K10" s="155"/>
      <c r="L10" s="98" t="s">
        <v>82</v>
      </c>
    </row>
    <row r="11" spans="1:12" s="1" customFormat="1" x14ac:dyDescent="0.25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  <c r="L11" s="97"/>
    </row>
    <row r="12" spans="1:12" s="1" customFormat="1" x14ac:dyDescent="0.25">
      <c r="A12"/>
      <c r="B12" s="167">
        <v>41861</v>
      </c>
      <c r="C12" s="170" t="s">
        <v>119</v>
      </c>
      <c r="D12" s="171">
        <v>31.1</v>
      </c>
      <c r="E12" s="172">
        <v>4.6172740493493417E-2</v>
      </c>
      <c r="F12" s="172">
        <v>954668</v>
      </c>
      <c r="G12" s="172"/>
      <c r="H12" s="172">
        <v>129501</v>
      </c>
      <c r="I12" s="174" t="s">
        <v>121</v>
      </c>
      <c r="J12" s="173">
        <v>84480862.523200005</v>
      </c>
      <c r="K12" s="87">
        <v>13115077900.845961</v>
      </c>
      <c r="L12" s="97"/>
    </row>
    <row r="13" spans="1:12" s="1" customFormat="1" x14ac:dyDescent="0.25">
      <c r="A13"/>
      <c r="B13" s="168" t="s">
        <v>118</v>
      </c>
      <c r="C13" s="170" t="s">
        <v>120</v>
      </c>
      <c r="D13" s="171">
        <v>30.6</v>
      </c>
      <c r="E13" s="172">
        <v>9.1967398495676117E-2</v>
      </c>
      <c r="F13" s="172">
        <v>638769</v>
      </c>
      <c r="G13" s="172"/>
      <c r="H13" s="172">
        <v>85656</v>
      </c>
      <c r="I13" s="174" t="s">
        <v>121</v>
      </c>
      <c r="J13" s="173">
        <v>56526201.855599999</v>
      </c>
      <c r="K13" s="87">
        <v>8775307432.1601582</v>
      </c>
      <c r="L13" s="97"/>
    </row>
    <row r="14" spans="1:12" ht="13.8" x14ac:dyDescent="0.25">
      <c r="B14" s="79"/>
      <c r="C14" s="78"/>
      <c r="D14" s="81"/>
      <c r="E14" s="86"/>
      <c r="F14" s="80"/>
      <c r="G14" s="27"/>
      <c r="H14" s="91"/>
      <c r="I14" s="78"/>
      <c r="J14" s="87"/>
      <c r="K14" s="87"/>
      <c r="L14" s="97"/>
    </row>
    <row r="15" spans="1:12" ht="13.8" x14ac:dyDescent="0.25">
      <c r="B15" s="79"/>
      <c r="C15" s="78"/>
      <c r="D15" s="81"/>
      <c r="E15" s="86"/>
      <c r="F15" s="80"/>
      <c r="G15" s="27"/>
      <c r="H15" s="91"/>
      <c r="I15" s="78"/>
      <c r="J15" s="87"/>
      <c r="K15" s="87"/>
      <c r="L15" s="97"/>
    </row>
    <row r="16" spans="1:12" x14ac:dyDescent="0.25">
      <c r="B16" s="82" t="s">
        <v>35</v>
      </c>
      <c r="C16" s="83"/>
      <c r="D16" s="83"/>
      <c r="E16" s="84"/>
      <c r="F16" s="85"/>
      <c r="G16" s="85"/>
      <c r="H16" s="85"/>
      <c r="I16" s="85"/>
      <c r="J16" s="99">
        <f>SUM(J12:J15)</f>
        <v>141007064.3788</v>
      </c>
      <c r="K16" s="99">
        <f>SUM(K12:K15)</f>
        <v>21890385333.006119</v>
      </c>
    </row>
    <row r="17" spans="2:7" ht="15.6" x14ac:dyDescent="0.3">
      <c r="B17" s="22"/>
      <c r="C17" s="7"/>
      <c r="D17" s="7"/>
      <c r="E17" s="7"/>
      <c r="F17" s="7"/>
      <c r="G17" s="7"/>
    </row>
    <row r="18" spans="2:7" ht="15.6" x14ac:dyDescent="0.3">
      <c r="B18" s="19"/>
      <c r="C18" s="19"/>
      <c r="D18" s="19"/>
      <c r="E18" s="19"/>
      <c r="F18" s="19"/>
      <c r="G18" s="19"/>
    </row>
    <row r="19" spans="2:7" ht="15.6" x14ac:dyDescent="0.3">
      <c r="B19" s="19"/>
      <c r="C19" s="19"/>
      <c r="D19" s="19"/>
      <c r="E19" s="19"/>
      <c r="F19" s="19"/>
      <c r="G19" s="19"/>
    </row>
    <row r="20" spans="2:7" ht="15.6" x14ac:dyDescent="0.3">
      <c r="B20" s="19"/>
      <c r="C20" s="19"/>
      <c r="D20" s="19"/>
      <c r="E20" s="19"/>
      <c r="F20" s="19"/>
      <c r="G20" s="19"/>
    </row>
    <row r="21" spans="2:7" ht="15.6" x14ac:dyDescent="0.3">
      <c r="B21" s="19"/>
      <c r="C21" s="19"/>
      <c r="D21" s="19"/>
      <c r="E21" s="19"/>
      <c r="F21" s="19"/>
      <c r="G21" s="19"/>
    </row>
    <row r="22" spans="2:7" x14ac:dyDescent="0.25">
      <c r="B22" s="23"/>
      <c r="C22" s="23"/>
      <c r="D22" s="23"/>
      <c r="E22" s="23"/>
      <c r="F22" s="23"/>
      <c r="G22" s="23"/>
    </row>
    <row r="23" spans="2:7" x14ac:dyDescent="0.25">
      <c r="B23" s="24"/>
      <c r="C23" s="25"/>
      <c r="D23" s="25"/>
      <c r="E23" s="25"/>
      <c r="F23" s="25"/>
      <c r="G23" s="25"/>
    </row>
    <row r="24" spans="2:7" x14ac:dyDescent="0.25">
      <c r="B24" s="26"/>
      <c r="C24" s="25"/>
      <c r="D24" s="25"/>
      <c r="E24" s="25"/>
      <c r="F24" s="25"/>
      <c r="G24" s="25"/>
    </row>
    <row r="25" spans="2:7" x14ac:dyDescent="0.25">
      <c r="B25" s="26"/>
      <c r="C25" s="26"/>
      <c r="D25" s="26"/>
      <c r="E25" s="26"/>
      <c r="F25" s="26"/>
      <c r="G25" s="26"/>
    </row>
    <row r="26" spans="2:7" ht="15.6" x14ac:dyDescent="0.3">
      <c r="B26" s="19"/>
      <c r="C26" s="19"/>
      <c r="D26" s="19"/>
      <c r="E26" s="19"/>
      <c r="F26" s="19"/>
      <c r="G26" s="19"/>
    </row>
    <row r="27" spans="2:7" ht="15.6" x14ac:dyDescent="0.3">
      <c r="B27" s="7"/>
      <c r="C27" s="7"/>
      <c r="D27" s="7"/>
      <c r="E27" s="7"/>
      <c r="F27" s="7"/>
      <c r="G27" s="19"/>
    </row>
    <row r="28" spans="2:7" ht="15.6" x14ac:dyDescent="0.3">
      <c r="B28" s="19"/>
      <c r="C28" s="19"/>
      <c r="D28" s="19"/>
      <c r="E28" s="19"/>
      <c r="F28" s="19"/>
      <c r="G28" s="19"/>
    </row>
    <row r="29" spans="2:7" ht="15.6" x14ac:dyDescent="0.3">
      <c r="B29" s="19"/>
      <c r="C29" s="19"/>
      <c r="D29" s="19"/>
      <c r="E29" s="19"/>
      <c r="F29" s="19"/>
      <c r="G29" s="19"/>
    </row>
    <row r="30" spans="2:7" ht="15.6" x14ac:dyDescent="0.3">
      <c r="B30" s="19"/>
      <c r="C30" s="19"/>
      <c r="D30" s="19"/>
      <c r="E30" s="19"/>
      <c r="F30" s="19"/>
      <c r="G30" s="19"/>
    </row>
    <row r="31" spans="2:7" ht="15.6" x14ac:dyDescent="0.3">
      <c r="B31" s="19"/>
      <c r="C31" s="19"/>
      <c r="D31" s="19"/>
      <c r="E31" s="19"/>
      <c r="F31" s="19"/>
      <c r="G31" s="19"/>
    </row>
    <row r="32" spans="2:7" ht="15.6" x14ac:dyDescent="0.3">
      <c r="B32" s="19"/>
      <c r="C32" s="19"/>
      <c r="D32" s="19"/>
      <c r="E32" s="19"/>
      <c r="F32" s="19"/>
      <c r="G32" s="19"/>
    </row>
    <row r="33" spans="2:7" ht="15.6" x14ac:dyDescent="0.3">
      <c r="B33" s="7"/>
      <c r="C33" s="7"/>
      <c r="D33" s="7"/>
      <c r="E33" s="7"/>
      <c r="F33" s="7"/>
      <c r="G33" s="7"/>
    </row>
    <row r="34" spans="2:7" ht="15.6" x14ac:dyDescent="0.3">
      <c r="B34" s="19"/>
      <c r="C34" s="19"/>
      <c r="D34" s="19"/>
      <c r="E34" s="19"/>
      <c r="F34" s="19"/>
      <c r="G34" s="19"/>
    </row>
    <row r="35" spans="2:7" ht="15.6" x14ac:dyDescent="0.3">
      <c r="B35" s="19"/>
      <c r="C35" s="19"/>
      <c r="D35" s="19"/>
      <c r="E35" s="19"/>
      <c r="F35" s="19"/>
      <c r="G35" s="19"/>
    </row>
    <row r="36" spans="2:7" ht="15.6" x14ac:dyDescent="0.3">
      <c r="B36" s="19"/>
      <c r="C36" s="19"/>
      <c r="D36" s="19"/>
      <c r="E36" s="19"/>
      <c r="F36" s="19"/>
      <c r="G36" s="19"/>
    </row>
    <row r="37" spans="2:7" ht="15.6" x14ac:dyDescent="0.3">
      <c r="B37" s="19"/>
      <c r="C37" s="19"/>
      <c r="D37" s="19"/>
      <c r="E37" s="19"/>
      <c r="F37" s="19"/>
      <c r="G37" s="19"/>
    </row>
    <row r="38" spans="2:7" ht="15.6" x14ac:dyDescent="0.3">
      <c r="B38" s="19"/>
      <c r="C38" s="19"/>
      <c r="D38" s="19"/>
      <c r="E38" s="19"/>
      <c r="F38" s="19"/>
      <c r="G38" s="19"/>
    </row>
    <row r="39" spans="2:7" ht="15.6" x14ac:dyDescent="0.3">
      <c r="B39" s="19"/>
      <c r="C39" s="19"/>
      <c r="D39" s="19"/>
      <c r="E39" s="19"/>
      <c r="F39" s="19"/>
      <c r="G39" s="19"/>
    </row>
    <row r="40" spans="2:7" ht="15.6" x14ac:dyDescent="0.3">
      <c r="B40" s="19"/>
      <c r="C40" s="19"/>
      <c r="D40" s="19"/>
      <c r="E40" s="19"/>
      <c r="F40" s="19"/>
      <c r="G40" s="19"/>
    </row>
    <row r="41" spans="2:7" ht="15.6" x14ac:dyDescent="0.3">
      <c r="B41" s="19"/>
      <c r="C41" s="19"/>
      <c r="D41" s="19"/>
      <c r="E41" s="19"/>
      <c r="F41" s="19"/>
      <c r="G41" s="19"/>
    </row>
    <row r="42" spans="2:7" ht="15.6" x14ac:dyDescent="0.3">
      <c r="B42" s="19"/>
      <c r="C42" s="19"/>
      <c r="D42" s="19"/>
      <c r="E42" s="19"/>
      <c r="F42" s="19"/>
      <c r="G42" s="19"/>
    </row>
    <row r="43" spans="2:7" ht="15.6" x14ac:dyDescent="0.3">
      <c r="B43" s="19"/>
      <c r="C43" s="19"/>
      <c r="D43" s="19"/>
      <c r="E43" s="19"/>
      <c r="F43" s="19"/>
      <c r="G43" s="19"/>
    </row>
    <row r="44" spans="2:7" ht="15.6" x14ac:dyDescent="0.3">
      <c r="B44" s="19"/>
      <c r="C44" s="19"/>
      <c r="D44" s="19"/>
      <c r="E44" s="19"/>
      <c r="F44" s="19"/>
      <c r="G44" s="19"/>
    </row>
    <row r="45" spans="2:7" ht="13.8" x14ac:dyDescent="0.25">
      <c r="B45" s="27"/>
      <c r="C45" s="27"/>
      <c r="D45" s="27"/>
      <c r="E45" s="27"/>
      <c r="F45" s="27"/>
      <c r="G45" s="27"/>
    </row>
    <row r="46" spans="2:7" x14ac:dyDescent="0.25">
      <c r="B46" s="21"/>
      <c r="C46" s="21"/>
      <c r="D46" s="21"/>
      <c r="E46" s="21"/>
      <c r="F46" s="21"/>
      <c r="G46" s="21"/>
    </row>
    <row r="47" spans="2:7" x14ac:dyDescent="0.25">
      <c r="B47" s="21"/>
      <c r="C47" s="21"/>
      <c r="D47" s="21"/>
      <c r="E47" s="21"/>
      <c r="F47" s="21"/>
      <c r="G47" s="21"/>
    </row>
    <row r="48" spans="2:7" x14ac:dyDescent="0.25">
      <c r="B48" s="21"/>
      <c r="C48" s="21"/>
      <c r="D48" s="21"/>
      <c r="E48" s="21"/>
      <c r="F48" s="21"/>
      <c r="G48" s="21"/>
    </row>
    <row r="49" spans="2:7" x14ac:dyDescent="0.25">
      <c r="B49" s="21"/>
      <c r="C49" s="21"/>
      <c r="D49" s="21"/>
      <c r="E49" s="21"/>
      <c r="F49" s="21"/>
      <c r="G49" s="21"/>
    </row>
    <row r="50" spans="2:7" x14ac:dyDescent="0.25">
      <c r="B50" s="21"/>
      <c r="C50" s="21"/>
      <c r="D50" s="21"/>
      <c r="E50" s="21"/>
      <c r="F50" s="21"/>
      <c r="G50" s="21"/>
    </row>
    <row r="51" spans="2:7" x14ac:dyDescent="0.25">
      <c r="B51" s="21"/>
      <c r="C51" s="21"/>
      <c r="D51" s="21"/>
      <c r="E51" s="21"/>
      <c r="F51" s="21"/>
      <c r="G51" s="21"/>
    </row>
    <row r="52" spans="2:7" x14ac:dyDescent="0.25">
      <c r="B52" s="21"/>
      <c r="C52" s="21"/>
      <c r="D52" s="21"/>
      <c r="E52" s="21"/>
      <c r="F52" s="21"/>
      <c r="G52" s="21"/>
    </row>
    <row r="53" spans="2:7" ht="15.6" x14ac:dyDescent="0.35">
      <c r="B53" s="18"/>
      <c r="C53" s="18"/>
      <c r="D53" s="18"/>
      <c r="E53" s="18"/>
      <c r="F53" s="18"/>
      <c r="G53" s="18"/>
    </row>
    <row r="54" spans="2:7" ht="15.6" x14ac:dyDescent="0.35">
      <c r="B54" s="18"/>
      <c r="C54" s="18"/>
      <c r="D54" s="18"/>
      <c r="E54" s="18"/>
      <c r="F54" s="18"/>
      <c r="G54" s="18"/>
    </row>
    <row r="55" spans="2:7" ht="15.6" x14ac:dyDescent="0.35">
      <c r="B55" s="18"/>
      <c r="C55" s="18"/>
      <c r="D55" s="18"/>
      <c r="E55" s="18"/>
      <c r="F55" s="18"/>
      <c r="G55" s="18"/>
    </row>
    <row r="56" spans="2:7" ht="15.6" x14ac:dyDescent="0.3">
      <c r="B56" s="19"/>
      <c r="C56" s="19"/>
      <c r="D56" s="19"/>
      <c r="E56" s="19"/>
      <c r="F56" s="20"/>
      <c r="G56" s="19"/>
    </row>
    <row r="57" spans="2:7" ht="15.6" x14ac:dyDescent="0.3">
      <c r="B57" s="19"/>
      <c r="C57" s="19"/>
      <c r="D57" s="19"/>
      <c r="E57" s="19"/>
      <c r="F57" s="19"/>
      <c r="G57" s="19"/>
    </row>
    <row r="58" spans="2:7" ht="15.6" x14ac:dyDescent="0.3">
      <c r="B58" s="19"/>
      <c r="C58" s="19"/>
      <c r="D58" s="19"/>
      <c r="E58" s="19"/>
      <c r="F58" s="19"/>
      <c r="G58" s="19"/>
    </row>
    <row r="59" spans="2:7" ht="15.6" x14ac:dyDescent="0.3">
      <c r="B59" s="19"/>
      <c r="C59" s="19"/>
      <c r="D59" s="19"/>
      <c r="E59" s="19"/>
      <c r="F59" s="19"/>
      <c r="G59" s="19"/>
    </row>
    <row r="60" spans="2:7" ht="15.6" x14ac:dyDescent="0.3">
      <c r="B60" s="19"/>
      <c r="C60" s="19"/>
      <c r="D60" s="19"/>
      <c r="E60" s="19"/>
      <c r="F60" s="19"/>
      <c r="G60" s="19"/>
    </row>
    <row r="61" spans="2:7" ht="15.6" x14ac:dyDescent="0.3">
      <c r="B61" s="19"/>
      <c r="C61" s="19"/>
      <c r="D61" s="19"/>
      <c r="E61" s="19"/>
      <c r="F61" s="19"/>
      <c r="G61" s="19"/>
    </row>
    <row r="62" spans="2:7" ht="15.6" x14ac:dyDescent="0.3">
      <c r="B62" s="19"/>
      <c r="C62" s="19"/>
      <c r="D62" s="19"/>
      <c r="E62" s="19"/>
      <c r="F62" s="19"/>
      <c r="G62" s="19"/>
    </row>
    <row r="63" spans="2:7" ht="15.6" x14ac:dyDescent="0.3">
      <c r="B63" s="19"/>
      <c r="C63" s="19"/>
      <c r="D63" s="19"/>
      <c r="E63" s="19"/>
      <c r="F63" s="19"/>
      <c r="G63" s="19"/>
    </row>
    <row r="64" spans="2:7" ht="15.6" x14ac:dyDescent="0.3">
      <c r="B64" s="19"/>
      <c r="C64" s="19"/>
      <c r="D64" s="19"/>
      <c r="E64" s="19"/>
      <c r="F64" s="19"/>
      <c r="G64" s="19"/>
    </row>
    <row r="65" spans="2:7" ht="15.6" x14ac:dyDescent="0.3">
      <c r="B65" s="19"/>
      <c r="C65" s="19"/>
      <c r="D65" s="19"/>
      <c r="E65" s="19"/>
      <c r="F65" s="19"/>
      <c r="G65" s="19"/>
    </row>
    <row r="66" spans="2:7" ht="15.6" x14ac:dyDescent="0.3">
      <c r="B66" s="22"/>
      <c r="C66" s="7"/>
      <c r="D66" s="7"/>
      <c r="E66" s="7"/>
      <c r="F66" s="7"/>
      <c r="G66" s="7"/>
    </row>
    <row r="67" spans="2:7" ht="15.6" x14ac:dyDescent="0.3">
      <c r="B67" s="19"/>
      <c r="C67" s="19"/>
      <c r="D67" s="19"/>
      <c r="E67" s="19"/>
      <c r="F67" s="19"/>
      <c r="G67" s="19"/>
    </row>
    <row r="68" spans="2:7" ht="15.6" x14ac:dyDescent="0.3">
      <c r="B68" s="19"/>
      <c r="C68" s="19"/>
      <c r="D68" s="19"/>
      <c r="E68" s="19"/>
      <c r="F68" s="19"/>
      <c r="G68" s="19"/>
    </row>
    <row r="69" spans="2:7" ht="15.6" x14ac:dyDescent="0.3">
      <c r="B69" s="19"/>
      <c r="C69" s="19"/>
      <c r="D69" s="19"/>
      <c r="E69" s="19"/>
      <c r="F69" s="19"/>
      <c r="G69" s="19"/>
    </row>
    <row r="70" spans="2:7" ht="15.6" x14ac:dyDescent="0.3">
      <c r="B70" s="19"/>
      <c r="C70" s="19"/>
      <c r="D70" s="19"/>
      <c r="E70" s="19"/>
      <c r="F70" s="19"/>
      <c r="G70" s="19"/>
    </row>
    <row r="71" spans="2:7" x14ac:dyDescent="0.25">
      <c r="B71" s="23"/>
      <c r="C71" s="23"/>
      <c r="D71" s="23"/>
      <c r="E71" s="23"/>
      <c r="F71" s="23"/>
      <c r="G71" s="23"/>
    </row>
    <row r="72" spans="2:7" x14ac:dyDescent="0.25">
      <c r="B72" s="24"/>
      <c r="C72" s="25"/>
      <c r="D72" s="25"/>
      <c r="E72" s="25"/>
      <c r="F72" s="25"/>
      <c r="G72" s="25"/>
    </row>
    <row r="73" spans="2:7" x14ac:dyDescent="0.25">
      <c r="B73" s="26"/>
      <c r="C73" s="25"/>
      <c r="D73" s="25"/>
      <c r="E73" s="25"/>
      <c r="F73" s="25"/>
      <c r="G73" s="25"/>
    </row>
    <row r="74" spans="2:7" x14ac:dyDescent="0.25">
      <c r="B74" s="26"/>
      <c r="C74" s="26"/>
      <c r="D74" s="26"/>
      <c r="E74" s="26"/>
      <c r="F74" s="26"/>
      <c r="G74" s="26"/>
    </row>
    <row r="75" spans="2:7" ht="15.6" x14ac:dyDescent="0.3">
      <c r="B75" s="19"/>
      <c r="C75" s="19"/>
      <c r="D75" s="19"/>
      <c r="E75" s="19"/>
      <c r="F75" s="19"/>
      <c r="G75" s="19"/>
    </row>
    <row r="76" spans="2:7" ht="15.6" x14ac:dyDescent="0.3">
      <c r="B76" s="7"/>
      <c r="C76" s="7"/>
      <c r="D76" s="7"/>
      <c r="E76" s="7"/>
      <c r="F76" s="7"/>
      <c r="G76" s="19"/>
    </row>
    <row r="77" spans="2:7" ht="15.6" x14ac:dyDescent="0.3">
      <c r="B77" s="19"/>
      <c r="C77" s="19"/>
      <c r="D77" s="19"/>
      <c r="E77" s="19"/>
      <c r="F77" s="19"/>
      <c r="G77" s="19"/>
    </row>
    <row r="78" spans="2:7" ht="15.6" x14ac:dyDescent="0.3">
      <c r="B78" s="19"/>
      <c r="C78" s="19"/>
      <c r="D78" s="19"/>
      <c r="E78" s="19"/>
      <c r="F78" s="19"/>
      <c r="G78" s="19"/>
    </row>
    <row r="79" spans="2:7" ht="15.6" x14ac:dyDescent="0.3">
      <c r="B79" s="19"/>
      <c r="C79" s="19"/>
      <c r="D79" s="19"/>
      <c r="E79" s="19"/>
      <c r="F79" s="19"/>
      <c r="G79" s="19"/>
    </row>
    <row r="80" spans="2:7" ht="15.6" x14ac:dyDescent="0.3">
      <c r="B80" s="19"/>
      <c r="C80" s="19"/>
      <c r="D80" s="19"/>
      <c r="E80" s="19"/>
      <c r="F80" s="19"/>
      <c r="G80" s="19"/>
    </row>
    <row r="81" spans="2:7" ht="15.6" x14ac:dyDescent="0.3">
      <c r="B81" s="19"/>
      <c r="C81" s="19"/>
      <c r="D81" s="19"/>
      <c r="E81" s="19"/>
      <c r="F81" s="19"/>
      <c r="G81" s="19"/>
    </row>
    <row r="82" spans="2:7" ht="15.6" x14ac:dyDescent="0.3">
      <c r="B82" s="7"/>
      <c r="C82" s="7"/>
      <c r="D82" s="7"/>
      <c r="E82" s="7"/>
      <c r="F82" s="7"/>
      <c r="G82" s="7"/>
    </row>
    <row r="83" spans="2:7" ht="15.6" x14ac:dyDescent="0.3">
      <c r="B83" s="19"/>
      <c r="C83" s="19"/>
      <c r="D83" s="19"/>
      <c r="E83" s="19"/>
      <c r="F83" s="19"/>
      <c r="G83" s="19"/>
    </row>
    <row r="84" spans="2:7" ht="13.8" x14ac:dyDescent="0.25">
      <c r="B84" s="27"/>
      <c r="C84" s="27"/>
      <c r="D84" s="27"/>
      <c r="E84" s="27"/>
      <c r="F84" s="27"/>
      <c r="G84" s="27"/>
    </row>
    <row r="85" spans="2:7" x14ac:dyDescent="0.25">
      <c r="B85" s="21"/>
      <c r="C85" s="21"/>
      <c r="D85" s="21"/>
      <c r="E85" s="21"/>
      <c r="F85" s="21"/>
      <c r="G85" s="21"/>
    </row>
    <row r="86" spans="2:7" x14ac:dyDescent="0.25">
      <c r="B86" s="21"/>
      <c r="C86" s="21"/>
      <c r="D86" s="21"/>
      <c r="E86" s="21"/>
      <c r="F86" s="21"/>
      <c r="G86" s="21"/>
    </row>
    <row r="87" spans="2:7" x14ac:dyDescent="0.25">
      <c r="B87" s="21"/>
      <c r="C87" s="21"/>
      <c r="D87" s="21"/>
      <c r="E87" s="21"/>
      <c r="F87" s="21"/>
      <c r="G87" s="21"/>
    </row>
    <row r="88" spans="2:7" x14ac:dyDescent="0.25">
      <c r="B88" s="21"/>
      <c r="C88" s="21"/>
      <c r="D88" s="21"/>
      <c r="E88" s="21"/>
      <c r="F88" s="21"/>
      <c r="G88" s="21"/>
    </row>
    <row r="89" spans="2:7" x14ac:dyDescent="0.25">
      <c r="B89" s="21"/>
      <c r="C89" s="21"/>
      <c r="D89" s="21"/>
      <c r="E89" s="21"/>
      <c r="F89" s="21"/>
      <c r="G89" s="21"/>
    </row>
    <row r="90" spans="2:7" x14ac:dyDescent="0.25">
      <c r="B90" s="21"/>
      <c r="C90" s="21"/>
      <c r="D90" s="21"/>
      <c r="E90" s="21"/>
      <c r="F90" s="21"/>
      <c r="G90" s="21"/>
    </row>
    <row r="91" spans="2:7" x14ac:dyDescent="0.25">
      <c r="B91" s="21"/>
      <c r="C91" s="21"/>
      <c r="D91" s="21"/>
      <c r="E91" s="21"/>
      <c r="F91" s="21"/>
      <c r="G91" s="21"/>
    </row>
    <row r="92" spans="2:7" x14ac:dyDescent="0.25">
      <c r="B92" s="21"/>
      <c r="C92" s="21"/>
      <c r="D92" s="21"/>
      <c r="E92" s="21"/>
      <c r="F92" s="21"/>
      <c r="G92" s="21"/>
    </row>
    <row r="93" spans="2:7" ht="15.6" x14ac:dyDescent="0.35">
      <c r="B93" s="18"/>
      <c r="C93" s="18"/>
      <c r="D93" s="18"/>
      <c r="E93" s="18"/>
      <c r="F93" s="18"/>
      <c r="G93" s="18"/>
    </row>
    <row r="94" spans="2:7" ht="15.6" x14ac:dyDescent="0.35">
      <c r="B94" s="18"/>
      <c r="C94" s="18"/>
      <c r="D94" s="18"/>
      <c r="E94" s="18"/>
      <c r="F94" s="18"/>
      <c r="G94" s="18"/>
    </row>
    <row r="95" spans="2:7" ht="15.6" x14ac:dyDescent="0.35">
      <c r="B95" s="18"/>
      <c r="C95" s="18"/>
      <c r="D95" s="18"/>
      <c r="E95" s="18"/>
      <c r="F95" s="18"/>
      <c r="G95" s="18"/>
    </row>
    <row r="96" spans="2:7" ht="15.6" x14ac:dyDescent="0.3">
      <c r="B96" s="19"/>
      <c r="C96" s="19"/>
      <c r="D96" s="19"/>
      <c r="E96" s="19"/>
      <c r="F96" s="20"/>
      <c r="G96" s="19"/>
    </row>
    <row r="97" spans="2:7" ht="15.6" x14ac:dyDescent="0.3">
      <c r="B97" s="19"/>
      <c r="C97" s="19"/>
      <c r="D97" s="19"/>
      <c r="E97" s="19"/>
      <c r="F97" s="19"/>
      <c r="G97" s="19"/>
    </row>
    <row r="98" spans="2:7" ht="15.6" x14ac:dyDescent="0.3">
      <c r="B98" s="19"/>
      <c r="C98" s="19"/>
      <c r="D98" s="19"/>
      <c r="E98" s="19"/>
      <c r="F98" s="19"/>
      <c r="G98" s="19"/>
    </row>
    <row r="99" spans="2:7" ht="15.6" x14ac:dyDescent="0.3">
      <c r="B99" s="19"/>
      <c r="C99" s="19"/>
      <c r="D99" s="19"/>
      <c r="E99" s="19"/>
      <c r="F99" s="19"/>
      <c r="G99" s="19"/>
    </row>
    <row r="100" spans="2:7" ht="15.6" x14ac:dyDescent="0.3">
      <c r="B100" s="19"/>
      <c r="C100" s="19"/>
      <c r="D100" s="19"/>
      <c r="E100" s="19"/>
      <c r="F100" s="19"/>
      <c r="G100" s="19"/>
    </row>
    <row r="101" spans="2:7" ht="15.6" x14ac:dyDescent="0.3">
      <c r="B101" s="19"/>
      <c r="C101" s="19"/>
      <c r="D101" s="19"/>
      <c r="E101" s="19"/>
      <c r="F101" s="19"/>
      <c r="G101" s="19"/>
    </row>
    <row r="102" spans="2:7" ht="15.6" x14ac:dyDescent="0.3">
      <c r="B102" s="19"/>
      <c r="C102" s="19"/>
      <c r="D102" s="19"/>
      <c r="E102" s="19"/>
      <c r="F102" s="19"/>
      <c r="G102" s="19"/>
    </row>
    <row r="103" spans="2:7" ht="15.6" x14ac:dyDescent="0.3">
      <c r="B103" s="19"/>
      <c r="C103" s="19"/>
      <c r="D103" s="19"/>
      <c r="E103" s="19"/>
      <c r="F103" s="19"/>
      <c r="G103" s="19"/>
    </row>
    <row r="104" spans="2:7" ht="15.6" x14ac:dyDescent="0.3">
      <c r="B104" s="19"/>
      <c r="C104" s="19"/>
      <c r="D104" s="19"/>
      <c r="E104" s="19"/>
      <c r="F104" s="19"/>
      <c r="G104" s="19"/>
    </row>
    <row r="105" spans="2:7" ht="15.6" x14ac:dyDescent="0.3">
      <c r="B105" s="19"/>
      <c r="C105" s="19"/>
      <c r="D105" s="19"/>
      <c r="E105" s="19"/>
      <c r="F105" s="19"/>
      <c r="G105" s="19"/>
    </row>
    <row r="106" spans="2:7" ht="15.6" x14ac:dyDescent="0.3">
      <c r="B106" s="22"/>
      <c r="C106" s="7"/>
      <c r="D106" s="7"/>
      <c r="E106" s="7"/>
      <c r="F106" s="7"/>
      <c r="G106" s="7"/>
    </row>
    <row r="107" spans="2:7" ht="15.6" x14ac:dyDescent="0.3">
      <c r="B107" s="19"/>
      <c r="C107" s="19"/>
      <c r="D107" s="19"/>
      <c r="E107" s="19"/>
      <c r="F107" s="19"/>
      <c r="G107" s="19"/>
    </row>
    <row r="108" spans="2:7" ht="15.6" x14ac:dyDescent="0.3">
      <c r="B108" s="19"/>
      <c r="C108" s="19"/>
      <c r="D108" s="19"/>
      <c r="E108" s="19"/>
      <c r="F108" s="19"/>
      <c r="G108" s="19"/>
    </row>
    <row r="109" spans="2:7" ht="15.6" x14ac:dyDescent="0.3">
      <c r="B109" s="19"/>
      <c r="C109" s="19"/>
      <c r="D109" s="19"/>
      <c r="E109" s="19"/>
      <c r="F109" s="19"/>
      <c r="G109" s="19"/>
    </row>
    <row r="110" spans="2:7" ht="15.6" x14ac:dyDescent="0.3">
      <c r="B110" s="19"/>
      <c r="C110" s="19"/>
      <c r="D110" s="19"/>
      <c r="E110" s="19"/>
      <c r="F110" s="19"/>
      <c r="G110" s="19"/>
    </row>
    <row r="111" spans="2:7" x14ac:dyDescent="0.25">
      <c r="B111" s="23"/>
      <c r="C111" s="23"/>
      <c r="D111" s="23"/>
      <c r="E111" s="23"/>
      <c r="F111" s="23"/>
      <c r="G111" s="23"/>
    </row>
    <row r="112" spans="2:7" x14ac:dyDescent="0.25">
      <c r="B112" s="24"/>
      <c r="C112" s="25"/>
      <c r="D112" s="25"/>
      <c r="E112" s="25"/>
      <c r="F112" s="25"/>
      <c r="G112" s="25"/>
    </row>
    <row r="113" spans="2:7" x14ac:dyDescent="0.25">
      <c r="B113" s="26"/>
      <c r="C113" s="25"/>
      <c r="D113" s="25"/>
      <c r="E113" s="25"/>
      <c r="F113" s="25"/>
      <c r="G113" s="25"/>
    </row>
    <row r="114" spans="2:7" x14ac:dyDescent="0.25">
      <c r="B114" s="26"/>
      <c r="C114" s="26"/>
      <c r="D114" s="26"/>
      <c r="E114" s="26"/>
      <c r="F114" s="26"/>
      <c r="G114" s="26"/>
    </row>
    <row r="115" spans="2:7" ht="15.6" x14ac:dyDescent="0.3">
      <c r="B115" s="19"/>
      <c r="C115" s="19"/>
      <c r="D115" s="19"/>
      <c r="E115" s="19"/>
      <c r="F115" s="19"/>
      <c r="G115" s="19"/>
    </row>
    <row r="116" spans="2:7" ht="15.6" x14ac:dyDescent="0.3">
      <c r="B116" s="7"/>
      <c r="C116" s="7"/>
      <c r="D116" s="7"/>
      <c r="E116" s="7"/>
      <c r="F116" s="7"/>
      <c r="G116" s="19"/>
    </row>
    <row r="117" spans="2:7" ht="15.6" x14ac:dyDescent="0.3">
      <c r="B117" s="19"/>
      <c r="C117" s="19"/>
      <c r="D117" s="19"/>
      <c r="E117" s="19"/>
      <c r="F117" s="19"/>
      <c r="G117" s="19"/>
    </row>
    <row r="118" spans="2:7" ht="15.6" x14ac:dyDescent="0.3">
      <c r="B118" s="19"/>
      <c r="C118" s="19"/>
      <c r="D118" s="19"/>
      <c r="E118" s="19"/>
      <c r="F118" s="19"/>
      <c r="G118" s="19"/>
    </row>
    <row r="119" spans="2:7" ht="15.6" x14ac:dyDescent="0.3">
      <c r="B119" s="19"/>
      <c r="C119" s="19"/>
      <c r="D119" s="19"/>
      <c r="E119" s="19"/>
      <c r="F119" s="19"/>
      <c r="G119" s="19"/>
    </row>
    <row r="120" spans="2:7" ht="15.6" x14ac:dyDescent="0.3">
      <c r="B120" s="19"/>
      <c r="C120" s="19"/>
      <c r="D120" s="19"/>
      <c r="E120" s="19"/>
      <c r="F120" s="19"/>
      <c r="G120" s="19"/>
    </row>
    <row r="121" spans="2:7" ht="15.6" x14ac:dyDescent="0.3">
      <c r="B121" s="19"/>
      <c r="C121" s="19"/>
      <c r="D121" s="19"/>
      <c r="E121" s="19"/>
      <c r="F121" s="19"/>
      <c r="G121" s="19"/>
    </row>
    <row r="122" spans="2:7" ht="15.6" x14ac:dyDescent="0.3">
      <c r="B122" s="7"/>
      <c r="C122" s="7"/>
      <c r="D122" s="7"/>
      <c r="E122" s="7"/>
      <c r="F122" s="7"/>
      <c r="G122" s="7"/>
    </row>
    <row r="123" spans="2:7" ht="15.6" x14ac:dyDescent="0.3">
      <c r="B123" s="19"/>
      <c r="C123" s="19"/>
      <c r="D123" s="19"/>
      <c r="E123" s="19"/>
      <c r="F123" s="19"/>
      <c r="G123" s="19"/>
    </row>
    <row r="124" spans="2:7" ht="13.8" x14ac:dyDescent="0.25">
      <c r="B124" s="27"/>
      <c r="C124" s="27"/>
      <c r="D124" s="27"/>
      <c r="E124" s="27"/>
      <c r="F124" s="27"/>
      <c r="G124" s="27"/>
    </row>
    <row r="125" spans="2:7" x14ac:dyDescent="0.25">
      <c r="B125" s="21"/>
      <c r="C125" s="21"/>
      <c r="D125" s="21"/>
      <c r="E125" s="21"/>
      <c r="F125" s="21"/>
      <c r="G125" s="21"/>
    </row>
    <row r="126" spans="2:7" x14ac:dyDescent="0.25">
      <c r="B126" s="21"/>
      <c r="C126" s="21"/>
      <c r="D126" s="21"/>
      <c r="E126" s="21"/>
      <c r="F126" s="21"/>
      <c r="G126" s="21"/>
    </row>
    <row r="127" spans="2:7" ht="15.6" x14ac:dyDescent="0.35">
      <c r="B127" s="18"/>
      <c r="C127" s="18"/>
      <c r="D127" s="18"/>
      <c r="E127" s="18"/>
      <c r="F127" s="18"/>
      <c r="G127" s="18"/>
    </row>
    <row r="128" spans="2:7" ht="15.6" x14ac:dyDescent="0.35">
      <c r="B128" s="18"/>
      <c r="C128" s="18"/>
      <c r="D128" s="18"/>
      <c r="E128" s="18"/>
      <c r="F128" s="18"/>
      <c r="G128" s="18"/>
    </row>
    <row r="129" spans="2:7" ht="15.6" x14ac:dyDescent="0.35">
      <c r="B129" s="18"/>
      <c r="C129" s="18"/>
      <c r="D129" s="18"/>
      <c r="E129" s="18"/>
      <c r="F129" s="18"/>
      <c r="G129" s="18"/>
    </row>
    <row r="130" spans="2:7" ht="15.6" x14ac:dyDescent="0.3">
      <c r="B130" s="19"/>
      <c r="C130" s="19"/>
      <c r="D130" s="19"/>
      <c r="E130" s="19"/>
      <c r="F130" s="20"/>
      <c r="G130" s="19"/>
    </row>
    <row r="131" spans="2:7" ht="15.6" x14ac:dyDescent="0.3">
      <c r="B131" s="19"/>
      <c r="C131" s="19"/>
      <c r="D131" s="19"/>
      <c r="E131" s="19"/>
      <c r="F131" s="19"/>
      <c r="G131" s="19"/>
    </row>
    <row r="132" spans="2:7" ht="15.6" x14ac:dyDescent="0.3">
      <c r="B132" s="19"/>
      <c r="C132" s="19"/>
      <c r="D132" s="19"/>
      <c r="E132" s="19"/>
      <c r="F132" s="19"/>
      <c r="G132" s="19"/>
    </row>
    <row r="133" spans="2:7" ht="15.6" x14ac:dyDescent="0.3">
      <c r="B133" s="19"/>
      <c r="C133" s="19"/>
      <c r="D133" s="19"/>
      <c r="E133" s="19"/>
      <c r="F133" s="19"/>
      <c r="G133" s="19"/>
    </row>
    <row r="134" spans="2:7" ht="15.6" x14ac:dyDescent="0.3">
      <c r="B134" s="19"/>
      <c r="C134" s="19"/>
      <c r="D134" s="19"/>
      <c r="E134" s="19"/>
      <c r="F134" s="19"/>
      <c r="G134" s="19"/>
    </row>
    <row r="135" spans="2:7" ht="15.6" x14ac:dyDescent="0.3">
      <c r="B135" s="19"/>
      <c r="C135" s="19"/>
      <c r="D135" s="19"/>
      <c r="E135" s="19"/>
      <c r="F135" s="19"/>
      <c r="G135" s="19"/>
    </row>
    <row r="136" spans="2:7" ht="15.6" x14ac:dyDescent="0.3">
      <c r="B136" s="19"/>
      <c r="C136" s="19"/>
      <c r="D136" s="19"/>
      <c r="E136" s="19"/>
      <c r="F136" s="19"/>
      <c r="G136" s="19"/>
    </row>
    <row r="137" spans="2:7" ht="15.6" x14ac:dyDescent="0.3">
      <c r="B137" s="19"/>
      <c r="C137" s="19"/>
      <c r="D137" s="19"/>
      <c r="E137" s="19"/>
      <c r="F137" s="19"/>
      <c r="G137" s="19"/>
    </row>
    <row r="138" spans="2:7" ht="15.6" x14ac:dyDescent="0.3">
      <c r="B138" s="19"/>
      <c r="C138" s="19"/>
      <c r="D138" s="19"/>
      <c r="E138" s="19"/>
      <c r="F138" s="19"/>
      <c r="G138" s="19"/>
    </row>
    <row r="139" spans="2:7" ht="15.6" x14ac:dyDescent="0.3">
      <c r="B139" s="19"/>
      <c r="C139" s="19"/>
      <c r="D139" s="19"/>
      <c r="E139" s="19"/>
      <c r="F139" s="19"/>
      <c r="G139" s="19"/>
    </row>
    <row r="140" spans="2:7" ht="15.6" x14ac:dyDescent="0.3">
      <c r="B140" s="22"/>
      <c r="C140" s="7"/>
      <c r="D140" s="7"/>
      <c r="E140" s="7"/>
      <c r="F140" s="7"/>
      <c r="G140" s="7"/>
    </row>
    <row r="141" spans="2:7" ht="15.6" x14ac:dyDescent="0.3">
      <c r="B141" s="19"/>
      <c r="C141" s="19"/>
      <c r="D141" s="19"/>
      <c r="E141" s="19"/>
      <c r="F141" s="19"/>
      <c r="G141" s="19"/>
    </row>
    <row r="142" spans="2:7" ht="15.6" x14ac:dyDescent="0.3">
      <c r="B142" s="19"/>
      <c r="C142" s="19"/>
      <c r="D142" s="19"/>
      <c r="E142" s="19"/>
      <c r="F142" s="19"/>
      <c r="G142" s="19"/>
    </row>
    <row r="143" spans="2:7" ht="15.6" x14ac:dyDescent="0.3">
      <c r="B143" s="19"/>
      <c r="C143" s="19"/>
      <c r="D143" s="19"/>
      <c r="E143" s="19"/>
      <c r="F143" s="19"/>
      <c r="G143" s="19"/>
    </row>
    <row r="144" spans="2:7" ht="15.6" x14ac:dyDescent="0.3">
      <c r="B144" s="19"/>
      <c r="C144" s="19"/>
      <c r="D144" s="19"/>
      <c r="E144" s="19"/>
      <c r="F144" s="19"/>
      <c r="G144" s="19"/>
    </row>
    <row r="145" spans="2:7" x14ac:dyDescent="0.25">
      <c r="B145" s="23"/>
      <c r="C145" s="23"/>
      <c r="D145" s="23"/>
      <c r="E145" s="23"/>
      <c r="F145" s="23"/>
      <c r="G145" s="23"/>
    </row>
    <row r="146" spans="2:7" x14ac:dyDescent="0.25">
      <c r="B146" s="24"/>
      <c r="C146" s="25"/>
      <c r="D146" s="25"/>
      <c r="E146" s="25"/>
      <c r="F146" s="25"/>
      <c r="G146" s="25"/>
    </row>
    <row r="147" spans="2:7" x14ac:dyDescent="0.25">
      <c r="B147" s="26"/>
      <c r="C147" s="25"/>
      <c r="D147" s="25"/>
      <c r="E147" s="25"/>
      <c r="F147" s="25"/>
      <c r="G147" s="25"/>
    </row>
    <row r="148" spans="2:7" x14ac:dyDescent="0.25">
      <c r="B148" s="26"/>
      <c r="C148" s="26"/>
      <c r="D148" s="26"/>
      <c r="E148" s="26"/>
      <c r="F148" s="26"/>
      <c r="G148" s="26"/>
    </row>
    <row r="149" spans="2:7" ht="15.6" x14ac:dyDescent="0.3">
      <c r="B149" s="19"/>
      <c r="C149" s="19"/>
      <c r="D149" s="19"/>
      <c r="E149" s="19"/>
      <c r="F149" s="19"/>
      <c r="G149" s="19"/>
    </row>
    <row r="150" spans="2:7" ht="21" customHeight="1" x14ac:dyDescent="0.3">
      <c r="B150" s="7"/>
      <c r="C150" s="7"/>
      <c r="D150" s="7"/>
      <c r="E150" s="7"/>
      <c r="F150" s="7"/>
      <c r="G150" s="19"/>
    </row>
    <row r="151" spans="2:7" ht="15.6" x14ac:dyDescent="0.3">
      <c r="B151" s="19"/>
      <c r="C151" s="19"/>
      <c r="D151" s="19"/>
      <c r="E151" s="19"/>
      <c r="F151" s="19"/>
      <c r="G151" s="19"/>
    </row>
    <row r="152" spans="2:7" ht="15.6" x14ac:dyDescent="0.3">
      <c r="B152" s="19"/>
      <c r="C152" s="19"/>
      <c r="D152" s="19"/>
      <c r="E152" s="19"/>
      <c r="F152" s="19"/>
      <c r="G152" s="19"/>
    </row>
    <row r="153" spans="2:7" ht="15.6" x14ac:dyDescent="0.3">
      <c r="B153" s="19"/>
      <c r="C153" s="19"/>
      <c r="D153" s="19"/>
      <c r="E153" s="19"/>
      <c r="F153" s="19"/>
      <c r="G153" s="19"/>
    </row>
    <row r="154" spans="2:7" ht="15.6" x14ac:dyDescent="0.3">
      <c r="B154" s="19"/>
      <c r="C154" s="19"/>
      <c r="D154" s="19"/>
      <c r="E154" s="19"/>
      <c r="F154" s="19"/>
      <c r="G154" s="19"/>
    </row>
    <row r="155" spans="2:7" ht="15.6" x14ac:dyDescent="0.3">
      <c r="B155" s="19"/>
      <c r="C155" s="19"/>
      <c r="D155" s="19"/>
      <c r="E155" s="19"/>
      <c r="F155" s="19"/>
      <c r="G155" s="19"/>
    </row>
    <row r="156" spans="2:7" ht="15.6" x14ac:dyDescent="0.3">
      <c r="B156" s="7"/>
      <c r="C156" s="7"/>
      <c r="D156" s="7"/>
      <c r="E156" s="7"/>
      <c r="F156" s="7"/>
      <c r="G156" s="7"/>
    </row>
    <row r="157" spans="2:7" ht="15.6" x14ac:dyDescent="0.3">
      <c r="B157" s="19"/>
      <c r="C157" s="19"/>
      <c r="D157" s="19"/>
      <c r="E157" s="19"/>
      <c r="F157" s="19"/>
      <c r="G157" s="19"/>
    </row>
    <row r="158" spans="2:7" ht="13.8" x14ac:dyDescent="0.25">
      <c r="B158" s="27"/>
      <c r="C158" s="27"/>
      <c r="D158" s="27"/>
      <c r="E158" s="27"/>
      <c r="F158" s="27"/>
      <c r="G158" s="27"/>
    </row>
    <row r="159" spans="2:7" ht="13.8" x14ac:dyDescent="0.25">
      <c r="B159" s="27"/>
      <c r="C159" s="27"/>
      <c r="D159" s="27"/>
      <c r="E159" s="27"/>
      <c r="F159" s="27"/>
      <c r="G159" s="26"/>
    </row>
    <row r="160" spans="2:7" ht="13.8" x14ac:dyDescent="0.25">
      <c r="B160" s="27"/>
      <c r="C160" s="27"/>
      <c r="D160" s="27"/>
      <c r="E160" s="27"/>
      <c r="F160" s="27"/>
      <c r="G160" s="27"/>
    </row>
    <row r="161" spans="2:7" x14ac:dyDescent="0.25">
      <c r="B161" s="21"/>
      <c r="C161" s="21"/>
      <c r="D161" s="21"/>
      <c r="E161" s="21"/>
      <c r="F161" s="21"/>
      <c r="G161" s="21"/>
    </row>
    <row r="162" spans="2:7" x14ac:dyDescent="0.25">
      <c r="B162" s="21"/>
      <c r="C162" s="21"/>
      <c r="D162" s="21"/>
      <c r="E162" s="21"/>
      <c r="F162" s="21"/>
      <c r="G162" s="21"/>
    </row>
    <row r="163" spans="2:7" x14ac:dyDescent="0.25">
      <c r="B163" s="21"/>
      <c r="C163" s="21"/>
      <c r="D163" s="21"/>
      <c r="E163" s="21"/>
      <c r="F163" s="21"/>
      <c r="G163" s="21"/>
    </row>
    <row r="164" spans="2:7" x14ac:dyDescent="0.25">
      <c r="B164" s="21"/>
      <c r="C164" s="21"/>
      <c r="D164" s="21"/>
      <c r="E164" s="21"/>
      <c r="F164" s="21"/>
      <c r="G164" s="21"/>
    </row>
    <row r="165" spans="2:7" x14ac:dyDescent="0.25">
      <c r="B165" s="21"/>
      <c r="C165" s="21"/>
      <c r="D165" s="21"/>
      <c r="E165" s="21"/>
      <c r="F165" s="21"/>
      <c r="G165" s="21"/>
    </row>
    <row r="166" spans="2:7" x14ac:dyDescent="0.25">
      <c r="B166" s="21"/>
      <c r="C166" s="21"/>
      <c r="D166" s="21"/>
      <c r="E166" s="21"/>
      <c r="F166" s="21"/>
      <c r="G166" s="21"/>
    </row>
    <row r="167" spans="2:7" x14ac:dyDescent="0.25">
      <c r="B167" s="21"/>
      <c r="C167" s="21"/>
      <c r="D167" s="21"/>
      <c r="E167" s="21"/>
      <c r="F167" s="21"/>
      <c r="G167" s="21"/>
    </row>
    <row r="168" spans="2:7" x14ac:dyDescent="0.25">
      <c r="B168" s="21"/>
      <c r="C168" s="21"/>
      <c r="D168" s="21"/>
      <c r="E168" s="21"/>
      <c r="F168" s="21"/>
      <c r="G168" s="21"/>
    </row>
    <row r="169" spans="2:7" x14ac:dyDescent="0.25">
      <c r="B169" s="21"/>
      <c r="C169" s="21"/>
      <c r="D169" s="21"/>
      <c r="E169" s="21"/>
      <c r="F169" s="21"/>
      <c r="G169" s="21"/>
    </row>
    <row r="170" spans="2:7" x14ac:dyDescent="0.25">
      <c r="B170" s="21"/>
      <c r="C170" s="21"/>
      <c r="D170" s="21"/>
      <c r="E170" s="21"/>
      <c r="F170" s="21"/>
      <c r="G170" s="21"/>
    </row>
    <row r="171" spans="2:7" x14ac:dyDescent="0.25">
      <c r="B171" s="21"/>
      <c r="C171" s="21"/>
      <c r="D171" s="21"/>
      <c r="E171" s="21"/>
      <c r="F171" s="21"/>
      <c r="G171" s="21"/>
    </row>
    <row r="172" spans="2:7" x14ac:dyDescent="0.25">
      <c r="B172" s="21"/>
      <c r="C172" s="21"/>
      <c r="D172" s="21"/>
      <c r="E172" s="21"/>
      <c r="F172" s="21"/>
      <c r="G172" s="21"/>
    </row>
    <row r="173" spans="2:7" x14ac:dyDescent="0.25">
      <c r="B173" s="21"/>
      <c r="C173" s="21"/>
      <c r="D173" s="21"/>
      <c r="E173" s="21"/>
      <c r="F173" s="21"/>
      <c r="G173" s="21"/>
    </row>
    <row r="174" spans="2:7" x14ac:dyDescent="0.25">
      <c r="B174" s="21"/>
      <c r="C174" s="21"/>
      <c r="D174" s="21"/>
      <c r="E174" s="21"/>
      <c r="F174" s="21"/>
      <c r="G174" s="21"/>
    </row>
    <row r="175" spans="2:7" x14ac:dyDescent="0.25">
      <c r="B175" s="21"/>
      <c r="C175" s="21"/>
      <c r="D175" s="21"/>
      <c r="E175" s="21"/>
      <c r="F175" s="21"/>
      <c r="G175" s="21"/>
    </row>
    <row r="176" spans="2:7" x14ac:dyDescent="0.25">
      <c r="B176" s="21"/>
      <c r="C176" s="21"/>
      <c r="D176" s="21"/>
      <c r="E176" s="21"/>
      <c r="F176" s="21"/>
      <c r="G176" s="21"/>
    </row>
    <row r="177" spans="2:7" x14ac:dyDescent="0.25">
      <c r="B177" s="21"/>
      <c r="C177" s="21"/>
      <c r="D177" s="21"/>
      <c r="E177" s="21"/>
      <c r="F177" s="21"/>
      <c r="G177" s="21"/>
    </row>
    <row r="178" spans="2:7" x14ac:dyDescent="0.25">
      <c r="B178" s="21"/>
      <c r="C178" s="21"/>
      <c r="D178" s="21"/>
      <c r="E178" s="21"/>
      <c r="F178" s="21"/>
      <c r="G178" s="21"/>
    </row>
    <row r="179" spans="2:7" x14ac:dyDescent="0.25">
      <c r="B179" s="21"/>
      <c r="C179" s="21"/>
      <c r="D179" s="21"/>
      <c r="E179" s="21"/>
      <c r="F179" s="21"/>
      <c r="G179" s="21"/>
    </row>
    <row r="180" spans="2:7" x14ac:dyDescent="0.25">
      <c r="B180" s="21"/>
      <c r="C180" s="21"/>
      <c r="D180" s="21"/>
      <c r="E180" s="21"/>
      <c r="F180" s="21"/>
      <c r="G180" s="21"/>
    </row>
    <row r="181" spans="2:7" x14ac:dyDescent="0.25">
      <c r="B181" s="21"/>
      <c r="C181" s="21"/>
      <c r="D181" s="21"/>
      <c r="E181" s="21"/>
      <c r="F181" s="21"/>
      <c r="G181" s="21"/>
    </row>
    <row r="182" spans="2:7" x14ac:dyDescent="0.25">
      <c r="B182" s="21"/>
      <c r="C182" s="21"/>
      <c r="D182" s="21"/>
      <c r="E182" s="21"/>
      <c r="F182" s="21"/>
      <c r="G182" s="21"/>
    </row>
    <row r="183" spans="2:7" x14ac:dyDescent="0.25">
      <c r="B183" s="21"/>
      <c r="C183" s="21"/>
      <c r="D183" s="21"/>
      <c r="E183" s="21"/>
      <c r="F183" s="21"/>
      <c r="G183" s="21"/>
    </row>
    <row r="184" spans="2:7" x14ac:dyDescent="0.25">
      <c r="B184" s="21"/>
      <c r="C184" s="21"/>
      <c r="D184" s="21"/>
      <c r="E184" s="21"/>
      <c r="F184" s="21"/>
      <c r="G184" s="21"/>
    </row>
    <row r="185" spans="2:7" x14ac:dyDescent="0.25">
      <c r="B185" s="21"/>
      <c r="C185" s="21"/>
      <c r="D185" s="21"/>
      <c r="E185" s="21"/>
      <c r="F185" s="21"/>
      <c r="G185" s="21"/>
    </row>
    <row r="186" spans="2:7" x14ac:dyDescent="0.25">
      <c r="B186" s="21"/>
      <c r="C186" s="21"/>
      <c r="D186" s="21"/>
      <c r="E186" s="21"/>
      <c r="F186" s="21"/>
      <c r="G186" s="21"/>
    </row>
    <row r="187" spans="2:7" x14ac:dyDescent="0.25">
      <c r="B187" s="21"/>
      <c r="C187" s="21"/>
      <c r="D187" s="21"/>
      <c r="E187" s="21"/>
      <c r="F187" s="21"/>
      <c r="G187" s="21"/>
    </row>
    <row r="188" spans="2:7" x14ac:dyDescent="0.25">
      <c r="B188" s="21"/>
      <c r="C188" s="21"/>
      <c r="D188" s="21"/>
      <c r="E188" s="21"/>
      <c r="F188" s="21"/>
      <c r="G188" s="21"/>
    </row>
    <row r="189" spans="2:7" x14ac:dyDescent="0.25">
      <c r="B189" s="21"/>
      <c r="C189" s="21"/>
      <c r="D189" s="21"/>
      <c r="E189" s="21"/>
      <c r="F189" s="21"/>
      <c r="G189" s="21"/>
    </row>
    <row r="190" spans="2:7" x14ac:dyDescent="0.25">
      <c r="B190" s="21"/>
      <c r="C190" s="21"/>
      <c r="D190" s="21"/>
      <c r="E190" s="21"/>
      <c r="F190" s="21"/>
      <c r="G190" s="21"/>
    </row>
    <row r="191" spans="2:7" x14ac:dyDescent="0.25">
      <c r="B191" s="21"/>
      <c r="C191" s="21"/>
      <c r="D191" s="21"/>
      <c r="E191" s="21"/>
      <c r="F191" s="21"/>
      <c r="G191" s="21"/>
    </row>
    <row r="192" spans="2:7" x14ac:dyDescent="0.25">
      <c r="B192" s="21"/>
      <c r="C192" s="21"/>
      <c r="D192" s="21"/>
      <c r="E192" s="21"/>
      <c r="F192" s="21"/>
      <c r="G192" s="21"/>
    </row>
    <row r="193" spans="2:7" x14ac:dyDescent="0.25">
      <c r="B193" s="21"/>
      <c r="C193" s="21"/>
      <c r="D193" s="21"/>
      <c r="E193" s="21"/>
      <c r="F193" s="21"/>
      <c r="G193" s="21"/>
    </row>
    <row r="194" spans="2:7" x14ac:dyDescent="0.25">
      <c r="B194" s="21"/>
      <c r="C194" s="21"/>
      <c r="D194" s="21"/>
      <c r="E194" s="21"/>
      <c r="F194" s="21"/>
      <c r="G194" s="21"/>
    </row>
    <row r="195" spans="2:7" x14ac:dyDescent="0.25">
      <c r="B195" s="21"/>
      <c r="C195" s="21"/>
      <c r="D195" s="21"/>
      <c r="E195" s="21"/>
      <c r="F195" s="21"/>
      <c r="G195" s="21"/>
    </row>
    <row r="196" spans="2:7" x14ac:dyDescent="0.25">
      <c r="B196" s="21"/>
      <c r="C196" s="21"/>
      <c r="D196" s="21"/>
      <c r="E196" s="21"/>
      <c r="F196" s="21"/>
      <c r="G196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26"/>
  <sheetViews>
    <sheetView view="pageLayout" zoomScaleNormal="110" workbookViewId="0">
      <selection activeCell="F10" sqref="F10"/>
    </sheetView>
  </sheetViews>
  <sheetFormatPr defaultColWidth="9.109375" defaultRowHeight="10.199999999999999" x14ac:dyDescent="0.2"/>
  <cols>
    <col min="1" max="1" width="9.88671875" style="32" customWidth="1"/>
    <col min="2" max="2" width="6.88671875" style="32" bestFit="1" customWidth="1"/>
    <col min="3" max="3" width="13.109375" style="32" bestFit="1" customWidth="1"/>
    <col min="4" max="4" width="10.44140625" style="32" customWidth="1"/>
    <col min="5" max="5" width="18.33203125" style="32" customWidth="1"/>
    <col min="6" max="6" width="11.109375" style="32" customWidth="1"/>
    <col min="7" max="7" width="9.6640625" style="32" customWidth="1"/>
    <col min="8" max="8" width="8.6640625" style="32" customWidth="1"/>
    <col min="9" max="9" width="10" style="32" hidden="1" customWidth="1"/>
    <col min="10" max="10" width="7.5546875" style="32" customWidth="1"/>
    <col min="11" max="11" width="7.6640625" style="32" customWidth="1"/>
    <col min="12" max="12" width="9" style="32" bestFit="1" customWidth="1"/>
    <col min="13" max="13" width="20.33203125" style="32" customWidth="1"/>
    <col min="14" max="14" width="20.109375" style="32" customWidth="1"/>
    <col min="15" max="15" width="11.33203125" style="54" bestFit="1" customWidth="1"/>
    <col min="16" max="16384" width="9.109375" style="32"/>
  </cols>
  <sheetData>
    <row r="1" spans="1:15" ht="21.75" customHeight="1" x14ac:dyDescent="0.2">
      <c r="A1" s="157" t="s">
        <v>72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5" ht="21.75" customHeight="1" x14ac:dyDescent="0.2">
      <c r="A2" s="158">
        <v>41913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5" ht="21.75" customHeight="1" thickBot="1" x14ac:dyDescent="0.25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 x14ac:dyDescent="0.25">
      <c r="A4" s="60" t="s">
        <v>36</v>
      </c>
      <c r="B4" s="61" t="s">
        <v>37</v>
      </c>
      <c r="C4" s="159" t="s">
        <v>38</v>
      </c>
      <c r="D4" s="60" t="s">
        <v>39</v>
      </c>
      <c r="E4" s="159" t="s">
        <v>40</v>
      </c>
      <c r="F4" s="60" t="s">
        <v>41</v>
      </c>
      <c r="G4" s="62"/>
      <c r="H4" s="62" t="s">
        <v>42</v>
      </c>
      <c r="I4" s="63"/>
      <c r="J4" s="62"/>
      <c r="K4" s="62"/>
      <c r="L4" s="63"/>
      <c r="M4" s="161" t="s">
        <v>43</v>
      </c>
      <c r="N4" s="54"/>
      <c r="O4" s="32"/>
    </row>
    <row r="5" spans="1:15" ht="21.75" customHeight="1" thickBot="1" x14ac:dyDescent="0.25">
      <c r="A5" s="65" t="s">
        <v>44</v>
      </c>
      <c r="B5" s="66" t="s">
        <v>45</v>
      </c>
      <c r="C5" s="160"/>
      <c r="D5" s="65" t="s">
        <v>46</v>
      </c>
      <c r="E5" s="16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62"/>
      <c r="N5" s="54"/>
      <c r="O5" s="32"/>
    </row>
    <row r="6" spans="1:15" x14ac:dyDescent="0.2">
      <c r="A6" s="78" t="s">
        <v>98</v>
      </c>
      <c r="B6" s="175" t="s">
        <v>71</v>
      </c>
      <c r="C6" s="175" t="s">
        <v>119</v>
      </c>
      <c r="D6" s="176">
        <v>41911</v>
      </c>
      <c r="E6" s="177" t="s">
        <v>122</v>
      </c>
      <c r="F6" s="123" t="s">
        <v>61</v>
      </c>
      <c r="G6" s="169">
        <v>955109</v>
      </c>
      <c r="H6" s="169">
        <v>954668</v>
      </c>
      <c r="I6" s="169"/>
      <c r="J6" s="169">
        <v>129501</v>
      </c>
      <c r="K6" s="179">
        <v>31.1</v>
      </c>
      <c r="L6" s="180">
        <v>41861</v>
      </c>
      <c r="M6" s="182" t="s">
        <v>121</v>
      </c>
      <c r="N6" s="54"/>
      <c r="O6" s="32"/>
    </row>
    <row r="7" spans="1:15" x14ac:dyDescent="0.2">
      <c r="A7" s="78"/>
      <c r="B7" s="175" t="s">
        <v>71</v>
      </c>
      <c r="C7" s="175" t="s">
        <v>120</v>
      </c>
      <c r="D7" s="176">
        <v>41919</v>
      </c>
      <c r="E7" s="177" t="s">
        <v>60</v>
      </c>
      <c r="F7" s="123" t="s">
        <v>61</v>
      </c>
      <c r="G7" s="93">
        <v>639357</v>
      </c>
      <c r="H7" s="169">
        <v>638769</v>
      </c>
      <c r="I7" s="169"/>
      <c r="J7" s="169">
        <v>85656</v>
      </c>
      <c r="K7" s="179">
        <v>30.6</v>
      </c>
      <c r="L7" s="181" t="s">
        <v>118</v>
      </c>
      <c r="M7" s="182" t="s">
        <v>121</v>
      </c>
      <c r="N7" s="54"/>
      <c r="O7" s="32"/>
    </row>
    <row r="8" spans="1:15" x14ac:dyDescent="0.2">
      <c r="A8" s="78"/>
      <c r="B8" s="78"/>
      <c r="C8" s="78"/>
      <c r="D8" s="78"/>
      <c r="E8" s="78"/>
      <c r="F8" s="78"/>
      <c r="G8" s="93"/>
      <c r="H8" s="80"/>
      <c r="I8" s="80"/>
      <c r="J8" s="91"/>
      <c r="K8" s="81"/>
      <c r="L8" s="79"/>
      <c r="M8" s="78"/>
    </row>
    <row r="9" spans="1:15" x14ac:dyDescent="0.2">
      <c r="A9" s="78"/>
      <c r="B9" s="78"/>
      <c r="C9" s="78"/>
      <c r="D9" s="78"/>
      <c r="E9" s="78"/>
      <c r="F9" s="78"/>
      <c r="G9" s="93"/>
      <c r="H9" s="80"/>
      <c r="I9" s="80"/>
      <c r="J9" s="91"/>
      <c r="K9" s="81"/>
      <c r="L9" s="79"/>
      <c r="M9" s="78"/>
    </row>
    <row r="10" spans="1:15" x14ac:dyDescent="0.2">
      <c r="A10" s="78"/>
      <c r="B10" s="78"/>
      <c r="C10" s="78"/>
      <c r="D10" s="78"/>
      <c r="E10" s="78"/>
      <c r="F10" s="78"/>
      <c r="G10" s="93"/>
      <c r="H10" s="80"/>
      <c r="I10" s="80"/>
      <c r="J10" s="91"/>
      <c r="K10" s="81"/>
      <c r="L10" s="79"/>
      <c r="M10" s="78"/>
    </row>
    <row r="11" spans="1:15" ht="10.8" thickBot="1" x14ac:dyDescent="0.25">
      <c r="A11" s="78"/>
      <c r="B11" s="78"/>
      <c r="C11" s="78"/>
      <c r="D11" s="78"/>
      <c r="E11" s="78"/>
      <c r="F11" s="78"/>
      <c r="G11" s="93"/>
      <c r="H11" s="80"/>
      <c r="I11" s="80"/>
      <c r="J11" s="91"/>
      <c r="K11" s="81"/>
      <c r="L11" s="79"/>
      <c r="M11" s="78"/>
    </row>
    <row r="12" spans="1:15" ht="14.25" customHeight="1" thickTop="1" thickBot="1" x14ac:dyDescent="0.25">
      <c r="A12" s="156" t="s">
        <v>73</v>
      </c>
      <c r="B12" s="156"/>
      <c r="C12" s="156"/>
      <c r="D12" s="156"/>
      <c r="E12" s="156"/>
      <c r="F12" s="156"/>
      <c r="G12" s="68">
        <f>SUM(G6:G11)</f>
        <v>1594466</v>
      </c>
      <c r="H12" s="68">
        <f>SUM(H6:H11)</f>
        <v>1593437</v>
      </c>
      <c r="I12" s="68">
        <f>SUM(I6:I11)</f>
        <v>0</v>
      </c>
      <c r="J12" s="68">
        <f>SUM(J6:J11)</f>
        <v>215157</v>
      </c>
      <c r="K12" s="68"/>
      <c r="L12" s="68"/>
      <c r="M12" s="69"/>
      <c r="N12" s="54"/>
      <c r="O12" s="32"/>
    </row>
    <row r="13" spans="1:15" x14ac:dyDescent="0.2">
      <c r="A13" s="72"/>
      <c r="B13" s="72"/>
      <c r="C13" s="72"/>
      <c r="D13" s="72"/>
      <c r="E13" s="72"/>
      <c r="F13" s="72"/>
      <c r="G13" s="72"/>
      <c r="H13" s="72"/>
      <c r="I13" s="72"/>
    </row>
    <row r="14" spans="1:15" x14ac:dyDescent="0.2">
      <c r="A14" s="71"/>
      <c r="B14" s="71"/>
      <c r="C14" s="71"/>
      <c r="D14" s="71"/>
      <c r="E14" s="71"/>
      <c r="F14" s="71"/>
      <c r="G14" s="71"/>
      <c r="H14" s="71"/>
      <c r="I14" s="71"/>
    </row>
    <row r="15" spans="1:15" x14ac:dyDescent="0.2">
      <c r="A15" s="72"/>
      <c r="B15" s="72"/>
      <c r="C15" s="72"/>
      <c r="D15" s="72"/>
      <c r="E15" s="72"/>
      <c r="F15" s="72"/>
      <c r="G15" s="72"/>
      <c r="H15" s="72"/>
      <c r="I15" s="72"/>
    </row>
    <row r="16" spans="1:15" x14ac:dyDescent="0.2">
      <c r="A16" s="53"/>
      <c r="B16" s="53"/>
      <c r="C16" s="53"/>
      <c r="D16" s="53"/>
      <c r="E16" s="53"/>
      <c r="F16" s="53"/>
      <c r="G16" s="53"/>
      <c r="H16" s="53"/>
      <c r="I16" s="53"/>
    </row>
    <row r="17" spans="1:9" x14ac:dyDescent="0.2">
      <c r="A17" s="53"/>
      <c r="B17" s="53"/>
      <c r="C17" s="53"/>
      <c r="D17" s="53"/>
      <c r="E17" s="53"/>
      <c r="F17" s="53"/>
      <c r="G17" s="53"/>
      <c r="H17" s="53"/>
      <c r="I17" s="53"/>
    </row>
    <row r="18" spans="1:9" x14ac:dyDescent="0.2">
      <c r="A18" s="53"/>
      <c r="B18" s="53"/>
      <c r="C18" s="53"/>
      <c r="D18" s="53"/>
      <c r="E18" s="53"/>
      <c r="F18" s="53"/>
      <c r="G18" s="53"/>
      <c r="H18" s="53"/>
      <c r="I18" s="53"/>
    </row>
    <row r="19" spans="1:9" x14ac:dyDescent="0.2">
      <c r="A19" s="53"/>
      <c r="B19" s="53"/>
      <c r="C19" s="53"/>
      <c r="D19" s="53"/>
      <c r="E19" s="53"/>
      <c r="F19" s="53"/>
      <c r="G19" s="53"/>
      <c r="H19" s="53"/>
      <c r="I19" s="53"/>
    </row>
    <row r="20" spans="1:9" x14ac:dyDescent="0.2">
      <c r="A20" s="53"/>
      <c r="B20" s="53"/>
      <c r="C20" s="53"/>
      <c r="D20" s="53"/>
      <c r="E20" s="53"/>
      <c r="F20" s="53"/>
      <c r="G20" s="53"/>
      <c r="H20" s="53"/>
      <c r="I20" s="53"/>
    </row>
    <row r="21" spans="1:9" x14ac:dyDescent="0.2">
      <c r="A21" s="53"/>
      <c r="B21" s="53"/>
      <c r="C21" s="53"/>
      <c r="D21" s="53"/>
      <c r="E21" s="53"/>
      <c r="F21" s="53"/>
      <c r="G21" s="53"/>
      <c r="H21" s="53"/>
      <c r="I21" s="53"/>
    </row>
    <row r="22" spans="1:9" x14ac:dyDescent="0.2">
      <c r="A22" s="53"/>
      <c r="B22" s="53"/>
      <c r="C22" s="53"/>
      <c r="D22" s="53"/>
      <c r="E22" s="53"/>
      <c r="F22" s="53"/>
      <c r="G22" s="53"/>
      <c r="H22" s="53"/>
      <c r="I22" s="53"/>
    </row>
    <row r="23" spans="1:9" x14ac:dyDescent="0.2">
      <c r="A23" s="53"/>
      <c r="B23" s="53"/>
      <c r="C23" s="53"/>
      <c r="D23" s="53"/>
      <c r="E23" s="53"/>
      <c r="F23" s="53"/>
      <c r="G23" s="53"/>
      <c r="H23" s="53"/>
      <c r="I23" s="53"/>
    </row>
    <row r="24" spans="1:9" x14ac:dyDescent="0.2">
      <c r="A24" s="53"/>
      <c r="B24" s="53"/>
      <c r="C24" s="53"/>
      <c r="D24" s="53"/>
      <c r="E24" s="53"/>
      <c r="F24" s="53"/>
      <c r="G24" s="53"/>
      <c r="H24" s="53"/>
      <c r="I24" s="53"/>
    </row>
    <row r="25" spans="1:9" x14ac:dyDescent="0.2">
      <c r="A25" s="53"/>
      <c r="B25" s="53"/>
      <c r="C25" s="53"/>
      <c r="D25" s="53"/>
      <c r="E25" s="53"/>
      <c r="F25" s="53"/>
      <c r="G25" s="53"/>
      <c r="H25" s="53"/>
      <c r="I25" s="53"/>
    </row>
    <row r="26" spans="1:9" x14ac:dyDescent="0.2">
      <c r="A26" s="53"/>
      <c r="B26" s="53"/>
      <c r="C26" s="53"/>
      <c r="D26" s="53"/>
      <c r="E26" s="53"/>
      <c r="F26" s="53"/>
      <c r="G26" s="53"/>
      <c r="H26" s="53"/>
      <c r="I26" s="53"/>
    </row>
    <row r="27" spans="1:9" x14ac:dyDescent="0.2">
      <c r="A27" s="53"/>
      <c r="B27" s="53"/>
      <c r="C27" s="53"/>
      <c r="D27" s="53"/>
      <c r="E27" s="53"/>
      <c r="F27" s="53"/>
      <c r="G27" s="53"/>
      <c r="H27" s="53"/>
      <c r="I27" s="53"/>
    </row>
    <row r="28" spans="1:9" x14ac:dyDescent="0.2">
      <c r="A28" s="53"/>
      <c r="B28" s="53"/>
      <c r="C28" s="53"/>
      <c r="D28" s="53"/>
      <c r="E28" s="53"/>
      <c r="F28" s="53"/>
      <c r="G28" s="53"/>
      <c r="H28" s="53"/>
      <c r="I28" s="53"/>
    </row>
    <row r="29" spans="1:9" x14ac:dyDescent="0.2">
      <c r="A29" s="53"/>
      <c r="B29" s="53"/>
      <c r="C29" s="53"/>
      <c r="D29" s="53"/>
      <c r="E29" s="53"/>
      <c r="F29" s="53"/>
      <c r="G29" s="53"/>
      <c r="H29" s="53"/>
      <c r="I29" s="53"/>
    </row>
    <row r="30" spans="1:9" x14ac:dyDescent="0.2">
      <c r="A30" s="53"/>
      <c r="B30" s="53"/>
      <c r="C30" s="53"/>
      <c r="D30" s="53"/>
      <c r="E30" s="53"/>
      <c r="F30" s="53"/>
      <c r="G30" s="53"/>
      <c r="H30" s="53"/>
      <c r="I30" s="53"/>
    </row>
    <row r="31" spans="1:9" x14ac:dyDescent="0.2">
      <c r="A31" s="53"/>
      <c r="B31" s="53"/>
      <c r="C31" s="53"/>
      <c r="D31" s="53"/>
      <c r="E31" s="53"/>
      <c r="F31" s="53"/>
      <c r="G31" s="53"/>
      <c r="H31" s="53"/>
      <c r="I31" s="53"/>
    </row>
    <row r="32" spans="1:9" x14ac:dyDescent="0.2">
      <c r="A32" s="53"/>
      <c r="B32" s="53"/>
      <c r="C32" s="53"/>
      <c r="D32" s="53"/>
      <c r="E32" s="53"/>
      <c r="F32" s="53"/>
      <c r="G32" s="53"/>
      <c r="H32" s="53"/>
      <c r="I32" s="53"/>
    </row>
    <row r="33" spans="1:9" x14ac:dyDescent="0.2">
      <c r="A33" s="53"/>
      <c r="B33" s="53"/>
      <c r="C33" s="53"/>
      <c r="D33" s="53"/>
      <c r="E33" s="53"/>
      <c r="F33" s="53"/>
      <c r="G33" s="53"/>
      <c r="H33" s="53"/>
      <c r="I33" s="53"/>
    </row>
    <row r="34" spans="1:9" x14ac:dyDescent="0.2">
      <c r="A34" s="77"/>
      <c r="B34" s="77"/>
      <c r="C34" s="77"/>
      <c r="D34" s="77"/>
      <c r="E34" s="77"/>
      <c r="F34" s="77"/>
      <c r="G34" s="77"/>
      <c r="H34" s="77"/>
      <c r="I34" s="77"/>
    </row>
    <row r="35" spans="1:9" x14ac:dyDescent="0.2">
      <c r="A35" s="77"/>
      <c r="B35" s="77"/>
      <c r="C35" s="77"/>
      <c r="D35" s="77"/>
      <c r="E35" s="77"/>
      <c r="F35" s="77"/>
      <c r="G35" s="77"/>
      <c r="H35" s="77"/>
      <c r="I35" s="77"/>
    </row>
    <row r="36" spans="1:9" x14ac:dyDescent="0.2">
      <c r="A36" s="77"/>
      <c r="B36" s="77"/>
      <c r="C36" s="77"/>
      <c r="D36" s="77"/>
      <c r="E36" s="77"/>
      <c r="F36" s="77"/>
      <c r="G36" s="77"/>
      <c r="H36" s="77"/>
      <c r="I36" s="77"/>
    </row>
    <row r="37" spans="1:9" x14ac:dyDescent="0.2">
      <c r="A37" s="72"/>
      <c r="B37" s="72"/>
      <c r="C37" s="72"/>
      <c r="D37" s="72"/>
      <c r="E37" s="72"/>
      <c r="F37" s="72"/>
      <c r="G37" s="72"/>
      <c r="H37" s="53"/>
      <c r="I37" s="72"/>
    </row>
    <row r="38" spans="1:9" x14ac:dyDescent="0.2">
      <c r="A38" s="72"/>
      <c r="B38" s="72"/>
      <c r="C38" s="72"/>
      <c r="D38" s="72"/>
      <c r="E38" s="72"/>
      <c r="F38" s="72"/>
      <c r="G38" s="72"/>
      <c r="H38" s="72"/>
      <c r="I38" s="72"/>
    </row>
    <row r="39" spans="1:9" x14ac:dyDescent="0.2">
      <c r="A39" s="72"/>
      <c r="B39" s="72"/>
      <c r="C39" s="72"/>
      <c r="D39" s="72"/>
      <c r="E39" s="72"/>
      <c r="F39" s="72"/>
      <c r="G39" s="72"/>
      <c r="H39" s="72"/>
      <c r="I39" s="72"/>
    </row>
    <row r="40" spans="1:9" x14ac:dyDescent="0.2">
      <c r="A40" s="72"/>
      <c r="B40" s="72"/>
      <c r="C40" s="72"/>
      <c r="D40" s="72"/>
      <c r="E40" s="72"/>
      <c r="F40" s="72"/>
      <c r="G40" s="72"/>
      <c r="H40" s="72"/>
      <c r="I40" s="72"/>
    </row>
    <row r="41" spans="1:9" x14ac:dyDescent="0.2">
      <c r="A41" s="72"/>
      <c r="B41" s="72"/>
      <c r="C41" s="72"/>
      <c r="D41" s="72"/>
      <c r="E41" s="72"/>
      <c r="F41" s="72"/>
      <c r="G41" s="72"/>
      <c r="H41" s="72"/>
      <c r="I41" s="72"/>
    </row>
    <row r="42" spans="1:9" x14ac:dyDescent="0.2">
      <c r="A42" s="72"/>
      <c r="B42" s="72"/>
      <c r="C42" s="72"/>
      <c r="D42" s="72"/>
      <c r="E42" s="72"/>
      <c r="F42" s="72"/>
      <c r="G42" s="72"/>
      <c r="H42" s="72"/>
      <c r="I42" s="72"/>
    </row>
    <row r="43" spans="1:9" x14ac:dyDescent="0.2">
      <c r="A43" s="72"/>
      <c r="B43" s="72"/>
      <c r="C43" s="72"/>
      <c r="D43" s="72"/>
      <c r="E43" s="72"/>
      <c r="F43" s="72"/>
      <c r="G43" s="72"/>
      <c r="H43" s="72"/>
      <c r="I43" s="72"/>
    </row>
    <row r="44" spans="1:9" x14ac:dyDescent="0.2">
      <c r="A44" s="72"/>
      <c r="B44" s="72"/>
      <c r="C44" s="72"/>
      <c r="D44" s="72"/>
      <c r="E44" s="72"/>
      <c r="F44" s="72"/>
      <c r="G44" s="72"/>
      <c r="H44" s="72"/>
      <c r="I44" s="72"/>
    </row>
    <row r="45" spans="1:9" x14ac:dyDescent="0.2">
      <c r="A45" s="72"/>
      <c r="B45" s="72"/>
      <c r="C45" s="72"/>
      <c r="D45" s="72"/>
      <c r="E45" s="72"/>
      <c r="F45" s="72"/>
      <c r="G45" s="72"/>
      <c r="H45" s="72"/>
      <c r="I45" s="72"/>
    </row>
    <row r="46" spans="1:9" x14ac:dyDescent="0.2">
      <c r="A46" s="72"/>
      <c r="B46" s="72"/>
      <c r="C46" s="72"/>
      <c r="D46" s="72"/>
      <c r="E46" s="72"/>
      <c r="F46" s="72"/>
      <c r="G46" s="72"/>
      <c r="H46" s="72"/>
      <c r="I46" s="72"/>
    </row>
    <row r="47" spans="1:9" x14ac:dyDescent="0.2">
      <c r="A47" s="70"/>
      <c r="B47" s="71"/>
      <c r="C47" s="71"/>
      <c r="D47" s="71"/>
      <c r="E47" s="71"/>
      <c r="F47" s="71"/>
      <c r="G47" s="71"/>
      <c r="H47" s="71"/>
      <c r="I47" s="71"/>
    </row>
    <row r="48" spans="1:9" x14ac:dyDescent="0.2">
      <c r="A48" s="72"/>
      <c r="B48" s="72"/>
      <c r="C48" s="72"/>
      <c r="D48" s="72"/>
      <c r="E48" s="72"/>
      <c r="F48" s="72"/>
      <c r="G48" s="72"/>
      <c r="H48" s="72"/>
      <c r="I48" s="72"/>
    </row>
    <row r="49" spans="1:9" x14ac:dyDescent="0.2">
      <c r="A49" s="72"/>
      <c r="B49" s="72"/>
      <c r="C49" s="72"/>
      <c r="D49" s="72"/>
      <c r="E49" s="72"/>
      <c r="F49" s="72"/>
      <c r="G49" s="72"/>
      <c r="H49" s="72"/>
      <c r="I49" s="72"/>
    </row>
    <row r="50" spans="1:9" x14ac:dyDescent="0.2">
      <c r="A50" s="72"/>
      <c r="B50" s="72"/>
      <c r="C50" s="72"/>
      <c r="D50" s="72"/>
      <c r="E50" s="72"/>
      <c r="F50" s="72"/>
      <c r="G50" s="72"/>
      <c r="H50" s="72"/>
      <c r="I50" s="72"/>
    </row>
    <row r="51" spans="1:9" x14ac:dyDescent="0.2">
      <c r="A51" s="72"/>
      <c r="B51" s="72"/>
      <c r="C51" s="72"/>
      <c r="D51" s="72"/>
      <c r="E51" s="72"/>
      <c r="F51" s="72"/>
      <c r="G51" s="72"/>
      <c r="H51" s="72"/>
      <c r="I51" s="72"/>
    </row>
    <row r="52" spans="1:9" x14ac:dyDescent="0.2">
      <c r="A52" s="73"/>
      <c r="B52" s="73"/>
      <c r="C52" s="73"/>
      <c r="D52" s="73"/>
      <c r="E52" s="73"/>
      <c r="F52" s="73"/>
      <c r="G52" s="73"/>
      <c r="H52" s="73"/>
      <c r="I52" s="73"/>
    </row>
    <row r="53" spans="1:9" x14ac:dyDescent="0.2">
      <c r="A53" s="74"/>
      <c r="B53" s="75"/>
      <c r="C53" s="75"/>
      <c r="D53" s="75"/>
      <c r="E53" s="75"/>
      <c r="F53" s="75"/>
      <c r="G53" s="75"/>
      <c r="H53" s="75"/>
      <c r="I53" s="75"/>
    </row>
    <row r="54" spans="1:9" x14ac:dyDescent="0.2">
      <c r="A54" s="76"/>
      <c r="B54" s="75"/>
      <c r="C54" s="75"/>
      <c r="D54" s="75"/>
      <c r="E54" s="75"/>
      <c r="F54" s="75"/>
      <c r="G54" s="75"/>
      <c r="H54" s="75"/>
      <c r="I54" s="75"/>
    </row>
    <row r="55" spans="1:9" x14ac:dyDescent="0.2">
      <c r="A55" s="76"/>
      <c r="B55" s="76"/>
      <c r="C55" s="76"/>
      <c r="D55" s="76"/>
      <c r="E55" s="76"/>
      <c r="F55" s="76"/>
      <c r="G55" s="76"/>
      <c r="H55" s="76"/>
      <c r="I55" s="76"/>
    </row>
    <row r="56" spans="1:9" x14ac:dyDescent="0.2">
      <c r="A56" s="72"/>
      <c r="B56" s="72"/>
      <c r="C56" s="72"/>
      <c r="D56" s="72"/>
      <c r="E56" s="72"/>
      <c r="F56" s="72"/>
      <c r="G56" s="72"/>
      <c r="H56" s="72"/>
      <c r="I56" s="72"/>
    </row>
    <row r="57" spans="1:9" x14ac:dyDescent="0.2">
      <c r="A57" s="71"/>
      <c r="B57" s="71"/>
      <c r="C57" s="71"/>
      <c r="D57" s="71"/>
      <c r="E57" s="71"/>
      <c r="F57" s="71"/>
      <c r="G57" s="71"/>
      <c r="H57" s="71"/>
      <c r="I57" s="72"/>
    </row>
    <row r="58" spans="1:9" x14ac:dyDescent="0.2">
      <c r="A58" s="72"/>
      <c r="B58" s="72"/>
      <c r="C58" s="72"/>
      <c r="D58" s="72"/>
      <c r="E58" s="72"/>
      <c r="F58" s="72"/>
      <c r="G58" s="72"/>
      <c r="H58" s="72"/>
      <c r="I58" s="72"/>
    </row>
    <row r="59" spans="1:9" x14ac:dyDescent="0.2">
      <c r="A59" s="72"/>
      <c r="B59" s="72"/>
      <c r="C59" s="72"/>
      <c r="D59" s="72"/>
      <c r="E59" s="72"/>
      <c r="F59" s="72"/>
      <c r="G59" s="72"/>
      <c r="H59" s="72"/>
      <c r="I59" s="72"/>
    </row>
    <row r="60" spans="1:9" x14ac:dyDescent="0.2">
      <c r="A60" s="72"/>
      <c r="B60" s="72"/>
      <c r="C60" s="72"/>
      <c r="D60" s="72"/>
      <c r="E60" s="72"/>
      <c r="F60" s="72"/>
      <c r="G60" s="72"/>
      <c r="H60" s="72"/>
      <c r="I60" s="72"/>
    </row>
    <row r="61" spans="1:9" x14ac:dyDescent="0.2">
      <c r="A61" s="72"/>
      <c r="B61" s="72"/>
      <c r="C61" s="72"/>
      <c r="D61" s="72"/>
      <c r="E61" s="72"/>
      <c r="F61" s="72"/>
      <c r="G61" s="72"/>
      <c r="H61" s="72"/>
      <c r="I61" s="72"/>
    </row>
    <row r="62" spans="1:9" x14ac:dyDescent="0.2">
      <c r="A62" s="72"/>
      <c r="B62" s="72"/>
      <c r="C62" s="72"/>
      <c r="D62" s="72"/>
      <c r="E62" s="72"/>
      <c r="F62" s="72"/>
      <c r="G62" s="72"/>
      <c r="H62" s="72"/>
      <c r="I62" s="72"/>
    </row>
    <row r="63" spans="1:9" x14ac:dyDescent="0.2">
      <c r="A63" s="71"/>
      <c r="B63" s="71"/>
      <c r="C63" s="71"/>
      <c r="D63" s="71"/>
      <c r="E63" s="71"/>
      <c r="F63" s="71"/>
      <c r="G63" s="71"/>
      <c r="H63" s="71"/>
      <c r="I63" s="71"/>
    </row>
    <row r="64" spans="1:9" x14ac:dyDescent="0.2">
      <c r="A64" s="72"/>
      <c r="B64" s="72"/>
      <c r="C64" s="72"/>
      <c r="D64" s="72"/>
      <c r="E64" s="72"/>
      <c r="F64" s="72"/>
      <c r="G64" s="72"/>
      <c r="H64" s="72"/>
      <c r="I64" s="72"/>
    </row>
    <row r="65" spans="1:9" x14ac:dyDescent="0.2">
      <c r="A65" s="72"/>
      <c r="B65" s="72"/>
      <c r="C65" s="72"/>
      <c r="D65" s="72"/>
      <c r="E65" s="72"/>
      <c r="F65" s="72"/>
      <c r="G65" s="72"/>
      <c r="H65" s="72"/>
      <c r="I65" s="72"/>
    </row>
    <row r="66" spans="1:9" x14ac:dyDescent="0.2">
      <c r="A66" s="72"/>
      <c r="B66" s="72"/>
      <c r="C66" s="72"/>
      <c r="D66" s="72"/>
      <c r="E66" s="72"/>
      <c r="F66" s="72"/>
      <c r="G66" s="72"/>
      <c r="H66" s="72"/>
      <c r="I66" s="72"/>
    </row>
    <row r="67" spans="1:9" x14ac:dyDescent="0.2">
      <c r="A67" s="72"/>
      <c r="B67" s="72"/>
      <c r="C67" s="72"/>
      <c r="D67" s="72"/>
      <c r="E67" s="72"/>
      <c r="F67" s="72"/>
      <c r="G67" s="72"/>
      <c r="H67" s="72"/>
      <c r="I67" s="72"/>
    </row>
    <row r="68" spans="1:9" x14ac:dyDescent="0.2">
      <c r="A68" s="72"/>
      <c r="B68" s="72"/>
      <c r="C68" s="72"/>
      <c r="D68" s="72"/>
      <c r="E68" s="72"/>
      <c r="F68" s="72"/>
      <c r="G68" s="72"/>
      <c r="H68" s="72"/>
      <c r="I68" s="72"/>
    </row>
    <row r="69" spans="1:9" x14ac:dyDescent="0.2">
      <c r="A69" s="72"/>
      <c r="B69" s="72"/>
      <c r="C69" s="72"/>
      <c r="D69" s="72"/>
      <c r="E69" s="72"/>
      <c r="F69" s="72"/>
      <c r="G69" s="72"/>
      <c r="H69" s="72"/>
      <c r="I69" s="72"/>
    </row>
    <row r="70" spans="1:9" x14ac:dyDescent="0.2">
      <c r="A70" s="72"/>
      <c r="B70" s="72"/>
      <c r="C70" s="72"/>
      <c r="D70" s="72"/>
      <c r="E70" s="72"/>
      <c r="F70" s="72"/>
      <c r="G70" s="72"/>
      <c r="H70" s="72"/>
      <c r="I70" s="72"/>
    </row>
    <row r="71" spans="1:9" x14ac:dyDescent="0.2">
      <c r="A71" s="72"/>
      <c r="B71" s="72"/>
      <c r="C71" s="72"/>
      <c r="D71" s="72"/>
      <c r="E71" s="72"/>
      <c r="F71" s="72"/>
      <c r="G71" s="72"/>
      <c r="H71" s="72"/>
      <c r="I71" s="72"/>
    </row>
    <row r="72" spans="1:9" x14ac:dyDescent="0.2">
      <c r="A72" s="72"/>
      <c r="B72" s="72"/>
      <c r="C72" s="72"/>
      <c r="D72" s="72"/>
      <c r="E72" s="72"/>
      <c r="F72" s="72"/>
      <c r="G72" s="72"/>
      <c r="H72" s="72"/>
      <c r="I72" s="72"/>
    </row>
    <row r="73" spans="1:9" x14ac:dyDescent="0.2">
      <c r="A73" s="72"/>
      <c r="B73" s="72"/>
      <c r="C73" s="72"/>
      <c r="D73" s="72"/>
      <c r="E73" s="72"/>
      <c r="F73" s="72"/>
      <c r="G73" s="72"/>
      <c r="H73" s="72"/>
      <c r="I73" s="72"/>
    </row>
    <row r="74" spans="1:9" x14ac:dyDescent="0.2">
      <c r="A74" s="72"/>
      <c r="B74" s="72"/>
      <c r="C74" s="72"/>
      <c r="D74" s="72"/>
      <c r="E74" s="72"/>
      <c r="F74" s="72"/>
      <c r="G74" s="72"/>
      <c r="H74" s="72"/>
      <c r="I74" s="72"/>
    </row>
    <row r="75" spans="1:9" x14ac:dyDescent="0.2">
      <c r="A75" s="53"/>
      <c r="B75" s="53"/>
      <c r="C75" s="53"/>
      <c r="D75" s="53"/>
      <c r="E75" s="53"/>
      <c r="F75" s="53"/>
      <c r="G75" s="53"/>
      <c r="H75" s="53"/>
      <c r="I75" s="53"/>
    </row>
    <row r="76" spans="1:9" x14ac:dyDescent="0.2">
      <c r="A76" s="53"/>
      <c r="B76" s="53"/>
      <c r="C76" s="53"/>
      <c r="D76" s="53"/>
      <c r="E76" s="53"/>
      <c r="F76" s="53"/>
      <c r="G76" s="53"/>
      <c r="H76" s="53"/>
      <c r="I76" s="53"/>
    </row>
    <row r="77" spans="1:9" x14ac:dyDescent="0.2">
      <c r="A77" s="53"/>
      <c r="B77" s="53"/>
      <c r="C77" s="53"/>
      <c r="D77" s="53"/>
      <c r="E77" s="53"/>
      <c r="F77" s="53"/>
      <c r="G77" s="53"/>
      <c r="H77" s="53"/>
      <c r="I77" s="53"/>
    </row>
    <row r="78" spans="1:9" x14ac:dyDescent="0.2">
      <c r="A78" s="53"/>
      <c r="B78" s="53"/>
      <c r="C78" s="53"/>
      <c r="D78" s="53"/>
      <c r="E78" s="53"/>
      <c r="F78" s="53"/>
      <c r="G78" s="53"/>
      <c r="H78" s="53"/>
      <c r="I78" s="53"/>
    </row>
    <row r="79" spans="1:9" x14ac:dyDescent="0.2">
      <c r="A79" s="53"/>
      <c r="B79" s="53"/>
      <c r="C79" s="53"/>
      <c r="D79" s="53"/>
      <c r="E79" s="53"/>
      <c r="F79" s="53"/>
      <c r="G79" s="53"/>
      <c r="H79" s="53"/>
      <c r="I79" s="53"/>
    </row>
    <row r="80" spans="1:9" x14ac:dyDescent="0.2">
      <c r="A80" s="53"/>
      <c r="B80" s="53"/>
      <c r="C80" s="53"/>
      <c r="D80" s="53"/>
      <c r="E80" s="53"/>
      <c r="F80" s="53"/>
      <c r="G80" s="53"/>
      <c r="H80" s="53"/>
      <c r="I80" s="53"/>
    </row>
    <row r="81" spans="1:9" x14ac:dyDescent="0.2">
      <c r="A81" s="53"/>
      <c r="B81" s="53"/>
      <c r="C81" s="53"/>
      <c r="D81" s="53"/>
      <c r="E81" s="53"/>
      <c r="F81" s="53"/>
      <c r="G81" s="53"/>
      <c r="H81" s="53"/>
      <c r="I81" s="53"/>
    </row>
    <row r="82" spans="1:9" x14ac:dyDescent="0.2">
      <c r="A82" s="53"/>
      <c r="B82" s="53"/>
      <c r="C82" s="53"/>
      <c r="D82" s="53"/>
      <c r="E82" s="53"/>
      <c r="F82" s="53"/>
      <c r="G82" s="53"/>
      <c r="H82" s="53"/>
      <c r="I82" s="53"/>
    </row>
    <row r="83" spans="1:9" x14ac:dyDescent="0.2">
      <c r="A83" s="77"/>
      <c r="B83" s="77"/>
      <c r="C83" s="77"/>
      <c r="D83" s="77"/>
      <c r="E83" s="77"/>
      <c r="F83" s="77"/>
      <c r="G83" s="77"/>
      <c r="H83" s="77"/>
      <c r="I83" s="77"/>
    </row>
    <row r="84" spans="1:9" x14ac:dyDescent="0.2">
      <c r="A84" s="77"/>
      <c r="B84" s="77"/>
      <c r="C84" s="77"/>
      <c r="D84" s="77"/>
      <c r="E84" s="77"/>
      <c r="F84" s="77"/>
      <c r="G84" s="77"/>
      <c r="H84" s="77"/>
      <c r="I84" s="77"/>
    </row>
    <row r="85" spans="1:9" x14ac:dyDescent="0.2">
      <c r="A85" s="77"/>
      <c r="B85" s="77"/>
      <c r="C85" s="77"/>
      <c r="D85" s="77"/>
      <c r="E85" s="77"/>
      <c r="F85" s="77"/>
      <c r="G85" s="77"/>
      <c r="H85" s="77"/>
      <c r="I85" s="77"/>
    </row>
    <row r="86" spans="1:9" x14ac:dyDescent="0.2">
      <c r="A86" s="72"/>
      <c r="B86" s="72"/>
      <c r="C86" s="72"/>
      <c r="D86" s="72"/>
      <c r="E86" s="72"/>
      <c r="F86" s="72"/>
      <c r="G86" s="72"/>
      <c r="H86" s="53"/>
      <c r="I86" s="72"/>
    </row>
    <row r="87" spans="1:9" x14ac:dyDescent="0.2">
      <c r="A87" s="72"/>
      <c r="B87" s="72"/>
      <c r="C87" s="72"/>
      <c r="D87" s="72"/>
      <c r="E87" s="72"/>
      <c r="F87" s="72"/>
      <c r="G87" s="72"/>
      <c r="H87" s="72"/>
      <c r="I87" s="72"/>
    </row>
    <row r="88" spans="1:9" x14ac:dyDescent="0.2">
      <c r="A88" s="72"/>
      <c r="B88" s="72"/>
      <c r="C88" s="72"/>
      <c r="D88" s="72"/>
      <c r="E88" s="72"/>
      <c r="F88" s="72"/>
      <c r="G88" s="72"/>
      <c r="H88" s="72"/>
      <c r="I88" s="72"/>
    </row>
    <row r="89" spans="1:9" x14ac:dyDescent="0.2">
      <c r="A89" s="72"/>
      <c r="B89" s="72"/>
      <c r="C89" s="72"/>
      <c r="D89" s="72"/>
      <c r="E89" s="72"/>
      <c r="F89" s="72"/>
      <c r="G89" s="72"/>
      <c r="H89" s="72"/>
      <c r="I89" s="72"/>
    </row>
    <row r="90" spans="1:9" x14ac:dyDescent="0.2">
      <c r="A90" s="72"/>
      <c r="B90" s="72"/>
      <c r="C90" s="72"/>
      <c r="D90" s="72"/>
      <c r="E90" s="72"/>
      <c r="F90" s="72"/>
      <c r="G90" s="72"/>
      <c r="H90" s="72"/>
      <c r="I90" s="72"/>
    </row>
    <row r="91" spans="1:9" x14ac:dyDescent="0.2">
      <c r="A91" s="72"/>
      <c r="B91" s="72"/>
      <c r="C91" s="72"/>
      <c r="D91" s="72"/>
      <c r="E91" s="72"/>
      <c r="F91" s="72"/>
      <c r="G91" s="72"/>
      <c r="H91" s="72"/>
      <c r="I91" s="72"/>
    </row>
    <row r="92" spans="1:9" x14ac:dyDescent="0.2">
      <c r="A92" s="72"/>
      <c r="B92" s="72"/>
      <c r="C92" s="72"/>
      <c r="D92" s="72"/>
      <c r="E92" s="72"/>
      <c r="F92" s="72"/>
      <c r="G92" s="72"/>
      <c r="H92" s="72"/>
      <c r="I92" s="72"/>
    </row>
    <row r="93" spans="1:9" x14ac:dyDescent="0.2">
      <c r="A93" s="72"/>
      <c r="B93" s="72"/>
      <c r="C93" s="72"/>
      <c r="D93" s="72"/>
      <c r="E93" s="72"/>
      <c r="F93" s="72"/>
      <c r="G93" s="72"/>
      <c r="H93" s="72"/>
      <c r="I93" s="72"/>
    </row>
    <row r="94" spans="1:9" x14ac:dyDescent="0.2">
      <c r="A94" s="72"/>
      <c r="B94" s="72"/>
      <c r="C94" s="72"/>
      <c r="D94" s="72"/>
      <c r="E94" s="72"/>
      <c r="F94" s="72"/>
      <c r="G94" s="72"/>
      <c r="H94" s="72"/>
      <c r="I94" s="72"/>
    </row>
    <row r="95" spans="1:9" x14ac:dyDescent="0.2">
      <c r="A95" s="72"/>
      <c r="B95" s="72"/>
      <c r="C95" s="72"/>
      <c r="D95" s="72"/>
      <c r="E95" s="72"/>
      <c r="F95" s="72"/>
      <c r="G95" s="72"/>
      <c r="H95" s="72"/>
      <c r="I95" s="72"/>
    </row>
    <row r="96" spans="1:9" x14ac:dyDescent="0.2">
      <c r="A96" s="70"/>
      <c r="B96" s="71"/>
      <c r="C96" s="71"/>
      <c r="D96" s="71"/>
      <c r="E96" s="71"/>
      <c r="F96" s="71"/>
      <c r="G96" s="71"/>
      <c r="H96" s="71"/>
      <c r="I96" s="71"/>
    </row>
    <row r="97" spans="1:9" x14ac:dyDescent="0.2">
      <c r="A97" s="72"/>
      <c r="B97" s="72"/>
      <c r="C97" s="72"/>
      <c r="D97" s="72"/>
      <c r="E97" s="72"/>
      <c r="F97" s="72"/>
      <c r="G97" s="72"/>
      <c r="H97" s="72"/>
      <c r="I97" s="72"/>
    </row>
    <row r="98" spans="1:9" x14ac:dyDescent="0.2">
      <c r="A98" s="72"/>
      <c r="B98" s="72"/>
      <c r="C98" s="72"/>
      <c r="D98" s="72"/>
      <c r="E98" s="72"/>
      <c r="F98" s="72"/>
      <c r="G98" s="72"/>
      <c r="H98" s="72"/>
      <c r="I98" s="72"/>
    </row>
    <row r="99" spans="1:9" x14ac:dyDescent="0.2">
      <c r="A99" s="72"/>
      <c r="B99" s="72"/>
      <c r="C99" s="72"/>
      <c r="D99" s="72"/>
      <c r="E99" s="72"/>
      <c r="F99" s="72"/>
      <c r="G99" s="72"/>
      <c r="H99" s="72"/>
      <c r="I99" s="72"/>
    </row>
    <row r="100" spans="1:9" x14ac:dyDescent="0.2">
      <c r="A100" s="72"/>
      <c r="B100" s="72"/>
      <c r="C100" s="72"/>
      <c r="D100" s="72"/>
      <c r="E100" s="72"/>
      <c r="F100" s="72"/>
      <c r="G100" s="72"/>
      <c r="H100" s="72"/>
      <c r="I100" s="72"/>
    </row>
    <row r="101" spans="1:9" x14ac:dyDescent="0.2">
      <c r="A101" s="73"/>
      <c r="B101" s="73"/>
      <c r="C101" s="73"/>
      <c r="D101" s="73"/>
      <c r="E101" s="73"/>
      <c r="F101" s="73"/>
      <c r="G101" s="73"/>
      <c r="H101" s="73"/>
      <c r="I101" s="73"/>
    </row>
    <row r="102" spans="1:9" x14ac:dyDescent="0.2">
      <c r="A102" s="74"/>
      <c r="B102" s="75"/>
      <c r="C102" s="75"/>
      <c r="D102" s="75"/>
      <c r="E102" s="75"/>
      <c r="F102" s="75"/>
      <c r="G102" s="75"/>
      <c r="H102" s="75"/>
      <c r="I102" s="75"/>
    </row>
    <row r="103" spans="1:9" x14ac:dyDescent="0.2">
      <c r="A103" s="76"/>
      <c r="B103" s="75"/>
      <c r="C103" s="75"/>
      <c r="D103" s="75"/>
      <c r="E103" s="75"/>
      <c r="F103" s="75"/>
      <c r="G103" s="75"/>
      <c r="H103" s="75"/>
      <c r="I103" s="75"/>
    </row>
    <row r="104" spans="1:9" x14ac:dyDescent="0.2">
      <c r="A104" s="76"/>
      <c r="B104" s="76"/>
      <c r="C104" s="76"/>
      <c r="D104" s="76"/>
      <c r="E104" s="76"/>
      <c r="F104" s="76"/>
      <c r="G104" s="76"/>
      <c r="H104" s="76"/>
      <c r="I104" s="76"/>
    </row>
    <row r="105" spans="1:9" x14ac:dyDescent="0.2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 x14ac:dyDescent="0.2">
      <c r="A106" s="71"/>
      <c r="B106" s="71"/>
      <c r="C106" s="71"/>
      <c r="D106" s="71"/>
      <c r="E106" s="71"/>
      <c r="F106" s="71"/>
      <c r="G106" s="71"/>
      <c r="H106" s="71"/>
      <c r="I106" s="72"/>
    </row>
    <row r="107" spans="1:9" x14ac:dyDescent="0.2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 x14ac:dyDescent="0.2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 x14ac:dyDescent="0.2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 x14ac:dyDescent="0.2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 x14ac:dyDescent="0.2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 x14ac:dyDescent="0.2">
      <c r="A112" s="71"/>
      <c r="B112" s="71"/>
      <c r="C112" s="71"/>
      <c r="D112" s="71"/>
      <c r="E112" s="71"/>
      <c r="F112" s="71"/>
      <c r="G112" s="71"/>
      <c r="H112" s="71"/>
      <c r="I112" s="71"/>
    </row>
    <row r="113" spans="1:9" x14ac:dyDescent="0.2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 x14ac:dyDescent="0.2">
      <c r="A114" s="53"/>
      <c r="B114" s="53"/>
      <c r="C114" s="53"/>
      <c r="D114" s="53"/>
      <c r="E114" s="53"/>
      <c r="F114" s="53"/>
      <c r="G114" s="53"/>
      <c r="H114" s="53"/>
      <c r="I114" s="53"/>
    </row>
    <row r="115" spans="1:9" x14ac:dyDescent="0.2">
      <c r="A115" s="53"/>
      <c r="B115" s="53"/>
      <c r="C115" s="53"/>
      <c r="D115" s="53"/>
      <c r="E115" s="53"/>
      <c r="F115" s="53"/>
      <c r="G115" s="53"/>
      <c r="H115" s="53"/>
      <c r="I115" s="53"/>
    </row>
    <row r="116" spans="1:9" x14ac:dyDescent="0.2">
      <c r="A116" s="53"/>
      <c r="B116" s="53"/>
      <c r="C116" s="53"/>
      <c r="D116" s="53"/>
      <c r="E116" s="53"/>
      <c r="F116" s="53"/>
      <c r="G116" s="53"/>
      <c r="H116" s="53"/>
      <c r="I116" s="53"/>
    </row>
    <row r="117" spans="1:9" x14ac:dyDescent="0.2">
      <c r="A117" s="53"/>
      <c r="B117" s="53"/>
      <c r="C117" s="53"/>
      <c r="D117" s="53"/>
      <c r="E117" s="53"/>
      <c r="F117" s="53"/>
      <c r="G117" s="53"/>
      <c r="H117" s="53"/>
      <c r="I117" s="53"/>
    </row>
    <row r="118" spans="1:9" x14ac:dyDescent="0.2">
      <c r="A118" s="53"/>
      <c r="B118" s="53"/>
      <c r="C118" s="53"/>
      <c r="D118" s="53"/>
      <c r="E118" s="53"/>
      <c r="F118" s="53"/>
      <c r="G118" s="53"/>
      <c r="H118" s="53"/>
      <c r="I118" s="53"/>
    </row>
    <row r="119" spans="1:9" x14ac:dyDescent="0.2">
      <c r="A119" s="53"/>
      <c r="B119" s="53"/>
      <c r="C119" s="53"/>
      <c r="D119" s="53"/>
      <c r="E119" s="53"/>
      <c r="F119" s="53"/>
      <c r="G119" s="53"/>
      <c r="H119" s="53"/>
      <c r="I119" s="53"/>
    </row>
    <row r="120" spans="1:9" x14ac:dyDescent="0.2">
      <c r="A120" s="53"/>
      <c r="B120" s="53"/>
      <c r="C120" s="53"/>
      <c r="D120" s="53"/>
      <c r="E120" s="53"/>
      <c r="F120" s="53"/>
      <c r="G120" s="53"/>
      <c r="H120" s="53"/>
      <c r="I120" s="53"/>
    </row>
    <row r="121" spans="1:9" x14ac:dyDescent="0.2">
      <c r="A121" s="53"/>
      <c r="B121" s="53"/>
      <c r="C121" s="53"/>
      <c r="D121" s="53"/>
      <c r="E121" s="53"/>
      <c r="F121" s="53"/>
      <c r="G121" s="53"/>
      <c r="H121" s="53"/>
      <c r="I121" s="53"/>
    </row>
    <row r="122" spans="1:9" x14ac:dyDescent="0.2">
      <c r="A122" s="53"/>
      <c r="B122" s="53"/>
      <c r="C122" s="53"/>
      <c r="D122" s="53"/>
      <c r="E122" s="53"/>
      <c r="F122" s="53"/>
      <c r="G122" s="53"/>
      <c r="H122" s="53"/>
      <c r="I122" s="53"/>
    </row>
    <row r="123" spans="1:9" x14ac:dyDescent="0.2">
      <c r="A123" s="77"/>
      <c r="B123" s="77"/>
      <c r="C123" s="77"/>
      <c r="D123" s="77"/>
      <c r="E123" s="77"/>
      <c r="F123" s="77"/>
      <c r="G123" s="77"/>
      <c r="H123" s="77"/>
      <c r="I123" s="77"/>
    </row>
    <row r="124" spans="1:9" x14ac:dyDescent="0.2">
      <c r="A124" s="77"/>
      <c r="B124" s="77"/>
      <c r="C124" s="77"/>
      <c r="D124" s="77"/>
      <c r="E124" s="77"/>
      <c r="F124" s="77"/>
      <c r="G124" s="77"/>
      <c r="H124" s="77"/>
      <c r="I124" s="77"/>
    </row>
    <row r="125" spans="1:9" x14ac:dyDescent="0.2">
      <c r="A125" s="77"/>
      <c r="B125" s="77"/>
      <c r="C125" s="77"/>
      <c r="D125" s="77"/>
      <c r="E125" s="77"/>
      <c r="F125" s="77"/>
      <c r="G125" s="77"/>
      <c r="H125" s="77"/>
      <c r="I125" s="77"/>
    </row>
    <row r="126" spans="1:9" x14ac:dyDescent="0.2">
      <c r="A126" s="72"/>
      <c r="B126" s="72"/>
      <c r="C126" s="72"/>
      <c r="D126" s="72"/>
      <c r="E126" s="72"/>
      <c r="F126" s="72"/>
      <c r="G126" s="72"/>
      <c r="H126" s="53"/>
      <c r="I126" s="72"/>
    </row>
    <row r="127" spans="1:9" x14ac:dyDescent="0.2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 x14ac:dyDescent="0.2">
      <c r="A128" s="72"/>
      <c r="B128" s="72"/>
      <c r="C128" s="72"/>
      <c r="D128" s="72"/>
      <c r="E128" s="72"/>
      <c r="F128" s="72"/>
      <c r="G128" s="72"/>
      <c r="H128" s="72"/>
      <c r="I128" s="72"/>
    </row>
    <row r="129" spans="1:9" x14ac:dyDescent="0.2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 x14ac:dyDescent="0.2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 x14ac:dyDescent="0.2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 x14ac:dyDescent="0.2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 x14ac:dyDescent="0.2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 x14ac:dyDescent="0.2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 x14ac:dyDescent="0.2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 x14ac:dyDescent="0.2">
      <c r="A136" s="70"/>
      <c r="B136" s="71"/>
      <c r="C136" s="71"/>
      <c r="D136" s="71"/>
      <c r="E136" s="71"/>
      <c r="F136" s="71"/>
      <c r="G136" s="71"/>
      <c r="H136" s="71"/>
      <c r="I136" s="71"/>
    </row>
    <row r="137" spans="1:9" x14ac:dyDescent="0.2">
      <c r="A137" s="72"/>
      <c r="B137" s="72"/>
      <c r="C137" s="72"/>
      <c r="D137" s="72"/>
      <c r="E137" s="72"/>
      <c r="F137" s="72"/>
      <c r="G137" s="72"/>
      <c r="H137" s="72"/>
      <c r="I137" s="72"/>
    </row>
    <row r="138" spans="1:9" x14ac:dyDescent="0.2">
      <c r="A138" s="72"/>
      <c r="B138" s="72"/>
      <c r="C138" s="72"/>
      <c r="D138" s="72"/>
      <c r="E138" s="72"/>
      <c r="F138" s="72"/>
      <c r="G138" s="72"/>
      <c r="H138" s="72"/>
      <c r="I138" s="72"/>
    </row>
    <row r="139" spans="1:9" x14ac:dyDescent="0.2">
      <c r="A139" s="72"/>
      <c r="B139" s="72"/>
      <c r="C139" s="72"/>
      <c r="D139" s="72"/>
      <c r="E139" s="72"/>
      <c r="F139" s="72"/>
      <c r="G139" s="72"/>
      <c r="H139" s="72"/>
      <c r="I139" s="72"/>
    </row>
    <row r="140" spans="1:9" x14ac:dyDescent="0.2">
      <c r="A140" s="72"/>
      <c r="B140" s="72"/>
      <c r="C140" s="72"/>
      <c r="D140" s="72"/>
      <c r="E140" s="72"/>
      <c r="F140" s="72"/>
      <c r="G140" s="72"/>
      <c r="H140" s="72"/>
      <c r="I140" s="72"/>
    </row>
    <row r="141" spans="1:9" x14ac:dyDescent="0.2">
      <c r="A141" s="73"/>
      <c r="B141" s="73"/>
      <c r="C141" s="73"/>
      <c r="D141" s="73"/>
      <c r="E141" s="73"/>
      <c r="F141" s="73"/>
      <c r="G141" s="73"/>
      <c r="H141" s="73"/>
      <c r="I141" s="73"/>
    </row>
    <row r="142" spans="1:9" x14ac:dyDescent="0.2">
      <c r="A142" s="74"/>
      <c r="B142" s="75"/>
      <c r="C142" s="75"/>
      <c r="D142" s="75"/>
      <c r="E142" s="75"/>
      <c r="F142" s="75"/>
      <c r="G142" s="75"/>
      <c r="H142" s="75"/>
      <c r="I142" s="75"/>
    </row>
    <row r="143" spans="1:9" x14ac:dyDescent="0.2">
      <c r="A143" s="76"/>
      <c r="B143" s="75"/>
      <c r="C143" s="75"/>
      <c r="D143" s="75"/>
      <c r="E143" s="75"/>
      <c r="F143" s="75"/>
      <c r="G143" s="75"/>
      <c r="H143" s="75"/>
      <c r="I143" s="75"/>
    </row>
    <row r="144" spans="1:9" x14ac:dyDescent="0.2">
      <c r="A144" s="76"/>
      <c r="B144" s="76"/>
      <c r="C144" s="76"/>
      <c r="D144" s="76"/>
      <c r="E144" s="76"/>
      <c r="F144" s="76"/>
      <c r="G144" s="76"/>
      <c r="H144" s="76"/>
      <c r="I144" s="76"/>
    </row>
    <row r="145" spans="1:9" x14ac:dyDescent="0.2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 x14ac:dyDescent="0.2">
      <c r="A146" s="71"/>
      <c r="B146" s="71"/>
      <c r="C146" s="71"/>
      <c r="D146" s="71"/>
      <c r="E146" s="71"/>
      <c r="F146" s="71"/>
      <c r="G146" s="71"/>
      <c r="H146" s="71"/>
      <c r="I146" s="72"/>
    </row>
    <row r="147" spans="1:9" x14ac:dyDescent="0.2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 x14ac:dyDescent="0.2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 x14ac:dyDescent="0.2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 x14ac:dyDescent="0.2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 x14ac:dyDescent="0.2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 x14ac:dyDescent="0.2">
      <c r="A152" s="71"/>
      <c r="B152" s="71"/>
      <c r="C152" s="71"/>
      <c r="D152" s="71"/>
      <c r="E152" s="71"/>
      <c r="F152" s="71"/>
      <c r="G152" s="71"/>
      <c r="H152" s="71"/>
      <c r="I152" s="71"/>
    </row>
    <row r="153" spans="1:9" x14ac:dyDescent="0.2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 x14ac:dyDescent="0.2">
      <c r="A154" s="53"/>
      <c r="B154" s="53"/>
      <c r="C154" s="53"/>
      <c r="D154" s="53"/>
      <c r="E154" s="53"/>
      <c r="F154" s="53"/>
      <c r="G154" s="53"/>
      <c r="H154" s="53"/>
      <c r="I154" s="53"/>
    </row>
    <row r="155" spans="1:9" x14ac:dyDescent="0.2">
      <c r="A155" s="53"/>
      <c r="B155" s="53"/>
      <c r="C155" s="53"/>
      <c r="D155" s="53"/>
      <c r="E155" s="53"/>
      <c r="F155" s="53"/>
      <c r="G155" s="53"/>
      <c r="H155" s="53"/>
      <c r="I155" s="53"/>
    </row>
    <row r="156" spans="1:9" x14ac:dyDescent="0.2">
      <c r="A156" s="53"/>
      <c r="B156" s="53"/>
      <c r="C156" s="53"/>
      <c r="D156" s="53"/>
      <c r="E156" s="53"/>
      <c r="F156" s="53"/>
      <c r="G156" s="53"/>
      <c r="H156" s="53"/>
      <c r="I156" s="53"/>
    </row>
    <row r="157" spans="1:9" x14ac:dyDescent="0.2">
      <c r="A157" s="77"/>
      <c r="B157" s="77"/>
      <c r="C157" s="77"/>
      <c r="D157" s="77"/>
      <c r="E157" s="77"/>
      <c r="F157" s="77"/>
      <c r="G157" s="77"/>
      <c r="H157" s="77"/>
      <c r="I157" s="77"/>
    </row>
    <row r="158" spans="1:9" x14ac:dyDescent="0.2">
      <c r="A158" s="77"/>
      <c r="B158" s="77"/>
      <c r="C158" s="77"/>
      <c r="D158" s="77"/>
      <c r="E158" s="77"/>
      <c r="F158" s="77"/>
      <c r="G158" s="77"/>
      <c r="H158" s="77"/>
      <c r="I158" s="77"/>
    </row>
    <row r="159" spans="1:9" x14ac:dyDescent="0.2">
      <c r="A159" s="77"/>
      <c r="B159" s="77"/>
      <c r="C159" s="77"/>
      <c r="D159" s="77"/>
      <c r="E159" s="77"/>
      <c r="F159" s="77"/>
      <c r="G159" s="77"/>
      <c r="H159" s="77"/>
      <c r="I159" s="77"/>
    </row>
    <row r="160" spans="1:9" x14ac:dyDescent="0.2">
      <c r="A160" s="72"/>
      <c r="B160" s="72"/>
      <c r="C160" s="72"/>
      <c r="D160" s="72"/>
      <c r="E160" s="72"/>
      <c r="F160" s="72"/>
      <c r="G160" s="72"/>
      <c r="H160" s="53"/>
      <c r="I160" s="72"/>
    </row>
    <row r="161" spans="1:9" x14ac:dyDescent="0.2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 x14ac:dyDescent="0.2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 x14ac:dyDescent="0.2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 x14ac:dyDescent="0.2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 x14ac:dyDescent="0.2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 x14ac:dyDescent="0.2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 x14ac:dyDescent="0.2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 x14ac:dyDescent="0.2">
      <c r="A168" s="72"/>
      <c r="B168" s="72"/>
      <c r="C168" s="72"/>
      <c r="D168" s="72"/>
      <c r="E168" s="72"/>
      <c r="F168" s="72"/>
      <c r="G168" s="72"/>
      <c r="H168" s="72"/>
      <c r="I168" s="72"/>
    </row>
    <row r="169" spans="1:9" x14ac:dyDescent="0.2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 x14ac:dyDescent="0.2">
      <c r="A170" s="70"/>
      <c r="B170" s="71"/>
      <c r="C170" s="71"/>
      <c r="D170" s="71"/>
      <c r="E170" s="71"/>
      <c r="F170" s="71"/>
      <c r="G170" s="71"/>
      <c r="H170" s="71"/>
      <c r="I170" s="71"/>
    </row>
    <row r="171" spans="1:9" x14ac:dyDescent="0.2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 x14ac:dyDescent="0.2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 x14ac:dyDescent="0.2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 x14ac:dyDescent="0.2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 x14ac:dyDescent="0.2">
      <c r="A175" s="73"/>
      <c r="B175" s="73"/>
      <c r="C175" s="73"/>
      <c r="D175" s="73"/>
      <c r="E175" s="73"/>
      <c r="F175" s="73"/>
      <c r="G175" s="73"/>
      <c r="H175" s="73"/>
      <c r="I175" s="73"/>
    </row>
    <row r="176" spans="1:9" x14ac:dyDescent="0.2">
      <c r="A176" s="74"/>
      <c r="B176" s="75"/>
      <c r="C176" s="75"/>
      <c r="D176" s="75"/>
      <c r="E176" s="75"/>
      <c r="F176" s="75"/>
      <c r="G176" s="75"/>
      <c r="H176" s="75"/>
      <c r="I176" s="75"/>
    </row>
    <row r="177" spans="1:9" x14ac:dyDescent="0.2">
      <c r="A177" s="76"/>
      <c r="B177" s="75"/>
      <c r="C177" s="75"/>
      <c r="D177" s="75"/>
      <c r="E177" s="75"/>
      <c r="F177" s="75"/>
      <c r="G177" s="75"/>
      <c r="H177" s="75"/>
      <c r="I177" s="75"/>
    </row>
    <row r="178" spans="1:9" x14ac:dyDescent="0.2">
      <c r="A178" s="76"/>
      <c r="B178" s="76"/>
      <c r="C178" s="76"/>
      <c r="D178" s="76"/>
      <c r="E178" s="76"/>
      <c r="F178" s="76"/>
      <c r="G178" s="76"/>
      <c r="H178" s="76"/>
      <c r="I178" s="76"/>
    </row>
    <row r="179" spans="1:9" x14ac:dyDescent="0.2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ht="21" customHeight="1" x14ac:dyDescent="0.2">
      <c r="A180" s="71"/>
      <c r="B180" s="71"/>
      <c r="C180" s="71"/>
      <c r="D180" s="71"/>
      <c r="E180" s="71"/>
      <c r="F180" s="71"/>
      <c r="G180" s="71"/>
      <c r="H180" s="71"/>
      <c r="I180" s="72"/>
    </row>
    <row r="181" spans="1:9" x14ac:dyDescent="0.2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x14ac:dyDescent="0.2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 x14ac:dyDescent="0.2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 x14ac:dyDescent="0.2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 x14ac:dyDescent="0.2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 x14ac:dyDescent="0.2">
      <c r="A186" s="71"/>
      <c r="B186" s="71"/>
      <c r="C186" s="71"/>
      <c r="D186" s="71"/>
      <c r="E186" s="71"/>
      <c r="F186" s="71"/>
      <c r="G186" s="71"/>
      <c r="H186" s="71"/>
      <c r="I186" s="71"/>
    </row>
    <row r="187" spans="1:9" x14ac:dyDescent="0.2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 x14ac:dyDescent="0.2">
      <c r="A188" s="53"/>
      <c r="B188" s="53"/>
      <c r="C188" s="53"/>
      <c r="D188" s="53"/>
      <c r="E188" s="53"/>
      <c r="F188" s="53"/>
      <c r="G188" s="53"/>
      <c r="H188" s="53"/>
      <c r="I188" s="53"/>
    </row>
    <row r="189" spans="1:9" x14ac:dyDescent="0.2">
      <c r="A189" s="53"/>
      <c r="B189" s="53"/>
      <c r="C189" s="53"/>
      <c r="D189" s="53"/>
      <c r="E189" s="53"/>
      <c r="F189" s="53"/>
      <c r="G189" s="53"/>
      <c r="H189" s="53"/>
      <c r="I189" s="76"/>
    </row>
    <row r="190" spans="1:9" x14ac:dyDescent="0.2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 x14ac:dyDescent="0.2">
      <c r="A191" s="53"/>
      <c r="B191" s="53"/>
      <c r="C191" s="53"/>
      <c r="D191" s="53"/>
      <c r="E191" s="53"/>
      <c r="F191" s="53"/>
      <c r="G191" s="53"/>
      <c r="H191" s="53"/>
      <c r="I191" s="53"/>
    </row>
    <row r="192" spans="1:9" x14ac:dyDescent="0.2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 x14ac:dyDescent="0.2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 x14ac:dyDescent="0.2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 x14ac:dyDescent="0.2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 x14ac:dyDescent="0.2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 x14ac:dyDescent="0.2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 x14ac:dyDescent="0.2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 x14ac:dyDescent="0.2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 x14ac:dyDescent="0.2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 x14ac:dyDescent="0.2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 x14ac:dyDescent="0.2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 x14ac:dyDescent="0.2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 x14ac:dyDescent="0.2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x14ac:dyDescent="0.2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 x14ac:dyDescent="0.2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x14ac:dyDescent="0.2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x14ac:dyDescent="0.2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x14ac:dyDescent="0.2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x14ac:dyDescent="0.2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x14ac:dyDescent="0.2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x14ac:dyDescent="0.2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x14ac:dyDescent="0.2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x14ac:dyDescent="0.2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x14ac:dyDescent="0.2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x14ac:dyDescent="0.2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x14ac:dyDescent="0.2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x14ac:dyDescent="0.2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x14ac:dyDescent="0.2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x14ac:dyDescent="0.2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 x14ac:dyDescent="0.2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 x14ac:dyDescent="0.2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 x14ac:dyDescent="0.2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 x14ac:dyDescent="0.2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 x14ac:dyDescent="0.2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 x14ac:dyDescent="0.2">
      <c r="A226" s="53"/>
      <c r="B226" s="53"/>
      <c r="C226" s="53"/>
      <c r="D226" s="53"/>
      <c r="E226" s="53"/>
      <c r="F226" s="53"/>
      <c r="G226" s="53"/>
      <c r="H226" s="53"/>
      <c r="I226" s="53"/>
    </row>
  </sheetData>
  <mergeCells count="6">
    <mergeCell ref="A12:F12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M209"/>
  <sheetViews>
    <sheetView view="pageLayout" zoomScale="85" zoomScaleNormal="110" zoomScalePageLayoutView="85" workbookViewId="0">
      <selection activeCell="H17" sqref="H17"/>
    </sheetView>
  </sheetViews>
  <sheetFormatPr defaultRowHeight="13.2" x14ac:dyDescent="0.25"/>
  <cols>
    <col min="1" max="1" width="4" customWidth="1"/>
    <col min="2" max="2" width="13" customWidth="1"/>
    <col min="3" max="3" width="19.88671875" bestFit="1" customWidth="1"/>
    <col min="4" max="4" width="14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5.33203125" bestFit="1" customWidth="1"/>
    <col min="11" max="11" width="17.6640625" bestFit="1" customWidth="1"/>
    <col min="12" max="12" width="11.33203125" style="1" bestFit="1" customWidth="1"/>
  </cols>
  <sheetData>
    <row r="1" spans="1:13" s="1" customFormat="1" ht="15.6" x14ac:dyDescent="0.3">
      <c r="A1"/>
      <c r="B1" s="5" t="s">
        <v>74</v>
      </c>
      <c r="C1" s="2"/>
      <c r="D1" s="31"/>
      <c r="E1" s="2"/>
      <c r="F1" s="2"/>
      <c r="G1" s="2"/>
      <c r="H1" s="2"/>
      <c r="I1" s="2"/>
      <c r="J1" s="2"/>
      <c r="K1" s="2"/>
    </row>
    <row r="2" spans="1:13" s="1" customFormat="1" ht="17.399999999999999" x14ac:dyDescent="0.3">
      <c r="A2"/>
      <c r="B2" s="153" t="s">
        <v>14</v>
      </c>
      <c r="C2" s="153"/>
      <c r="D2" s="153"/>
      <c r="E2" s="153"/>
      <c r="F2" s="153"/>
      <c r="G2" s="153"/>
      <c r="H2" s="153"/>
      <c r="I2" s="153"/>
      <c r="J2" s="153"/>
      <c r="K2" s="153"/>
    </row>
    <row r="3" spans="1:13" s="1" customFormat="1" ht="13.8" x14ac:dyDescent="0.25">
      <c r="A3"/>
      <c r="B3" s="33" t="s">
        <v>15</v>
      </c>
      <c r="C3" s="34" t="s">
        <v>16</v>
      </c>
      <c r="D3" s="52">
        <f ca="1">NOW()</f>
        <v>41967.663497337962</v>
      </c>
      <c r="E3" s="35"/>
      <c r="F3" s="35"/>
      <c r="G3" s="35"/>
      <c r="H3" s="35"/>
      <c r="I3" s="35"/>
      <c r="J3" s="35"/>
      <c r="K3" s="35"/>
    </row>
    <row r="4" spans="1:13" s="1" customFormat="1" ht="13.8" x14ac:dyDescent="0.25">
      <c r="A4"/>
      <c r="B4" s="33" t="s">
        <v>17</v>
      </c>
      <c r="C4" s="34" t="s">
        <v>16</v>
      </c>
      <c r="D4" s="36">
        <v>41913</v>
      </c>
      <c r="E4" s="35"/>
      <c r="F4" s="35"/>
      <c r="G4" s="35"/>
      <c r="H4" s="35"/>
      <c r="I4" s="35"/>
      <c r="J4" s="35"/>
      <c r="K4" s="35"/>
    </row>
    <row r="5" spans="1:13" s="1" customFormat="1" ht="13.8" x14ac:dyDescent="0.25">
      <c r="A5"/>
      <c r="B5" s="33" t="s">
        <v>18</v>
      </c>
      <c r="C5" s="34" t="s">
        <v>16</v>
      </c>
      <c r="D5" s="33" t="s">
        <v>75</v>
      </c>
      <c r="E5" s="35"/>
      <c r="F5" s="35"/>
      <c r="G5" s="35"/>
      <c r="H5" s="35"/>
      <c r="I5" s="35"/>
      <c r="J5" s="35"/>
      <c r="K5" s="35"/>
    </row>
    <row r="6" spans="1:13" s="1" customFormat="1" ht="13.8" x14ac:dyDescent="0.25">
      <c r="A6"/>
      <c r="B6" s="33" t="s">
        <v>19</v>
      </c>
      <c r="C6" s="34" t="s">
        <v>16</v>
      </c>
      <c r="D6" s="33" t="s">
        <v>71</v>
      </c>
      <c r="E6" s="35"/>
      <c r="F6" s="35"/>
      <c r="G6" s="35"/>
      <c r="H6" s="35"/>
      <c r="I6" s="35"/>
      <c r="J6" s="35"/>
      <c r="K6" s="35"/>
    </row>
    <row r="7" spans="1:13" s="1" customFormat="1" ht="13.8" x14ac:dyDescent="0.25">
      <c r="A7"/>
      <c r="B7" s="33" t="s">
        <v>20</v>
      </c>
      <c r="C7" s="34" t="s">
        <v>16</v>
      </c>
      <c r="D7" s="192" t="s">
        <v>132</v>
      </c>
      <c r="E7" s="35"/>
      <c r="F7" s="35"/>
      <c r="G7" s="35"/>
      <c r="H7" s="35"/>
      <c r="I7" s="35"/>
      <c r="J7" s="35"/>
      <c r="K7" s="35"/>
    </row>
    <row r="8" spans="1:13" s="1" customFormat="1" x14ac:dyDescent="0.25">
      <c r="A8"/>
      <c r="B8" s="89" t="s">
        <v>21</v>
      </c>
      <c r="C8" s="42"/>
      <c r="D8" s="40" t="s">
        <v>22</v>
      </c>
      <c r="E8" s="40" t="s">
        <v>23</v>
      </c>
      <c r="F8" s="40" t="s">
        <v>24</v>
      </c>
      <c r="G8" s="40" t="s">
        <v>24</v>
      </c>
      <c r="H8" s="40" t="s">
        <v>24</v>
      </c>
      <c r="I8" s="40" t="s">
        <v>25</v>
      </c>
      <c r="J8" s="155" t="s">
        <v>26</v>
      </c>
      <c r="K8" s="155"/>
    </row>
    <row r="9" spans="1:13" s="1" customFormat="1" x14ac:dyDescent="0.25">
      <c r="A9"/>
      <c r="B9" s="43" t="s">
        <v>27</v>
      </c>
      <c r="C9" s="43" t="s">
        <v>28</v>
      </c>
      <c r="D9" s="43"/>
      <c r="E9" s="43" t="s">
        <v>29</v>
      </c>
      <c r="F9" s="43" t="s">
        <v>30</v>
      </c>
      <c r="G9" s="43" t="s">
        <v>31</v>
      </c>
      <c r="H9" s="43" t="s">
        <v>32</v>
      </c>
      <c r="I9" s="44"/>
      <c r="J9" s="43" t="s">
        <v>33</v>
      </c>
      <c r="K9" s="43" t="s">
        <v>34</v>
      </c>
    </row>
    <row r="10" spans="1:13" s="1" customFormat="1" ht="9.75" customHeight="1" x14ac:dyDescent="0.25">
      <c r="A10"/>
      <c r="B10" s="184" t="s">
        <v>123</v>
      </c>
      <c r="C10" s="185" t="s">
        <v>120</v>
      </c>
      <c r="D10" s="186">
        <v>32.75</v>
      </c>
      <c r="E10" s="134">
        <v>0.21941280952878489</v>
      </c>
      <c r="F10" s="187">
        <v>379466</v>
      </c>
      <c r="G10" s="80"/>
      <c r="H10" s="190">
        <v>51857</v>
      </c>
      <c r="I10" s="188" t="s">
        <v>121</v>
      </c>
      <c r="J10" s="126">
        <v>33703904.493799999</v>
      </c>
      <c r="K10" s="87">
        <v>5232301373.3136292</v>
      </c>
      <c r="L10" s="97"/>
    </row>
    <row r="11" spans="1:13" s="1" customFormat="1" ht="9.75" customHeight="1" x14ac:dyDescent="0.25">
      <c r="A11"/>
      <c r="B11" s="183">
        <v>41861</v>
      </c>
      <c r="C11" s="185" t="s">
        <v>124</v>
      </c>
      <c r="D11" s="186">
        <v>34.42</v>
      </c>
      <c r="E11" s="134">
        <v>0.22012239123146943</v>
      </c>
      <c r="F11" s="187">
        <v>62621</v>
      </c>
      <c r="G11" s="80"/>
      <c r="H11" s="190">
        <v>8578</v>
      </c>
      <c r="I11" s="188" t="s">
        <v>125</v>
      </c>
      <c r="J11" s="126">
        <v>5561953.3853000002</v>
      </c>
      <c r="K11" s="87">
        <v>863455340.65837979</v>
      </c>
      <c r="L11" s="97"/>
    </row>
    <row r="12" spans="1:13" s="1" customFormat="1" ht="9.75" customHeight="1" x14ac:dyDescent="0.25">
      <c r="A12"/>
      <c r="B12" s="183">
        <v>41861</v>
      </c>
      <c r="C12" s="185" t="s">
        <v>124</v>
      </c>
      <c r="D12" s="186">
        <v>34.42</v>
      </c>
      <c r="E12" s="134">
        <v>0.35113409496671155</v>
      </c>
      <c r="F12" s="187">
        <v>30083</v>
      </c>
      <c r="G12" s="80"/>
      <c r="H12" s="190">
        <v>4121</v>
      </c>
      <c r="I12" s="188" t="s">
        <v>125</v>
      </c>
      <c r="J12" s="126">
        <v>2671951.0019</v>
      </c>
      <c r="K12" s="87">
        <v>414802175.19723481</v>
      </c>
      <c r="L12" s="97"/>
    </row>
    <row r="13" spans="1:13" s="1" customFormat="1" ht="9.75" customHeight="1" x14ac:dyDescent="0.25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  <c r="M13" s="97">
        <v>155.249</v>
      </c>
    </row>
    <row r="14" spans="1:13" s="1" customFormat="1" ht="9.75" customHeight="1" x14ac:dyDescent="0.25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  <c r="M14" s="97"/>
    </row>
    <row r="15" spans="1:13" s="1" customFormat="1" ht="9.75" customHeight="1" x14ac:dyDescent="0.25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  <c r="M15" s="97"/>
    </row>
    <row r="16" spans="1:13" s="1" customFormat="1" ht="9.75" customHeight="1" x14ac:dyDescent="0.25">
      <c r="A16"/>
      <c r="B16" s="79"/>
      <c r="C16" s="78"/>
      <c r="D16" s="94"/>
      <c r="E16" s="95"/>
      <c r="F16" s="96"/>
      <c r="G16" s="80"/>
      <c r="H16" s="90"/>
      <c r="I16" s="78"/>
      <c r="J16" s="87"/>
      <c r="K16" s="87"/>
      <c r="L16" s="97"/>
      <c r="M16" s="97"/>
    </row>
    <row r="17" spans="1:12" ht="9.75" customHeight="1" x14ac:dyDescent="0.25">
      <c r="B17" s="79"/>
      <c r="C17" s="78"/>
      <c r="D17" s="94"/>
      <c r="E17" s="95"/>
      <c r="F17" s="96"/>
      <c r="G17" s="80"/>
      <c r="H17" s="90"/>
      <c r="I17" s="78"/>
      <c r="J17" s="87"/>
      <c r="K17" s="87"/>
      <c r="L17" s="97"/>
    </row>
    <row r="18" spans="1:12" ht="9.75" customHeight="1" x14ac:dyDescent="0.25">
      <c r="B18" s="79"/>
      <c r="C18" s="78"/>
      <c r="D18" s="94"/>
      <c r="E18" s="95"/>
      <c r="F18" s="96"/>
      <c r="G18" s="80"/>
      <c r="H18" s="90"/>
      <c r="I18" s="78"/>
      <c r="J18" s="87"/>
      <c r="K18" s="87"/>
      <c r="L18" s="97"/>
    </row>
    <row r="19" spans="1:12" ht="9.75" customHeight="1" x14ac:dyDescent="0.25">
      <c r="B19" s="79"/>
      <c r="C19" s="78"/>
      <c r="D19" s="94"/>
      <c r="E19" s="95"/>
      <c r="F19" s="96"/>
      <c r="G19" s="80"/>
      <c r="H19" s="90"/>
      <c r="I19" s="78"/>
      <c r="J19" s="87"/>
      <c r="K19" s="87"/>
      <c r="L19" s="97"/>
    </row>
    <row r="20" spans="1:12" s="1" customFormat="1" x14ac:dyDescent="0.25">
      <c r="A20" s="21"/>
      <c r="B20" s="82" t="s">
        <v>35</v>
      </c>
      <c r="C20" s="83"/>
      <c r="D20" s="83"/>
      <c r="E20" s="84"/>
      <c r="F20" s="85"/>
      <c r="G20" s="85"/>
      <c r="H20" s="85"/>
      <c r="I20" s="85"/>
      <c r="J20" s="99">
        <f>SUM(J10:J19)</f>
        <v>41937808.881000005</v>
      </c>
      <c r="K20" s="99">
        <f>SUM(K10:K19)</f>
        <v>6510558889.1692438</v>
      </c>
    </row>
    <row r="21" spans="1:12" ht="15.6" x14ac:dyDescent="0.3">
      <c r="B21" s="19"/>
      <c r="C21" s="19"/>
      <c r="D21" s="19"/>
      <c r="E21" s="19"/>
      <c r="F21" s="19"/>
      <c r="G21" s="19"/>
    </row>
    <row r="22" spans="1:12" ht="15.6" x14ac:dyDescent="0.3">
      <c r="B22" s="19"/>
      <c r="C22" s="19"/>
      <c r="D22" s="19"/>
      <c r="E22" s="19"/>
      <c r="F22" s="19"/>
      <c r="G22" s="19"/>
    </row>
    <row r="23" spans="1:12" ht="15.6" x14ac:dyDescent="0.3">
      <c r="B23" s="19"/>
      <c r="C23" s="19"/>
      <c r="D23" s="19"/>
      <c r="E23" s="19"/>
      <c r="F23" s="19"/>
      <c r="G23" s="19"/>
    </row>
    <row r="24" spans="1:12" ht="15.6" x14ac:dyDescent="0.3">
      <c r="B24" s="19"/>
      <c r="C24" s="19"/>
      <c r="D24" s="19"/>
      <c r="E24" s="19"/>
      <c r="F24" s="19"/>
      <c r="G24" s="19"/>
    </row>
    <row r="25" spans="1:12" ht="15.6" x14ac:dyDescent="0.3">
      <c r="B25" s="19"/>
      <c r="C25" s="19"/>
      <c r="D25" s="19"/>
      <c r="E25" s="19"/>
      <c r="F25" s="19"/>
      <c r="G25" s="19"/>
    </row>
    <row r="26" spans="1:12" ht="15.6" x14ac:dyDescent="0.3">
      <c r="B26" s="19"/>
      <c r="C26" s="19"/>
      <c r="D26" s="19"/>
      <c r="E26" s="19"/>
      <c r="F26" s="19"/>
      <c r="G26" s="19"/>
    </row>
    <row r="27" spans="1:12" ht="15.6" x14ac:dyDescent="0.3">
      <c r="B27" s="19"/>
      <c r="C27" s="19"/>
      <c r="D27" s="19"/>
      <c r="E27" s="19"/>
      <c r="F27" s="19"/>
      <c r="G27" s="19"/>
    </row>
    <row r="28" spans="1:12" ht="15.6" x14ac:dyDescent="0.3">
      <c r="B28" s="19"/>
      <c r="C28" s="19"/>
      <c r="D28" s="19"/>
      <c r="E28" s="19"/>
      <c r="F28" s="19"/>
      <c r="G28" s="19"/>
    </row>
    <row r="29" spans="1:12" ht="15.6" x14ac:dyDescent="0.3">
      <c r="B29" s="19"/>
      <c r="C29" s="19"/>
      <c r="D29" s="19"/>
      <c r="E29" s="19"/>
      <c r="F29" s="19"/>
      <c r="G29" s="19"/>
    </row>
    <row r="30" spans="1:12" ht="15.6" x14ac:dyDescent="0.3">
      <c r="B30" s="22"/>
      <c r="C30" s="7"/>
      <c r="D30" s="7"/>
      <c r="E30" s="7"/>
      <c r="F30" s="7"/>
      <c r="G30" s="7"/>
    </row>
    <row r="31" spans="1:12" ht="15.6" x14ac:dyDescent="0.3">
      <c r="B31" s="19"/>
      <c r="C31" s="19"/>
      <c r="D31" s="19"/>
      <c r="E31" s="19"/>
      <c r="F31" s="19"/>
      <c r="G31" s="19"/>
    </row>
    <row r="32" spans="1:12" ht="15.6" x14ac:dyDescent="0.3">
      <c r="B32" s="19"/>
      <c r="C32" s="19"/>
      <c r="D32" s="19"/>
      <c r="E32" s="19"/>
      <c r="F32" s="19"/>
      <c r="G32" s="19"/>
    </row>
    <row r="33" spans="2:7" ht="15.6" x14ac:dyDescent="0.3">
      <c r="B33" s="19"/>
      <c r="C33" s="19"/>
      <c r="D33" s="19"/>
      <c r="E33" s="19"/>
      <c r="F33" s="19"/>
      <c r="G33" s="19"/>
    </row>
    <row r="34" spans="2:7" ht="15.6" x14ac:dyDescent="0.3">
      <c r="B34" s="19"/>
      <c r="C34" s="19"/>
      <c r="D34" s="19"/>
      <c r="E34" s="19"/>
      <c r="F34" s="19"/>
      <c r="G34" s="19"/>
    </row>
    <row r="35" spans="2:7" x14ac:dyDescent="0.25">
      <c r="B35" s="23"/>
      <c r="C35" s="23"/>
      <c r="D35" s="23"/>
      <c r="E35" s="23"/>
      <c r="F35" s="23"/>
      <c r="G35" s="23"/>
    </row>
    <row r="36" spans="2:7" x14ac:dyDescent="0.25">
      <c r="B36" s="24"/>
      <c r="C36" s="25"/>
      <c r="D36" s="25"/>
      <c r="E36" s="25"/>
      <c r="F36" s="25"/>
      <c r="G36" s="25"/>
    </row>
    <row r="37" spans="2:7" x14ac:dyDescent="0.25">
      <c r="B37" s="26"/>
      <c r="C37" s="25"/>
      <c r="D37" s="25"/>
      <c r="E37" s="25"/>
      <c r="F37" s="25"/>
      <c r="G37" s="25"/>
    </row>
    <row r="38" spans="2:7" x14ac:dyDescent="0.25">
      <c r="B38" s="26"/>
      <c r="C38" s="26"/>
      <c r="D38" s="26"/>
      <c r="E38" s="26"/>
      <c r="F38" s="26"/>
      <c r="G38" s="26"/>
    </row>
    <row r="39" spans="2:7" ht="15.6" x14ac:dyDescent="0.3">
      <c r="B39" s="19"/>
      <c r="C39" s="19"/>
      <c r="D39" s="19"/>
      <c r="E39" s="19"/>
      <c r="F39" s="19"/>
      <c r="G39" s="19"/>
    </row>
    <row r="40" spans="2:7" ht="15.6" x14ac:dyDescent="0.3">
      <c r="B40" s="7"/>
      <c r="C40" s="7"/>
      <c r="D40" s="7"/>
      <c r="E40" s="7"/>
      <c r="F40" s="7"/>
      <c r="G40" s="19"/>
    </row>
    <row r="41" spans="2:7" ht="15.6" x14ac:dyDescent="0.3">
      <c r="B41" s="19"/>
      <c r="C41" s="19"/>
      <c r="D41" s="19"/>
      <c r="E41" s="19"/>
      <c r="F41" s="19"/>
      <c r="G41" s="19"/>
    </row>
    <row r="42" spans="2:7" ht="15.6" x14ac:dyDescent="0.3">
      <c r="B42" s="19"/>
      <c r="C42" s="19"/>
      <c r="D42" s="19"/>
      <c r="E42" s="19"/>
      <c r="F42" s="19"/>
      <c r="G42" s="19"/>
    </row>
    <row r="43" spans="2:7" ht="15.6" x14ac:dyDescent="0.3">
      <c r="B43" s="19"/>
      <c r="C43" s="19"/>
      <c r="D43" s="19"/>
      <c r="E43" s="19"/>
      <c r="F43" s="19"/>
      <c r="G43" s="19"/>
    </row>
    <row r="44" spans="2:7" ht="15.6" x14ac:dyDescent="0.3">
      <c r="B44" s="19"/>
      <c r="C44" s="19"/>
      <c r="D44" s="19"/>
      <c r="E44" s="19"/>
      <c r="F44" s="19"/>
      <c r="G44" s="19"/>
    </row>
    <row r="45" spans="2:7" ht="15.6" x14ac:dyDescent="0.3">
      <c r="B45" s="19"/>
      <c r="C45" s="19"/>
      <c r="D45" s="19"/>
      <c r="E45" s="19"/>
      <c r="F45" s="19"/>
      <c r="G45" s="19"/>
    </row>
    <row r="46" spans="2:7" ht="15.6" x14ac:dyDescent="0.3">
      <c r="B46" s="7"/>
      <c r="C46" s="7"/>
      <c r="D46" s="7"/>
      <c r="E46" s="7"/>
      <c r="F46" s="7"/>
      <c r="G46" s="7"/>
    </row>
    <row r="47" spans="2:7" ht="15.6" x14ac:dyDescent="0.3">
      <c r="B47" s="19"/>
      <c r="C47" s="19"/>
      <c r="D47" s="19"/>
      <c r="E47" s="19"/>
      <c r="F47" s="19"/>
      <c r="G47" s="19"/>
    </row>
    <row r="48" spans="2:7" ht="15.6" x14ac:dyDescent="0.3">
      <c r="B48" s="19"/>
      <c r="C48" s="19"/>
      <c r="D48" s="19"/>
      <c r="E48" s="19"/>
      <c r="F48" s="19"/>
      <c r="G48" s="19"/>
    </row>
    <row r="49" spans="2:7" ht="15.6" x14ac:dyDescent="0.3">
      <c r="B49" s="19"/>
      <c r="C49" s="19"/>
      <c r="D49" s="19"/>
      <c r="E49" s="19"/>
      <c r="F49" s="19"/>
      <c r="G49" s="19"/>
    </row>
    <row r="50" spans="2:7" ht="15.6" x14ac:dyDescent="0.3">
      <c r="B50" s="19"/>
      <c r="C50" s="19"/>
      <c r="D50" s="19"/>
      <c r="E50" s="19"/>
      <c r="F50" s="19"/>
      <c r="G50" s="19"/>
    </row>
    <row r="51" spans="2:7" ht="15.6" x14ac:dyDescent="0.3">
      <c r="B51" s="19"/>
      <c r="C51" s="19"/>
      <c r="D51" s="19"/>
      <c r="E51" s="19"/>
      <c r="F51" s="19"/>
      <c r="G51" s="19"/>
    </row>
    <row r="52" spans="2:7" ht="15.6" x14ac:dyDescent="0.3">
      <c r="B52" s="19"/>
      <c r="C52" s="19"/>
      <c r="D52" s="19"/>
      <c r="E52" s="19"/>
      <c r="F52" s="19"/>
      <c r="G52" s="19"/>
    </row>
    <row r="53" spans="2:7" ht="15.6" x14ac:dyDescent="0.3">
      <c r="B53" s="19"/>
      <c r="C53" s="19"/>
      <c r="D53" s="19"/>
      <c r="E53" s="19"/>
      <c r="F53" s="19"/>
      <c r="G53" s="19"/>
    </row>
    <row r="54" spans="2:7" ht="15.6" x14ac:dyDescent="0.3">
      <c r="B54" s="19"/>
      <c r="C54" s="19"/>
      <c r="D54" s="19"/>
      <c r="E54" s="19"/>
      <c r="F54" s="19"/>
      <c r="G54" s="19"/>
    </row>
    <row r="55" spans="2:7" ht="15.6" x14ac:dyDescent="0.3">
      <c r="B55" s="19"/>
      <c r="C55" s="19"/>
      <c r="D55" s="19"/>
      <c r="E55" s="19"/>
      <c r="F55" s="19"/>
      <c r="G55" s="19"/>
    </row>
    <row r="56" spans="2:7" ht="15.6" x14ac:dyDescent="0.3">
      <c r="B56" s="19"/>
      <c r="C56" s="19"/>
      <c r="D56" s="19"/>
      <c r="E56" s="19"/>
      <c r="F56" s="19"/>
      <c r="G56" s="19"/>
    </row>
    <row r="57" spans="2:7" ht="15.6" x14ac:dyDescent="0.3">
      <c r="B57" s="19"/>
      <c r="C57" s="19"/>
      <c r="D57" s="19"/>
      <c r="E57" s="19"/>
      <c r="F57" s="19"/>
      <c r="G57" s="19"/>
    </row>
    <row r="58" spans="2:7" ht="13.8" x14ac:dyDescent="0.25">
      <c r="B58" s="27"/>
      <c r="C58" s="27"/>
      <c r="D58" s="27"/>
      <c r="E58" s="27"/>
      <c r="F58" s="27"/>
      <c r="G58" s="27"/>
    </row>
    <row r="59" spans="2:7" x14ac:dyDescent="0.25">
      <c r="B59" s="21"/>
      <c r="C59" s="21"/>
      <c r="D59" s="21"/>
      <c r="E59" s="21"/>
      <c r="F59" s="21"/>
      <c r="G59" s="21"/>
    </row>
    <row r="60" spans="2:7" x14ac:dyDescent="0.25">
      <c r="B60" s="21"/>
      <c r="C60" s="21"/>
      <c r="D60" s="21"/>
      <c r="E60" s="21"/>
      <c r="F60" s="21"/>
      <c r="G60" s="21"/>
    </row>
    <row r="61" spans="2:7" x14ac:dyDescent="0.25">
      <c r="B61" s="21"/>
      <c r="C61" s="21"/>
      <c r="D61" s="21"/>
      <c r="E61" s="21"/>
      <c r="F61" s="21"/>
      <c r="G61" s="21"/>
    </row>
    <row r="62" spans="2:7" x14ac:dyDescent="0.25">
      <c r="B62" s="21"/>
      <c r="C62" s="21"/>
      <c r="D62" s="21"/>
      <c r="E62" s="21"/>
      <c r="F62" s="21"/>
      <c r="G62" s="21"/>
    </row>
    <row r="63" spans="2:7" x14ac:dyDescent="0.25">
      <c r="B63" s="21"/>
      <c r="C63" s="21"/>
      <c r="D63" s="21"/>
      <c r="E63" s="21"/>
      <c r="F63" s="21"/>
      <c r="G63" s="21"/>
    </row>
    <row r="64" spans="2:7" x14ac:dyDescent="0.25">
      <c r="B64" s="21"/>
      <c r="C64" s="21"/>
      <c r="D64" s="21"/>
      <c r="E64" s="21"/>
      <c r="F64" s="21"/>
      <c r="G64" s="21"/>
    </row>
    <row r="65" spans="2:7" x14ac:dyDescent="0.25">
      <c r="B65" s="21"/>
      <c r="C65" s="21"/>
      <c r="D65" s="21"/>
      <c r="E65" s="21"/>
      <c r="F65" s="21"/>
      <c r="G65" s="21"/>
    </row>
    <row r="66" spans="2:7" ht="15.6" x14ac:dyDescent="0.35">
      <c r="B66" s="18"/>
      <c r="C66" s="18"/>
      <c r="D66" s="18"/>
      <c r="E66" s="18"/>
      <c r="F66" s="18"/>
      <c r="G66" s="18"/>
    </row>
    <row r="67" spans="2:7" ht="15.6" x14ac:dyDescent="0.35">
      <c r="B67" s="18"/>
      <c r="C67" s="18"/>
      <c r="D67" s="18"/>
      <c r="E67" s="18"/>
      <c r="F67" s="18"/>
      <c r="G67" s="18"/>
    </row>
    <row r="68" spans="2:7" ht="15.6" x14ac:dyDescent="0.35">
      <c r="B68" s="18"/>
      <c r="C68" s="18"/>
      <c r="D68" s="18"/>
      <c r="E68" s="18"/>
      <c r="F68" s="18"/>
      <c r="G68" s="18"/>
    </row>
    <row r="69" spans="2:7" ht="15.6" x14ac:dyDescent="0.3">
      <c r="B69" s="19"/>
      <c r="C69" s="19"/>
      <c r="D69" s="19"/>
      <c r="E69" s="19"/>
      <c r="F69" s="20"/>
      <c r="G69" s="19"/>
    </row>
    <row r="70" spans="2:7" ht="15.6" x14ac:dyDescent="0.3">
      <c r="B70" s="19"/>
      <c r="C70" s="19"/>
      <c r="D70" s="19"/>
      <c r="E70" s="19"/>
      <c r="F70" s="19"/>
      <c r="G70" s="19"/>
    </row>
    <row r="71" spans="2:7" ht="15.6" x14ac:dyDescent="0.3">
      <c r="B71" s="19"/>
      <c r="C71" s="19"/>
      <c r="D71" s="19"/>
      <c r="E71" s="19"/>
      <c r="F71" s="19"/>
      <c r="G71" s="19"/>
    </row>
    <row r="72" spans="2:7" ht="15.6" x14ac:dyDescent="0.3">
      <c r="B72" s="19"/>
      <c r="C72" s="19"/>
      <c r="D72" s="19"/>
      <c r="E72" s="19"/>
      <c r="F72" s="19"/>
      <c r="G72" s="19"/>
    </row>
    <row r="73" spans="2:7" ht="15.6" x14ac:dyDescent="0.3">
      <c r="B73" s="19"/>
      <c r="C73" s="19"/>
      <c r="D73" s="19"/>
      <c r="E73" s="19"/>
      <c r="F73" s="19"/>
      <c r="G73" s="19"/>
    </row>
    <row r="74" spans="2:7" ht="15.6" x14ac:dyDescent="0.3">
      <c r="B74" s="19"/>
      <c r="C74" s="19"/>
      <c r="D74" s="19"/>
      <c r="E74" s="19"/>
      <c r="F74" s="19"/>
      <c r="G74" s="19"/>
    </row>
    <row r="75" spans="2:7" ht="15.6" x14ac:dyDescent="0.3">
      <c r="B75" s="19"/>
      <c r="C75" s="19"/>
      <c r="D75" s="19"/>
      <c r="E75" s="19"/>
      <c r="F75" s="19"/>
      <c r="G75" s="19"/>
    </row>
    <row r="76" spans="2:7" ht="15.6" x14ac:dyDescent="0.3">
      <c r="B76" s="19"/>
      <c r="C76" s="19"/>
      <c r="D76" s="19"/>
      <c r="E76" s="19"/>
      <c r="F76" s="19"/>
      <c r="G76" s="19"/>
    </row>
    <row r="77" spans="2:7" ht="15.6" x14ac:dyDescent="0.3">
      <c r="B77" s="19"/>
      <c r="C77" s="19"/>
      <c r="D77" s="19"/>
      <c r="E77" s="19"/>
      <c r="F77" s="19"/>
      <c r="G77" s="19"/>
    </row>
    <row r="78" spans="2:7" ht="15.6" x14ac:dyDescent="0.3">
      <c r="B78" s="19"/>
      <c r="C78" s="19"/>
      <c r="D78" s="19"/>
      <c r="E78" s="19"/>
      <c r="F78" s="19"/>
      <c r="G78" s="19"/>
    </row>
    <row r="79" spans="2:7" ht="15.6" x14ac:dyDescent="0.3">
      <c r="B79" s="22"/>
      <c r="C79" s="7"/>
      <c r="D79" s="7"/>
      <c r="E79" s="7"/>
      <c r="F79" s="7"/>
      <c r="G79" s="7"/>
    </row>
    <row r="80" spans="2:7" ht="15.6" x14ac:dyDescent="0.3">
      <c r="B80" s="19"/>
      <c r="C80" s="19"/>
      <c r="D80" s="19"/>
      <c r="E80" s="19"/>
      <c r="F80" s="19"/>
      <c r="G80" s="19"/>
    </row>
    <row r="81" spans="2:7" ht="15.6" x14ac:dyDescent="0.3">
      <c r="B81" s="19"/>
      <c r="C81" s="19"/>
      <c r="D81" s="19"/>
      <c r="E81" s="19"/>
      <c r="F81" s="19"/>
      <c r="G81" s="19"/>
    </row>
    <row r="82" spans="2:7" ht="15.6" x14ac:dyDescent="0.3">
      <c r="B82" s="19"/>
      <c r="C82" s="19"/>
      <c r="D82" s="19"/>
      <c r="E82" s="19"/>
      <c r="F82" s="19"/>
      <c r="G82" s="19"/>
    </row>
    <row r="83" spans="2:7" ht="15.6" x14ac:dyDescent="0.3">
      <c r="B83" s="19"/>
      <c r="C83" s="19"/>
      <c r="D83" s="19"/>
      <c r="E83" s="19"/>
      <c r="F83" s="19"/>
      <c r="G83" s="19"/>
    </row>
    <row r="84" spans="2:7" x14ac:dyDescent="0.25">
      <c r="B84" s="23"/>
      <c r="C84" s="23"/>
      <c r="D84" s="23"/>
      <c r="E84" s="23"/>
      <c r="F84" s="23"/>
      <c r="G84" s="23"/>
    </row>
    <row r="85" spans="2:7" x14ac:dyDescent="0.25">
      <c r="B85" s="24"/>
      <c r="C85" s="25"/>
      <c r="D85" s="25"/>
      <c r="E85" s="25"/>
      <c r="F85" s="25"/>
      <c r="G85" s="25"/>
    </row>
    <row r="86" spans="2:7" x14ac:dyDescent="0.25">
      <c r="B86" s="26"/>
      <c r="C86" s="25"/>
      <c r="D86" s="25"/>
      <c r="E86" s="25"/>
      <c r="F86" s="25"/>
      <c r="G86" s="25"/>
    </row>
    <row r="87" spans="2:7" x14ac:dyDescent="0.25">
      <c r="B87" s="26"/>
      <c r="C87" s="26"/>
      <c r="D87" s="26"/>
      <c r="E87" s="26"/>
      <c r="F87" s="26"/>
      <c r="G87" s="26"/>
    </row>
    <row r="88" spans="2:7" ht="15.6" x14ac:dyDescent="0.3">
      <c r="B88" s="19"/>
      <c r="C88" s="19"/>
      <c r="D88" s="19"/>
      <c r="E88" s="19"/>
      <c r="F88" s="19"/>
      <c r="G88" s="19"/>
    </row>
    <row r="89" spans="2:7" ht="15.6" x14ac:dyDescent="0.3">
      <c r="B89" s="7"/>
      <c r="C89" s="7"/>
      <c r="D89" s="7"/>
      <c r="E89" s="7"/>
      <c r="F89" s="7"/>
      <c r="G89" s="19"/>
    </row>
    <row r="90" spans="2:7" ht="15.6" x14ac:dyDescent="0.3">
      <c r="B90" s="19"/>
      <c r="C90" s="19"/>
      <c r="D90" s="19"/>
      <c r="E90" s="19"/>
      <c r="F90" s="19"/>
      <c r="G90" s="19"/>
    </row>
    <row r="91" spans="2:7" ht="15.6" x14ac:dyDescent="0.3">
      <c r="B91" s="19"/>
      <c r="C91" s="19"/>
      <c r="D91" s="19"/>
      <c r="E91" s="19"/>
      <c r="F91" s="19"/>
      <c r="G91" s="19"/>
    </row>
    <row r="92" spans="2:7" ht="15.6" x14ac:dyDescent="0.3">
      <c r="B92" s="19"/>
      <c r="C92" s="19"/>
      <c r="D92" s="19"/>
      <c r="E92" s="19"/>
      <c r="F92" s="19"/>
      <c r="G92" s="19"/>
    </row>
    <row r="93" spans="2:7" ht="15.6" x14ac:dyDescent="0.3">
      <c r="B93" s="19"/>
      <c r="C93" s="19"/>
      <c r="D93" s="19"/>
      <c r="E93" s="19"/>
      <c r="F93" s="19"/>
      <c r="G93" s="19"/>
    </row>
    <row r="94" spans="2:7" ht="15.6" x14ac:dyDescent="0.3">
      <c r="B94" s="19"/>
      <c r="C94" s="19"/>
      <c r="D94" s="19"/>
      <c r="E94" s="19"/>
      <c r="F94" s="19"/>
      <c r="G94" s="19"/>
    </row>
    <row r="95" spans="2:7" ht="15.6" x14ac:dyDescent="0.3">
      <c r="B95" s="7"/>
      <c r="C95" s="7"/>
      <c r="D95" s="7"/>
      <c r="E95" s="7"/>
      <c r="F95" s="7"/>
      <c r="G95" s="7"/>
    </row>
    <row r="96" spans="2:7" ht="15.6" x14ac:dyDescent="0.3">
      <c r="B96" s="19"/>
      <c r="C96" s="19"/>
      <c r="D96" s="19"/>
      <c r="E96" s="19"/>
      <c r="F96" s="19"/>
      <c r="G96" s="19"/>
    </row>
    <row r="97" spans="2:7" ht="13.8" x14ac:dyDescent="0.25">
      <c r="B97" s="27"/>
      <c r="C97" s="27"/>
      <c r="D97" s="27"/>
      <c r="E97" s="27"/>
      <c r="F97" s="27"/>
      <c r="G97" s="27"/>
    </row>
    <row r="98" spans="2:7" x14ac:dyDescent="0.25">
      <c r="B98" s="21"/>
      <c r="C98" s="21"/>
      <c r="D98" s="21"/>
      <c r="E98" s="21"/>
      <c r="F98" s="21"/>
      <c r="G98" s="21"/>
    </row>
    <row r="99" spans="2:7" x14ac:dyDescent="0.25">
      <c r="B99" s="21"/>
      <c r="C99" s="21"/>
      <c r="D99" s="21"/>
      <c r="E99" s="21"/>
      <c r="F99" s="21"/>
      <c r="G99" s="21"/>
    </row>
    <row r="100" spans="2:7" x14ac:dyDescent="0.25">
      <c r="B100" s="21"/>
      <c r="C100" s="21"/>
      <c r="D100" s="21"/>
      <c r="E100" s="21"/>
      <c r="F100" s="21"/>
      <c r="G100" s="21"/>
    </row>
    <row r="101" spans="2:7" x14ac:dyDescent="0.25">
      <c r="B101" s="21"/>
      <c r="C101" s="21"/>
      <c r="D101" s="21"/>
      <c r="E101" s="21"/>
      <c r="F101" s="21"/>
      <c r="G101" s="21"/>
    </row>
    <row r="102" spans="2:7" x14ac:dyDescent="0.25">
      <c r="B102" s="21"/>
      <c r="C102" s="21"/>
      <c r="D102" s="21"/>
      <c r="E102" s="21"/>
      <c r="F102" s="21"/>
      <c r="G102" s="21"/>
    </row>
    <row r="103" spans="2:7" x14ac:dyDescent="0.25">
      <c r="B103" s="21"/>
      <c r="C103" s="21"/>
      <c r="D103" s="21"/>
      <c r="E103" s="21"/>
      <c r="F103" s="21"/>
      <c r="G103" s="21"/>
    </row>
    <row r="104" spans="2:7" x14ac:dyDescent="0.25">
      <c r="B104" s="21"/>
      <c r="C104" s="21"/>
      <c r="D104" s="21"/>
      <c r="E104" s="21"/>
      <c r="F104" s="21"/>
      <c r="G104" s="21"/>
    </row>
    <row r="105" spans="2:7" x14ac:dyDescent="0.25">
      <c r="B105" s="21"/>
      <c r="C105" s="21"/>
      <c r="D105" s="21"/>
      <c r="E105" s="21"/>
      <c r="F105" s="21"/>
      <c r="G105" s="21"/>
    </row>
    <row r="106" spans="2:7" ht="15.6" x14ac:dyDescent="0.35">
      <c r="B106" s="18"/>
      <c r="C106" s="18"/>
      <c r="D106" s="18"/>
      <c r="E106" s="18"/>
      <c r="F106" s="18"/>
      <c r="G106" s="18"/>
    </row>
    <row r="107" spans="2:7" ht="15.6" x14ac:dyDescent="0.35">
      <c r="B107" s="18"/>
      <c r="C107" s="18"/>
      <c r="D107" s="18"/>
      <c r="E107" s="18"/>
      <c r="F107" s="18"/>
      <c r="G107" s="18"/>
    </row>
    <row r="108" spans="2:7" ht="15.6" x14ac:dyDescent="0.35">
      <c r="B108" s="18"/>
      <c r="C108" s="18"/>
      <c r="D108" s="18"/>
      <c r="E108" s="18"/>
      <c r="F108" s="18"/>
      <c r="G108" s="18"/>
    </row>
    <row r="109" spans="2:7" ht="15.6" x14ac:dyDescent="0.3">
      <c r="B109" s="19"/>
      <c r="C109" s="19"/>
      <c r="D109" s="19"/>
      <c r="E109" s="19"/>
      <c r="F109" s="20"/>
      <c r="G109" s="19"/>
    </row>
    <row r="110" spans="2:7" ht="15.6" x14ac:dyDescent="0.3">
      <c r="B110" s="19"/>
      <c r="C110" s="19"/>
      <c r="D110" s="19"/>
      <c r="E110" s="19"/>
      <c r="F110" s="19"/>
      <c r="G110" s="19"/>
    </row>
    <row r="111" spans="2:7" ht="15.6" x14ac:dyDescent="0.3">
      <c r="B111" s="19"/>
      <c r="C111" s="19"/>
      <c r="D111" s="19"/>
      <c r="E111" s="19"/>
      <c r="F111" s="19"/>
      <c r="G111" s="19"/>
    </row>
    <row r="112" spans="2:7" ht="15.6" x14ac:dyDescent="0.3">
      <c r="B112" s="19"/>
      <c r="C112" s="19"/>
      <c r="D112" s="19"/>
      <c r="E112" s="19"/>
      <c r="F112" s="19"/>
      <c r="G112" s="19"/>
    </row>
    <row r="113" spans="2:7" ht="15.6" x14ac:dyDescent="0.3">
      <c r="B113" s="19"/>
      <c r="C113" s="19"/>
      <c r="D113" s="19"/>
      <c r="E113" s="19"/>
      <c r="F113" s="19"/>
      <c r="G113" s="19"/>
    </row>
    <row r="114" spans="2:7" ht="15.6" x14ac:dyDescent="0.3">
      <c r="B114" s="19"/>
      <c r="C114" s="19"/>
      <c r="D114" s="19"/>
      <c r="E114" s="19"/>
      <c r="F114" s="19"/>
      <c r="G114" s="19"/>
    </row>
    <row r="115" spans="2:7" ht="15.6" x14ac:dyDescent="0.3">
      <c r="B115" s="19"/>
      <c r="C115" s="19"/>
      <c r="D115" s="19"/>
      <c r="E115" s="19"/>
      <c r="F115" s="19"/>
      <c r="G115" s="19"/>
    </row>
    <row r="116" spans="2:7" ht="15.6" x14ac:dyDescent="0.3">
      <c r="B116" s="19"/>
      <c r="C116" s="19"/>
      <c r="D116" s="19"/>
      <c r="E116" s="19"/>
      <c r="F116" s="19"/>
      <c r="G116" s="19"/>
    </row>
    <row r="117" spans="2:7" ht="15.6" x14ac:dyDescent="0.3">
      <c r="B117" s="19"/>
      <c r="C117" s="19"/>
      <c r="D117" s="19"/>
      <c r="E117" s="19"/>
      <c r="F117" s="19"/>
      <c r="G117" s="19"/>
    </row>
    <row r="118" spans="2:7" ht="15.6" x14ac:dyDescent="0.3">
      <c r="B118" s="19"/>
      <c r="C118" s="19"/>
      <c r="D118" s="19"/>
      <c r="E118" s="19"/>
      <c r="F118" s="19"/>
      <c r="G118" s="19"/>
    </row>
    <row r="119" spans="2:7" ht="15.6" x14ac:dyDescent="0.3">
      <c r="B119" s="22"/>
      <c r="C119" s="7"/>
      <c r="D119" s="7"/>
      <c r="E119" s="7"/>
      <c r="F119" s="7"/>
      <c r="G119" s="7"/>
    </row>
    <row r="120" spans="2:7" ht="15.6" x14ac:dyDescent="0.3">
      <c r="B120" s="19"/>
      <c r="C120" s="19"/>
      <c r="D120" s="19"/>
      <c r="E120" s="19"/>
      <c r="F120" s="19"/>
      <c r="G120" s="19"/>
    </row>
    <row r="121" spans="2:7" ht="15.6" x14ac:dyDescent="0.3">
      <c r="B121" s="19"/>
      <c r="C121" s="19"/>
      <c r="D121" s="19"/>
      <c r="E121" s="19"/>
      <c r="F121" s="19"/>
      <c r="G121" s="19"/>
    </row>
    <row r="122" spans="2:7" ht="15.6" x14ac:dyDescent="0.3">
      <c r="B122" s="19"/>
      <c r="C122" s="19"/>
      <c r="D122" s="19"/>
      <c r="E122" s="19"/>
      <c r="F122" s="19"/>
      <c r="G122" s="19"/>
    </row>
    <row r="123" spans="2:7" ht="15.6" x14ac:dyDescent="0.3">
      <c r="B123" s="19"/>
      <c r="C123" s="19"/>
      <c r="D123" s="19"/>
      <c r="E123" s="19"/>
      <c r="F123" s="19"/>
      <c r="G123" s="19"/>
    </row>
    <row r="124" spans="2:7" x14ac:dyDescent="0.25">
      <c r="B124" s="23"/>
      <c r="C124" s="23"/>
      <c r="D124" s="23"/>
      <c r="E124" s="23"/>
      <c r="F124" s="23"/>
      <c r="G124" s="23"/>
    </row>
    <row r="125" spans="2:7" x14ac:dyDescent="0.25">
      <c r="B125" s="24"/>
      <c r="C125" s="25"/>
      <c r="D125" s="25"/>
      <c r="E125" s="25"/>
      <c r="F125" s="25"/>
      <c r="G125" s="25"/>
    </row>
    <row r="126" spans="2:7" x14ac:dyDescent="0.25">
      <c r="B126" s="26"/>
      <c r="C126" s="25"/>
      <c r="D126" s="25"/>
      <c r="E126" s="25"/>
      <c r="F126" s="25"/>
      <c r="G126" s="25"/>
    </row>
    <row r="127" spans="2:7" x14ac:dyDescent="0.25">
      <c r="B127" s="26"/>
      <c r="C127" s="26"/>
      <c r="D127" s="26"/>
      <c r="E127" s="26"/>
      <c r="F127" s="26"/>
      <c r="G127" s="26"/>
    </row>
    <row r="128" spans="2:7" ht="15.6" x14ac:dyDescent="0.3">
      <c r="B128" s="19"/>
      <c r="C128" s="19"/>
      <c r="D128" s="19"/>
      <c r="E128" s="19"/>
      <c r="F128" s="19"/>
      <c r="G128" s="19"/>
    </row>
    <row r="129" spans="2:7" ht="15.6" x14ac:dyDescent="0.3">
      <c r="B129" s="7"/>
      <c r="C129" s="7"/>
      <c r="D129" s="7"/>
      <c r="E129" s="7"/>
      <c r="F129" s="7"/>
      <c r="G129" s="19"/>
    </row>
    <row r="130" spans="2:7" ht="15.6" x14ac:dyDescent="0.3">
      <c r="B130" s="19"/>
      <c r="C130" s="19"/>
      <c r="D130" s="19"/>
      <c r="E130" s="19"/>
      <c r="F130" s="19"/>
      <c r="G130" s="19"/>
    </row>
    <row r="131" spans="2:7" ht="15.6" x14ac:dyDescent="0.3">
      <c r="B131" s="19"/>
      <c r="C131" s="19"/>
      <c r="D131" s="19"/>
      <c r="E131" s="19"/>
      <c r="F131" s="19"/>
      <c r="G131" s="19"/>
    </row>
    <row r="132" spans="2:7" ht="15.6" x14ac:dyDescent="0.3">
      <c r="B132" s="19"/>
      <c r="C132" s="19"/>
      <c r="D132" s="19"/>
      <c r="E132" s="19"/>
      <c r="F132" s="19"/>
      <c r="G132" s="19"/>
    </row>
    <row r="133" spans="2:7" ht="15.6" x14ac:dyDescent="0.3">
      <c r="B133" s="19"/>
      <c r="C133" s="19"/>
      <c r="D133" s="19"/>
      <c r="E133" s="19"/>
      <c r="F133" s="19"/>
      <c r="G133" s="19"/>
    </row>
    <row r="134" spans="2:7" ht="15.6" x14ac:dyDescent="0.3">
      <c r="B134" s="19"/>
      <c r="C134" s="19"/>
      <c r="D134" s="19"/>
      <c r="E134" s="19"/>
      <c r="F134" s="19"/>
      <c r="G134" s="19"/>
    </row>
    <row r="135" spans="2:7" ht="15.6" x14ac:dyDescent="0.3">
      <c r="B135" s="7"/>
      <c r="C135" s="7"/>
      <c r="D135" s="7"/>
      <c r="E135" s="7"/>
      <c r="F135" s="7"/>
      <c r="G135" s="7"/>
    </row>
    <row r="136" spans="2:7" ht="15.6" x14ac:dyDescent="0.3">
      <c r="B136" s="19"/>
      <c r="C136" s="19"/>
      <c r="D136" s="19"/>
      <c r="E136" s="19"/>
      <c r="F136" s="19"/>
      <c r="G136" s="19"/>
    </row>
    <row r="137" spans="2:7" ht="13.8" x14ac:dyDescent="0.25">
      <c r="B137" s="27"/>
      <c r="C137" s="27"/>
      <c r="D137" s="27"/>
      <c r="E137" s="27"/>
      <c r="F137" s="27"/>
      <c r="G137" s="27"/>
    </row>
    <row r="138" spans="2:7" x14ac:dyDescent="0.25">
      <c r="B138" s="21"/>
      <c r="C138" s="21"/>
      <c r="D138" s="21"/>
      <c r="E138" s="21"/>
      <c r="F138" s="21"/>
      <c r="G138" s="21"/>
    </row>
    <row r="139" spans="2:7" x14ac:dyDescent="0.25">
      <c r="B139" s="21"/>
      <c r="C139" s="21"/>
      <c r="D139" s="21"/>
      <c r="E139" s="21"/>
      <c r="F139" s="21"/>
      <c r="G139" s="21"/>
    </row>
    <row r="140" spans="2:7" ht="15.6" x14ac:dyDescent="0.35">
      <c r="B140" s="18"/>
      <c r="C140" s="18"/>
      <c r="D140" s="18"/>
      <c r="E140" s="18"/>
      <c r="F140" s="18"/>
      <c r="G140" s="18"/>
    </row>
    <row r="141" spans="2:7" ht="15.6" x14ac:dyDescent="0.35">
      <c r="B141" s="18"/>
      <c r="C141" s="18"/>
      <c r="D141" s="18"/>
      <c r="E141" s="18"/>
      <c r="F141" s="18"/>
      <c r="G141" s="18"/>
    </row>
    <row r="142" spans="2:7" ht="15.6" x14ac:dyDescent="0.35">
      <c r="B142" s="18"/>
      <c r="C142" s="18"/>
      <c r="D142" s="18"/>
      <c r="E142" s="18"/>
      <c r="F142" s="18"/>
      <c r="G142" s="18"/>
    </row>
    <row r="143" spans="2:7" ht="15.6" x14ac:dyDescent="0.3">
      <c r="B143" s="19"/>
      <c r="C143" s="19"/>
      <c r="D143" s="19"/>
      <c r="E143" s="19"/>
      <c r="F143" s="20"/>
      <c r="G143" s="19"/>
    </row>
    <row r="144" spans="2:7" ht="15.6" x14ac:dyDescent="0.3">
      <c r="B144" s="19"/>
      <c r="C144" s="19"/>
      <c r="D144" s="19"/>
      <c r="E144" s="19"/>
      <c r="F144" s="19"/>
      <c r="G144" s="19"/>
    </row>
    <row r="145" spans="2:7" ht="15.6" x14ac:dyDescent="0.3">
      <c r="B145" s="19"/>
      <c r="C145" s="19"/>
      <c r="D145" s="19"/>
      <c r="E145" s="19"/>
      <c r="F145" s="19"/>
      <c r="G145" s="19"/>
    </row>
    <row r="146" spans="2:7" ht="15.6" x14ac:dyDescent="0.3">
      <c r="B146" s="19"/>
      <c r="C146" s="19"/>
      <c r="D146" s="19"/>
      <c r="E146" s="19"/>
      <c r="F146" s="19"/>
      <c r="G146" s="19"/>
    </row>
    <row r="147" spans="2:7" ht="15.6" x14ac:dyDescent="0.3">
      <c r="B147" s="19"/>
      <c r="C147" s="19"/>
      <c r="D147" s="19"/>
      <c r="E147" s="19"/>
      <c r="F147" s="19"/>
      <c r="G147" s="19"/>
    </row>
    <row r="148" spans="2:7" ht="15.6" x14ac:dyDescent="0.3">
      <c r="B148" s="19"/>
      <c r="C148" s="19"/>
      <c r="D148" s="19"/>
      <c r="E148" s="19"/>
      <c r="F148" s="19"/>
      <c r="G148" s="19"/>
    </row>
    <row r="149" spans="2:7" ht="15.6" x14ac:dyDescent="0.3">
      <c r="B149" s="19"/>
      <c r="C149" s="19"/>
      <c r="D149" s="19"/>
      <c r="E149" s="19"/>
      <c r="F149" s="19"/>
      <c r="G149" s="19"/>
    </row>
    <row r="150" spans="2:7" ht="15.6" x14ac:dyDescent="0.3">
      <c r="B150" s="19"/>
      <c r="C150" s="19"/>
      <c r="D150" s="19"/>
      <c r="E150" s="19"/>
      <c r="F150" s="19"/>
      <c r="G150" s="19"/>
    </row>
    <row r="151" spans="2:7" ht="15.6" x14ac:dyDescent="0.3">
      <c r="B151" s="19"/>
      <c r="C151" s="19"/>
      <c r="D151" s="19"/>
      <c r="E151" s="19"/>
      <c r="F151" s="19"/>
      <c r="G151" s="19"/>
    </row>
    <row r="152" spans="2:7" ht="15.6" x14ac:dyDescent="0.3">
      <c r="B152" s="19"/>
      <c r="C152" s="19"/>
      <c r="D152" s="19"/>
      <c r="E152" s="19"/>
      <c r="F152" s="19"/>
      <c r="G152" s="19"/>
    </row>
    <row r="153" spans="2:7" ht="15.6" x14ac:dyDescent="0.3">
      <c r="B153" s="22"/>
      <c r="C153" s="7"/>
      <c r="D153" s="7"/>
      <c r="E153" s="7"/>
      <c r="F153" s="7"/>
      <c r="G153" s="7"/>
    </row>
    <row r="154" spans="2:7" ht="15.6" x14ac:dyDescent="0.3">
      <c r="B154" s="19"/>
      <c r="C154" s="19"/>
      <c r="D154" s="19"/>
      <c r="E154" s="19"/>
      <c r="F154" s="19"/>
      <c r="G154" s="19"/>
    </row>
    <row r="155" spans="2:7" ht="15.6" x14ac:dyDescent="0.3">
      <c r="B155" s="19"/>
      <c r="C155" s="19"/>
      <c r="D155" s="19"/>
      <c r="E155" s="19"/>
      <c r="F155" s="19"/>
      <c r="G155" s="19"/>
    </row>
    <row r="156" spans="2:7" ht="15.6" x14ac:dyDescent="0.3">
      <c r="B156" s="19"/>
      <c r="C156" s="19"/>
      <c r="D156" s="19"/>
      <c r="E156" s="19"/>
      <c r="F156" s="19"/>
      <c r="G156" s="19"/>
    </row>
    <row r="157" spans="2:7" ht="15.6" x14ac:dyDescent="0.3">
      <c r="B157" s="19"/>
      <c r="C157" s="19"/>
      <c r="D157" s="19"/>
      <c r="E157" s="19"/>
      <c r="F157" s="19"/>
      <c r="G157" s="19"/>
    </row>
    <row r="158" spans="2:7" x14ac:dyDescent="0.25">
      <c r="B158" s="23"/>
      <c r="C158" s="23"/>
      <c r="D158" s="23"/>
      <c r="E158" s="23"/>
      <c r="F158" s="23"/>
      <c r="G158" s="23"/>
    </row>
    <row r="159" spans="2:7" x14ac:dyDescent="0.25">
      <c r="B159" s="24"/>
      <c r="C159" s="25"/>
      <c r="D159" s="25"/>
      <c r="E159" s="25"/>
      <c r="F159" s="25"/>
      <c r="G159" s="25"/>
    </row>
    <row r="160" spans="2:7" x14ac:dyDescent="0.25">
      <c r="B160" s="26"/>
      <c r="C160" s="25"/>
      <c r="D160" s="25"/>
      <c r="E160" s="25"/>
      <c r="F160" s="25"/>
      <c r="G160" s="25"/>
    </row>
    <row r="161" spans="2:7" x14ac:dyDescent="0.25">
      <c r="B161" s="26"/>
      <c r="C161" s="26"/>
      <c r="D161" s="26"/>
      <c r="E161" s="26"/>
      <c r="F161" s="26"/>
      <c r="G161" s="26"/>
    </row>
    <row r="162" spans="2:7" ht="15.6" x14ac:dyDescent="0.3">
      <c r="B162" s="19"/>
      <c r="C162" s="19"/>
      <c r="D162" s="19"/>
      <c r="E162" s="19"/>
      <c r="F162" s="19"/>
      <c r="G162" s="19"/>
    </row>
    <row r="163" spans="2:7" ht="21" customHeight="1" x14ac:dyDescent="0.3">
      <c r="B163" s="7"/>
      <c r="C163" s="7"/>
      <c r="D163" s="7"/>
      <c r="E163" s="7"/>
      <c r="F163" s="7"/>
      <c r="G163" s="19"/>
    </row>
    <row r="164" spans="2:7" ht="15.6" x14ac:dyDescent="0.3">
      <c r="B164" s="19"/>
      <c r="C164" s="19"/>
      <c r="D164" s="19"/>
      <c r="E164" s="19"/>
      <c r="F164" s="19"/>
      <c r="G164" s="19"/>
    </row>
    <row r="165" spans="2:7" ht="15.6" x14ac:dyDescent="0.3">
      <c r="B165" s="19"/>
      <c r="C165" s="19"/>
      <c r="D165" s="19"/>
      <c r="E165" s="19"/>
      <c r="F165" s="19"/>
      <c r="G165" s="19"/>
    </row>
    <row r="166" spans="2:7" ht="15.6" x14ac:dyDescent="0.3">
      <c r="B166" s="19"/>
      <c r="C166" s="19"/>
      <c r="D166" s="19"/>
      <c r="E166" s="19"/>
      <c r="F166" s="19"/>
      <c r="G166" s="19"/>
    </row>
    <row r="167" spans="2:7" ht="15.6" x14ac:dyDescent="0.3">
      <c r="B167" s="19"/>
      <c r="C167" s="19"/>
      <c r="D167" s="19"/>
      <c r="E167" s="19"/>
      <c r="F167" s="19"/>
      <c r="G167" s="19"/>
    </row>
    <row r="168" spans="2:7" ht="15.6" x14ac:dyDescent="0.3">
      <c r="B168" s="19"/>
      <c r="C168" s="19"/>
      <c r="D168" s="19"/>
      <c r="E168" s="19"/>
      <c r="F168" s="19"/>
      <c r="G168" s="19"/>
    </row>
    <row r="169" spans="2:7" ht="15.6" x14ac:dyDescent="0.3">
      <c r="B169" s="7"/>
      <c r="C169" s="7"/>
      <c r="D169" s="7"/>
      <c r="E169" s="7"/>
      <c r="F169" s="7"/>
      <c r="G169" s="7"/>
    </row>
    <row r="170" spans="2:7" ht="15.6" x14ac:dyDescent="0.3">
      <c r="B170" s="19"/>
      <c r="C170" s="19"/>
      <c r="D170" s="19"/>
      <c r="E170" s="19"/>
      <c r="F170" s="19"/>
      <c r="G170" s="19"/>
    </row>
    <row r="171" spans="2:7" ht="13.8" x14ac:dyDescent="0.25">
      <c r="B171" s="27"/>
      <c r="C171" s="27"/>
      <c r="D171" s="27"/>
      <c r="E171" s="27"/>
      <c r="F171" s="27"/>
      <c r="G171" s="27"/>
    </row>
    <row r="172" spans="2:7" ht="13.8" x14ac:dyDescent="0.25">
      <c r="B172" s="27"/>
      <c r="C172" s="27"/>
      <c r="D172" s="27"/>
      <c r="E172" s="27"/>
      <c r="F172" s="27"/>
      <c r="G172" s="26"/>
    </row>
    <row r="173" spans="2:7" ht="13.8" x14ac:dyDescent="0.25">
      <c r="B173" s="27"/>
      <c r="C173" s="27"/>
      <c r="D173" s="27"/>
      <c r="E173" s="27"/>
      <c r="F173" s="27"/>
      <c r="G173" s="27"/>
    </row>
    <row r="174" spans="2:7" x14ac:dyDescent="0.25">
      <c r="B174" s="21"/>
      <c r="C174" s="21"/>
      <c r="D174" s="21"/>
      <c r="E174" s="21"/>
      <c r="F174" s="21"/>
      <c r="G174" s="21"/>
    </row>
    <row r="175" spans="2:7" x14ac:dyDescent="0.25">
      <c r="B175" s="21"/>
      <c r="C175" s="21"/>
      <c r="D175" s="21"/>
      <c r="E175" s="21"/>
      <c r="F175" s="21"/>
      <c r="G175" s="21"/>
    </row>
    <row r="176" spans="2:7" x14ac:dyDescent="0.25">
      <c r="B176" s="21"/>
      <c r="C176" s="21"/>
      <c r="D176" s="21"/>
      <c r="E176" s="21"/>
      <c r="F176" s="21"/>
      <c r="G176" s="21"/>
    </row>
    <row r="177" spans="2:7" x14ac:dyDescent="0.25">
      <c r="B177" s="21"/>
      <c r="C177" s="21"/>
      <c r="D177" s="21"/>
      <c r="E177" s="21"/>
      <c r="F177" s="21"/>
      <c r="G177" s="21"/>
    </row>
    <row r="178" spans="2:7" x14ac:dyDescent="0.25">
      <c r="B178" s="21"/>
      <c r="C178" s="21"/>
      <c r="D178" s="21"/>
      <c r="E178" s="21"/>
      <c r="F178" s="21"/>
      <c r="G178" s="21"/>
    </row>
    <row r="179" spans="2:7" x14ac:dyDescent="0.25">
      <c r="B179" s="21"/>
      <c r="C179" s="21"/>
      <c r="D179" s="21"/>
      <c r="E179" s="21"/>
      <c r="F179" s="21"/>
      <c r="G179" s="21"/>
    </row>
    <row r="180" spans="2:7" x14ac:dyDescent="0.25">
      <c r="B180" s="21"/>
      <c r="C180" s="21"/>
      <c r="D180" s="21"/>
      <c r="E180" s="21"/>
      <c r="F180" s="21"/>
      <c r="G180" s="21"/>
    </row>
    <row r="181" spans="2:7" x14ac:dyDescent="0.25">
      <c r="B181" s="21"/>
      <c r="C181" s="21"/>
      <c r="D181" s="21"/>
      <c r="E181" s="21"/>
      <c r="F181" s="21"/>
      <c r="G181" s="21"/>
    </row>
    <row r="182" spans="2:7" x14ac:dyDescent="0.25">
      <c r="B182" s="21"/>
      <c r="C182" s="21"/>
      <c r="D182" s="21"/>
      <c r="E182" s="21"/>
      <c r="F182" s="21"/>
      <c r="G182" s="21"/>
    </row>
    <row r="183" spans="2:7" x14ac:dyDescent="0.25">
      <c r="B183" s="21"/>
      <c r="C183" s="21"/>
      <c r="D183" s="21"/>
      <c r="E183" s="21"/>
      <c r="F183" s="21"/>
      <c r="G183" s="21"/>
    </row>
    <row r="184" spans="2:7" x14ac:dyDescent="0.25">
      <c r="B184" s="21"/>
      <c r="C184" s="21"/>
      <c r="D184" s="21"/>
      <c r="E184" s="21"/>
      <c r="F184" s="21"/>
      <c r="G184" s="21"/>
    </row>
    <row r="185" spans="2:7" x14ac:dyDescent="0.25">
      <c r="B185" s="21"/>
      <c r="C185" s="21"/>
      <c r="D185" s="21"/>
      <c r="E185" s="21"/>
      <c r="F185" s="21"/>
      <c r="G185" s="21"/>
    </row>
    <row r="186" spans="2:7" x14ac:dyDescent="0.25">
      <c r="B186" s="21"/>
      <c r="C186" s="21"/>
      <c r="D186" s="21"/>
      <c r="E186" s="21"/>
      <c r="F186" s="21"/>
      <c r="G186" s="21"/>
    </row>
    <row r="187" spans="2:7" x14ac:dyDescent="0.25">
      <c r="B187" s="21"/>
      <c r="C187" s="21"/>
      <c r="D187" s="21"/>
      <c r="E187" s="21"/>
      <c r="F187" s="21"/>
      <c r="G187" s="21"/>
    </row>
    <row r="188" spans="2:7" x14ac:dyDescent="0.25">
      <c r="B188" s="21"/>
      <c r="C188" s="21"/>
      <c r="D188" s="21"/>
      <c r="E188" s="21"/>
      <c r="F188" s="21"/>
      <c r="G188" s="21"/>
    </row>
    <row r="189" spans="2:7" x14ac:dyDescent="0.25">
      <c r="B189" s="21"/>
      <c r="C189" s="21"/>
      <c r="D189" s="21"/>
      <c r="E189" s="21"/>
      <c r="F189" s="21"/>
      <c r="G189" s="21"/>
    </row>
    <row r="190" spans="2:7" x14ac:dyDescent="0.25">
      <c r="B190" s="21"/>
      <c r="C190" s="21"/>
      <c r="D190" s="21"/>
      <c r="E190" s="21"/>
      <c r="F190" s="21"/>
      <c r="G190" s="21"/>
    </row>
    <row r="191" spans="2:7" x14ac:dyDescent="0.25">
      <c r="B191" s="21"/>
      <c r="C191" s="21"/>
      <c r="D191" s="21"/>
      <c r="E191" s="21"/>
      <c r="F191" s="21"/>
      <c r="G191" s="21"/>
    </row>
    <row r="192" spans="2:7" x14ac:dyDescent="0.25">
      <c r="B192" s="21"/>
      <c r="C192" s="21"/>
      <c r="D192" s="21"/>
      <c r="E192" s="21"/>
      <c r="F192" s="21"/>
      <c r="G192" s="21"/>
    </row>
    <row r="193" spans="2:7" x14ac:dyDescent="0.25">
      <c r="B193" s="21"/>
      <c r="C193" s="21"/>
      <c r="D193" s="21"/>
      <c r="E193" s="21"/>
      <c r="F193" s="21"/>
      <c r="G193" s="21"/>
    </row>
    <row r="194" spans="2:7" x14ac:dyDescent="0.25">
      <c r="B194" s="21"/>
      <c r="C194" s="21"/>
      <c r="D194" s="21"/>
      <c r="E194" s="21"/>
      <c r="F194" s="21"/>
      <c r="G194" s="21"/>
    </row>
    <row r="195" spans="2:7" x14ac:dyDescent="0.25">
      <c r="B195" s="21"/>
      <c r="C195" s="21"/>
      <c r="D195" s="21"/>
      <c r="E195" s="21"/>
      <c r="F195" s="21"/>
      <c r="G195" s="21"/>
    </row>
    <row r="196" spans="2:7" x14ac:dyDescent="0.25">
      <c r="B196" s="21"/>
      <c r="C196" s="21"/>
      <c r="D196" s="21"/>
      <c r="E196" s="21"/>
      <c r="F196" s="21"/>
      <c r="G196" s="21"/>
    </row>
    <row r="197" spans="2:7" x14ac:dyDescent="0.25">
      <c r="B197" s="21"/>
      <c r="C197" s="21"/>
      <c r="D197" s="21"/>
      <c r="E197" s="21"/>
      <c r="F197" s="21"/>
      <c r="G197" s="21"/>
    </row>
    <row r="198" spans="2:7" x14ac:dyDescent="0.25">
      <c r="B198" s="21"/>
      <c r="C198" s="21"/>
      <c r="D198" s="21"/>
      <c r="E198" s="21"/>
      <c r="F198" s="21"/>
      <c r="G198" s="21"/>
    </row>
    <row r="199" spans="2:7" x14ac:dyDescent="0.25">
      <c r="B199" s="21"/>
      <c r="C199" s="21"/>
      <c r="D199" s="21"/>
      <c r="E199" s="21"/>
      <c r="F199" s="21"/>
      <c r="G199" s="21"/>
    </row>
    <row r="200" spans="2:7" x14ac:dyDescent="0.25">
      <c r="B200" s="21"/>
      <c r="C200" s="21"/>
      <c r="D200" s="21"/>
      <c r="E200" s="21"/>
      <c r="F200" s="21"/>
      <c r="G200" s="21"/>
    </row>
    <row r="201" spans="2:7" x14ac:dyDescent="0.25">
      <c r="B201" s="21"/>
      <c r="C201" s="21"/>
      <c r="D201" s="21"/>
      <c r="E201" s="21"/>
      <c r="F201" s="21"/>
      <c r="G201" s="21"/>
    </row>
    <row r="202" spans="2:7" x14ac:dyDescent="0.25">
      <c r="B202" s="21"/>
      <c r="C202" s="21"/>
      <c r="D202" s="21"/>
      <c r="E202" s="21"/>
      <c r="F202" s="21"/>
      <c r="G202" s="21"/>
    </row>
    <row r="203" spans="2:7" x14ac:dyDescent="0.25">
      <c r="B203" s="21"/>
      <c r="C203" s="21"/>
      <c r="D203" s="21"/>
      <c r="E203" s="21"/>
      <c r="F203" s="21"/>
      <c r="G203" s="21"/>
    </row>
    <row r="204" spans="2:7" x14ac:dyDescent="0.25">
      <c r="B204" s="21"/>
      <c r="C204" s="21"/>
      <c r="D204" s="21"/>
      <c r="E204" s="21"/>
      <c r="F204" s="21"/>
      <c r="G204" s="21"/>
    </row>
    <row r="205" spans="2:7" x14ac:dyDescent="0.25">
      <c r="B205" s="21"/>
      <c r="C205" s="21"/>
      <c r="D205" s="21"/>
      <c r="E205" s="21"/>
      <c r="F205" s="21"/>
      <c r="G205" s="21"/>
    </row>
    <row r="206" spans="2:7" x14ac:dyDescent="0.25">
      <c r="B206" s="21"/>
      <c r="C206" s="21"/>
      <c r="D206" s="21"/>
      <c r="E206" s="21"/>
      <c r="F206" s="21"/>
      <c r="G206" s="21"/>
    </row>
    <row r="207" spans="2:7" x14ac:dyDescent="0.25">
      <c r="B207" s="21"/>
      <c r="C207" s="21"/>
      <c r="D207" s="21"/>
      <c r="E207" s="21"/>
      <c r="F207" s="21"/>
      <c r="G207" s="21"/>
    </row>
    <row r="208" spans="2:7" x14ac:dyDescent="0.25">
      <c r="B208" s="21"/>
      <c r="C208" s="21"/>
      <c r="D208" s="21"/>
      <c r="E208" s="21"/>
      <c r="F208" s="21"/>
      <c r="G208" s="21"/>
    </row>
    <row r="209" spans="2:7" x14ac:dyDescent="0.25">
      <c r="B209" s="21"/>
      <c r="C209" s="21"/>
      <c r="D209" s="21"/>
      <c r="E209" s="21"/>
      <c r="F209" s="21"/>
      <c r="G209" s="21"/>
    </row>
  </sheetData>
  <mergeCells count="2">
    <mergeCell ref="B2:K2"/>
    <mergeCell ref="J8:K8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20"/>
  <sheetViews>
    <sheetView view="pageLayout" zoomScaleNormal="110" workbookViewId="0">
      <selection activeCell="G15" sqref="G15"/>
    </sheetView>
  </sheetViews>
  <sheetFormatPr defaultColWidth="9.109375" defaultRowHeight="10.199999999999999" x14ac:dyDescent="0.2"/>
  <cols>
    <col min="1" max="1" width="12.44140625" style="32" customWidth="1"/>
    <col min="2" max="2" width="6.88671875" style="32" bestFit="1" customWidth="1"/>
    <col min="3" max="3" width="13.33203125" style="32" customWidth="1"/>
    <col min="4" max="4" width="10.33203125" style="32" customWidth="1"/>
    <col min="5" max="5" width="18.5546875" style="32" customWidth="1"/>
    <col min="6" max="6" width="11" style="32" customWidth="1"/>
    <col min="7" max="7" width="9.44140625" style="32" customWidth="1"/>
    <col min="8" max="8" width="9" style="32" customWidth="1"/>
    <col min="9" max="9" width="10" style="32" hidden="1" customWidth="1"/>
    <col min="10" max="10" width="8.33203125" style="32" customWidth="1"/>
    <col min="11" max="11" width="8" style="32" bestFit="1" customWidth="1"/>
    <col min="12" max="12" width="9" style="32" bestFit="1" customWidth="1"/>
    <col min="13" max="13" width="25.5546875" style="32" bestFit="1" customWidth="1"/>
    <col min="14" max="14" width="20.109375" style="32" customWidth="1"/>
    <col min="15" max="15" width="11.33203125" style="54" bestFit="1" customWidth="1"/>
    <col min="16" max="16384" width="9.109375" style="32"/>
  </cols>
  <sheetData>
    <row r="1" spans="1:15" ht="21.75" customHeight="1" x14ac:dyDescent="0.2">
      <c r="A1" s="157" t="s">
        <v>76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5" ht="21.75" customHeight="1" x14ac:dyDescent="0.2">
      <c r="A2" s="158">
        <v>41913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5" ht="21.75" customHeight="1" thickBot="1" x14ac:dyDescent="0.25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 x14ac:dyDescent="0.25">
      <c r="A4" s="60" t="s">
        <v>36</v>
      </c>
      <c r="B4" s="61" t="s">
        <v>37</v>
      </c>
      <c r="C4" s="159" t="s">
        <v>38</v>
      </c>
      <c r="D4" s="60" t="s">
        <v>39</v>
      </c>
      <c r="E4" s="15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61" t="s">
        <v>43</v>
      </c>
      <c r="N4" s="54"/>
      <c r="O4" s="32"/>
    </row>
    <row r="5" spans="1:15" ht="21.75" customHeight="1" thickBot="1" x14ac:dyDescent="0.25">
      <c r="A5" s="65" t="s">
        <v>44</v>
      </c>
      <c r="B5" s="66" t="s">
        <v>45</v>
      </c>
      <c r="C5" s="160"/>
      <c r="D5" s="65" t="s">
        <v>46</v>
      </c>
      <c r="E5" s="16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62"/>
      <c r="N5" s="54"/>
      <c r="O5" s="32"/>
    </row>
    <row r="6" spans="1:15" ht="10.5" customHeight="1" x14ac:dyDescent="0.2">
      <c r="A6" s="78" t="s">
        <v>99</v>
      </c>
      <c r="B6" s="78" t="s">
        <v>71</v>
      </c>
      <c r="C6" s="189" t="s">
        <v>120</v>
      </c>
      <c r="D6" s="193">
        <v>41916</v>
      </c>
      <c r="E6" s="194" t="s">
        <v>60</v>
      </c>
      <c r="F6" s="123" t="s">
        <v>61</v>
      </c>
      <c r="G6" s="169">
        <v>380253</v>
      </c>
      <c r="H6" s="195">
        <v>379466</v>
      </c>
      <c r="I6" s="80"/>
      <c r="J6" s="169">
        <v>51857</v>
      </c>
      <c r="K6" s="191">
        <v>32.75</v>
      </c>
      <c r="L6" s="198" t="s">
        <v>123</v>
      </c>
      <c r="M6" s="196" t="s">
        <v>121</v>
      </c>
      <c r="N6" s="54"/>
      <c r="O6" s="32"/>
    </row>
    <row r="7" spans="1:15" ht="10.5" customHeight="1" x14ac:dyDescent="0.2">
      <c r="A7" s="78" t="s">
        <v>99</v>
      </c>
      <c r="B7" s="78" t="s">
        <v>71</v>
      </c>
      <c r="C7" s="189" t="s">
        <v>124</v>
      </c>
      <c r="D7" s="193">
        <v>41911</v>
      </c>
      <c r="E7" s="194" t="s">
        <v>60</v>
      </c>
      <c r="F7" s="123" t="s">
        <v>61</v>
      </c>
      <c r="G7" s="169">
        <v>62718</v>
      </c>
      <c r="H7" s="169">
        <v>62621</v>
      </c>
      <c r="I7" s="80"/>
      <c r="J7" s="169">
        <v>8578</v>
      </c>
      <c r="K7" s="191">
        <v>34.42</v>
      </c>
      <c r="L7" s="197">
        <v>41861</v>
      </c>
      <c r="M7" s="196" t="s">
        <v>125</v>
      </c>
      <c r="N7" s="54"/>
      <c r="O7" s="32"/>
    </row>
    <row r="8" spans="1:15" ht="10.5" customHeight="1" x14ac:dyDescent="0.2">
      <c r="A8" s="78" t="s">
        <v>99</v>
      </c>
      <c r="B8" s="78" t="s">
        <v>71</v>
      </c>
      <c r="C8" s="189" t="s">
        <v>124</v>
      </c>
      <c r="D8" s="193">
        <v>41911</v>
      </c>
      <c r="E8" s="194" t="s">
        <v>60</v>
      </c>
      <c r="F8" s="123" t="s">
        <v>61</v>
      </c>
      <c r="G8" s="169">
        <v>30130</v>
      </c>
      <c r="H8" s="195">
        <v>30083</v>
      </c>
      <c r="I8" s="80"/>
      <c r="J8" s="169">
        <v>4121</v>
      </c>
      <c r="K8" s="191">
        <v>34.42</v>
      </c>
      <c r="L8" s="197">
        <v>41861</v>
      </c>
      <c r="M8" s="196" t="s">
        <v>125</v>
      </c>
      <c r="N8" s="54"/>
      <c r="O8" s="32"/>
    </row>
    <row r="9" spans="1:15" ht="10.5" customHeight="1" x14ac:dyDescent="0.2">
      <c r="A9" s="78"/>
      <c r="B9" s="78"/>
      <c r="C9" s="78"/>
      <c r="D9" s="78"/>
      <c r="E9" s="78"/>
      <c r="F9" s="78"/>
      <c r="G9" s="93"/>
      <c r="H9" s="96"/>
      <c r="I9" s="72"/>
      <c r="J9" s="90"/>
      <c r="K9" s="94"/>
      <c r="L9" s="79"/>
      <c r="M9" s="78"/>
      <c r="O9" s="78"/>
    </row>
    <row r="10" spans="1:15" ht="10.5" customHeight="1" x14ac:dyDescent="0.2">
      <c r="A10" s="78"/>
      <c r="B10" s="78"/>
      <c r="C10" s="78"/>
      <c r="D10" s="78"/>
      <c r="E10" s="78"/>
      <c r="F10" s="78"/>
      <c r="G10" s="93"/>
      <c r="H10" s="96"/>
      <c r="I10" s="72"/>
      <c r="J10" s="90"/>
      <c r="K10" s="94"/>
      <c r="L10" s="79"/>
      <c r="M10" s="78"/>
      <c r="O10" s="78"/>
    </row>
    <row r="11" spans="1:15" ht="10.5" customHeight="1" x14ac:dyDescent="0.2">
      <c r="A11" s="78"/>
      <c r="B11" s="78"/>
      <c r="C11" s="78"/>
      <c r="D11" s="78"/>
      <c r="E11" s="78"/>
      <c r="F11" s="78"/>
      <c r="G11" s="93"/>
      <c r="H11" s="96"/>
      <c r="I11" s="72"/>
      <c r="J11" s="90"/>
      <c r="K11" s="94"/>
      <c r="L11" s="79"/>
      <c r="M11" s="78"/>
    </row>
    <row r="12" spans="1:15" ht="10.5" customHeight="1" x14ac:dyDescent="0.2">
      <c r="A12" s="78"/>
      <c r="B12" s="78"/>
      <c r="C12" s="78"/>
      <c r="D12" s="78"/>
      <c r="E12" s="78"/>
      <c r="F12" s="78"/>
      <c r="G12" s="93"/>
      <c r="H12" s="96"/>
      <c r="I12" s="72"/>
      <c r="J12" s="90"/>
      <c r="K12" s="94"/>
      <c r="L12" s="79"/>
      <c r="M12" s="78"/>
    </row>
    <row r="13" spans="1:15" ht="10.5" customHeight="1" x14ac:dyDescent="0.2">
      <c r="A13" s="78"/>
      <c r="B13" s="78"/>
      <c r="C13" s="78"/>
      <c r="D13" s="78"/>
      <c r="E13" s="78"/>
      <c r="F13" s="78"/>
      <c r="G13" s="96"/>
      <c r="H13" s="96"/>
      <c r="I13" s="72"/>
      <c r="J13" s="90"/>
      <c r="K13" s="94"/>
      <c r="L13" s="79"/>
      <c r="M13" s="78"/>
    </row>
    <row r="14" spans="1:15" ht="10.5" customHeight="1" x14ac:dyDescent="0.2">
      <c r="A14" s="78"/>
      <c r="B14" s="78"/>
      <c r="C14" s="78"/>
      <c r="D14" s="78"/>
      <c r="E14" s="78"/>
      <c r="F14" s="78"/>
      <c r="G14" s="96"/>
      <c r="H14" s="96"/>
      <c r="I14" s="72"/>
      <c r="J14" s="90"/>
      <c r="K14" s="94"/>
      <c r="L14" s="79"/>
      <c r="M14" s="78"/>
    </row>
    <row r="15" spans="1:15" ht="10.5" customHeight="1" x14ac:dyDescent="0.2">
      <c r="A15" s="78"/>
      <c r="B15" s="78"/>
      <c r="C15" s="78"/>
      <c r="D15" s="78"/>
      <c r="E15" s="78"/>
      <c r="F15" s="78"/>
      <c r="G15" s="96"/>
      <c r="H15" s="96"/>
      <c r="I15" s="72"/>
      <c r="J15" s="90"/>
      <c r="K15" s="94"/>
      <c r="L15" s="79"/>
      <c r="M15" s="78"/>
    </row>
    <row r="16" spans="1:15" ht="10.8" thickBot="1" x14ac:dyDescent="0.25">
      <c r="A16" s="78"/>
      <c r="B16" s="78"/>
      <c r="C16" s="78"/>
      <c r="D16" s="78"/>
      <c r="E16" s="78"/>
      <c r="F16" s="78"/>
      <c r="G16" s="93"/>
      <c r="H16" s="96"/>
      <c r="I16" s="72"/>
      <c r="J16" s="90"/>
      <c r="K16" s="94"/>
      <c r="L16" s="79"/>
      <c r="M16" s="78"/>
    </row>
    <row r="17" spans="1:13" ht="20.25" customHeight="1" thickTop="1" thickBot="1" x14ac:dyDescent="0.25">
      <c r="A17" s="156" t="s">
        <v>77</v>
      </c>
      <c r="B17" s="156"/>
      <c r="C17" s="156"/>
      <c r="D17" s="156"/>
      <c r="E17" s="156"/>
      <c r="F17" s="156"/>
      <c r="G17" s="68">
        <f>SUM(G6:G16)</f>
        <v>473101</v>
      </c>
      <c r="H17" s="68">
        <f>SUM(H6:H16)</f>
        <v>472170</v>
      </c>
      <c r="I17" s="68">
        <f>SUM(I6:I16)</f>
        <v>0</v>
      </c>
      <c r="J17" s="68">
        <f>SUM(J6:J16)</f>
        <v>64556</v>
      </c>
      <c r="K17" s="68"/>
      <c r="L17" s="68"/>
      <c r="M17" s="69"/>
    </row>
    <row r="18" spans="1:13" x14ac:dyDescent="0.2">
      <c r="A18" s="53"/>
      <c r="B18" s="53"/>
      <c r="C18" s="53"/>
      <c r="D18" s="53"/>
      <c r="E18" s="53"/>
      <c r="F18" s="53"/>
      <c r="G18" s="53"/>
      <c r="H18" s="53"/>
      <c r="I18" s="53"/>
    </row>
    <row r="19" spans="1:13" x14ac:dyDescent="0.2">
      <c r="A19" s="53"/>
      <c r="B19" s="53"/>
      <c r="C19" s="53"/>
      <c r="D19" s="53"/>
      <c r="E19" s="53"/>
      <c r="F19" s="53"/>
      <c r="G19" s="53"/>
      <c r="H19" s="53"/>
      <c r="I19" s="53"/>
    </row>
    <row r="20" spans="1:13" x14ac:dyDescent="0.2">
      <c r="A20" s="53"/>
      <c r="B20" s="53"/>
      <c r="C20" s="53"/>
      <c r="D20" s="53"/>
      <c r="E20" s="53"/>
      <c r="F20" s="53"/>
      <c r="G20" s="53"/>
      <c r="H20" s="53"/>
      <c r="I20" s="53"/>
    </row>
    <row r="21" spans="1:13" x14ac:dyDescent="0.2">
      <c r="A21" s="53"/>
      <c r="B21" s="53"/>
      <c r="C21" s="53"/>
      <c r="D21" s="53"/>
      <c r="E21" s="53"/>
      <c r="F21" s="53"/>
      <c r="G21" s="53"/>
      <c r="H21" s="53"/>
      <c r="I21" s="53"/>
    </row>
    <row r="22" spans="1:13" x14ac:dyDescent="0.2">
      <c r="A22" s="53"/>
      <c r="B22" s="53"/>
      <c r="C22" s="53"/>
      <c r="D22" s="53"/>
      <c r="E22" s="53"/>
      <c r="F22" s="53"/>
      <c r="G22" s="53"/>
      <c r="H22" s="53"/>
      <c r="I22" s="53"/>
    </row>
    <row r="23" spans="1:13" x14ac:dyDescent="0.2">
      <c r="A23" s="53"/>
      <c r="B23" s="53"/>
      <c r="C23" s="53"/>
      <c r="D23" s="53"/>
      <c r="E23" s="53"/>
      <c r="F23" s="53"/>
      <c r="G23" s="53"/>
      <c r="H23" s="53"/>
      <c r="I23" s="53"/>
    </row>
    <row r="24" spans="1:13" x14ac:dyDescent="0.2">
      <c r="A24" s="53"/>
      <c r="B24" s="53"/>
      <c r="C24" s="53"/>
      <c r="D24" s="53"/>
      <c r="E24" s="53"/>
      <c r="F24" s="53"/>
      <c r="G24" s="53"/>
      <c r="H24" s="53"/>
      <c r="I24" s="53"/>
    </row>
    <row r="25" spans="1:13" x14ac:dyDescent="0.2">
      <c r="A25" s="53"/>
      <c r="B25" s="53"/>
      <c r="C25" s="53"/>
      <c r="D25" s="53"/>
      <c r="E25" s="53"/>
      <c r="F25" s="53"/>
      <c r="G25" s="53"/>
      <c r="H25" s="53"/>
      <c r="I25" s="53"/>
    </row>
    <row r="26" spans="1:13" x14ac:dyDescent="0.2">
      <c r="A26" s="53"/>
      <c r="B26" s="53"/>
      <c r="C26" s="53"/>
      <c r="D26" s="53"/>
      <c r="E26" s="53"/>
      <c r="F26" s="53"/>
      <c r="G26" s="53"/>
      <c r="H26" s="53"/>
      <c r="I26" s="53"/>
    </row>
    <row r="27" spans="1:13" x14ac:dyDescent="0.2">
      <c r="A27" s="53"/>
      <c r="B27" s="53"/>
      <c r="C27" s="53"/>
      <c r="D27" s="53"/>
      <c r="E27" s="53"/>
      <c r="F27" s="53"/>
      <c r="G27" s="53"/>
      <c r="H27" s="53"/>
      <c r="I27" s="53"/>
    </row>
    <row r="28" spans="1:13" x14ac:dyDescent="0.2">
      <c r="A28" s="77"/>
      <c r="B28" s="77"/>
      <c r="C28" s="77"/>
      <c r="D28" s="77"/>
      <c r="E28" s="77"/>
      <c r="F28" s="77"/>
      <c r="G28" s="77"/>
      <c r="H28" s="77"/>
      <c r="I28" s="77"/>
    </row>
    <row r="29" spans="1:13" x14ac:dyDescent="0.2">
      <c r="A29" s="77"/>
      <c r="B29" s="77"/>
      <c r="C29" s="77"/>
      <c r="D29" s="77"/>
      <c r="E29" s="77"/>
      <c r="F29" s="77"/>
      <c r="G29" s="77"/>
      <c r="H29" s="77"/>
      <c r="I29" s="77"/>
    </row>
    <row r="30" spans="1:13" x14ac:dyDescent="0.2">
      <c r="A30" s="77"/>
      <c r="B30" s="77"/>
      <c r="C30" s="77"/>
      <c r="D30" s="77"/>
      <c r="E30" s="77"/>
      <c r="F30" s="77"/>
      <c r="G30" s="77"/>
      <c r="H30" s="77"/>
      <c r="I30" s="77"/>
    </row>
    <row r="31" spans="1:13" x14ac:dyDescent="0.2">
      <c r="A31" s="72"/>
      <c r="B31" s="72"/>
      <c r="C31" s="72"/>
      <c r="D31" s="72"/>
      <c r="E31" s="72"/>
      <c r="F31" s="72"/>
      <c r="G31" s="72"/>
      <c r="H31" s="53"/>
      <c r="I31" s="72"/>
    </row>
    <row r="32" spans="1:13" x14ac:dyDescent="0.2">
      <c r="A32" s="72"/>
      <c r="B32" s="72"/>
      <c r="C32" s="72"/>
      <c r="D32" s="72"/>
      <c r="E32" s="72"/>
      <c r="F32" s="72"/>
      <c r="G32" s="72"/>
      <c r="H32" s="72"/>
      <c r="I32" s="72"/>
    </row>
    <row r="33" spans="1:9" x14ac:dyDescent="0.2">
      <c r="A33" s="72"/>
      <c r="B33" s="72"/>
      <c r="C33" s="72"/>
      <c r="D33" s="72"/>
      <c r="E33" s="72"/>
      <c r="F33" s="72"/>
      <c r="G33" s="72"/>
      <c r="H33" s="72"/>
      <c r="I33" s="72"/>
    </row>
    <row r="34" spans="1:9" x14ac:dyDescent="0.2">
      <c r="A34" s="72"/>
      <c r="B34" s="72"/>
      <c r="C34" s="72"/>
      <c r="D34" s="72"/>
      <c r="E34" s="72"/>
      <c r="F34" s="72"/>
      <c r="G34" s="72"/>
      <c r="H34" s="72"/>
      <c r="I34" s="72"/>
    </row>
    <row r="35" spans="1:9" x14ac:dyDescent="0.2">
      <c r="A35" s="72"/>
      <c r="B35" s="72"/>
      <c r="C35" s="72"/>
      <c r="D35" s="72"/>
      <c r="E35" s="72"/>
      <c r="F35" s="72"/>
      <c r="G35" s="72"/>
      <c r="H35" s="72"/>
      <c r="I35" s="72"/>
    </row>
    <row r="36" spans="1:9" x14ac:dyDescent="0.2">
      <c r="A36" s="72"/>
      <c r="B36" s="72"/>
      <c r="C36" s="72"/>
      <c r="D36" s="72"/>
      <c r="E36" s="72"/>
      <c r="F36" s="72"/>
      <c r="G36" s="72"/>
      <c r="H36" s="72"/>
      <c r="I36" s="72"/>
    </row>
    <row r="37" spans="1:9" x14ac:dyDescent="0.2">
      <c r="A37" s="72"/>
      <c r="B37" s="72"/>
      <c r="C37" s="72"/>
      <c r="D37" s="72"/>
      <c r="E37" s="72"/>
      <c r="F37" s="72"/>
      <c r="G37" s="72"/>
      <c r="H37" s="72"/>
      <c r="I37" s="72"/>
    </row>
    <row r="38" spans="1:9" x14ac:dyDescent="0.2">
      <c r="A38" s="72"/>
      <c r="B38" s="72"/>
      <c r="C38" s="72"/>
      <c r="D38" s="72"/>
      <c r="E38" s="72"/>
      <c r="F38" s="72"/>
      <c r="G38" s="72"/>
      <c r="H38" s="72"/>
      <c r="I38" s="72"/>
    </row>
    <row r="39" spans="1:9" x14ac:dyDescent="0.2">
      <c r="A39" s="72"/>
      <c r="B39" s="72"/>
      <c r="C39" s="72"/>
      <c r="D39" s="72"/>
      <c r="E39" s="72"/>
      <c r="F39" s="72"/>
      <c r="G39" s="72"/>
      <c r="H39" s="72"/>
      <c r="I39" s="72"/>
    </row>
    <row r="40" spans="1:9" x14ac:dyDescent="0.2">
      <c r="A40" s="72"/>
      <c r="B40" s="72"/>
      <c r="C40" s="72"/>
      <c r="D40" s="72"/>
      <c r="E40" s="72"/>
      <c r="F40" s="72"/>
      <c r="G40" s="72"/>
      <c r="H40" s="72"/>
      <c r="I40" s="72"/>
    </row>
    <row r="41" spans="1:9" x14ac:dyDescent="0.2">
      <c r="A41" s="70"/>
      <c r="B41" s="71"/>
      <c r="C41" s="71"/>
      <c r="D41" s="71"/>
      <c r="E41" s="71"/>
      <c r="F41" s="71"/>
      <c r="G41" s="71"/>
      <c r="H41" s="71"/>
      <c r="I41" s="71"/>
    </row>
    <row r="42" spans="1:9" x14ac:dyDescent="0.2">
      <c r="A42" s="72"/>
      <c r="B42" s="72"/>
      <c r="C42" s="72"/>
      <c r="D42" s="72"/>
      <c r="E42" s="72"/>
      <c r="F42" s="72"/>
      <c r="G42" s="72"/>
      <c r="H42" s="72"/>
      <c r="I42" s="72"/>
    </row>
    <row r="43" spans="1:9" x14ac:dyDescent="0.2">
      <c r="A43" s="72"/>
      <c r="B43" s="72"/>
      <c r="C43" s="72"/>
      <c r="D43" s="72"/>
      <c r="E43" s="72"/>
      <c r="F43" s="72"/>
      <c r="G43" s="72"/>
      <c r="H43" s="72"/>
      <c r="I43" s="72"/>
    </row>
    <row r="44" spans="1:9" x14ac:dyDescent="0.2">
      <c r="A44" s="72"/>
      <c r="B44" s="72"/>
      <c r="C44" s="72"/>
      <c r="D44" s="72"/>
      <c r="E44" s="72"/>
      <c r="F44" s="72"/>
      <c r="G44" s="72"/>
      <c r="H44" s="72"/>
      <c r="I44" s="72"/>
    </row>
    <row r="45" spans="1:9" x14ac:dyDescent="0.2">
      <c r="A45" s="72"/>
      <c r="B45" s="72"/>
      <c r="C45" s="72"/>
      <c r="D45" s="72"/>
      <c r="E45" s="72"/>
      <c r="F45" s="72"/>
      <c r="G45" s="72"/>
      <c r="H45" s="72"/>
      <c r="I45" s="72"/>
    </row>
    <row r="46" spans="1:9" x14ac:dyDescent="0.2">
      <c r="A46" s="73"/>
      <c r="B46" s="73"/>
      <c r="C46" s="73"/>
      <c r="D46" s="73"/>
      <c r="E46" s="73"/>
      <c r="F46" s="73"/>
      <c r="G46" s="73"/>
      <c r="H46" s="73"/>
      <c r="I46" s="73"/>
    </row>
    <row r="47" spans="1:9" x14ac:dyDescent="0.2">
      <c r="A47" s="74"/>
      <c r="B47" s="75"/>
      <c r="C47" s="75"/>
      <c r="D47" s="75"/>
      <c r="E47" s="75"/>
      <c r="F47" s="75"/>
      <c r="G47" s="75"/>
      <c r="H47" s="75"/>
      <c r="I47" s="75"/>
    </row>
    <row r="48" spans="1:9" x14ac:dyDescent="0.2">
      <c r="A48" s="76"/>
      <c r="B48" s="75"/>
      <c r="C48" s="75"/>
      <c r="D48" s="75"/>
      <c r="E48" s="75"/>
      <c r="F48" s="75"/>
      <c r="G48" s="75"/>
      <c r="H48" s="75"/>
      <c r="I48" s="75"/>
    </row>
    <row r="49" spans="1:9" x14ac:dyDescent="0.2">
      <c r="A49" s="76"/>
      <c r="B49" s="76"/>
      <c r="C49" s="76"/>
      <c r="D49" s="76"/>
      <c r="E49" s="76"/>
      <c r="F49" s="76"/>
      <c r="G49" s="76"/>
      <c r="H49" s="76"/>
      <c r="I49" s="76"/>
    </row>
    <row r="50" spans="1:9" x14ac:dyDescent="0.2">
      <c r="A50" s="72"/>
      <c r="B50" s="72"/>
      <c r="C50" s="72"/>
      <c r="D50" s="72"/>
      <c r="E50" s="72"/>
      <c r="F50" s="72"/>
      <c r="G50" s="72"/>
      <c r="H50" s="72"/>
      <c r="I50" s="72"/>
    </row>
    <row r="51" spans="1:9" x14ac:dyDescent="0.2">
      <c r="A51" s="71"/>
      <c r="B51" s="71"/>
      <c r="C51" s="71"/>
      <c r="D51" s="71"/>
      <c r="E51" s="71"/>
      <c r="F51" s="71"/>
      <c r="G51" s="71"/>
      <c r="H51" s="71"/>
      <c r="I51" s="72"/>
    </row>
    <row r="52" spans="1:9" x14ac:dyDescent="0.2">
      <c r="A52" s="72"/>
      <c r="B52" s="72"/>
      <c r="C52" s="72"/>
      <c r="D52" s="72"/>
      <c r="E52" s="72"/>
      <c r="F52" s="72"/>
      <c r="G52" s="72"/>
      <c r="H52" s="72"/>
      <c r="I52" s="72"/>
    </row>
    <row r="53" spans="1:9" x14ac:dyDescent="0.2">
      <c r="A53" s="72"/>
      <c r="B53" s="72"/>
      <c r="C53" s="72"/>
      <c r="D53" s="72"/>
      <c r="E53" s="72"/>
      <c r="F53" s="72"/>
      <c r="G53" s="72"/>
      <c r="H53" s="72"/>
      <c r="I53" s="72"/>
    </row>
    <row r="54" spans="1:9" x14ac:dyDescent="0.2">
      <c r="A54" s="72"/>
      <c r="B54" s="72"/>
      <c r="C54" s="72"/>
      <c r="D54" s="72"/>
      <c r="E54" s="72"/>
      <c r="F54" s="72"/>
      <c r="G54" s="72"/>
      <c r="H54" s="72"/>
      <c r="I54" s="72"/>
    </row>
    <row r="55" spans="1:9" x14ac:dyDescent="0.2">
      <c r="A55" s="72"/>
      <c r="B55" s="72"/>
      <c r="C55" s="72"/>
      <c r="D55" s="72"/>
      <c r="E55" s="72"/>
      <c r="F55" s="72"/>
      <c r="G55" s="72"/>
      <c r="H55" s="72"/>
      <c r="I55" s="72"/>
    </row>
    <row r="56" spans="1:9" x14ac:dyDescent="0.2">
      <c r="A56" s="72"/>
      <c r="B56" s="72"/>
      <c r="C56" s="72"/>
      <c r="D56" s="72"/>
      <c r="E56" s="72"/>
      <c r="F56" s="72"/>
      <c r="G56" s="72"/>
      <c r="H56" s="72"/>
      <c r="I56" s="72"/>
    </row>
    <row r="57" spans="1:9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x14ac:dyDescent="0.2">
      <c r="A58" s="72"/>
      <c r="B58" s="72"/>
      <c r="C58" s="72"/>
      <c r="D58" s="72"/>
      <c r="E58" s="72"/>
      <c r="F58" s="72"/>
      <c r="G58" s="72"/>
      <c r="H58" s="72"/>
      <c r="I58" s="72"/>
    </row>
    <row r="59" spans="1:9" x14ac:dyDescent="0.2">
      <c r="A59" s="72"/>
      <c r="B59" s="72"/>
      <c r="C59" s="72"/>
      <c r="D59" s="72"/>
      <c r="E59" s="72"/>
      <c r="F59" s="72"/>
      <c r="G59" s="72"/>
      <c r="H59" s="72"/>
      <c r="I59" s="72"/>
    </row>
    <row r="60" spans="1:9" x14ac:dyDescent="0.2">
      <c r="A60" s="72"/>
      <c r="B60" s="72"/>
      <c r="C60" s="72"/>
      <c r="D60" s="72"/>
      <c r="E60" s="72"/>
      <c r="F60" s="72"/>
      <c r="G60" s="72"/>
      <c r="H60" s="72"/>
      <c r="I60" s="72"/>
    </row>
    <row r="61" spans="1:9" x14ac:dyDescent="0.2">
      <c r="A61" s="72"/>
      <c r="B61" s="72"/>
      <c r="C61" s="72"/>
      <c r="D61" s="72"/>
      <c r="E61" s="72"/>
      <c r="F61" s="72"/>
      <c r="G61" s="72"/>
      <c r="H61" s="72"/>
      <c r="I61" s="72"/>
    </row>
    <row r="62" spans="1:9" x14ac:dyDescent="0.2">
      <c r="A62" s="72"/>
      <c r="B62" s="72"/>
      <c r="C62" s="72"/>
      <c r="D62" s="72"/>
      <c r="E62" s="72"/>
      <c r="F62" s="72"/>
      <c r="G62" s="72"/>
      <c r="H62" s="72"/>
      <c r="I62" s="72"/>
    </row>
    <row r="63" spans="1:9" x14ac:dyDescent="0.2">
      <c r="A63" s="72"/>
      <c r="B63" s="72"/>
      <c r="C63" s="72"/>
      <c r="D63" s="72"/>
      <c r="E63" s="72"/>
      <c r="F63" s="72"/>
      <c r="G63" s="72"/>
      <c r="H63" s="72"/>
      <c r="I63" s="72"/>
    </row>
    <row r="64" spans="1:9" x14ac:dyDescent="0.2">
      <c r="A64" s="72"/>
      <c r="B64" s="72"/>
      <c r="C64" s="72"/>
      <c r="D64" s="72"/>
      <c r="E64" s="72"/>
      <c r="F64" s="72"/>
      <c r="G64" s="72"/>
      <c r="H64" s="72"/>
      <c r="I64" s="72"/>
    </row>
    <row r="65" spans="1:9" x14ac:dyDescent="0.2">
      <c r="A65" s="72"/>
      <c r="B65" s="72"/>
      <c r="C65" s="72"/>
      <c r="D65" s="72"/>
      <c r="E65" s="72"/>
      <c r="F65" s="72"/>
      <c r="G65" s="72"/>
      <c r="H65" s="72"/>
      <c r="I65" s="72"/>
    </row>
    <row r="66" spans="1:9" x14ac:dyDescent="0.2">
      <c r="A66" s="72"/>
      <c r="B66" s="72"/>
      <c r="C66" s="72"/>
      <c r="D66" s="72"/>
      <c r="E66" s="72"/>
      <c r="F66" s="72"/>
      <c r="G66" s="72"/>
      <c r="H66" s="72"/>
      <c r="I66" s="72"/>
    </row>
    <row r="67" spans="1:9" x14ac:dyDescent="0.2">
      <c r="A67" s="72"/>
      <c r="B67" s="72"/>
      <c r="C67" s="72"/>
      <c r="D67" s="72"/>
      <c r="E67" s="72"/>
      <c r="F67" s="72"/>
      <c r="G67" s="72"/>
      <c r="H67" s="72"/>
      <c r="I67" s="72"/>
    </row>
    <row r="68" spans="1:9" x14ac:dyDescent="0.2">
      <c r="A68" s="72"/>
      <c r="B68" s="72"/>
      <c r="C68" s="72"/>
      <c r="D68" s="72"/>
      <c r="E68" s="72"/>
      <c r="F68" s="72"/>
      <c r="G68" s="72"/>
      <c r="H68" s="72"/>
      <c r="I68" s="72"/>
    </row>
    <row r="69" spans="1:9" x14ac:dyDescent="0.2">
      <c r="A69" s="53"/>
      <c r="B69" s="53"/>
      <c r="C69" s="53"/>
      <c r="D69" s="53"/>
      <c r="E69" s="53"/>
      <c r="F69" s="53"/>
      <c r="G69" s="53"/>
      <c r="H69" s="53"/>
      <c r="I69" s="53"/>
    </row>
    <row r="70" spans="1:9" x14ac:dyDescent="0.2">
      <c r="A70" s="53"/>
      <c r="B70" s="53"/>
      <c r="C70" s="53"/>
      <c r="D70" s="53"/>
      <c r="E70" s="53"/>
      <c r="F70" s="53"/>
      <c r="G70" s="53"/>
      <c r="H70" s="53"/>
      <c r="I70" s="53"/>
    </row>
    <row r="71" spans="1:9" x14ac:dyDescent="0.2">
      <c r="A71" s="53"/>
      <c r="B71" s="53"/>
      <c r="C71" s="53"/>
      <c r="D71" s="53"/>
      <c r="E71" s="53"/>
      <c r="F71" s="53"/>
      <c r="G71" s="53"/>
      <c r="H71" s="53"/>
      <c r="I71" s="53"/>
    </row>
    <row r="72" spans="1:9" x14ac:dyDescent="0.2">
      <c r="A72" s="53"/>
      <c r="B72" s="53"/>
      <c r="C72" s="53"/>
      <c r="D72" s="53"/>
      <c r="E72" s="53"/>
      <c r="F72" s="53"/>
      <c r="G72" s="53"/>
      <c r="H72" s="53"/>
      <c r="I72" s="53"/>
    </row>
    <row r="73" spans="1:9" x14ac:dyDescent="0.2">
      <c r="A73" s="53"/>
      <c r="B73" s="53"/>
      <c r="C73" s="53"/>
      <c r="D73" s="53"/>
      <c r="E73" s="53"/>
      <c r="F73" s="53"/>
      <c r="G73" s="53"/>
      <c r="H73" s="53"/>
      <c r="I73" s="53"/>
    </row>
    <row r="74" spans="1:9" x14ac:dyDescent="0.2">
      <c r="A74" s="53"/>
      <c r="B74" s="53"/>
      <c r="C74" s="53"/>
      <c r="D74" s="53"/>
      <c r="E74" s="53"/>
      <c r="F74" s="53"/>
      <c r="G74" s="53"/>
      <c r="H74" s="53"/>
      <c r="I74" s="53"/>
    </row>
    <row r="75" spans="1:9" x14ac:dyDescent="0.2">
      <c r="A75" s="53"/>
      <c r="B75" s="53"/>
      <c r="C75" s="53"/>
      <c r="D75" s="53"/>
      <c r="E75" s="53"/>
      <c r="F75" s="53"/>
      <c r="G75" s="53"/>
      <c r="H75" s="53"/>
      <c r="I75" s="53"/>
    </row>
    <row r="76" spans="1:9" x14ac:dyDescent="0.2">
      <c r="A76" s="53"/>
      <c r="B76" s="53"/>
      <c r="C76" s="53"/>
      <c r="D76" s="53"/>
      <c r="E76" s="53"/>
      <c r="F76" s="53"/>
      <c r="G76" s="53"/>
      <c r="H76" s="53"/>
      <c r="I76" s="53"/>
    </row>
    <row r="77" spans="1:9" x14ac:dyDescent="0.2">
      <c r="A77" s="77"/>
      <c r="B77" s="77"/>
      <c r="C77" s="77"/>
      <c r="D77" s="77"/>
      <c r="E77" s="77"/>
      <c r="F77" s="77"/>
      <c r="G77" s="77"/>
      <c r="H77" s="77"/>
      <c r="I77" s="77"/>
    </row>
    <row r="78" spans="1:9" x14ac:dyDescent="0.2">
      <c r="A78" s="77"/>
      <c r="B78" s="77"/>
      <c r="C78" s="77"/>
      <c r="D78" s="77"/>
      <c r="E78" s="77"/>
      <c r="F78" s="77"/>
      <c r="G78" s="77"/>
      <c r="H78" s="77"/>
      <c r="I78" s="77"/>
    </row>
    <row r="79" spans="1:9" x14ac:dyDescent="0.2">
      <c r="A79" s="77"/>
      <c r="B79" s="77"/>
      <c r="C79" s="77"/>
      <c r="D79" s="77"/>
      <c r="E79" s="77"/>
      <c r="F79" s="77"/>
      <c r="G79" s="77"/>
      <c r="H79" s="77"/>
      <c r="I79" s="77"/>
    </row>
    <row r="80" spans="1:9" x14ac:dyDescent="0.2">
      <c r="A80" s="72"/>
      <c r="B80" s="72"/>
      <c r="C80" s="72"/>
      <c r="D80" s="72"/>
      <c r="E80" s="72"/>
      <c r="F80" s="72"/>
      <c r="G80" s="72"/>
      <c r="H80" s="53"/>
      <c r="I80" s="72"/>
    </row>
    <row r="81" spans="1:9" x14ac:dyDescent="0.2">
      <c r="A81" s="72"/>
      <c r="B81" s="72"/>
      <c r="C81" s="72"/>
      <c r="D81" s="72"/>
      <c r="E81" s="72"/>
      <c r="F81" s="72"/>
      <c r="G81" s="72"/>
      <c r="H81" s="72"/>
      <c r="I81" s="72"/>
    </row>
    <row r="82" spans="1:9" x14ac:dyDescent="0.2">
      <c r="A82" s="72"/>
      <c r="B82" s="72"/>
      <c r="C82" s="72"/>
      <c r="D82" s="72"/>
      <c r="E82" s="72"/>
      <c r="F82" s="72"/>
      <c r="G82" s="72"/>
      <c r="H82" s="72"/>
      <c r="I82" s="72"/>
    </row>
    <row r="83" spans="1:9" x14ac:dyDescent="0.2">
      <c r="A83" s="72"/>
      <c r="B83" s="72"/>
      <c r="C83" s="72"/>
      <c r="D83" s="72"/>
      <c r="E83" s="72"/>
      <c r="F83" s="72"/>
      <c r="G83" s="72"/>
      <c r="H83" s="72"/>
      <c r="I83" s="72"/>
    </row>
    <row r="84" spans="1:9" x14ac:dyDescent="0.2">
      <c r="A84" s="72"/>
      <c r="B84" s="72"/>
      <c r="C84" s="72"/>
      <c r="D84" s="72"/>
      <c r="E84" s="72"/>
      <c r="F84" s="72"/>
      <c r="G84" s="72"/>
      <c r="H84" s="72"/>
      <c r="I84" s="72"/>
    </row>
    <row r="85" spans="1:9" x14ac:dyDescent="0.2">
      <c r="A85" s="72"/>
      <c r="B85" s="72"/>
      <c r="C85" s="72"/>
      <c r="D85" s="72"/>
      <c r="E85" s="72"/>
      <c r="F85" s="72"/>
      <c r="G85" s="72"/>
      <c r="H85" s="72"/>
      <c r="I85" s="72"/>
    </row>
    <row r="86" spans="1:9" x14ac:dyDescent="0.2">
      <c r="A86" s="72"/>
      <c r="B86" s="72"/>
      <c r="C86" s="72"/>
      <c r="D86" s="72"/>
      <c r="E86" s="72"/>
      <c r="F86" s="72"/>
      <c r="G86" s="72"/>
      <c r="H86" s="72"/>
      <c r="I86" s="72"/>
    </row>
    <row r="87" spans="1:9" x14ac:dyDescent="0.2">
      <c r="A87" s="72"/>
      <c r="B87" s="72"/>
      <c r="C87" s="72"/>
      <c r="D87" s="72"/>
      <c r="E87" s="72"/>
      <c r="F87" s="72"/>
      <c r="G87" s="72"/>
      <c r="H87" s="72"/>
      <c r="I87" s="72"/>
    </row>
    <row r="88" spans="1:9" x14ac:dyDescent="0.2">
      <c r="A88" s="72"/>
      <c r="B88" s="72"/>
      <c r="C88" s="72"/>
      <c r="D88" s="72"/>
      <c r="E88" s="72"/>
      <c r="F88" s="72"/>
      <c r="G88" s="72"/>
      <c r="H88" s="72"/>
      <c r="I88" s="72"/>
    </row>
    <row r="89" spans="1:9" x14ac:dyDescent="0.2">
      <c r="A89" s="72"/>
      <c r="B89" s="72"/>
      <c r="C89" s="72"/>
      <c r="D89" s="72"/>
      <c r="E89" s="72"/>
      <c r="F89" s="72"/>
      <c r="G89" s="72"/>
      <c r="H89" s="72"/>
      <c r="I89" s="72"/>
    </row>
    <row r="90" spans="1:9" x14ac:dyDescent="0.2">
      <c r="A90" s="70"/>
      <c r="B90" s="71"/>
      <c r="C90" s="71"/>
      <c r="D90" s="71"/>
      <c r="E90" s="71"/>
      <c r="F90" s="71"/>
      <c r="G90" s="71"/>
      <c r="H90" s="71"/>
      <c r="I90" s="71"/>
    </row>
    <row r="91" spans="1:9" x14ac:dyDescent="0.2">
      <c r="A91" s="72"/>
      <c r="B91" s="72"/>
      <c r="C91" s="72"/>
      <c r="D91" s="72"/>
      <c r="E91" s="72"/>
      <c r="F91" s="72"/>
      <c r="G91" s="72"/>
      <c r="H91" s="72"/>
      <c r="I91" s="72"/>
    </row>
    <row r="92" spans="1:9" x14ac:dyDescent="0.2">
      <c r="A92" s="72"/>
      <c r="B92" s="72"/>
      <c r="C92" s="72"/>
      <c r="D92" s="72"/>
      <c r="E92" s="72"/>
      <c r="F92" s="72"/>
      <c r="G92" s="72"/>
      <c r="H92" s="72"/>
      <c r="I92" s="72"/>
    </row>
    <row r="93" spans="1:9" x14ac:dyDescent="0.2">
      <c r="A93" s="72"/>
      <c r="B93" s="72"/>
      <c r="C93" s="72"/>
      <c r="D93" s="72"/>
      <c r="E93" s="72"/>
      <c r="F93" s="72"/>
      <c r="G93" s="72"/>
      <c r="H93" s="72"/>
      <c r="I93" s="72"/>
    </row>
    <row r="94" spans="1:9" x14ac:dyDescent="0.2">
      <c r="A94" s="72"/>
      <c r="B94" s="72"/>
      <c r="C94" s="72"/>
      <c r="D94" s="72"/>
      <c r="E94" s="72"/>
      <c r="F94" s="72"/>
      <c r="G94" s="72"/>
      <c r="H94" s="72"/>
      <c r="I94" s="72"/>
    </row>
    <row r="95" spans="1:9" x14ac:dyDescent="0.2">
      <c r="A95" s="73"/>
      <c r="B95" s="73"/>
      <c r="C95" s="73"/>
      <c r="D95" s="73"/>
      <c r="E95" s="73"/>
      <c r="F95" s="73"/>
      <c r="G95" s="73"/>
      <c r="H95" s="73"/>
      <c r="I95" s="73"/>
    </row>
    <row r="96" spans="1:9" x14ac:dyDescent="0.2">
      <c r="A96" s="74"/>
      <c r="B96" s="75"/>
      <c r="C96" s="75"/>
      <c r="D96" s="75"/>
      <c r="E96" s="75"/>
      <c r="F96" s="75"/>
      <c r="G96" s="75"/>
      <c r="H96" s="75"/>
      <c r="I96" s="75"/>
    </row>
    <row r="97" spans="1:9" x14ac:dyDescent="0.2">
      <c r="A97" s="76"/>
      <c r="B97" s="75"/>
      <c r="C97" s="75"/>
      <c r="D97" s="75"/>
      <c r="E97" s="75"/>
      <c r="F97" s="75"/>
      <c r="G97" s="75"/>
      <c r="H97" s="75"/>
      <c r="I97" s="75"/>
    </row>
    <row r="98" spans="1:9" x14ac:dyDescent="0.2">
      <c r="A98" s="76"/>
      <c r="B98" s="76"/>
      <c r="C98" s="76"/>
      <c r="D98" s="76"/>
      <c r="E98" s="76"/>
      <c r="F98" s="76"/>
      <c r="G98" s="76"/>
      <c r="H98" s="76"/>
      <c r="I98" s="76"/>
    </row>
    <row r="99" spans="1:9" x14ac:dyDescent="0.2">
      <c r="A99" s="72"/>
      <c r="B99" s="72"/>
      <c r="C99" s="72"/>
      <c r="D99" s="72"/>
      <c r="E99" s="72"/>
      <c r="F99" s="72"/>
      <c r="G99" s="72"/>
      <c r="H99" s="72"/>
      <c r="I99" s="72"/>
    </row>
    <row r="100" spans="1:9" x14ac:dyDescent="0.2">
      <c r="A100" s="71"/>
      <c r="B100" s="71"/>
      <c r="C100" s="71"/>
      <c r="D100" s="71"/>
      <c r="E100" s="71"/>
      <c r="F100" s="71"/>
      <c r="G100" s="71"/>
      <c r="H100" s="71"/>
      <c r="I100" s="72"/>
    </row>
    <row r="101" spans="1:9" x14ac:dyDescent="0.2">
      <c r="A101" s="72"/>
      <c r="B101" s="72"/>
      <c r="C101" s="72"/>
      <c r="D101" s="72"/>
      <c r="E101" s="72"/>
      <c r="F101" s="72"/>
      <c r="G101" s="72"/>
      <c r="H101" s="72"/>
      <c r="I101" s="72"/>
    </row>
    <row r="102" spans="1:9" x14ac:dyDescent="0.2">
      <c r="A102" s="72"/>
      <c r="B102" s="72"/>
      <c r="C102" s="72"/>
      <c r="D102" s="72"/>
      <c r="E102" s="72"/>
      <c r="F102" s="72"/>
      <c r="G102" s="72"/>
      <c r="H102" s="72"/>
      <c r="I102" s="72"/>
    </row>
    <row r="103" spans="1:9" x14ac:dyDescent="0.2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 x14ac:dyDescent="0.2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 x14ac:dyDescent="0.2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 x14ac:dyDescent="0.2">
      <c r="A106" s="71"/>
      <c r="B106" s="71"/>
      <c r="C106" s="71"/>
      <c r="D106" s="71"/>
      <c r="E106" s="71"/>
      <c r="F106" s="71"/>
      <c r="G106" s="71"/>
      <c r="H106" s="71"/>
      <c r="I106" s="71"/>
    </row>
    <row r="107" spans="1:9" x14ac:dyDescent="0.2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 x14ac:dyDescent="0.2">
      <c r="A108" s="53"/>
      <c r="B108" s="53"/>
      <c r="C108" s="53"/>
      <c r="D108" s="53"/>
      <c r="E108" s="53"/>
      <c r="F108" s="53"/>
      <c r="G108" s="53"/>
      <c r="H108" s="53"/>
      <c r="I108" s="53"/>
    </row>
    <row r="109" spans="1:9" x14ac:dyDescent="0.2">
      <c r="A109" s="53"/>
      <c r="B109" s="53"/>
      <c r="C109" s="53"/>
      <c r="D109" s="53"/>
      <c r="E109" s="53"/>
      <c r="F109" s="53"/>
      <c r="G109" s="53"/>
      <c r="H109" s="53"/>
      <c r="I109" s="53"/>
    </row>
    <row r="110" spans="1:9" x14ac:dyDescent="0.2">
      <c r="A110" s="53"/>
      <c r="B110" s="53"/>
      <c r="C110" s="53"/>
      <c r="D110" s="53"/>
      <c r="E110" s="53"/>
      <c r="F110" s="53"/>
      <c r="G110" s="53"/>
      <c r="H110" s="53"/>
      <c r="I110" s="53"/>
    </row>
    <row r="111" spans="1:9" x14ac:dyDescent="0.2">
      <c r="A111" s="53"/>
      <c r="B111" s="53"/>
      <c r="C111" s="53"/>
      <c r="D111" s="53"/>
      <c r="E111" s="53"/>
      <c r="F111" s="53"/>
      <c r="G111" s="53"/>
      <c r="H111" s="53"/>
      <c r="I111" s="53"/>
    </row>
    <row r="112" spans="1:9" x14ac:dyDescent="0.2">
      <c r="A112" s="53"/>
      <c r="B112" s="53"/>
      <c r="C112" s="53"/>
      <c r="D112" s="53"/>
      <c r="E112" s="53"/>
      <c r="F112" s="53"/>
      <c r="G112" s="53"/>
      <c r="H112" s="53"/>
      <c r="I112" s="53"/>
    </row>
    <row r="113" spans="1:9" x14ac:dyDescent="0.2">
      <c r="A113" s="53"/>
      <c r="B113" s="53"/>
      <c r="C113" s="53"/>
      <c r="D113" s="53"/>
      <c r="E113" s="53"/>
      <c r="F113" s="53"/>
      <c r="G113" s="53"/>
      <c r="H113" s="53"/>
      <c r="I113" s="53"/>
    </row>
    <row r="114" spans="1:9" x14ac:dyDescent="0.2">
      <c r="A114" s="53"/>
      <c r="B114" s="53"/>
      <c r="C114" s="53"/>
      <c r="D114" s="53"/>
      <c r="E114" s="53"/>
      <c r="F114" s="53"/>
      <c r="G114" s="53"/>
      <c r="H114" s="53"/>
      <c r="I114" s="53"/>
    </row>
    <row r="115" spans="1:9" x14ac:dyDescent="0.2">
      <c r="A115" s="53"/>
      <c r="B115" s="53"/>
      <c r="C115" s="53"/>
      <c r="D115" s="53"/>
      <c r="E115" s="53"/>
      <c r="F115" s="53"/>
      <c r="G115" s="53"/>
      <c r="H115" s="53"/>
      <c r="I115" s="53"/>
    </row>
    <row r="116" spans="1:9" x14ac:dyDescent="0.2">
      <c r="A116" s="53"/>
      <c r="B116" s="53"/>
      <c r="C116" s="53"/>
      <c r="D116" s="53"/>
      <c r="E116" s="53"/>
      <c r="F116" s="53"/>
      <c r="G116" s="53"/>
      <c r="H116" s="53"/>
      <c r="I116" s="53"/>
    </row>
    <row r="117" spans="1:9" x14ac:dyDescent="0.2">
      <c r="A117" s="77"/>
      <c r="B117" s="77"/>
      <c r="C117" s="77"/>
      <c r="D117" s="77"/>
      <c r="E117" s="77"/>
      <c r="F117" s="77"/>
      <c r="G117" s="77"/>
      <c r="H117" s="77"/>
      <c r="I117" s="77"/>
    </row>
    <row r="118" spans="1:9" x14ac:dyDescent="0.2">
      <c r="A118" s="77"/>
      <c r="B118" s="77"/>
      <c r="C118" s="77"/>
      <c r="D118" s="77"/>
      <c r="E118" s="77"/>
      <c r="F118" s="77"/>
      <c r="G118" s="77"/>
      <c r="H118" s="77"/>
      <c r="I118" s="77"/>
    </row>
    <row r="119" spans="1:9" x14ac:dyDescent="0.2">
      <c r="A119" s="77"/>
      <c r="B119" s="77"/>
      <c r="C119" s="77"/>
      <c r="D119" s="77"/>
      <c r="E119" s="77"/>
      <c r="F119" s="77"/>
      <c r="G119" s="77"/>
      <c r="H119" s="77"/>
      <c r="I119" s="77"/>
    </row>
    <row r="120" spans="1:9" x14ac:dyDescent="0.2">
      <c r="A120" s="72"/>
      <c r="B120" s="72"/>
      <c r="C120" s="72"/>
      <c r="D120" s="72"/>
      <c r="E120" s="72"/>
      <c r="F120" s="72"/>
      <c r="G120" s="72"/>
      <c r="H120" s="53"/>
      <c r="I120" s="72"/>
    </row>
    <row r="121" spans="1:9" x14ac:dyDescent="0.2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 x14ac:dyDescent="0.2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 x14ac:dyDescent="0.2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 x14ac:dyDescent="0.2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 x14ac:dyDescent="0.2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 x14ac:dyDescent="0.2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 x14ac:dyDescent="0.2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 x14ac:dyDescent="0.2">
      <c r="A128" s="72"/>
      <c r="B128" s="72"/>
      <c r="C128" s="72"/>
      <c r="D128" s="72"/>
      <c r="E128" s="72"/>
      <c r="F128" s="72"/>
      <c r="G128" s="72"/>
      <c r="H128" s="72"/>
      <c r="I128" s="72"/>
    </row>
    <row r="129" spans="1:9" x14ac:dyDescent="0.2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 x14ac:dyDescent="0.2">
      <c r="A130" s="70"/>
      <c r="B130" s="71"/>
      <c r="C130" s="71"/>
      <c r="D130" s="71"/>
      <c r="E130" s="71"/>
      <c r="F130" s="71"/>
      <c r="G130" s="71"/>
      <c r="H130" s="71"/>
      <c r="I130" s="71"/>
    </row>
    <row r="131" spans="1:9" x14ac:dyDescent="0.2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 x14ac:dyDescent="0.2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 x14ac:dyDescent="0.2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 x14ac:dyDescent="0.2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 x14ac:dyDescent="0.2">
      <c r="A135" s="73"/>
      <c r="B135" s="73"/>
      <c r="C135" s="73"/>
      <c r="D135" s="73"/>
      <c r="E135" s="73"/>
      <c r="F135" s="73"/>
      <c r="G135" s="73"/>
      <c r="H135" s="73"/>
      <c r="I135" s="73"/>
    </row>
    <row r="136" spans="1:9" x14ac:dyDescent="0.2">
      <c r="A136" s="74"/>
      <c r="B136" s="75"/>
      <c r="C136" s="75"/>
      <c r="D136" s="75"/>
      <c r="E136" s="75"/>
      <c r="F136" s="75"/>
      <c r="G136" s="75"/>
      <c r="H136" s="75"/>
      <c r="I136" s="75"/>
    </row>
    <row r="137" spans="1:9" x14ac:dyDescent="0.2">
      <c r="A137" s="76"/>
      <c r="B137" s="75"/>
      <c r="C137" s="75"/>
      <c r="D137" s="75"/>
      <c r="E137" s="75"/>
      <c r="F137" s="75"/>
      <c r="G137" s="75"/>
      <c r="H137" s="75"/>
      <c r="I137" s="75"/>
    </row>
    <row r="138" spans="1:9" x14ac:dyDescent="0.2">
      <c r="A138" s="76"/>
      <c r="B138" s="76"/>
      <c r="C138" s="76"/>
      <c r="D138" s="76"/>
      <c r="E138" s="76"/>
      <c r="F138" s="76"/>
      <c r="G138" s="76"/>
      <c r="H138" s="76"/>
      <c r="I138" s="76"/>
    </row>
    <row r="139" spans="1:9" x14ac:dyDescent="0.2">
      <c r="A139" s="72"/>
      <c r="B139" s="72"/>
      <c r="C139" s="72"/>
      <c r="D139" s="72"/>
      <c r="E139" s="72"/>
      <c r="F139" s="72"/>
      <c r="G139" s="72"/>
      <c r="H139" s="72"/>
      <c r="I139" s="72"/>
    </row>
    <row r="140" spans="1:9" x14ac:dyDescent="0.2">
      <c r="A140" s="71"/>
      <c r="B140" s="71"/>
      <c r="C140" s="71"/>
      <c r="D140" s="71"/>
      <c r="E140" s="71"/>
      <c r="F140" s="71"/>
      <c r="G140" s="71"/>
      <c r="H140" s="71"/>
      <c r="I140" s="72"/>
    </row>
    <row r="141" spans="1:9" x14ac:dyDescent="0.2">
      <c r="A141" s="72"/>
      <c r="B141" s="72"/>
      <c r="C141" s="72"/>
      <c r="D141" s="72"/>
      <c r="E141" s="72"/>
      <c r="F141" s="72"/>
      <c r="G141" s="72"/>
      <c r="H141" s="72"/>
      <c r="I141" s="72"/>
    </row>
    <row r="142" spans="1:9" x14ac:dyDescent="0.2">
      <c r="A142" s="72"/>
      <c r="B142" s="72"/>
      <c r="C142" s="72"/>
      <c r="D142" s="72"/>
      <c r="E142" s="72"/>
      <c r="F142" s="72"/>
      <c r="G142" s="72"/>
      <c r="H142" s="72"/>
      <c r="I142" s="72"/>
    </row>
    <row r="143" spans="1:9" x14ac:dyDescent="0.2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 x14ac:dyDescent="0.2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 x14ac:dyDescent="0.2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 x14ac:dyDescent="0.2">
      <c r="A146" s="71"/>
      <c r="B146" s="71"/>
      <c r="C146" s="71"/>
      <c r="D146" s="71"/>
      <c r="E146" s="71"/>
      <c r="F146" s="71"/>
      <c r="G146" s="71"/>
      <c r="H146" s="71"/>
      <c r="I146" s="71"/>
    </row>
    <row r="147" spans="1:9" x14ac:dyDescent="0.2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 x14ac:dyDescent="0.2">
      <c r="A148" s="53"/>
      <c r="B148" s="53"/>
      <c r="C148" s="53"/>
      <c r="D148" s="53"/>
      <c r="E148" s="53"/>
      <c r="F148" s="53"/>
      <c r="G148" s="53"/>
      <c r="H148" s="53"/>
      <c r="I148" s="53"/>
    </row>
    <row r="149" spans="1:9" x14ac:dyDescent="0.2">
      <c r="A149" s="53"/>
      <c r="B149" s="53"/>
      <c r="C149" s="53"/>
      <c r="D149" s="53"/>
      <c r="E149" s="53"/>
      <c r="F149" s="53"/>
      <c r="G149" s="53"/>
      <c r="H149" s="53"/>
      <c r="I149" s="53"/>
    </row>
    <row r="150" spans="1:9" x14ac:dyDescent="0.2">
      <c r="A150" s="53"/>
      <c r="B150" s="53"/>
      <c r="C150" s="53"/>
      <c r="D150" s="53"/>
      <c r="E150" s="53"/>
      <c r="F150" s="53"/>
      <c r="G150" s="53"/>
      <c r="H150" s="53"/>
      <c r="I150" s="53"/>
    </row>
    <row r="151" spans="1:9" x14ac:dyDescent="0.2">
      <c r="A151" s="77"/>
      <c r="B151" s="77"/>
      <c r="C151" s="77"/>
      <c r="D151" s="77"/>
      <c r="E151" s="77"/>
      <c r="F151" s="77"/>
      <c r="G151" s="77"/>
      <c r="H151" s="77"/>
      <c r="I151" s="77"/>
    </row>
    <row r="152" spans="1:9" x14ac:dyDescent="0.2">
      <c r="A152" s="77"/>
      <c r="B152" s="77"/>
      <c r="C152" s="77"/>
      <c r="D152" s="77"/>
      <c r="E152" s="77"/>
      <c r="F152" s="77"/>
      <c r="G152" s="77"/>
      <c r="H152" s="77"/>
      <c r="I152" s="77"/>
    </row>
    <row r="153" spans="1:9" x14ac:dyDescent="0.2">
      <c r="A153" s="77"/>
      <c r="B153" s="77"/>
      <c r="C153" s="77"/>
      <c r="D153" s="77"/>
      <c r="E153" s="77"/>
      <c r="F153" s="77"/>
      <c r="G153" s="77"/>
      <c r="H153" s="77"/>
      <c r="I153" s="77"/>
    </row>
    <row r="154" spans="1:9" x14ac:dyDescent="0.2">
      <c r="A154" s="72"/>
      <c r="B154" s="72"/>
      <c r="C154" s="72"/>
      <c r="D154" s="72"/>
      <c r="E154" s="72"/>
      <c r="F154" s="72"/>
      <c r="G154" s="72"/>
      <c r="H154" s="53"/>
      <c r="I154" s="72"/>
    </row>
    <row r="155" spans="1:9" x14ac:dyDescent="0.2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 x14ac:dyDescent="0.2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 x14ac:dyDescent="0.2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 x14ac:dyDescent="0.2">
      <c r="A158" s="72"/>
      <c r="B158" s="72"/>
      <c r="C158" s="72"/>
      <c r="D158" s="72"/>
      <c r="E158" s="72"/>
      <c r="F158" s="72"/>
      <c r="G158" s="72"/>
      <c r="H158" s="72"/>
      <c r="I158" s="72"/>
    </row>
    <row r="159" spans="1:9" x14ac:dyDescent="0.2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 x14ac:dyDescent="0.2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 x14ac:dyDescent="0.2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 x14ac:dyDescent="0.2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 x14ac:dyDescent="0.2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 x14ac:dyDescent="0.2">
      <c r="A164" s="70"/>
      <c r="B164" s="71"/>
      <c r="C164" s="71"/>
      <c r="D164" s="71"/>
      <c r="E164" s="71"/>
      <c r="F164" s="71"/>
      <c r="G164" s="71"/>
      <c r="H164" s="71"/>
      <c r="I164" s="71"/>
    </row>
    <row r="165" spans="1:9" x14ac:dyDescent="0.2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 x14ac:dyDescent="0.2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 x14ac:dyDescent="0.2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 x14ac:dyDescent="0.2">
      <c r="A168" s="72"/>
      <c r="B168" s="72"/>
      <c r="C168" s="72"/>
      <c r="D168" s="72"/>
      <c r="E168" s="72"/>
      <c r="F168" s="72"/>
      <c r="G168" s="72"/>
      <c r="H168" s="72"/>
      <c r="I168" s="72"/>
    </row>
    <row r="169" spans="1:9" x14ac:dyDescent="0.2">
      <c r="A169" s="73"/>
      <c r="B169" s="73"/>
      <c r="C169" s="73"/>
      <c r="D169" s="73"/>
      <c r="E169" s="73"/>
      <c r="F169" s="73"/>
      <c r="G169" s="73"/>
      <c r="H169" s="73"/>
      <c r="I169" s="73"/>
    </row>
    <row r="170" spans="1:9" x14ac:dyDescent="0.2">
      <c r="A170" s="74"/>
      <c r="B170" s="75"/>
      <c r="C170" s="75"/>
      <c r="D170" s="75"/>
      <c r="E170" s="75"/>
      <c r="F170" s="75"/>
      <c r="G170" s="75"/>
      <c r="H170" s="75"/>
      <c r="I170" s="75"/>
    </row>
    <row r="171" spans="1:9" x14ac:dyDescent="0.2">
      <c r="A171" s="76"/>
      <c r="B171" s="75"/>
      <c r="C171" s="75"/>
      <c r="D171" s="75"/>
      <c r="E171" s="75"/>
      <c r="F171" s="75"/>
      <c r="G171" s="75"/>
      <c r="H171" s="75"/>
      <c r="I171" s="75"/>
    </row>
    <row r="172" spans="1:9" x14ac:dyDescent="0.2">
      <c r="A172" s="76"/>
      <c r="B172" s="76"/>
      <c r="C172" s="76"/>
      <c r="D172" s="76"/>
      <c r="E172" s="76"/>
      <c r="F172" s="76"/>
      <c r="G172" s="76"/>
      <c r="H172" s="76"/>
      <c r="I172" s="76"/>
    </row>
    <row r="173" spans="1:9" x14ac:dyDescent="0.2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 ht="21" customHeight="1" x14ac:dyDescent="0.2">
      <c r="A174" s="71"/>
      <c r="B174" s="71"/>
      <c r="C174" s="71"/>
      <c r="D174" s="71"/>
      <c r="E174" s="71"/>
      <c r="F174" s="71"/>
      <c r="G174" s="71"/>
      <c r="H174" s="71"/>
      <c r="I174" s="72"/>
    </row>
    <row r="175" spans="1:9" x14ac:dyDescent="0.2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 x14ac:dyDescent="0.2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 x14ac:dyDescent="0.2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 x14ac:dyDescent="0.2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 x14ac:dyDescent="0.2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x14ac:dyDescent="0.2">
      <c r="A180" s="71"/>
      <c r="B180" s="71"/>
      <c r="C180" s="71"/>
      <c r="D180" s="71"/>
      <c r="E180" s="71"/>
      <c r="F180" s="71"/>
      <c r="G180" s="71"/>
      <c r="H180" s="71"/>
      <c r="I180" s="71"/>
    </row>
    <row r="181" spans="1:9" x14ac:dyDescent="0.2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x14ac:dyDescent="0.2">
      <c r="A182" s="53"/>
      <c r="B182" s="53"/>
      <c r="C182" s="53"/>
      <c r="D182" s="53"/>
      <c r="E182" s="53"/>
      <c r="F182" s="53"/>
      <c r="G182" s="53"/>
      <c r="H182" s="53"/>
      <c r="I182" s="53"/>
    </row>
    <row r="183" spans="1:9" x14ac:dyDescent="0.2">
      <c r="A183" s="53"/>
      <c r="B183" s="53"/>
      <c r="C183" s="53"/>
      <c r="D183" s="53"/>
      <c r="E183" s="53"/>
      <c r="F183" s="53"/>
      <c r="G183" s="53"/>
      <c r="H183" s="53"/>
      <c r="I183" s="76"/>
    </row>
    <row r="184" spans="1:9" x14ac:dyDescent="0.2">
      <c r="A184" s="53"/>
      <c r="B184" s="53"/>
      <c r="C184" s="53"/>
      <c r="D184" s="53"/>
      <c r="E184" s="53"/>
      <c r="F184" s="53"/>
      <c r="G184" s="53"/>
      <c r="H184" s="53"/>
      <c r="I184" s="53"/>
    </row>
    <row r="185" spans="1:9" x14ac:dyDescent="0.2">
      <c r="A185" s="53"/>
      <c r="B185" s="53"/>
      <c r="C185" s="53"/>
      <c r="D185" s="53"/>
      <c r="E185" s="53"/>
      <c r="F185" s="53"/>
      <c r="G185" s="53"/>
      <c r="H185" s="53"/>
      <c r="I185" s="53"/>
    </row>
    <row r="186" spans="1:9" x14ac:dyDescent="0.2">
      <c r="A186" s="53"/>
      <c r="B186" s="53"/>
      <c r="C186" s="53"/>
      <c r="D186" s="53"/>
      <c r="E186" s="53"/>
      <c r="F186" s="53"/>
      <c r="G186" s="53"/>
      <c r="H186" s="53"/>
      <c r="I186" s="53"/>
    </row>
    <row r="187" spans="1:9" x14ac:dyDescent="0.2">
      <c r="A187" s="53"/>
      <c r="B187" s="53"/>
      <c r="C187" s="53"/>
      <c r="D187" s="53"/>
      <c r="E187" s="53"/>
      <c r="F187" s="53"/>
      <c r="G187" s="53"/>
      <c r="H187" s="53"/>
      <c r="I187" s="53"/>
    </row>
    <row r="188" spans="1:9" x14ac:dyDescent="0.2">
      <c r="A188" s="53"/>
      <c r="B188" s="53"/>
      <c r="C188" s="53"/>
      <c r="D188" s="53"/>
      <c r="E188" s="53"/>
      <c r="F188" s="53"/>
      <c r="G188" s="53"/>
      <c r="H188" s="53"/>
      <c r="I188" s="53"/>
    </row>
    <row r="189" spans="1:9" x14ac:dyDescent="0.2">
      <c r="A189" s="53"/>
      <c r="B189" s="53"/>
      <c r="C189" s="53"/>
      <c r="D189" s="53"/>
      <c r="E189" s="53"/>
      <c r="F189" s="53"/>
      <c r="G189" s="53"/>
      <c r="H189" s="53"/>
      <c r="I189" s="53"/>
    </row>
    <row r="190" spans="1:9" x14ac:dyDescent="0.2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 x14ac:dyDescent="0.2">
      <c r="A191" s="53"/>
      <c r="B191" s="53"/>
      <c r="C191" s="53"/>
      <c r="D191" s="53"/>
      <c r="E191" s="53"/>
      <c r="F191" s="53"/>
      <c r="G191" s="53"/>
      <c r="H191" s="53"/>
      <c r="I191" s="53"/>
    </row>
    <row r="192" spans="1:9" x14ac:dyDescent="0.2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 x14ac:dyDescent="0.2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 x14ac:dyDescent="0.2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 x14ac:dyDescent="0.2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 x14ac:dyDescent="0.2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 x14ac:dyDescent="0.2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 x14ac:dyDescent="0.2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 x14ac:dyDescent="0.2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 x14ac:dyDescent="0.2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 x14ac:dyDescent="0.2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 x14ac:dyDescent="0.2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 x14ac:dyDescent="0.2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 x14ac:dyDescent="0.2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x14ac:dyDescent="0.2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 x14ac:dyDescent="0.2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x14ac:dyDescent="0.2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x14ac:dyDescent="0.2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x14ac:dyDescent="0.2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x14ac:dyDescent="0.2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x14ac:dyDescent="0.2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x14ac:dyDescent="0.2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x14ac:dyDescent="0.2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x14ac:dyDescent="0.2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x14ac:dyDescent="0.2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x14ac:dyDescent="0.2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x14ac:dyDescent="0.2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x14ac:dyDescent="0.2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x14ac:dyDescent="0.2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x14ac:dyDescent="0.2">
      <c r="A220" s="53"/>
      <c r="B220" s="53"/>
      <c r="C220" s="53"/>
      <c r="D220" s="53"/>
      <c r="E220" s="53"/>
      <c r="F220" s="53"/>
      <c r="G220" s="53"/>
      <c r="H220" s="53"/>
      <c r="I220" s="53"/>
    </row>
  </sheetData>
  <sortState ref="O25:O34">
    <sortCondition ref="O25"/>
  </sortState>
  <mergeCells count="6">
    <mergeCell ref="A17:F17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225"/>
  <sheetViews>
    <sheetView showWhiteSpace="0" view="pageLayout" zoomScaleNormal="110" workbookViewId="0">
      <selection activeCell="H24" sqref="H24"/>
    </sheetView>
  </sheetViews>
  <sheetFormatPr defaultRowHeight="13.2" x14ac:dyDescent="0.25"/>
  <cols>
    <col min="1" max="1" width="4" customWidth="1"/>
    <col min="2" max="2" width="13" customWidth="1"/>
    <col min="3" max="3" width="14" bestFit="1" customWidth="1"/>
    <col min="4" max="4" width="14.10937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3.88671875" customWidth="1"/>
    <col min="11" max="11" width="14.5546875" bestFit="1" customWidth="1"/>
    <col min="12" max="12" width="11.33203125" style="1" bestFit="1" customWidth="1"/>
  </cols>
  <sheetData>
    <row r="1" spans="1:12" s="1" customFormat="1" ht="15.6" x14ac:dyDescent="0.3">
      <c r="A1"/>
      <c r="B1" s="5" t="s">
        <v>78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399999999999999" x14ac:dyDescent="0.3">
      <c r="A2"/>
      <c r="B2" s="153" t="s">
        <v>14</v>
      </c>
      <c r="C2" s="153"/>
      <c r="D2" s="153"/>
      <c r="E2" s="153"/>
      <c r="F2" s="153"/>
      <c r="G2" s="153"/>
      <c r="H2" s="153"/>
      <c r="I2" s="153"/>
      <c r="J2" s="153"/>
      <c r="K2" s="153"/>
    </row>
    <row r="3" spans="1:12" s="1" customFormat="1" ht="17.399999999999999" x14ac:dyDescent="0.3">
      <c r="A3"/>
      <c r="B3" s="154"/>
      <c r="C3" s="154"/>
      <c r="D3" s="154"/>
      <c r="E3" s="154"/>
      <c r="F3" s="154"/>
      <c r="G3" s="154"/>
      <c r="H3" s="154"/>
      <c r="I3" s="154"/>
      <c r="J3" s="154"/>
      <c r="K3" s="154"/>
    </row>
    <row r="4" spans="1:12" s="1" customFormat="1" ht="13.8" x14ac:dyDescent="0.25">
      <c r="A4"/>
      <c r="B4" s="33" t="s">
        <v>15</v>
      </c>
      <c r="C4" s="34" t="s">
        <v>16</v>
      </c>
      <c r="D4" s="52">
        <f ca="1">NOW()</f>
        <v>41967.663497337962</v>
      </c>
      <c r="E4" s="35"/>
      <c r="F4" s="35"/>
      <c r="G4" s="35"/>
      <c r="H4" s="35"/>
      <c r="I4" s="35"/>
      <c r="J4" s="35"/>
      <c r="K4" s="35"/>
    </row>
    <row r="5" spans="1:12" s="1" customFormat="1" ht="13.8" x14ac:dyDescent="0.25">
      <c r="A5"/>
      <c r="B5" s="33" t="s">
        <v>17</v>
      </c>
      <c r="C5" s="34" t="s">
        <v>16</v>
      </c>
      <c r="D5" s="36">
        <v>41883</v>
      </c>
      <c r="E5" s="35"/>
      <c r="F5" s="35"/>
      <c r="G5" s="35"/>
      <c r="H5" s="35"/>
      <c r="I5" s="35"/>
      <c r="J5" s="35"/>
      <c r="K5" s="35"/>
    </row>
    <row r="6" spans="1:12" s="1" customFormat="1" ht="13.8" x14ac:dyDescent="0.25">
      <c r="A6"/>
      <c r="B6" s="33" t="s">
        <v>18</v>
      </c>
      <c r="C6" s="34" t="s">
        <v>16</v>
      </c>
      <c r="D6" s="33" t="s">
        <v>79</v>
      </c>
      <c r="E6" s="35"/>
      <c r="F6" s="35"/>
      <c r="G6" s="35"/>
      <c r="H6" s="35"/>
      <c r="I6" s="35"/>
      <c r="J6" s="35"/>
      <c r="K6" s="35"/>
    </row>
    <row r="7" spans="1:12" s="1" customFormat="1" ht="13.8" x14ac:dyDescent="0.25">
      <c r="A7"/>
      <c r="B7" s="33" t="s">
        <v>19</v>
      </c>
      <c r="C7" s="34" t="s">
        <v>16</v>
      </c>
      <c r="D7" s="33" t="s">
        <v>71</v>
      </c>
      <c r="E7" s="35"/>
      <c r="F7" s="35"/>
      <c r="G7" s="35"/>
      <c r="H7" s="35"/>
      <c r="I7" s="35"/>
      <c r="J7" s="35"/>
      <c r="K7" s="35"/>
    </row>
    <row r="8" spans="1:12" s="1" customFormat="1" ht="13.8" x14ac:dyDescent="0.2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 x14ac:dyDescent="0.25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 x14ac:dyDescent="0.25">
      <c r="A10"/>
      <c r="B10" s="8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55" t="s">
        <v>26</v>
      </c>
      <c r="K10" s="155"/>
    </row>
    <row r="11" spans="1:12" s="1" customFormat="1" x14ac:dyDescent="0.25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 x14ac:dyDescent="0.25">
      <c r="A12"/>
      <c r="B12" s="129"/>
      <c r="C12" s="128"/>
      <c r="D12" s="130"/>
      <c r="E12" s="134"/>
      <c r="F12" s="132"/>
      <c r="G12" s="80"/>
      <c r="H12" s="135"/>
      <c r="I12" s="136"/>
      <c r="J12" s="87"/>
      <c r="K12" s="87"/>
      <c r="L12" s="97"/>
    </row>
    <row r="13" spans="1:12" s="1" customFormat="1" ht="19.5" customHeight="1" x14ac:dyDescent="0.25">
      <c r="A13"/>
      <c r="B13" s="129"/>
      <c r="C13" s="128"/>
      <c r="D13" s="130"/>
      <c r="E13" s="137"/>
      <c r="F13" s="132"/>
      <c r="G13" s="80"/>
      <c r="H13" s="133"/>
      <c r="I13" s="128"/>
      <c r="J13" s="87"/>
      <c r="K13" s="87"/>
      <c r="L13" s="97"/>
    </row>
    <row r="14" spans="1:12" s="1" customFormat="1" ht="19.5" customHeight="1" x14ac:dyDescent="0.25">
      <c r="A14"/>
      <c r="B14" s="129"/>
      <c r="C14" s="128"/>
      <c r="D14" s="130"/>
      <c r="E14" s="138"/>
      <c r="F14" s="132"/>
      <c r="G14" s="80"/>
      <c r="H14" s="133"/>
      <c r="I14" s="128"/>
      <c r="J14" s="87"/>
      <c r="K14" s="87"/>
      <c r="L14" s="97"/>
    </row>
    <row r="15" spans="1:12" s="1" customFormat="1" ht="19.5" customHeight="1" x14ac:dyDescent="0.25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 ht="20.25" customHeight="1" x14ac:dyDescent="0.25">
      <c r="A16" s="21"/>
      <c r="B16" s="79"/>
      <c r="C16" s="78"/>
      <c r="D16" s="94"/>
      <c r="E16" s="95"/>
      <c r="F16" s="96"/>
      <c r="G16" s="23"/>
      <c r="H16" s="32"/>
      <c r="I16" s="78"/>
      <c r="J16" s="120"/>
      <c r="K16" s="87"/>
      <c r="L16" s="97"/>
    </row>
    <row r="17" spans="1:11" s="1" customFormat="1" x14ac:dyDescent="0.25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 x14ac:dyDescent="0.25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3.8" x14ac:dyDescent="0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3.8" x14ac:dyDescent="0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 x14ac:dyDescent="0.25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3.8" x14ac:dyDescent="0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3.8" x14ac:dyDescent="0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3.8" x14ac:dyDescent="0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3.8" x14ac:dyDescent="0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3.8" x14ac:dyDescent="0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3.8" x14ac:dyDescent="0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3.8" x14ac:dyDescent="0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3.8" x14ac:dyDescent="0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3.8" x14ac:dyDescent="0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3.8" x14ac:dyDescent="0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 x14ac:dyDescent="0.25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6" x14ac:dyDescent="0.3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6" x14ac:dyDescent="0.3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6" x14ac:dyDescent="0.3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.6" x14ac:dyDescent="0.3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.6" x14ac:dyDescent="0.3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.6" x14ac:dyDescent="0.3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.6" x14ac:dyDescent="0.3">
      <c r="B39" s="19"/>
      <c r="C39" s="19"/>
      <c r="D39" s="19"/>
      <c r="E39" s="19"/>
      <c r="F39" s="19"/>
      <c r="G39" s="19"/>
    </row>
    <row r="40" spans="1:11" ht="15.6" x14ac:dyDescent="0.3">
      <c r="B40" s="19"/>
      <c r="C40" s="19"/>
      <c r="D40" s="19"/>
      <c r="E40" s="19"/>
      <c r="F40" s="19"/>
      <c r="G40" s="19"/>
    </row>
    <row r="41" spans="1:11" ht="15.6" x14ac:dyDescent="0.3">
      <c r="B41" s="19"/>
      <c r="C41" s="19"/>
      <c r="D41" s="19"/>
      <c r="E41" s="19"/>
      <c r="F41" s="19"/>
      <c r="G41" s="19"/>
    </row>
    <row r="42" spans="1:11" ht="15.6" x14ac:dyDescent="0.3">
      <c r="B42" s="19"/>
      <c r="C42" s="19"/>
      <c r="D42" s="19"/>
      <c r="E42" s="19"/>
      <c r="F42" s="19"/>
      <c r="G42" s="19"/>
    </row>
    <row r="43" spans="1:11" ht="15.6" x14ac:dyDescent="0.3">
      <c r="B43" s="19"/>
      <c r="C43" s="19"/>
      <c r="D43" s="19"/>
      <c r="E43" s="19"/>
      <c r="F43" s="19"/>
      <c r="G43" s="19"/>
    </row>
    <row r="44" spans="1:11" ht="15.6" x14ac:dyDescent="0.3">
      <c r="B44" s="19"/>
      <c r="C44" s="19"/>
      <c r="D44" s="19"/>
      <c r="E44" s="19"/>
      <c r="F44" s="19"/>
      <c r="G44" s="19"/>
    </row>
    <row r="45" spans="1:11" ht="15.6" x14ac:dyDescent="0.3">
      <c r="B45" s="19"/>
      <c r="C45" s="19"/>
      <c r="D45" s="19"/>
      <c r="E45" s="19"/>
      <c r="F45" s="19"/>
      <c r="G45" s="19"/>
    </row>
    <row r="46" spans="1:11" ht="15.6" x14ac:dyDescent="0.3">
      <c r="B46" s="22"/>
      <c r="C46" s="7"/>
      <c r="D46" s="7"/>
      <c r="E46" s="7"/>
      <c r="F46" s="7"/>
      <c r="G46" s="7"/>
    </row>
    <row r="47" spans="1:11" ht="15.6" x14ac:dyDescent="0.3">
      <c r="B47" s="19"/>
      <c r="C47" s="19"/>
      <c r="D47" s="19"/>
      <c r="E47" s="19"/>
      <c r="F47" s="19"/>
      <c r="G47" s="19"/>
    </row>
    <row r="48" spans="1:11" ht="15.6" x14ac:dyDescent="0.3">
      <c r="B48" s="19"/>
      <c r="C48" s="19"/>
      <c r="D48" s="19"/>
      <c r="E48" s="19"/>
      <c r="F48" s="19"/>
      <c r="G48" s="19"/>
    </row>
    <row r="49" spans="2:7" ht="15.6" x14ac:dyDescent="0.3">
      <c r="B49" s="19"/>
      <c r="C49" s="19"/>
      <c r="D49" s="19"/>
      <c r="E49" s="19"/>
      <c r="F49" s="19"/>
      <c r="G49" s="19"/>
    </row>
    <row r="50" spans="2:7" ht="15.6" x14ac:dyDescent="0.3">
      <c r="B50" s="19"/>
      <c r="C50" s="19"/>
      <c r="D50" s="19"/>
      <c r="E50" s="19"/>
      <c r="F50" s="19"/>
      <c r="G50" s="19"/>
    </row>
    <row r="51" spans="2:7" x14ac:dyDescent="0.25">
      <c r="B51" s="23"/>
      <c r="C51" s="23"/>
      <c r="D51" s="23"/>
      <c r="E51" s="23"/>
      <c r="F51" s="23"/>
      <c r="G51" s="23"/>
    </row>
    <row r="52" spans="2:7" x14ac:dyDescent="0.25">
      <c r="B52" s="24"/>
      <c r="C52" s="25"/>
      <c r="D52" s="25"/>
      <c r="E52" s="25"/>
      <c r="F52" s="25"/>
      <c r="G52" s="25"/>
    </row>
    <row r="53" spans="2:7" x14ac:dyDescent="0.25">
      <c r="B53" s="26"/>
      <c r="C53" s="25"/>
      <c r="D53" s="25"/>
      <c r="E53" s="25"/>
      <c r="F53" s="25"/>
      <c r="G53" s="25"/>
    </row>
    <row r="54" spans="2:7" x14ac:dyDescent="0.25">
      <c r="B54" s="26"/>
      <c r="C54" s="26"/>
      <c r="D54" s="26"/>
      <c r="E54" s="26"/>
      <c r="F54" s="26"/>
      <c r="G54" s="26"/>
    </row>
    <row r="55" spans="2:7" ht="15.6" x14ac:dyDescent="0.3">
      <c r="B55" s="19"/>
      <c r="C55" s="19"/>
      <c r="D55" s="19"/>
      <c r="E55" s="19"/>
      <c r="F55" s="19"/>
      <c r="G55" s="19"/>
    </row>
    <row r="56" spans="2:7" ht="15.6" x14ac:dyDescent="0.3">
      <c r="B56" s="7"/>
      <c r="C56" s="7"/>
      <c r="D56" s="7"/>
      <c r="E56" s="7"/>
      <c r="F56" s="7"/>
      <c r="G56" s="19"/>
    </row>
    <row r="57" spans="2:7" ht="15.6" x14ac:dyDescent="0.3">
      <c r="B57" s="19"/>
      <c r="C57" s="19"/>
      <c r="D57" s="19"/>
      <c r="E57" s="19"/>
      <c r="F57" s="19"/>
      <c r="G57" s="19"/>
    </row>
    <row r="58" spans="2:7" ht="15.6" x14ac:dyDescent="0.3">
      <c r="B58" s="19"/>
      <c r="C58" s="19"/>
      <c r="D58" s="19"/>
      <c r="E58" s="19"/>
      <c r="F58" s="19"/>
      <c r="G58" s="19"/>
    </row>
    <row r="59" spans="2:7" ht="15.6" x14ac:dyDescent="0.3">
      <c r="B59" s="19"/>
      <c r="C59" s="19"/>
      <c r="D59" s="19"/>
      <c r="E59" s="19"/>
      <c r="F59" s="19"/>
      <c r="G59" s="19"/>
    </row>
    <row r="60" spans="2:7" ht="15.6" x14ac:dyDescent="0.3">
      <c r="B60" s="19"/>
      <c r="C60" s="19"/>
      <c r="D60" s="19"/>
      <c r="E60" s="19"/>
      <c r="F60" s="19"/>
      <c r="G60" s="19"/>
    </row>
    <row r="61" spans="2:7" ht="15.6" x14ac:dyDescent="0.3">
      <c r="B61" s="19"/>
      <c r="C61" s="19"/>
      <c r="D61" s="19"/>
      <c r="E61" s="19"/>
      <c r="F61" s="19"/>
      <c r="G61" s="19"/>
    </row>
    <row r="62" spans="2:7" ht="15.6" x14ac:dyDescent="0.3">
      <c r="B62" s="7"/>
      <c r="C62" s="7"/>
      <c r="D62" s="7"/>
      <c r="E62" s="7"/>
      <c r="F62" s="7"/>
      <c r="G62" s="7"/>
    </row>
    <row r="63" spans="2:7" ht="15.6" x14ac:dyDescent="0.3">
      <c r="B63" s="19"/>
      <c r="C63" s="19"/>
      <c r="D63" s="19"/>
      <c r="E63" s="19"/>
      <c r="F63" s="19"/>
      <c r="G63" s="19"/>
    </row>
    <row r="64" spans="2:7" ht="15.6" x14ac:dyDescent="0.3">
      <c r="B64" s="19"/>
      <c r="C64" s="19"/>
      <c r="D64" s="19"/>
      <c r="E64" s="19"/>
      <c r="F64" s="19"/>
      <c r="G64" s="19"/>
    </row>
    <row r="65" spans="2:7" ht="15.6" x14ac:dyDescent="0.3">
      <c r="B65" s="19"/>
      <c r="C65" s="19"/>
      <c r="D65" s="19"/>
      <c r="E65" s="19"/>
      <c r="F65" s="19"/>
      <c r="G65" s="19"/>
    </row>
    <row r="66" spans="2:7" ht="15.6" x14ac:dyDescent="0.3">
      <c r="B66" s="19"/>
      <c r="C66" s="19"/>
      <c r="D66" s="19"/>
      <c r="E66" s="19"/>
      <c r="F66" s="19"/>
      <c r="G66" s="19"/>
    </row>
    <row r="67" spans="2:7" ht="15.6" x14ac:dyDescent="0.3">
      <c r="B67" s="19"/>
      <c r="C67" s="19"/>
      <c r="D67" s="19"/>
      <c r="E67" s="19"/>
      <c r="F67" s="19"/>
      <c r="G67" s="19"/>
    </row>
    <row r="68" spans="2:7" ht="15.6" x14ac:dyDescent="0.3">
      <c r="B68" s="19"/>
      <c r="C68" s="19"/>
      <c r="D68" s="19"/>
      <c r="E68" s="19"/>
      <c r="F68" s="19"/>
      <c r="G68" s="19"/>
    </row>
    <row r="69" spans="2:7" ht="15.6" x14ac:dyDescent="0.3">
      <c r="B69" s="19"/>
      <c r="C69" s="19"/>
      <c r="D69" s="19"/>
      <c r="E69" s="19"/>
      <c r="F69" s="19"/>
      <c r="G69" s="19"/>
    </row>
    <row r="70" spans="2:7" ht="15.6" x14ac:dyDescent="0.3">
      <c r="B70" s="19"/>
      <c r="C70" s="19"/>
      <c r="D70" s="19"/>
      <c r="E70" s="19"/>
      <c r="F70" s="19"/>
      <c r="G70" s="19"/>
    </row>
    <row r="71" spans="2:7" ht="15.6" x14ac:dyDescent="0.3">
      <c r="B71" s="19"/>
      <c r="C71" s="19"/>
      <c r="D71" s="19"/>
      <c r="E71" s="19"/>
      <c r="F71" s="19"/>
      <c r="G71" s="19"/>
    </row>
    <row r="72" spans="2:7" ht="15.6" x14ac:dyDescent="0.3">
      <c r="B72" s="19"/>
      <c r="C72" s="19"/>
      <c r="D72" s="19"/>
      <c r="E72" s="19"/>
      <c r="F72" s="19"/>
      <c r="G72" s="19"/>
    </row>
    <row r="73" spans="2:7" ht="15.6" x14ac:dyDescent="0.3">
      <c r="B73" s="19"/>
      <c r="C73" s="19"/>
      <c r="D73" s="19"/>
      <c r="E73" s="19"/>
      <c r="F73" s="19"/>
      <c r="G73" s="19"/>
    </row>
    <row r="74" spans="2:7" ht="13.8" x14ac:dyDescent="0.25">
      <c r="B74" s="27"/>
      <c r="C74" s="27"/>
      <c r="D74" s="27"/>
      <c r="E74" s="27"/>
      <c r="F74" s="27"/>
      <c r="G74" s="27"/>
    </row>
    <row r="75" spans="2:7" x14ac:dyDescent="0.25">
      <c r="B75" s="21"/>
      <c r="C75" s="21"/>
      <c r="D75" s="21"/>
      <c r="E75" s="21"/>
      <c r="F75" s="21"/>
      <c r="G75" s="21"/>
    </row>
    <row r="76" spans="2:7" x14ac:dyDescent="0.25">
      <c r="B76" s="21"/>
      <c r="C76" s="21"/>
      <c r="D76" s="21"/>
      <c r="E76" s="21"/>
      <c r="F76" s="21"/>
      <c r="G76" s="21"/>
    </row>
    <row r="77" spans="2:7" x14ac:dyDescent="0.25">
      <c r="B77" s="21"/>
      <c r="C77" s="21"/>
      <c r="D77" s="21"/>
      <c r="E77" s="21"/>
      <c r="F77" s="21"/>
      <c r="G77" s="21"/>
    </row>
    <row r="78" spans="2:7" x14ac:dyDescent="0.25">
      <c r="B78" s="21"/>
      <c r="C78" s="21"/>
      <c r="D78" s="21"/>
      <c r="E78" s="21"/>
      <c r="F78" s="21"/>
      <c r="G78" s="21"/>
    </row>
    <row r="79" spans="2:7" x14ac:dyDescent="0.25">
      <c r="B79" s="21"/>
      <c r="C79" s="21"/>
      <c r="D79" s="21"/>
      <c r="E79" s="21"/>
      <c r="F79" s="21"/>
      <c r="G79" s="21"/>
    </row>
    <row r="80" spans="2:7" x14ac:dyDescent="0.25">
      <c r="B80" s="21"/>
      <c r="C80" s="21"/>
      <c r="D80" s="21"/>
      <c r="E80" s="21"/>
      <c r="F80" s="21"/>
      <c r="G80" s="21"/>
    </row>
    <row r="81" spans="2:7" x14ac:dyDescent="0.25">
      <c r="B81" s="21"/>
      <c r="C81" s="21"/>
      <c r="D81" s="21"/>
      <c r="E81" s="21"/>
      <c r="F81" s="21"/>
      <c r="G81" s="21"/>
    </row>
    <row r="82" spans="2:7" ht="15.6" x14ac:dyDescent="0.35">
      <c r="B82" s="18"/>
      <c r="C82" s="18"/>
      <c r="D82" s="18"/>
      <c r="E82" s="18"/>
      <c r="F82" s="18"/>
      <c r="G82" s="18"/>
    </row>
    <row r="83" spans="2:7" ht="15.6" x14ac:dyDescent="0.35">
      <c r="B83" s="18"/>
      <c r="C83" s="18"/>
      <c r="D83" s="18"/>
      <c r="E83" s="18"/>
      <c r="F83" s="18"/>
      <c r="G83" s="18"/>
    </row>
    <row r="84" spans="2:7" ht="15.6" x14ac:dyDescent="0.35">
      <c r="B84" s="18"/>
      <c r="C84" s="18"/>
      <c r="D84" s="18"/>
      <c r="E84" s="18"/>
      <c r="F84" s="18"/>
      <c r="G84" s="18"/>
    </row>
    <row r="85" spans="2:7" ht="15.6" x14ac:dyDescent="0.3">
      <c r="B85" s="19"/>
      <c r="C85" s="19"/>
      <c r="D85" s="19"/>
      <c r="E85" s="19"/>
      <c r="F85" s="20"/>
      <c r="G85" s="19"/>
    </row>
    <row r="86" spans="2:7" ht="15.6" x14ac:dyDescent="0.3">
      <c r="B86" s="19"/>
      <c r="C86" s="19"/>
      <c r="D86" s="19"/>
      <c r="E86" s="19"/>
      <c r="F86" s="19"/>
      <c r="G86" s="19"/>
    </row>
    <row r="87" spans="2:7" ht="15.6" x14ac:dyDescent="0.3">
      <c r="B87" s="19"/>
      <c r="C87" s="19"/>
      <c r="D87" s="19"/>
      <c r="E87" s="19"/>
      <c r="F87" s="19"/>
      <c r="G87" s="19"/>
    </row>
    <row r="88" spans="2:7" ht="15.6" x14ac:dyDescent="0.3">
      <c r="B88" s="19"/>
      <c r="C88" s="19"/>
      <c r="D88" s="19"/>
      <c r="E88" s="19"/>
      <c r="F88" s="19"/>
      <c r="G88" s="19"/>
    </row>
    <row r="89" spans="2:7" ht="15.6" x14ac:dyDescent="0.3">
      <c r="B89" s="19"/>
      <c r="C89" s="19"/>
      <c r="D89" s="19"/>
      <c r="E89" s="19"/>
      <c r="F89" s="19"/>
      <c r="G89" s="19"/>
    </row>
    <row r="90" spans="2:7" ht="15.6" x14ac:dyDescent="0.3">
      <c r="B90" s="19"/>
      <c r="C90" s="19"/>
      <c r="D90" s="19"/>
      <c r="E90" s="19"/>
      <c r="F90" s="19"/>
      <c r="G90" s="19"/>
    </row>
    <row r="91" spans="2:7" ht="15.6" x14ac:dyDescent="0.3">
      <c r="B91" s="19"/>
      <c r="C91" s="19"/>
      <c r="D91" s="19"/>
      <c r="E91" s="19"/>
      <c r="F91" s="19"/>
      <c r="G91" s="19"/>
    </row>
    <row r="92" spans="2:7" ht="15.6" x14ac:dyDescent="0.3">
      <c r="B92" s="19"/>
      <c r="C92" s="19"/>
      <c r="D92" s="19"/>
      <c r="E92" s="19"/>
      <c r="F92" s="19"/>
      <c r="G92" s="19"/>
    </row>
    <row r="93" spans="2:7" ht="15.6" x14ac:dyDescent="0.3">
      <c r="B93" s="19"/>
      <c r="C93" s="19"/>
      <c r="D93" s="19"/>
      <c r="E93" s="19"/>
      <c r="F93" s="19"/>
      <c r="G93" s="19"/>
    </row>
    <row r="94" spans="2:7" ht="15.6" x14ac:dyDescent="0.3">
      <c r="B94" s="19"/>
      <c r="C94" s="19"/>
      <c r="D94" s="19"/>
      <c r="E94" s="19"/>
      <c r="F94" s="19"/>
      <c r="G94" s="19"/>
    </row>
    <row r="95" spans="2:7" ht="15.6" x14ac:dyDescent="0.3">
      <c r="B95" s="22"/>
      <c r="C95" s="7"/>
      <c r="D95" s="7"/>
      <c r="E95" s="7"/>
      <c r="F95" s="7"/>
      <c r="G95" s="7"/>
    </row>
    <row r="96" spans="2:7" ht="15.6" x14ac:dyDescent="0.3">
      <c r="B96" s="19"/>
      <c r="C96" s="19"/>
      <c r="D96" s="19"/>
      <c r="E96" s="19"/>
      <c r="F96" s="19"/>
      <c r="G96" s="19"/>
    </row>
    <row r="97" spans="2:7" ht="15.6" x14ac:dyDescent="0.3">
      <c r="B97" s="19"/>
      <c r="C97" s="19"/>
      <c r="D97" s="19"/>
      <c r="E97" s="19"/>
      <c r="F97" s="19"/>
      <c r="G97" s="19"/>
    </row>
    <row r="98" spans="2:7" ht="15.6" x14ac:dyDescent="0.3">
      <c r="B98" s="19"/>
      <c r="C98" s="19"/>
      <c r="D98" s="19"/>
      <c r="E98" s="19"/>
      <c r="F98" s="19"/>
      <c r="G98" s="19"/>
    </row>
    <row r="99" spans="2:7" ht="15.6" x14ac:dyDescent="0.3">
      <c r="B99" s="19"/>
      <c r="C99" s="19"/>
      <c r="D99" s="19"/>
      <c r="E99" s="19"/>
      <c r="F99" s="19"/>
      <c r="G99" s="19"/>
    </row>
    <row r="100" spans="2:7" x14ac:dyDescent="0.25">
      <c r="B100" s="23"/>
      <c r="C100" s="23"/>
      <c r="D100" s="23"/>
      <c r="E100" s="23"/>
      <c r="F100" s="23"/>
      <c r="G100" s="23"/>
    </row>
    <row r="101" spans="2:7" x14ac:dyDescent="0.25">
      <c r="B101" s="24"/>
      <c r="C101" s="25"/>
      <c r="D101" s="25"/>
      <c r="E101" s="25"/>
      <c r="F101" s="25"/>
      <c r="G101" s="25"/>
    </row>
    <row r="102" spans="2:7" x14ac:dyDescent="0.25">
      <c r="B102" s="26"/>
      <c r="C102" s="25"/>
      <c r="D102" s="25"/>
      <c r="E102" s="25"/>
      <c r="F102" s="25"/>
      <c r="G102" s="25"/>
    </row>
    <row r="103" spans="2:7" x14ac:dyDescent="0.25">
      <c r="B103" s="26"/>
      <c r="C103" s="26"/>
      <c r="D103" s="26"/>
      <c r="E103" s="26"/>
      <c r="F103" s="26"/>
      <c r="G103" s="26"/>
    </row>
    <row r="104" spans="2:7" ht="15.6" x14ac:dyDescent="0.3">
      <c r="B104" s="19"/>
      <c r="C104" s="19"/>
      <c r="D104" s="19"/>
      <c r="E104" s="19"/>
      <c r="F104" s="19"/>
      <c r="G104" s="19"/>
    </row>
    <row r="105" spans="2:7" ht="15.6" x14ac:dyDescent="0.3">
      <c r="B105" s="7"/>
      <c r="C105" s="7"/>
      <c r="D105" s="7"/>
      <c r="E105" s="7"/>
      <c r="F105" s="7"/>
      <c r="G105" s="19"/>
    </row>
    <row r="106" spans="2:7" ht="15.6" x14ac:dyDescent="0.3">
      <c r="B106" s="19"/>
      <c r="C106" s="19"/>
      <c r="D106" s="19"/>
      <c r="E106" s="19"/>
      <c r="F106" s="19"/>
      <c r="G106" s="19"/>
    </row>
    <row r="107" spans="2:7" ht="15.6" x14ac:dyDescent="0.3">
      <c r="B107" s="19"/>
      <c r="C107" s="19"/>
      <c r="D107" s="19"/>
      <c r="E107" s="19"/>
      <c r="F107" s="19"/>
      <c r="G107" s="19"/>
    </row>
    <row r="108" spans="2:7" ht="15.6" x14ac:dyDescent="0.3">
      <c r="B108" s="19"/>
      <c r="C108" s="19"/>
      <c r="D108" s="19"/>
      <c r="E108" s="19"/>
      <c r="F108" s="19"/>
      <c r="G108" s="19"/>
    </row>
    <row r="109" spans="2:7" ht="15.6" x14ac:dyDescent="0.3">
      <c r="B109" s="19"/>
      <c r="C109" s="19"/>
      <c r="D109" s="19"/>
      <c r="E109" s="19"/>
      <c r="F109" s="19"/>
      <c r="G109" s="19"/>
    </row>
    <row r="110" spans="2:7" ht="15.6" x14ac:dyDescent="0.3">
      <c r="B110" s="19"/>
      <c r="C110" s="19"/>
      <c r="D110" s="19"/>
      <c r="E110" s="19"/>
      <c r="F110" s="19"/>
      <c r="G110" s="19"/>
    </row>
    <row r="111" spans="2:7" ht="15.6" x14ac:dyDescent="0.3">
      <c r="B111" s="7"/>
      <c r="C111" s="7"/>
      <c r="D111" s="7"/>
      <c r="E111" s="7"/>
      <c r="F111" s="7"/>
      <c r="G111" s="7"/>
    </row>
    <row r="112" spans="2:7" ht="15.6" x14ac:dyDescent="0.3">
      <c r="B112" s="19"/>
      <c r="C112" s="19"/>
      <c r="D112" s="19"/>
      <c r="E112" s="19"/>
      <c r="F112" s="19"/>
      <c r="G112" s="19"/>
    </row>
    <row r="113" spans="2:7" ht="13.8" x14ac:dyDescent="0.25">
      <c r="B113" s="27"/>
      <c r="C113" s="27"/>
      <c r="D113" s="27"/>
      <c r="E113" s="27"/>
      <c r="F113" s="27"/>
      <c r="G113" s="27"/>
    </row>
    <row r="114" spans="2:7" x14ac:dyDescent="0.25">
      <c r="B114" s="21"/>
      <c r="C114" s="21"/>
      <c r="D114" s="21"/>
      <c r="E114" s="21"/>
      <c r="F114" s="21"/>
      <c r="G114" s="21"/>
    </row>
    <row r="115" spans="2:7" x14ac:dyDescent="0.25">
      <c r="B115" s="21"/>
      <c r="C115" s="21"/>
      <c r="D115" s="21"/>
      <c r="E115" s="21"/>
      <c r="F115" s="21"/>
      <c r="G115" s="21"/>
    </row>
    <row r="116" spans="2:7" x14ac:dyDescent="0.25">
      <c r="B116" s="21"/>
      <c r="C116" s="21"/>
      <c r="D116" s="21"/>
      <c r="E116" s="21"/>
      <c r="F116" s="21"/>
      <c r="G116" s="21"/>
    </row>
    <row r="117" spans="2:7" x14ac:dyDescent="0.25">
      <c r="B117" s="21"/>
      <c r="C117" s="21"/>
      <c r="D117" s="21"/>
      <c r="E117" s="21"/>
      <c r="F117" s="21"/>
      <c r="G117" s="21"/>
    </row>
    <row r="118" spans="2:7" x14ac:dyDescent="0.25">
      <c r="B118" s="21"/>
      <c r="C118" s="21"/>
      <c r="D118" s="21"/>
      <c r="E118" s="21"/>
      <c r="F118" s="21"/>
      <c r="G118" s="21"/>
    </row>
    <row r="119" spans="2:7" x14ac:dyDescent="0.25">
      <c r="B119" s="21"/>
      <c r="C119" s="21"/>
      <c r="D119" s="21"/>
      <c r="E119" s="21"/>
      <c r="F119" s="21"/>
      <c r="G119" s="21"/>
    </row>
    <row r="120" spans="2:7" x14ac:dyDescent="0.25">
      <c r="B120" s="21"/>
      <c r="C120" s="21"/>
      <c r="D120" s="21"/>
      <c r="E120" s="21"/>
      <c r="F120" s="21"/>
      <c r="G120" s="21"/>
    </row>
    <row r="121" spans="2:7" x14ac:dyDescent="0.25">
      <c r="B121" s="21"/>
      <c r="C121" s="21"/>
      <c r="D121" s="21"/>
      <c r="E121" s="21"/>
      <c r="F121" s="21"/>
      <c r="G121" s="21"/>
    </row>
    <row r="122" spans="2:7" ht="15.6" x14ac:dyDescent="0.35">
      <c r="B122" s="18"/>
      <c r="C122" s="18"/>
      <c r="D122" s="18"/>
      <c r="E122" s="18"/>
      <c r="F122" s="18"/>
      <c r="G122" s="18"/>
    </row>
    <row r="123" spans="2:7" ht="15.6" x14ac:dyDescent="0.35">
      <c r="B123" s="18"/>
      <c r="C123" s="18"/>
      <c r="D123" s="18"/>
      <c r="E123" s="18"/>
      <c r="F123" s="18"/>
      <c r="G123" s="18"/>
    </row>
    <row r="124" spans="2:7" ht="15.6" x14ac:dyDescent="0.35">
      <c r="B124" s="18"/>
      <c r="C124" s="18"/>
      <c r="D124" s="18"/>
      <c r="E124" s="18"/>
      <c r="F124" s="18"/>
      <c r="G124" s="18"/>
    </row>
    <row r="125" spans="2:7" ht="15.6" x14ac:dyDescent="0.3">
      <c r="B125" s="19"/>
      <c r="C125" s="19"/>
      <c r="D125" s="19"/>
      <c r="E125" s="19"/>
      <c r="F125" s="20"/>
      <c r="G125" s="19"/>
    </row>
    <row r="126" spans="2:7" ht="15.6" x14ac:dyDescent="0.3">
      <c r="B126" s="19"/>
      <c r="C126" s="19"/>
      <c r="D126" s="19"/>
      <c r="E126" s="19"/>
      <c r="F126" s="19"/>
      <c r="G126" s="19"/>
    </row>
    <row r="127" spans="2:7" ht="15.6" x14ac:dyDescent="0.3">
      <c r="B127" s="19"/>
      <c r="C127" s="19"/>
      <c r="D127" s="19"/>
      <c r="E127" s="19"/>
      <c r="F127" s="19"/>
      <c r="G127" s="19"/>
    </row>
    <row r="128" spans="2:7" ht="15.6" x14ac:dyDescent="0.3">
      <c r="B128" s="19"/>
      <c r="C128" s="19"/>
      <c r="D128" s="19"/>
      <c r="E128" s="19"/>
      <c r="F128" s="19"/>
      <c r="G128" s="19"/>
    </row>
    <row r="129" spans="2:7" ht="15.6" x14ac:dyDescent="0.3">
      <c r="B129" s="19"/>
      <c r="C129" s="19"/>
      <c r="D129" s="19"/>
      <c r="E129" s="19"/>
      <c r="F129" s="19"/>
      <c r="G129" s="19"/>
    </row>
    <row r="130" spans="2:7" ht="15.6" x14ac:dyDescent="0.3">
      <c r="B130" s="19"/>
      <c r="C130" s="19"/>
      <c r="D130" s="19"/>
      <c r="E130" s="19"/>
      <c r="F130" s="19"/>
      <c r="G130" s="19"/>
    </row>
    <row r="131" spans="2:7" ht="15.6" x14ac:dyDescent="0.3">
      <c r="B131" s="19"/>
      <c r="C131" s="19"/>
      <c r="D131" s="19"/>
      <c r="E131" s="19"/>
      <c r="F131" s="19"/>
      <c r="G131" s="19"/>
    </row>
    <row r="132" spans="2:7" ht="15.6" x14ac:dyDescent="0.3">
      <c r="B132" s="19"/>
      <c r="C132" s="19"/>
      <c r="D132" s="19"/>
      <c r="E132" s="19"/>
      <c r="F132" s="19"/>
      <c r="G132" s="19"/>
    </row>
    <row r="133" spans="2:7" ht="15.6" x14ac:dyDescent="0.3">
      <c r="B133" s="19"/>
      <c r="C133" s="19"/>
      <c r="D133" s="19"/>
      <c r="E133" s="19"/>
      <c r="F133" s="19"/>
      <c r="G133" s="19"/>
    </row>
    <row r="134" spans="2:7" ht="15.6" x14ac:dyDescent="0.3">
      <c r="B134" s="19"/>
      <c r="C134" s="19"/>
      <c r="D134" s="19"/>
      <c r="E134" s="19"/>
      <c r="F134" s="19"/>
      <c r="G134" s="19"/>
    </row>
    <row r="135" spans="2:7" ht="15.6" x14ac:dyDescent="0.3">
      <c r="B135" s="22"/>
      <c r="C135" s="7"/>
      <c r="D135" s="7"/>
      <c r="E135" s="7"/>
      <c r="F135" s="7"/>
      <c r="G135" s="7"/>
    </row>
    <row r="136" spans="2:7" ht="15.6" x14ac:dyDescent="0.3">
      <c r="B136" s="19"/>
      <c r="C136" s="19"/>
      <c r="D136" s="19"/>
      <c r="E136" s="19"/>
      <c r="F136" s="19"/>
      <c r="G136" s="19"/>
    </row>
    <row r="137" spans="2:7" ht="15.6" x14ac:dyDescent="0.3">
      <c r="B137" s="19"/>
      <c r="C137" s="19"/>
      <c r="D137" s="19"/>
      <c r="E137" s="19"/>
      <c r="F137" s="19"/>
      <c r="G137" s="19"/>
    </row>
    <row r="138" spans="2:7" ht="15.6" x14ac:dyDescent="0.3">
      <c r="B138" s="19"/>
      <c r="C138" s="19"/>
      <c r="D138" s="19"/>
      <c r="E138" s="19"/>
      <c r="F138" s="19"/>
      <c r="G138" s="19"/>
    </row>
    <row r="139" spans="2:7" ht="15.6" x14ac:dyDescent="0.3">
      <c r="B139" s="19"/>
      <c r="C139" s="19"/>
      <c r="D139" s="19"/>
      <c r="E139" s="19"/>
      <c r="F139" s="19"/>
      <c r="G139" s="19"/>
    </row>
    <row r="140" spans="2:7" x14ac:dyDescent="0.25">
      <c r="B140" s="23"/>
      <c r="C140" s="23"/>
      <c r="D140" s="23"/>
      <c r="E140" s="23"/>
      <c r="F140" s="23"/>
      <c r="G140" s="23"/>
    </row>
    <row r="141" spans="2:7" x14ac:dyDescent="0.25">
      <c r="B141" s="24"/>
      <c r="C141" s="25"/>
      <c r="D141" s="25"/>
      <c r="E141" s="25"/>
      <c r="F141" s="25"/>
      <c r="G141" s="25"/>
    </row>
    <row r="142" spans="2:7" x14ac:dyDescent="0.25">
      <c r="B142" s="26"/>
      <c r="C142" s="25"/>
      <c r="D142" s="25"/>
      <c r="E142" s="25"/>
      <c r="F142" s="25"/>
      <c r="G142" s="25"/>
    </row>
    <row r="143" spans="2:7" x14ac:dyDescent="0.25">
      <c r="B143" s="26"/>
      <c r="C143" s="26"/>
      <c r="D143" s="26"/>
      <c r="E143" s="26"/>
      <c r="F143" s="26"/>
      <c r="G143" s="26"/>
    </row>
    <row r="144" spans="2:7" ht="15.6" x14ac:dyDescent="0.3">
      <c r="B144" s="19"/>
      <c r="C144" s="19"/>
      <c r="D144" s="19"/>
      <c r="E144" s="19"/>
      <c r="F144" s="19"/>
      <c r="G144" s="19"/>
    </row>
    <row r="145" spans="2:7" ht="15.6" x14ac:dyDescent="0.3">
      <c r="B145" s="7"/>
      <c r="C145" s="7"/>
      <c r="D145" s="7"/>
      <c r="E145" s="7"/>
      <c r="F145" s="7"/>
      <c r="G145" s="19"/>
    </row>
    <row r="146" spans="2:7" ht="15.6" x14ac:dyDescent="0.3">
      <c r="B146" s="19"/>
      <c r="C146" s="19"/>
      <c r="D146" s="19"/>
      <c r="E146" s="19"/>
      <c r="F146" s="19"/>
      <c r="G146" s="19"/>
    </row>
    <row r="147" spans="2:7" ht="15.6" x14ac:dyDescent="0.3">
      <c r="B147" s="19"/>
      <c r="C147" s="19"/>
      <c r="D147" s="19"/>
      <c r="E147" s="19"/>
      <c r="F147" s="19"/>
      <c r="G147" s="19"/>
    </row>
    <row r="148" spans="2:7" ht="15.6" x14ac:dyDescent="0.3">
      <c r="B148" s="19"/>
      <c r="C148" s="19"/>
      <c r="D148" s="19"/>
      <c r="E148" s="19"/>
      <c r="F148" s="19"/>
      <c r="G148" s="19"/>
    </row>
    <row r="149" spans="2:7" ht="15.6" x14ac:dyDescent="0.3">
      <c r="B149" s="19"/>
      <c r="C149" s="19"/>
      <c r="D149" s="19"/>
      <c r="E149" s="19"/>
      <c r="F149" s="19"/>
      <c r="G149" s="19"/>
    </row>
    <row r="150" spans="2:7" ht="15.6" x14ac:dyDescent="0.3">
      <c r="B150" s="19"/>
      <c r="C150" s="19"/>
      <c r="D150" s="19"/>
      <c r="E150" s="19"/>
      <c r="F150" s="19"/>
      <c r="G150" s="19"/>
    </row>
    <row r="151" spans="2:7" ht="15.6" x14ac:dyDescent="0.3">
      <c r="B151" s="7"/>
      <c r="C151" s="7"/>
      <c r="D151" s="7"/>
      <c r="E151" s="7"/>
      <c r="F151" s="7"/>
      <c r="G151" s="7"/>
    </row>
    <row r="152" spans="2:7" ht="15.6" x14ac:dyDescent="0.3">
      <c r="B152" s="19"/>
      <c r="C152" s="19"/>
      <c r="D152" s="19"/>
      <c r="E152" s="19"/>
      <c r="F152" s="19"/>
      <c r="G152" s="19"/>
    </row>
    <row r="153" spans="2:7" ht="13.8" x14ac:dyDescent="0.25">
      <c r="B153" s="27"/>
      <c r="C153" s="27"/>
      <c r="D153" s="27"/>
      <c r="E153" s="27"/>
      <c r="F153" s="27"/>
      <c r="G153" s="27"/>
    </row>
    <row r="154" spans="2:7" x14ac:dyDescent="0.25">
      <c r="B154" s="21"/>
      <c r="C154" s="21"/>
      <c r="D154" s="21"/>
      <c r="E154" s="21"/>
      <c r="F154" s="21"/>
      <c r="G154" s="21"/>
    </row>
    <row r="155" spans="2:7" x14ac:dyDescent="0.25">
      <c r="B155" s="21"/>
      <c r="C155" s="21"/>
      <c r="D155" s="21"/>
      <c r="E155" s="21"/>
      <c r="F155" s="21"/>
      <c r="G155" s="21"/>
    </row>
    <row r="156" spans="2:7" ht="15.6" x14ac:dyDescent="0.35">
      <c r="B156" s="18"/>
      <c r="C156" s="18"/>
      <c r="D156" s="18"/>
      <c r="E156" s="18"/>
      <c r="F156" s="18"/>
      <c r="G156" s="18"/>
    </row>
    <row r="157" spans="2:7" ht="15.6" x14ac:dyDescent="0.35">
      <c r="B157" s="18"/>
      <c r="C157" s="18"/>
      <c r="D157" s="18"/>
      <c r="E157" s="18"/>
      <c r="F157" s="18"/>
      <c r="G157" s="18"/>
    </row>
    <row r="158" spans="2:7" ht="15.6" x14ac:dyDescent="0.35">
      <c r="B158" s="18"/>
      <c r="C158" s="18"/>
      <c r="D158" s="18"/>
      <c r="E158" s="18"/>
      <c r="F158" s="18"/>
      <c r="G158" s="18"/>
    </row>
    <row r="159" spans="2:7" ht="15.6" x14ac:dyDescent="0.3">
      <c r="B159" s="19"/>
      <c r="C159" s="19"/>
      <c r="D159" s="19"/>
      <c r="E159" s="19"/>
      <c r="F159" s="20"/>
      <c r="G159" s="19"/>
    </row>
    <row r="160" spans="2:7" ht="15.6" x14ac:dyDescent="0.3">
      <c r="B160" s="19"/>
      <c r="C160" s="19"/>
      <c r="D160" s="19"/>
      <c r="E160" s="19"/>
      <c r="F160" s="19"/>
      <c r="G160" s="19"/>
    </row>
    <row r="161" spans="2:7" ht="15.6" x14ac:dyDescent="0.3">
      <c r="B161" s="19"/>
      <c r="C161" s="19"/>
      <c r="D161" s="19"/>
      <c r="E161" s="19"/>
      <c r="F161" s="19"/>
      <c r="G161" s="19"/>
    </row>
    <row r="162" spans="2:7" ht="15.6" x14ac:dyDescent="0.3">
      <c r="B162" s="19"/>
      <c r="C162" s="19"/>
      <c r="D162" s="19"/>
      <c r="E162" s="19"/>
      <c r="F162" s="19"/>
      <c r="G162" s="19"/>
    </row>
    <row r="163" spans="2:7" ht="15.6" x14ac:dyDescent="0.3">
      <c r="B163" s="19"/>
      <c r="C163" s="19"/>
      <c r="D163" s="19"/>
      <c r="E163" s="19"/>
      <c r="F163" s="19"/>
      <c r="G163" s="19"/>
    </row>
    <row r="164" spans="2:7" ht="15.6" x14ac:dyDescent="0.3">
      <c r="B164" s="19"/>
      <c r="C164" s="19"/>
      <c r="D164" s="19"/>
      <c r="E164" s="19"/>
      <c r="F164" s="19"/>
      <c r="G164" s="19"/>
    </row>
    <row r="165" spans="2:7" ht="15.6" x14ac:dyDescent="0.3">
      <c r="B165" s="19"/>
      <c r="C165" s="19"/>
      <c r="D165" s="19"/>
      <c r="E165" s="19"/>
      <c r="F165" s="19"/>
      <c r="G165" s="19"/>
    </row>
    <row r="166" spans="2:7" ht="15.6" x14ac:dyDescent="0.3">
      <c r="B166" s="19"/>
      <c r="C166" s="19"/>
      <c r="D166" s="19"/>
      <c r="E166" s="19"/>
      <c r="F166" s="19"/>
      <c r="G166" s="19"/>
    </row>
    <row r="167" spans="2:7" ht="15.6" x14ac:dyDescent="0.3">
      <c r="B167" s="19"/>
      <c r="C167" s="19"/>
      <c r="D167" s="19"/>
      <c r="E167" s="19"/>
      <c r="F167" s="19"/>
      <c r="G167" s="19"/>
    </row>
    <row r="168" spans="2:7" ht="15.6" x14ac:dyDescent="0.3">
      <c r="B168" s="19"/>
      <c r="C168" s="19"/>
      <c r="D168" s="19"/>
      <c r="E168" s="19"/>
      <c r="F168" s="19"/>
      <c r="G168" s="19"/>
    </row>
    <row r="169" spans="2:7" ht="15.6" x14ac:dyDescent="0.3">
      <c r="B169" s="22"/>
      <c r="C169" s="7"/>
      <c r="D169" s="7"/>
      <c r="E169" s="7"/>
      <c r="F169" s="7"/>
      <c r="G169" s="7"/>
    </row>
    <row r="170" spans="2:7" ht="15.6" x14ac:dyDescent="0.3">
      <c r="B170" s="19"/>
      <c r="C170" s="19"/>
      <c r="D170" s="19"/>
      <c r="E170" s="19"/>
      <c r="F170" s="19"/>
      <c r="G170" s="19"/>
    </row>
    <row r="171" spans="2:7" ht="15.6" x14ac:dyDescent="0.3">
      <c r="B171" s="19"/>
      <c r="C171" s="19"/>
      <c r="D171" s="19"/>
      <c r="E171" s="19"/>
      <c r="F171" s="19"/>
      <c r="G171" s="19"/>
    </row>
    <row r="172" spans="2:7" ht="15.6" x14ac:dyDescent="0.3">
      <c r="B172" s="19"/>
      <c r="C172" s="19"/>
      <c r="D172" s="19"/>
      <c r="E172" s="19"/>
      <c r="F172" s="19"/>
      <c r="G172" s="19"/>
    </row>
    <row r="173" spans="2:7" ht="15.6" x14ac:dyDescent="0.3">
      <c r="B173" s="19"/>
      <c r="C173" s="19"/>
      <c r="D173" s="19"/>
      <c r="E173" s="19"/>
      <c r="F173" s="19"/>
      <c r="G173" s="19"/>
    </row>
    <row r="174" spans="2:7" x14ac:dyDescent="0.25">
      <c r="B174" s="23"/>
      <c r="C174" s="23"/>
      <c r="D174" s="23"/>
      <c r="E174" s="23"/>
      <c r="F174" s="23"/>
      <c r="G174" s="23"/>
    </row>
    <row r="175" spans="2:7" x14ac:dyDescent="0.25">
      <c r="B175" s="24"/>
      <c r="C175" s="25"/>
      <c r="D175" s="25"/>
      <c r="E175" s="25"/>
      <c r="F175" s="25"/>
      <c r="G175" s="25"/>
    </row>
    <row r="176" spans="2:7" x14ac:dyDescent="0.25">
      <c r="B176" s="26"/>
      <c r="C176" s="25"/>
      <c r="D176" s="25"/>
      <c r="E176" s="25"/>
      <c r="F176" s="25"/>
      <c r="G176" s="25"/>
    </row>
    <row r="177" spans="2:7" x14ac:dyDescent="0.25">
      <c r="B177" s="26"/>
      <c r="C177" s="26"/>
      <c r="D177" s="26"/>
      <c r="E177" s="26"/>
      <c r="F177" s="26"/>
      <c r="G177" s="26"/>
    </row>
    <row r="178" spans="2:7" ht="15.6" x14ac:dyDescent="0.3">
      <c r="B178" s="19"/>
      <c r="C178" s="19"/>
      <c r="D178" s="19"/>
      <c r="E178" s="19"/>
      <c r="F178" s="19"/>
      <c r="G178" s="19"/>
    </row>
    <row r="179" spans="2:7" ht="21" customHeight="1" x14ac:dyDescent="0.3">
      <c r="B179" s="7"/>
      <c r="C179" s="7"/>
      <c r="D179" s="7"/>
      <c r="E179" s="7"/>
      <c r="F179" s="7"/>
      <c r="G179" s="19"/>
    </row>
    <row r="180" spans="2:7" ht="15.6" x14ac:dyDescent="0.3">
      <c r="B180" s="19"/>
      <c r="C180" s="19"/>
      <c r="D180" s="19"/>
      <c r="E180" s="19"/>
      <c r="F180" s="19"/>
      <c r="G180" s="19"/>
    </row>
    <row r="181" spans="2:7" ht="15.6" x14ac:dyDescent="0.3">
      <c r="B181" s="19"/>
      <c r="C181" s="19"/>
      <c r="D181" s="19"/>
      <c r="E181" s="19"/>
      <c r="F181" s="19"/>
      <c r="G181" s="19"/>
    </row>
    <row r="182" spans="2:7" ht="15.6" x14ac:dyDescent="0.3">
      <c r="B182" s="19"/>
      <c r="C182" s="19"/>
      <c r="D182" s="19"/>
      <c r="E182" s="19"/>
      <c r="F182" s="19"/>
      <c r="G182" s="19"/>
    </row>
    <row r="183" spans="2:7" ht="15.6" x14ac:dyDescent="0.3">
      <c r="B183" s="19"/>
      <c r="C183" s="19"/>
      <c r="D183" s="19"/>
      <c r="E183" s="19"/>
      <c r="F183" s="19"/>
      <c r="G183" s="19"/>
    </row>
    <row r="184" spans="2:7" ht="15.6" x14ac:dyDescent="0.3">
      <c r="B184" s="19"/>
      <c r="C184" s="19"/>
      <c r="D184" s="19"/>
      <c r="E184" s="19"/>
      <c r="F184" s="19"/>
      <c r="G184" s="19"/>
    </row>
    <row r="185" spans="2:7" ht="15.6" x14ac:dyDescent="0.3">
      <c r="B185" s="7"/>
      <c r="C185" s="7"/>
      <c r="D185" s="7"/>
      <c r="E185" s="7"/>
      <c r="F185" s="7"/>
      <c r="G185" s="7"/>
    </row>
    <row r="186" spans="2:7" ht="15.6" x14ac:dyDescent="0.3">
      <c r="B186" s="19"/>
      <c r="C186" s="19"/>
      <c r="D186" s="19"/>
      <c r="E186" s="19"/>
      <c r="F186" s="19"/>
      <c r="G186" s="19"/>
    </row>
    <row r="187" spans="2:7" ht="13.8" x14ac:dyDescent="0.25">
      <c r="B187" s="27"/>
      <c r="C187" s="27"/>
      <c r="D187" s="27"/>
      <c r="E187" s="27"/>
      <c r="F187" s="27"/>
      <c r="G187" s="27"/>
    </row>
    <row r="188" spans="2:7" ht="13.8" x14ac:dyDescent="0.25">
      <c r="B188" s="27"/>
      <c r="C188" s="27"/>
      <c r="D188" s="27"/>
      <c r="E188" s="27"/>
      <c r="F188" s="27"/>
      <c r="G188" s="26"/>
    </row>
    <row r="189" spans="2:7" ht="13.8" x14ac:dyDescent="0.25">
      <c r="B189" s="27"/>
      <c r="C189" s="27"/>
      <c r="D189" s="27"/>
      <c r="E189" s="27"/>
      <c r="F189" s="27"/>
      <c r="G189" s="27"/>
    </row>
    <row r="190" spans="2:7" x14ac:dyDescent="0.25">
      <c r="B190" s="21"/>
      <c r="C190" s="21"/>
      <c r="D190" s="21"/>
      <c r="E190" s="21"/>
      <c r="F190" s="21"/>
      <c r="G190" s="21"/>
    </row>
    <row r="191" spans="2:7" x14ac:dyDescent="0.25">
      <c r="B191" s="21"/>
      <c r="C191" s="21"/>
      <c r="D191" s="21"/>
      <c r="E191" s="21"/>
      <c r="F191" s="21"/>
      <c r="G191" s="21"/>
    </row>
    <row r="192" spans="2:7" x14ac:dyDescent="0.25">
      <c r="B192" s="21"/>
      <c r="C192" s="21"/>
      <c r="D192" s="21"/>
      <c r="E192" s="21"/>
      <c r="F192" s="21"/>
      <c r="G192" s="21"/>
    </row>
    <row r="193" spans="2:7" x14ac:dyDescent="0.25">
      <c r="B193" s="21"/>
      <c r="C193" s="21"/>
      <c r="D193" s="21"/>
      <c r="E193" s="21"/>
      <c r="F193" s="21"/>
      <c r="G193" s="21"/>
    </row>
    <row r="194" spans="2:7" x14ac:dyDescent="0.25">
      <c r="B194" s="21"/>
      <c r="C194" s="21"/>
      <c r="D194" s="21"/>
      <c r="E194" s="21"/>
      <c r="F194" s="21"/>
      <c r="G194" s="21"/>
    </row>
    <row r="195" spans="2:7" x14ac:dyDescent="0.25">
      <c r="B195" s="21"/>
      <c r="C195" s="21"/>
      <c r="D195" s="21"/>
      <c r="E195" s="21"/>
      <c r="F195" s="21"/>
      <c r="G195" s="21"/>
    </row>
    <row r="196" spans="2:7" x14ac:dyDescent="0.25">
      <c r="B196" s="21"/>
      <c r="C196" s="21"/>
      <c r="D196" s="21"/>
      <c r="E196" s="21"/>
      <c r="F196" s="21"/>
      <c r="G196" s="21"/>
    </row>
    <row r="197" spans="2:7" x14ac:dyDescent="0.25">
      <c r="B197" s="21"/>
      <c r="C197" s="21"/>
      <c r="D197" s="21"/>
      <c r="E197" s="21"/>
      <c r="F197" s="21"/>
      <c r="G197" s="21"/>
    </row>
    <row r="198" spans="2:7" x14ac:dyDescent="0.25">
      <c r="B198" s="21"/>
      <c r="C198" s="21"/>
      <c r="D198" s="21"/>
      <c r="E198" s="21"/>
      <c r="F198" s="21"/>
      <c r="G198" s="21"/>
    </row>
    <row r="199" spans="2:7" x14ac:dyDescent="0.25">
      <c r="B199" s="21"/>
      <c r="C199" s="21"/>
      <c r="D199" s="21"/>
      <c r="E199" s="21"/>
      <c r="F199" s="21"/>
      <c r="G199" s="21"/>
    </row>
    <row r="200" spans="2:7" x14ac:dyDescent="0.25">
      <c r="B200" s="21"/>
      <c r="C200" s="21"/>
      <c r="D200" s="21"/>
      <c r="E200" s="21"/>
      <c r="F200" s="21"/>
      <c r="G200" s="21"/>
    </row>
    <row r="201" spans="2:7" x14ac:dyDescent="0.25">
      <c r="B201" s="21"/>
      <c r="C201" s="21"/>
      <c r="D201" s="21"/>
      <c r="E201" s="21"/>
      <c r="F201" s="21"/>
      <c r="G201" s="21"/>
    </row>
    <row r="202" spans="2:7" x14ac:dyDescent="0.25">
      <c r="B202" s="21"/>
      <c r="C202" s="21"/>
      <c r="D202" s="21"/>
      <c r="E202" s="21"/>
      <c r="F202" s="21"/>
      <c r="G202" s="21"/>
    </row>
    <row r="203" spans="2:7" x14ac:dyDescent="0.25">
      <c r="B203" s="21"/>
      <c r="C203" s="21"/>
      <c r="D203" s="21"/>
      <c r="E203" s="21"/>
      <c r="F203" s="21"/>
      <c r="G203" s="21"/>
    </row>
    <row r="204" spans="2:7" x14ac:dyDescent="0.25">
      <c r="B204" s="21"/>
      <c r="C204" s="21"/>
      <c r="D204" s="21"/>
      <c r="E204" s="21"/>
      <c r="F204" s="21"/>
      <c r="G204" s="21"/>
    </row>
    <row r="205" spans="2:7" x14ac:dyDescent="0.25">
      <c r="B205" s="21"/>
      <c r="C205" s="21"/>
      <c r="D205" s="21"/>
      <c r="E205" s="21"/>
      <c r="F205" s="21"/>
      <c r="G205" s="21"/>
    </row>
    <row r="206" spans="2:7" x14ac:dyDescent="0.25">
      <c r="B206" s="21"/>
      <c r="C206" s="21"/>
      <c r="D206" s="21"/>
      <c r="E206" s="21"/>
      <c r="F206" s="21"/>
      <c r="G206" s="21"/>
    </row>
    <row r="207" spans="2:7" x14ac:dyDescent="0.25">
      <c r="B207" s="21"/>
      <c r="C207" s="21"/>
      <c r="D207" s="21"/>
      <c r="E207" s="21"/>
      <c r="F207" s="21"/>
      <c r="G207" s="21"/>
    </row>
    <row r="208" spans="2:7" x14ac:dyDescent="0.25">
      <c r="B208" s="21"/>
      <c r="C208" s="21"/>
      <c r="D208" s="21"/>
      <c r="E208" s="21"/>
      <c r="F208" s="21"/>
      <c r="G208" s="21"/>
    </row>
    <row r="209" spans="2:7" x14ac:dyDescent="0.25">
      <c r="B209" s="21"/>
      <c r="C209" s="21"/>
      <c r="D209" s="21"/>
      <c r="E209" s="21"/>
      <c r="F209" s="21"/>
      <c r="G209" s="21"/>
    </row>
    <row r="210" spans="2:7" x14ac:dyDescent="0.25">
      <c r="B210" s="21"/>
      <c r="C210" s="21"/>
      <c r="D210" s="21"/>
      <c r="E210" s="21"/>
      <c r="F210" s="21"/>
      <c r="G210" s="21"/>
    </row>
    <row r="211" spans="2:7" x14ac:dyDescent="0.25">
      <c r="B211" s="21"/>
      <c r="C211" s="21"/>
      <c r="D211" s="21"/>
      <c r="E211" s="21"/>
      <c r="F211" s="21"/>
      <c r="G211" s="21"/>
    </row>
    <row r="212" spans="2:7" x14ac:dyDescent="0.25">
      <c r="B212" s="21"/>
      <c r="C212" s="21"/>
      <c r="D212" s="21"/>
      <c r="E212" s="21"/>
      <c r="F212" s="21"/>
      <c r="G212" s="21"/>
    </row>
    <row r="213" spans="2:7" x14ac:dyDescent="0.25">
      <c r="B213" s="21"/>
      <c r="C213" s="21"/>
      <c r="D213" s="21"/>
      <c r="E213" s="21"/>
      <c r="F213" s="21"/>
      <c r="G213" s="21"/>
    </row>
    <row r="214" spans="2:7" x14ac:dyDescent="0.25">
      <c r="B214" s="21"/>
      <c r="C214" s="21"/>
      <c r="D214" s="21"/>
      <c r="E214" s="21"/>
      <c r="F214" s="21"/>
      <c r="G214" s="21"/>
    </row>
    <row r="215" spans="2:7" x14ac:dyDescent="0.25">
      <c r="B215" s="21"/>
      <c r="C215" s="21"/>
      <c r="D215" s="21"/>
      <c r="E215" s="21"/>
      <c r="F215" s="21"/>
      <c r="G215" s="21"/>
    </row>
    <row r="216" spans="2:7" x14ac:dyDescent="0.25">
      <c r="B216" s="21"/>
      <c r="C216" s="21"/>
      <c r="D216" s="21"/>
      <c r="E216" s="21"/>
      <c r="F216" s="21"/>
      <c r="G216" s="21"/>
    </row>
    <row r="217" spans="2:7" x14ac:dyDescent="0.25">
      <c r="B217" s="21"/>
      <c r="C217" s="21"/>
      <c r="D217" s="21"/>
      <c r="E217" s="21"/>
      <c r="F217" s="21"/>
      <c r="G217" s="21"/>
    </row>
    <row r="218" spans="2:7" x14ac:dyDescent="0.25">
      <c r="B218" s="21"/>
      <c r="C218" s="21"/>
      <c r="D218" s="21"/>
      <c r="E218" s="21"/>
      <c r="F218" s="21"/>
      <c r="G218" s="21"/>
    </row>
    <row r="219" spans="2:7" x14ac:dyDescent="0.25">
      <c r="B219" s="21"/>
      <c r="C219" s="21"/>
      <c r="D219" s="21"/>
      <c r="E219" s="21"/>
      <c r="F219" s="21"/>
      <c r="G219" s="21"/>
    </row>
    <row r="220" spans="2:7" x14ac:dyDescent="0.25">
      <c r="B220" s="21"/>
      <c r="C220" s="21"/>
      <c r="D220" s="21"/>
      <c r="E220" s="21"/>
      <c r="F220" s="21"/>
      <c r="G220" s="21"/>
    </row>
    <row r="221" spans="2:7" x14ac:dyDescent="0.25">
      <c r="B221" s="21"/>
      <c r="C221" s="21"/>
      <c r="D221" s="21"/>
      <c r="E221" s="21"/>
      <c r="F221" s="21"/>
      <c r="G221" s="21"/>
    </row>
    <row r="222" spans="2:7" x14ac:dyDescent="0.25">
      <c r="B222" s="21"/>
      <c r="C222" s="21"/>
      <c r="D222" s="21"/>
      <c r="E222" s="21"/>
      <c r="F222" s="21"/>
      <c r="G222" s="21"/>
    </row>
    <row r="223" spans="2:7" x14ac:dyDescent="0.25">
      <c r="B223" s="21"/>
      <c r="C223" s="21"/>
      <c r="D223" s="21"/>
      <c r="E223" s="21"/>
      <c r="F223" s="21"/>
      <c r="G223" s="21"/>
    </row>
    <row r="224" spans="2:7" x14ac:dyDescent="0.25">
      <c r="B224" s="21"/>
      <c r="C224" s="21"/>
      <c r="D224" s="21"/>
      <c r="E224" s="21"/>
      <c r="F224" s="21"/>
      <c r="G224" s="21"/>
    </row>
    <row r="225" spans="2:7" x14ac:dyDescent="0.25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42"/>
  <sheetViews>
    <sheetView view="pageLayout" zoomScaleNormal="110" workbookViewId="0">
      <selection activeCell="A3" sqref="A3"/>
    </sheetView>
  </sheetViews>
  <sheetFormatPr defaultColWidth="9.109375" defaultRowHeight="10.199999999999999" x14ac:dyDescent="0.2"/>
  <cols>
    <col min="1" max="1" width="7.33203125" style="32" customWidth="1"/>
    <col min="2" max="2" width="6.88671875" style="32" bestFit="1" customWidth="1"/>
    <col min="3" max="3" width="13.33203125" style="32" customWidth="1"/>
    <col min="4" max="4" width="10.6640625" style="32" customWidth="1"/>
    <col min="5" max="5" width="13.6640625" style="32" bestFit="1" customWidth="1"/>
    <col min="6" max="6" width="18.88671875" style="32" bestFit="1" customWidth="1"/>
    <col min="7" max="7" width="11.33203125" style="32" bestFit="1" customWidth="1"/>
    <col min="8" max="8" width="9.441406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09375" style="32" bestFit="1" customWidth="1"/>
    <col min="14" max="14" width="20.109375" style="32" customWidth="1"/>
    <col min="15" max="15" width="11.33203125" style="54" bestFit="1" customWidth="1"/>
    <col min="16" max="16384" width="9.109375" style="32"/>
  </cols>
  <sheetData>
    <row r="1" spans="1:15" ht="21.75" customHeight="1" x14ac:dyDescent="0.2">
      <c r="A1" s="157" t="s">
        <v>80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5" ht="21.75" customHeight="1" x14ac:dyDescent="0.2">
      <c r="A2" s="158">
        <v>41883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5" ht="21.75" customHeight="1" thickBot="1" x14ac:dyDescent="0.25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 x14ac:dyDescent="0.25">
      <c r="A4" s="60" t="s">
        <v>36</v>
      </c>
      <c r="B4" s="61" t="s">
        <v>37</v>
      </c>
      <c r="C4" s="159" t="s">
        <v>38</v>
      </c>
      <c r="D4" s="60" t="s">
        <v>39</v>
      </c>
      <c r="E4" s="15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61" t="s">
        <v>43</v>
      </c>
      <c r="N4" s="54"/>
      <c r="O4" s="32"/>
    </row>
    <row r="5" spans="1:15" ht="21.75" customHeight="1" thickBot="1" x14ac:dyDescent="0.25">
      <c r="A5" s="65" t="s">
        <v>44</v>
      </c>
      <c r="B5" s="66" t="s">
        <v>45</v>
      </c>
      <c r="C5" s="160"/>
      <c r="D5" s="65" t="s">
        <v>46</v>
      </c>
      <c r="E5" s="16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62"/>
      <c r="N5" s="54"/>
      <c r="O5" s="32"/>
    </row>
    <row r="6" spans="1:15" ht="21.75" customHeight="1" x14ac:dyDescent="0.2">
      <c r="A6" s="78"/>
      <c r="B6" s="78"/>
      <c r="C6" s="123"/>
      <c r="D6" s="125"/>
      <c r="E6" s="123"/>
      <c r="F6" s="123"/>
      <c r="G6" s="140"/>
      <c r="H6" s="131"/>
      <c r="I6" s="80"/>
      <c r="J6" s="135"/>
      <c r="K6" s="94"/>
      <c r="L6" s="122"/>
      <c r="M6" s="124"/>
      <c r="N6" s="54"/>
      <c r="O6" s="32"/>
    </row>
    <row r="7" spans="1:15" ht="21.75" customHeight="1" x14ac:dyDescent="0.2">
      <c r="A7" s="78"/>
      <c r="B7" s="78"/>
      <c r="C7" s="123"/>
      <c r="D7" s="125"/>
      <c r="E7" s="123"/>
      <c r="F7" s="123"/>
      <c r="G7" s="140"/>
      <c r="H7" s="131"/>
      <c r="I7" s="80"/>
      <c r="J7" s="133"/>
      <c r="K7" s="94"/>
      <c r="L7" s="122"/>
      <c r="M7" s="123"/>
      <c r="N7" s="54"/>
      <c r="O7" s="32"/>
    </row>
    <row r="8" spans="1:15" ht="21.75" customHeight="1" x14ac:dyDescent="0.2">
      <c r="A8" s="78"/>
      <c r="B8" s="78"/>
      <c r="C8" s="123"/>
      <c r="D8" s="139"/>
      <c r="E8" s="123"/>
      <c r="F8" s="123"/>
      <c r="G8" s="141"/>
      <c r="H8" s="131"/>
      <c r="I8" s="80"/>
      <c r="J8" s="133"/>
      <c r="K8" s="94"/>
      <c r="L8" s="122"/>
      <c r="M8" s="123"/>
      <c r="N8" s="54"/>
      <c r="O8" s="32"/>
    </row>
    <row r="9" spans="1:15" ht="21.75" customHeight="1" x14ac:dyDescent="0.2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91"/>
      <c r="N9" s="54"/>
      <c r="O9" s="32"/>
    </row>
    <row r="10" spans="1:15" ht="19.5" customHeight="1" x14ac:dyDescent="0.25">
      <c r="A10" s="78"/>
      <c r="B10" s="78"/>
      <c r="C10" s="78"/>
      <c r="D10" s="78"/>
      <c r="E10" s="78"/>
      <c r="F10" s="78"/>
      <c r="G10" s="96"/>
      <c r="H10" s="96"/>
      <c r="I10"/>
      <c r="L10" s="79"/>
      <c r="M10" s="78"/>
    </row>
    <row r="11" spans="1:15" x14ac:dyDescent="0.2">
      <c r="A11" s="72"/>
      <c r="B11" s="72"/>
    </row>
    <row r="12" spans="1:15" x14ac:dyDescent="0.2">
      <c r="A12" s="72"/>
      <c r="B12" s="72"/>
      <c r="C12" s="72"/>
      <c r="D12" s="72"/>
      <c r="E12" s="72"/>
      <c r="F12" s="72"/>
      <c r="G12" s="72"/>
      <c r="H12" s="72"/>
      <c r="I12" s="72"/>
    </row>
    <row r="13" spans="1:15" x14ac:dyDescent="0.2">
      <c r="A13" s="73"/>
      <c r="B13" s="73"/>
      <c r="C13" s="73"/>
      <c r="D13" s="73"/>
      <c r="E13" s="73"/>
      <c r="F13" s="73"/>
      <c r="G13" s="73"/>
      <c r="H13" s="73"/>
      <c r="I13" s="73"/>
    </row>
    <row r="14" spans="1:15" x14ac:dyDescent="0.2">
      <c r="A14" s="74"/>
      <c r="B14" s="75"/>
      <c r="C14" s="75"/>
      <c r="D14" s="75"/>
      <c r="E14" s="75"/>
      <c r="F14" s="75"/>
      <c r="G14" s="75"/>
      <c r="H14" s="75"/>
      <c r="I14" s="75"/>
    </row>
    <row r="15" spans="1:15" x14ac:dyDescent="0.2">
      <c r="A15" s="74"/>
      <c r="B15" s="75"/>
      <c r="C15" s="75"/>
      <c r="D15" s="75"/>
      <c r="E15" s="75"/>
      <c r="F15" s="75"/>
      <c r="G15" s="75"/>
      <c r="H15" s="75"/>
      <c r="I15" s="75"/>
    </row>
    <row r="16" spans="1:15" x14ac:dyDescent="0.2">
      <c r="A16" s="74"/>
      <c r="B16" s="75"/>
      <c r="C16" s="75"/>
      <c r="D16" s="75"/>
      <c r="E16" s="75"/>
      <c r="F16" s="75"/>
      <c r="G16" s="75"/>
      <c r="H16" s="75"/>
      <c r="I16" s="75"/>
    </row>
    <row r="17" spans="1:15" x14ac:dyDescent="0.2">
      <c r="A17" s="74"/>
      <c r="B17" s="75"/>
      <c r="C17" s="75"/>
      <c r="D17" s="75"/>
      <c r="E17" s="75"/>
      <c r="F17" s="75"/>
      <c r="G17" s="75"/>
      <c r="H17" s="75"/>
      <c r="I17" s="75"/>
    </row>
    <row r="18" spans="1:15" x14ac:dyDescent="0.2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 x14ac:dyDescent="0.25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 x14ac:dyDescent="0.25">
      <c r="A20" s="156" t="s">
        <v>84</v>
      </c>
      <c r="B20" s="156"/>
      <c r="C20" s="156"/>
      <c r="D20" s="156"/>
      <c r="E20" s="156"/>
      <c r="F20" s="156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 x14ac:dyDescent="0.2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 x14ac:dyDescent="0.2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 x14ac:dyDescent="0.2">
      <c r="A23" s="72"/>
      <c r="B23" s="72"/>
      <c r="C23" s="72"/>
      <c r="D23" s="72"/>
      <c r="E23" s="72"/>
      <c r="F23" s="72"/>
      <c r="G23" s="72"/>
      <c r="H23" s="72"/>
      <c r="I23" s="72"/>
    </row>
    <row r="24" spans="1:15" x14ac:dyDescent="0.2">
      <c r="A24" s="71"/>
      <c r="B24" s="71"/>
      <c r="C24" s="71"/>
      <c r="D24" s="71"/>
      <c r="E24" s="71"/>
      <c r="F24" s="71"/>
      <c r="G24" s="71"/>
      <c r="H24" s="71"/>
      <c r="I24" s="72"/>
    </row>
    <row r="25" spans="1:15" x14ac:dyDescent="0.2">
      <c r="A25" s="72"/>
      <c r="B25" s="72"/>
      <c r="C25" s="72"/>
      <c r="D25" s="72"/>
      <c r="E25" s="72"/>
      <c r="F25" s="72"/>
      <c r="G25" s="72"/>
      <c r="H25" s="72"/>
      <c r="I25" s="72"/>
    </row>
    <row r="26" spans="1:15" x14ac:dyDescent="0.2">
      <c r="A26" s="72"/>
      <c r="B26" s="72"/>
      <c r="C26" s="72"/>
      <c r="D26" s="72"/>
      <c r="E26" s="72"/>
      <c r="F26" s="72"/>
      <c r="G26" s="72"/>
      <c r="H26" s="72"/>
      <c r="I26" s="72"/>
    </row>
    <row r="27" spans="1:15" x14ac:dyDescent="0.2">
      <c r="A27" s="72"/>
      <c r="B27" s="72"/>
      <c r="C27" s="72"/>
      <c r="D27" s="72"/>
      <c r="E27" s="72"/>
      <c r="F27" s="72"/>
      <c r="G27" s="72"/>
      <c r="H27" s="72"/>
      <c r="I27" s="72"/>
    </row>
    <row r="28" spans="1:15" x14ac:dyDescent="0.2">
      <c r="A28" s="72"/>
      <c r="B28" s="72"/>
      <c r="C28" s="72"/>
      <c r="D28" s="72"/>
      <c r="E28" s="72"/>
      <c r="F28" s="72"/>
      <c r="G28" s="72"/>
      <c r="H28" s="72"/>
      <c r="I28" s="72"/>
    </row>
    <row r="29" spans="1:15" x14ac:dyDescent="0.2">
      <c r="A29" s="72"/>
      <c r="B29" s="72"/>
      <c r="C29" s="72"/>
      <c r="D29" s="72"/>
      <c r="E29" s="72"/>
      <c r="F29" s="72"/>
      <c r="G29" s="72"/>
      <c r="H29" s="72"/>
      <c r="I29" s="72"/>
    </row>
    <row r="30" spans="1:15" x14ac:dyDescent="0.2">
      <c r="A30" s="71"/>
      <c r="B30" s="71"/>
      <c r="C30" s="71"/>
      <c r="D30" s="71"/>
      <c r="E30" s="71"/>
      <c r="F30" s="71"/>
      <c r="G30" s="71"/>
      <c r="H30" s="71"/>
      <c r="I30" s="71"/>
    </row>
    <row r="31" spans="1:15" x14ac:dyDescent="0.2">
      <c r="A31" s="72"/>
      <c r="B31" s="72"/>
      <c r="C31" s="72"/>
      <c r="D31" s="72"/>
      <c r="E31" s="72"/>
      <c r="F31" s="72"/>
      <c r="G31" s="72"/>
      <c r="H31" s="72"/>
      <c r="I31" s="72"/>
    </row>
    <row r="32" spans="1:15" x14ac:dyDescent="0.2">
      <c r="A32" s="53"/>
      <c r="B32" s="53"/>
      <c r="C32" s="53"/>
      <c r="D32" s="53"/>
      <c r="E32" s="53"/>
      <c r="F32" s="53"/>
      <c r="G32" s="53"/>
      <c r="H32" s="53"/>
      <c r="I32" s="53"/>
    </row>
    <row r="33" spans="1:9" x14ac:dyDescent="0.2">
      <c r="A33" s="53"/>
      <c r="B33" s="53"/>
      <c r="C33" s="53"/>
      <c r="D33" s="53"/>
      <c r="E33" s="53"/>
      <c r="F33" s="53"/>
      <c r="G33" s="53"/>
      <c r="H33" s="53"/>
      <c r="I33" s="53"/>
    </row>
    <row r="34" spans="1:9" x14ac:dyDescent="0.2">
      <c r="A34" s="53"/>
      <c r="B34" s="53"/>
      <c r="C34" s="53"/>
      <c r="D34" s="53"/>
      <c r="E34" s="53"/>
      <c r="F34" s="53"/>
      <c r="G34" s="53"/>
      <c r="H34" s="53"/>
      <c r="I34" s="53"/>
    </row>
    <row r="35" spans="1:9" x14ac:dyDescent="0.2">
      <c r="A35" s="53"/>
      <c r="B35" s="53"/>
      <c r="C35" s="53"/>
      <c r="D35" s="53"/>
      <c r="E35" s="53"/>
      <c r="F35" s="53"/>
      <c r="G35" s="53"/>
      <c r="H35" s="53"/>
      <c r="I35" s="53"/>
    </row>
    <row r="36" spans="1:9" x14ac:dyDescent="0.2">
      <c r="A36" s="53"/>
      <c r="B36" s="53"/>
      <c r="C36" s="53"/>
      <c r="D36" s="53"/>
      <c r="E36" s="53"/>
      <c r="F36" s="53"/>
      <c r="G36" s="53"/>
      <c r="H36" s="53"/>
      <c r="I36" s="53"/>
    </row>
    <row r="37" spans="1:9" x14ac:dyDescent="0.2">
      <c r="A37" s="53"/>
      <c r="B37" s="53"/>
      <c r="C37" s="53"/>
      <c r="D37" s="53"/>
      <c r="E37" s="53"/>
      <c r="F37" s="53"/>
      <c r="G37" s="53"/>
      <c r="H37" s="53"/>
      <c r="I37" s="53"/>
    </row>
    <row r="38" spans="1:9" x14ac:dyDescent="0.2">
      <c r="A38" s="53"/>
      <c r="B38" s="53"/>
      <c r="C38" s="53"/>
      <c r="D38" s="53"/>
      <c r="E38" s="53"/>
      <c r="F38" s="53"/>
      <c r="G38" s="53"/>
      <c r="H38" s="53"/>
      <c r="I38" s="53"/>
    </row>
    <row r="39" spans="1:9" x14ac:dyDescent="0.2">
      <c r="A39" s="53"/>
      <c r="B39" s="53"/>
      <c r="C39" s="53"/>
      <c r="D39" s="53"/>
      <c r="E39" s="53"/>
      <c r="F39" s="53"/>
      <c r="G39" s="53"/>
      <c r="H39" s="53"/>
      <c r="I39" s="53"/>
    </row>
    <row r="40" spans="1:9" x14ac:dyDescent="0.2">
      <c r="A40" s="53"/>
      <c r="B40" s="53"/>
      <c r="C40" s="53"/>
      <c r="D40" s="53"/>
      <c r="E40" s="53"/>
      <c r="F40" s="53"/>
      <c r="G40" s="53"/>
      <c r="H40" s="53"/>
      <c r="I40" s="53"/>
    </row>
    <row r="41" spans="1:9" x14ac:dyDescent="0.2">
      <c r="A41" s="53"/>
      <c r="B41" s="53"/>
      <c r="C41" s="53"/>
      <c r="D41" s="53"/>
      <c r="E41" s="53"/>
      <c r="F41" s="53"/>
      <c r="G41" s="53"/>
      <c r="H41" s="53"/>
      <c r="I41" s="53"/>
    </row>
    <row r="42" spans="1:9" x14ac:dyDescent="0.2">
      <c r="A42" s="53"/>
      <c r="B42" s="53"/>
      <c r="C42" s="53"/>
      <c r="D42" s="53"/>
      <c r="E42" s="53"/>
      <c r="F42" s="53"/>
      <c r="G42" s="53"/>
      <c r="H42" s="53"/>
      <c r="I42" s="53"/>
    </row>
    <row r="43" spans="1:9" x14ac:dyDescent="0.2">
      <c r="A43" s="53"/>
      <c r="B43" s="53"/>
      <c r="C43" s="53"/>
      <c r="D43" s="53"/>
      <c r="E43" s="53"/>
      <c r="F43" s="53"/>
      <c r="G43" s="53"/>
      <c r="H43" s="53"/>
      <c r="I43" s="53"/>
    </row>
    <row r="44" spans="1:9" x14ac:dyDescent="0.2">
      <c r="A44" s="53"/>
      <c r="B44" s="53"/>
      <c r="C44" s="53"/>
      <c r="D44" s="53"/>
      <c r="E44" s="53"/>
      <c r="F44" s="53"/>
      <c r="G44" s="53"/>
      <c r="H44" s="53"/>
      <c r="I44" s="53"/>
    </row>
    <row r="45" spans="1:9" x14ac:dyDescent="0.2">
      <c r="A45" s="53"/>
      <c r="B45" s="53"/>
      <c r="C45" s="53"/>
      <c r="D45" s="53"/>
      <c r="E45" s="53"/>
      <c r="F45" s="53"/>
      <c r="G45" s="53"/>
      <c r="H45" s="53"/>
      <c r="I45" s="53"/>
    </row>
    <row r="46" spans="1:9" x14ac:dyDescent="0.2">
      <c r="A46" s="53"/>
      <c r="B46" s="53"/>
      <c r="C46" s="53"/>
      <c r="D46" s="53"/>
      <c r="E46" s="53"/>
      <c r="F46" s="53"/>
      <c r="G46" s="53"/>
      <c r="H46" s="53"/>
      <c r="I46" s="53"/>
    </row>
    <row r="47" spans="1:9" x14ac:dyDescent="0.2">
      <c r="A47" s="53"/>
      <c r="B47" s="53"/>
      <c r="C47" s="53"/>
      <c r="D47" s="53"/>
      <c r="E47" s="53"/>
      <c r="F47" s="53"/>
      <c r="G47" s="53"/>
      <c r="H47" s="53"/>
      <c r="I47" s="53"/>
    </row>
    <row r="48" spans="1:9" x14ac:dyDescent="0.2">
      <c r="A48" s="53"/>
      <c r="B48" s="53"/>
      <c r="C48" s="53"/>
      <c r="D48" s="53"/>
      <c r="E48" s="53"/>
      <c r="F48" s="53"/>
      <c r="G48" s="53"/>
      <c r="H48" s="53"/>
      <c r="I48" s="53"/>
    </row>
    <row r="49" spans="1:9" x14ac:dyDescent="0.2">
      <c r="A49" s="53"/>
      <c r="B49" s="53"/>
      <c r="C49" s="53"/>
      <c r="D49" s="53"/>
      <c r="E49" s="53"/>
      <c r="F49" s="53"/>
      <c r="G49" s="53"/>
      <c r="H49" s="53"/>
      <c r="I49" s="53"/>
    </row>
    <row r="50" spans="1:9" x14ac:dyDescent="0.2">
      <c r="A50" s="77"/>
      <c r="B50" s="77"/>
      <c r="C50" s="77"/>
      <c r="D50" s="77"/>
      <c r="E50" s="77"/>
      <c r="F50" s="77"/>
      <c r="G50" s="77"/>
      <c r="H50" s="77"/>
      <c r="I50" s="77"/>
    </row>
    <row r="51" spans="1:9" x14ac:dyDescent="0.2">
      <c r="A51" s="77"/>
      <c r="B51" s="77"/>
      <c r="C51" s="77"/>
      <c r="D51" s="77"/>
      <c r="E51" s="77"/>
      <c r="F51" s="77"/>
      <c r="G51" s="77"/>
      <c r="H51" s="77"/>
      <c r="I51" s="77"/>
    </row>
    <row r="52" spans="1:9" x14ac:dyDescent="0.2">
      <c r="A52" s="77"/>
      <c r="B52" s="77"/>
      <c r="C52" s="77"/>
      <c r="D52" s="77"/>
      <c r="E52" s="77"/>
      <c r="F52" s="77"/>
      <c r="G52" s="77"/>
      <c r="H52" s="77"/>
      <c r="I52" s="77"/>
    </row>
    <row r="53" spans="1:9" x14ac:dyDescent="0.2">
      <c r="A53" s="72"/>
      <c r="B53" s="72"/>
      <c r="C53" s="72"/>
      <c r="D53" s="72"/>
      <c r="E53" s="72"/>
      <c r="F53" s="72"/>
      <c r="G53" s="72"/>
      <c r="H53" s="53"/>
      <c r="I53" s="72"/>
    </row>
    <row r="54" spans="1:9" x14ac:dyDescent="0.2">
      <c r="A54" s="72"/>
      <c r="B54" s="72"/>
      <c r="C54" s="72"/>
      <c r="D54" s="72"/>
      <c r="E54" s="72"/>
      <c r="F54" s="72"/>
      <c r="G54" s="72"/>
      <c r="H54" s="72"/>
      <c r="I54" s="72"/>
    </row>
    <row r="55" spans="1:9" x14ac:dyDescent="0.2">
      <c r="A55" s="72"/>
      <c r="B55" s="72"/>
      <c r="C55" s="72"/>
      <c r="D55" s="72"/>
      <c r="E55" s="72"/>
      <c r="F55" s="72"/>
      <c r="G55" s="72"/>
      <c r="H55" s="72"/>
      <c r="I55" s="72"/>
    </row>
    <row r="56" spans="1:9" x14ac:dyDescent="0.2">
      <c r="A56" s="72"/>
      <c r="B56" s="72"/>
      <c r="C56" s="72"/>
      <c r="D56" s="72"/>
      <c r="E56" s="72"/>
      <c r="F56" s="72"/>
      <c r="G56" s="72"/>
      <c r="H56" s="72"/>
      <c r="I56" s="72"/>
    </row>
    <row r="57" spans="1:9" x14ac:dyDescent="0.2">
      <c r="A57" s="72"/>
      <c r="B57" s="72"/>
      <c r="C57" s="72"/>
      <c r="D57" s="72"/>
      <c r="E57" s="72"/>
      <c r="F57" s="72"/>
      <c r="G57" s="72"/>
      <c r="H57" s="72"/>
      <c r="I57" s="72"/>
    </row>
    <row r="58" spans="1:9" x14ac:dyDescent="0.2">
      <c r="A58" s="72"/>
      <c r="B58" s="72"/>
      <c r="C58" s="72"/>
      <c r="D58" s="72"/>
      <c r="E58" s="72"/>
      <c r="F58" s="72"/>
      <c r="G58" s="72"/>
      <c r="H58" s="72"/>
      <c r="I58" s="72"/>
    </row>
    <row r="59" spans="1:9" x14ac:dyDescent="0.2">
      <c r="A59" s="72"/>
      <c r="B59" s="72"/>
      <c r="C59" s="72"/>
      <c r="D59" s="72"/>
      <c r="E59" s="72"/>
      <c r="F59" s="72"/>
      <c r="G59" s="72"/>
      <c r="H59" s="72"/>
      <c r="I59" s="72"/>
    </row>
    <row r="60" spans="1:9" x14ac:dyDescent="0.2">
      <c r="A60" s="72"/>
      <c r="B60" s="72"/>
      <c r="C60" s="72"/>
      <c r="D60" s="72"/>
      <c r="E60" s="72"/>
      <c r="F60" s="72"/>
      <c r="G60" s="72"/>
      <c r="H60" s="72"/>
      <c r="I60" s="72"/>
    </row>
    <row r="61" spans="1:9" x14ac:dyDescent="0.2">
      <c r="A61" s="72"/>
      <c r="B61" s="72"/>
      <c r="C61" s="72"/>
      <c r="D61" s="72"/>
      <c r="E61" s="72"/>
      <c r="F61" s="72"/>
      <c r="G61" s="72"/>
      <c r="H61" s="72"/>
      <c r="I61" s="72"/>
    </row>
    <row r="62" spans="1:9" x14ac:dyDescent="0.2">
      <c r="A62" s="72"/>
      <c r="B62" s="72"/>
      <c r="C62" s="72"/>
      <c r="D62" s="72"/>
      <c r="E62" s="72"/>
      <c r="F62" s="72"/>
      <c r="G62" s="72"/>
      <c r="H62" s="72"/>
      <c r="I62" s="72"/>
    </row>
    <row r="63" spans="1:9" x14ac:dyDescent="0.2">
      <c r="A63" s="70"/>
      <c r="B63" s="71"/>
      <c r="C63" s="71"/>
      <c r="D63" s="71"/>
      <c r="E63" s="71"/>
      <c r="F63" s="71"/>
      <c r="G63" s="71"/>
      <c r="H63" s="71"/>
      <c r="I63" s="71"/>
    </row>
    <row r="64" spans="1:9" x14ac:dyDescent="0.2">
      <c r="A64" s="72"/>
      <c r="B64" s="72"/>
      <c r="C64" s="72"/>
      <c r="D64" s="72"/>
      <c r="E64" s="72"/>
      <c r="F64" s="72"/>
      <c r="G64" s="72"/>
      <c r="H64" s="72"/>
      <c r="I64" s="72"/>
    </row>
    <row r="65" spans="1:9" x14ac:dyDescent="0.2">
      <c r="A65" s="72"/>
      <c r="B65" s="72"/>
      <c r="C65" s="72"/>
      <c r="D65" s="72"/>
      <c r="E65" s="72"/>
      <c r="F65" s="72"/>
      <c r="G65" s="72"/>
      <c r="H65" s="72"/>
      <c r="I65" s="72"/>
    </row>
    <row r="66" spans="1:9" x14ac:dyDescent="0.2">
      <c r="A66" s="72"/>
      <c r="B66" s="72"/>
      <c r="C66" s="72"/>
      <c r="D66" s="72"/>
      <c r="E66" s="72"/>
      <c r="F66" s="72"/>
      <c r="G66" s="72"/>
      <c r="H66" s="72"/>
      <c r="I66" s="72"/>
    </row>
    <row r="67" spans="1:9" x14ac:dyDescent="0.2">
      <c r="A67" s="72"/>
      <c r="B67" s="72"/>
      <c r="C67" s="72"/>
      <c r="D67" s="72"/>
      <c r="E67" s="72"/>
      <c r="F67" s="72"/>
      <c r="G67" s="72"/>
      <c r="H67" s="72"/>
      <c r="I67" s="72"/>
    </row>
    <row r="68" spans="1:9" x14ac:dyDescent="0.2">
      <c r="A68" s="73"/>
      <c r="B68" s="73"/>
      <c r="C68" s="73"/>
      <c r="D68" s="73"/>
      <c r="E68" s="73"/>
      <c r="F68" s="73"/>
      <c r="G68" s="73"/>
      <c r="H68" s="73"/>
      <c r="I68" s="73"/>
    </row>
    <row r="69" spans="1:9" x14ac:dyDescent="0.2">
      <c r="A69" s="74"/>
      <c r="B69" s="75"/>
      <c r="C69" s="75"/>
      <c r="D69" s="75"/>
      <c r="E69" s="75"/>
      <c r="F69" s="75"/>
      <c r="G69" s="75"/>
      <c r="H69" s="75"/>
      <c r="I69" s="75"/>
    </row>
    <row r="70" spans="1:9" x14ac:dyDescent="0.2">
      <c r="A70" s="76"/>
      <c r="B70" s="75"/>
      <c r="C70" s="75"/>
      <c r="D70" s="75"/>
      <c r="E70" s="75"/>
      <c r="F70" s="75"/>
      <c r="G70" s="75"/>
      <c r="H70" s="75"/>
      <c r="I70" s="75"/>
    </row>
    <row r="71" spans="1:9" x14ac:dyDescent="0.2">
      <c r="A71" s="76"/>
      <c r="B71" s="76"/>
      <c r="C71" s="76"/>
      <c r="D71" s="76"/>
      <c r="E71" s="76"/>
      <c r="F71" s="76"/>
      <c r="G71" s="76"/>
      <c r="H71" s="76"/>
      <c r="I71" s="76"/>
    </row>
    <row r="72" spans="1:9" x14ac:dyDescent="0.2">
      <c r="A72" s="72"/>
      <c r="B72" s="72"/>
      <c r="C72" s="72"/>
      <c r="D72" s="72"/>
      <c r="E72" s="72"/>
      <c r="F72" s="72"/>
      <c r="G72" s="72"/>
      <c r="H72" s="72"/>
      <c r="I72" s="72"/>
    </row>
    <row r="73" spans="1:9" x14ac:dyDescent="0.2">
      <c r="A73" s="71"/>
      <c r="B73" s="71"/>
      <c r="C73" s="71"/>
      <c r="D73" s="71"/>
      <c r="E73" s="71"/>
      <c r="F73" s="71"/>
      <c r="G73" s="71"/>
      <c r="H73" s="71"/>
      <c r="I73" s="72"/>
    </row>
    <row r="74" spans="1:9" x14ac:dyDescent="0.2">
      <c r="A74" s="72"/>
      <c r="B74" s="72"/>
      <c r="C74" s="72"/>
      <c r="D74" s="72"/>
      <c r="E74" s="72"/>
      <c r="F74" s="72"/>
      <c r="G74" s="72"/>
      <c r="H74" s="72"/>
      <c r="I74" s="72"/>
    </row>
    <row r="75" spans="1:9" x14ac:dyDescent="0.2">
      <c r="A75" s="72"/>
      <c r="B75" s="72"/>
      <c r="C75" s="72"/>
      <c r="D75" s="72"/>
      <c r="E75" s="72"/>
      <c r="F75" s="72"/>
      <c r="G75" s="72"/>
      <c r="H75" s="72"/>
      <c r="I75" s="72"/>
    </row>
    <row r="76" spans="1:9" x14ac:dyDescent="0.2">
      <c r="A76" s="72"/>
      <c r="B76" s="72"/>
      <c r="C76" s="72"/>
      <c r="D76" s="72"/>
      <c r="E76" s="72"/>
      <c r="F76" s="72"/>
      <c r="G76" s="72"/>
      <c r="H76" s="72"/>
      <c r="I76" s="72"/>
    </row>
    <row r="77" spans="1:9" x14ac:dyDescent="0.2">
      <c r="A77" s="72"/>
      <c r="B77" s="72"/>
      <c r="C77" s="72"/>
      <c r="D77" s="72"/>
      <c r="E77" s="72"/>
      <c r="F77" s="72"/>
      <c r="G77" s="72"/>
      <c r="H77" s="72"/>
      <c r="I77" s="72"/>
    </row>
    <row r="78" spans="1:9" x14ac:dyDescent="0.2">
      <c r="A78" s="72"/>
      <c r="B78" s="72"/>
      <c r="C78" s="72"/>
      <c r="D78" s="72"/>
      <c r="E78" s="72"/>
      <c r="F78" s="72"/>
      <c r="G78" s="72"/>
      <c r="H78" s="72"/>
      <c r="I78" s="72"/>
    </row>
    <row r="79" spans="1:9" x14ac:dyDescent="0.2">
      <c r="A79" s="71"/>
      <c r="B79" s="71"/>
      <c r="C79" s="71"/>
      <c r="D79" s="71"/>
      <c r="E79" s="71"/>
      <c r="F79" s="71"/>
      <c r="G79" s="71"/>
      <c r="H79" s="71"/>
      <c r="I79" s="71"/>
    </row>
    <row r="80" spans="1:9" x14ac:dyDescent="0.2">
      <c r="A80" s="72"/>
      <c r="B80" s="72"/>
      <c r="C80" s="72"/>
      <c r="D80" s="72"/>
      <c r="E80" s="72"/>
      <c r="F80" s="72"/>
      <c r="G80" s="72"/>
      <c r="H80" s="72"/>
      <c r="I80" s="72"/>
    </row>
    <row r="81" spans="1:9" x14ac:dyDescent="0.2">
      <c r="A81" s="72"/>
      <c r="B81" s="72"/>
      <c r="C81" s="72"/>
      <c r="D81" s="72"/>
      <c r="E81" s="72"/>
      <c r="F81" s="72"/>
      <c r="G81" s="72"/>
      <c r="H81" s="72"/>
      <c r="I81" s="72"/>
    </row>
    <row r="82" spans="1:9" x14ac:dyDescent="0.2">
      <c r="A82" s="72"/>
      <c r="B82" s="72"/>
      <c r="C82" s="72"/>
      <c r="D82" s="72"/>
      <c r="E82" s="72"/>
      <c r="F82" s="72"/>
      <c r="G82" s="72"/>
      <c r="H82" s="72"/>
      <c r="I82" s="72"/>
    </row>
    <row r="83" spans="1:9" x14ac:dyDescent="0.2">
      <c r="A83" s="72"/>
      <c r="B83" s="72"/>
      <c r="C83" s="72"/>
      <c r="D83" s="72"/>
      <c r="E83" s="72"/>
      <c r="F83" s="72"/>
      <c r="G83" s="72"/>
      <c r="H83" s="72"/>
      <c r="I83" s="72"/>
    </row>
    <row r="84" spans="1:9" x14ac:dyDescent="0.2">
      <c r="A84" s="72"/>
      <c r="B84" s="72"/>
      <c r="C84" s="72"/>
      <c r="D84" s="72"/>
      <c r="E84" s="72"/>
      <c r="F84" s="72"/>
      <c r="G84" s="72"/>
      <c r="H84" s="72"/>
      <c r="I84" s="72"/>
    </row>
    <row r="85" spans="1:9" x14ac:dyDescent="0.2">
      <c r="A85" s="72"/>
      <c r="B85" s="72"/>
      <c r="C85" s="72"/>
      <c r="D85" s="72"/>
      <c r="E85" s="72"/>
      <c r="F85" s="72"/>
      <c r="G85" s="72"/>
      <c r="H85" s="72"/>
      <c r="I85" s="72"/>
    </row>
    <row r="86" spans="1:9" x14ac:dyDescent="0.2">
      <c r="A86" s="72"/>
      <c r="B86" s="72"/>
      <c r="C86" s="72"/>
      <c r="D86" s="72"/>
      <c r="E86" s="72"/>
      <c r="F86" s="72"/>
      <c r="G86" s="72"/>
      <c r="H86" s="72"/>
      <c r="I86" s="72"/>
    </row>
    <row r="87" spans="1:9" x14ac:dyDescent="0.2">
      <c r="A87" s="72"/>
      <c r="B87" s="72"/>
      <c r="C87" s="72"/>
      <c r="D87" s="72"/>
      <c r="E87" s="72"/>
      <c r="F87" s="72"/>
      <c r="G87" s="72"/>
      <c r="H87" s="72"/>
      <c r="I87" s="72"/>
    </row>
    <row r="88" spans="1:9" x14ac:dyDescent="0.2">
      <c r="A88" s="72"/>
      <c r="B88" s="72"/>
      <c r="C88" s="72"/>
      <c r="D88" s="72"/>
      <c r="E88" s="72"/>
      <c r="F88" s="72"/>
      <c r="G88" s="72"/>
      <c r="H88" s="72"/>
      <c r="I88" s="72"/>
    </row>
    <row r="89" spans="1:9" x14ac:dyDescent="0.2">
      <c r="A89" s="72"/>
      <c r="B89" s="72"/>
      <c r="C89" s="72"/>
      <c r="D89" s="72"/>
      <c r="E89" s="72"/>
      <c r="F89" s="72"/>
      <c r="G89" s="72"/>
      <c r="H89" s="72"/>
      <c r="I89" s="72"/>
    </row>
    <row r="90" spans="1:9" x14ac:dyDescent="0.2">
      <c r="A90" s="72"/>
      <c r="B90" s="72"/>
      <c r="C90" s="72"/>
      <c r="D90" s="72"/>
      <c r="E90" s="72"/>
      <c r="F90" s="72"/>
      <c r="G90" s="72"/>
      <c r="H90" s="72"/>
      <c r="I90" s="72"/>
    </row>
    <row r="91" spans="1:9" x14ac:dyDescent="0.2">
      <c r="A91" s="53"/>
      <c r="B91" s="53"/>
      <c r="C91" s="53"/>
      <c r="D91" s="53"/>
      <c r="E91" s="53"/>
      <c r="F91" s="53"/>
      <c r="G91" s="53"/>
      <c r="H91" s="53"/>
      <c r="I91" s="53"/>
    </row>
    <row r="92" spans="1:9" x14ac:dyDescent="0.2">
      <c r="A92" s="53"/>
      <c r="B92" s="53"/>
      <c r="C92" s="53"/>
      <c r="D92" s="53"/>
      <c r="E92" s="53"/>
      <c r="F92" s="53"/>
      <c r="G92" s="53"/>
      <c r="H92" s="53"/>
      <c r="I92" s="53"/>
    </row>
    <row r="93" spans="1:9" x14ac:dyDescent="0.2">
      <c r="A93" s="53"/>
      <c r="B93" s="53"/>
      <c r="C93" s="53"/>
      <c r="D93" s="53"/>
      <c r="E93" s="53"/>
      <c r="F93" s="53"/>
      <c r="G93" s="53"/>
      <c r="H93" s="53"/>
      <c r="I93" s="53"/>
    </row>
    <row r="94" spans="1:9" x14ac:dyDescent="0.2">
      <c r="A94" s="53"/>
      <c r="B94" s="53"/>
      <c r="C94" s="53"/>
      <c r="D94" s="53"/>
      <c r="E94" s="53"/>
      <c r="F94" s="53"/>
      <c r="G94" s="53"/>
      <c r="H94" s="53"/>
      <c r="I94" s="53"/>
    </row>
    <row r="95" spans="1:9" x14ac:dyDescent="0.2">
      <c r="A95" s="53"/>
      <c r="B95" s="53"/>
      <c r="C95" s="53"/>
      <c r="D95" s="53"/>
      <c r="E95" s="53"/>
      <c r="F95" s="53"/>
      <c r="G95" s="53"/>
      <c r="H95" s="53"/>
      <c r="I95" s="53"/>
    </row>
    <row r="96" spans="1:9" x14ac:dyDescent="0.2">
      <c r="A96" s="53"/>
      <c r="B96" s="53"/>
      <c r="C96" s="53"/>
      <c r="D96" s="53"/>
      <c r="E96" s="53"/>
      <c r="F96" s="53"/>
      <c r="G96" s="53"/>
      <c r="H96" s="53"/>
      <c r="I96" s="53"/>
    </row>
    <row r="97" spans="1:9" x14ac:dyDescent="0.2">
      <c r="A97" s="53"/>
      <c r="B97" s="53"/>
      <c r="C97" s="53"/>
      <c r="D97" s="53"/>
      <c r="E97" s="53"/>
      <c r="F97" s="53"/>
      <c r="G97" s="53"/>
      <c r="H97" s="53"/>
      <c r="I97" s="53"/>
    </row>
    <row r="98" spans="1:9" x14ac:dyDescent="0.2">
      <c r="A98" s="53"/>
      <c r="B98" s="53"/>
      <c r="C98" s="53"/>
      <c r="D98" s="53"/>
      <c r="E98" s="53"/>
      <c r="F98" s="53"/>
      <c r="G98" s="53"/>
      <c r="H98" s="53"/>
      <c r="I98" s="53"/>
    </row>
    <row r="99" spans="1:9" x14ac:dyDescent="0.2">
      <c r="A99" s="77"/>
      <c r="B99" s="77"/>
      <c r="C99" s="77"/>
      <c r="D99" s="77"/>
      <c r="E99" s="77"/>
      <c r="F99" s="77"/>
      <c r="G99" s="77"/>
      <c r="H99" s="77"/>
      <c r="I99" s="77"/>
    </row>
    <row r="100" spans="1:9" x14ac:dyDescent="0.2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 x14ac:dyDescent="0.2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 x14ac:dyDescent="0.2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 x14ac:dyDescent="0.2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 x14ac:dyDescent="0.2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 x14ac:dyDescent="0.2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 x14ac:dyDescent="0.2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 x14ac:dyDescent="0.2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 x14ac:dyDescent="0.2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 x14ac:dyDescent="0.2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 x14ac:dyDescent="0.2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 x14ac:dyDescent="0.2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 x14ac:dyDescent="0.2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 x14ac:dyDescent="0.2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 x14ac:dyDescent="0.2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 x14ac:dyDescent="0.2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 x14ac:dyDescent="0.2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 x14ac:dyDescent="0.2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 x14ac:dyDescent="0.2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 x14ac:dyDescent="0.2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 x14ac:dyDescent="0.2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 x14ac:dyDescent="0.2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 x14ac:dyDescent="0.2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 x14ac:dyDescent="0.2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 x14ac:dyDescent="0.2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 x14ac:dyDescent="0.2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 x14ac:dyDescent="0.2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 x14ac:dyDescent="0.2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 x14ac:dyDescent="0.2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 x14ac:dyDescent="0.2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 x14ac:dyDescent="0.2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 x14ac:dyDescent="0.2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 x14ac:dyDescent="0.2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 x14ac:dyDescent="0.2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 x14ac:dyDescent="0.2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 x14ac:dyDescent="0.2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 x14ac:dyDescent="0.2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 x14ac:dyDescent="0.2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 x14ac:dyDescent="0.2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 x14ac:dyDescent="0.2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 x14ac:dyDescent="0.2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 x14ac:dyDescent="0.2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 x14ac:dyDescent="0.2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 x14ac:dyDescent="0.2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 x14ac:dyDescent="0.2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 x14ac:dyDescent="0.2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 x14ac:dyDescent="0.2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 x14ac:dyDescent="0.2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 x14ac:dyDescent="0.2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 x14ac:dyDescent="0.2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 x14ac:dyDescent="0.2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 x14ac:dyDescent="0.2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 x14ac:dyDescent="0.2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 x14ac:dyDescent="0.2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 x14ac:dyDescent="0.2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 x14ac:dyDescent="0.2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 x14ac:dyDescent="0.2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 x14ac:dyDescent="0.2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 x14ac:dyDescent="0.2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 x14ac:dyDescent="0.2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 x14ac:dyDescent="0.2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 x14ac:dyDescent="0.2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 x14ac:dyDescent="0.2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 x14ac:dyDescent="0.2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 x14ac:dyDescent="0.2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 x14ac:dyDescent="0.2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 x14ac:dyDescent="0.2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 x14ac:dyDescent="0.2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 x14ac:dyDescent="0.2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 x14ac:dyDescent="0.2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 x14ac:dyDescent="0.2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 x14ac:dyDescent="0.2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 x14ac:dyDescent="0.2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 x14ac:dyDescent="0.2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 x14ac:dyDescent="0.2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 x14ac:dyDescent="0.2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 x14ac:dyDescent="0.2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 x14ac:dyDescent="0.2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 x14ac:dyDescent="0.2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 x14ac:dyDescent="0.2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x14ac:dyDescent="0.2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 x14ac:dyDescent="0.2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x14ac:dyDescent="0.2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 x14ac:dyDescent="0.2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 x14ac:dyDescent="0.2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 x14ac:dyDescent="0.2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 x14ac:dyDescent="0.2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 x14ac:dyDescent="0.2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 x14ac:dyDescent="0.2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 x14ac:dyDescent="0.2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 x14ac:dyDescent="0.2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 x14ac:dyDescent="0.2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 x14ac:dyDescent="0.2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 x14ac:dyDescent="0.2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 x14ac:dyDescent="0.2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 x14ac:dyDescent="0.2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 x14ac:dyDescent="0.2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 x14ac:dyDescent="0.2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 x14ac:dyDescent="0.2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 x14ac:dyDescent="0.2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 x14ac:dyDescent="0.2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 x14ac:dyDescent="0.2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 x14ac:dyDescent="0.2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 x14ac:dyDescent="0.2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x14ac:dyDescent="0.2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 x14ac:dyDescent="0.2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x14ac:dyDescent="0.2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x14ac:dyDescent="0.2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x14ac:dyDescent="0.2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x14ac:dyDescent="0.2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x14ac:dyDescent="0.2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x14ac:dyDescent="0.2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x14ac:dyDescent="0.2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x14ac:dyDescent="0.2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x14ac:dyDescent="0.2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x14ac:dyDescent="0.2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x14ac:dyDescent="0.2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x14ac:dyDescent="0.2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x14ac:dyDescent="0.2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x14ac:dyDescent="0.2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 x14ac:dyDescent="0.2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 x14ac:dyDescent="0.2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 x14ac:dyDescent="0.2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 x14ac:dyDescent="0.2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 x14ac:dyDescent="0.2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 x14ac:dyDescent="0.2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 x14ac:dyDescent="0.2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 x14ac:dyDescent="0.2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 x14ac:dyDescent="0.2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 x14ac:dyDescent="0.2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 x14ac:dyDescent="0.2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 x14ac:dyDescent="0.2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 x14ac:dyDescent="0.2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 x14ac:dyDescent="0.2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 x14ac:dyDescent="0.2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 x14ac:dyDescent="0.2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 x14ac:dyDescent="0.2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 x14ac:dyDescent="0.2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 x14ac:dyDescent="0.2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 x14ac:dyDescent="0.2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 x14ac:dyDescent="0.2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 x14ac:dyDescent="0.2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225"/>
  <sheetViews>
    <sheetView showWhiteSpace="0" view="pageLayout" zoomScaleNormal="110" workbookViewId="0">
      <selection activeCell="D6" sqref="D6"/>
    </sheetView>
  </sheetViews>
  <sheetFormatPr defaultRowHeight="13.2" x14ac:dyDescent="0.25"/>
  <cols>
    <col min="1" max="1" width="4" customWidth="1"/>
    <col min="2" max="2" width="13" customWidth="1"/>
    <col min="3" max="3" width="14" bestFit="1" customWidth="1"/>
    <col min="4" max="4" width="14.10937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3.88671875" customWidth="1"/>
    <col min="11" max="11" width="14.5546875" bestFit="1" customWidth="1"/>
    <col min="12" max="12" width="11.33203125" style="1" bestFit="1" customWidth="1"/>
  </cols>
  <sheetData>
    <row r="1" spans="1:12" s="1" customFormat="1" ht="15.6" x14ac:dyDescent="0.3">
      <c r="A1"/>
      <c r="B1" s="5" t="s">
        <v>93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399999999999999" x14ac:dyDescent="0.3">
      <c r="A2"/>
      <c r="B2" s="153" t="s">
        <v>14</v>
      </c>
      <c r="C2" s="153"/>
      <c r="D2" s="153"/>
      <c r="E2" s="153"/>
      <c r="F2" s="153"/>
      <c r="G2" s="153"/>
      <c r="H2" s="153"/>
      <c r="I2" s="153"/>
      <c r="J2" s="153"/>
      <c r="K2" s="153"/>
    </row>
    <row r="3" spans="1:12" s="1" customFormat="1" ht="17.399999999999999" x14ac:dyDescent="0.3">
      <c r="A3"/>
      <c r="B3" s="154"/>
      <c r="C3" s="154"/>
      <c r="D3" s="154"/>
      <c r="E3" s="154"/>
      <c r="F3" s="154"/>
      <c r="G3" s="154"/>
      <c r="H3" s="154"/>
      <c r="I3" s="154"/>
      <c r="J3" s="154"/>
      <c r="K3" s="154"/>
    </row>
    <row r="4" spans="1:12" s="1" customFormat="1" ht="13.8" x14ac:dyDescent="0.25">
      <c r="A4"/>
      <c r="B4" s="33" t="s">
        <v>15</v>
      </c>
      <c r="C4" s="34" t="s">
        <v>16</v>
      </c>
      <c r="D4" s="52">
        <f ca="1">NOW()</f>
        <v>41967.663497337962</v>
      </c>
      <c r="E4" s="35"/>
      <c r="F4" s="35"/>
      <c r="G4" s="35"/>
      <c r="H4" s="35"/>
      <c r="I4" s="35"/>
      <c r="J4" s="35"/>
      <c r="K4" s="35"/>
    </row>
    <row r="5" spans="1:12" s="1" customFormat="1" ht="13.8" x14ac:dyDescent="0.25">
      <c r="A5"/>
      <c r="B5" s="33" t="s">
        <v>17</v>
      </c>
      <c r="C5" s="34" t="s">
        <v>16</v>
      </c>
      <c r="D5" s="36">
        <v>41883</v>
      </c>
      <c r="E5" s="35"/>
      <c r="F5" s="35"/>
      <c r="G5" s="35"/>
      <c r="H5" s="35"/>
      <c r="I5" s="35"/>
      <c r="J5" s="35"/>
      <c r="K5" s="35"/>
    </row>
    <row r="6" spans="1:12" s="1" customFormat="1" ht="13.8" x14ac:dyDescent="0.25">
      <c r="A6"/>
      <c r="B6" s="33" t="s">
        <v>18</v>
      </c>
      <c r="C6" s="34" t="s">
        <v>16</v>
      </c>
      <c r="D6" s="33" t="s">
        <v>94</v>
      </c>
      <c r="E6" s="35"/>
      <c r="F6" s="35"/>
      <c r="G6" s="35"/>
      <c r="H6" s="35"/>
      <c r="I6" s="35"/>
      <c r="J6" s="35"/>
      <c r="K6" s="35"/>
    </row>
    <row r="7" spans="1:12" s="1" customFormat="1" ht="13.8" x14ac:dyDescent="0.25">
      <c r="A7"/>
      <c r="B7" s="33" t="s">
        <v>19</v>
      </c>
      <c r="C7" s="34" t="s">
        <v>16</v>
      </c>
      <c r="D7" s="33" t="s">
        <v>71</v>
      </c>
      <c r="E7" s="35"/>
      <c r="F7" s="35"/>
      <c r="G7" s="35"/>
      <c r="H7" s="35"/>
      <c r="I7" s="35"/>
      <c r="J7" s="35"/>
      <c r="K7" s="35"/>
    </row>
    <row r="8" spans="1:12" s="1" customFormat="1" ht="13.8" x14ac:dyDescent="0.2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 x14ac:dyDescent="0.25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 x14ac:dyDescent="0.25">
      <c r="A10"/>
      <c r="B10" s="11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55" t="s">
        <v>26</v>
      </c>
      <c r="K10" s="155"/>
    </row>
    <row r="11" spans="1:12" s="1" customFormat="1" x14ac:dyDescent="0.25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 x14ac:dyDescent="0.25">
      <c r="A12"/>
      <c r="B12" s="79"/>
      <c r="C12" s="78"/>
      <c r="D12" s="94"/>
      <c r="E12" s="95"/>
      <c r="F12" s="96"/>
      <c r="G12" s="80"/>
      <c r="H12" s="90"/>
      <c r="I12" s="91"/>
      <c r="J12" s="87"/>
      <c r="K12" s="87"/>
    </row>
    <row r="13" spans="1:12" s="1" customFormat="1" ht="19.5" customHeight="1" x14ac:dyDescent="0.25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19.5" customHeight="1" x14ac:dyDescent="0.25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19.5" customHeight="1" x14ac:dyDescent="0.25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 x14ac:dyDescent="0.25">
      <c r="A16" s="21"/>
      <c r="B16" s="23"/>
      <c r="C16" s="23"/>
      <c r="D16" s="23"/>
      <c r="E16" s="23"/>
      <c r="F16" s="23"/>
      <c r="G16" s="23"/>
      <c r="H16"/>
      <c r="I16"/>
      <c r="J16"/>
      <c r="K16"/>
    </row>
    <row r="17" spans="1:11" s="1" customFormat="1" x14ac:dyDescent="0.25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 x14ac:dyDescent="0.25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3.8" x14ac:dyDescent="0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3.8" x14ac:dyDescent="0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 x14ac:dyDescent="0.25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3.8" x14ac:dyDescent="0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3.8" x14ac:dyDescent="0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3.8" x14ac:dyDescent="0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3.8" x14ac:dyDescent="0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3.8" x14ac:dyDescent="0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3.8" x14ac:dyDescent="0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3.8" x14ac:dyDescent="0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3.8" x14ac:dyDescent="0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3.8" x14ac:dyDescent="0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3.8" x14ac:dyDescent="0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 x14ac:dyDescent="0.25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6" x14ac:dyDescent="0.3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6" x14ac:dyDescent="0.3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6" x14ac:dyDescent="0.3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.6" x14ac:dyDescent="0.3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.6" x14ac:dyDescent="0.3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.6" x14ac:dyDescent="0.3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.6" x14ac:dyDescent="0.3">
      <c r="B39" s="19"/>
      <c r="C39" s="19"/>
      <c r="D39" s="19"/>
      <c r="E39" s="19"/>
      <c r="F39" s="19"/>
      <c r="G39" s="19"/>
    </row>
    <row r="40" spans="1:11" ht="15.6" x14ac:dyDescent="0.3">
      <c r="B40" s="19"/>
      <c r="C40" s="19"/>
      <c r="D40" s="19"/>
      <c r="E40" s="19"/>
      <c r="F40" s="19"/>
      <c r="G40" s="19"/>
    </row>
    <row r="41" spans="1:11" ht="15.6" x14ac:dyDescent="0.3">
      <c r="B41" s="19"/>
      <c r="C41" s="19"/>
      <c r="D41" s="19"/>
      <c r="E41" s="19"/>
      <c r="F41" s="19"/>
      <c r="G41" s="19"/>
    </row>
    <row r="42" spans="1:11" ht="15.6" x14ac:dyDescent="0.3">
      <c r="B42" s="19"/>
      <c r="C42" s="19"/>
      <c r="D42" s="19"/>
      <c r="E42" s="19"/>
      <c r="F42" s="19"/>
      <c r="G42" s="19"/>
    </row>
    <row r="43" spans="1:11" ht="15.6" x14ac:dyDescent="0.3">
      <c r="B43" s="19"/>
      <c r="C43" s="19"/>
      <c r="D43" s="19"/>
      <c r="E43" s="19"/>
      <c r="F43" s="19"/>
      <c r="G43" s="19"/>
    </row>
    <row r="44" spans="1:11" ht="15.6" x14ac:dyDescent="0.3">
      <c r="B44" s="19"/>
      <c r="C44" s="19"/>
      <c r="D44" s="19"/>
      <c r="E44" s="19"/>
      <c r="F44" s="19"/>
      <c r="G44" s="19"/>
    </row>
    <row r="45" spans="1:11" ht="15.6" x14ac:dyDescent="0.3">
      <c r="B45" s="19"/>
      <c r="C45" s="19"/>
      <c r="D45" s="19"/>
      <c r="E45" s="19"/>
      <c r="F45" s="19"/>
      <c r="G45" s="19"/>
    </row>
    <row r="46" spans="1:11" ht="15.6" x14ac:dyDescent="0.3">
      <c r="B46" s="22"/>
      <c r="C46" s="7"/>
      <c r="D46" s="7"/>
      <c r="E46" s="7"/>
      <c r="F46" s="7"/>
      <c r="G46" s="7"/>
    </row>
    <row r="47" spans="1:11" ht="15.6" x14ac:dyDescent="0.3">
      <c r="B47" s="19"/>
      <c r="C47" s="19"/>
      <c r="D47" s="19"/>
      <c r="E47" s="19"/>
      <c r="F47" s="19"/>
      <c r="G47" s="19"/>
    </row>
    <row r="48" spans="1:11" ht="15.6" x14ac:dyDescent="0.3">
      <c r="B48" s="19"/>
      <c r="C48" s="19"/>
      <c r="D48" s="19"/>
      <c r="E48" s="19"/>
      <c r="F48" s="19"/>
      <c r="G48" s="19"/>
    </row>
    <row r="49" spans="2:7" ht="15.6" x14ac:dyDescent="0.3">
      <c r="B49" s="19"/>
      <c r="C49" s="19"/>
      <c r="D49" s="19"/>
      <c r="E49" s="19"/>
      <c r="F49" s="19"/>
      <c r="G49" s="19"/>
    </row>
    <row r="50" spans="2:7" ht="15.6" x14ac:dyDescent="0.3">
      <c r="B50" s="19"/>
      <c r="C50" s="19"/>
      <c r="D50" s="19"/>
      <c r="E50" s="19"/>
      <c r="F50" s="19"/>
      <c r="G50" s="19"/>
    </row>
    <row r="51" spans="2:7" x14ac:dyDescent="0.25">
      <c r="B51" s="23"/>
      <c r="C51" s="23"/>
      <c r="D51" s="23"/>
      <c r="E51" s="23"/>
      <c r="F51" s="23"/>
      <c r="G51" s="23"/>
    </row>
    <row r="52" spans="2:7" x14ac:dyDescent="0.25">
      <c r="B52" s="24"/>
      <c r="C52" s="25"/>
      <c r="D52" s="25"/>
      <c r="E52" s="25"/>
      <c r="F52" s="25"/>
      <c r="G52" s="25"/>
    </row>
    <row r="53" spans="2:7" x14ac:dyDescent="0.25">
      <c r="B53" s="26"/>
      <c r="C53" s="25"/>
      <c r="D53" s="25"/>
      <c r="E53" s="25"/>
      <c r="F53" s="25"/>
      <c r="G53" s="25"/>
    </row>
    <row r="54" spans="2:7" x14ac:dyDescent="0.25">
      <c r="B54" s="26"/>
      <c r="C54" s="26"/>
      <c r="D54" s="26"/>
      <c r="E54" s="26"/>
      <c r="F54" s="26"/>
      <c r="G54" s="26"/>
    </row>
    <row r="55" spans="2:7" ht="15.6" x14ac:dyDescent="0.3">
      <c r="B55" s="19"/>
      <c r="C55" s="19"/>
      <c r="D55" s="19"/>
      <c r="E55" s="19"/>
      <c r="F55" s="19"/>
      <c r="G55" s="19"/>
    </row>
    <row r="56" spans="2:7" ht="15.6" x14ac:dyDescent="0.3">
      <c r="B56" s="7"/>
      <c r="C56" s="7"/>
      <c r="D56" s="7"/>
      <c r="E56" s="7"/>
      <c r="F56" s="7"/>
      <c r="G56" s="19"/>
    </row>
    <row r="57" spans="2:7" ht="15.6" x14ac:dyDescent="0.3">
      <c r="B57" s="19"/>
      <c r="C57" s="19"/>
      <c r="D57" s="19"/>
      <c r="E57" s="19"/>
      <c r="F57" s="19"/>
      <c r="G57" s="19"/>
    </row>
    <row r="58" spans="2:7" ht="15.6" x14ac:dyDescent="0.3">
      <c r="B58" s="19"/>
      <c r="C58" s="19"/>
      <c r="D58" s="19"/>
      <c r="E58" s="19"/>
      <c r="F58" s="19"/>
      <c r="G58" s="19"/>
    </row>
    <row r="59" spans="2:7" ht="15.6" x14ac:dyDescent="0.3">
      <c r="B59" s="19"/>
      <c r="C59" s="19"/>
      <c r="D59" s="19"/>
      <c r="E59" s="19"/>
      <c r="F59" s="19"/>
      <c r="G59" s="19"/>
    </row>
    <row r="60" spans="2:7" ht="15.6" x14ac:dyDescent="0.3">
      <c r="B60" s="19"/>
      <c r="C60" s="19"/>
      <c r="D60" s="19"/>
      <c r="E60" s="19"/>
      <c r="F60" s="19"/>
      <c r="G60" s="19"/>
    </row>
    <row r="61" spans="2:7" ht="15.6" x14ac:dyDescent="0.3">
      <c r="B61" s="19"/>
      <c r="C61" s="19"/>
      <c r="D61" s="19"/>
      <c r="E61" s="19"/>
      <c r="F61" s="19"/>
      <c r="G61" s="19"/>
    </row>
    <row r="62" spans="2:7" ht="15.6" x14ac:dyDescent="0.3">
      <c r="B62" s="7"/>
      <c r="C62" s="7"/>
      <c r="D62" s="7"/>
      <c r="E62" s="7"/>
      <c r="F62" s="7"/>
      <c r="G62" s="7"/>
    </row>
    <row r="63" spans="2:7" ht="15.6" x14ac:dyDescent="0.3">
      <c r="B63" s="19"/>
      <c r="C63" s="19"/>
      <c r="D63" s="19"/>
      <c r="E63" s="19"/>
      <c r="F63" s="19"/>
      <c r="G63" s="19"/>
    </row>
    <row r="64" spans="2:7" ht="15.6" x14ac:dyDescent="0.3">
      <c r="B64" s="19"/>
      <c r="C64" s="19"/>
      <c r="D64" s="19"/>
      <c r="E64" s="19"/>
      <c r="F64" s="19"/>
      <c r="G64" s="19"/>
    </row>
    <row r="65" spans="2:7" ht="15.6" x14ac:dyDescent="0.3">
      <c r="B65" s="19"/>
      <c r="C65" s="19"/>
      <c r="D65" s="19"/>
      <c r="E65" s="19"/>
      <c r="F65" s="19"/>
      <c r="G65" s="19"/>
    </row>
    <row r="66" spans="2:7" ht="15.6" x14ac:dyDescent="0.3">
      <c r="B66" s="19"/>
      <c r="C66" s="19"/>
      <c r="D66" s="19"/>
      <c r="E66" s="19"/>
      <c r="F66" s="19"/>
      <c r="G66" s="19"/>
    </row>
    <row r="67" spans="2:7" ht="15.6" x14ac:dyDescent="0.3">
      <c r="B67" s="19"/>
      <c r="C67" s="19"/>
      <c r="D67" s="19"/>
      <c r="E67" s="19"/>
      <c r="F67" s="19"/>
      <c r="G67" s="19"/>
    </row>
    <row r="68" spans="2:7" ht="15.6" x14ac:dyDescent="0.3">
      <c r="B68" s="19"/>
      <c r="C68" s="19"/>
      <c r="D68" s="19"/>
      <c r="E68" s="19"/>
      <c r="F68" s="19"/>
      <c r="G68" s="19"/>
    </row>
    <row r="69" spans="2:7" ht="15.6" x14ac:dyDescent="0.3">
      <c r="B69" s="19"/>
      <c r="C69" s="19"/>
      <c r="D69" s="19"/>
      <c r="E69" s="19"/>
      <c r="F69" s="19"/>
      <c r="G69" s="19"/>
    </row>
    <row r="70" spans="2:7" ht="15.6" x14ac:dyDescent="0.3">
      <c r="B70" s="19"/>
      <c r="C70" s="19"/>
      <c r="D70" s="19"/>
      <c r="E70" s="19"/>
      <c r="F70" s="19"/>
      <c r="G70" s="19"/>
    </row>
    <row r="71" spans="2:7" ht="15.6" x14ac:dyDescent="0.3">
      <c r="B71" s="19"/>
      <c r="C71" s="19"/>
      <c r="D71" s="19"/>
      <c r="E71" s="19"/>
      <c r="F71" s="19"/>
      <c r="G71" s="19"/>
    </row>
    <row r="72" spans="2:7" ht="15.6" x14ac:dyDescent="0.3">
      <c r="B72" s="19"/>
      <c r="C72" s="19"/>
      <c r="D72" s="19"/>
      <c r="E72" s="19"/>
      <c r="F72" s="19"/>
      <c r="G72" s="19"/>
    </row>
    <row r="73" spans="2:7" ht="15.6" x14ac:dyDescent="0.3">
      <c r="B73" s="19"/>
      <c r="C73" s="19"/>
      <c r="D73" s="19"/>
      <c r="E73" s="19"/>
      <c r="F73" s="19"/>
      <c r="G73" s="19"/>
    </row>
    <row r="74" spans="2:7" ht="13.8" x14ac:dyDescent="0.25">
      <c r="B74" s="27"/>
      <c r="C74" s="27"/>
      <c r="D74" s="27"/>
      <c r="E74" s="27"/>
      <c r="F74" s="27"/>
      <c r="G74" s="27"/>
    </row>
    <row r="75" spans="2:7" x14ac:dyDescent="0.25">
      <c r="B75" s="21"/>
      <c r="C75" s="21"/>
      <c r="D75" s="21"/>
      <c r="E75" s="21"/>
      <c r="F75" s="21"/>
      <c r="G75" s="21"/>
    </row>
    <row r="76" spans="2:7" x14ac:dyDescent="0.25">
      <c r="B76" s="21"/>
      <c r="C76" s="21"/>
      <c r="D76" s="21"/>
      <c r="E76" s="21"/>
      <c r="F76" s="21"/>
      <c r="G76" s="21"/>
    </row>
    <row r="77" spans="2:7" x14ac:dyDescent="0.25">
      <c r="B77" s="21"/>
      <c r="C77" s="21"/>
      <c r="D77" s="21"/>
      <c r="E77" s="21"/>
      <c r="F77" s="21"/>
      <c r="G77" s="21"/>
    </row>
    <row r="78" spans="2:7" x14ac:dyDescent="0.25">
      <c r="B78" s="21"/>
      <c r="C78" s="21"/>
      <c r="D78" s="21"/>
      <c r="E78" s="21"/>
      <c r="F78" s="21"/>
      <c r="G78" s="21"/>
    </row>
    <row r="79" spans="2:7" x14ac:dyDescent="0.25">
      <c r="B79" s="21"/>
      <c r="C79" s="21"/>
      <c r="D79" s="21"/>
      <c r="E79" s="21"/>
      <c r="F79" s="21"/>
      <c r="G79" s="21"/>
    </row>
    <row r="80" spans="2:7" x14ac:dyDescent="0.25">
      <c r="B80" s="21"/>
      <c r="C80" s="21"/>
      <c r="D80" s="21"/>
      <c r="E80" s="21"/>
      <c r="F80" s="21"/>
      <c r="G80" s="21"/>
    </row>
    <row r="81" spans="2:7" x14ac:dyDescent="0.25">
      <c r="B81" s="21"/>
      <c r="C81" s="21"/>
      <c r="D81" s="21"/>
      <c r="E81" s="21"/>
      <c r="F81" s="21"/>
      <c r="G81" s="21"/>
    </row>
    <row r="82" spans="2:7" ht="15.6" x14ac:dyDescent="0.35">
      <c r="B82" s="18"/>
      <c r="C82" s="18"/>
      <c r="D82" s="18"/>
      <c r="E82" s="18"/>
      <c r="F82" s="18"/>
      <c r="G82" s="18"/>
    </row>
    <row r="83" spans="2:7" ht="15.6" x14ac:dyDescent="0.35">
      <c r="B83" s="18"/>
      <c r="C83" s="18"/>
      <c r="D83" s="18"/>
      <c r="E83" s="18"/>
      <c r="F83" s="18"/>
      <c r="G83" s="18"/>
    </row>
    <row r="84" spans="2:7" ht="15.6" x14ac:dyDescent="0.35">
      <c r="B84" s="18"/>
      <c r="C84" s="18"/>
      <c r="D84" s="18"/>
      <c r="E84" s="18"/>
      <c r="F84" s="18"/>
      <c r="G84" s="18"/>
    </row>
    <row r="85" spans="2:7" ht="15.6" x14ac:dyDescent="0.3">
      <c r="B85" s="19"/>
      <c r="C85" s="19"/>
      <c r="D85" s="19"/>
      <c r="E85" s="19"/>
      <c r="F85" s="20"/>
      <c r="G85" s="19"/>
    </row>
    <row r="86" spans="2:7" ht="15.6" x14ac:dyDescent="0.3">
      <c r="B86" s="19"/>
      <c r="C86" s="19"/>
      <c r="D86" s="19"/>
      <c r="E86" s="19"/>
      <c r="F86" s="19"/>
      <c r="G86" s="19"/>
    </row>
    <row r="87" spans="2:7" ht="15.6" x14ac:dyDescent="0.3">
      <c r="B87" s="19"/>
      <c r="C87" s="19"/>
      <c r="D87" s="19"/>
      <c r="E87" s="19"/>
      <c r="F87" s="19"/>
      <c r="G87" s="19"/>
    </row>
    <row r="88" spans="2:7" ht="15.6" x14ac:dyDescent="0.3">
      <c r="B88" s="19"/>
      <c r="C88" s="19"/>
      <c r="D88" s="19"/>
      <c r="E88" s="19"/>
      <c r="F88" s="19"/>
      <c r="G88" s="19"/>
    </row>
    <row r="89" spans="2:7" ht="15.6" x14ac:dyDescent="0.3">
      <c r="B89" s="19"/>
      <c r="C89" s="19"/>
      <c r="D89" s="19"/>
      <c r="E89" s="19"/>
      <c r="F89" s="19"/>
      <c r="G89" s="19"/>
    </row>
    <row r="90" spans="2:7" ht="15.6" x14ac:dyDescent="0.3">
      <c r="B90" s="19"/>
      <c r="C90" s="19"/>
      <c r="D90" s="19"/>
      <c r="E90" s="19"/>
      <c r="F90" s="19"/>
      <c r="G90" s="19"/>
    </row>
    <row r="91" spans="2:7" ht="15.6" x14ac:dyDescent="0.3">
      <c r="B91" s="19"/>
      <c r="C91" s="19"/>
      <c r="D91" s="19"/>
      <c r="E91" s="19"/>
      <c r="F91" s="19"/>
      <c r="G91" s="19"/>
    </row>
    <row r="92" spans="2:7" ht="15.6" x14ac:dyDescent="0.3">
      <c r="B92" s="19"/>
      <c r="C92" s="19"/>
      <c r="D92" s="19"/>
      <c r="E92" s="19"/>
      <c r="F92" s="19"/>
      <c r="G92" s="19"/>
    </row>
    <row r="93" spans="2:7" ht="15.6" x14ac:dyDescent="0.3">
      <c r="B93" s="19"/>
      <c r="C93" s="19"/>
      <c r="D93" s="19"/>
      <c r="E93" s="19"/>
      <c r="F93" s="19"/>
      <c r="G93" s="19"/>
    </row>
    <row r="94" spans="2:7" ht="15.6" x14ac:dyDescent="0.3">
      <c r="B94" s="19"/>
      <c r="C94" s="19"/>
      <c r="D94" s="19"/>
      <c r="E94" s="19"/>
      <c r="F94" s="19"/>
      <c r="G94" s="19"/>
    </row>
    <row r="95" spans="2:7" ht="15.6" x14ac:dyDescent="0.3">
      <c r="B95" s="22"/>
      <c r="C95" s="7"/>
      <c r="D95" s="7"/>
      <c r="E95" s="7"/>
      <c r="F95" s="7"/>
      <c r="G95" s="7"/>
    </row>
    <row r="96" spans="2:7" ht="15.6" x14ac:dyDescent="0.3">
      <c r="B96" s="19"/>
      <c r="C96" s="19"/>
      <c r="D96" s="19"/>
      <c r="E96" s="19"/>
      <c r="F96" s="19"/>
      <c r="G96" s="19"/>
    </row>
    <row r="97" spans="2:7" ht="15.6" x14ac:dyDescent="0.3">
      <c r="B97" s="19"/>
      <c r="C97" s="19"/>
      <c r="D97" s="19"/>
      <c r="E97" s="19"/>
      <c r="F97" s="19"/>
      <c r="G97" s="19"/>
    </row>
    <row r="98" spans="2:7" ht="15.6" x14ac:dyDescent="0.3">
      <c r="B98" s="19"/>
      <c r="C98" s="19"/>
      <c r="D98" s="19"/>
      <c r="E98" s="19"/>
      <c r="F98" s="19"/>
      <c r="G98" s="19"/>
    </row>
    <row r="99" spans="2:7" ht="15.6" x14ac:dyDescent="0.3">
      <c r="B99" s="19"/>
      <c r="C99" s="19"/>
      <c r="D99" s="19"/>
      <c r="E99" s="19"/>
      <c r="F99" s="19"/>
      <c r="G99" s="19"/>
    </row>
    <row r="100" spans="2:7" x14ac:dyDescent="0.25">
      <c r="B100" s="23"/>
      <c r="C100" s="23"/>
      <c r="D100" s="23"/>
      <c r="E100" s="23"/>
      <c r="F100" s="23"/>
      <c r="G100" s="23"/>
    </row>
    <row r="101" spans="2:7" x14ac:dyDescent="0.25">
      <c r="B101" s="24"/>
      <c r="C101" s="25"/>
      <c r="D101" s="25"/>
      <c r="E101" s="25"/>
      <c r="F101" s="25"/>
      <c r="G101" s="25"/>
    </row>
    <row r="102" spans="2:7" x14ac:dyDescent="0.25">
      <c r="B102" s="26"/>
      <c r="C102" s="25"/>
      <c r="D102" s="25"/>
      <c r="E102" s="25"/>
      <c r="F102" s="25"/>
      <c r="G102" s="25"/>
    </row>
    <row r="103" spans="2:7" x14ac:dyDescent="0.25">
      <c r="B103" s="26"/>
      <c r="C103" s="26"/>
      <c r="D103" s="26"/>
      <c r="E103" s="26"/>
      <c r="F103" s="26"/>
      <c r="G103" s="26"/>
    </row>
    <row r="104" spans="2:7" ht="15.6" x14ac:dyDescent="0.3">
      <c r="B104" s="19"/>
      <c r="C104" s="19"/>
      <c r="D104" s="19"/>
      <c r="E104" s="19"/>
      <c r="F104" s="19"/>
      <c r="G104" s="19"/>
    </row>
    <row r="105" spans="2:7" ht="15.6" x14ac:dyDescent="0.3">
      <c r="B105" s="7"/>
      <c r="C105" s="7"/>
      <c r="D105" s="7"/>
      <c r="E105" s="7"/>
      <c r="F105" s="7"/>
      <c r="G105" s="19"/>
    </row>
    <row r="106" spans="2:7" ht="15.6" x14ac:dyDescent="0.3">
      <c r="B106" s="19"/>
      <c r="C106" s="19"/>
      <c r="D106" s="19"/>
      <c r="E106" s="19"/>
      <c r="F106" s="19"/>
      <c r="G106" s="19"/>
    </row>
    <row r="107" spans="2:7" ht="15.6" x14ac:dyDescent="0.3">
      <c r="B107" s="19"/>
      <c r="C107" s="19"/>
      <c r="D107" s="19"/>
      <c r="E107" s="19"/>
      <c r="F107" s="19"/>
      <c r="G107" s="19"/>
    </row>
    <row r="108" spans="2:7" ht="15.6" x14ac:dyDescent="0.3">
      <c r="B108" s="19"/>
      <c r="C108" s="19"/>
      <c r="D108" s="19"/>
      <c r="E108" s="19"/>
      <c r="F108" s="19"/>
      <c r="G108" s="19"/>
    </row>
    <row r="109" spans="2:7" ht="15.6" x14ac:dyDescent="0.3">
      <c r="B109" s="19"/>
      <c r="C109" s="19"/>
      <c r="D109" s="19"/>
      <c r="E109" s="19"/>
      <c r="F109" s="19"/>
      <c r="G109" s="19"/>
    </row>
    <row r="110" spans="2:7" ht="15.6" x14ac:dyDescent="0.3">
      <c r="B110" s="19"/>
      <c r="C110" s="19"/>
      <c r="D110" s="19"/>
      <c r="E110" s="19"/>
      <c r="F110" s="19"/>
      <c r="G110" s="19"/>
    </row>
    <row r="111" spans="2:7" ht="15.6" x14ac:dyDescent="0.3">
      <c r="B111" s="7"/>
      <c r="C111" s="7"/>
      <c r="D111" s="7"/>
      <c r="E111" s="7"/>
      <c r="F111" s="7"/>
      <c r="G111" s="7"/>
    </row>
    <row r="112" spans="2:7" ht="15.6" x14ac:dyDescent="0.3">
      <c r="B112" s="19"/>
      <c r="C112" s="19"/>
      <c r="D112" s="19"/>
      <c r="E112" s="19"/>
      <c r="F112" s="19"/>
      <c r="G112" s="19"/>
    </row>
    <row r="113" spans="2:7" ht="13.8" x14ac:dyDescent="0.25">
      <c r="B113" s="27"/>
      <c r="C113" s="27"/>
      <c r="D113" s="27"/>
      <c r="E113" s="27"/>
      <c r="F113" s="27"/>
      <c r="G113" s="27"/>
    </row>
    <row r="114" spans="2:7" x14ac:dyDescent="0.25">
      <c r="B114" s="21"/>
      <c r="C114" s="21"/>
      <c r="D114" s="21"/>
      <c r="E114" s="21"/>
      <c r="F114" s="21"/>
      <c r="G114" s="21"/>
    </row>
    <row r="115" spans="2:7" x14ac:dyDescent="0.25">
      <c r="B115" s="21"/>
      <c r="C115" s="21"/>
      <c r="D115" s="21"/>
      <c r="E115" s="21"/>
      <c r="F115" s="21"/>
      <c r="G115" s="21"/>
    </row>
    <row r="116" spans="2:7" x14ac:dyDescent="0.25">
      <c r="B116" s="21"/>
      <c r="C116" s="21"/>
      <c r="D116" s="21"/>
      <c r="E116" s="21"/>
      <c r="F116" s="21"/>
      <c r="G116" s="21"/>
    </row>
    <row r="117" spans="2:7" x14ac:dyDescent="0.25">
      <c r="B117" s="21"/>
      <c r="C117" s="21"/>
      <c r="D117" s="21"/>
      <c r="E117" s="21"/>
      <c r="F117" s="21"/>
      <c r="G117" s="21"/>
    </row>
    <row r="118" spans="2:7" x14ac:dyDescent="0.25">
      <c r="B118" s="21"/>
      <c r="C118" s="21"/>
      <c r="D118" s="21"/>
      <c r="E118" s="21"/>
      <c r="F118" s="21"/>
      <c r="G118" s="21"/>
    </row>
    <row r="119" spans="2:7" x14ac:dyDescent="0.25">
      <c r="B119" s="21"/>
      <c r="C119" s="21"/>
      <c r="D119" s="21"/>
      <c r="E119" s="21"/>
      <c r="F119" s="21"/>
      <c r="G119" s="21"/>
    </row>
    <row r="120" spans="2:7" x14ac:dyDescent="0.25">
      <c r="B120" s="21"/>
      <c r="C120" s="21"/>
      <c r="D120" s="21"/>
      <c r="E120" s="21"/>
      <c r="F120" s="21"/>
      <c r="G120" s="21"/>
    </row>
    <row r="121" spans="2:7" x14ac:dyDescent="0.25">
      <c r="B121" s="21"/>
      <c r="C121" s="21"/>
      <c r="D121" s="21"/>
      <c r="E121" s="21"/>
      <c r="F121" s="21"/>
      <c r="G121" s="21"/>
    </row>
    <row r="122" spans="2:7" ht="15.6" x14ac:dyDescent="0.35">
      <c r="B122" s="18"/>
      <c r="C122" s="18"/>
      <c r="D122" s="18"/>
      <c r="E122" s="18"/>
      <c r="F122" s="18"/>
      <c r="G122" s="18"/>
    </row>
    <row r="123" spans="2:7" ht="15.6" x14ac:dyDescent="0.35">
      <c r="B123" s="18"/>
      <c r="C123" s="18"/>
      <c r="D123" s="18"/>
      <c r="E123" s="18"/>
      <c r="F123" s="18"/>
      <c r="G123" s="18"/>
    </row>
    <row r="124" spans="2:7" ht="15.6" x14ac:dyDescent="0.35">
      <c r="B124" s="18"/>
      <c r="C124" s="18"/>
      <c r="D124" s="18"/>
      <c r="E124" s="18"/>
      <c r="F124" s="18"/>
      <c r="G124" s="18"/>
    </row>
    <row r="125" spans="2:7" ht="15.6" x14ac:dyDescent="0.3">
      <c r="B125" s="19"/>
      <c r="C125" s="19"/>
      <c r="D125" s="19"/>
      <c r="E125" s="19"/>
      <c r="F125" s="20"/>
      <c r="G125" s="19"/>
    </row>
    <row r="126" spans="2:7" ht="15.6" x14ac:dyDescent="0.3">
      <c r="B126" s="19"/>
      <c r="C126" s="19"/>
      <c r="D126" s="19"/>
      <c r="E126" s="19"/>
      <c r="F126" s="19"/>
      <c r="G126" s="19"/>
    </row>
    <row r="127" spans="2:7" ht="15.6" x14ac:dyDescent="0.3">
      <c r="B127" s="19"/>
      <c r="C127" s="19"/>
      <c r="D127" s="19"/>
      <c r="E127" s="19"/>
      <c r="F127" s="19"/>
      <c r="G127" s="19"/>
    </row>
    <row r="128" spans="2:7" ht="15.6" x14ac:dyDescent="0.3">
      <c r="B128" s="19"/>
      <c r="C128" s="19"/>
      <c r="D128" s="19"/>
      <c r="E128" s="19"/>
      <c r="F128" s="19"/>
      <c r="G128" s="19"/>
    </row>
    <row r="129" spans="2:7" ht="15.6" x14ac:dyDescent="0.3">
      <c r="B129" s="19"/>
      <c r="C129" s="19"/>
      <c r="D129" s="19"/>
      <c r="E129" s="19"/>
      <c r="F129" s="19"/>
      <c r="G129" s="19"/>
    </row>
    <row r="130" spans="2:7" ht="15.6" x14ac:dyDescent="0.3">
      <c r="B130" s="19"/>
      <c r="C130" s="19"/>
      <c r="D130" s="19"/>
      <c r="E130" s="19"/>
      <c r="F130" s="19"/>
      <c r="G130" s="19"/>
    </row>
    <row r="131" spans="2:7" ht="15.6" x14ac:dyDescent="0.3">
      <c r="B131" s="19"/>
      <c r="C131" s="19"/>
      <c r="D131" s="19"/>
      <c r="E131" s="19"/>
      <c r="F131" s="19"/>
      <c r="G131" s="19"/>
    </row>
    <row r="132" spans="2:7" ht="15.6" x14ac:dyDescent="0.3">
      <c r="B132" s="19"/>
      <c r="C132" s="19"/>
      <c r="D132" s="19"/>
      <c r="E132" s="19"/>
      <c r="F132" s="19"/>
      <c r="G132" s="19"/>
    </row>
    <row r="133" spans="2:7" ht="15.6" x14ac:dyDescent="0.3">
      <c r="B133" s="19"/>
      <c r="C133" s="19"/>
      <c r="D133" s="19"/>
      <c r="E133" s="19"/>
      <c r="F133" s="19"/>
      <c r="G133" s="19"/>
    </row>
    <row r="134" spans="2:7" ht="15.6" x14ac:dyDescent="0.3">
      <c r="B134" s="19"/>
      <c r="C134" s="19"/>
      <c r="D134" s="19"/>
      <c r="E134" s="19"/>
      <c r="F134" s="19"/>
      <c r="G134" s="19"/>
    </row>
    <row r="135" spans="2:7" ht="15.6" x14ac:dyDescent="0.3">
      <c r="B135" s="22"/>
      <c r="C135" s="7"/>
      <c r="D135" s="7"/>
      <c r="E135" s="7"/>
      <c r="F135" s="7"/>
      <c r="G135" s="7"/>
    </row>
    <row r="136" spans="2:7" ht="15.6" x14ac:dyDescent="0.3">
      <c r="B136" s="19"/>
      <c r="C136" s="19"/>
      <c r="D136" s="19"/>
      <c r="E136" s="19"/>
      <c r="F136" s="19"/>
      <c r="G136" s="19"/>
    </row>
    <row r="137" spans="2:7" ht="15.6" x14ac:dyDescent="0.3">
      <c r="B137" s="19"/>
      <c r="C137" s="19"/>
      <c r="D137" s="19"/>
      <c r="E137" s="19"/>
      <c r="F137" s="19"/>
      <c r="G137" s="19"/>
    </row>
    <row r="138" spans="2:7" ht="15.6" x14ac:dyDescent="0.3">
      <c r="B138" s="19"/>
      <c r="C138" s="19"/>
      <c r="D138" s="19"/>
      <c r="E138" s="19"/>
      <c r="F138" s="19"/>
      <c r="G138" s="19"/>
    </row>
    <row r="139" spans="2:7" ht="15.6" x14ac:dyDescent="0.3">
      <c r="B139" s="19"/>
      <c r="C139" s="19"/>
      <c r="D139" s="19"/>
      <c r="E139" s="19"/>
      <c r="F139" s="19"/>
      <c r="G139" s="19"/>
    </row>
    <row r="140" spans="2:7" x14ac:dyDescent="0.25">
      <c r="B140" s="23"/>
      <c r="C140" s="23"/>
      <c r="D140" s="23"/>
      <c r="E140" s="23"/>
      <c r="F140" s="23"/>
      <c r="G140" s="23"/>
    </row>
    <row r="141" spans="2:7" x14ac:dyDescent="0.25">
      <c r="B141" s="24"/>
      <c r="C141" s="25"/>
      <c r="D141" s="25"/>
      <c r="E141" s="25"/>
      <c r="F141" s="25"/>
      <c r="G141" s="25"/>
    </row>
    <row r="142" spans="2:7" x14ac:dyDescent="0.25">
      <c r="B142" s="26"/>
      <c r="C142" s="25"/>
      <c r="D142" s="25"/>
      <c r="E142" s="25"/>
      <c r="F142" s="25"/>
      <c r="G142" s="25"/>
    </row>
    <row r="143" spans="2:7" x14ac:dyDescent="0.25">
      <c r="B143" s="26"/>
      <c r="C143" s="26"/>
      <c r="D143" s="26"/>
      <c r="E143" s="26"/>
      <c r="F143" s="26"/>
      <c r="G143" s="26"/>
    </row>
    <row r="144" spans="2:7" ht="15.6" x14ac:dyDescent="0.3">
      <c r="B144" s="19"/>
      <c r="C144" s="19"/>
      <c r="D144" s="19"/>
      <c r="E144" s="19"/>
      <c r="F144" s="19"/>
      <c r="G144" s="19"/>
    </row>
    <row r="145" spans="2:7" ht="15.6" x14ac:dyDescent="0.3">
      <c r="B145" s="7"/>
      <c r="C145" s="7"/>
      <c r="D145" s="7"/>
      <c r="E145" s="7"/>
      <c r="F145" s="7"/>
      <c r="G145" s="19"/>
    </row>
    <row r="146" spans="2:7" ht="15.6" x14ac:dyDescent="0.3">
      <c r="B146" s="19"/>
      <c r="C146" s="19"/>
      <c r="D146" s="19"/>
      <c r="E146" s="19"/>
      <c r="F146" s="19"/>
      <c r="G146" s="19"/>
    </row>
    <row r="147" spans="2:7" ht="15.6" x14ac:dyDescent="0.3">
      <c r="B147" s="19"/>
      <c r="C147" s="19"/>
      <c r="D147" s="19"/>
      <c r="E147" s="19"/>
      <c r="F147" s="19"/>
      <c r="G147" s="19"/>
    </row>
    <row r="148" spans="2:7" ht="15.6" x14ac:dyDescent="0.3">
      <c r="B148" s="19"/>
      <c r="C148" s="19"/>
      <c r="D148" s="19"/>
      <c r="E148" s="19"/>
      <c r="F148" s="19"/>
      <c r="G148" s="19"/>
    </row>
    <row r="149" spans="2:7" ht="15.6" x14ac:dyDescent="0.3">
      <c r="B149" s="19"/>
      <c r="C149" s="19"/>
      <c r="D149" s="19"/>
      <c r="E149" s="19"/>
      <c r="F149" s="19"/>
      <c r="G149" s="19"/>
    </row>
    <row r="150" spans="2:7" ht="15.6" x14ac:dyDescent="0.3">
      <c r="B150" s="19"/>
      <c r="C150" s="19"/>
      <c r="D150" s="19"/>
      <c r="E150" s="19"/>
      <c r="F150" s="19"/>
      <c r="G150" s="19"/>
    </row>
    <row r="151" spans="2:7" ht="15.6" x14ac:dyDescent="0.3">
      <c r="B151" s="7"/>
      <c r="C151" s="7"/>
      <c r="D151" s="7"/>
      <c r="E151" s="7"/>
      <c r="F151" s="7"/>
      <c r="G151" s="7"/>
    </row>
    <row r="152" spans="2:7" ht="15.6" x14ac:dyDescent="0.3">
      <c r="B152" s="19"/>
      <c r="C152" s="19"/>
      <c r="D152" s="19"/>
      <c r="E152" s="19"/>
      <c r="F152" s="19"/>
      <c r="G152" s="19"/>
    </row>
    <row r="153" spans="2:7" ht="13.8" x14ac:dyDescent="0.25">
      <c r="B153" s="27"/>
      <c r="C153" s="27"/>
      <c r="D153" s="27"/>
      <c r="E153" s="27"/>
      <c r="F153" s="27"/>
      <c r="G153" s="27"/>
    </row>
    <row r="154" spans="2:7" x14ac:dyDescent="0.25">
      <c r="B154" s="21"/>
      <c r="C154" s="21"/>
      <c r="D154" s="21"/>
      <c r="E154" s="21"/>
      <c r="F154" s="21"/>
      <c r="G154" s="21"/>
    </row>
    <row r="155" spans="2:7" x14ac:dyDescent="0.25">
      <c r="B155" s="21"/>
      <c r="C155" s="21"/>
      <c r="D155" s="21"/>
      <c r="E155" s="21"/>
      <c r="F155" s="21"/>
      <c r="G155" s="21"/>
    </row>
    <row r="156" spans="2:7" ht="15.6" x14ac:dyDescent="0.35">
      <c r="B156" s="18"/>
      <c r="C156" s="18"/>
      <c r="D156" s="18"/>
      <c r="E156" s="18"/>
      <c r="F156" s="18"/>
      <c r="G156" s="18"/>
    </row>
    <row r="157" spans="2:7" ht="15.6" x14ac:dyDescent="0.35">
      <c r="B157" s="18"/>
      <c r="C157" s="18"/>
      <c r="D157" s="18"/>
      <c r="E157" s="18"/>
      <c r="F157" s="18"/>
      <c r="G157" s="18"/>
    </row>
    <row r="158" spans="2:7" ht="15.6" x14ac:dyDescent="0.35">
      <c r="B158" s="18"/>
      <c r="C158" s="18"/>
      <c r="D158" s="18"/>
      <c r="E158" s="18"/>
      <c r="F158" s="18"/>
      <c r="G158" s="18"/>
    </row>
    <row r="159" spans="2:7" ht="15.6" x14ac:dyDescent="0.3">
      <c r="B159" s="19"/>
      <c r="C159" s="19"/>
      <c r="D159" s="19"/>
      <c r="E159" s="19"/>
      <c r="F159" s="20"/>
      <c r="G159" s="19"/>
    </row>
    <row r="160" spans="2:7" ht="15.6" x14ac:dyDescent="0.3">
      <c r="B160" s="19"/>
      <c r="C160" s="19"/>
      <c r="D160" s="19"/>
      <c r="E160" s="19"/>
      <c r="F160" s="19"/>
      <c r="G160" s="19"/>
    </row>
    <row r="161" spans="2:7" ht="15.6" x14ac:dyDescent="0.3">
      <c r="B161" s="19"/>
      <c r="C161" s="19"/>
      <c r="D161" s="19"/>
      <c r="E161" s="19"/>
      <c r="F161" s="19"/>
      <c r="G161" s="19"/>
    </row>
    <row r="162" spans="2:7" ht="15.6" x14ac:dyDescent="0.3">
      <c r="B162" s="19"/>
      <c r="C162" s="19"/>
      <c r="D162" s="19"/>
      <c r="E162" s="19"/>
      <c r="F162" s="19"/>
      <c r="G162" s="19"/>
    </row>
    <row r="163" spans="2:7" ht="15.6" x14ac:dyDescent="0.3">
      <c r="B163" s="19"/>
      <c r="C163" s="19"/>
      <c r="D163" s="19"/>
      <c r="E163" s="19"/>
      <c r="F163" s="19"/>
      <c r="G163" s="19"/>
    </row>
    <row r="164" spans="2:7" ht="15.6" x14ac:dyDescent="0.3">
      <c r="B164" s="19"/>
      <c r="C164" s="19"/>
      <c r="D164" s="19"/>
      <c r="E164" s="19"/>
      <c r="F164" s="19"/>
      <c r="G164" s="19"/>
    </row>
    <row r="165" spans="2:7" ht="15.6" x14ac:dyDescent="0.3">
      <c r="B165" s="19"/>
      <c r="C165" s="19"/>
      <c r="D165" s="19"/>
      <c r="E165" s="19"/>
      <c r="F165" s="19"/>
      <c r="G165" s="19"/>
    </row>
    <row r="166" spans="2:7" ht="15.6" x14ac:dyDescent="0.3">
      <c r="B166" s="19"/>
      <c r="C166" s="19"/>
      <c r="D166" s="19"/>
      <c r="E166" s="19"/>
      <c r="F166" s="19"/>
      <c r="G166" s="19"/>
    </row>
    <row r="167" spans="2:7" ht="15.6" x14ac:dyDescent="0.3">
      <c r="B167" s="19"/>
      <c r="C167" s="19"/>
      <c r="D167" s="19"/>
      <c r="E167" s="19"/>
      <c r="F167" s="19"/>
      <c r="G167" s="19"/>
    </row>
    <row r="168" spans="2:7" ht="15.6" x14ac:dyDescent="0.3">
      <c r="B168" s="19"/>
      <c r="C168" s="19"/>
      <c r="D168" s="19"/>
      <c r="E168" s="19"/>
      <c r="F168" s="19"/>
      <c r="G168" s="19"/>
    </row>
    <row r="169" spans="2:7" ht="15.6" x14ac:dyDescent="0.3">
      <c r="B169" s="22"/>
      <c r="C169" s="7"/>
      <c r="D169" s="7"/>
      <c r="E169" s="7"/>
      <c r="F169" s="7"/>
      <c r="G169" s="7"/>
    </row>
    <row r="170" spans="2:7" ht="15.6" x14ac:dyDescent="0.3">
      <c r="B170" s="19"/>
      <c r="C170" s="19"/>
      <c r="D170" s="19"/>
      <c r="E170" s="19"/>
      <c r="F170" s="19"/>
      <c r="G170" s="19"/>
    </row>
    <row r="171" spans="2:7" ht="15.6" x14ac:dyDescent="0.3">
      <c r="B171" s="19"/>
      <c r="C171" s="19"/>
      <c r="D171" s="19"/>
      <c r="E171" s="19"/>
      <c r="F171" s="19"/>
      <c r="G171" s="19"/>
    </row>
    <row r="172" spans="2:7" ht="15.6" x14ac:dyDescent="0.3">
      <c r="B172" s="19"/>
      <c r="C172" s="19"/>
      <c r="D172" s="19"/>
      <c r="E172" s="19"/>
      <c r="F172" s="19"/>
      <c r="G172" s="19"/>
    </row>
    <row r="173" spans="2:7" ht="15.6" x14ac:dyDescent="0.3">
      <c r="B173" s="19"/>
      <c r="C173" s="19"/>
      <c r="D173" s="19"/>
      <c r="E173" s="19"/>
      <c r="F173" s="19"/>
      <c r="G173" s="19"/>
    </row>
    <row r="174" spans="2:7" x14ac:dyDescent="0.25">
      <c r="B174" s="23"/>
      <c r="C174" s="23"/>
      <c r="D174" s="23"/>
      <c r="E174" s="23"/>
      <c r="F174" s="23"/>
      <c r="G174" s="23"/>
    </row>
    <row r="175" spans="2:7" x14ac:dyDescent="0.25">
      <c r="B175" s="24"/>
      <c r="C175" s="25"/>
      <c r="D175" s="25"/>
      <c r="E175" s="25"/>
      <c r="F175" s="25"/>
      <c r="G175" s="25"/>
    </row>
    <row r="176" spans="2:7" x14ac:dyDescent="0.25">
      <c r="B176" s="26"/>
      <c r="C176" s="25"/>
      <c r="D176" s="25"/>
      <c r="E176" s="25"/>
      <c r="F176" s="25"/>
      <c r="G176" s="25"/>
    </row>
    <row r="177" spans="2:7" x14ac:dyDescent="0.25">
      <c r="B177" s="26"/>
      <c r="C177" s="26"/>
      <c r="D177" s="26"/>
      <c r="E177" s="26"/>
      <c r="F177" s="26"/>
      <c r="G177" s="26"/>
    </row>
    <row r="178" spans="2:7" ht="15.6" x14ac:dyDescent="0.3">
      <c r="B178" s="19"/>
      <c r="C178" s="19"/>
      <c r="D178" s="19"/>
      <c r="E178" s="19"/>
      <c r="F178" s="19"/>
      <c r="G178" s="19"/>
    </row>
    <row r="179" spans="2:7" ht="21" customHeight="1" x14ac:dyDescent="0.3">
      <c r="B179" s="7"/>
      <c r="C179" s="7"/>
      <c r="D179" s="7"/>
      <c r="E179" s="7"/>
      <c r="F179" s="7"/>
      <c r="G179" s="19"/>
    </row>
    <row r="180" spans="2:7" ht="15.6" x14ac:dyDescent="0.3">
      <c r="B180" s="19"/>
      <c r="C180" s="19"/>
      <c r="D180" s="19"/>
      <c r="E180" s="19"/>
      <c r="F180" s="19"/>
      <c r="G180" s="19"/>
    </row>
    <row r="181" spans="2:7" ht="15.6" x14ac:dyDescent="0.3">
      <c r="B181" s="19"/>
      <c r="C181" s="19"/>
      <c r="D181" s="19"/>
      <c r="E181" s="19"/>
      <c r="F181" s="19"/>
      <c r="G181" s="19"/>
    </row>
    <row r="182" spans="2:7" ht="15.6" x14ac:dyDescent="0.3">
      <c r="B182" s="19"/>
      <c r="C182" s="19"/>
      <c r="D182" s="19"/>
      <c r="E182" s="19"/>
      <c r="F182" s="19"/>
      <c r="G182" s="19"/>
    </row>
    <row r="183" spans="2:7" ht="15.6" x14ac:dyDescent="0.3">
      <c r="B183" s="19"/>
      <c r="C183" s="19"/>
      <c r="D183" s="19"/>
      <c r="E183" s="19"/>
      <c r="F183" s="19"/>
      <c r="G183" s="19"/>
    </row>
    <row r="184" spans="2:7" ht="15.6" x14ac:dyDescent="0.3">
      <c r="B184" s="19"/>
      <c r="C184" s="19"/>
      <c r="D184" s="19"/>
      <c r="E184" s="19"/>
      <c r="F184" s="19"/>
      <c r="G184" s="19"/>
    </row>
    <row r="185" spans="2:7" ht="15.6" x14ac:dyDescent="0.3">
      <c r="B185" s="7"/>
      <c r="C185" s="7"/>
      <c r="D185" s="7"/>
      <c r="E185" s="7"/>
      <c r="F185" s="7"/>
      <c r="G185" s="7"/>
    </row>
    <row r="186" spans="2:7" ht="15.6" x14ac:dyDescent="0.3">
      <c r="B186" s="19"/>
      <c r="C186" s="19"/>
      <c r="D186" s="19"/>
      <c r="E186" s="19"/>
      <c r="F186" s="19"/>
      <c r="G186" s="19"/>
    </row>
    <row r="187" spans="2:7" ht="13.8" x14ac:dyDescent="0.25">
      <c r="B187" s="27"/>
      <c r="C187" s="27"/>
      <c r="D187" s="27"/>
      <c r="E187" s="27"/>
      <c r="F187" s="27"/>
      <c r="G187" s="27"/>
    </row>
    <row r="188" spans="2:7" ht="13.8" x14ac:dyDescent="0.25">
      <c r="B188" s="27"/>
      <c r="C188" s="27"/>
      <c r="D188" s="27"/>
      <c r="E188" s="27"/>
      <c r="F188" s="27"/>
      <c r="G188" s="26"/>
    </row>
    <row r="189" spans="2:7" ht="13.8" x14ac:dyDescent="0.25">
      <c r="B189" s="27"/>
      <c r="C189" s="27"/>
      <c r="D189" s="27"/>
      <c r="E189" s="27"/>
      <c r="F189" s="27"/>
      <c r="G189" s="27"/>
    </row>
    <row r="190" spans="2:7" x14ac:dyDescent="0.25">
      <c r="B190" s="21"/>
      <c r="C190" s="21"/>
      <c r="D190" s="21"/>
      <c r="E190" s="21"/>
      <c r="F190" s="21"/>
      <c r="G190" s="21"/>
    </row>
    <row r="191" spans="2:7" x14ac:dyDescent="0.25">
      <c r="B191" s="21"/>
      <c r="C191" s="21"/>
      <c r="D191" s="21"/>
      <c r="E191" s="21"/>
      <c r="F191" s="21"/>
      <c r="G191" s="21"/>
    </row>
    <row r="192" spans="2:7" x14ac:dyDescent="0.25">
      <c r="B192" s="21"/>
      <c r="C192" s="21"/>
      <c r="D192" s="21"/>
      <c r="E192" s="21"/>
      <c r="F192" s="21"/>
      <c r="G192" s="21"/>
    </row>
    <row r="193" spans="2:7" x14ac:dyDescent="0.25">
      <c r="B193" s="21"/>
      <c r="C193" s="21"/>
      <c r="D193" s="21"/>
      <c r="E193" s="21"/>
      <c r="F193" s="21"/>
      <c r="G193" s="21"/>
    </row>
    <row r="194" spans="2:7" x14ac:dyDescent="0.25">
      <c r="B194" s="21"/>
      <c r="C194" s="21"/>
      <c r="D194" s="21"/>
      <c r="E194" s="21"/>
      <c r="F194" s="21"/>
      <c r="G194" s="21"/>
    </row>
    <row r="195" spans="2:7" x14ac:dyDescent="0.25">
      <c r="B195" s="21"/>
      <c r="C195" s="21"/>
      <c r="D195" s="21"/>
      <c r="E195" s="21"/>
      <c r="F195" s="21"/>
      <c r="G195" s="21"/>
    </row>
    <row r="196" spans="2:7" x14ac:dyDescent="0.25">
      <c r="B196" s="21"/>
      <c r="C196" s="21"/>
      <c r="D196" s="21"/>
      <c r="E196" s="21"/>
      <c r="F196" s="21"/>
      <c r="G196" s="21"/>
    </row>
    <row r="197" spans="2:7" x14ac:dyDescent="0.25">
      <c r="B197" s="21"/>
      <c r="C197" s="21"/>
      <c r="D197" s="21"/>
      <c r="E197" s="21"/>
      <c r="F197" s="21"/>
      <c r="G197" s="21"/>
    </row>
    <row r="198" spans="2:7" x14ac:dyDescent="0.25">
      <c r="B198" s="21"/>
      <c r="C198" s="21"/>
      <c r="D198" s="21"/>
      <c r="E198" s="21"/>
      <c r="F198" s="21"/>
      <c r="G198" s="21"/>
    </row>
    <row r="199" spans="2:7" x14ac:dyDescent="0.25">
      <c r="B199" s="21"/>
      <c r="C199" s="21"/>
      <c r="D199" s="21"/>
      <c r="E199" s="21"/>
      <c r="F199" s="21"/>
      <c r="G199" s="21"/>
    </row>
    <row r="200" spans="2:7" x14ac:dyDescent="0.25">
      <c r="B200" s="21"/>
      <c r="C200" s="21"/>
      <c r="D200" s="21"/>
      <c r="E200" s="21"/>
      <c r="F200" s="21"/>
      <c r="G200" s="21"/>
    </row>
    <row r="201" spans="2:7" x14ac:dyDescent="0.25">
      <c r="B201" s="21"/>
      <c r="C201" s="21"/>
      <c r="D201" s="21"/>
      <c r="E201" s="21"/>
      <c r="F201" s="21"/>
      <c r="G201" s="21"/>
    </row>
    <row r="202" spans="2:7" x14ac:dyDescent="0.25">
      <c r="B202" s="21"/>
      <c r="C202" s="21"/>
      <c r="D202" s="21"/>
      <c r="E202" s="21"/>
      <c r="F202" s="21"/>
      <c r="G202" s="21"/>
    </row>
    <row r="203" spans="2:7" x14ac:dyDescent="0.25">
      <c r="B203" s="21"/>
      <c r="C203" s="21"/>
      <c r="D203" s="21"/>
      <c r="E203" s="21"/>
      <c r="F203" s="21"/>
      <c r="G203" s="21"/>
    </row>
    <row r="204" spans="2:7" x14ac:dyDescent="0.25">
      <c r="B204" s="21"/>
      <c r="C204" s="21"/>
      <c r="D204" s="21"/>
      <c r="E204" s="21"/>
      <c r="F204" s="21"/>
      <c r="G204" s="21"/>
    </row>
    <row r="205" spans="2:7" x14ac:dyDescent="0.25">
      <c r="B205" s="21"/>
      <c r="C205" s="21"/>
      <c r="D205" s="21"/>
      <c r="E205" s="21"/>
      <c r="F205" s="21"/>
      <c r="G205" s="21"/>
    </row>
    <row r="206" spans="2:7" x14ac:dyDescent="0.25">
      <c r="B206" s="21"/>
      <c r="C206" s="21"/>
      <c r="D206" s="21"/>
      <c r="E206" s="21"/>
      <c r="F206" s="21"/>
      <c r="G206" s="21"/>
    </row>
    <row r="207" spans="2:7" x14ac:dyDescent="0.25">
      <c r="B207" s="21"/>
      <c r="C207" s="21"/>
      <c r="D207" s="21"/>
      <c r="E207" s="21"/>
      <c r="F207" s="21"/>
      <c r="G207" s="21"/>
    </row>
    <row r="208" spans="2:7" x14ac:dyDescent="0.25">
      <c r="B208" s="21"/>
      <c r="C208" s="21"/>
      <c r="D208" s="21"/>
      <c r="E208" s="21"/>
      <c r="F208" s="21"/>
      <c r="G208" s="21"/>
    </row>
    <row r="209" spans="2:7" x14ac:dyDescent="0.25">
      <c r="B209" s="21"/>
      <c r="C209" s="21"/>
      <c r="D209" s="21"/>
      <c r="E209" s="21"/>
      <c r="F209" s="21"/>
      <c r="G209" s="21"/>
    </row>
    <row r="210" spans="2:7" x14ac:dyDescent="0.25">
      <c r="B210" s="21"/>
      <c r="C210" s="21"/>
      <c r="D210" s="21"/>
      <c r="E210" s="21"/>
      <c r="F210" s="21"/>
      <c r="G210" s="21"/>
    </row>
    <row r="211" spans="2:7" x14ac:dyDescent="0.25">
      <c r="B211" s="21"/>
      <c r="C211" s="21"/>
      <c r="D211" s="21"/>
      <c r="E211" s="21"/>
      <c r="F211" s="21"/>
      <c r="G211" s="21"/>
    </row>
    <row r="212" spans="2:7" x14ac:dyDescent="0.25">
      <c r="B212" s="21"/>
      <c r="C212" s="21"/>
      <c r="D212" s="21"/>
      <c r="E212" s="21"/>
      <c r="F212" s="21"/>
      <c r="G212" s="21"/>
    </row>
    <row r="213" spans="2:7" x14ac:dyDescent="0.25">
      <c r="B213" s="21"/>
      <c r="C213" s="21"/>
      <c r="D213" s="21"/>
      <c r="E213" s="21"/>
      <c r="F213" s="21"/>
      <c r="G213" s="21"/>
    </row>
    <row r="214" spans="2:7" x14ac:dyDescent="0.25">
      <c r="B214" s="21"/>
      <c r="C214" s="21"/>
      <c r="D214" s="21"/>
      <c r="E214" s="21"/>
      <c r="F214" s="21"/>
      <c r="G214" s="21"/>
    </row>
    <row r="215" spans="2:7" x14ac:dyDescent="0.25">
      <c r="B215" s="21"/>
      <c r="C215" s="21"/>
      <c r="D215" s="21"/>
      <c r="E215" s="21"/>
      <c r="F215" s="21"/>
      <c r="G215" s="21"/>
    </row>
    <row r="216" spans="2:7" x14ac:dyDescent="0.25">
      <c r="B216" s="21"/>
      <c r="C216" s="21"/>
      <c r="D216" s="21"/>
      <c r="E216" s="21"/>
      <c r="F216" s="21"/>
      <c r="G216" s="21"/>
    </row>
    <row r="217" spans="2:7" x14ac:dyDescent="0.25">
      <c r="B217" s="21"/>
      <c r="C217" s="21"/>
      <c r="D217" s="21"/>
      <c r="E217" s="21"/>
      <c r="F217" s="21"/>
      <c r="G217" s="21"/>
    </row>
    <row r="218" spans="2:7" x14ac:dyDescent="0.25">
      <c r="B218" s="21"/>
      <c r="C218" s="21"/>
      <c r="D218" s="21"/>
      <c r="E218" s="21"/>
      <c r="F218" s="21"/>
      <c r="G218" s="21"/>
    </row>
    <row r="219" spans="2:7" x14ac:dyDescent="0.25">
      <c r="B219" s="21"/>
      <c r="C219" s="21"/>
      <c r="D219" s="21"/>
      <c r="E219" s="21"/>
      <c r="F219" s="21"/>
      <c r="G219" s="21"/>
    </row>
    <row r="220" spans="2:7" x14ac:dyDescent="0.25">
      <c r="B220" s="21"/>
      <c r="C220" s="21"/>
      <c r="D220" s="21"/>
      <c r="E220" s="21"/>
      <c r="F220" s="21"/>
      <c r="G220" s="21"/>
    </row>
    <row r="221" spans="2:7" x14ac:dyDescent="0.25">
      <c r="B221" s="21"/>
      <c r="C221" s="21"/>
      <c r="D221" s="21"/>
      <c r="E221" s="21"/>
      <c r="F221" s="21"/>
      <c r="G221" s="21"/>
    </row>
    <row r="222" spans="2:7" x14ac:dyDescent="0.25">
      <c r="B222" s="21"/>
      <c r="C222" s="21"/>
      <c r="D222" s="21"/>
      <c r="E222" s="21"/>
      <c r="F222" s="21"/>
      <c r="G222" s="21"/>
    </row>
    <row r="223" spans="2:7" x14ac:dyDescent="0.25">
      <c r="B223" s="21"/>
      <c r="C223" s="21"/>
      <c r="D223" s="21"/>
      <c r="E223" s="21"/>
      <c r="F223" s="21"/>
      <c r="G223" s="21"/>
    </row>
    <row r="224" spans="2:7" x14ac:dyDescent="0.25">
      <c r="B224" s="21"/>
      <c r="C224" s="21"/>
      <c r="D224" s="21"/>
      <c r="E224" s="21"/>
      <c r="F224" s="21"/>
      <c r="G224" s="21"/>
    </row>
    <row r="225" spans="2:7" x14ac:dyDescent="0.25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42"/>
  <sheetViews>
    <sheetView view="pageLayout" zoomScaleNormal="110" workbookViewId="0">
      <selection activeCell="A2" sqref="A2:M2"/>
    </sheetView>
  </sheetViews>
  <sheetFormatPr defaultColWidth="9.109375" defaultRowHeight="10.199999999999999" x14ac:dyDescent="0.2"/>
  <cols>
    <col min="1" max="1" width="8.33203125" style="32" customWidth="1"/>
    <col min="2" max="2" width="6.88671875" style="32" bestFit="1" customWidth="1"/>
    <col min="3" max="3" width="13.33203125" style="32" customWidth="1"/>
    <col min="4" max="4" width="10.6640625" style="32" customWidth="1"/>
    <col min="5" max="5" width="13.6640625" style="32" bestFit="1" customWidth="1"/>
    <col min="6" max="6" width="18.88671875" style="32" bestFit="1" customWidth="1"/>
    <col min="7" max="7" width="11.33203125" style="32" bestFit="1" customWidth="1"/>
    <col min="8" max="8" width="9.441406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09375" style="32" bestFit="1" customWidth="1"/>
    <col min="14" max="14" width="20.109375" style="32" customWidth="1"/>
    <col min="15" max="15" width="11.33203125" style="54" bestFit="1" customWidth="1"/>
    <col min="16" max="16384" width="9.109375" style="32"/>
  </cols>
  <sheetData>
    <row r="1" spans="1:15" ht="21.75" customHeight="1" x14ac:dyDescent="0.2">
      <c r="A1" s="157" t="s">
        <v>92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5" ht="21.75" customHeight="1" x14ac:dyDescent="0.2">
      <c r="A2" s="158">
        <v>41883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5" ht="21.75" customHeight="1" thickBot="1" x14ac:dyDescent="0.25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 x14ac:dyDescent="0.25">
      <c r="A4" s="60" t="s">
        <v>36</v>
      </c>
      <c r="B4" s="61" t="s">
        <v>37</v>
      </c>
      <c r="C4" s="159" t="s">
        <v>38</v>
      </c>
      <c r="D4" s="60" t="s">
        <v>39</v>
      </c>
      <c r="E4" s="15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61" t="s">
        <v>43</v>
      </c>
      <c r="N4" s="54"/>
      <c r="O4" s="32"/>
    </row>
    <row r="5" spans="1:15" ht="21.75" customHeight="1" thickBot="1" x14ac:dyDescent="0.25">
      <c r="A5" s="65" t="s">
        <v>44</v>
      </c>
      <c r="B5" s="66" t="s">
        <v>45</v>
      </c>
      <c r="C5" s="160"/>
      <c r="D5" s="65" t="s">
        <v>46</v>
      </c>
      <c r="E5" s="16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62"/>
      <c r="N5" s="54"/>
      <c r="O5" s="32"/>
    </row>
    <row r="6" spans="1:15" ht="21.75" customHeight="1" x14ac:dyDescent="0.2">
      <c r="A6" s="78"/>
      <c r="B6" s="78"/>
      <c r="C6" s="78"/>
      <c r="D6" s="78"/>
      <c r="E6" s="78"/>
      <c r="F6" s="78"/>
      <c r="G6" s="93"/>
      <c r="H6" s="96"/>
      <c r="I6" s="80"/>
      <c r="J6" s="90"/>
      <c r="K6" s="94"/>
      <c r="L6" s="79"/>
      <c r="M6" s="91"/>
      <c r="N6" s="54"/>
      <c r="O6" s="32"/>
    </row>
    <row r="7" spans="1:15" ht="21.75" customHeight="1" x14ac:dyDescent="0.2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 x14ac:dyDescent="0.2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 x14ac:dyDescent="0.2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 x14ac:dyDescent="0.2">
      <c r="A10" s="72"/>
      <c r="B10" s="72"/>
      <c r="C10" s="72"/>
      <c r="D10" s="72"/>
      <c r="E10" s="72"/>
      <c r="F10" s="72"/>
      <c r="G10" s="72"/>
      <c r="H10" s="72"/>
      <c r="I10" s="72"/>
    </row>
    <row r="11" spans="1:15" x14ac:dyDescent="0.2">
      <c r="A11" s="72"/>
      <c r="B11" s="72"/>
      <c r="C11" s="72"/>
      <c r="D11" s="72"/>
      <c r="E11" s="72"/>
      <c r="F11" s="72"/>
      <c r="G11" s="72"/>
      <c r="H11" s="72"/>
      <c r="I11" s="72"/>
    </row>
    <row r="12" spans="1:15" x14ac:dyDescent="0.2">
      <c r="A12" s="72"/>
      <c r="B12" s="72"/>
      <c r="C12" s="72"/>
      <c r="D12" s="72"/>
      <c r="E12" s="72"/>
      <c r="F12" s="72"/>
      <c r="G12" s="72"/>
      <c r="H12" s="72"/>
      <c r="I12" s="72"/>
    </row>
    <row r="13" spans="1:15" x14ac:dyDescent="0.2">
      <c r="A13" s="73"/>
      <c r="B13" s="73"/>
      <c r="C13" s="73"/>
      <c r="D13" s="73"/>
      <c r="E13" s="73"/>
      <c r="F13" s="73"/>
      <c r="G13" s="73"/>
      <c r="H13" s="73"/>
      <c r="I13" s="73"/>
    </row>
    <row r="14" spans="1:15" x14ac:dyDescent="0.2">
      <c r="A14" s="74"/>
      <c r="B14" s="75"/>
      <c r="C14" s="75"/>
      <c r="D14" s="75"/>
      <c r="E14" s="75"/>
      <c r="F14" s="75"/>
      <c r="G14" s="75"/>
      <c r="H14" s="75"/>
      <c r="I14" s="75"/>
    </row>
    <row r="15" spans="1:15" x14ac:dyDescent="0.2">
      <c r="A15" s="74"/>
      <c r="B15" s="75"/>
      <c r="C15" s="75"/>
      <c r="D15" s="75"/>
      <c r="E15" s="75"/>
      <c r="F15" s="75"/>
      <c r="G15" s="75"/>
      <c r="H15" s="75"/>
      <c r="I15" s="75"/>
    </row>
    <row r="16" spans="1:15" x14ac:dyDescent="0.2">
      <c r="A16" s="74"/>
      <c r="B16" s="75"/>
      <c r="C16" s="75"/>
      <c r="D16" s="75"/>
      <c r="E16" s="75"/>
      <c r="F16" s="75"/>
      <c r="G16" s="75"/>
      <c r="H16" s="75"/>
      <c r="I16" s="75"/>
    </row>
    <row r="17" spans="1:15" x14ac:dyDescent="0.2">
      <c r="A17" s="74"/>
      <c r="B17" s="75"/>
      <c r="C17" s="75"/>
      <c r="D17" s="75"/>
      <c r="E17" s="75"/>
      <c r="F17" s="75"/>
      <c r="G17" s="75"/>
      <c r="H17" s="75"/>
      <c r="I17" s="75"/>
    </row>
    <row r="18" spans="1:15" x14ac:dyDescent="0.2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 x14ac:dyDescent="0.25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 x14ac:dyDescent="0.25">
      <c r="A20" s="156" t="s">
        <v>111</v>
      </c>
      <c r="B20" s="156"/>
      <c r="C20" s="156"/>
      <c r="D20" s="156"/>
      <c r="E20" s="156"/>
      <c r="F20" s="156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 x14ac:dyDescent="0.2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 x14ac:dyDescent="0.2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 x14ac:dyDescent="0.2">
      <c r="A23" s="72"/>
      <c r="B23" s="72"/>
      <c r="C23" s="72"/>
      <c r="D23" s="72"/>
      <c r="E23" s="72"/>
      <c r="F23" s="72"/>
      <c r="G23" s="72"/>
      <c r="H23" s="72"/>
      <c r="I23" s="72"/>
    </row>
    <row r="24" spans="1:15" x14ac:dyDescent="0.2">
      <c r="A24" s="71"/>
      <c r="B24" s="71"/>
      <c r="C24" s="71"/>
      <c r="D24" s="71"/>
      <c r="E24" s="71"/>
      <c r="F24" s="71"/>
      <c r="G24" s="71"/>
      <c r="H24" s="71"/>
      <c r="I24" s="72"/>
    </row>
    <row r="25" spans="1:15" x14ac:dyDescent="0.2">
      <c r="A25" s="72"/>
      <c r="B25" s="72"/>
      <c r="C25" s="72"/>
      <c r="D25" s="72"/>
      <c r="E25" s="72"/>
      <c r="F25" s="72"/>
      <c r="G25" s="72"/>
      <c r="H25" s="72"/>
      <c r="I25" s="72"/>
    </row>
    <row r="26" spans="1:15" x14ac:dyDescent="0.2">
      <c r="A26" s="72"/>
      <c r="B26" s="72"/>
      <c r="C26" s="72"/>
      <c r="D26" s="72"/>
      <c r="E26" s="72"/>
      <c r="F26" s="72"/>
      <c r="G26" s="72"/>
      <c r="H26" s="72"/>
      <c r="I26" s="72"/>
    </row>
    <row r="27" spans="1:15" x14ac:dyDescent="0.2">
      <c r="A27" s="72"/>
      <c r="B27" s="72"/>
      <c r="C27" s="72"/>
      <c r="D27" s="72"/>
      <c r="E27" s="72"/>
      <c r="F27" s="72"/>
      <c r="G27" s="72"/>
      <c r="H27" s="72"/>
      <c r="I27" s="72"/>
    </row>
    <row r="28" spans="1:15" x14ac:dyDescent="0.2">
      <c r="A28" s="72"/>
      <c r="B28" s="72"/>
      <c r="C28" s="72"/>
      <c r="D28" s="72"/>
      <c r="E28" s="72"/>
      <c r="F28" s="72"/>
      <c r="G28" s="72"/>
      <c r="H28" s="72"/>
      <c r="I28" s="72"/>
    </row>
    <row r="29" spans="1:15" x14ac:dyDescent="0.2">
      <c r="A29" s="72"/>
      <c r="B29" s="72"/>
      <c r="C29" s="72"/>
      <c r="D29" s="72"/>
      <c r="E29" s="72"/>
      <c r="F29" s="72"/>
      <c r="G29" s="72"/>
      <c r="H29" s="72"/>
      <c r="I29" s="72"/>
    </row>
    <row r="30" spans="1:15" x14ac:dyDescent="0.2">
      <c r="A30" s="71"/>
      <c r="B30" s="71"/>
      <c r="C30" s="71"/>
      <c r="D30" s="71"/>
      <c r="E30" s="71"/>
      <c r="F30" s="71"/>
      <c r="G30" s="71"/>
      <c r="H30" s="71"/>
      <c r="I30" s="71"/>
    </row>
    <row r="31" spans="1:15" x14ac:dyDescent="0.2">
      <c r="A31" s="72"/>
      <c r="B31" s="72"/>
      <c r="C31" s="72"/>
      <c r="D31" s="72"/>
      <c r="E31" s="72"/>
      <c r="F31" s="72"/>
      <c r="G31" s="72"/>
      <c r="H31" s="72"/>
      <c r="I31" s="72"/>
    </row>
    <row r="32" spans="1:15" x14ac:dyDescent="0.2">
      <c r="A32" s="53"/>
      <c r="B32" s="53"/>
      <c r="C32" s="53"/>
      <c r="D32" s="53"/>
      <c r="E32" s="53"/>
      <c r="F32" s="53"/>
      <c r="G32" s="53"/>
      <c r="H32" s="53"/>
      <c r="I32" s="53"/>
    </row>
    <row r="33" spans="1:9" x14ac:dyDescent="0.2">
      <c r="A33" s="53"/>
      <c r="B33" s="53"/>
      <c r="C33" s="53"/>
      <c r="D33" s="53"/>
      <c r="E33" s="53"/>
      <c r="F33" s="53"/>
      <c r="G33" s="53"/>
      <c r="H33" s="53"/>
      <c r="I33" s="53"/>
    </row>
    <row r="34" spans="1:9" x14ac:dyDescent="0.2">
      <c r="A34" s="53"/>
      <c r="B34" s="53"/>
      <c r="C34" s="53"/>
      <c r="D34" s="53"/>
      <c r="E34" s="53"/>
      <c r="F34" s="53"/>
      <c r="G34" s="53"/>
      <c r="H34" s="53"/>
      <c r="I34" s="53"/>
    </row>
    <row r="35" spans="1:9" x14ac:dyDescent="0.2">
      <c r="A35" s="53"/>
      <c r="B35" s="53"/>
      <c r="C35" s="53"/>
      <c r="D35" s="53"/>
      <c r="E35" s="53"/>
      <c r="F35" s="53"/>
      <c r="G35" s="53"/>
      <c r="H35" s="53"/>
      <c r="I35" s="53"/>
    </row>
    <row r="36" spans="1:9" x14ac:dyDescent="0.2">
      <c r="A36" s="53"/>
      <c r="B36" s="53"/>
      <c r="C36" s="53"/>
      <c r="D36" s="53"/>
      <c r="E36" s="53"/>
      <c r="F36" s="53"/>
      <c r="G36" s="53"/>
      <c r="H36" s="53"/>
      <c r="I36" s="53"/>
    </row>
    <row r="37" spans="1:9" x14ac:dyDescent="0.2">
      <c r="A37" s="53"/>
      <c r="B37" s="53"/>
      <c r="C37" s="53"/>
      <c r="D37" s="53"/>
      <c r="E37" s="53"/>
      <c r="F37" s="53"/>
      <c r="G37" s="53"/>
      <c r="H37" s="53"/>
      <c r="I37" s="53"/>
    </row>
    <row r="38" spans="1:9" x14ac:dyDescent="0.2">
      <c r="A38" s="53"/>
      <c r="B38" s="53"/>
      <c r="C38" s="53"/>
      <c r="D38" s="53"/>
      <c r="E38" s="53"/>
      <c r="F38" s="53"/>
      <c r="G38" s="53"/>
      <c r="H38" s="53"/>
      <c r="I38" s="53"/>
    </row>
    <row r="39" spans="1:9" x14ac:dyDescent="0.2">
      <c r="A39" s="53"/>
      <c r="B39" s="53"/>
      <c r="C39" s="53"/>
      <c r="D39" s="53"/>
      <c r="E39" s="53"/>
      <c r="F39" s="53"/>
      <c r="G39" s="53"/>
      <c r="H39" s="53"/>
      <c r="I39" s="53"/>
    </row>
    <row r="40" spans="1:9" x14ac:dyDescent="0.2">
      <c r="A40" s="53"/>
      <c r="B40" s="53"/>
      <c r="C40" s="53"/>
      <c r="D40" s="53"/>
      <c r="E40" s="53"/>
      <c r="F40" s="53"/>
      <c r="G40" s="53"/>
      <c r="H40" s="53"/>
      <c r="I40" s="53"/>
    </row>
    <row r="41" spans="1:9" x14ac:dyDescent="0.2">
      <c r="A41" s="53"/>
      <c r="B41" s="53"/>
      <c r="C41" s="53"/>
      <c r="D41" s="53"/>
      <c r="E41" s="53"/>
      <c r="F41" s="53"/>
      <c r="G41" s="53"/>
      <c r="H41" s="53"/>
      <c r="I41" s="53"/>
    </row>
    <row r="42" spans="1:9" x14ac:dyDescent="0.2">
      <c r="A42" s="53"/>
      <c r="B42" s="53"/>
      <c r="C42" s="53"/>
      <c r="D42" s="53"/>
      <c r="E42" s="53"/>
      <c r="F42" s="53"/>
      <c r="G42" s="53"/>
      <c r="H42" s="53"/>
      <c r="I42" s="53"/>
    </row>
    <row r="43" spans="1:9" x14ac:dyDescent="0.2">
      <c r="A43" s="53"/>
      <c r="B43" s="53"/>
      <c r="C43" s="53"/>
      <c r="D43" s="53"/>
      <c r="E43" s="53"/>
      <c r="F43" s="53"/>
      <c r="G43" s="53"/>
      <c r="H43" s="53"/>
      <c r="I43" s="53"/>
    </row>
    <row r="44" spans="1:9" x14ac:dyDescent="0.2">
      <c r="A44" s="53"/>
      <c r="B44" s="53"/>
      <c r="C44" s="53"/>
      <c r="D44" s="53"/>
      <c r="E44" s="53"/>
      <c r="F44" s="53"/>
      <c r="G44" s="53"/>
      <c r="H44" s="53"/>
      <c r="I44" s="53"/>
    </row>
    <row r="45" spans="1:9" x14ac:dyDescent="0.2">
      <c r="A45" s="53"/>
      <c r="B45" s="53"/>
      <c r="C45" s="53"/>
      <c r="D45" s="53"/>
      <c r="E45" s="53"/>
      <c r="F45" s="53"/>
      <c r="G45" s="53"/>
      <c r="H45" s="53"/>
      <c r="I45" s="53"/>
    </row>
    <row r="46" spans="1:9" x14ac:dyDescent="0.2">
      <c r="A46" s="53"/>
      <c r="B46" s="53"/>
      <c r="C46" s="53"/>
      <c r="D46" s="53"/>
      <c r="E46" s="53"/>
      <c r="F46" s="53"/>
      <c r="G46" s="53"/>
      <c r="H46" s="53"/>
      <c r="I46" s="53"/>
    </row>
    <row r="47" spans="1:9" x14ac:dyDescent="0.2">
      <c r="A47" s="53"/>
      <c r="B47" s="53"/>
      <c r="C47" s="53"/>
      <c r="D47" s="53"/>
      <c r="E47" s="53"/>
      <c r="F47" s="53"/>
      <c r="G47" s="53"/>
      <c r="H47" s="53"/>
      <c r="I47" s="53"/>
    </row>
    <row r="48" spans="1:9" x14ac:dyDescent="0.2">
      <c r="A48" s="53"/>
      <c r="B48" s="53"/>
      <c r="C48" s="53"/>
      <c r="D48" s="53"/>
      <c r="E48" s="53"/>
      <c r="F48" s="53"/>
      <c r="G48" s="53"/>
      <c r="H48" s="53"/>
      <c r="I48" s="53"/>
    </row>
    <row r="49" spans="1:9" x14ac:dyDescent="0.2">
      <c r="A49" s="53"/>
      <c r="B49" s="53"/>
      <c r="C49" s="53"/>
      <c r="D49" s="53"/>
      <c r="E49" s="53"/>
      <c r="F49" s="53"/>
      <c r="G49" s="53"/>
      <c r="H49" s="53"/>
      <c r="I49" s="53"/>
    </row>
    <row r="50" spans="1:9" x14ac:dyDescent="0.2">
      <c r="A50" s="77"/>
      <c r="B50" s="77"/>
      <c r="C50" s="77"/>
      <c r="D50" s="77"/>
      <c r="E50" s="77"/>
      <c r="F50" s="77"/>
      <c r="G50" s="77"/>
      <c r="H50" s="77"/>
      <c r="I50" s="77"/>
    </row>
    <row r="51" spans="1:9" x14ac:dyDescent="0.2">
      <c r="A51" s="77"/>
      <c r="B51" s="77"/>
      <c r="C51" s="77"/>
      <c r="D51" s="77"/>
      <c r="E51" s="77"/>
      <c r="F51" s="77"/>
      <c r="G51" s="77"/>
      <c r="H51" s="77"/>
      <c r="I51" s="77"/>
    </row>
    <row r="52" spans="1:9" x14ac:dyDescent="0.2">
      <c r="A52" s="77"/>
      <c r="B52" s="77"/>
      <c r="C52" s="77"/>
      <c r="D52" s="77"/>
      <c r="E52" s="77"/>
      <c r="F52" s="77"/>
      <c r="G52" s="77"/>
      <c r="H52" s="77"/>
      <c r="I52" s="77"/>
    </row>
    <row r="53" spans="1:9" x14ac:dyDescent="0.2">
      <c r="A53" s="72"/>
      <c r="B53" s="72"/>
      <c r="C53" s="72"/>
      <c r="D53" s="72"/>
      <c r="E53" s="72"/>
      <c r="F53" s="72"/>
      <c r="G53" s="72"/>
      <c r="H53" s="53"/>
      <c r="I53" s="72"/>
    </row>
    <row r="54" spans="1:9" x14ac:dyDescent="0.2">
      <c r="A54" s="72"/>
      <c r="B54" s="72"/>
      <c r="C54" s="72"/>
      <c r="D54" s="72"/>
      <c r="E54" s="72"/>
      <c r="F54" s="72"/>
      <c r="G54" s="72"/>
      <c r="H54" s="72"/>
      <c r="I54" s="72"/>
    </row>
    <row r="55" spans="1:9" x14ac:dyDescent="0.2">
      <c r="A55" s="72"/>
      <c r="B55" s="72"/>
      <c r="C55" s="72"/>
      <c r="D55" s="72"/>
      <c r="E55" s="72"/>
      <c r="F55" s="72"/>
      <c r="G55" s="72"/>
      <c r="H55" s="72"/>
      <c r="I55" s="72"/>
    </row>
    <row r="56" spans="1:9" x14ac:dyDescent="0.2">
      <c r="A56" s="72"/>
      <c r="B56" s="72"/>
      <c r="C56" s="72"/>
      <c r="D56" s="72"/>
      <c r="E56" s="72"/>
      <c r="F56" s="72"/>
      <c r="G56" s="72"/>
      <c r="H56" s="72"/>
      <c r="I56" s="72"/>
    </row>
    <row r="57" spans="1:9" x14ac:dyDescent="0.2">
      <c r="A57" s="72"/>
      <c r="B57" s="72"/>
      <c r="C57" s="72"/>
      <c r="D57" s="72"/>
      <c r="E57" s="72"/>
      <c r="F57" s="72"/>
      <c r="G57" s="72"/>
      <c r="H57" s="72"/>
      <c r="I57" s="72"/>
    </row>
    <row r="58" spans="1:9" x14ac:dyDescent="0.2">
      <c r="A58" s="72"/>
      <c r="B58" s="72"/>
      <c r="C58" s="72"/>
      <c r="D58" s="72"/>
      <c r="E58" s="72"/>
      <c r="F58" s="72"/>
      <c r="G58" s="72"/>
      <c r="H58" s="72"/>
      <c r="I58" s="72"/>
    </row>
    <row r="59" spans="1:9" x14ac:dyDescent="0.2">
      <c r="A59" s="72"/>
      <c r="B59" s="72"/>
      <c r="C59" s="72"/>
      <c r="D59" s="72"/>
      <c r="E59" s="72"/>
      <c r="F59" s="72"/>
      <c r="G59" s="72"/>
      <c r="H59" s="72"/>
      <c r="I59" s="72"/>
    </row>
    <row r="60" spans="1:9" x14ac:dyDescent="0.2">
      <c r="A60" s="72"/>
      <c r="B60" s="72"/>
      <c r="C60" s="72"/>
      <c r="D60" s="72"/>
      <c r="E60" s="72"/>
      <c r="F60" s="72"/>
      <c r="G60" s="72"/>
      <c r="H60" s="72"/>
      <c r="I60" s="72"/>
    </row>
    <row r="61" spans="1:9" x14ac:dyDescent="0.2">
      <c r="A61" s="72"/>
      <c r="B61" s="72"/>
      <c r="C61" s="72"/>
      <c r="D61" s="72"/>
      <c r="E61" s="72"/>
      <c r="F61" s="72"/>
      <c r="G61" s="72"/>
      <c r="H61" s="72"/>
      <c r="I61" s="72"/>
    </row>
    <row r="62" spans="1:9" x14ac:dyDescent="0.2">
      <c r="A62" s="72"/>
      <c r="B62" s="72"/>
      <c r="C62" s="72"/>
      <c r="D62" s="72"/>
      <c r="E62" s="72"/>
      <c r="F62" s="72"/>
      <c r="G62" s="72"/>
      <c r="H62" s="72"/>
      <c r="I62" s="72"/>
    </row>
    <row r="63" spans="1:9" x14ac:dyDescent="0.2">
      <c r="A63" s="70"/>
      <c r="B63" s="71"/>
      <c r="C63" s="71"/>
      <c r="D63" s="71"/>
      <c r="E63" s="71"/>
      <c r="F63" s="71"/>
      <c r="G63" s="71"/>
      <c r="H63" s="71"/>
      <c r="I63" s="71"/>
    </row>
    <row r="64" spans="1:9" x14ac:dyDescent="0.2">
      <c r="A64" s="72"/>
      <c r="B64" s="72"/>
      <c r="C64" s="72"/>
      <c r="D64" s="72"/>
      <c r="E64" s="72"/>
      <c r="F64" s="72"/>
      <c r="G64" s="72"/>
      <c r="H64" s="72"/>
      <c r="I64" s="72"/>
    </row>
    <row r="65" spans="1:9" x14ac:dyDescent="0.2">
      <c r="A65" s="72"/>
      <c r="B65" s="72"/>
      <c r="C65" s="72"/>
      <c r="D65" s="72"/>
      <c r="E65" s="72"/>
      <c r="F65" s="72"/>
      <c r="G65" s="72"/>
      <c r="H65" s="72"/>
      <c r="I65" s="72"/>
    </row>
    <row r="66" spans="1:9" x14ac:dyDescent="0.2">
      <c r="A66" s="72"/>
      <c r="B66" s="72"/>
      <c r="C66" s="72"/>
      <c r="D66" s="72"/>
      <c r="E66" s="72"/>
      <c r="F66" s="72"/>
      <c r="G66" s="72"/>
      <c r="H66" s="72"/>
      <c r="I66" s="72"/>
    </row>
    <row r="67" spans="1:9" x14ac:dyDescent="0.2">
      <c r="A67" s="72"/>
      <c r="B67" s="72"/>
      <c r="C67" s="72"/>
      <c r="D67" s="72"/>
      <c r="E67" s="72"/>
      <c r="F67" s="72"/>
      <c r="G67" s="72"/>
      <c r="H67" s="72"/>
      <c r="I67" s="72"/>
    </row>
    <row r="68" spans="1:9" x14ac:dyDescent="0.2">
      <c r="A68" s="73"/>
      <c r="B68" s="73"/>
      <c r="C68" s="73"/>
      <c r="D68" s="73"/>
      <c r="E68" s="73"/>
      <c r="F68" s="73"/>
      <c r="G68" s="73"/>
      <c r="H68" s="73"/>
      <c r="I68" s="73"/>
    </row>
    <row r="69" spans="1:9" x14ac:dyDescent="0.2">
      <c r="A69" s="74"/>
      <c r="B69" s="75"/>
      <c r="C69" s="75"/>
      <c r="D69" s="75"/>
      <c r="E69" s="75"/>
      <c r="F69" s="75"/>
      <c r="G69" s="75"/>
      <c r="H69" s="75"/>
      <c r="I69" s="75"/>
    </row>
    <row r="70" spans="1:9" x14ac:dyDescent="0.2">
      <c r="A70" s="76"/>
      <c r="B70" s="75"/>
      <c r="C70" s="75"/>
      <c r="D70" s="75"/>
      <c r="E70" s="75"/>
      <c r="F70" s="75"/>
      <c r="G70" s="75"/>
      <c r="H70" s="75"/>
      <c r="I70" s="75"/>
    </row>
    <row r="71" spans="1:9" x14ac:dyDescent="0.2">
      <c r="A71" s="76"/>
      <c r="B71" s="76"/>
      <c r="C71" s="76"/>
      <c r="D71" s="76"/>
      <c r="E71" s="76"/>
      <c r="F71" s="76"/>
      <c r="G71" s="76"/>
      <c r="H71" s="76"/>
      <c r="I71" s="76"/>
    </row>
    <row r="72" spans="1:9" x14ac:dyDescent="0.2">
      <c r="A72" s="72"/>
      <c r="B72" s="72"/>
      <c r="C72" s="72"/>
      <c r="D72" s="72"/>
      <c r="E72" s="72"/>
      <c r="F72" s="72"/>
      <c r="G72" s="72"/>
      <c r="H72" s="72"/>
      <c r="I72" s="72"/>
    </row>
    <row r="73" spans="1:9" x14ac:dyDescent="0.2">
      <c r="A73" s="71"/>
      <c r="B73" s="71"/>
      <c r="C73" s="71"/>
      <c r="D73" s="71"/>
      <c r="E73" s="71"/>
      <c r="F73" s="71"/>
      <c r="G73" s="71"/>
      <c r="H73" s="71"/>
      <c r="I73" s="72"/>
    </row>
    <row r="74" spans="1:9" x14ac:dyDescent="0.2">
      <c r="A74" s="72"/>
      <c r="B74" s="72"/>
      <c r="C74" s="72"/>
      <c r="D74" s="72"/>
      <c r="E74" s="72"/>
      <c r="F74" s="72"/>
      <c r="G74" s="72"/>
      <c r="H74" s="72"/>
      <c r="I74" s="72"/>
    </row>
    <row r="75" spans="1:9" x14ac:dyDescent="0.2">
      <c r="A75" s="72"/>
      <c r="B75" s="72"/>
      <c r="C75" s="72"/>
      <c r="D75" s="72"/>
      <c r="E75" s="72"/>
      <c r="F75" s="72"/>
      <c r="G75" s="72"/>
      <c r="H75" s="72"/>
      <c r="I75" s="72"/>
    </row>
    <row r="76" spans="1:9" x14ac:dyDescent="0.2">
      <c r="A76" s="72"/>
      <c r="B76" s="72"/>
      <c r="C76" s="72"/>
      <c r="D76" s="72"/>
      <c r="E76" s="72"/>
      <c r="F76" s="72"/>
      <c r="G76" s="72"/>
      <c r="H76" s="72"/>
      <c r="I76" s="72"/>
    </row>
    <row r="77" spans="1:9" x14ac:dyDescent="0.2">
      <c r="A77" s="72"/>
      <c r="B77" s="72"/>
      <c r="C77" s="72"/>
      <c r="D77" s="72"/>
      <c r="E77" s="72"/>
      <c r="F77" s="72"/>
      <c r="G77" s="72"/>
      <c r="H77" s="72"/>
      <c r="I77" s="72"/>
    </row>
    <row r="78" spans="1:9" x14ac:dyDescent="0.2">
      <c r="A78" s="72"/>
      <c r="B78" s="72"/>
      <c r="C78" s="72"/>
      <c r="D78" s="72"/>
      <c r="E78" s="72"/>
      <c r="F78" s="72"/>
      <c r="G78" s="72"/>
      <c r="H78" s="72"/>
      <c r="I78" s="72"/>
    </row>
    <row r="79" spans="1:9" x14ac:dyDescent="0.2">
      <c r="A79" s="71"/>
      <c r="B79" s="71"/>
      <c r="C79" s="71"/>
      <c r="D79" s="71"/>
      <c r="E79" s="71"/>
      <c r="F79" s="71"/>
      <c r="G79" s="71"/>
      <c r="H79" s="71"/>
      <c r="I79" s="71"/>
    </row>
    <row r="80" spans="1:9" x14ac:dyDescent="0.2">
      <c r="A80" s="72"/>
      <c r="B80" s="72"/>
      <c r="C80" s="72"/>
      <c r="D80" s="72"/>
      <c r="E80" s="72"/>
      <c r="F80" s="72"/>
      <c r="G80" s="72"/>
      <c r="H80" s="72"/>
      <c r="I80" s="72"/>
    </row>
    <row r="81" spans="1:9" x14ac:dyDescent="0.2">
      <c r="A81" s="72"/>
      <c r="B81" s="72"/>
      <c r="C81" s="72"/>
      <c r="D81" s="72"/>
      <c r="E81" s="72"/>
      <c r="F81" s="72"/>
      <c r="G81" s="72"/>
      <c r="H81" s="72"/>
      <c r="I81" s="72"/>
    </row>
    <row r="82" spans="1:9" x14ac:dyDescent="0.2">
      <c r="A82" s="72"/>
      <c r="B82" s="72"/>
      <c r="C82" s="72"/>
      <c r="D82" s="72"/>
      <c r="E82" s="72"/>
      <c r="F82" s="72"/>
      <c r="G82" s="72"/>
      <c r="H82" s="72"/>
      <c r="I82" s="72"/>
    </row>
    <row r="83" spans="1:9" x14ac:dyDescent="0.2">
      <c r="A83" s="72"/>
      <c r="B83" s="72"/>
      <c r="C83" s="72"/>
      <c r="D83" s="72"/>
      <c r="E83" s="72"/>
      <c r="F83" s="72"/>
      <c r="G83" s="72"/>
      <c r="H83" s="72"/>
      <c r="I83" s="72"/>
    </row>
    <row r="84" spans="1:9" x14ac:dyDescent="0.2">
      <c r="A84" s="72"/>
      <c r="B84" s="72"/>
      <c r="C84" s="72"/>
      <c r="D84" s="72"/>
      <c r="E84" s="72"/>
      <c r="F84" s="72"/>
      <c r="G84" s="72"/>
      <c r="H84" s="72"/>
      <c r="I84" s="72"/>
    </row>
    <row r="85" spans="1:9" x14ac:dyDescent="0.2">
      <c r="A85" s="72"/>
      <c r="B85" s="72"/>
      <c r="C85" s="72"/>
      <c r="D85" s="72"/>
      <c r="E85" s="72"/>
      <c r="F85" s="72"/>
      <c r="G85" s="72"/>
      <c r="H85" s="72"/>
      <c r="I85" s="72"/>
    </row>
    <row r="86" spans="1:9" x14ac:dyDescent="0.2">
      <c r="A86" s="72"/>
      <c r="B86" s="72"/>
      <c r="C86" s="72"/>
      <c r="D86" s="72"/>
      <c r="E86" s="72"/>
      <c r="F86" s="72"/>
      <c r="G86" s="72"/>
      <c r="H86" s="72"/>
      <c r="I86" s="72"/>
    </row>
    <row r="87" spans="1:9" x14ac:dyDescent="0.2">
      <c r="A87" s="72"/>
      <c r="B87" s="72"/>
      <c r="C87" s="72"/>
      <c r="D87" s="72"/>
      <c r="E87" s="72"/>
      <c r="F87" s="72"/>
      <c r="G87" s="72"/>
      <c r="H87" s="72"/>
      <c r="I87" s="72"/>
    </row>
    <row r="88" spans="1:9" x14ac:dyDescent="0.2">
      <c r="A88" s="72"/>
      <c r="B88" s="72"/>
      <c r="C88" s="72"/>
      <c r="D88" s="72"/>
      <c r="E88" s="72"/>
      <c r="F88" s="72"/>
      <c r="G88" s="72"/>
      <c r="H88" s="72"/>
      <c r="I88" s="72"/>
    </row>
    <row r="89" spans="1:9" x14ac:dyDescent="0.2">
      <c r="A89" s="72"/>
      <c r="B89" s="72"/>
      <c r="C89" s="72"/>
      <c r="D89" s="72"/>
      <c r="E89" s="72"/>
      <c r="F89" s="72"/>
      <c r="G89" s="72"/>
      <c r="H89" s="72"/>
      <c r="I89" s="72"/>
    </row>
    <row r="90" spans="1:9" x14ac:dyDescent="0.2">
      <c r="A90" s="72"/>
      <c r="B90" s="72"/>
      <c r="C90" s="72"/>
      <c r="D90" s="72"/>
      <c r="E90" s="72"/>
      <c r="F90" s="72"/>
      <c r="G90" s="72"/>
      <c r="H90" s="72"/>
      <c r="I90" s="72"/>
    </row>
    <row r="91" spans="1:9" x14ac:dyDescent="0.2">
      <c r="A91" s="53"/>
      <c r="B91" s="53"/>
      <c r="C91" s="53"/>
      <c r="D91" s="53"/>
      <c r="E91" s="53"/>
      <c r="F91" s="53"/>
      <c r="G91" s="53"/>
      <c r="H91" s="53"/>
      <c r="I91" s="53"/>
    </row>
    <row r="92" spans="1:9" x14ac:dyDescent="0.2">
      <c r="A92" s="53"/>
      <c r="B92" s="53"/>
      <c r="C92" s="53"/>
      <c r="D92" s="53"/>
      <c r="E92" s="53"/>
      <c r="F92" s="53"/>
      <c r="G92" s="53"/>
      <c r="H92" s="53"/>
      <c r="I92" s="53"/>
    </row>
    <row r="93" spans="1:9" x14ac:dyDescent="0.2">
      <c r="A93" s="53"/>
      <c r="B93" s="53"/>
      <c r="C93" s="53"/>
      <c r="D93" s="53"/>
      <c r="E93" s="53"/>
      <c r="F93" s="53"/>
      <c r="G93" s="53"/>
      <c r="H93" s="53"/>
      <c r="I93" s="53"/>
    </row>
    <row r="94" spans="1:9" x14ac:dyDescent="0.2">
      <c r="A94" s="53"/>
      <c r="B94" s="53"/>
      <c r="C94" s="53"/>
      <c r="D94" s="53"/>
      <c r="E94" s="53"/>
      <c r="F94" s="53"/>
      <c r="G94" s="53"/>
      <c r="H94" s="53"/>
      <c r="I94" s="53"/>
    </row>
    <row r="95" spans="1:9" x14ac:dyDescent="0.2">
      <c r="A95" s="53"/>
      <c r="B95" s="53"/>
      <c r="C95" s="53"/>
      <c r="D95" s="53"/>
      <c r="E95" s="53"/>
      <c r="F95" s="53"/>
      <c r="G95" s="53"/>
      <c r="H95" s="53"/>
      <c r="I95" s="53"/>
    </row>
    <row r="96" spans="1:9" x14ac:dyDescent="0.2">
      <c r="A96" s="53"/>
      <c r="B96" s="53"/>
      <c r="C96" s="53"/>
      <c r="D96" s="53"/>
      <c r="E96" s="53"/>
      <c r="F96" s="53"/>
      <c r="G96" s="53"/>
      <c r="H96" s="53"/>
      <c r="I96" s="53"/>
    </row>
    <row r="97" spans="1:9" x14ac:dyDescent="0.2">
      <c r="A97" s="53"/>
      <c r="B97" s="53"/>
      <c r="C97" s="53"/>
      <c r="D97" s="53"/>
      <c r="E97" s="53"/>
      <c r="F97" s="53"/>
      <c r="G97" s="53"/>
      <c r="H97" s="53"/>
      <c r="I97" s="53"/>
    </row>
    <row r="98" spans="1:9" x14ac:dyDescent="0.2">
      <c r="A98" s="53"/>
      <c r="B98" s="53"/>
      <c r="C98" s="53"/>
      <c r="D98" s="53"/>
      <c r="E98" s="53"/>
      <c r="F98" s="53"/>
      <c r="G98" s="53"/>
      <c r="H98" s="53"/>
      <c r="I98" s="53"/>
    </row>
    <row r="99" spans="1:9" x14ac:dyDescent="0.2">
      <c r="A99" s="77"/>
      <c r="B99" s="77"/>
      <c r="C99" s="77"/>
      <c r="D99" s="77"/>
      <c r="E99" s="77"/>
      <c r="F99" s="77"/>
      <c r="G99" s="77"/>
      <c r="H99" s="77"/>
      <c r="I99" s="77"/>
    </row>
    <row r="100" spans="1:9" x14ac:dyDescent="0.2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 x14ac:dyDescent="0.2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 x14ac:dyDescent="0.2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 x14ac:dyDescent="0.2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 x14ac:dyDescent="0.2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 x14ac:dyDescent="0.2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 x14ac:dyDescent="0.2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 x14ac:dyDescent="0.2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 x14ac:dyDescent="0.2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 x14ac:dyDescent="0.2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 x14ac:dyDescent="0.2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 x14ac:dyDescent="0.2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 x14ac:dyDescent="0.2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 x14ac:dyDescent="0.2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 x14ac:dyDescent="0.2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 x14ac:dyDescent="0.2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 x14ac:dyDescent="0.2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 x14ac:dyDescent="0.2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 x14ac:dyDescent="0.2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 x14ac:dyDescent="0.2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 x14ac:dyDescent="0.2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 x14ac:dyDescent="0.2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 x14ac:dyDescent="0.2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 x14ac:dyDescent="0.2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 x14ac:dyDescent="0.2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 x14ac:dyDescent="0.2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 x14ac:dyDescent="0.2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 x14ac:dyDescent="0.2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 x14ac:dyDescent="0.2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 x14ac:dyDescent="0.2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 x14ac:dyDescent="0.2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 x14ac:dyDescent="0.2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 x14ac:dyDescent="0.2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 x14ac:dyDescent="0.2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 x14ac:dyDescent="0.2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 x14ac:dyDescent="0.2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 x14ac:dyDescent="0.2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 x14ac:dyDescent="0.2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 x14ac:dyDescent="0.2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 x14ac:dyDescent="0.2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 x14ac:dyDescent="0.2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 x14ac:dyDescent="0.2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 x14ac:dyDescent="0.2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 x14ac:dyDescent="0.2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 x14ac:dyDescent="0.2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 x14ac:dyDescent="0.2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 x14ac:dyDescent="0.2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 x14ac:dyDescent="0.2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 x14ac:dyDescent="0.2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 x14ac:dyDescent="0.2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 x14ac:dyDescent="0.2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 x14ac:dyDescent="0.2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 x14ac:dyDescent="0.2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 x14ac:dyDescent="0.2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 x14ac:dyDescent="0.2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 x14ac:dyDescent="0.2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 x14ac:dyDescent="0.2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 x14ac:dyDescent="0.2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 x14ac:dyDescent="0.2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 x14ac:dyDescent="0.2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 x14ac:dyDescent="0.2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 x14ac:dyDescent="0.2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 x14ac:dyDescent="0.2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 x14ac:dyDescent="0.2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 x14ac:dyDescent="0.2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 x14ac:dyDescent="0.2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 x14ac:dyDescent="0.2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 x14ac:dyDescent="0.2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 x14ac:dyDescent="0.2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 x14ac:dyDescent="0.2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 x14ac:dyDescent="0.2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 x14ac:dyDescent="0.2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 x14ac:dyDescent="0.2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 x14ac:dyDescent="0.2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 x14ac:dyDescent="0.2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 x14ac:dyDescent="0.2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 x14ac:dyDescent="0.2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 x14ac:dyDescent="0.2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 x14ac:dyDescent="0.2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 x14ac:dyDescent="0.2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x14ac:dyDescent="0.2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 x14ac:dyDescent="0.2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x14ac:dyDescent="0.2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 x14ac:dyDescent="0.2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 x14ac:dyDescent="0.2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 x14ac:dyDescent="0.2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 x14ac:dyDescent="0.2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 x14ac:dyDescent="0.2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 x14ac:dyDescent="0.2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 x14ac:dyDescent="0.2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 x14ac:dyDescent="0.2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 x14ac:dyDescent="0.2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 x14ac:dyDescent="0.2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 x14ac:dyDescent="0.2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 x14ac:dyDescent="0.2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 x14ac:dyDescent="0.2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 x14ac:dyDescent="0.2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 x14ac:dyDescent="0.2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 x14ac:dyDescent="0.2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 x14ac:dyDescent="0.2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 x14ac:dyDescent="0.2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 x14ac:dyDescent="0.2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 x14ac:dyDescent="0.2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 x14ac:dyDescent="0.2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x14ac:dyDescent="0.2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 x14ac:dyDescent="0.2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x14ac:dyDescent="0.2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x14ac:dyDescent="0.2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x14ac:dyDescent="0.2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x14ac:dyDescent="0.2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x14ac:dyDescent="0.2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x14ac:dyDescent="0.2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x14ac:dyDescent="0.2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x14ac:dyDescent="0.2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x14ac:dyDescent="0.2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x14ac:dyDescent="0.2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x14ac:dyDescent="0.2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x14ac:dyDescent="0.2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x14ac:dyDescent="0.2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x14ac:dyDescent="0.2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 x14ac:dyDescent="0.2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 x14ac:dyDescent="0.2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 x14ac:dyDescent="0.2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 x14ac:dyDescent="0.2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 x14ac:dyDescent="0.2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 x14ac:dyDescent="0.2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 x14ac:dyDescent="0.2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 x14ac:dyDescent="0.2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 x14ac:dyDescent="0.2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 x14ac:dyDescent="0.2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 x14ac:dyDescent="0.2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 x14ac:dyDescent="0.2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 x14ac:dyDescent="0.2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 x14ac:dyDescent="0.2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 x14ac:dyDescent="0.2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 x14ac:dyDescent="0.2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 x14ac:dyDescent="0.2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 x14ac:dyDescent="0.2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 x14ac:dyDescent="0.2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 x14ac:dyDescent="0.2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 x14ac:dyDescent="0.2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 x14ac:dyDescent="0.2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Template - Q1_Returns</vt:lpstr>
      <vt:lpstr>Template - Q2_Returns</vt:lpstr>
      <vt:lpstr>Template - Q3_Returns</vt:lpstr>
      <vt:lpstr>Template - Q4_Returns</vt:lpstr>
      <vt:lpstr>TEMPLATE - Proceeds Bonny</vt:lpstr>
      <vt:lpstr>TEMPLATE - Lifting Bonny</vt:lpstr>
      <vt:lpstr>TEMPLATE - Proceeds Forcados</vt:lpstr>
      <vt:lpstr>TEMPLATE - Lifting Forcados</vt:lpstr>
      <vt:lpstr>TEMPLATE - Proceeds EA</vt:lpstr>
      <vt:lpstr>TEMPLATE - Lifting EA</vt:lpstr>
      <vt:lpstr>TEMPLATE - Proceeds BRASS</vt:lpstr>
      <vt:lpstr>TEMPLATE - Lifting BRASS</vt:lpstr>
      <vt:lpstr>'Template - Q1_Returns'!Print_Area</vt:lpstr>
      <vt:lpstr>'Template - Q2_Returns'!Print_Area</vt:lpstr>
      <vt:lpstr>'Template - Q3_Returns'!Print_Area</vt:lpstr>
      <vt:lpstr>'Template - Q4_Returns'!Print_Area</vt:lpstr>
      <vt:lpstr>'Template - Q1_Returns'!Print_Titles</vt:lpstr>
      <vt:lpstr>'Template - Q2_Returns'!Print_Titles</vt:lpstr>
      <vt:lpstr>'Template - Q3_Returns'!Print_Titles</vt:lpstr>
    </vt:vector>
  </TitlesOfParts>
  <Company>Total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Charles.Chukwuma</cp:lastModifiedBy>
  <cp:lastPrinted>2014-11-24T08:23:21Z</cp:lastPrinted>
  <dcterms:created xsi:type="dcterms:W3CDTF">2010-03-05T08:19:24Z</dcterms:created>
  <dcterms:modified xsi:type="dcterms:W3CDTF">2014-11-24T14:56:23Z</dcterms:modified>
</cp:coreProperties>
</file>