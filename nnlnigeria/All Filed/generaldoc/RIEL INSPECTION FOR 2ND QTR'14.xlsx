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2ND QTR'14)" sheetId="1" r:id="rId1"/>
    <sheet name="COMPLIANT (2ND QTR'14)" sheetId="2" r:id="rId2"/>
    <sheet name="NON-COMPLIANT (2ND QTR'14)" sheetId="3" r:id="rId3"/>
  </sheets>
  <calcPr calcId="125725"/>
</workbook>
</file>

<file path=xl/calcChain.xml><?xml version="1.0" encoding="utf-8"?>
<calcChain xmlns="http://schemas.openxmlformats.org/spreadsheetml/2006/main">
  <c r="Y35" i="3"/>
  <c r="P35"/>
  <c r="T34"/>
  <c r="Q34"/>
  <c r="V34" s="1"/>
  <c r="X34" s="1"/>
  <c r="T33"/>
  <c r="Q33"/>
  <c r="V33" s="1"/>
  <c r="X33" s="1"/>
  <c r="T32"/>
  <c r="Q32"/>
  <c r="V32" s="1"/>
  <c r="X32" s="1"/>
  <c r="T31"/>
  <c r="Q31"/>
  <c r="V31" s="1"/>
  <c r="X31" s="1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P64" i="2"/>
  <c r="T63"/>
  <c r="Q63"/>
  <c r="V63" s="1"/>
  <c r="X63" s="1"/>
  <c r="Y63" s="1"/>
  <c r="T62"/>
  <c r="Q62"/>
  <c r="V62" s="1"/>
  <c r="X62" s="1"/>
  <c r="Y62" s="1"/>
  <c r="T61"/>
  <c r="Q61"/>
  <c r="V61" s="1"/>
  <c r="X61" s="1"/>
  <c r="Y61" s="1"/>
  <c r="T60"/>
  <c r="Q60"/>
  <c r="V60" s="1"/>
  <c r="X60" s="1"/>
  <c r="Y60" s="1"/>
  <c r="T59"/>
  <c r="Q59"/>
  <c r="V59" s="1"/>
  <c r="X59" s="1"/>
  <c r="Y59" s="1"/>
  <c r="T58"/>
  <c r="Q58"/>
  <c r="V58" s="1"/>
  <c r="X58" s="1"/>
  <c r="Y58" s="1"/>
  <c r="T57"/>
  <c r="Q57"/>
  <c r="V57" s="1"/>
  <c r="X57" s="1"/>
  <c r="Y57" s="1"/>
  <c r="P70" i="1"/>
  <c r="Q69"/>
  <c r="V69" s="1"/>
  <c r="X69" s="1"/>
  <c r="Q68"/>
  <c r="V68" s="1"/>
  <c r="X68" s="1"/>
  <c r="Y68" s="1"/>
  <c r="Q67"/>
  <c r="V67" s="1"/>
  <c r="X67" s="1"/>
  <c r="Y67" s="1"/>
  <c r="Q66"/>
  <c r="V66" s="1"/>
  <c r="X66" s="1"/>
  <c r="Y66" s="1"/>
  <c r="Q65"/>
  <c r="V65" s="1"/>
  <c r="X65" s="1"/>
  <c r="Q64"/>
  <c r="V64" s="1"/>
  <c r="X64" s="1"/>
  <c r="Q63"/>
  <c r="Q62"/>
  <c r="V62" s="1"/>
  <c r="X62" s="1"/>
  <c r="Q61"/>
  <c r="V61" s="1"/>
  <c r="X61" s="1"/>
  <c r="Q60"/>
  <c r="V60" s="1"/>
  <c r="X60" s="1"/>
  <c r="Q59"/>
  <c r="V59" s="1"/>
  <c r="X59" s="1"/>
  <c r="Q58"/>
  <c r="V58" s="1"/>
  <c r="X58" s="1"/>
  <c r="Y58" s="1"/>
  <c r="Q57"/>
  <c r="V57" s="1"/>
  <c r="X57" s="1"/>
  <c r="Y57" s="1"/>
  <c r="Q56"/>
  <c r="V56" s="1"/>
  <c r="X56" s="1"/>
  <c r="Y56" s="1"/>
  <c r="Q55"/>
  <c r="Q54"/>
  <c r="V54" s="1"/>
  <c r="X54" s="1"/>
  <c r="Q53"/>
  <c r="V53" s="1"/>
  <c r="X53" s="1"/>
  <c r="Q52"/>
  <c r="V52" s="1"/>
  <c r="X52" s="1"/>
  <c r="Q51"/>
  <c r="V51" s="1"/>
  <c r="X51" s="1"/>
  <c r="Q50"/>
  <c r="V50" s="1"/>
  <c r="X50" s="1"/>
  <c r="Q49"/>
  <c r="V49" s="1"/>
  <c r="X49" s="1"/>
  <c r="Q48"/>
  <c r="V48" s="1"/>
  <c r="X48" s="1"/>
  <c r="Q47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V63"/>
  <c r="X63" s="1"/>
  <c r="V55"/>
  <c r="X55" s="1"/>
  <c r="Y55" s="1"/>
  <c r="T56" i="2" l="1"/>
  <c r="Q56"/>
  <c r="V56" s="1"/>
  <c r="X56" s="1"/>
  <c r="T55"/>
  <c r="Q55"/>
  <c r="V55" s="1"/>
  <c r="X55" s="1"/>
  <c r="T54"/>
  <c r="Q54"/>
  <c r="V54" s="1"/>
  <c r="X54" s="1"/>
  <c r="T53"/>
  <c r="Q53"/>
  <c r="V53" s="1"/>
  <c r="X53" s="1"/>
  <c r="T52"/>
  <c r="Q52"/>
  <c r="V52" s="1"/>
  <c r="X52" s="1"/>
  <c r="T51" l="1"/>
  <c r="Q51"/>
  <c r="V51" s="1"/>
  <c r="X51" s="1"/>
  <c r="T50" l="1"/>
  <c r="Q50"/>
  <c r="V50" s="1"/>
  <c r="X50" s="1"/>
  <c r="T49" l="1"/>
  <c r="Q49"/>
  <c r="V49" s="1"/>
  <c r="X49" s="1"/>
  <c r="T48" l="1"/>
  <c r="Q48"/>
  <c r="V48" s="1"/>
  <c r="X48" s="1"/>
  <c r="T47" l="1"/>
  <c r="Q47"/>
  <c r="V47" s="1"/>
  <c r="X47" s="1"/>
  <c r="T46"/>
  <c r="Q46"/>
  <c r="V46" s="1"/>
  <c r="X46" s="1"/>
  <c r="T23" i="1"/>
  <c r="Q23"/>
  <c r="V23" s="1"/>
  <c r="X23" s="1"/>
  <c r="T9"/>
  <c r="Q9"/>
  <c r="V9" s="1"/>
  <c r="X9" s="1"/>
  <c r="T19" i="3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45" i="2"/>
  <c r="Q45"/>
  <c r="V45" s="1"/>
  <c r="X45" s="1"/>
  <c r="Y45" s="1"/>
  <c r="T44"/>
  <c r="Q44"/>
  <c r="V44" s="1"/>
  <c r="X44" s="1"/>
  <c r="Y44" s="1"/>
  <c r="T43"/>
  <c r="Q43"/>
  <c r="V43" s="1"/>
  <c r="X43" s="1"/>
  <c r="Y43" s="1"/>
  <c r="T42"/>
  <c r="Q42"/>
  <c r="V42" s="1"/>
  <c r="X42" s="1"/>
  <c r="Y42" s="1"/>
  <c r="T41"/>
  <c r="Q41"/>
  <c r="V41" s="1"/>
  <c r="X41" s="1"/>
  <c r="Y41" s="1"/>
  <c r="T40"/>
  <c r="Q40"/>
  <c r="V40" s="1"/>
  <c r="X40" s="1"/>
  <c r="Y40" s="1"/>
  <c r="T39"/>
  <c r="Q39"/>
  <c r="V39" s="1"/>
  <c r="X39" s="1"/>
  <c r="Y39" s="1"/>
  <c r="T38"/>
  <c r="Q38"/>
  <c r="V38" s="1"/>
  <c r="X38" s="1"/>
  <c r="Y38" s="1"/>
  <c r="T37"/>
  <c r="Q37"/>
  <c r="V37" s="1"/>
  <c r="X37" s="1"/>
  <c r="Y37" s="1"/>
  <c r="T36"/>
  <c r="Q36"/>
  <c r="V36" s="1"/>
  <c r="X36" s="1"/>
  <c r="Y36" s="1"/>
  <c r="V47" i="1"/>
  <c r="X47" s="1"/>
  <c r="Y47" s="1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Q46"/>
  <c r="V46" s="1"/>
  <c r="X46" s="1"/>
  <c r="Y46" s="1"/>
  <c r="Q45"/>
  <c r="V45" s="1"/>
  <c r="X45" s="1"/>
  <c r="Q44"/>
  <c r="V44" s="1"/>
  <c r="X44" s="1"/>
  <c r="Q43"/>
  <c r="V43" s="1"/>
  <c r="X43" s="1"/>
  <c r="Q42"/>
  <c r="V42" s="1"/>
  <c r="X42" s="1"/>
  <c r="Q41"/>
  <c r="V41" s="1"/>
  <c r="X41" s="1"/>
  <c r="Q40"/>
  <c r="V40" s="1"/>
  <c r="X40" s="1"/>
  <c r="Q39"/>
  <c r="V39" s="1"/>
  <c r="X39" s="1"/>
  <c r="Q38"/>
  <c r="V38" s="1"/>
  <c r="X38" s="1"/>
  <c r="Q37"/>
  <c r="V37" s="1"/>
  <c r="X37" s="1"/>
  <c r="Q36"/>
  <c r="V36" s="1"/>
  <c r="X36" s="1"/>
  <c r="Y36" s="1"/>
  <c r="Q35"/>
  <c r="V35" s="1"/>
  <c r="X35" s="1"/>
  <c r="Y35" s="1"/>
  <c r="Q34"/>
  <c r="V34" s="1"/>
  <c r="X34" s="1"/>
  <c r="Y34" s="1"/>
  <c r="Q33"/>
  <c r="Q32"/>
  <c r="V32" s="1"/>
  <c r="X32" s="1"/>
  <c r="Y32" s="1"/>
  <c r="Q31"/>
  <c r="V31" s="1"/>
  <c r="X31" s="1"/>
  <c r="Y31" s="1"/>
  <c r="Q30"/>
  <c r="V30" s="1"/>
  <c r="X30" s="1"/>
  <c r="Y30" s="1"/>
  <c r="Q29"/>
  <c r="V29" s="1"/>
  <c r="X29" s="1"/>
  <c r="Y29" s="1"/>
  <c r="Q28"/>
  <c r="V28" s="1"/>
  <c r="X28" s="1"/>
  <c r="Y28" s="1"/>
  <c r="V33" l="1"/>
  <c r="T35" i="2"/>
  <c r="Q35"/>
  <c r="V35" s="1"/>
  <c r="X35" s="1"/>
  <c r="X33" i="1" l="1"/>
  <c r="T34" i="2"/>
  <c r="Q34"/>
  <c r="V34" s="1"/>
  <c r="X34" s="1"/>
  <c r="T33"/>
  <c r="Q33"/>
  <c r="V33" s="1"/>
  <c r="X33" s="1"/>
  <c r="T32"/>
  <c r="Q32"/>
  <c r="V32" s="1"/>
  <c r="X32" s="1"/>
  <c r="T31" l="1"/>
  <c r="Q31"/>
  <c r="V31" s="1"/>
  <c r="X31" s="1"/>
  <c r="T30" l="1"/>
  <c r="Q30"/>
  <c r="V30" s="1"/>
  <c r="X30" s="1"/>
  <c r="Y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 l="1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T20"/>
  <c r="Q20"/>
  <c r="V20" s="1"/>
  <c r="X20" s="1"/>
  <c r="Y20" s="1"/>
  <c r="T10" i="3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l="1"/>
  <c r="Q35"/>
  <c r="B6" i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Q27"/>
  <c r="Q26"/>
  <c r="V26" s="1"/>
  <c r="X26" s="1"/>
  <c r="Q25"/>
  <c r="Q24"/>
  <c r="V24" s="1"/>
  <c r="X24" s="1"/>
  <c r="Q22"/>
  <c r="V22" s="1"/>
  <c r="X22" s="1"/>
  <c r="Q21"/>
  <c r="Q20"/>
  <c r="V20" s="1"/>
  <c r="X20" s="1"/>
  <c r="Q19"/>
  <c r="V19" s="1"/>
  <c r="X19" s="1"/>
  <c r="Q18"/>
  <c r="V18" s="1"/>
  <c r="X18" s="1"/>
  <c r="Q17"/>
  <c r="V17" s="1"/>
  <c r="X17" s="1"/>
  <c r="Q16"/>
  <c r="V16" s="1"/>
  <c r="X16" s="1"/>
  <c r="Y16" s="1"/>
  <c r="Q15"/>
  <c r="V15" s="1"/>
  <c r="X15" s="1"/>
  <c r="Y15" s="1"/>
  <c r="Q14"/>
  <c r="V14" s="1"/>
  <c r="X14" s="1"/>
  <c r="Y14" s="1"/>
  <c r="Q13"/>
  <c r="V13" s="1"/>
  <c r="X13" s="1"/>
  <c r="Y13" s="1"/>
  <c r="Q12"/>
  <c r="V12" s="1"/>
  <c r="X12" s="1"/>
  <c r="Y12" s="1"/>
  <c r="Q11"/>
  <c r="V11" s="1"/>
  <c r="X11" s="1"/>
  <c r="Y11" s="1"/>
  <c r="Q10"/>
  <c r="V10" s="1"/>
  <c r="X10" s="1"/>
  <c r="Q8"/>
  <c r="V8" s="1"/>
  <c r="X8" s="1"/>
  <c r="Q7"/>
  <c r="Q6"/>
  <c r="Q5"/>
  <c r="V27"/>
  <c r="X27" s="1"/>
  <c r="Y27" s="1"/>
  <c r="V25"/>
  <c r="V21"/>
  <c r="X21" s="1"/>
  <c r="V7"/>
  <c r="X7" s="1"/>
  <c r="V5"/>
  <c r="X5" s="1"/>
  <c r="T27"/>
  <c r="T26"/>
  <c r="T25"/>
  <c r="T24"/>
  <c r="T22"/>
  <c r="T21"/>
  <c r="T20"/>
  <c r="T19"/>
  <c r="T18"/>
  <c r="T17"/>
  <c r="T16"/>
  <c r="T15"/>
  <c r="T14"/>
  <c r="T13"/>
  <c r="T12"/>
  <c r="T11"/>
  <c r="T10"/>
  <c r="T8"/>
  <c r="T7"/>
  <c r="T6"/>
  <c r="T5"/>
  <c r="X25"/>
  <c r="Y70" l="1"/>
  <c r="Q70"/>
  <c r="X5" i="3"/>
  <c r="X35" s="1"/>
  <c r="V35"/>
  <c r="V6" i="1"/>
  <c r="V70" s="1"/>
  <c r="T19" i="2"/>
  <c r="Q19"/>
  <c r="V19" s="1"/>
  <c r="X19" s="1"/>
  <c r="T18"/>
  <c r="Q18"/>
  <c r="V18" s="1"/>
  <c r="X18" s="1"/>
  <c r="T17"/>
  <c r="Q17"/>
  <c r="V17" s="1"/>
  <c r="X17" s="1"/>
  <c r="X6" i="1" l="1"/>
  <c r="X70" s="1"/>
  <c r="T16" i="2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Y64" s="1"/>
  <c r="T9" l="1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T11"/>
  <c r="Q11"/>
  <c r="V11" s="1"/>
  <c r="X11" s="1"/>
  <c r="T10"/>
  <c r="Q10"/>
  <c r="V10" s="1"/>
  <c r="X10" s="1"/>
  <c r="V5" l="1"/>
  <c r="Q64"/>
  <c r="X5" l="1"/>
  <c r="X64" s="1"/>
  <c r="V64"/>
  <c r="B6" l="1"/>
  <c r="B7" s="1"/>
  <c r="B8" s="1"/>
  <c r="B9" s="1"/>
  <c r="B10" s="1"/>
  <c r="B11" l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" i="3" l="1"/>
  <c r="B7" s="1"/>
  <c r="B8" s="1"/>
  <c r="B9" s="1"/>
  <c r="B10" s="1"/>
  <c r="B11" s="1"/>
  <c r="B12" l="1"/>
  <c r="B13" l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</calcChain>
</file>

<file path=xl/sharedStrings.xml><?xml version="1.0" encoding="utf-8"?>
<sst xmlns="http://schemas.openxmlformats.org/spreadsheetml/2006/main" count="1934" uniqueCount="397">
  <si>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</si>
  <si>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</si>
  <si>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</si>
  <si>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</si>
  <si>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</si>
  <si>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</si>
  <si>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</si>
  <si>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</si>
  <si>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</si>
  <si>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</si>
  <si>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</si>
  <si>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</si>
  <si>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</si>
  <si>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</si>
  <si>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</si>
  <si>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</si>
  <si>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</si>
  <si>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</si>
  <si>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</si>
  <si>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</si>
  <si>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</si>
  <si>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</si>
  <si>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</si>
  <si>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</si>
  <si>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</si>
  <si>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</si>
  <si>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</si>
  <si>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</si>
  <si>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</si>
  <si>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</si>
  <si>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</si>
  <si>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SOUTH AFRICA</t>
  </si>
  <si>
    <t>C182</t>
  </si>
  <si>
    <t>STANDARD CHARTERED BANK</t>
  </si>
  <si>
    <t>MOBIL PRODUCING</t>
  </si>
  <si>
    <t>YOHO BLEND CRUDE OIL</t>
  </si>
  <si>
    <t>YOHO</t>
  </si>
  <si>
    <t>USA</t>
  </si>
  <si>
    <t>UBA</t>
  </si>
  <si>
    <t>SKYE BANK</t>
  </si>
  <si>
    <t>MONI PULO</t>
  </si>
  <si>
    <t>GERMANY</t>
  </si>
  <si>
    <t>WILHELMSHAVEN</t>
  </si>
  <si>
    <t>NNPC</t>
  </si>
  <si>
    <t>OKONO BLEND CRUDE OIL</t>
  </si>
  <si>
    <t>OKONO</t>
  </si>
  <si>
    <t>AGIP ENERGY</t>
  </si>
  <si>
    <t>BRASS</t>
  </si>
  <si>
    <t>NETHERLANDS</t>
  </si>
  <si>
    <t>ROTTERDAM</t>
  </si>
  <si>
    <t>ZENITH BANK</t>
  </si>
  <si>
    <t>NIGERIAN AGIP</t>
  </si>
  <si>
    <t>PORTUGAL</t>
  </si>
  <si>
    <t>LEIXOES</t>
  </si>
  <si>
    <t>OYO BLEND CRUDE OIL</t>
  </si>
  <si>
    <t>OYO</t>
  </si>
  <si>
    <t>ITALY</t>
  </si>
  <si>
    <t>TRIESTE</t>
  </si>
  <si>
    <t>PHILLIPS OIL</t>
  </si>
  <si>
    <t>PHILADELPHIA</t>
  </si>
  <si>
    <t>BRAZIL</t>
  </si>
  <si>
    <t>ONE OR MORE SAFE PORTS, BRAZIL</t>
  </si>
  <si>
    <t>INDIA</t>
  </si>
  <si>
    <t>ONE OR MORE SAFE PORTS, INDIA</t>
  </si>
  <si>
    <t>NOT YET ISSUED</t>
  </si>
  <si>
    <t>TEIDE SPIRIT</t>
  </si>
  <si>
    <t>SPAIN</t>
  </si>
  <si>
    <t>ROTTERDAM FOR ORDERS</t>
  </si>
  <si>
    <t>GHANA</t>
  </si>
  <si>
    <t>FRANCE</t>
  </si>
  <si>
    <t>SEAVOYAGER</t>
  </si>
  <si>
    <t>UNITED KINGDOM</t>
  </si>
  <si>
    <t>ALLIED ENERGY</t>
  </si>
  <si>
    <t>SINES</t>
  </si>
  <si>
    <t>MIDWESTERN OIL</t>
  </si>
  <si>
    <t>PHAETHON</t>
  </si>
  <si>
    <t>AUSTRALIA</t>
  </si>
  <si>
    <t>AUTHENTIC</t>
  </si>
  <si>
    <t>NIPPON PRINCESS</t>
  </si>
  <si>
    <t>PLATFORM PETROLEUM</t>
  </si>
  <si>
    <t>MIDWESTERN OIL &amp; GAS</t>
  </si>
  <si>
    <t>ABOADZE</t>
  </si>
  <si>
    <t>ONE OR MORE SAFE PORT(S), THAILAND</t>
  </si>
  <si>
    <t>HUELVA</t>
  </si>
  <si>
    <t>SKS SINNI</t>
  </si>
  <si>
    <t>DURBAN FOR ORDERS</t>
  </si>
  <si>
    <t>GEORGE S</t>
  </si>
  <si>
    <t>AEGEAN HORIZON</t>
  </si>
  <si>
    <t>PSERIMOS</t>
  </si>
  <si>
    <t>DENMARK</t>
  </si>
  <si>
    <t>CITI BANK OF NIG</t>
  </si>
  <si>
    <t>GUARANTY TRUST BANK</t>
  </si>
  <si>
    <t>FOS</t>
  </si>
  <si>
    <t>BRASS BLEND CRUDE OIL</t>
  </si>
  <si>
    <t xml:space="preserve">BRASS </t>
  </si>
  <si>
    <t>TRANMERE FOR ORDERS</t>
  </si>
  <si>
    <t>US ATLANTIC COAST FOR ORDERS</t>
  </si>
  <si>
    <t>HUELVA SPIRIT</t>
  </si>
  <si>
    <t>THAILAND</t>
  </si>
  <si>
    <t>GENMAR KARA G</t>
  </si>
  <si>
    <t>MATALA</t>
  </si>
  <si>
    <t>GTB</t>
  </si>
  <si>
    <t>TEMA</t>
  </si>
  <si>
    <t>STANBIC IBTC</t>
  </si>
  <si>
    <t>ATLANTIC ENERGY</t>
  </si>
  <si>
    <t>COSMIC</t>
  </si>
  <si>
    <t>NORDIC FREEDOM</t>
  </si>
  <si>
    <t>EBOK BLEND CRUDE OIL</t>
  </si>
  <si>
    <t>EBOK</t>
  </si>
  <si>
    <t>STANDARD CHARTERED</t>
  </si>
  <si>
    <t>TETNEY</t>
  </si>
  <si>
    <t>BRASS 390</t>
  </si>
  <si>
    <t>201300010380</t>
  </si>
  <si>
    <t>ENERGY SKIER</t>
  </si>
  <si>
    <t>TOLEDO SPIRIT</t>
  </si>
  <si>
    <t>SAVONA</t>
  </si>
  <si>
    <t>INTENTION KALUNDBORG</t>
  </si>
  <si>
    <t>BRASS 391</t>
  </si>
  <si>
    <t>BRASS 392</t>
  </si>
  <si>
    <t>BRASS 398</t>
  </si>
  <si>
    <t>201300010450</t>
  </si>
  <si>
    <t>STERLING BANK</t>
  </si>
  <si>
    <t>FOUR SMILE</t>
  </si>
  <si>
    <t>TURKEY</t>
  </si>
  <si>
    <t>IZMIT/TUTUNCIFTLIK REFINERY</t>
  </si>
  <si>
    <t>QUILIANO (ITALY) FOR ORDERS</t>
  </si>
  <si>
    <t>BRASS 399</t>
  </si>
  <si>
    <t>ITHAKI</t>
  </si>
  <si>
    <t>EXPLORER</t>
  </si>
  <si>
    <t>EAGLE SAN ANTONIO</t>
  </si>
  <si>
    <t>BRASS 421</t>
  </si>
  <si>
    <t>BRASS 425</t>
  </si>
  <si>
    <t>CENTRAL BANK</t>
  </si>
  <si>
    <t>ORIENTAL ENERGY</t>
  </si>
  <si>
    <t>PRINCIMAR LOYALTY</t>
  </si>
  <si>
    <t>SWEDEN</t>
  </si>
  <si>
    <t>GOTHENBURG</t>
  </si>
  <si>
    <t>ONE OR MORE SAFE PORT(S)</t>
  </si>
  <si>
    <t>BRASS 435</t>
  </si>
  <si>
    <t>YOHO 094</t>
  </si>
  <si>
    <t>201400010064</t>
  </si>
  <si>
    <t>BRASS 437</t>
  </si>
  <si>
    <t>201400010025</t>
  </si>
  <si>
    <t>AFRA HAWTHORN</t>
  </si>
  <si>
    <t>PORTLAND, MAINE</t>
  </si>
  <si>
    <t>BRASS 438</t>
  </si>
  <si>
    <t>201401010058</t>
  </si>
  <si>
    <t>BRASS 439</t>
  </si>
  <si>
    <t>201401010059</t>
  </si>
  <si>
    <t>BRASS 440</t>
  </si>
  <si>
    <t>20149030002</t>
  </si>
  <si>
    <t>BRASS 441</t>
  </si>
  <si>
    <t>PHOENIX STRENGTH</t>
  </si>
  <si>
    <t>BRASS 444</t>
  </si>
  <si>
    <t>HS MEDEA</t>
  </si>
  <si>
    <t>DELTA TOLMI</t>
  </si>
  <si>
    <t>BRASS 445</t>
  </si>
  <si>
    <t>BRASS 446</t>
  </si>
  <si>
    <t>NORDIC ZENITH</t>
  </si>
  <si>
    <t>LAVERA</t>
  </si>
  <si>
    <t>BRASS 447</t>
  </si>
  <si>
    <t>BRASS 448</t>
  </si>
  <si>
    <t>YOHO 096</t>
  </si>
  <si>
    <t>FRONT KATHRINE</t>
  </si>
  <si>
    <t>201400020004</t>
  </si>
  <si>
    <t>201400010057</t>
  </si>
  <si>
    <t>201400010184</t>
  </si>
  <si>
    <t>201400020006</t>
  </si>
  <si>
    <t>CAPE BATA</t>
  </si>
  <si>
    <t>FLEVES</t>
  </si>
  <si>
    <t>ALGECIRAS FOR ORDERS</t>
  </si>
  <si>
    <t>BRASS 449</t>
  </si>
  <si>
    <t>BRASS 450</t>
  </si>
  <si>
    <t>ANTAN 098</t>
  </si>
  <si>
    <t>EBOK 016</t>
  </si>
  <si>
    <t>201400010115</t>
  </si>
  <si>
    <t>201402050034</t>
  </si>
  <si>
    <t>201402050081</t>
  </si>
  <si>
    <t>MIDWESTERN BRASS 037</t>
  </si>
  <si>
    <t>MIDWESTERN BRASS 038</t>
  </si>
  <si>
    <t>MOBIL YOHO 038</t>
  </si>
  <si>
    <t>N/A</t>
  </si>
  <si>
    <t>PLATFORM BRASS 095</t>
  </si>
  <si>
    <t>PLATFORM BRASS 096</t>
  </si>
  <si>
    <t>PLATFORM BRASS 097</t>
  </si>
  <si>
    <t>ORIENTAL EBOK 016</t>
  </si>
  <si>
    <t>41102105C7/78A</t>
  </si>
  <si>
    <t>41102105C7/78B</t>
  </si>
  <si>
    <t>41102105C7/78C</t>
  </si>
  <si>
    <t>41301105C38/66</t>
  </si>
  <si>
    <t>41301105C38/ 66</t>
  </si>
  <si>
    <t>NNPC BRASS 141</t>
  </si>
  <si>
    <t>NNPC BRASS 143</t>
  </si>
  <si>
    <t>NNPC BRASS 144</t>
  </si>
  <si>
    <t>NNPC BRASS 145</t>
  </si>
  <si>
    <t>201300010428</t>
  </si>
  <si>
    <t>20130001042 8</t>
  </si>
  <si>
    <t>ATLANTIC BRASS 005</t>
  </si>
  <si>
    <t>ATLANTIC BRASS 006</t>
  </si>
  <si>
    <t>NNPC BRASS 146</t>
  </si>
  <si>
    <t>NNPC BRASS 147</t>
  </si>
  <si>
    <t>NNPC OKONO 058</t>
  </si>
  <si>
    <t>NNPC BRASS 148</t>
  </si>
  <si>
    <t>NNPC BRASS 149</t>
  </si>
  <si>
    <t>NNPC BRASS 151</t>
  </si>
  <si>
    <t>201401010064</t>
  </si>
  <si>
    <t>201401010065</t>
  </si>
  <si>
    <t>201409030003</t>
  </si>
  <si>
    <t>AWAITING 4A</t>
  </si>
  <si>
    <t>42002105C7/65B</t>
  </si>
  <si>
    <t>42002105C7/65C</t>
  </si>
  <si>
    <t>41703115C40/39</t>
  </si>
  <si>
    <t>41703105C52/5A</t>
  </si>
  <si>
    <t>41703105C52/5B</t>
  </si>
  <si>
    <t>201400010251</t>
  </si>
  <si>
    <t>201400010150</t>
  </si>
  <si>
    <t>201400010133</t>
  </si>
  <si>
    <t>201401010066</t>
  </si>
  <si>
    <t>20149030004</t>
  </si>
  <si>
    <t>201400010131</t>
  </si>
  <si>
    <t>201400020008</t>
  </si>
  <si>
    <t>41703105C38/70</t>
  </si>
  <si>
    <t>BERGINA</t>
  </si>
  <si>
    <t>ONE OR MORE SAFE PORT(S) USGC</t>
  </si>
  <si>
    <t>BRASS 457</t>
  </si>
  <si>
    <t>BRASS 458</t>
  </si>
  <si>
    <t>BRASS 459</t>
  </si>
  <si>
    <t>BRASS 460</t>
  </si>
  <si>
    <t>BRASS 461</t>
  </si>
  <si>
    <t>BRASS 462</t>
  </si>
  <si>
    <t>BRASS 463</t>
  </si>
  <si>
    <t>BRASS 464</t>
  </si>
  <si>
    <t>BRASS 465</t>
  </si>
  <si>
    <t>BRASS 466</t>
  </si>
  <si>
    <t>BRASS 467</t>
  </si>
  <si>
    <t>BRASS 468</t>
  </si>
  <si>
    <t>BRASS 469</t>
  </si>
  <si>
    <t>BRASS 470</t>
  </si>
  <si>
    <t>BRASS 471</t>
  </si>
  <si>
    <t>BRASS 472</t>
  </si>
  <si>
    <t>BRASS 473</t>
  </si>
  <si>
    <t>BRASS 474</t>
  </si>
  <si>
    <t>ANTAN 099</t>
  </si>
  <si>
    <t>ANTAN 100</t>
  </si>
  <si>
    <t>EBOK 017</t>
  </si>
  <si>
    <t>OYO 013</t>
  </si>
  <si>
    <t>YOHO 099</t>
  </si>
  <si>
    <t>Issued with 1(One) CCI for these 2(Two) split inspections</t>
  </si>
  <si>
    <t>201400010165</t>
  </si>
  <si>
    <t>NXP originally advised as NXP no: 201400010148 in our April, 2014 Monthly Report but has been cancelled by Citibank Nig. Ltd as NXP no: 201400010165</t>
  </si>
  <si>
    <t>41703101C42/5C</t>
  </si>
  <si>
    <t>ORIENTAL EBOK 017</t>
  </si>
  <si>
    <t>ALLIED OYO 011</t>
  </si>
  <si>
    <t>ADDAX BRASS 011</t>
  </si>
  <si>
    <t>ADDAX ANTAN 034</t>
  </si>
  <si>
    <t>NNPC BRASS 150</t>
  </si>
  <si>
    <t>MOBIL YOHO 039</t>
  </si>
  <si>
    <t>201400010196</t>
  </si>
  <si>
    <t>201400010124</t>
  </si>
  <si>
    <t>PHILLIPS BRASS 038</t>
  </si>
  <si>
    <t>PHILLIPS BRASS 040</t>
  </si>
  <si>
    <t>PHILLIPS BRASS 041</t>
  </si>
  <si>
    <t>PHILLIPS BRASS 042</t>
  </si>
  <si>
    <t>NNPC OKONO 059</t>
  </si>
  <si>
    <t>NNPC BRASS 152</t>
  </si>
  <si>
    <t>NNPC BRASS 153</t>
  </si>
  <si>
    <t>NNPC BRASS 154</t>
  </si>
  <si>
    <t>NNPC BRASS 155</t>
  </si>
  <si>
    <t>NNPC YOHO 060</t>
  </si>
  <si>
    <t>NNPC ANTAN 047</t>
  </si>
  <si>
    <t>NNPC ANTAN 048</t>
  </si>
  <si>
    <t>NNPC OKONO 060</t>
  </si>
  <si>
    <t>NNPC BRASS 156</t>
  </si>
  <si>
    <t>41003115C38/71</t>
  </si>
  <si>
    <t>41404105C60/17A</t>
  </si>
  <si>
    <t>41404105C60/17B</t>
  </si>
  <si>
    <t>41404105C60/17C</t>
  </si>
  <si>
    <t>41404105C60/17D</t>
  </si>
  <si>
    <t>41703109C48/266</t>
  </si>
  <si>
    <t>41404111C62/7A</t>
  </si>
  <si>
    <t>41404111C62/7B</t>
  </si>
  <si>
    <t>201400010188</t>
  </si>
  <si>
    <t>201400010189</t>
  </si>
  <si>
    <t>201400010190</t>
  </si>
  <si>
    <t>201400010163</t>
  </si>
  <si>
    <t>201401010069</t>
  </si>
  <si>
    <t>201401010070</t>
  </si>
  <si>
    <t>20149030005</t>
  </si>
  <si>
    <t>YET RECEIVED 2</t>
  </si>
  <si>
    <t>YET RECEIVED 3</t>
  </si>
  <si>
    <t>41404115C38/75</t>
  </si>
  <si>
    <t>41404105C40/41</t>
  </si>
  <si>
    <t>CAPTAIN MICHAEL</t>
  </si>
  <si>
    <t>GREEN WARRIOR</t>
  </si>
  <si>
    <t>DELTA POSEIDON</t>
  </si>
  <si>
    <t>EUROVISION</t>
  </si>
  <si>
    <t>SOUTH SEA</t>
  </si>
  <si>
    <t>BERMUDA SPIRIT</t>
  </si>
  <si>
    <t>NETHERLSNDS</t>
  </si>
  <si>
    <t>OMSP(S), AUSTRALIA</t>
  </si>
  <si>
    <t>MUNDRA</t>
  </si>
  <si>
    <t>BRUNSBUETTEL, GERMANY FOR ORDERS</t>
  </si>
  <si>
    <t>OKONO 073</t>
  </si>
  <si>
    <t>OKONO 074</t>
  </si>
  <si>
    <t>OKONO 075</t>
  </si>
  <si>
    <t>BRASS 475</t>
  </si>
  <si>
    <t>BRASS 476</t>
  </si>
  <si>
    <t>BRASS 477</t>
  </si>
  <si>
    <t>BRASS 478</t>
  </si>
  <si>
    <t>BRASS 479</t>
  </si>
  <si>
    <t>BRASS 480</t>
  </si>
  <si>
    <t>BRASS 481</t>
  </si>
  <si>
    <t>BRASS 482</t>
  </si>
  <si>
    <t>BRASS 483</t>
  </si>
  <si>
    <t>BRASS 484</t>
  </si>
  <si>
    <t>BRASS 485</t>
  </si>
  <si>
    <t>BRASS 486</t>
  </si>
  <si>
    <t>BRASS 487</t>
  </si>
  <si>
    <t>EBOK 018</t>
  </si>
  <si>
    <t>YOHO 100</t>
  </si>
  <si>
    <t>ANTAN 101</t>
  </si>
  <si>
    <t>ANTAN 102</t>
  </si>
  <si>
    <t>201400010338</t>
  </si>
  <si>
    <t>201402050172</t>
  </si>
  <si>
    <t>201402050184</t>
  </si>
  <si>
    <t>MIDWESTERN BRASS 039</t>
  </si>
  <si>
    <t>MIDWESTERN BRASS 040</t>
  </si>
  <si>
    <t>PHILLIPS BRASS 037</t>
  </si>
  <si>
    <t>ORIENTAL EBOK 018</t>
  </si>
  <si>
    <t>201300010480</t>
  </si>
  <si>
    <t>PHILLIPS BRASS 039</t>
  </si>
  <si>
    <t>ADDAX ANTAN 035</t>
  </si>
  <si>
    <t>PLATFORM BRASS 098</t>
  </si>
  <si>
    <t>PLATFORM BRASS 099</t>
  </si>
  <si>
    <t>PLATFORM BRASS 100</t>
  </si>
  <si>
    <t>PLATFORM BRASS 101</t>
  </si>
  <si>
    <t>PLATFORM BRASS 102</t>
  </si>
  <si>
    <t>NNPC BRASS 157</t>
  </si>
  <si>
    <t>NNPC BRASS 158</t>
  </si>
  <si>
    <t>NNPC YOHO 061</t>
  </si>
  <si>
    <t>NNPC OKONO 061</t>
  </si>
  <si>
    <t>NNPC ANTAN 049</t>
  </si>
  <si>
    <t>NNPC ANTAN 050</t>
  </si>
  <si>
    <t>NNPC ANTAN 051</t>
  </si>
  <si>
    <t>AWAITING 01</t>
  </si>
  <si>
    <t>AWAITING 02</t>
  </si>
  <si>
    <t>201400020009</t>
  </si>
  <si>
    <t>201400010234</t>
  </si>
  <si>
    <t>201401010072</t>
  </si>
  <si>
    <t>201401010073</t>
  </si>
  <si>
    <t>41405105C38/78</t>
  </si>
  <si>
    <t>41405105C13/60</t>
  </si>
  <si>
    <t>41405109C48/286</t>
  </si>
  <si>
    <t>41405115C42/43</t>
  </si>
  <si>
    <t>201400010263</t>
  </si>
  <si>
    <t>201400010264</t>
  </si>
  <si>
    <t>201400010223</t>
  </si>
  <si>
    <t>00201400010224</t>
  </si>
  <si>
    <t>201401010075</t>
  </si>
  <si>
    <t>AWAITING 03</t>
  </si>
  <si>
    <t>AWAITING 04</t>
  </si>
  <si>
    <t>1405111C38/790A</t>
  </si>
  <si>
    <t>1405111C38/790B</t>
  </si>
  <si>
    <t>1405111C38/790C</t>
  </si>
  <si>
    <t>AWAITING 05</t>
  </si>
  <si>
    <t xml:space="preserve">PHILLPS OIL </t>
  </si>
  <si>
    <t>DONAT</t>
  </si>
  <si>
    <t>VALTAMED</t>
  </si>
  <si>
    <t>EVERGLADES</t>
  </si>
  <si>
    <t>DELTA MARINER</t>
  </si>
  <si>
    <t>NS BURGAS</t>
  </si>
  <si>
    <t>YOHO 101</t>
  </si>
  <si>
    <t>YOHO 102</t>
  </si>
  <si>
    <t>EBOK 019</t>
  </si>
  <si>
    <t>EBOK 020</t>
  </si>
  <si>
    <t>ANTAN 103</t>
  </si>
  <si>
    <t>ANTAN 104</t>
  </si>
  <si>
    <t>ANTAN 105</t>
  </si>
  <si>
    <t>ANTAN 106</t>
  </si>
  <si>
    <t>ANTAN 107</t>
  </si>
  <si>
    <t>BRASS 488</t>
  </si>
  <si>
    <t>BRASS 489</t>
  </si>
  <si>
    <t>BRASS 490</t>
  </si>
  <si>
    <t>BRASS 491</t>
  </si>
  <si>
    <t>BRASS 492</t>
  </si>
  <si>
    <t>BRASS 493</t>
  </si>
  <si>
    <t>BRASS 494</t>
  </si>
  <si>
    <t>BRASS 495</t>
  </si>
  <si>
    <t>BRASS 496</t>
  </si>
  <si>
    <t>BRASS 497</t>
  </si>
  <si>
    <t>BRASS 498</t>
  </si>
  <si>
    <t>BRASS 499</t>
  </si>
  <si>
    <t>BRASS 500</t>
  </si>
  <si>
    <t>COMPREHENSIVE INSPECTION REPORT FOR THE PERIOD OF APRIL 2014 TO JUNE 2014</t>
  </si>
  <si>
    <t>COMPLIANT INSPECTION REPORT FOR THE PERIOD OF APRIL 2014 TO JUNE 2014</t>
  </si>
  <si>
    <t>NON-COMPLIANT INSPECTION REPORT FOR THE PERIOD OF APRIL 2014 TO JUNE 2014</t>
  </si>
  <si>
    <t>REMARKS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</si>
</sst>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00000"/>
    <numFmt numFmtId="168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6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5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/>
    <xf numFmtId="0" fontId="6" fillId="0" borderId="6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0" fontId="8" fillId="0" borderId="0" xfId="0" applyFont="1" applyFill="1"/>
    <xf numFmtId="49" fontId="6" fillId="0" borderId="6" xfId="0" applyNumberFormat="1" applyFont="1" applyFill="1" applyBorder="1" applyAlignment="1">
      <alignment horizontal="center" wrapText="1"/>
    </xf>
    <xf numFmtId="43" fontId="6" fillId="0" borderId="6" xfId="1" applyFont="1" applyFill="1" applyBorder="1"/>
    <xf numFmtId="165" fontId="6" fillId="0" borderId="6" xfId="0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 applyAlignment="1" applyProtection="1">
      <protection locked="0"/>
    </xf>
    <xf numFmtId="0" fontId="6" fillId="0" borderId="7" xfId="0" applyFont="1" applyFill="1" applyBorder="1" applyAlignment="1">
      <alignment horizontal="center" wrapText="1"/>
    </xf>
    <xf numFmtId="167" fontId="6" fillId="0" borderId="6" xfId="0" applyNumberFormat="1" applyFont="1" applyFill="1" applyBorder="1" applyAlignment="1">
      <alignment horizontal="center"/>
    </xf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center" wrapText="1"/>
    </xf>
    <xf numFmtId="49" fontId="6" fillId="0" borderId="7" xfId="0" applyNumberFormat="1" applyFont="1" applyFill="1" applyBorder="1" applyAlignment="1">
      <alignment horizontal="center" wrapText="1"/>
    </xf>
    <xf numFmtId="164" fontId="6" fillId="0" borderId="7" xfId="0" applyNumberFormat="1" applyFont="1" applyFill="1" applyBorder="1" applyAlignment="1">
      <alignment horizont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 applyProtection="1">
      <alignment horizontal="right"/>
      <protection locked="0"/>
    </xf>
    <xf numFmtId="4" fontId="6" fillId="0" borderId="7" xfId="0" applyNumberFormat="1" applyFont="1" applyFill="1" applyBorder="1" applyAlignment="1">
      <alignment horizontal="right"/>
    </xf>
    <xf numFmtId="4" fontId="6" fillId="0" borderId="7" xfId="0" applyNumberFormat="1" applyFont="1" applyFill="1" applyBorder="1" applyAlignment="1">
      <alignment horizontal="center"/>
    </xf>
    <xf numFmtId="164" fontId="6" fillId="0" borderId="7" xfId="4" applyNumberFormat="1" applyFont="1" applyFill="1" applyBorder="1" applyAlignment="1">
      <alignment horizontal="center"/>
    </xf>
    <xf numFmtId="14" fontId="6" fillId="0" borderId="7" xfId="0" applyNumberFormat="1" applyFont="1" applyFill="1" applyBorder="1" applyAlignment="1">
      <alignment horizontal="center"/>
    </xf>
    <xf numFmtId="4" fontId="6" fillId="0" borderId="7" xfId="0" applyNumberFormat="1" applyFont="1" applyFill="1" applyBorder="1"/>
    <xf numFmtId="0" fontId="6" fillId="0" borderId="7" xfId="0" applyFont="1" applyFill="1" applyBorder="1" applyAlignment="1">
      <alignment horizontal="center"/>
    </xf>
    <xf numFmtId="43" fontId="6" fillId="0" borderId="7" xfId="1" applyFont="1" applyFill="1" applyBorder="1"/>
    <xf numFmtId="3" fontId="6" fillId="0" borderId="7" xfId="0" applyNumberFormat="1" applyFont="1" applyFill="1" applyBorder="1"/>
    <xf numFmtId="0" fontId="6" fillId="0" borderId="5" xfId="0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2" fontId="6" fillId="0" borderId="10" xfId="0" applyNumberFormat="1" applyFont="1" applyFill="1" applyBorder="1"/>
    <xf numFmtId="3" fontId="6" fillId="0" borderId="5" xfId="0" applyNumberFormat="1" applyFont="1" applyFill="1" applyBorder="1"/>
    <xf numFmtId="0" fontId="6" fillId="0" borderId="5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 wrapText="1"/>
    </xf>
    <xf numFmtId="164" fontId="6" fillId="0" borderId="5" xfId="4" applyNumberFormat="1" applyFont="1" applyFill="1" applyBorder="1" applyAlignment="1">
      <alignment horizontal="center"/>
    </xf>
    <xf numFmtId="3" fontId="6" fillId="0" borderId="7" xfId="0" applyNumberFormat="1" applyFont="1" applyFill="1" applyBorder="1" applyAlignment="1" applyProtection="1">
      <protection locked="0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7" fillId="0" borderId="9" xfId="0" applyNumberFormat="1" applyFont="1" applyFill="1" applyBorder="1"/>
    <xf numFmtId="4" fontId="7" fillId="0" borderId="9" xfId="0" applyNumberFormat="1" applyFont="1" applyFill="1" applyBorder="1"/>
    <xf numFmtId="0" fontId="6" fillId="0" borderId="0" xfId="0" applyFont="1" applyFill="1"/>
    <xf numFmtId="164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43" fontId="7" fillId="0" borderId="9" xfId="0" applyNumberFormat="1" applyFont="1" applyFill="1" applyBorder="1"/>
    <xf numFmtId="0" fontId="9" fillId="0" borderId="0" xfId="0" applyFont="1" applyFill="1" applyAlignment="1">
      <alignment horizontal="left"/>
    </xf>
    <xf numFmtId="164" fontId="8" fillId="0" borderId="0" xfId="0" applyNumberFormat="1" applyFont="1" applyFill="1" applyAlignment="1">
      <alignment horizontal="center"/>
    </xf>
    <xf numFmtId="0" fontId="10" fillId="0" borderId="0" xfId="0" applyFont="1" applyFill="1"/>
    <xf numFmtId="4" fontId="6" fillId="0" borderId="6" xfId="0" applyNumberFormat="1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 wrapText="1"/>
    </xf>
    <xf numFmtId="2" fontId="6" fillId="0" borderId="6" xfId="0" applyNumberFormat="1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 wrapText="1"/>
    </xf>
    <xf numFmtId="168" fontId="6" fillId="0" borderId="6" xfId="5" applyNumberFormat="1" applyFont="1" applyFill="1" applyBorder="1"/>
    <xf numFmtId="43" fontId="7" fillId="0" borderId="9" xfId="1" applyFont="1" applyFill="1" applyBorder="1"/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4</xdr:col>
      <xdr:colOff>28575</xdr:colOff>
      <xdr:row>2</xdr:row>
      <xdr:rowOff>161925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466725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38099</xdr:colOff>
      <xdr:row>1</xdr:row>
      <xdr:rowOff>38100</xdr:rowOff>
    </xdr:from>
    <xdr:to>
      <xdr:col>4</xdr:col>
      <xdr:colOff>142874</xdr:colOff>
      <xdr:row>2</xdr:row>
      <xdr:rowOff>152401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199" y="228600"/>
          <a:ext cx="523875" cy="314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66674</xdr:rowOff>
    </xdr:from>
    <xdr:to>
      <xdr:col>4</xdr:col>
      <xdr:colOff>161925</xdr:colOff>
      <xdr:row>2</xdr:row>
      <xdr:rowOff>171450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257174"/>
          <a:ext cx="466725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B70"/>
  <sheetViews>
    <sheetView tabSelected="1" workbookViewId="0">
      <selection activeCell="A77" sqref="A77:XFD83"/>
    </sheetView>
  </sheetViews>
  <sheetFormatPr defaultRowHeight="15"/>
  <cols>
    <col min="1" max="1" width="4" customWidth="1"/>
    <col min="2" max="2" width="4.140625" customWidth="1"/>
    <col min="3" max="3" width="5.28515625" style="3" customWidth="1"/>
    <col min="4" max="4" width="7.140625" style="3" customWidth="1"/>
    <col min="5" max="5" width="5.7109375" style="3" customWidth="1"/>
    <col min="6" max="6" width="9.7109375" style="3" customWidth="1"/>
    <col min="7" max="7" width="7.7109375" style="3" customWidth="1"/>
    <col min="8" max="8" width="7.5703125" style="3" customWidth="1"/>
    <col min="9" max="9" width="8" style="3" customWidth="1"/>
    <col min="10" max="10" width="6" customWidth="1"/>
    <col min="11" max="11" width="5.85546875" style="1" customWidth="1"/>
    <col min="12" max="12" width="8.28515625" style="3" customWidth="1"/>
    <col min="13" max="13" width="5.85546875" style="3" customWidth="1"/>
    <col min="14" max="14" width="6.85546875" style="5" customWidth="1"/>
    <col min="15" max="15" width="9.5703125" style="6" customWidth="1"/>
    <col min="16" max="16" width="8.5703125" customWidth="1"/>
    <col min="17" max="17" width="13.28515625" customWidth="1"/>
    <col min="18" max="18" width="5" customWidth="1"/>
    <col min="19" max="19" width="6.140625" style="9" customWidth="1"/>
    <col min="20" max="20" width="6.140625" style="1" customWidth="1"/>
    <col min="21" max="21" width="7.42578125" style="3" customWidth="1"/>
    <col min="22" max="22" width="9.7109375" customWidth="1"/>
    <col min="23" max="23" width="5.28515625" customWidth="1"/>
    <col min="24" max="24" width="11.42578125" customWidth="1"/>
    <col min="25" max="25" width="12.5703125" customWidth="1"/>
    <col min="26" max="26" width="6" customWidth="1"/>
    <col min="27" max="27" width="6.140625" customWidth="1"/>
  </cols>
  <sheetData>
    <row r="2" spans="2:28" ht="15.75">
      <c r="L2" s="4" t="s">
        <v>0</v>
      </c>
    </row>
    <row r="3" spans="2:28" ht="23.25" customHeight="1" thickBot="1">
      <c r="L3" s="4" t="s">
        <v>393</v>
      </c>
      <c r="P3" s="2"/>
    </row>
    <row r="4" spans="2:28" s="3" customFormat="1" ht="50.25" customHeight="1" thickBot="1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8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9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20" t="s">
        <v>26</v>
      </c>
      <c r="AB4" s="20" t="s">
        <v>396</v>
      </c>
    </row>
    <row r="5" spans="2:28" ht="27.75" customHeight="1">
      <c r="B5" s="22">
        <v>1</v>
      </c>
      <c r="C5" s="11" t="s">
        <v>224</v>
      </c>
      <c r="D5" s="24" t="s">
        <v>64</v>
      </c>
      <c r="E5" s="25"/>
      <c r="F5" s="26" t="s">
        <v>258</v>
      </c>
      <c r="G5" s="11" t="s">
        <v>90</v>
      </c>
      <c r="H5" s="11" t="s">
        <v>51</v>
      </c>
      <c r="I5" s="11" t="s">
        <v>93</v>
      </c>
      <c r="J5" s="27">
        <v>801.22</v>
      </c>
      <c r="K5" s="25">
        <v>41731</v>
      </c>
      <c r="L5" s="11" t="s">
        <v>169</v>
      </c>
      <c r="M5" s="11" t="s">
        <v>47</v>
      </c>
      <c r="N5" s="11" t="s">
        <v>62</v>
      </c>
      <c r="O5" s="14" t="s">
        <v>137</v>
      </c>
      <c r="P5" s="13">
        <v>227068</v>
      </c>
      <c r="Q5" s="28">
        <f t="shared" ref="Q5:Q60" si="0">SUM(P5*S5)</f>
        <v>24366894.148000002</v>
      </c>
      <c r="R5" s="29" t="s">
        <v>32</v>
      </c>
      <c r="S5" s="7">
        <v>107.31100000000001</v>
      </c>
      <c r="T5" s="30">
        <f t="shared" ref="T5:T21" si="1">SUM(K5)+89</f>
        <v>41820</v>
      </c>
      <c r="U5" s="14" t="s">
        <v>38</v>
      </c>
      <c r="V5" s="31">
        <f t="shared" ref="V5:V33" si="2">SUM(Q5*0.12%)</f>
        <v>29240.272977600001</v>
      </c>
      <c r="W5" s="23">
        <v>155.72999999999999</v>
      </c>
      <c r="X5" s="28">
        <f t="shared" ref="X5:X35" si="3">SUM(V5*W5)</f>
        <v>4553587.710801648</v>
      </c>
      <c r="Y5" s="32">
        <v>0</v>
      </c>
      <c r="Z5" s="23"/>
      <c r="AA5" s="23"/>
      <c r="AB5" s="23"/>
    </row>
    <row r="6" spans="2:28" ht="27.75" customHeight="1">
      <c r="B6" s="22">
        <f t="shared" ref="B6:B21" si="4">B5+1</f>
        <v>2</v>
      </c>
      <c r="C6" s="11" t="s">
        <v>225</v>
      </c>
      <c r="D6" s="11" t="s">
        <v>332</v>
      </c>
      <c r="E6" s="25">
        <v>41820</v>
      </c>
      <c r="F6" s="34" t="s">
        <v>205</v>
      </c>
      <c r="G6" s="11" t="s">
        <v>39</v>
      </c>
      <c r="H6" s="11" t="s">
        <v>79</v>
      </c>
      <c r="I6" s="11" t="s">
        <v>93</v>
      </c>
      <c r="J6" s="27">
        <v>801.22</v>
      </c>
      <c r="K6" s="25">
        <v>41731</v>
      </c>
      <c r="L6" s="11" t="s">
        <v>169</v>
      </c>
      <c r="M6" s="11" t="s">
        <v>47</v>
      </c>
      <c r="N6" s="11" t="s">
        <v>62</v>
      </c>
      <c r="O6" s="14" t="s">
        <v>137</v>
      </c>
      <c r="P6" s="13">
        <v>24000</v>
      </c>
      <c r="Q6" s="28">
        <f t="shared" si="0"/>
        <v>2626368</v>
      </c>
      <c r="R6" s="29" t="s">
        <v>32</v>
      </c>
      <c r="S6" s="8">
        <v>109.432</v>
      </c>
      <c r="T6" s="30">
        <f t="shared" si="1"/>
        <v>41820</v>
      </c>
      <c r="U6" s="14" t="s">
        <v>39</v>
      </c>
      <c r="V6" s="31">
        <f t="shared" si="2"/>
        <v>3151.6415999999999</v>
      </c>
      <c r="W6" s="23">
        <v>155.72999999999999</v>
      </c>
      <c r="X6" s="28">
        <f t="shared" si="3"/>
        <v>490805.14636799996</v>
      </c>
      <c r="Y6" s="35">
        <v>490805.15</v>
      </c>
      <c r="Z6" s="30">
        <v>41820</v>
      </c>
      <c r="AA6" s="36">
        <v>3594</v>
      </c>
      <c r="AB6" s="23"/>
    </row>
    <row r="7" spans="2:28" ht="27.75" customHeight="1">
      <c r="B7" s="22">
        <f t="shared" si="4"/>
        <v>3</v>
      </c>
      <c r="C7" s="11" t="s">
        <v>226</v>
      </c>
      <c r="D7" s="11" t="s">
        <v>333</v>
      </c>
      <c r="E7" s="25">
        <v>41820</v>
      </c>
      <c r="F7" s="34" t="s">
        <v>206</v>
      </c>
      <c r="G7" s="11" t="s">
        <v>39</v>
      </c>
      <c r="H7" s="11" t="s">
        <v>79</v>
      </c>
      <c r="I7" s="11" t="s">
        <v>93</v>
      </c>
      <c r="J7" s="27">
        <v>801.22</v>
      </c>
      <c r="K7" s="25">
        <v>41731</v>
      </c>
      <c r="L7" s="11" t="s">
        <v>169</v>
      </c>
      <c r="M7" s="11" t="s">
        <v>47</v>
      </c>
      <c r="N7" s="11" t="s">
        <v>62</v>
      </c>
      <c r="O7" s="14" t="s">
        <v>137</v>
      </c>
      <c r="P7" s="13">
        <v>36000</v>
      </c>
      <c r="Q7" s="28">
        <f t="shared" si="0"/>
        <v>3939552</v>
      </c>
      <c r="R7" s="29" t="s">
        <v>32</v>
      </c>
      <c r="S7" s="8">
        <v>109.432</v>
      </c>
      <c r="T7" s="30">
        <f t="shared" si="1"/>
        <v>41820</v>
      </c>
      <c r="U7" s="14" t="s">
        <v>39</v>
      </c>
      <c r="V7" s="31">
        <f t="shared" si="2"/>
        <v>4727.4623999999994</v>
      </c>
      <c r="W7" s="23">
        <v>155.72999999999999</v>
      </c>
      <c r="X7" s="28">
        <f t="shared" si="3"/>
        <v>736207.71955199982</v>
      </c>
      <c r="Y7" s="35">
        <v>736204.72</v>
      </c>
      <c r="Z7" s="30">
        <v>41820</v>
      </c>
      <c r="AA7" s="36">
        <v>3595</v>
      </c>
      <c r="AB7" s="23"/>
    </row>
    <row r="8" spans="2:28" ht="27.75" customHeight="1">
      <c r="B8" s="22">
        <f t="shared" si="4"/>
        <v>4</v>
      </c>
      <c r="C8" s="11" t="s">
        <v>227</v>
      </c>
      <c r="D8" s="11" t="s">
        <v>334</v>
      </c>
      <c r="E8" s="25">
        <v>41820</v>
      </c>
      <c r="F8" s="34" t="s">
        <v>207</v>
      </c>
      <c r="G8" s="11" t="s">
        <v>121</v>
      </c>
      <c r="H8" s="11" t="s">
        <v>79</v>
      </c>
      <c r="I8" s="11" t="s">
        <v>93</v>
      </c>
      <c r="J8" s="27">
        <v>801.22</v>
      </c>
      <c r="K8" s="25">
        <v>41731</v>
      </c>
      <c r="L8" s="11" t="s">
        <v>169</v>
      </c>
      <c r="M8" s="11" t="s">
        <v>47</v>
      </c>
      <c r="N8" s="11" t="s">
        <v>62</v>
      </c>
      <c r="O8" s="14" t="s">
        <v>137</v>
      </c>
      <c r="P8" s="13">
        <v>30000</v>
      </c>
      <c r="Q8" s="28">
        <f t="shared" si="0"/>
        <v>3282960</v>
      </c>
      <c r="R8" s="29" t="s">
        <v>32</v>
      </c>
      <c r="S8" s="8">
        <v>109.432</v>
      </c>
      <c r="T8" s="30">
        <f t="shared" si="1"/>
        <v>41820</v>
      </c>
      <c r="U8" s="14" t="s">
        <v>39</v>
      </c>
      <c r="V8" s="31">
        <f t="shared" si="2"/>
        <v>3939.5519999999997</v>
      </c>
      <c r="W8" s="23">
        <v>155.72999999999999</v>
      </c>
      <c r="X8" s="28">
        <f t="shared" si="3"/>
        <v>613506.43295999989</v>
      </c>
      <c r="Y8" s="35">
        <v>613506.43000000005</v>
      </c>
      <c r="Z8" s="30">
        <v>41820</v>
      </c>
      <c r="AA8" s="36">
        <v>3596</v>
      </c>
      <c r="AB8" s="23"/>
    </row>
    <row r="9" spans="2:28" ht="27.75" customHeight="1">
      <c r="B9" s="22">
        <f t="shared" si="4"/>
        <v>5</v>
      </c>
      <c r="C9" s="11" t="s">
        <v>228</v>
      </c>
      <c r="D9" s="37" t="s">
        <v>325</v>
      </c>
      <c r="E9" s="25">
        <v>41801</v>
      </c>
      <c r="F9" s="26" t="s">
        <v>323</v>
      </c>
      <c r="G9" s="11" t="s">
        <v>91</v>
      </c>
      <c r="H9" s="11" t="s">
        <v>74</v>
      </c>
      <c r="I9" s="11" t="s">
        <v>93</v>
      </c>
      <c r="J9" s="27">
        <v>801.22</v>
      </c>
      <c r="K9" s="25">
        <v>41731</v>
      </c>
      <c r="L9" s="11" t="s">
        <v>169</v>
      </c>
      <c r="M9" s="11" t="s">
        <v>47</v>
      </c>
      <c r="N9" s="11" t="s">
        <v>62</v>
      </c>
      <c r="O9" s="14" t="s">
        <v>137</v>
      </c>
      <c r="P9" s="13">
        <v>110000</v>
      </c>
      <c r="Q9" s="28">
        <f t="shared" si="0"/>
        <v>12059520</v>
      </c>
      <c r="R9" s="29" t="s">
        <v>32</v>
      </c>
      <c r="S9" s="8">
        <v>109.63200000000001</v>
      </c>
      <c r="T9" s="30">
        <f>SUM(K9)+89</f>
        <v>41820</v>
      </c>
      <c r="U9" s="11" t="s">
        <v>101</v>
      </c>
      <c r="V9" s="31">
        <f t="shared" ref="V9" si="5">SUM(Q9*0.12%)</f>
        <v>14471.423999999999</v>
      </c>
      <c r="W9" s="23">
        <v>155.72999999999999</v>
      </c>
      <c r="X9" s="28">
        <f t="shared" si="3"/>
        <v>2253634.8595199995</v>
      </c>
      <c r="Y9" s="35">
        <v>2253634.86</v>
      </c>
      <c r="Z9" s="30">
        <v>41800</v>
      </c>
      <c r="AA9" s="36">
        <v>29698</v>
      </c>
      <c r="AB9" s="23"/>
    </row>
    <row r="10" spans="2:28" ht="27.75" customHeight="1">
      <c r="B10" s="22">
        <f t="shared" si="4"/>
        <v>6</v>
      </c>
      <c r="C10" s="11" t="s">
        <v>242</v>
      </c>
      <c r="D10" s="24" t="s">
        <v>64</v>
      </c>
      <c r="E10" s="25"/>
      <c r="F10" s="34" t="s">
        <v>208</v>
      </c>
      <c r="G10" s="11" t="s">
        <v>39</v>
      </c>
      <c r="H10" s="11" t="s">
        <v>40</v>
      </c>
      <c r="I10" s="11" t="s">
        <v>29</v>
      </c>
      <c r="J10" s="27">
        <v>801.22</v>
      </c>
      <c r="K10" s="25">
        <v>41733</v>
      </c>
      <c r="L10" s="11" t="s">
        <v>168</v>
      </c>
      <c r="M10" s="11" t="s">
        <v>30</v>
      </c>
      <c r="N10" s="11" t="s">
        <v>52</v>
      </c>
      <c r="O10" s="14" t="s">
        <v>53</v>
      </c>
      <c r="P10" s="13">
        <v>349060</v>
      </c>
      <c r="Q10" s="28">
        <f t="shared" si="0"/>
        <v>36712385.5</v>
      </c>
      <c r="R10" s="29" t="s">
        <v>32</v>
      </c>
      <c r="S10" s="7">
        <v>105.175</v>
      </c>
      <c r="T10" s="30">
        <f t="shared" si="1"/>
        <v>41822</v>
      </c>
      <c r="U10" s="14" t="s">
        <v>39</v>
      </c>
      <c r="V10" s="31">
        <f t="shared" si="2"/>
        <v>44054.862599999993</v>
      </c>
      <c r="W10" s="23">
        <v>155.72999999999999</v>
      </c>
      <c r="X10" s="28">
        <f t="shared" si="3"/>
        <v>6860663.7526979987</v>
      </c>
      <c r="Y10" s="32">
        <v>0</v>
      </c>
      <c r="Z10" s="23"/>
      <c r="AA10" s="23"/>
      <c r="AB10" s="23"/>
    </row>
    <row r="11" spans="2:28" ht="27.75" customHeight="1">
      <c r="B11" s="22">
        <f t="shared" si="4"/>
        <v>7</v>
      </c>
      <c r="C11" s="11" t="s">
        <v>229</v>
      </c>
      <c r="D11" s="25" t="s">
        <v>199</v>
      </c>
      <c r="E11" s="25">
        <v>41759</v>
      </c>
      <c r="F11" s="12" t="s">
        <v>209</v>
      </c>
      <c r="G11" s="11" t="s">
        <v>132</v>
      </c>
      <c r="H11" s="11" t="s">
        <v>43</v>
      </c>
      <c r="I11" s="11" t="s">
        <v>93</v>
      </c>
      <c r="J11" s="27">
        <v>801.22</v>
      </c>
      <c r="K11" s="25">
        <v>41734</v>
      </c>
      <c r="L11" s="11" t="s">
        <v>99</v>
      </c>
      <c r="M11" s="11" t="s">
        <v>47</v>
      </c>
      <c r="N11" s="11" t="s">
        <v>135</v>
      </c>
      <c r="O11" s="14" t="s">
        <v>136</v>
      </c>
      <c r="P11" s="13">
        <v>199536</v>
      </c>
      <c r="Q11" s="28">
        <f t="shared" si="0"/>
        <v>21475660.607999999</v>
      </c>
      <c r="R11" s="29" t="s">
        <v>32</v>
      </c>
      <c r="S11" s="7">
        <v>107.628</v>
      </c>
      <c r="T11" s="30">
        <f t="shared" si="1"/>
        <v>41823</v>
      </c>
      <c r="U11" s="11" t="s">
        <v>132</v>
      </c>
      <c r="V11" s="31">
        <f t="shared" si="2"/>
        <v>25770.792729599998</v>
      </c>
      <c r="W11" s="23">
        <v>155.72999999999999</v>
      </c>
      <c r="X11" s="28">
        <f t="shared" si="3"/>
        <v>4013285.5517806076</v>
      </c>
      <c r="Y11" s="35">
        <f t="shared" ref="Y11:Y16" si="6">X11</f>
        <v>4013285.5517806076</v>
      </c>
      <c r="Z11" s="23"/>
      <c r="AA11" s="23"/>
      <c r="AB11" s="23"/>
    </row>
    <row r="12" spans="2:28" ht="27.75" customHeight="1">
      <c r="B12" s="22">
        <f t="shared" si="4"/>
        <v>8</v>
      </c>
      <c r="C12" s="11" t="s">
        <v>230</v>
      </c>
      <c r="D12" s="25" t="s">
        <v>200</v>
      </c>
      <c r="E12" s="25">
        <v>41759</v>
      </c>
      <c r="F12" s="12" t="s">
        <v>210</v>
      </c>
      <c r="G12" s="11" t="s">
        <v>132</v>
      </c>
      <c r="H12" s="11" t="s">
        <v>43</v>
      </c>
      <c r="I12" s="11" t="s">
        <v>93</v>
      </c>
      <c r="J12" s="27">
        <v>801.22</v>
      </c>
      <c r="K12" s="25">
        <v>41734</v>
      </c>
      <c r="L12" s="11" t="s">
        <v>99</v>
      </c>
      <c r="M12" s="11" t="s">
        <v>47</v>
      </c>
      <c r="N12" s="11" t="s">
        <v>135</v>
      </c>
      <c r="O12" s="14" t="s">
        <v>136</v>
      </c>
      <c r="P12" s="13">
        <v>120000</v>
      </c>
      <c r="Q12" s="28">
        <f t="shared" si="0"/>
        <v>12915360</v>
      </c>
      <c r="R12" s="29" t="s">
        <v>32</v>
      </c>
      <c r="S12" s="38">
        <v>107.628</v>
      </c>
      <c r="T12" s="30">
        <f t="shared" si="1"/>
        <v>41823</v>
      </c>
      <c r="U12" s="11" t="s">
        <v>132</v>
      </c>
      <c r="V12" s="31">
        <f t="shared" si="2"/>
        <v>15498.431999999999</v>
      </c>
      <c r="W12" s="23">
        <v>155.72999999999999</v>
      </c>
      <c r="X12" s="28">
        <f t="shared" si="3"/>
        <v>2413570.8153599999</v>
      </c>
      <c r="Y12" s="35">
        <f t="shared" si="6"/>
        <v>2413570.8153599999</v>
      </c>
      <c r="Z12" s="23"/>
      <c r="AA12" s="23"/>
      <c r="AB12" s="23"/>
    </row>
    <row r="13" spans="2:28" ht="27.75" customHeight="1">
      <c r="B13" s="22">
        <f t="shared" si="4"/>
        <v>9</v>
      </c>
      <c r="C13" s="11" t="s">
        <v>302</v>
      </c>
      <c r="D13" s="25" t="s">
        <v>201</v>
      </c>
      <c r="E13" s="25">
        <v>41759</v>
      </c>
      <c r="F13" s="34" t="s">
        <v>211</v>
      </c>
      <c r="G13" s="11" t="s">
        <v>132</v>
      </c>
      <c r="H13" s="11" t="s">
        <v>43</v>
      </c>
      <c r="I13" s="11" t="s">
        <v>44</v>
      </c>
      <c r="J13" s="27">
        <v>801.22</v>
      </c>
      <c r="K13" s="25">
        <v>41742</v>
      </c>
      <c r="L13" s="11" t="s">
        <v>65</v>
      </c>
      <c r="M13" s="11" t="s">
        <v>45</v>
      </c>
      <c r="N13" s="11" t="s">
        <v>56</v>
      </c>
      <c r="O13" s="14" t="s">
        <v>83</v>
      </c>
      <c r="P13" s="13">
        <v>899774</v>
      </c>
      <c r="Q13" s="28">
        <f t="shared" si="0"/>
        <v>99304457.283999994</v>
      </c>
      <c r="R13" s="29" t="s">
        <v>32</v>
      </c>
      <c r="S13" s="38">
        <v>110.366</v>
      </c>
      <c r="T13" s="30">
        <f t="shared" si="1"/>
        <v>41831</v>
      </c>
      <c r="U13" s="11" t="s">
        <v>132</v>
      </c>
      <c r="V13" s="31">
        <f t="shared" si="2"/>
        <v>119165.34874079998</v>
      </c>
      <c r="W13" s="23">
        <v>155.72999999999999</v>
      </c>
      <c r="X13" s="28">
        <f t="shared" si="3"/>
        <v>18557619.759404778</v>
      </c>
      <c r="Y13" s="35">
        <f t="shared" si="6"/>
        <v>18557619.759404778</v>
      </c>
      <c r="Z13" s="23"/>
      <c r="AA13" s="23"/>
      <c r="AB13" s="23"/>
    </row>
    <row r="14" spans="2:28" ht="27.75" customHeight="1">
      <c r="B14" s="22">
        <f t="shared" si="4"/>
        <v>10</v>
      </c>
      <c r="C14" s="11" t="s">
        <v>231</v>
      </c>
      <c r="D14" s="25" t="s">
        <v>202</v>
      </c>
      <c r="E14" s="25">
        <v>41759</v>
      </c>
      <c r="F14" s="34" t="s">
        <v>212</v>
      </c>
      <c r="G14" s="11" t="s">
        <v>132</v>
      </c>
      <c r="H14" s="11" t="s">
        <v>43</v>
      </c>
      <c r="I14" s="11" t="s">
        <v>93</v>
      </c>
      <c r="J14" s="27">
        <v>801.22</v>
      </c>
      <c r="K14" s="25">
        <v>41742</v>
      </c>
      <c r="L14" s="11" t="s">
        <v>78</v>
      </c>
      <c r="M14" s="11" t="s">
        <v>47</v>
      </c>
      <c r="N14" s="11" t="s">
        <v>68</v>
      </c>
      <c r="O14" s="14" t="s">
        <v>81</v>
      </c>
      <c r="P14" s="13">
        <v>170000</v>
      </c>
      <c r="Q14" s="28">
        <f t="shared" si="0"/>
        <v>18685720</v>
      </c>
      <c r="R14" s="29" t="s">
        <v>32</v>
      </c>
      <c r="S14" s="38">
        <v>109.916</v>
      </c>
      <c r="T14" s="30">
        <f t="shared" si="1"/>
        <v>41831</v>
      </c>
      <c r="U14" s="11" t="s">
        <v>132</v>
      </c>
      <c r="V14" s="31">
        <f t="shared" si="2"/>
        <v>22422.863999999998</v>
      </c>
      <c r="W14" s="23">
        <v>155.72999999999999</v>
      </c>
      <c r="X14" s="28">
        <f t="shared" si="3"/>
        <v>3491912.6107199993</v>
      </c>
      <c r="Y14" s="35">
        <f t="shared" si="6"/>
        <v>3491912.6107199993</v>
      </c>
      <c r="Z14" s="23"/>
      <c r="AA14" s="23"/>
      <c r="AB14" s="23"/>
    </row>
    <row r="15" spans="2:28" ht="27.75" customHeight="1">
      <c r="B15" s="22">
        <f t="shared" si="4"/>
        <v>11</v>
      </c>
      <c r="C15" s="11" t="s">
        <v>232</v>
      </c>
      <c r="D15" s="25" t="s">
        <v>203</v>
      </c>
      <c r="E15" s="25">
        <v>41759</v>
      </c>
      <c r="F15" s="34" t="s">
        <v>213</v>
      </c>
      <c r="G15" s="11" t="s">
        <v>132</v>
      </c>
      <c r="H15" s="11" t="s">
        <v>43</v>
      </c>
      <c r="I15" s="11" t="s">
        <v>93</v>
      </c>
      <c r="J15" s="27">
        <v>801.22</v>
      </c>
      <c r="K15" s="25">
        <v>41742</v>
      </c>
      <c r="L15" s="11" t="s">
        <v>78</v>
      </c>
      <c r="M15" s="11" t="s">
        <v>47</v>
      </c>
      <c r="N15" s="11" t="s">
        <v>68</v>
      </c>
      <c r="O15" s="14" t="s">
        <v>81</v>
      </c>
      <c r="P15" s="13">
        <v>50000</v>
      </c>
      <c r="Q15" s="28">
        <f t="shared" si="0"/>
        <v>5495800</v>
      </c>
      <c r="R15" s="29" t="s">
        <v>32</v>
      </c>
      <c r="S15" s="38">
        <v>109.916</v>
      </c>
      <c r="T15" s="30">
        <f t="shared" si="1"/>
        <v>41831</v>
      </c>
      <c r="U15" s="11" t="s">
        <v>132</v>
      </c>
      <c r="V15" s="31">
        <f t="shared" si="2"/>
        <v>6594.9599999999991</v>
      </c>
      <c r="W15" s="23">
        <v>155.72999999999999</v>
      </c>
      <c r="X15" s="28">
        <f t="shared" si="3"/>
        <v>1027033.1207999998</v>
      </c>
      <c r="Y15" s="35">
        <f t="shared" si="6"/>
        <v>1027033.1207999998</v>
      </c>
      <c r="Z15" s="23"/>
      <c r="AA15" s="23"/>
      <c r="AB15" s="23"/>
    </row>
    <row r="16" spans="2:28" ht="27.75" customHeight="1">
      <c r="B16" s="22">
        <f t="shared" si="4"/>
        <v>12</v>
      </c>
      <c r="C16" s="11" t="s">
        <v>233</v>
      </c>
      <c r="D16" s="25" t="s">
        <v>255</v>
      </c>
      <c r="E16" s="39">
        <v>41778</v>
      </c>
      <c r="F16" s="26" t="s">
        <v>250</v>
      </c>
      <c r="G16" s="11" t="s">
        <v>132</v>
      </c>
      <c r="H16" s="11" t="s">
        <v>43</v>
      </c>
      <c r="I16" s="11" t="s">
        <v>93</v>
      </c>
      <c r="J16" s="27">
        <v>801.22</v>
      </c>
      <c r="K16" s="25">
        <v>41742</v>
      </c>
      <c r="L16" s="11" t="s">
        <v>78</v>
      </c>
      <c r="M16" s="11" t="s">
        <v>47</v>
      </c>
      <c r="N16" s="11" t="s">
        <v>68</v>
      </c>
      <c r="O16" s="14" t="s">
        <v>81</v>
      </c>
      <c r="P16" s="13">
        <v>78386</v>
      </c>
      <c r="Q16" s="28">
        <f t="shared" si="0"/>
        <v>8615875.5759999994</v>
      </c>
      <c r="R16" s="29" t="s">
        <v>32</v>
      </c>
      <c r="S16" s="38">
        <v>109.916</v>
      </c>
      <c r="T16" s="30">
        <f t="shared" si="1"/>
        <v>41831</v>
      </c>
      <c r="U16" s="11" t="s">
        <v>132</v>
      </c>
      <c r="V16" s="31">
        <f t="shared" si="2"/>
        <v>10339.050691199998</v>
      </c>
      <c r="W16" s="23">
        <v>155.72999999999999</v>
      </c>
      <c r="X16" s="28">
        <f t="shared" si="3"/>
        <v>1610100.3641405755</v>
      </c>
      <c r="Y16" s="35">
        <f t="shared" si="6"/>
        <v>1610100.3641405755</v>
      </c>
      <c r="Z16" s="23"/>
      <c r="AA16" s="23"/>
      <c r="AB16" s="23"/>
    </row>
    <row r="17" spans="2:28" ht="27.75" customHeight="1">
      <c r="B17" s="22">
        <f t="shared" si="4"/>
        <v>13</v>
      </c>
      <c r="C17" s="11" t="s">
        <v>244</v>
      </c>
      <c r="D17" s="25" t="s">
        <v>251</v>
      </c>
      <c r="E17" s="25">
        <v>41771</v>
      </c>
      <c r="F17" s="34" t="s">
        <v>214</v>
      </c>
      <c r="G17" s="11" t="s">
        <v>109</v>
      </c>
      <c r="H17" s="11" t="s">
        <v>133</v>
      </c>
      <c r="I17" s="11" t="s">
        <v>107</v>
      </c>
      <c r="J17" s="27">
        <v>801.22</v>
      </c>
      <c r="K17" s="25">
        <v>41743</v>
      </c>
      <c r="L17" s="11" t="s">
        <v>222</v>
      </c>
      <c r="M17" s="11" t="s">
        <v>108</v>
      </c>
      <c r="N17" s="11" t="s">
        <v>37</v>
      </c>
      <c r="O17" s="14" t="s">
        <v>223</v>
      </c>
      <c r="P17" s="13">
        <v>649457</v>
      </c>
      <c r="Q17" s="28">
        <f t="shared" si="0"/>
        <v>66604413.178000003</v>
      </c>
      <c r="R17" s="29" t="s">
        <v>32</v>
      </c>
      <c r="S17" s="38">
        <v>102.554</v>
      </c>
      <c r="T17" s="30">
        <f t="shared" si="1"/>
        <v>41832</v>
      </c>
      <c r="U17" s="11" t="s">
        <v>109</v>
      </c>
      <c r="V17" s="31">
        <f t="shared" si="2"/>
        <v>79925.295813599994</v>
      </c>
      <c r="W17" s="23">
        <v>155.72999999999999</v>
      </c>
      <c r="X17" s="28">
        <f t="shared" si="3"/>
        <v>12446766.317051927</v>
      </c>
      <c r="Y17" s="35">
        <v>12446766.970000001</v>
      </c>
      <c r="Z17" s="30">
        <v>41766</v>
      </c>
      <c r="AA17" s="36">
        <v>4648</v>
      </c>
      <c r="AB17" s="23"/>
    </row>
    <row r="18" spans="2:28" ht="96.75" customHeight="1">
      <c r="B18" s="22">
        <f t="shared" si="4"/>
        <v>14</v>
      </c>
      <c r="C18" s="11" t="s">
        <v>234</v>
      </c>
      <c r="D18" s="25" t="s">
        <v>64</v>
      </c>
      <c r="E18" s="25"/>
      <c r="F18" s="26" t="s">
        <v>248</v>
      </c>
      <c r="G18" s="11" t="s">
        <v>103</v>
      </c>
      <c r="H18" s="11" t="s">
        <v>51</v>
      </c>
      <c r="I18" s="11" t="s">
        <v>93</v>
      </c>
      <c r="J18" s="27">
        <v>801.22</v>
      </c>
      <c r="K18" s="25">
        <v>41747</v>
      </c>
      <c r="L18" s="11" t="s">
        <v>114</v>
      </c>
      <c r="M18" s="11" t="s">
        <v>47</v>
      </c>
      <c r="N18" s="11" t="s">
        <v>52</v>
      </c>
      <c r="O18" s="11" t="s">
        <v>73</v>
      </c>
      <c r="P18" s="40">
        <v>345399</v>
      </c>
      <c r="Q18" s="28">
        <f t="shared" si="0"/>
        <v>38354210.2368</v>
      </c>
      <c r="R18" s="29" t="s">
        <v>32</v>
      </c>
      <c r="S18" s="7">
        <v>111.0432</v>
      </c>
      <c r="T18" s="30">
        <f t="shared" si="1"/>
        <v>41836</v>
      </c>
      <c r="U18" s="14" t="s">
        <v>38</v>
      </c>
      <c r="V18" s="31">
        <f t="shared" si="2"/>
        <v>46025.052284159996</v>
      </c>
      <c r="W18" s="23">
        <v>155.72999999999999</v>
      </c>
      <c r="X18" s="28">
        <f t="shared" si="3"/>
        <v>7167481.3922122354</v>
      </c>
      <c r="Y18" s="32">
        <v>0</v>
      </c>
      <c r="Z18" s="23"/>
      <c r="AA18" s="23"/>
      <c r="AB18" s="11" t="s">
        <v>249</v>
      </c>
    </row>
    <row r="19" spans="2:28" ht="30" customHeight="1">
      <c r="B19" s="22">
        <f t="shared" si="4"/>
        <v>15</v>
      </c>
      <c r="C19" s="11" t="s">
        <v>235</v>
      </c>
      <c r="D19" s="24" t="s">
        <v>64</v>
      </c>
      <c r="E19" s="25"/>
      <c r="F19" s="34" t="s">
        <v>215</v>
      </c>
      <c r="G19" s="11" t="s">
        <v>90</v>
      </c>
      <c r="H19" s="11" t="s">
        <v>46</v>
      </c>
      <c r="I19" s="11" t="s">
        <v>93</v>
      </c>
      <c r="J19" s="27">
        <v>801.22</v>
      </c>
      <c r="K19" s="25">
        <v>41747</v>
      </c>
      <c r="L19" s="11" t="s">
        <v>114</v>
      </c>
      <c r="M19" s="11" t="s">
        <v>47</v>
      </c>
      <c r="N19" s="11" t="s">
        <v>52</v>
      </c>
      <c r="O19" s="14" t="s">
        <v>73</v>
      </c>
      <c r="P19" s="40">
        <v>80000</v>
      </c>
      <c r="Q19" s="28">
        <f t="shared" si="0"/>
        <v>8883456</v>
      </c>
      <c r="R19" s="29" t="s">
        <v>32</v>
      </c>
      <c r="S19" s="7">
        <v>111.0432</v>
      </c>
      <c r="T19" s="30">
        <f t="shared" si="1"/>
        <v>41836</v>
      </c>
      <c r="U19" s="14" t="s">
        <v>38</v>
      </c>
      <c r="V19" s="31">
        <f t="shared" si="2"/>
        <v>10660.147199999999</v>
      </c>
      <c r="W19" s="23">
        <v>155.72999999999999</v>
      </c>
      <c r="X19" s="28">
        <f t="shared" si="3"/>
        <v>1660104.7234559997</v>
      </c>
      <c r="Y19" s="32">
        <v>0</v>
      </c>
      <c r="Z19" s="23"/>
      <c r="AA19" s="23"/>
      <c r="AB19" s="23"/>
    </row>
    <row r="20" spans="2:28" ht="30" customHeight="1">
      <c r="B20" s="22">
        <f t="shared" si="4"/>
        <v>16</v>
      </c>
      <c r="C20" s="11" t="s">
        <v>236</v>
      </c>
      <c r="D20" s="24" t="s">
        <v>64</v>
      </c>
      <c r="E20" s="25"/>
      <c r="F20" s="34" t="s">
        <v>216</v>
      </c>
      <c r="G20" s="11" t="s">
        <v>109</v>
      </c>
      <c r="H20" s="11" t="s">
        <v>58</v>
      </c>
      <c r="I20" s="11" t="s">
        <v>93</v>
      </c>
      <c r="J20" s="27">
        <v>801.22</v>
      </c>
      <c r="K20" s="25">
        <v>41747</v>
      </c>
      <c r="L20" s="11" t="s">
        <v>114</v>
      </c>
      <c r="M20" s="11" t="s">
        <v>47</v>
      </c>
      <c r="N20" s="11" t="s">
        <v>52</v>
      </c>
      <c r="O20" s="14" t="s">
        <v>73</v>
      </c>
      <c r="P20" s="40">
        <v>304000</v>
      </c>
      <c r="Q20" s="28">
        <f t="shared" si="0"/>
        <v>33768624</v>
      </c>
      <c r="R20" s="29" t="s">
        <v>32</v>
      </c>
      <c r="S20" s="8">
        <v>111.081</v>
      </c>
      <c r="T20" s="30">
        <f t="shared" si="1"/>
        <v>41836</v>
      </c>
      <c r="U20" s="14" t="s">
        <v>38</v>
      </c>
      <c r="V20" s="31">
        <f t="shared" si="2"/>
        <v>40522.3488</v>
      </c>
      <c r="W20" s="23">
        <v>155.72999999999999</v>
      </c>
      <c r="X20" s="28">
        <f t="shared" si="3"/>
        <v>6310545.3786239997</v>
      </c>
      <c r="Y20" s="32">
        <v>0</v>
      </c>
      <c r="Z20" s="23"/>
      <c r="AA20" s="23"/>
      <c r="AB20" s="23"/>
    </row>
    <row r="21" spans="2:28" ht="30" customHeight="1">
      <c r="B21" s="22">
        <f t="shared" si="4"/>
        <v>17</v>
      </c>
      <c r="C21" s="11" t="s">
        <v>237</v>
      </c>
      <c r="D21" s="11" t="s">
        <v>335</v>
      </c>
      <c r="E21" s="25">
        <v>41820</v>
      </c>
      <c r="F21" s="34" t="s">
        <v>217</v>
      </c>
      <c r="G21" s="11" t="s">
        <v>39</v>
      </c>
      <c r="H21" s="11" t="s">
        <v>79</v>
      </c>
      <c r="I21" s="11" t="s">
        <v>93</v>
      </c>
      <c r="J21" s="27">
        <v>801.22</v>
      </c>
      <c r="K21" s="25">
        <v>41747</v>
      </c>
      <c r="L21" s="11" t="s">
        <v>114</v>
      </c>
      <c r="M21" s="11" t="s">
        <v>47</v>
      </c>
      <c r="N21" s="11" t="s">
        <v>52</v>
      </c>
      <c r="O21" s="14" t="s">
        <v>73</v>
      </c>
      <c r="P21" s="40">
        <v>25000</v>
      </c>
      <c r="Q21" s="28">
        <f t="shared" si="0"/>
        <v>2778600</v>
      </c>
      <c r="R21" s="29" t="s">
        <v>32</v>
      </c>
      <c r="S21" s="8">
        <v>111.14400000000001</v>
      </c>
      <c r="T21" s="30">
        <f t="shared" si="1"/>
        <v>41836</v>
      </c>
      <c r="U21" s="14" t="s">
        <v>39</v>
      </c>
      <c r="V21" s="31">
        <f t="shared" si="2"/>
        <v>3334.3199999999997</v>
      </c>
      <c r="W21" s="23">
        <v>155.72999999999999</v>
      </c>
      <c r="X21" s="28">
        <f t="shared" si="3"/>
        <v>519253.6535999999</v>
      </c>
      <c r="Y21" s="35">
        <v>519253.65</v>
      </c>
      <c r="Z21" s="30">
        <v>41820</v>
      </c>
      <c r="AA21" s="36">
        <v>3597</v>
      </c>
      <c r="AB21" s="23"/>
    </row>
    <row r="22" spans="2:28" ht="30" customHeight="1">
      <c r="B22" s="22">
        <f t="shared" ref="B22:B69" si="7">B21+1</f>
        <v>18</v>
      </c>
      <c r="C22" s="11" t="s">
        <v>238</v>
      </c>
      <c r="D22" s="11" t="s">
        <v>336</v>
      </c>
      <c r="E22" s="25">
        <v>41820</v>
      </c>
      <c r="F22" s="34" t="s">
        <v>218</v>
      </c>
      <c r="G22" s="11" t="s">
        <v>121</v>
      </c>
      <c r="H22" s="11" t="s">
        <v>79</v>
      </c>
      <c r="I22" s="11" t="s">
        <v>93</v>
      </c>
      <c r="J22" s="27">
        <v>801.22</v>
      </c>
      <c r="K22" s="25">
        <v>41747</v>
      </c>
      <c r="L22" s="11" t="s">
        <v>114</v>
      </c>
      <c r="M22" s="11" t="s">
        <v>47</v>
      </c>
      <c r="N22" s="11" t="s">
        <v>52</v>
      </c>
      <c r="O22" s="14" t="s">
        <v>73</v>
      </c>
      <c r="P22" s="40">
        <v>37000</v>
      </c>
      <c r="Q22" s="28">
        <f t="shared" si="0"/>
        <v>4112328</v>
      </c>
      <c r="R22" s="29" t="s">
        <v>32</v>
      </c>
      <c r="S22" s="8">
        <v>111.14400000000001</v>
      </c>
      <c r="T22" s="30">
        <f t="shared" ref="T22:T69" si="8">SUM(K22)+89</f>
        <v>41836</v>
      </c>
      <c r="U22" s="14" t="s">
        <v>39</v>
      </c>
      <c r="V22" s="31">
        <f t="shared" si="2"/>
        <v>4934.7936</v>
      </c>
      <c r="W22" s="23">
        <v>155.72999999999999</v>
      </c>
      <c r="X22" s="28">
        <f t="shared" si="3"/>
        <v>768495.40732799994</v>
      </c>
      <c r="Y22" s="35">
        <v>768495.41</v>
      </c>
      <c r="Z22" s="30">
        <v>41820</v>
      </c>
      <c r="AA22" s="36">
        <v>3599</v>
      </c>
      <c r="AB22" s="23"/>
    </row>
    <row r="23" spans="2:28" ht="30" customHeight="1">
      <c r="B23" s="22">
        <f t="shared" si="7"/>
        <v>19</v>
      </c>
      <c r="C23" s="11" t="s">
        <v>239</v>
      </c>
      <c r="D23" s="37" t="s">
        <v>326</v>
      </c>
      <c r="E23" s="25">
        <v>41801</v>
      </c>
      <c r="F23" s="26" t="s">
        <v>324</v>
      </c>
      <c r="G23" s="11" t="s">
        <v>91</v>
      </c>
      <c r="H23" s="11" t="s">
        <v>74</v>
      </c>
      <c r="I23" s="11" t="s">
        <v>93</v>
      </c>
      <c r="J23" s="27">
        <v>801.22</v>
      </c>
      <c r="K23" s="25">
        <v>41747</v>
      </c>
      <c r="L23" s="11" t="s">
        <v>114</v>
      </c>
      <c r="M23" s="11" t="s">
        <v>47</v>
      </c>
      <c r="N23" s="11" t="s">
        <v>52</v>
      </c>
      <c r="O23" s="14" t="s">
        <v>73</v>
      </c>
      <c r="P23" s="40">
        <v>178000</v>
      </c>
      <c r="Q23" s="28">
        <f t="shared" si="0"/>
        <v>19514496</v>
      </c>
      <c r="R23" s="29" t="s">
        <v>32</v>
      </c>
      <c r="S23" s="8">
        <v>109.63200000000001</v>
      </c>
      <c r="T23" s="30">
        <f>SUM(K23)+89</f>
        <v>41836</v>
      </c>
      <c r="U23" s="11" t="s">
        <v>101</v>
      </c>
      <c r="V23" s="31">
        <f t="shared" ref="V23" si="9">SUM(Q23*0.12%)</f>
        <v>23417.395199999999</v>
      </c>
      <c r="W23" s="23">
        <v>155.72999999999999</v>
      </c>
      <c r="X23" s="28">
        <f t="shared" si="3"/>
        <v>3646790.9544959995</v>
      </c>
      <c r="Y23" s="35">
        <v>3646790.95</v>
      </c>
      <c r="Z23" s="30">
        <v>41800</v>
      </c>
      <c r="AA23" s="36">
        <v>29699</v>
      </c>
      <c r="AB23" s="23"/>
    </row>
    <row r="24" spans="2:28" ht="30" customHeight="1">
      <c r="B24" s="22">
        <f t="shared" si="7"/>
        <v>20</v>
      </c>
      <c r="C24" s="11" t="s">
        <v>245</v>
      </c>
      <c r="D24" s="41" t="s">
        <v>252</v>
      </c>
      <c r="E24" s="39">
        <v>41771</v>
      </c>
      <c r="F24" s="34" t="s">
        <v>219</v>
      </c>
      <c r="G24" s="11" t="s">
        <v>50</v>
      </c>
      <c r="H24" s="11" t="s">
        <v>72</v>
      </c>
      <c r="I24" s="11" t="s">
        <v>54</v>
      </c>
      <c r="J24" s="27">
        <v>801.22</v>
      </c>
      <c r="K24" s="25">
        <v>41749</v>
      </c>
      <c r="L24" s="11" t="s">
        <v>129</v>
      </c>
      <c r="M24" s="11" t="s">
        <v>55</v>
      </c>
      <c r="N24" s="11" t="s">
        <v>69</v>
      </c>
      <c r="O24" s="14" t="s">
        <v>92</v>
      </c>
      <c r="P24" s="13">
        <v>153776</v>
      </c>
      <c r="Q24" s="28">
        <f t="shared" si="0"/>
        <v>16977331.728</v>
      </c>
      <c r="R24" s="29" t="s">
        <v>32</v>
      </c>
      <c r="S24" s="38">
        <v>110.40300000000001</v>
      </c>
      <c r="T24" s="30">
        <f t="shared" si="8"/>
        <v>41838</v>
      </c>
      <c r="U24" s="11" t="s">
        <v>50</v>
      </c>
      <c r="V24" s="31">
        <f t="shared" si="2"/>
        <v>20372.798073599999</v>
      </c>
      <c r="W24" s="23">
        <v>155.72999999999999</v>
      </c>
      <c r="X24" s="28">
        <f t="shared" si="3"/>
        <v>3172655.8440017276</v>
      </c>
      <c r="Y24" s="35">
        <v>3172655.84</v>
      </c>
      <c r="Z24" s="30">
        <v>41765</v>
      </c>
      <c r="AA24" s="42">
        <v>15442</v>
      </c>
      <c r="AB24" s="23"/>
    </row>
    <row r="25" spans="2:28" ht="30" customHeight="1">
      <c r="B25" s="22">
        <f t="shared" si="7"/>
        <v>21</v>
      </c>
      <c r="C25" s="11" t="s">
        <v>246</v>
      </c>
      <c r="D25" s="24" t="s">
        <v>64</v>
      </c>
      <c r="E25" s="25"/>
      <c r="F25" s="34" t="s">
        <v>257</v>
      </c>
      <c r="G25" s="11" t="s">
        <v>109</v>
      </c>
      <c r="H25" s="11" t="s">
        <v>34</v>
      </c>
      <c r="I25" s="11" t="s">
        <v>35</v>
      </c>
      <c r="J25" s="27">
        <v>801.22</v>
      </c>
      <c r="K25" s="25">
        <v>41750</v>
      </c>
      <c r="L25" s="11" t="s">
        <v>77</v>
      </c>
      <c r="M25" s="11" t="s">
        <v>36</v>
      </c>
      <c r="N25" s="11" t="s">
        <v>37</v>
      </c>
      <c r="O25" s="14" t="s">
        <v>59</v>
      </c>
      <c r="P25" s="40">
        <v>950596</v>
      </c>
      <c r="Q25" s="28">
        <f t="shared" si="0"/>
        <v>104259277.96880001</v>
      </c>
      <c r="R25" s="29" t="s">
        <v>32</v>
      </c>
      <c r="S25" s="38">
        <v>109.6778</v>
      </c>
      <c r="T25" s="30">
        <f t="shared" si="8"/>
        <v>41839</v>
      </c>
      <c r="U25" s="14" t="s">
        <v>38</v>
      </c>
      <c r="V25" s="31">
        <f t="shared" si="2"/>
        <v>125111.13356256</v>
      </c>
      <c r="W25" s="23">
        <v>155.72999999999999</v>
      </c>
      <c r="X25" s="28">
        <f t="shared" si="3"/>
        <v>19483556.829697467</v>
      </c>
      <c r="Y25" s="32">
        <v>0</v>
      </c>
      <c r="Z25" s="23"/>
      <c r="AA25" s="23"/>
      <c r="AB25" s="23"/>
    </row>
    <row r="26" spans="2:28" ht="30" customHeight="1">
      <c r="B26" s="22">
        <f t="shared" si="7"/>
        <v>22</v>
      </c>
      <c r="C26" s="11" t="s">
        <v>243</v>
      </c>
      <c r="D26" s="25" t="s">
        <v>331</v>
      </c>
      <c r="E26" s="25">
        <v>41820</v>
      </c>
      <c r="F26" s="34" t="s">
        <v>220</v>
      </c>
      <c r="G26" s="11" t="s">
        <v>90</v>
      </c>
      <c r="H26" s="11" t="s">
        <v>28</v>
      </c>
      <c r="I26" s="11" t="s">
        <v>29</v>
      </c>
      <c r="J26" s="27">
        <v>801.22</v>
      </c>
      <c r="K26" s="25">
        <v>41754</v>
      </c>
      <c r="L26" s="11" t="s">
        <v>87</v>
      </c>
      <c r="M26" s="11" t="s">
        <v>30</v>
      </c>
      <c r="N26" s="11" t="s">
        <v>52</v>
      </c>
      <c r="O26" s="14" t="s">
        <v>53</v>
      </c>
      <c r="P26" s="40">
        <v>949194</v>
      </c>
      <c r="Q26" s="28">
        <f t="shared" si="0"/>
        <v>103501062.954</v>
      </c>
      <c r="R26" s="29" t="s">
        <v>32</v>
      </c>
      <c r="S26" s="38">
        <v>109.041</v>
      </c>
      <c r="T26" s="30">
        <f t="shared" si="8"/>
        <v>41843</v>
      </c>
      <c r="U26" s="11" t="s">
        <v>27</v>
      </c>
      <c r="V26" s="31">
        <f t="shared" si="2"/>
        <v>124201.27554479998</v>
      </c>
      <c r="W26" s="23">
        <v>155.72999999999999</v>
      </c>
      <c r="X26" s="28">
        <f t="shared" si="3"/>
        <v>19341864.6405917</v>
      </c>
      <c r="Y26" s="35">
        <v>19341865.329999998</v>
      </c>
      <c r="Z26" s="30">
        <v>41816</v>
      </c>
      <c r="AA26" s="36">
        <v>1518</v>
      </c>
      <c r="AB26" s="23"/>
    </row>
    <row r="27" spans="2:28" ht="30" customHeight="1">
      <c r="B27" s="43">
        <f>B26+1</f>
        <v>23</v>
      </c>
      <c r="C27" s="11" t="s">
        <v>240</v>
      </c>
      <c r="D27" s="44" t="s">
        <v>204</v>
      </c>
      <c r="E27" s="44">
        <v>41759</v>
      </c>
      <c r="F27" s="45" t="s">
        <v>221</v>
      </c>
      <c r="G27" s="41" t="s">
        <v>132</v>
      </c>
      <c r="H27" s="41" t="s">
        <v>43</v>
      </c>
      <c r="I27" s="41" t="s">
        <v>93</v>
      </c>
      <c r="J27" s="46">
        <v>801.22</v>
      </c>
      <c r="K27" s="44">
        <v>41758</v>
      </c>
      <c r="L27" s="41" t="s">
        <v>105</v>
      </c>
      <c r="M27" s="41" t="s">
        <v>47</v>
      </c>
      <c r="N27" s="41" t="s">
        <v>37</v>
      </c>
      <c r="O27" s="47" t="s">
        <v>96</v>
      </c>
      <c r="P27" s="48">
        <v>949719</v>
      </c>
      <c r="Q27" s="49">
        <f t="shared" si="0"/>
        <v>105507132.867</v>
      </c>
      <c r="R27" s="50" t="s">
        <v>32</v>
      </c>
      <c r="S27" s="51">
        <v>111.093</v>
      </c>
      <c r="T27" s="52">
        <f t="shared" si="8"/>
        <v>41847</v>
      </c>
      <c r="U27" s="41" t="s">
        <v>132</v>
      </c>
      <c r="V27" s="53">
        <f t="shared" si="2"/>
        <v>126608.55944039999</v>
      </c>
      <c r="W27" s="54">
        <v>155.72999999999999</v>
      </c>
      <c r="X27" s="49">
        <f t="shared" si="3"/>
        <v>19716750.96165349</v>
      </c>
      <c r="Y27" s="55">
        <f t="shared" ref="Y27:Y36" si="10">X27</f>
        <v>19716750.96165349</v>
      </c>
      <c r="Z27" s="54"/>
      <c r="AA27" s="54"/>
      <c r="AB27" s="23"/>
    </row>
    <row r="28" spans="2:28" ht="30" customHeight="1">
      <c r="B28" s="22">
        <f t="shared" si="7"/>
        <v>24</v>
      </c>
      <c r="C28" s="11" t="s">
        <v>303</v>
      </c>
      <c r="D28" s="25" t="s">
        <v>263</v>
      </c>
      <c r="E28" s="25">
        <v>41789</v>
      </c>
      <c r="F28" s="34" t="s">
        <v>273</v>
      </c>
      <c r="G28" s="11" t="s">
        <v>132</v>
      </c>
      <c r="H28" s="11" t="s">
        <v>43</v>
      </c>
      <c r="I28" s="11" t="s">
        <v>44</v>
      </c>
      <c r="J28" s="27">
        <v>801.22</v>
      </c>
      <c r="K28" s="25">
        <v>41764</v>
      </c>
      <c r="L28" s="11" t="s">
        <v>292</v>
      </c>
      <c r="M28" s="11" t="s">
        <v>45</v>
      </c>
      <c r="N28" s="11" t="s">
        <v>76</v>
      </c>
      <c r="O28" s="14" t="s">
        <v>299</v>
      </c>
      <c r="P28" s="13">
        <v>899633</v>
      </c>
      <c r="Q28" s="28">
        <f t="shared" si="0"/>
        <v>100128793.0468</v>
      </c>
      <c r="R28" s="29" t="s">
        <v>32</v>
      </c>
      <c r="S28" s="7">
        <v>111.2996</v>
      </c>
      <c r="T28" s="30">
        <f t="shared" si="8"/>
        <v>41853</v>
      </c>
      <c r="U28" s="11" t="s">
        <v>132</v>
      </c>
      <c r="V28" s="31">
        <f t="shared" si="2"/>
        <v>120154.55165615999</v>
      </c>
      <c r="W28" s="23">
        <v>155.72999999999999</v>
      </c>
      <c r="X28" s="28">
        <f t="shared" si="3"/>
        <v>18711668.329413794</v>
      </c>
      <c r="Y28" s="55">
        <f t="shared" si="10"/>
        <v>18711668.329413794</v>
      </c>
      <c r="Z28" s="23"/>
      <c r="AA28" s="23"/>
      <c r="AB28" s="23"/>
    </row>
    <row r="29" spans="2:28" ht="30" customHeight="1">
      <c r="B29" s="22">
        <f t="shared" si="7"/>
        <v>25</v>
      </c>
      <c r="C29" s="11" t="s">
        <v>241</v>
      </c>
      <c r="D29" s="25" t="s">
        <v>264</v>
      </c>
      <c r="E29" s="25">
        <v>41789</v>
      </c>
      <c r="F29" s="34" t="s">
        <v>274</v>
      </c>
      <c r="G29" s="11" t="s">
        <v>132</v>
      </c>
      <c r="H29" s="11" t="s">
        <v>43</v>
      </c>
      <c r="I29" s="11" t="s">
        <v>93</v>
      </c>
      <c r="J29" s="27">
        <v>801.22</v>
      </c>
      <c r="K29" s="25">
        <v>41766</v>
      </c>
      <c r="L29" s="11" t="s">
        <v>100</v>
      </c>
      <c r="M29" s="11" t="s">
        <v>47</v>
      </c>
      <c r="N29" s="11" t="s">
        <v>135</v>
      </c>
      <c r="O29" s="14" t="s">
        <v>136</v>
      </c>
      <c r="P29" s="13">
        <v>46000</v>
      </c>
      <c r="Q29" s="28">
        <f t="shared" si="0"/>
        <v>5082632</v>
      </c>
      <c r="R29" s="29" t="s">
        <v>32</v>
      </c>
      <c r="S29" s="7">
        <v>110.492</v>
      </c>
      <c r="T29" s="30">
        <f t="shared" si="8"/>
        <v>41855</v>
      </c>
      <c r="U29" s="11" t="s">
        <v>132</v>
      </c>
      <c r="V29" s="31">
        <f t="shared" si="2"/>
        <v>6099.1583999999993</v>
      </c>
      <c r="W29" s="23">
        <v>155.72999999999999</v>
      </c>
      <c r="X29" s="28">
        <f t="shared" si="3"/>
        <v>949821.93763199984</v>
      </c>
      <c r="Y29" s="55">
        <f t="shared" si="10"/>
        <v>949821.93763199984</v>
      </c>
      <c r="Z29" s="23"/>
      <c r="AA29" s="23"/>
      <c r="AB29" s="23"/>
    </row>
    <row r="30" spans="2:28" ht="30" customHeight="1">
      <c r="B30" s="22">
        <f t="shared" si="7"/>
        <v>26</v>
      </c>
      <c r="C30" s="11" t="s">
        <v>305</v>
      </c>
      <c r="D30" s="25" t="s">
        <v>265</v>
      </c>
      <c r="E30" s="25">
        <v>41789</v>
      </c>
      <c r="F30" s="34" t="s">
        <v>275</v>
      </c>
      <c r="G30" s="11" t="s">
        <v>132</v>
      </c>
      <c r="H30" s="11" t="s">
        <v>43</v>
      </c>
      <c r="I30" s="11" t="s">
        <v>93</v>
      </c>
      <c r="J30" s="27">
        <v>801.22</v>
      </c>
      <c r="K30" s="25">
        <v>41766</v>
      </c>
      <c r="L30" s="11" t="s">
        <v>100</v>
      </c>
      <c r="M30" s="11" t="s">
        <v>47</v>
      </c>
      <c r="N30" s="11" t="s">
        <v>135</v>
      </c>
      <c r="O30" s="14" t="s">
        <v>136</v>
      </c>
      <c r="P30" s="13">
        <v>42000</v>
      </c>
      <c r="Q30" s="28">
        <f t="shared" si="0"/>
        <v>4640664</v>
      </c>
      <c r="R30" s="29" t="s">
        <v>32</v>
      </c>
      <c r="S30" s="7">
        <v>110.492</v>
      </c>
      <c r="T30" s="30">
        <f t="shared" si="8"/>
        <v>41855</v>
      </c>
      <c r="U30" s="11" t="s">
        <v>132</v>
      </c>
      <c r="V30" s="31">
        <f t="shared" si="2"/>
        <v>5568.7967999999992</v>
      </c>
      <c r="W30" s="23">
        <v>155.72999999999999</v>
      </c>
      <c r="X30" s="28">
        <f t="shared" si="3"/>
        <v>867228.72566399979</v>
      </c>
      <c r="Y30" s="55">
        <f t="shared" si="10"/>
        <v>867228.72566399979</v>
      </c>
      <c r="Z30" s="23"/>
      <c r="AA30" s="23"/>
      <c r="AB30" s="23"/>
    </row>
    <row r="31" spans="2:28" ht="30" customHeight="1">
      <c r="B31" s="22">
        <f t="shared" si="7"/>
        <v>27</v>
      </c>
      <c r="C31" s="11" t="s">
        <v>306</v>
      </c>
      <c r="D31" s="25" t="s">
        <v>266</v>
      </c>
      <c r="E31" s="25">
        <v>41789</v>
      </c>
      <c r="F31" s="34" t="s">
        <v>276</v>
      </c>
      <c r="G31" s="11" t="s">
        <v>132</v>
      </c>
      <c r="H31" s="11" t="s">
        <v>43</v>
      </c>
      <c r="I31" s="11" t="s">
        <v>93</v>
      </c>
      <c r="J31" s="27">
        <v>801.22</v>
      </c>
      <c r="K31" s="25">
        <v>41766</v>
      </c>
      <c r="L31" s="11" t="s">
        <v>100</v>
      </c>
      <c r="M31" s="11" t="s">
        <v>47</v>
      </c>
      <c r="N31" s="11" t="s">
        <v>135</v>
      </c>
      <c r="O31" s="14" t="s">
        <v>136</v>
      </c>
      <c r="P31" s="13">
        <v>78000</v>
      </c>
      <c r="Q31" s="28">
        <f t="shared" si="0"/>
        <v>8618376</v>
      </c>
      <c r="R31" s="29" t="s">
        <v>32</v>
      </c>
      <c r="S31" s="7">
        <v>110.492</v>
      </c>
      <c r="T31" s="30">
        <f t="shared" si="8"/>
        <v>41855</v>
      </c>
      <c r="U31" s="11" t="s">
        <v>132</v>
      </c>
      <c r="V31" s="31">
        <f t="shared" si="2"/>
        <v>10342.0512</v>
      </c>
      <c r="W31" s="23">
        <v>155.72999999999999</v>
      </c>
      <c r="X31" s="28">
        <f t="shared" si="3"/>
        <v>1610567.633376</v>
      </c>
      <c r="Y31" s="55">
        <f t="shared" si="10"/>
        <v>1610567.633376</v>
      </c>
      <c r="Z31" s="23"/>
      <c r="AA31" s="23"/>
      <c r="AB31" s="23"/>
    </row>
    <row r="32" spans="2:28" ht="30" customHeight="1">
      <c r="B32" s="22">
        <f t="shared" si="7"/>
        <v>28</v>
      </c>
      <c r="C32" s="11" t="s">
        <v>307</v>
      </c>
      <c r="D32" s="25" t="s">
        <v>267</v>
      </c>
      <c r="E32" s="25">
        <v>41789</v>
      </c>
      <c r="F32" s="34" t="s">
        <v>277</v>
      </c>
      <c r="G32" s="11" t="s">
        <v>132</v>
      </c>
      <c r="H32" s="11" t="s">
        <v>43</v>
      </c>
      <c r="I32" s="11" t="s">
        <v>93</v>
      </c>
      <c r="J32" s="27">
        <v>801.22</v>
      </c>
      <c r="K32" s="25">
        <v>41766</v>
      </c>
      <c r="L32" s="11" t="s">
        <v>100</v>
      </c>
      <c r="M32" s="11" t="s">
        <v>47</v>
      </c>
      <c r="N32" s="11" t="s">
        <v>135</v>
      </c>
      <c r="O32" s="14" t="s">
        <v>136</v>
      </c>
      <c r="P32" s="13">
        <v>83641</v>
      </c>
      <c r="Q32" s="28">
        <f t="shared" si="0"/>
        <v>9241661.3719999995</v>
      </c>
      <c r="R32" s="29" t="s">
        <v>32</v>
      </c>
      <c r="S32" s="7">
        <v>110.492</v>
      </c>
      <c r="T32" s="30">
        <f t="shared" si="8"/>
        <v>41855</v>
      </c>
      <c r="U32" s="11" t="s">
        <v>132</v>
      </c>
      <c r="V32" s="31">
        <f t="shared" si="2"/>
        <v>11089.993646399998</v>
      </c>
      <c r="W32" s="23">
        <v>155.72999999999999</v>
      </c>
      <c r="X32" s="28">
        <f t="shared" si="3"/>
        <v>1727044.7105538717</v>
      </c>
      <c r="Y32" s="55">
        <f t="shared" si="10"/>
        <v>1727044.7105538717</v>
      </c>
      <c r="Z32" s="23"/>
      <c r="AA32" s="23"/>
      <c r="AB32" s="23"/>
    </row>
    <row r="33" spans="2:28" ht="30" customHeight="1">
      <c r="B33" s="22">
        <f t="shared" si="7"/>
        <v>29</v>
      </c>
      <c r="C33" s="11" t="s">
        <v>318</v>
      </c>
      <c r="D33" s="24" t="s">
        <v>328</v>
      </c>
      <c r="E33" s="25">
        <v>41806</v>
      </c>
      <c r="F33" s="26" t="s">
        <v>322</v>
      </c>
      <c r="G33" s="11" t="s">
        <v>103</v>
      </c>
      <c r="H33" s="11" t="s">
        <v>133</v>
      </c>
      <c r="I33" s="11" t="s">
        <v>107</v>
      </c>
      <c r="J33" s="27">
        <v>801.22</v>
      </c>
      <c r="K33" s="25">
        <v>41768</v>
      </c>
      <c r="L33" s="11" t="s">
        <v>293</v>
      </c>
      <c r="M33" s="11" t="s">
        <v>108</v>
      </c>
      <c r="N33" s="11" t="s">
        <v>62</v>
      </c>
      <c r="O33" s="14" t="s">
        <v>300</v>
      </c>
      <c r="P33" s="13">
        <v>631195</v>
      </c>
      <c r="Q33" s="28">
        <f t="shared" si="0"/>
        <v>66642830.489999995</v>
      </c>
      <c r="R33" s="29" t="s">
        <v>32</v>
      </c>
      <c r="S33" s="8">
        <v>105.58199999999999</v>
      </c>
      <c r="T33" s="30">
        <f t="shared" si="8"/>
        <v>41857</v>
      </c>
      <c r="U33" s="11" t="s">
        <v>109</v>
      </c>
      <c r="V33" s="31">
        <f t="shared" si="2"/>
        <v>79971.396587999989</v>
      </c>
      <c r="W33" s="23">
        <v>155.72999999999999</v>
      </c>
      <c r="X33" s="28">
        <f t="shared" si="3"/>
        <v>12453945.590649238</v>
      </c>
      <c r="Y33" s="35">
        <v>12453946.119999999</v>
      </c>
      <c r="Z33" s="30">
        <v>41803</v>
      </c>
      <c r="AA33" s="36">
        <v>4132</v>
      </c>
      <c r="AB33" s="23"/>
    </row>
    <row r="34" spans="2:28" ht="30" customHeight="1">
      <c r="B34" s="22">
        <f t="shared" si="7"/>
        <v>30</v>
      </c>
      <c r="C34" s="11" t="s">
        <v>319</v>
      </c>
      <c r="D34" s="25" t="s">
        <v>268</v>
      </c>
      <c r="E34" s="25">
        <v>41789</v>
      </c>
      <c r="F34" s="12" t="s">
        <v>278</v>
      </c>
      <c r="G34" s="11" t="s">
        <v>132</v>
      </c>
      <c r="H34" s="11" t="s">
        <v>43</v>
      </c>
      <c r="I34" s="11" t="s">
        <v>35</v>
      </c>
      <c r="J34" s="27">
        <v>801.22</v>
      </c>
      <c r="K34" s="25">
        <v>41770</v>
      </c>
      <c r="L34" s="11" t="s">
        <v>70</v>
      </c>
      <c r="M34" s="11" t="s">
        <v>36</v>
      </c>
      <c r="N34" s="11" t="s">
        <v>298</v>
      </c>
      <c r="O34" s="14" t="s">
        <v>49</v>
      </c>
      <c r="P34" s="13">
        <v>950065</v>
      </c>
      <c r="Q34" s="28">
        <f t="shared" si="0"/>
        <v>105371709.14999999</v>
      </c>
      <c r="R34" s="29" t="s">
        <v>32</v>
      </c>
      <c r="S34" s="7">
        <v>110.91</v>
      </c>
      <c r="T34" s="30">
        <f t="shared" si="8"/>
        <v>41859</v>
      </c>
      <c r="U34" s="11" t="s">
        <v>132</v>
      </c>
      <c r="V34" s="31">
        <f t="shared" ref="V34:V69" si="11">SUM(Q34*0.12%)</f>
        <v>126446.05097999999</v>
      </c>
      <c r="W34" s="23">
        <v>155.72999999999999</v>
      </c>
      <c r="X34" s="28">
        <f t="shared" si="3"/>
        <v>19691443.519115396</v>
      </c>
      <c r="Y34" s="55">
        <f t="shared" si="10"/>
        <v>19691443.519115396</v>
      </c>
      <c r="Z34" s="23"/>
      <c r="AA34" s="23"/>
      <c r="AB34" s="23"/>
    </row>
    <row r="35" spans="2:28" ht="30" customHeight="1">
      <c r="B35" s="22">
        <f t="shared" si="7"/>
        <v>31</v>
      </c>
      <c r="C35" s="11" t="s">
        <v>320</v>
      </c>
      <c r="D35" s="25" t="s">
        <v>269</v>
      </c>
      <c r="E35" s="25">
        <v>41789</v>
      </c>
      <c r="F35" s="12" t="s">
        <v>279</v>
      </c>
      <c r="G35" s="11" t="s">
        <v>132</v>
      </c>
      <c r="H35" s="11" t="s">
        <v>43</v>
      </c>
      <c r="I35" s="11" t="s">
        <v>29</v>
      </c>
      <c r="J35" s="27">
        <v>801.22</v>
      </c>
      <c r="K35" s="25">
        <v>41776</v>
      </c>
      <c r="L35" s="11" t="s">
        <v>294</v>
      </c>
      <c r="M35" s="11" t="s">
        <v>30</v>
      </c>
      <c r="N35" s="11" t="s">
        <v>52</v>
      </c>
      <c r="O35" s="14" t="s">
        <v>53</v>
      </c>
      <c r="P35" s="13">
        <v>548502</v>
      </c>
      <c r="Q35" s="28">
        <f t="shared" si="0"/>
        <v>60799801.193999998</v>
      </c>
      <c r="R35" s="29" t="s">
        <v>32</v>
      </c>
      <c r="S35" s="38">
        <v>110.84699999999999</v>
      </c>
      <c r="T35" s="30">
        <f t="shared" si="8"/>
        <v>41865</v>
      </c>
      <c r="U35" s="11" t="s">
        <v>132</v>
      </c>
      <c r="V35" s="31">
        <f t="shared" si="11"/>
        <v>72959.761432799991</v>
      </c>
      <c r="W35" s="23">
        <v>155.72999999999999</v>
      </c>
      <c r="X35" s="28">
        <f t="shared" si="3"/>
        <v>11362023.647929942</v>
      </c>
      <c r="Y35" s="55">
        <f t="shared" si="10"/>
        <v>11362023.647929942</v>
      </c>
      <c r="Z35" s="23"/>
      <c r="AA35" s="23"/>
      <c r="AB35" s="23"/>
    </row>
    <row r="36" spans="2:28" ht="30" customHeight="1">
      <c r="B36" s="22">
        <f t="shared" si="7"/>
        <v>32</v>
      </c>
      <c r="C36" s="11" t="s">
        <v>321</v>
      </c>
      <c r="D36" s="25" t="s">
        <v>270</v>
      </c>
      <c r="E36" s="25">
        <v>41789</v>
      </c>
      <c r="F36" s="12" t="s">
        <v>280</v>
      </c>
      <c r="G36" s="11" t="s">
        <v>132</v>
      </c>
      <c r="H36" s="11" t="s">
        <v>43</v>
      </c>
      <c r="I36" s="11" t="s">
        <v>29</v>
      </c>
      <c r="J36" s="27">
        <v>801.22</v>
      </c>
      <c r="K36" s="25">
        <v>41776</v>
      </c>
      <c r="L36" s="11" t="s">
        <v>294</v>
      </c>
      <c r="M36" s="11" t="s">
        <v>30</v>
      </c>
      <c r="N36" s="11" t="s">
        <v>52</v>
      </c>
      <c r="O36" s="14" t="s">
        <v>53</v>
      </c>
      <c r="P36" s="13">
        <v>400000</v>
      </c>
      <c r="Q36" s="28">
        <f t="shared" si="0"/>
        <v>44338800</v>
      </c>
      <c r="R36" s="29" t="s">
        <v>32</v>
      </c>
      <c r="S36" s="38">
        <v>110.84699999999999</v>
      </c>
      <c r="T36" s="30">
        <f t="shared" si="8"/>
        <v>41865</v>
      </c>
      <c r="U36" s="11" t="s">
        <v>132</v>
      </c>
      <c r="V36" s="31">
        <f t="shared" si="11"/>
        <v>53206.559999999998</v>
      </c>
      <c r="W36" s="23">
        <v>155.72999999999999</v>
      </c>
      <c r="X36" s="28">
        <f t="shared" ref="X36:X69" si="12">SUM(V36*W36)</f>
        <v>8285857.5887999991</v>
      </c>
      <c r="Y36" s="55">
        <f t="shared" si="10"/>
        <v>8285857.5887999991</v>
      </c>
      <c r="Z36" s="23"/>
      <c r="AA36" s="23"/>
      <c r="AB36" s="23"/>
    </row>
    <row r="37" spans="2:28" ht="30" customHeight="1">
      <c r="B37" s="22">
        <f t="shared" si="7"/>
        <v>33</v>
      </c>
      <c r="C37" s="11" t="s">
        <v>308</v>
      </c>
      <c r="D37" s="24" t="s">
        <v>64</v>
      </c>
      <c r="E37" s="25"/>
      <c r="F37" s="34" t="s">
        <v>281</v>
      </c>
      <c r="G37" s="11" t="s">
        <v>90</v>
      </c>
      <c r="H37" s="11" t="s">
        <v>51</v>
      </c>
      <c r="I37" s="11" t="s">
        <v>93</v>
      </c>
      <c r="J37" s="27">
        <v>801.22</v>
      </c>
      <c r="K37" s="25">
        <v>41776</v>
      </c>
      <c r="L37" s="11" t="s">
        <v>295</v>
      </c>
      <c r="M37" s="11" t="s">
        <v>47</v>
      </c>
      <c r="N37" s="11" t="s">
        <v>298</v>
      </c>
      <c r="O37" s="14" t="s">
        <v>49</v>
      </c>
      <c r="P37" s="13">
        <v>101000</v>
      </c>
      <c r="Q37" s="28">
        <f t="shared" si="0"/>
        <v>11397547</v>
      </c>
      <c r="R37" s="29" t="s">
        <v>32</v>
      </c>
      <c r="S37" s="38">
        <v>112.84699999999999</v>
      </c>
      <c r="T37" s="30">
        <f t="shared" si="8"/>
        <v>41865</v>
      </c>
      <c r="U37" s="14" t="s">
        <v>38</v>
      </c>
      <c r="V37" s="31">
        <f t="shared" si="11"/>
        <v>13677.056399999999</v>
      </c>
      <c r="W37" s="23">
        <v>155.72999999999999</v>
      </c>
      <c r="X37" s="28">
        <f t="shared" si="12"/>
        <v>2129927.9931719997</v>
      </c>
      <c r="Y37" s="32">
        <v>0</v>
      </c>
      <c r="Z37" s="23"/>
      <c r="AA37" s="23"/>
      <c r="AB37" s="23"/>
    </row>
    <row r="38" spans="2:28" ht="30" customHeight="1">
      <c r="B38" s="22">
        <f t="shared" si="7"/>
        <v>34</v>
      </c>
      <c r="C38" s="11" t="s">
        <v>309</v>
      </c>
      <c r="D38" s="24" t="s">
        <v>64</v>
      </c>
      <c r="E38" s="25"/>
      <c r="F38" s="34" t="s">
        <v>282</v>
      </c>
      <c r="G38" s="11" t="s">
        <v>90</v>
      </c>
      <c r="H38" s="11" t="s">
        <v>51</v>
      </c>
      <c r="I38" s="11" t="s">
        <v>93</v>
      </c>
      <c r="J38" s="27">
        <v>801.22</v>
      </c>
      <c r="K38" s="25">
        <v>41776</v>
      </c>
      <c r="L38" s="11" t="s">
        <v>295</v>
      </c>
      <c r="M38" s="11" t="s">
        <v>47</v>
      </c>
      <c r="N38" s="11" t="s">
        <v>298</v>
      </c>
      <c r="O38" s="14" t="s">
        <v>49</v>
      </c>
      <c r="P38" s="13">
        <v>119592</v>
      </c>
      <c r="Q38" s="28">
        <f t="shared" si="0"/>
        <v>13495598.423999999</v>
      </c>
      <c r="R38" s="29" t="s">
        <v>32</v>
      </c>
      <c r="S38" s="38">
        <v>112.84699999999999</v>
      </c>
      <c r="T38" s="30">
        <f t="shared" si="8"/>
        <v>41865</v>
      </c>
      <c r="U38" s="14" t="s">
        <v>38</v>
      </c>
      <c r="V38" s="31">
        <f t="shared" si="11"/>
        <v>16194.718108799998</v>
      </c>
      <c r="W38" s="23">
        <v>155.72999999999999</v>
      </c>
      <c r="X38" s="28">
        <f t="shared" si="12"/>
        <v>2522003.4510834236</v>
      </c>
      <c r="Y38" s="32">
        <v>0</v>
      </c>
      <c r="Z38" s="23"/>
      <c r="AA38" s="23"/>
      <c r="AB38" s="23"/>
    </row>
    <row r="39" spans="2:28" ht="30" customHeight="1">
      <c r="B39" s="22">
        <f t="shared" si="7"/>
        <v>35</v>
      </c>
      <c r="C39" s="11" t="s">
        <v>310</v>
      </c>
      <c r="D39" s="24" t="s">
        <v>64</v>
      </c>
      <c r="E39" s="25"/>
      <c r="F39" s="34" t="s">
        <v>283</v>
      </c>
      <c r="G39" s="11" t="s">
        <v>90</v>
      </c>
      <c r="H39" s="11" t="s">
        <v>46</v>
      </c>
      <c r="I39" s="11" t="s">
        <v>93</v>
      </c>
      <c r="J39" s="27">
        <v>801.22</v>
      </c>
      <c r="K39" s="25">
        <v>41776</v>
      </c>
      <c r="L39" s="11" t="s">
        <v>295</v>
      </c>
      <c r="M39" s="11" t="s">
        <v>47</v>
      </c>
      <c r="N39" s="11" t="s">
        <v>298</v>
      </c>
      <c r="O39" s="14" t="s">
        <v>49</v>
      </c>
      <c r="P39" s="13">
        <v>70000</v>
      </c>
      <c r="Q39" s="28">
        <f t="shared" si="0"/>
        <v>7899290</v>
      </c>
      <c r="R39" s="29" t="s">
        <v>32</v>
      </c>
      <c r="S39" s="38">
        <v>112.84699999999999</v>
      </c>
      <c r="T39" s="30">
        <f t="shared" si="8"/>
        <v>41865</v>
      </c>
      <c r="U39" s="14" t="s">
        <v>38</v>
      </c>
      <c r="V39" s="31">
        <f t="shared" si="11"/>
        <v>9479.1479999999992</v>
      </c>
      <c r="W39" s="23">
        <v>155.72999999999999</v>
      </c>
      <c r="X39" s="28">
        <f t="shared" si="12"/>
        <v>1476187.7180399997</v>
      </c>
      <c r="Y39" s="32">
        <v>0</v>
      </c>
      <c r="Z39" s="23"/>
      <c r="AA39" s="23"/>
      <c r="AB39" s="23"/>
    </row>
    <row r="40" spans="2:28" ht="30" customHeight="1">
      <c r="B40" s="22">
        <f t="shared" si="7"/>
        <v>36</v>
      </c>
      <c r="C40" s="11" t="s">
        <v>311</v>
      </c>
      <c r="D40" s="24" t="s">
        <v>64</v>
      </c>
      <c r="E40" s="25"/>
      <c r="F40" s="34" t="s">
        <v>284</v>
      </c>
      <c r="G40" s="11" t="s">
        <v>109</v>
      </c>
      <c r="H40" s="11" t="s">
        <v>58</v>
      </c>
      <c r="I40" s="11" t="s">
        <v>93</v>
      </c>
      <c r="J40" s="27">
        <v>801.22</v>
      </c>
      <c r="K40" s="25">
        <v>41776</v>
      </c>
      <c r="L40" s="11" t="s">
        <v>295</v>
      </c>
      <c r="M40" s="11" t="s">
        <v>47</v>
      </c>
      <c r="N40" s="11" t="s">
        <v>41</v>
      </c>
      <c r="O40" s="14" t="s">
        <v>301</v>
      </c>
      <c r="P40" s="13">
        <v>359000</v>
      </c>
      <c r="Q40" s="28">
        <f t="shared" si="0"/>
        <v>40551922</v>
      </c>
      <c r="R40" s="29" t="s">
        <v>32</v>
      </c>
      <c r="S40" s="38">
        <v>112.958</v>
      </c>
      <c r="T40" s="30">
        <f t="shared" si="8"/>
        <v>41865</v>
      </c>
      <c r="U40" s="14" t="s">
        <v>38</v>
      </c>
      <c r="V40" s="31">
        <f t="shared" si="11"/>
        <v>48662.306399999994</v>
      </c>
      <c r="W40" s="23">
        <v>155.72999999999999</v>
      </c>
      <c r="X40" s="28">
        <f t="shared" si="12"/>
        <v>7578180.9756719982</v>
      </c>
      <c r="Y40" s="32">
        <v>0</v>
      </c>
      <c r="Z40" s="23"/>
      <c r="AA40" s="23"/>
      <c r="AB40" s="23"/>
    </row>
    <row r="41" spans="2:28" ht="30" customHeight="1">
      <c r="B41" s="22">
        <f t="shared" si="7"/>
        <v>37</v>
      </c>
      <c r="C41" s="11" t="s">
        <v>312</v>
      </c>
      <c r="D41" s="24" t="s">
        <v>64</v>
      </c>
      <c r="E41" s="25"/>
      <c r="F41" s="34" t="s">
        <v>285</v>
      </c>
      <c r="G41" s="11" t="s">
        <v>39</v>
      </c>
      <c r="H41" s="11" t="s">
        <v>79</v>
      </c>
      <c r="I41" s="11" t="s">
        <v>93</v>
      </c>
      <c r="J41" s="27">
        <v>801.22</v>
      </c>
      <c r="K41" s="25">
        <v>41776</v>
      </c>
      <c r="L41" s="11" t="s">
        <v>295</v>
      </c>
      <c r="M41" s="11" t="s">
        <v>47</v>
      </c>
      <c r="N41" s="11" t="s">
        <v>41</v>
      </c>
      <c r="O41" s="14" t="s">
        <v>301</v>
      </c>
      <c r="P41" s="13">
        <v>18000</v>
      </c>
      <c r="Q41" s="28">
        <f t="shared" si="0"/>
        <v>2002572</v>
      </c>
      <c r="R41" s="29" t="s">
        <v>32</v>
      </c>
      <c r="S41" s="38">
        <v>111.254</v>
      </c>
      <c r="T41" s="30">
        <f t="shared" si="8"/>
        <v>41865</v>
      </c>
      <c r="U41" s="14" t="s">
        <v>39</v>
      </c>
      <c r="V41" s="31">
        <f t="shared" si="11"/>
        <v>2403.0863999999997</v>
      </c>
      <c r="W41" s="23">
        <v>155.72999999999999</v>
      </c>
      <c r="X41" s="28">
        <f t="shared" si="12"/>
        <v>374232.64507199993</v>
      </c>
      <c r="Y41" s="32">
        <v>0</v>
      </c>
      <c r="Z41" s="23"/>
      <c r="AA41" s="23"/>
      <c r="AB41" s="23"/>
    </row>
    <row r="42" spans="2:28" ht="30" customHeight="1">
      <c r="B42" s="22">
        <f t="shared" si="7"/>
        <v>38</v>
      </c>
      <c r="C42" s="11" t="s">
        <v>313</v>
      </c>
      <c r="D42" s="24" t="s">
        <v>64</v>
      </c>
      <c r="E42" s="25"/>
      <c r="F42" s="34" t="s">
        <v>286</v>
      </c>
      <c r="G42" s="11" t="s">
        <v>39</v>
      </c>
      <c r="H42" s="11" t="s">
        <v>79</v>
      </c>
      <c r="I42" s="11" t="s">
        <v>93</v>
      </c>
      <c r="J42" s="27">
        <v>801.22</v>
      </c>
      <c r="K42" s="25">
        <v>41776</v>
      </c>
      <c r="L42" s="11" t="s">
        <v>295</v>
      </c>
      <c r="M42" s="11" t="s">
        <v>47</v>
      </c>
      <c r="N42" s="11" t="s">
        <v>41</v>
      </c>
      <c r="O42" s="14" t="s">
        <v>301</v>
      </c>
      <c r="P42" s="13">
        <v>57000</v>
      </c>
      <c r="Q42" s="28">
        <f t="shared" si="0"/>
        <v>6341478</v>
      </c>
      <c r="R42" s="29" t="s">
        <v>32</v>
      </c>
      <c r="S42" s="38">
        <v>111.254</v>
      </c>
      <c r="T42" s="30">
        <f t="shared" si="8"/>
        <v>41865</v>
      </c>
      <c r="U42" s="14" t="s">
        <v>39</v>
      </c>
      <c r="V42" s="31">
        <f t="shared" si="11"/>
        <v>7609.7735999999995</v>
      </c>
      <c r="W42" s="23">
        <v>155.72999999999999</v>
      </c>
      <c r="X42" s="28">
        <f t="shared" si="12"/>
        <v>1185070.0427279999</v>
      </c>
      <c r="Y42" s="32">
        <v>0</v>
      </c>
      <c r="Z42" s="23"/>
      <c r="AA42" s="23"/>
      <c r="AB42" s="23"/>
    </row>
    <row r="43" spans="2:28" ht="30" customHeight="1">
      <c r="B43" s="22">
        <f t="shared" si="7"/>
        <v>39</v>
      </c>
      <c r="C43" s="11" t="s">
        <v>314</v>
      </c>
      <c r="D43" s="24" t="s">
        <v>64</v>
      </c>
      <c r="E43" s="25"/>
      <c r="F43" s="34" t="s">
        <v>287</v>
      </c>
      <c r="G43" s="11" t="s">
        <v>121</v>
      </c>
      <c r="H43" s="11" t="s">
        <v>79</v>
      </c>
      <c r="I43" s="11" t="s">
        <v>93</v>
      </c>
      <c r="J43" s="27">
        <v>801.22</v>
      </c>
      <c r="K43" s="25">
        <v>41776</v>
      </c>
      <c r="L43" s="11" t="s">
        <v>295</v>
      </c>
      <c r="M43" s="11" t="s">
        <v>47</v>
      </c>
      <c r="N43" s="11" t="s">
        <v>41</v>
      </c>
      <c r="O43" s="14" t="s">
        <v>301</v>
      </c>
      <c r="P43" s="13">
        <v>39000</v>
      </c>
      <c r="Q43" s="28">
        <f t="shared" si="0"/>
        <v>4338906</v>
      </c>
      <c r="R43" s="29" t="s">
        <v>32</v>
      </c>
      <c r="S43" s="38">
        <v>111.254</v>
      </c>
      <c r="T43" s="30">
        <f t="shared" si="8"/>
        <v>41865</v>
      </c>
      <c r="U43" s="14" t="s">
        <v>39</v>
      </c>
      <c r="V43" s="31">
        <f t="shared" si="11"/>
        <v>5206.6871999999994</v>
      </c>
      <c r="W43" s="23">
        <v>155.72999999999999</v>
      </c>
      <c r="X43" s="28">
        <f t="shared" si="12"/>
        <v>810837.39765599987</v>
      </c>
      <c r="Y43" s="32">
        <v>0</v>
      </c>
      <c r="Z43" s="23"/>
      <c r="AA43" s="23"/>
      <c r="AB43" s="23"/>
    </row>
    <row r="44" spans="2:28" ht="30" customHeight="1">
      <c r="B44" s="22">
        <f t="shared" si="7"/>
        <v>40</v>
      </c>
      <c r="C44" s="11" t="s">
        <v>315</v>
      </c>
      <c r="D44" s="24" t="s">
        <v>64</v>
      </c>
      <c r="E44" s="25"/>
      <c r="F44" s="34" t="s">
        <v>288</v>
      </c>
      <c r="G44" s="11" t="s">
        <v>91</v>
      </c>
      <c r="H44" s="11" t="s">
        <v>74</v>
      </c>
      <c r="I44" s="11" t="s">
        <v>93</v>
      </c>
      <c r="J44" s="27">
        <v>801.22</v>
      </c>
      <c r="K44" s="25">
        <v>41776</v>
      </c>
      <c r="L44" s="11" t="s">
        <v>295</v>
      </c>
      <c r="M44" s="11" t="s">
        <v>47</v>
      </c>
      <c r="N44" s="11" t="s">
        <v>41</v>
      </c>
      <c r="O44" s="14" t="s">
        <v>301</v>
      </c>
      <c r="P44" s="13">
        <v>177000</v>
      </c>
      <c r="Q44" s="28">
        <f t="shared" si="0"/>
        <v>19973919</v>
      </c>
      <c r="R44" s="29" t="s">
        <v>32</v>
      </c>
      <c r="S44" s="38">
        <v>112.84699999999999</v>
      </c>
      <c r="T44" s="30">
        <f t="shared" si="8"/>
        <v>41865</v>
      </c>
      <c r="U44" s="11" t="s">
        <v>101</v>
      </c>
      <c r="V44" s="31">
        <f t="shared" si="11"/>
        <v>23968.702799999999</v>
      </c>
      <c r="W44" s="23">
        <v>155.72999999999999</v>
      </c>
      <c r="X44" s="28">
        <f t="shared" si="12"/>
        <v>3732646.0870439997</v>
      </c>
      <c r="Y44" s="32">
        <v>0</v>
      </c>
      <c r="Z44" s="23"/>
      <c r="AA44" s="23"/>
      <c r="AB44" s="23"/>
    </row>
    <row r="45" spans="2:28" ht="30" customHeight="1">
      <c r="B45" s="22">
        <f t="shared" si="7"/>
        <v>41</v>
      </c>
      <c r="C45" s="11" t="s">
        <v>316</v>
      </c>
      <c r="D45" s="24" t="s">
        <v>64</v>
      </c>
      <c r="E45" s="25"/>
      <c r="F45" s="34" t="s">
        <v>289</v>
      </c>
      <c r="G45" s="11" t="s">
        <v>91</v>
      </c>
      <c r="H45" s="11" t="s">
        <v>74</v>
      </c>
      <c r="I45" s="11" t="s">
        <v>93</v>
      </c>
      <c r="J45" s="27">
        <v>801.22</v>
      </c>
      <c r="K45" s="25">
        <v>41776</v>
      </c>
      <c r="L45" s="11" t="s">
        <v>295</v>
      </c>
      <c r="M45" s="11" t="s">
        <v>47</v>
      </c>
      <c r="N45" s="11" t="s">
        <v>298</v>
      </c>
      <c r="O45" s="14" t="s">
        <v>49</v>
      </c>
      <c r="P45" s="13">
        <v>59000</v>
      </c>
      <c r="Q45" s="28">
        <f t="shared" si="0"/>
        <v>6657973</v>
      </c>
      <c r="R45" s="29" t="s">
        <v>32</v>
      </c>
      <c r="S45" s="38">
        <v>112.84699999999999</v>
      </c>
      <c r="T45" s="30">
        <f t="shared" si="8"/>
        <v>41865</v>
      </c>
      <c r="U45" s="11" t="s">
        <v>101</v>
      </c>
      <c r="V45" s="31">
        <f t="shared" si="11"/>
        <v>7989.5675999999994</v>
      </c>
      <c r="W45" s="23">
        <v>155.72999999999999</v>
      </c>
      <c r="X45" s="28">
        <f t="shared" si="12"/>
        <v>1244215.3623479998</v>
      </c>
      <c r="Y45" s="32">
        <v>0</v>
      </c>
      <c r="Z45" s="23"/>
      <c r="AA45" s="23"/>
      <c r="AB45" s="23"/>
    </row>
    <row r="46" spans="2:28" ht="30" customHeight="1">
      <c r="B46" s="22">
        <f t="shared" si="7"/>
        <v>42</v>
      </c>
      <c r="C46" s="11" t="s">
        <v>304</v>
      </c>
      <c r="D46" s="25" t="s">
        <v>271</v>
      </c>
      <c r="E46" s="25">
        <v>41789</v>
      </c>
      <c r="F46" s="34" t="s">
        <v>290</v>
      </c>
      <c r="G46" s="11" t="s">
        <v>132</v>
      </c>
      <c r="H46" s="11" t="s">
        <v>43</v>
      </c>
      <c r="I46" s="11" t="s">
        <v>44</v>
      </c>
      <c r="J46" s="27">
        <v>801.22</v>
      </c>
      <c r="K46" s="25">
        <v>41786</v>
      </c>
      <c r="L46" s="11" t="s">
        <v>296</v>
      </c>
      <c r="M46" s="11" t="s">
        <v>45</v>
      </c>
      <c r="N46" s="11" t="s">
        <v>76</v>
      </c>
      <c r="O46" s="14" t="s">
        <v>299</v>
      </c>
      <c r="P46" s="40">
        <v>899866</v>
      </c>
      <c r="Q46" s="28">
        <f t="shared" si="0"/>
        <v>101288557.01360001</v>
      </c>
      <c r="R46" s="29" t="s">
        <v>32</v>
      </c>
      <c r="S46" s="7">
        <v>112.5596</v>
      </c>
      <c r="T46" s="30">
        <f t="shared" si="8"/>
        <v>41875</v>
      </c>
      <c r="U46" s="11" t="s">
        <v>132</v>
      </c>
      <c r="V46" s="31">
        <f t="shared" si="11"/>
        <v>121546.26841632</v>
      </c>
      <c r="W46" s="23">
        <v>155.72999999999999</v>
      </c>
      <c r="X46" s="28">
        <f t="shared" si="12"/>
        <v>18928400.380473513</v>
      </c>
      <c r="Y46" s="55">
        <f t="shared" ref="Y46:Y47" si="13">X46</f>
        <v>18928400.380473513</v>
      </c>
      <c r="Z46" s="23"/>
      <c r="AA46" s="23"/>
      <c r="AB46" s="23"/>
    </row>
    <row r="47" spans="2:28" ht="30" customHeight="1">
      <c r="B47" s="22">
        <f t="shared" si="7"/>
        <v>43</v>
      </c>
      <c r="C47" s="11" t="s">
        <v>317</v>
      </c>
      <c r="D47" s="25" t="s">
        <v>272</v>
      </c>
      <c r="E47" s="25">
        <v>41789</v>
      </c>
      <c r="F47" s="34" t="s">
        <v>291</v>
      </c>
      <c r="G47" s="11" t="s">
        <v>132</v>
      </c>
      <c r="H47" s="11" t="s">
        <v>43</v>
      </c>
      <c r="I47" s="11" t="s">
        <v>93</v>
      </c>
      <c r="J47" s="27">
        <v>801.22</v>
      </c>
      <c r="K47" s="25">
        <v>41788</v>
      </c>
      <c r="L47" s="11" t="s">
        <v>297</v>
      </c>
      <c r="M47" s="11" t="s">
        <v>47</v>
      </c>
      <c r="N47" s="11" t="s">
        <v>52</v>
      </c>
      <c r="O47" s="14" t="s">
        <v>73</v>
      </c>
      <c r="P47" s="56">
        <v>949623</v>
      </c>
      <c r="Q47" s="28">
        <f t="shared" si="0"/>
        <v>106066241.73899999</v>
      </c>
      <c r="R47" s="29" t="s">
        <v>32</v>
      </c>
      <c r="S47" s="38">
        <v>111.693</v>
      </c>
      <c r="T47" s="30">
        <f t="shared" si="8"/>
        <v>41877</v>
      </c>
      <c r="U47" s="11" t="s">
        <v>132</v>
      </c>
      <c r="V47" s="53">
        <f t="shared" si="11"/>
        <v>127279.49008679998</v>
      </c>
      <c r="W47" s="54">
        <v>155.72999999999999</v>
      </c>
      <c r="X47" s="28">
        <f t="shared" si="12"/>
        <v>19821234.99121736</v>
      </c>
      <c r="Y47" s="55">
        <f t="shared" si="13"/>
        <v>19821234.99121736</v>
      </c>
      <c r="Z47" s="23"/>
      <c r="AA47" s="23"/>
      <c r="AB47" s="23"/>
    </row>
    <row r="48" spans="2:28" ht="30" customHeight="1">
      <c r="B48" s="22">
        <f t="shared" si="7"/>
        <v>44</v>
      </c>
      <c r="C48" s="11" t="s">
        <v>371</v>
      </c>
      <c r="D48" s="24" t="s">
        <v>64</v>
      </c>
      <c r="E48" s="25"/>
      <c r="F48" s="26" t="s">
        <v>344</v>
      </c>
      <c r="G48" s="11" t="s">
        <v>109</v>
      </c>
      <c r="H48" s="11" t="s">
        <v>34</v>
      </c>
      <c r="I48" s="11" t="s">
        <v>35</v>
      </c>
      <c r="J48" s="27">
        <v>801.22</v>
      </c>
      <c r="K48" s="39">
        <v>41791</v>
      </c>
      <c r="L48" s="57" t="s">
        <v>106</v>
      </c>
      <c r="M48" s="57" t="s">
        <v>36</v>
      </c>
      <c r="N48" s="11" t="s">
        <v>60</v>
      </c>
      <c r="O48" s="14" t="s">
        <v>61</v>
      </c>
      <c r="P48" s="13">
        <v>950125</v>
      </c>
      <c r="Q48" s="28">
        <f t="shared" si="0"/>
        <v>106182169.5</v>
      </c>
      <c r="R48" s="29" t="s">
        <v>32</v>
      </c>
      <c r="S48" s="8">
        <v>111.756</v>
      </c>
      <c r="T48" s="30">
        <f t="shared" si="8"/>
        <v>41880</v>
      </c>
      <c r="U48" s="58" t="s">
        <v>38</v>
      </c>
      <c r="V48" s="53">
        <f t="shared" si="11"/>
        <v>127418.60339999999</v>
      </c>
      <c r="W48" s="23">
        <v>155.72999999999999</v>
      </c>
      <c r="X48" s="28">
        <f t="shared" si="12"/>
        <v>19842899.107481997</v>
      </c>
      <c r="Y48" s="59">
        <v>0</v>
      </c>
      <c r="Z48" s="23"/>
      <c r="AA48" s="23"/>
      <c r="AB48" s="23"/>
    </row>
    <row r="49" spans="2:28" ht="30" customHeight="1">
      <c r="B49" s="22">
        <f t="shared" si="7"/>
        <v>45</v>
      </c>
      <c r="C49" s="11" t="s">
        <v>373</v>
      </c>
      <c r="D49" s="24" t="s">
        <v>64</v>
      </c>
      <c r="E49" s="25"/>
      <c r="F49" s="34" t="s">
        <v>345</v>
      </c>
      <c r="G49" s="11" t="s">
        <v>103</v>
      </c>
      <c r="H49" s="11" t="s">
        <v>133</v>
      </c>
      <c r="I49" s="11" t="s">
        <v>107</v>
      </c>
      <c r="J49" s="27">
        <v>801.22</v>
      </c>
      <c r="K49" s="25">
        <v>41792</v>
      </c>
      <c r="L49" s="11" t="s">
        <v>152</v>
      </c>
      <c r="M49" s="11" t="s">
        <v>108</v>
      </c>
      <c r="N49" s="11" t="s">
        <v>71</v>
      </c>
      <c r="O49" s="14" t="s">
        <v>110</v>
      </c>
      <c r="P49" s="13">
        <v>618102</v>
      </c>
      <c r="Q49" s="28">
        <f t="shared" si="0"/>
        <v>64946449.548</v>
      </c>
      <c r="R49" s="29" t="s">
        <v>32</v>
      </c>
      <c r="S49" s="7">
        <v>105.074</v>
      </c>
      <c r="T49" s="30">
        <f t="shared" si="8"/>
        <v>41881</v>
      </c>
      <c r="U49" s="11" t="s">
        <v>109</v>
      </c>
      <c r="V49" s="31">
        <f t="shared" si="11"/>
        <v>77935.739457599993</v>
      </c>
      <c r="W49" s="23">
        <v>155.72999999999999</v>
      </c>
      <c r="X49" s="28">
        <f t="shared" si="12"/>
        <v>12136932.705732046</v>
      </c>
      <c r="Y49" s="32">
        <v>0</v>
      </c>
      <c r="Z49" s="23"/>
      <c r="AA49" s="23"/>
      <c r="AB49" s="23"/>
    </row>
    <row r="50" spans="2:28" ht="30" customHeight="1">
      <c r="B50" s="22">
        <f t="shared" si="7"/>
        <v>46</v>
      </c>
      <c r="C50" s="11" t="s">
        <v>375</v>
      </c>
      <c r="D50" s="24" t="s">
        <v>64</v>
      </c>
      <c r="E50" s="25"/>
      <c r="F50" s="34" t="s">
        <v>346</v>
      </c>
      <c r="G50" s="11" t="s">
        <v>90</v>
      </c>
      <c r="H50" s="11" t="s">
        <v>28</v>
      </c>
      <c r="I50" s="11" t="s">
        <v>29</v>
      </c>
      <c r="J50" s="27">
        <v>801.22</v>
      </c>
      <c r="K50" s="25">
        <v>41793</v>
      </c>
      <c r="L50" s="11" t="s">
        <v>366</v>
      </c>
      <c r="M50" s="11" t="s">
        <v>30</v>
      </c>
      <c r="N50" s="11" t="s">
        <v>48</v>
      </c>
      <c r="O50" s="14" t="s">
        <v>67</v>
      </c>
      <c r="P50" s="13">
        <v>949018</v>
      </c>
      <c r="Q50" s="28">
        <f t="shared" si="0"/>
        <v>103463840.396</v>
      </c>
      <c r="R50" s="29" t="s">
        <v>32</v>
      </c>
      <c r="S50" s="7">
        <v>109.02200000000001</v>
      </c>
      <c r="T50" s="30">
        <f t="shared" si="8"/>
        <v>41882</v>
      </c>
      <c r="U50" s="11" t="s">
        <v>27</v>
      </c>
      <c r="V50" s="31">
        <f t="shared" si="11"/>
        <v>124156.60847519999</v>
      </c>
      <c r="W50" s="23">
        <v>155.72999999999999</v>
      </c>
      <c r="X50" s="28">
        <f t="shared" si="12"/>
        <v>19334908.637842894</v>
      </c>
      <c r="Y50" s="32">
        <v>0</v>
      </c>
      <c r="Z50" s="23"/>
      <c r="AA50" s="23"/>
      <c r="AB50" s="23"/>
    </row>
    <row r="51" spans="2:28" ht="30" customHeight="1">
      <c r="B51" s="22">
        <f>B50+1</f>
        <v>47</v>
      </c>
      <c r="C51" s="11" t="s">
        <v>380</v>
      </c>
      <c r="D51" s="24" t="s">
        <v>64</v>
      </c>
      <c r="E51" s="25"/>
      <c r="F51" s="26" t="s">
        <v>347</v>
      </c>
      <c r="G51" s="11" t="s">
        <v>90</v>
      </c>
      <c r="H51" s="11" t="s">
        <v>51</v>
      </c>
      <c r="I51" s="11" t="s">
        <v>93</v>
      </c>
      <c r="J51" s="27">
        <v>801.22</v>
      </c>
      <c r="K51" s="39">
        <v>41793</v>
      </c>
      <c r="L51" s="57" t="s">
        <v>128</v>
      </c>
      <c r="M51" s="57" t="s">
        <v>47</v>
      </c>
      <c r="N51" s="11" t="s">
        <v>60</v>
      </c>
      <c r="O51" s="14" t="s">
        <v>61</v>
      </c>
      <c r="P51" s="60">
        <v>149638</v>
      </c>
      <c r="Q51" s="28">
        <f t="shared" si="0"/>
        <v>16613110.036</v>
      </c>
      <c r="R51" s="29" t="s">
        <v>32</v>
      </c>
      <c r="S51" s="8">
        <v>111.02200000000001</v>
      </c>
      <c r="T51" s="30">
        <f t="shared" si="8"/>
        <v>41882</v>
      </c>
      <c r="U51" s="11" t="s">
        <v>38</v>
      </c>
      <c r="V51" s="53">
        <f t="shared" si="11"/>
        <v>19935.732043199998</v>
      </c>
      <c r="W51" s="23">
        <v>155.72999999999999</v>
      </c>
      <c r="X51" s="28">
        <f t="shared" si="12"/>
        <v>3104591.5510875355</v>
      </c>
      <c r="Y51" s="32">
        <v>0</v>
      </c>
      <c r="Z51" s="23"/>
      <c r="AA51" s="23"/>
      <c r="AB51" s="23"/>
    </row>
    <row r="52" spans="2:28" ht="30" customHeight="1">
      <c r="B52" s="22">
        <f t="shared" si="7"/>
        <v>48</v>
      </c>
      <c r="C52" s="11" t="s">
        <v>381</v>
      </c>
      <c r="D52" s="24" t="s">
        <v>64</v>
      </c>
      <c r="E52" s="25"/>
      <c r="F52" s="26" t="s">
        <v>348</v>
      </c>
      <c r="G52" s="11" t="s">
        <v>39</v>
      </c>
      <c r="H52" s="11" t="s">
        <v>79</v>
      </c>
      <c r="I52" s="11" t="s">
        <v>93</v>
      </c>
      <c r="J52" s="27">
        <v>801.22</v>
      </c>
      <c r="K52" s="39">
        <v>41793</v>
      </c>
      <c r="L52" s="57" t="s">
        <v>128</v>
      </c>
      <c r="M52" s="57" t="s">
        <v>47</v>
      </c>
      <c r="N52" s="11" t="s">
        <v>60</v>
      </c>
      <c r="O52" s="14" t="s">
        <v>61</v>
      </c>
      <c r="P52" s="60">
        <v>32000</v>
      </c>
      <c r="Q52" s="28">
        <f t="shared" si="0"/>
        <v>3631328</v>
      </c>
      <c r="R52" s="29" t="s">
        <v>32</v>
      </c>
      <c r="S52" s="8">
        <v>113.479</v>
      </c>
      <c r="T52" s="30">
        <f t="shared" si="8"/>
        <v>41882</v>
      </c>
      <c r="U52" s="11" t="s">
        <v>39</v>
      </c>
      <c r="V52" s="53">
        <f t="shared" si="11"/>
        <v>4357.5935999999992</v>
      </c>
      <c r="W52" s="23">
        <v>155.72999999999999</v>
      </c>
      <c r="X52" s="28">
        <f t="shared" si="12"/>
        <v>678608.0513279998</v>
      </c>
      <c r="Y52" s="32">
        <v>0</v>
      </c>
      <c r="Z52" s="23"/>
      <c r="AA52" s="23"/>
      <c r="AB52" s="23"/>
    </row>
    <row r="53" spans="2:28" ht="30" customHeight="1">
      <c r="B53" s="22">
        <f t="shared" si="7"/>
        <v>49</v>
      </c>
      <c r="C53" s="11" t="s">
        <v>382</v>
      </c>
      <c r="D53" s="24" t="s">
        <v>64</v>
      </c>
      <c r="E53" s="25"/>
      <c r="F53" s="26" t="s">
        <v>349</v>
      </c>
      <c r="G53" s="11" t="s">
        <v>39</v>
      </c>
      <c r="H53" s="11" t="s">
        <v>79</v>
      </c>
      <c r="I53" s="11" t="s">
        <v>93</v>
      </c>
      <c r="J53" s="27">
        <v>801.22</v>
      </c>
      <c r="K53" s="39">
        <v>41793</v>
      </c>
      <c r="L53" s="57" t="s">
        <v>128</v>
      </c>
      <c r="M53" s="57" t="s">
        <v>47</v>
      </c>
      <c r="N53" s="11" t="s">
        <v>60</v>
      </c>
      <c r="O53" s="14" t="s">
        <v>61</v>
      </c>
      <c r="P53" s="60">
        <v>34000</v>
      </c>
      <c r="Q53" s="28">
        <f t="shared" si="0"/>
        <v>3858286</v>
      </c>
      <c r="R53" s="29" t="s">
        <v>32</v>
      </c>
      <c r="S53" s="8">
        <v>113.479</v>
      </c>
      <c r="T53" s="30">
        <f t="shared" si="8"/>
        <v>41882</v>
      </c>
      <c r="U53" s="11" t="s">
        <v>39</v>
      </c>
      <c r="V53" s="53">
        <f t="shared" si="11"/>
        <v>4629.9431999999997</v>
      </c>
      <c r="W53" s="23">
        <v>155.72999999999999</v>
      </c>
      <c r="X53" s="28">
        <f t="shared" si="12"/>
        <v>721021.05453599989</v>
      </c>
      <c r="Y53" s="32">
        <v>0</v>
      </c>
      <c r="Z53" s="23"/>
      <c r="AA53" s="23"/>
      <c r="AB53" s="23"/>
    </row>
    <row r="54" spans="2:28" ht="30" customHeight="1">
      <c r="B54" s="22">
        <f t="shared" si="7"/>
        <v>50</v>
      </c>
      <c r="C54" s="11" t="s">
        <v>383</v>
      </c>
      <c r="D54" s="24" t="s">
        <v>64</v>
      </c>
      <c r="E54" s="25"/>
      <c r="F54" s="12">
        <v>20149030006</v>
      </c>
      <c r="G54" s="11" t="s">
        <v>121</v>
      </c>
      <c r="H54" s="11" t="s">
        <v>79</v>
      </c>
      <c r="I54" s="11" t="s">
        <v>93</v>
      </c>
      <c r="J54" s="27">
        <v>801.22</v>
      </c>
      <c r="K54" s="39">
        <v>41793</v>
      </c>
      <c r="L54" s="57" t="s">
        <v>128</v>
      </c>
      <c r="M54" s="57" t="s">
        <v>47</v>
      </c>
      <c r="N54" s="11" t="s">
        <v>60</v>
      </c>
      <c r="O54" s="14" t="s">
        <v>61</v>
      </c>
      <c r="P54" s="60">
        <v>78000</v>
      </c>
      <c r="Q54" s="28">
        <f t="shared" si="0"/>
        <v>8851362</v>
      </c>
      <c r="R54" s="29" t="s">
        <v>32</v>
      </c>
      <c r="S54" s="8">
        <v>113.479</v>
      </c>
      <c r="T54" s="30">
        <f t="shared" si="8"/>
        <v>41882</v>
      </c>
      <c r="U54" s="11" t="s">
        <v>39</v>
      </c>
      <c r="V54" s="53">
        <f t="shared" si="11"/>
        <v>10621.634399999999</v>
      </c>
      <c r="W54" s="23">
        <v>155.72999999999999</v>
      </c>
      <c r="X54" s="28">
        <f t="shared" si="12"/>
        <v>1654107.1251119997</v>
      </c>
      <c r="Y54" s="32">
        <v>0</v>
      </c>
      <c r="Z54" s="23"/>
      <c r="AA54" s="23"/>
      <c r="AB54" s="23"/>
    </row>
    <row r="55" spans="2:28" ht="30" customHeight="1">
      <c r="B55" s="22">
        <f t="shared" si="7"/>
        <v>51</v>
      </c>
      <c r="C55" s="11" t="s">
        <v>384</v>
      </c>
      <c r="D55" s="25" t="s">
        <v>337</v>
      </c>
      <c r="E55" s="39">
        <v>41820</v>
      </c>
      <c r="F55" s="12" t="s">
        <v>350</v>
      </c>
      <c r="G55" s="11" t="s">
        <v>132</v>
      </c>
      <c r="H55" s="11" t="s">
        <v>43</v>
      </c>
      <c r="I55" s="11" t="s">
        <v>93</v>
      </c>
      <c r="J55" s="27">
        <v>801.22</v>
      </c>
      <c r="K55" s="39">
        <v>41799</v>
      </c>
      <c r="L55" s="57" t="s">
        <v>78</v>
      </c>
      <c r="M55" s="62" t="s">
        <v>47</v>
      </c>
      <c r="N55" s="11" t="s">
        <v>68</v>
      </c>
      <c r="O55" s="14" t="s">
        <v>81</v>
      </c>
      <c r="P55" s="60">
        <v>399733</v>
      </c>
      <c r="Q55" s="28">
        <f t="shared" si="0"/>
        <v>44673360.614</v>
      </c>
      <c r="R55" s="29" t="s">
        <v>32</v>
      </c>
      <c r="S55" s="38">
        <v>111.758</v>
      </c>
      <c r="T55" s="30">
        <f t="shared" si="8"/>
        <v>41888</v>
      </c>
      <c r="U55" s="11" t="s">
        <v>132</v>
      </c>
      <c r="V55" s="53">
        <f t="shared" si="11"/>
        <v>53608.032736799993</v>
      </c>
      <c r="W55" s="23">
        <v>155.72999999999999</v>
      </c>
      <c r="X55" s="28">
        <f t="shared" si="12"/>
        <v>8348378.9381018626</v>
      </c>
      <c r="Y55" s="55">
        <f t="shared" ref="Y55:Y58" si="14">X55</f>
        <v>8348378.9381018626</v>
      </c>
      <c r="Z55" s="23"/>
      <c r="AA55" s="23"/>
      <c r="AB55" s="23"/>
    </row>
    <row r="56" spans="2:28" ht="30" customHeight="1">
      <c r="B56" s="22">
        <f t="shared" si="7"/>
        <v>52</v>
      </c>
      <c r="C56" s="11" t="s">
        <v>385</v>
      </c>
      <c r="D56" s="25" t="s">
        <v>338</v>
      </c>
      <c r="E56" s="39">
        <v>41820</v>
      </c>
      <c r="F56" s="12" t="s">
        <v>351</v>
      </c>
      <c r="G56" s="11" t="s">
        <v>132</v>
      </c>
      <c r="H56" s="11" t="s">
        <v>43</v>
      </c>
      <c r="I56" s="11" t="s">
        <v>93</v>
      </c>
      <c r="J56" s="27">
        <v>801.22</v>
      </c>
      <c r="K56" s="39">
        <v>41802</v>
      </c>
      <c r="L56" s="57" t="s">
        <v>155</v>
      </c>
      <c r="M56" s="62" t="s">
        <v>47</v>
      </c>
      <c r="N56" s="11" t="s">
        <v>48</v>
      </c>
      <c r="O56" s="14" t="s">
        <v>67</v>
      </c>
      <c r="P56" s="60">
        <v>949823</v>
      </c>
      <c r="Q56" s="28">
        <f t="shared" si="0"/>
        <v>107770716.87199999</v>
      </c>
      <c r="R56" s="29" t="s">
        <v>32</v>
      </c>
      <c r="S56" s="38">
        <v>113.464</v>
      </c>
      <c r="T56" s="30">
        <f t="shared" si="8"/>
        <v>41891</v>
      </c>
      <c r="U56" s="11" t="s">
        <v>132</v>
      </c>
      <c r="V56" s="53">
        <f t="shared" si="11"/>
        <v>129324.86024639999</v>
      </c>
      <c r="W56" s="23">
        <v>155.72999999999999</v>
      </c>
      <c r="X56" s="28">
        <f t="shared" si="12"/>
        <v>20139760.486171868</v>
      </c>
      <c r="Y56" s="55">
        <f t="shared" si="14"/>
        <v>20139760.486171868</v>
      </c>
      <c r="Z56" s="23"/>
      <c r="AA56" s="23"/>
      <c r="AB56" s="23"/>
    </row>
    <row r="57" spans="2:28" ht="30" customHeight="1">
      <c r="B57" s="22">
        <f t="shared" si="7"/>
        <v>53</v>
      </c>
      <c r="C57" s="11" t="s">
        <v>372</v>
      </c>
      <c r="D57" s="25" t="s">
        <v>339</v>
      </c>
      <c r="E57" s="39">
        <v>41820</v>
      </c>
      <c r="F57" s="26" t="s">
        <v>352</v>
      </c>
      <c r="G57" s="11" t="s">
        <v>132</v>
      </c>
      <c r="H57" s="57" t="s">
        <v>43</v>
      </c>
      <c r="I57" s="11" t="s">
        <v>35</v>
      </c>
      <c r="J57" s="27">
        <v>801.22</v>
      </c>
      <c r="K57" s="39">
        <v>41807</v>
      </c>
      <c r="L57" s="57" t="s">
        <v>75</v>
      </c>
      <c r="M57" s="57" t="s">
        <v>36</v>
      </c>
      <c r="N57" s="11" t="s">
        <v>62</v>
      </c>
      <c r="O57" s="14" t="s">
        <v>63</v>
      </c>
      <c r="P57" s="60">
        <v>950330</v>
      </c>
      <c r="Q57" s="28">
        <f t="shared" si="0"/>
        <v>110929169.91</v>
      </c>
      <c r="R57" s="29" t="s">
        <v>32</v>
      </c>
      <c r="S57" s="38">
        <v>116.727</v>
      </c>
      <c r="T57" s="30">
        <f t="shared" si="8"/>
        <v>41896</v>
      </c>
      <c r="U57" s="11" t="s">
        <v>132</v>
      </c>
      <c r="V57" s="53">
        <f t="shared" si="11"/>
        <v>133115.00389199998</v>
      </c>
      <c r="W57" s="23">
        <v>155.72999999999999</v>
      </c>
      <c r="X57" s="28">
        <f t="shared" si="12"/>
        <v>20729999.556101155</v>
      </c>
      <c r="Y57" s="55">
        <f t="shared" si="14"/>
        <v>20729999.556101155</v>
      </c>
      <c r="Z57" s="23"/>
      <c r="AA57" s="23"/>
      <c r="AB57" s="23"/>
    </row>
    <row r="58" spans="2:28" ht="30" customHeight="1">
      <c r="B58" s="22">
        <f t="shared" si="7"/>
        <v>54</v>
      </c>
      <c r="C58" s="11" t="s">
        <v>386</v>
      </c>
      <c r="D58" s="25" t="s">
        <v>340</v>
      </c>
      <c r="E58" s="39">
        <v>41820</v>
      </c>
      <c r="F58" s="26" t="s">
        <v>353</v>
      </c>
      <c r="G58" s="11" t="s">
        <v>132</v>
      </c>
      <c r="H58" s="57" t="s">
        <v>43</v>
      </c>
      <c r="I58" s="11" t="s">
        <v>44</v>
      </c>
      <c r="J58" s="27">
        <v>801.22</v>
      </c>
      <c r="K58" s="39">
        <v>41809</v>
      </c>
      <c r="L58" s="57" t="s">
        <v>367</v>
      </c>
      <c r="M58" s="57" t="s">
        <v>45</v>
      </c>
      <c r="N58" s="11" t="s">
        <v>66</v>
      </c>
      <c r="O58" s="14" t="s">
        <v>170</v>
      </c>
      <c r="P58" s="60">
        <v>899955</v>
      </c>
      <c r="Q58" s="28">
        <f t="shared" si="0"/>
        <v>105461226.675</v>
      </c>
      <c r="R58" s="29" t="s">
        <v>32</v>
      </c>
      <c r="S58" s="38">
        <v>117.185</v>
      </c>
      <c r="T58" s="30">
        <f t="shared" si="8"/>
        <v>41898</v>
      </c>
      <c r="U58" s="11" t="s">
        <v>132</v>
      </c>
      <c r="V58" s="53">
        <f t="shared" si="11"/>
        <v>126553.47200999998</v>
      </c>
      <c r="W58" s="23">
        <v>155.72999999999999</v>
      </c>
      <c r="X58" s="28">
        <f t="shared" si="12"/>
        <v>19708172.196117297</v>
      </c>
      <c r="Y58" s="55">
        <f t="shared" si="14"/>
        <v>19708172.196117297</v>
      </c>
      <c r="Z58" s="23"/>
      <c r="AA58" s="23"/>
      <c r="AB58" s="23"/>
    </row>
    <row r="59" spans="2:28" ht="30" customHeight="1">
      <c r="B59" s="22">
        <f t="shared" si="7"/>
        <v>55</v>
      </c>
      <c r="C59" s="11" t="s">
        <v>387</v>
      </c>
      <c r="D59" s="24" t="s">
        <v>64</v>
      </c>
      <c r="E59" s="25"/>
      <c r="F59" s="26" t="s">
        <v>354</v>
      </c>
      <c r="G59" s="11" t="s">
        <v>90</v>
      </c>
      <c r="H59" s="57" t="s">
        <v>46</v>
      </c>
      <c r="I59" s="11" t="s">
        <v>93</v>
      </c>
      <c r="J59" s="27">
        <v>801.22</v>
      </c>
      <c r="K59" s="39">
        <v>41812</v>
      </c>
      <c r="L59" s="57" t="s">
        <v>70</v>
      </c>
      <c r="M59" s="57" t="s">
        <v>47</v>
      </c>
      <c r="N59" s="11" t="s">
        <v>56</v>
      </c>
      <c r="O59" s="14" t="s">
        <v>57</v>
      </c>
      <c r="P59" s="60">
        <v>80000</v>
      </c>
      <c r="Q59" s="28">
        <f t="shared" si="0"/>
        <v>9274800</v>
      </c>
      <c r="R59" s="29" t="s">
        <v>32</v>
      </c>
      <c r="S59" s="38">
        <v>115.935</v>
      </c>
      <c r="T59" s="30">
        <f t="shared" si="8"/>
        <v>41901</v>
      </c>
      <c r="U59" s="14" t="s">
        <v>38</v>
      </c>
      <c r="V59" s="53">
        <f t="shared" si="11"/>
        <v>11129.759999999998</v>
      </c>
      <c r="W59" s="23">
        <v>155.72999999999999</v>
      </c>
      <c r="X59" s="28">
        <f t="shared" si="12"/>
        <v>1733237.5247999995</v>
      </c>
      <c r="Y59" s="32">
        <v>0</v>
      </c>
      <c r="Z59" s="23"/>
      <c r="AA59" s="23"/>
      <c r="AB59" s="23"/>
    </row>
    <row r="60" spans="2:28" ht="30" customHeight="1">
      <c r="B60" s="22">
        <f t="shared" si="7"/>
        <v>56</v>
      </c>
      <c r="C60" s="11" t="s">
        <v>388</v>
      </c>
      <c r="D60" s="24" t="s">
        <v>64</v>
      </c>
      <c r="E60" s="25"/>
      <c r="F60" s="26" t="s">
        <v>355</v>
      </c>
      <c r="G60" s="11" t="s">
        <v>90</v>
      </c>
      <c r="H60" s="57" t="s">
        <v>51</v>
      </c>
      <c r="I60" s="11" t="s">
        <v>93</v>
      </c>
      <c r="J60" s="27">
        <v>801.22</v>
      </c>
      <c r="K60" s="39">
        <v>41812</v>
      </c>
      <c r="L60" s="57" t="s">
        <v>70</v>
      </c>
      <c r="M60" s="57" t="s">
        <v>47</v>
      </c>
      <c r="N60" s="11" t="s">
        <v>56</v>
      </c>
      <c r="O60" s="14" t="s">
        <v>57</v>
      </c>
      <c r="P60" s="60">
        <v>242344</v>
      </c>
      <c r="Q60" s="28">
        <f t="shared" si="0"/>
        <v>28096151.640000001</v>
      </c>
      <c r="R60" s="29" t="s">
        <v>32</v>
      </c>
      <c r="S60" s="38">
        <v>115.935</v>
      </c>
      <c r="T60" s="30">
        <f t="shared" si="8"/>
        <v>41901</v>
      </c>
      <c r="U60" s="14" t="s">
        <v>38</v>
      </c>
      <c r="V60" s="53">
        <f t="shared" si="11"/>
        <v>33715.381967999994</v>
      </c>
      <c r="W60" s="23">
        <v>155.72999999999999</v>
      </c>
      <c r="X60" s="28">
        <f t="shared" si="12"/>
        <v>5250496.4338766383</v>
      </c>
      <c r="Y60" s="32">
        <v>0</v>
      </c>
      <c r="Z60" s="23"/>
      <c r="AA60" s="23"/>
      <c r="AB60" s="23"/>
    </row>
    <row r="61" spans="2:28" ht="30" customHeight="1">
      <c r="B61" s="22">
        <f t="shared" si="7"/>
        <v>57</v>
      </c>
      <c r="C61" s="11" t="s">
        <v>389</v>
      </c>
      <c r="D61" s="24" t="s">
        <v>64</v>
      </c>
      <c r="E61" s="25"/>
      <c r="F61" s="26" t="s">
        <v>356</v>
      </c>
      <c r="G61" s="11" t="s">
        <v>109</v>
      </c>
      <c r="H61" s="11" t="s">
        <v>365</v>
      </c>
      <c r="I61" s="11" t="s">
        <v>93</v>
      </c>
      <c r="J61" s="27">
        <v>801.22</v>
      </c>
      <c r="K61" s="39">
        <v>41812</v>
      </c>
      <c r="L61" s="57" t="s">
        <v>70</v>
      </c>
      <c r="M61" s="57" t="s">
        <v>47</v>
      </c>
      <c r="N61" s="11" t="s">
        <v>56</v>
      </c>
      <c r="O61" s="14" t="s">
        <v>57</v>
      </c>
      <c r="P61" s="60">
        <v>208000</v>
      </c>
      <c r="Q61" s="28">
        <f t="shared" ref="Q61:Q69" si="15">SUM(P61*S61)</f>
        <v>24114480</v>
      </c>
      <c r="R61" s="29" t="s">
        <v>32</v>
      </c>
      <c r="S61" s="38">
        <v>115.935</v>
      </c>
      <c r="T61" s="30">
        <f t="shared" si="8"/>
        <v>41901</v>
      </c>
      <c r="U61" s="14" t="s">
        <v>38</v>
      </c>
      <c r="V61" s="53">
        <f t="shared" si="11"/>
        <v>28937.375999999997</v>
      </c>
      <c r="W61" s="23">
        <v>155.72999999999999</v>
      </c>
      <c r="X61" s="28">
        <f t="shared" si="12"/>
        <v>4506417.5644799992</v>
      </c>
      <c r="Y61" s="32">
        <v>0</v>
      </c>
      <c r="Z61" s="23"/>
      <c r="AA61" s="23"/>
      <c r="AB61" s="23"/>
    </row>
    <row r="62" spans="2:28" ht="30" customHeight="1">
      <c r="B62" s="22">
        <f t="shared" si="7"/>
        <v>58</v>
      </c>
      <c r="C62" s="11" t="s">
        <v>390</v>
      </c>
      <c r="D62" s="24" t="s">
        <v>64</v>
      </c>
      <c r="E62" s="25"/>
      <c r="F62" s="26" t="s">
        <v>357</v>
      </c>
      <c r="G62" s="11" t="s">
        <v>109</v>
      </c>
      <c r="H62" s="11" t="s">
        <v>365</v>
      </c>
      <c r="I62" s="11" t="s">
        <v>93</v>
      </c>
      <c r="J62" s="27">
        <v>801.22</v>
      </c>
      <c r="K62" s="39">
        <v>41812</v>
      </c>
      <c r="L62" s="57" t="s">
        <v>70</v>
      </c>
      <c r="M62" s="57" t="s">
        <v>47</v>
      </c>
      <c r="N62" s="11" t="s">
        <v>56</v>
      </c>
      <c r="O62" s="14" t="s">
        <v>125</v>
      </c>
      <c r="P62" s="60">
        <v>124000</v>
      </c>
      <c r="Q62" s="28">
        <f t="shared" si="15"/>
        <v>14375940</v>
      </c>
      <c r="R62" s="29" t="s">
        <v>32</v>
      </c>
      <c r="S62" s="38">
        <v>115.935</v>
      </c>
      <c r="T62" s="30">
        <f t="shared" si="8"/>
        <v>41901</v>
      </c>
      <c r="U62" s="14" t="s">
        <v>38</v>
      </c>
      <c r="V62" s="53">
        <f t="shared" si="11"/>
        <v>17251.127999999997</v>
      </c>
      <c r="W62" s="23">
        <v>155.72999999999999</v>
      </c>
      <c r="X62" s="28">
        <f t="shared" si="12"/>
        <v>2686518.1634399993</v>
      </c>
      <c r="Y62" s="32">
        <v>0</v>
      </c>
      <c r="Z62" s="23"/>
      <c r="AA62" s="23"/>
      <c r="AB62" s="23"/>
    </row>
    <row r="63" spans="2:28" ht="30" customHeight="1">
      <c r="B63" s="22">
        <f t="shared" si="7"/>
        <v>59</v>
      </c>
      <c r="C63" s="11" t="s">
        <v>391</v>
      </c>
      <c r="D63" s="24" t="s">
        <v>64</v>
      </c>
      <c r="E63" s="25"/>
      <c r="F63" s="26" t="s">
        <v>358</v>
      </c>
      <c r="G63" s="11" t="s">
        <v>39</v>
      </c>
      <c r="H63" s="11" t="s">
        <v>79</v>
      </c>
      <c r="I63" s="11" t="s">
        <v>93</v>
      </c>
      <c r="J63" s="27">
        <v>801.22</v>
      </c>
      <c r="K63" s="39">
        <v>41812</v>
      </c>
      <c r="L63" s="57" t="s">
        <v>70</v>
      </c>
      <c r="M63" s="57" t="s">
        <v>47</v>
      </c>
      <c r="N63" s="11" t="s">
        <v>56</v>
      </c>
      <c r="O63" s="14" t="s">
        <v>125</v>
      </c>
      <c r="P63" s="60">
        <v>50000</v>
      </c>
      <c r="Q63" s="28">
        <f t="shared" si="15"/>
        <v>5673950</v>
      </c>
      <c r="R63" s="29" t="s">
        <v>32</v>
      </c>
      <c r="S63" s="8">
        <v>113.479</v>
      </c>
      <c r="T63" s="30">
        <f t="shared" si="8"/>
        <v>41901</v>
      </c>
      <c r="U63" s="14" t="s">
        <v>39</v>
      </c>
      <c r="V63" s="53">
        <f t="shared" si="11"/>
        <v>6808.74</v>
      </c>
      <c r="W63" s="23">
        <v>155.72999999999999</v>
      </c>
      <c r="X63" s="28">
        <f t="shared" si="12"/>
        <v>1060325.0802</v>
      </c>
      <c r="Y63" s="32">
        <v>0</v>
      </c>
      <c r="Z63" s="23"/>
      <c r="AA63" s="23"/>
      <c r="AB63" s="23"/>
    </row>
    <row r="64" spans="2:28" ht="30" customHeight="1">
      <c r="B64" s="22">
        <f t="shared" si="7"/>
        <v>60</v>
      </c>
      <c r="C64" s="11" t="s">
        <v>392</v>
      </c>
      <c r="D64" s="24" t="s">
        <v>64</v>
      </c>
      <c r="E64" s="25"/>
      <c r="F64" s="26" t="s">
        <v>359</v>
      </c>
      <c r="G64" s="11" t="s">
        <v>91</v>
      </c>
      <c r="H64" s="11" t="s">
        <v>80</v>
      </c>
      <c r="I64" s="11" t="s">
        <v>93</v>
      </c>
      <c r="J64" s="27">
        <v>801.22</v>
      </c>
      <c r="K64" s="39">
        <v>41812</v>
      </c>
      <c r="L64" s="57" t="s">
        <v>70</v>
      </c>
      <c r="M64" s="57" t="s">
        <v>47</v>
      </c>
      <c r="N64" s="11" t="s">
        <v>56</v>
      </c>
      <c r="O64" s="14" t="s">
        <v>125</v>
      </c>
      <c r="P64" s="60">
        <v>326000</v>
      </c>
      <c r="Q64" s="28">
        <f t="shared" si="15"/>
        <v>37794810</v>
      </c>
      <c r="R64" s="29" t="s">
        <v>32</v>
      </c>
      <c r="S64" s="38">
        <v>115.935</v>
      </c>
      <c r="T64" s="30">
        <f t="shared" si="8"/>
        <v>41901</v>
      </c>
      <c r="U64" s="14" t="s">
        <v>101</v>
      </c>
      <c r="V64" s="53">
        <f t="shared" si="11"/>
        <v>45353.771999999997</v>
      </c>
      <c r="W64" s="23">
        <v>155.72999999999999</v>
      </c>
      <c r="X64" s="28">
        <f t="shared" si="12"/>
        <v>7062942.9135599993</v>
      </c>
      <c r="Y64" s="32">
        <v>0</v>
      </c>
      <c r="Z64" s="23"/>
      <c r="AA64" s="23"/>
      <c r="AB64" s="23"/>
    </row>
    <row r="65" spans="2:28" ht="30" customHeight="1">
      <c r="B65" s="22">
        <f t="shared" si="7"/>
        <v>61</v>
      </c>
      <c r="C65" s="11" t="s">
        <v>374</v>
      </c>
      <c r="D65" s="24" t="s">
        <v>64</v>
      </c>
      <c r="E65" s="25"/>
      <c r="F65" s="26" t="s">
        <v>360</v>
      </c>
      <c r="G65" s="11" t="s">
        <v>103</v>
      </c>
      <c r="H65" s="11" t="s">
        <v>133</v>
      </c>
      <c r="I65" s="11" t="s">
        <v>107</v>
      </c>
      <c r="J65" s="27">
        <v>801.22</v>
      </c>
      <c r="K65" s="39">
        <v>41813</v>
      </c>
      <c r="L65" s="57" t="s">
        <v>368</v>
      </c>
      <c r="M65" s="57" t="s">
        <v>108</v>
      </c>
      <c r="N65" s="11" t="s">
        <v>71</v>
      </c>
      <c r="O65" s="14" t="s">
        <v>110</v>
      </c>
      <c r="P65" s="60">
        <v>702158</v>
      </c>
      <c r="Q65" s="28">
        <f t="shared" si="15"/>
        <v>76873662.156000003</v>
      </c>
      <c r="R65" s="29" t="s">
        <v>32</v>
      </c>
      <c r="S65" s="38">
        <v>109.482</v>
      </c>
      <c r="T65" s="30">
        <f t="shared" si="8"/>
        <v>41902</v>
      </c>
      <c r="U65" s="14" t="s">
        <v>109</v>
      </c>
      <c r="V65" s="53">
        <f t="shared" si="11"/>
        <v>92248.394587199989</v>
      </c>
      <c r="W65" s="23">
        <v>155.72999999999999</v>
      </c>
      <c r="X65" s="28">
        <f t="shared" si="12"/>
        <v>14365842.489064654</v>
      </c>
      <c r="Y65" s="32">
        <v>0</v>
      </c>
      <c r="Z65" s="23"/>
      <c r="AA65" s="23"/>
      <c r="AB65" s="23"/>
    </row>
    <row r="66" spans="2:28" ht="30" customHeight="1">
      <c r="B66" s="22">
        <f t="shared" si="7"/>
        <v>62</v>
      </c>
      <c r="C66" s="11" t="s">
        <v>376</v>
      </c>
      <c r="D66" s="25" t="s">
        <v>341</v>
      </c>
      <c r="E66" s="39">
        <v>41820</v>
      </c>
      <c r="F66" s="26" t="s">
        <v>361</v>
      </c>
      <c r="G66" s="11" t="s">
        <v>132</v>
      </c>
      <c r="H66" s="11" t="s">
        <v>43</v>
      </c>
      <c r="I66" s="11" t="s">
        <v>29</v>
      </c>
      <c r="J66" s="27">
        <v>801.22</v>
      </c>
      <c r="K66" s="39">
        <v>41813</v>
      </c>
      <c r="L66" s="57" t="s">
        <v>369</v>
      </c>
      <c r="M66" s="57" t="s">
        <v>30</v>
      </c>
      <c r="N66" s="11" t="s">
        <v>52</v>
      </c>
      <c r="O66" s="14" t="s">
        <v>53</v>
      </c>
      <c r="P66" s="60">
        <v>507077</v>
      </c>
      <c r="Q66" s="28">
        <f t="shared" si="15"/>
        <v>57594819.813999996</v>
      </c>
      <c r="R66" s="29" t="s">
        <v>32</v>
      </c>
      <c r="S66" s="63">
        <v>113.58199999999999</v>
      </c>
      <c r="T66" s="30">
        <f t="shared" si="8"/>
        <v>41902</v>
      </c>
      <c r="U66" s="11" t="s">
        <v>132</v>
      </c>
      <c r="V66" s="53">
        <f t="shared" si="11"/>
        <v>69113.783776799988</v>
      </c>
      <c r="W66" s="23">
        <v>155.72999999999999</v>
      </c>
      <c r="X66" s="28">
        <f t="shared" si="12"/>
        <v>10763089.547561061</v>
      </c>
      <c r="Y66" s="55">
        <f t="shared" ref="Y66:Y68" si="16">X66</f>
        <v>10763089.547561061</v>
      </c>
      <c r="Z66" s="23"/>
      <c r="AA66" s="23"/>
      <c r="AB66" s="23"/>
    </row>
    <row r="67" spans="2:28" ht="30" customHeight="1">
      <c r="B67" s="22">
        <f t="shared" si="7"/>
        <v>63</v>
      </c>
      <c r="C67" s="11" t="s">
        <v>377</v>
      </c>
      <c r="D67" s="25" t="s">
        <v>342</v>
      </c>
      <c r="E67" s="39">
        <v>41820</v>
      </c>
      <c r="F67" s="26" t="s">
        <v>362</v>
      </c>
      <c r="G67" s="11" t="s">
        <v>132</v>
      </c>
      <c r="H67" s="11" t="s">
        <v>43</v>
      </c>
      <c r="I67" s="11" t="s">
        <v>29</v>
      </c>
      <c r="J67" s="27">
        <v>801.22</v>
      </c>
      <c r="K67" s="39">
        <v>41813</v>
      </c>
      <c r="L67" s="57" t="s">
        <v>369</v>
      </c>
      <c r="M67" s="57" t="s">
        <v>30</v>
      </c>
      <c r="N67" s="11" t="s">
        <v>52</v>
      </c>
      <c r="O67" s="14" t="s">
        <v>53</v>
      </c>
      <c r="P67" s="60">
        <v>30000</v>
      </c>
      <c r="Q67" s="28">
        <f t="shared" si="15"/>
        <v>3407460</v>
      </c>
      <c r="R67" s="29" t="s">
        <v>32</v>
      </c>
      <c r="S67" s="63">
        <v>113.58199999999999</v>
      </c>
      <c r="T67" s="30">
        <f t="shared" si="8"/>
        <v>41902</v>
      </c>
      <c r="U67" s="11" t="s">
        <v>132</v>
      </c>
      <c r="V67" s="53">
        <f t="shared" si="11"/>
        <v>4088.9519999999998</v>
      </c>
      <c r="W67" s="23">
        <v>155.72999999999999</v>
      </c>
      <c r="X67" s="28">
        <f t="shared" si="12"/>
        <v>636772.49495999992</v>
      </c>
      <c r="Y67" s="55">
        <f t="shared" si="16"/>
        <v>636772.49495999992</v>
      </c>
      <c r="Z67" s="23"/>
      <c r="AA67" s="23"/>
      <c r="AB67" s="23"/>
    </row>
    <row r="68" spans="2:28" ht="30" customHeight="1">
      <c r="B68" s="22">
        <f t="shared" si="7"/>
        <v>64</v>
      </c>
      <c r="C68" s="11" t="s">
        <v>378</v>
      </c>
      <c r="D68" s="25" t="s">
        <v>343</v>
      </c>
      <c r="E68" s="39">
        <v>41820</v>
      </c>
      <c r="F68" s="26" t="s">
        <v>363</v>
      </c>
      <c r="G68" s="11" t="s">
        <v>132</v>
      </c>
      <c r="H68" s="11" t="s">
        <v>43</v>
      </c>
      <c r="I68" s="11" t="s">
        <v>29</v>
      </c>
      <c r="J68" s="27">
        <v>801.22</v>
      </c>
      <c r="K68" s="39">
        <v>41813</v>
      </c>
      <c r="L68" s="57" t="s">
        <v>369</v>
      </c>
      <c r="M68" s="57" t="s">
        <v>30</v>
      </c>
      <c r="N68" s="11" t="s">
        <v>52</v>
      </c>
      <c r="O68" s="14" t="s">
        <v>53</v>
      </c>
      <c r="P68" s="60">
        <v>400000</v>
      </c>
      <c r="Q68" s="28">
        <f t="shared" si="15"/>
        <v>45432800</v>
      </c>
      <c r="R68" s="29" t="s">
        <v>32</v>
      </c>
      <c r="S68" s="63">
        <v>113.58199999999999</v>
      </c>
      <c r="T68" s="30">
        <f t="shared" si="8"/>
        <v>41902</v>
      </c>
      <c r="U68" s="11" t="s">
        <v>132</v>
      </c>
      <c r="V68" s="53">
        <f t="shared" si="11"/>
        <v>54519.359999999993</v>
      </c>
      <c r="W68" s="23">
        <v>155.72999999999999</v>
      </c>
      <c r="X68" s="28">
        <f t="shared" si="12"/>
        <v>8490299.9327999987</v>
      </c>
      <c r="Y68" s="55">
        <f t="shared" si="16"/>
        <v>8490299.9327999987</v>
      </c>
      <c r="Z68" s="23"/>
      <c r="AA68" s="23"/>
      <c r="AB68" s="23"/>
    </row>
    <row r="69" spans="2:28" ht="30" customHeight="1" thickBot="1">
      <c r="B69" s="22">
        <f t="shared" si="7"/>
        <v>65</v>
      </c>
      <c r="C69" s="11" t="s">
        <v>379</v>
      </c>
      <c r="D69" s="24" t="s">
        <v>64</v>
      </c>
      <c r="E69" s="25"/>
      <c r="F69" s="26" t="s">
        <v>364</v>
      </c>
      <c r="G69" s="11" t="s">
        <v>39</v>
      </c>
      <c r="H69" s="11" t="s">
        <v>40</v>
      </c>
      <c r="I69" s="11" t="s">
        <v>29</v>
      </c>
      <c r="J69" s="27">
        <v>801.22</v>
      </c>
      <c r="K69" s="39">
        <v>41820</v>
      </c>
      <c r="L69" s="57" t="s">
        <v>370</v>
      </c>
      <c r="M69" s="57" t="s">
        <v>30</v>
      </c>
      <c r="N69" s="11" t="s">
        <v>48</v>
      </c>
      <c r="O69" s="14" t="s">
        <v>67</v>
      </c>
      <c r="P69" s="64">
        <v>299495</v>
      </c>
      <c r="Q69" s="28">
        <f t="shared" si="15"/>
        <v>33252031.365000002</v>
      </c>
      <c r="R69" s="29" t="s">
        <v>32</v>
      </c>
      <c r="S69" s="38">
        <v>111.027</v>
      </c>
      <c r="T69" s="30">
        <f t="shared" si="8"/>
        <v>41909</v>
      </c>
      <c r="U69" s="11" t="s">
        <v>39</v>
      </c>
      <c r="V69" s="31">
        <f t="shared" si="11"/>
        <v>39902.437637999996</v>
      </c>
      <c r="W69" s="23">
        <v>155.72999999999999</v>
      </c>
      <c r="X69" s="28">
        <f t="shared" si="12"/>
        <v>6214006.6133657387</v>
      </c>
      <c r="Y69" s="32">
        <v>0</v>
      </c>
      <c r="Z69" s="23"/>
      <c r="AA69" s="23"/>
      <c r="AB69" s="23"/>
    </row>
    <row r="70" spans="2:28" ht="15.75" thickBot="1">
      <c r="B70" s="33"/>
      <c r="C70" s="21"/>
      <c r="D70" s="21"/>
      <c r="E70" s="21"/>
      <c r="F70" s="21"/>
      <c r="G70" s="21"/>
      <c r="H70" s="21"/>
      <c r="I70" s="21"/>
      <c r="J70" s="33"/>
      <c r="K70" s="65"/>
      <c r="L70" s="21"/>
      <c r="M70" s="21"/>
      <c r="N70" s="66"/>
      <c r="O70" s="67"/>
      <c r="P70" s="68">
        <f>SUM(P5:P69)</f>
        <v>22423880</v>
      </c>
      <c r="Q70" s="69">
        <f>SUM(Q5:Q69)</f>
        <v>2490892682.0040002</v>
      </c>
      <c r="R70" s="70"/>
      <c r="S70" s="71"/>
      <c r="T70" s="72"/>
      <c r="U70" s="73"/>
      <c r="V70" s="69">
        <f>SUM(V5:V69)</f>
        <v>2989071.2184048002</v>
      </c>
      <c r="W70" s="70"/>
      <c r="X70" s="69">
        <f>SUM(X5:X69)</f>
        <v>465488060.84217936</v>
      </c>
      <c r="Y70" s="74">
        <f>SUM(Y5:Y69)</f>
        <v>298045963.22984856</v>
      </c>
      <c r="Z70" s="33"/>
      <c r="AA70" s="33"/>
      <c r="AB70" s="33"/>
    </row>
  </sheetData>
  <pageMargins left="0" right="0" top="0" bottom="0" header="0.31496062992125984" footer="0"/>
  <pageSetup paperSize="8" orientation="landscape" r:id="rId1"/>
  <ignoredErrors>
    <ignoredError sqref="F5:F9 F27 F37:F43 F33 F51:F69 F17:F26 F5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64"/>
  <sheetViews>
    <sheetView workbookViewId="0">
      <selection activeCell="A28" sqref="A28:XFD31"/>
    </sheetView>
  </sheetViews>
  <sheetFormatPr defaultRowHeight="15"/>
  <cols>
    <col min="1" max="1" width="4.28515625" customWidth="1"/>
    <col min="2" max="2" width="3.28515625" customWidth="1"/>
    <col min="3" max="3" width="5.42578125" customWidth="1"/>
    <col min="4" max="4" width="6.28515625" style="3" customWidth="1"/>
    <col min="5" max="5" width="5.7109375" style="3" customWidth="1"/>
    <col min="6" max="6" width="9.7109375" style="3" customWidth="1"/>
    <col min="7" max="7" width="7.28515625" style="3" customWidth="1"/>
    <col min="8" max="8" width="7.140625" style="3" customWidth="1"/>
    <col min="9" max="9" width="8.140625" style="3" customWidth="1"/>
    <col min="10" max="10" width="6.28515625" customWidth="1"/>
    <col min="11" max="11" width="7" style="1" customWidth="1"/>
    <col min="12" max="12" width="7.5703125" style="3" customWidth="1"/>
    <col min="13" max="13" width="5.85546875" style="1" customWidth="1"/>
    <col min="14" max="14" width="7.42578125" style="5" customWidth="1"/>
    <col min="15" max="15" width="10.140625" style="6" customWidth="1"/>
    <col min="16" max="16" width="8.140625" customWidth="1"/>
    <col min="17" max="17" width="13.7109375" customWidth="1"/>
    <col min="18" max="18" width="4.85546875" customWidth="1"/>
    <col min="19" max="19" width="6.140625" style="9" customWidth="1"/>
    <col min="20" max="20" width="6" style="1" customWidth="1"/>
    <col min="21" max="21" width="7.5703125" style="3" customWidth="1"/>
    <col min="22" max="22" width="10.42578125" customWidth="1"/>
    <col min="23" max="23" width="5.7109375" customWidth="1"/>
    <col min="24" max="24" width="12.7109375" customWidth="1"/>
    <col min="25" max="25" width="11.7109375" customWidth="1"/>
    <col min="26" max="26" width="6.28515625" customWidth="1"/>
    <col min="27" max="27" width="6.42578125" customWidth="1"/>
  </cols>
  <sheetData>
    <row r="2" spans="2:28" ht="15.75">
      <c r="B2" s="33"/>
      <c r="C2" s="33"/>
      <c r="D2" s="21"/>
      <c r="E2" s="21"/>
      <c r="F2" s="21"/>
      <c r="G2" s="21"/>
      <c r="H2" s="21"/>
      <c r="I2" s="21"/>
      <c r="J2" s="33"/>
      <c r="K2" s="65"/>
      <c r="L2" s="75" t="s">
        <v>0</v>
      </c>
      <c r="M2" s="65"/>
      <c r="N2" s="66"/>
      <c r="O2" s="67"/>
      <c r="P2" s="33"/>
      <c r="Q2" s="33"/>
      <c r="R2" s="33"/>
      <c r="S2" s="76"/>
      <c r="T2" s="65"/>
      <c r="U2" s="21"/>
      <c r="V2" s="33"/>
      <c r="W2" s="33"/>
      <c r="X2" s="33"/>
      <c r="Y2" s="33"/>
      <c r="Z2" s="33"/>
      <c r="AA2" s="33"/>
      <c r="AB2" s="33"/>
    </row>
    <row r="3" spans="2:28" ht="23.25" customHeight="1" thickBot="1">
      <c r="B3" s="33"/>
      <c r="C3" s="33"/>
      <c r="D3" s="21"/>
      <c r="E3" s="21"/>
      <c r="F3" s="21"/>
      <c r="G3" s="21"/>
      <c r="H3" s="21"/>
      <c r="I3" s="21"/>
      <c r="J3" s="33"/>
      <c r="K3" s="65"/>
      <c r="L3" s="75" t="s">
        <v>394</v>
      </c>
      <c r="M3" s="65"/>
      <c r="N3" s="66"/>
      <c r="O3" s="67"/>
      <c r="P3" s="77"/>
      <c r="Q3" s="33"/>
      <c r="R3" s="33"/>
      <c r="S3" s="76"/>
      <c r="T3" s="65"/>
      <c r="U3" s="21"/>
      <c r="V3" s="33"/>
      <c r="W3" s="33"/>
      <c r="X3" s="33"/>
      <c r="Y3" s="33"/>
      <c r="Z3" s="33"/>
      <c r="AA3" s="33"/>
      <c r="AB3" s="33"/>
    </row>
    <row r="4" spans="2:28" s="3" customFormat="1" ht="42.6" customHeight="1" thickBot="1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8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9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20" t="s">
        <v>26</v>
      </c>
      <c r="AB4" s="20" t="s">
        <v>396</v>
      </c>
    </row>
    <row r="5" spans="2:28" ht="30" customHeight="1">
      <c r="B5" s="22">
        <v>1</v>
      </c>
      <c r="C5" s="11" t="s">
        <v>139</v>
      </c>
      <c r="D5" s="14" t="s">
        <v>180</v>
      </c>
      <c r="E5" s="39">
        <v>41743</v>
      </c>
      <c r="F5" s="26" t="s">
        <v>140</v>
      </c>
      <c r="G5" s="11" t="s">
        <v>109</v>
      </c>
      <c r="H5" s="11" t="s">
        <v>34</v>
      </c>
      <c r="I5" s="11" t="s">
        <v>35</v>
      </c>
      <c r="J5" s="27">
        <v>801.22</v>
      </c>
      <c r="K5" s="25">
        <v>41665</v>
      </c>
      <c r="L5" s="11" t="s">
        <v>86</v>
      </c>
      <c r="M5" s="11" t="s">
        <v>36</v>
      </c>
      <c r="N5" s="11" t="s">
        <v>66</v>
      </c>
      <c r="O5" s="14" t="s">
        <v>83</v>
      </c>
      <c r="P5" s="13">
        <v>950131</v>
      </c>
      <c r="Q5" s="28">
        <f t="shared" ref="Q5:Q8" si="0">SUM(P5*S5)</f>
        <v>104211888.2896</v>
      </c>
      <c r="R5" s="29" t="s">
        <v>32</v>
      </c>
      <c r="S5" s="38">
        <v>109.6816</v>
      </c>
      <c r="T5" s="30">
        <f t="shared" ref="T5:T9" si="1">SUM(K5)+89</f>
        <v>41754</v>
      </c>
      <c r="U5" s="11" t="s">
        <v>38</v>
      </c>
      <c r="V5" s="31">
        <f t="shared" ref="V5:V9" si="2">SUM(Q5*0.12%)</f>
        <v>125054.26594751999</v>
      </c>
      <c r="W5" s="23">
        <v>155.75</v>
      </c>
      <c r="X5" s="28">
        <f t="shared" ref="X5:X9" si="3">SUM(V5*W5)</f>
        <v>19477201.921326239</v>
      </c>
      <c r="Y5" s="35">
        <v>19665658.699999999</v>
      </c>
      <c r="Z5" s="23" t="s">
        <v>181</v>
      </c>
      <c r="AA5" s="36">
        <v>9957</v>
      </c>
      <c r="AB5" s="23"/>
    </row>
    <row r="6" spans="2:28" ht="30" customHeight="1">
      <c r="B6" s="22">
        <f t="shared" ref="B6:B48" si="4">B5+1</f>
        <v>2</v>
      </c>
      <c r="C6" s="11" t="s">
        <v>145</v>
      </c>
      <c r="D6" s="14" t="s">
        <v>182</v>
      </c>
      <c r="E6" s="24">
        <v>41743</v>
      </c>
      <c r="F6" s="34" t="s">
        <v>146</v>
      </c>
      <c r="G6" s="78" t="s">
        <v>39</v>
      </c>
      <c r="H6" s="14" t="s">
        <v>79</v>
      </c>
      <c r="I6" s="14" t="s">
        <v>93</v>
      </c>
      <c r="J6" s="27">
        <v>801.22</v>
      </c>
      <c r="K6" s="25">
        <v>41677</v>
      </c>
      <c r="L6" s="11" t="s">
        <v>143</v>
      </c>
      <c r="M6" s="11" t="s">
        <v>47</v>
      </c>
      <c r="N6" s="11" t="s">
        <v>37</v>
      </c>
      <c r="O6" s="11" t="s">
        <v>144</v>
      </c>
      <c r="P6" s="13">
        <v>24000</v>
      </c>
      <c r="Q6" s="28">
        <f t="shared" si="0"/>
        <v>2640696</v>
      </c>
      <c r="R6" s="29" t="s">
        <v>32</v>
      </c>
      <c r="S6" s="10">
        <v>110.029</v>
      </c>
      <c r="T6" s="30">
        <f t="shared" si="1"/>
        <v>41766</v>
      </c>
      <c r="U6" s="14" t="s">
        <v>39</v>
      </c>
      <c r="V6" s="31">
        <f t="shared" si="2"/>
        <v>3168.8351999999995</v>
      </c>
      <c r="W6" s="23">
        <v>155.75</v>
      </c>
      <c r="X6" s="28">
        <f t="shared" si="3"/>
        <v>493546.08239999996</v>
      </c>
      <c r="Y6" s="35">
        <v>423546.08</v>
      </c>
      <c r="Z6" s="30">
        <v>41736</v>
      </c>
      <c r="AA6" s="36">
        <v>3584</v>
      </c>
      <c r="AB6" s="23"/>
    </row>
    <row r="7" spans="2:28" ht="30" customHeight="1">
      <c r="B7" s="22">
        <f t="shared" si="4"/>
        <v>3</v>
      </c>
      <c r="C7" s="11" t="s">
        <v>147</v>
      </c>
      <c r="D7" s="14" t="s">
        <v>183</v>
      </c>
      <c r="E7" s="24">
        <v>41743</v>
      </c>
      <c r="F7" s="34" t="s">
        <v>148</v>
      </c>
      <c r="G7" s="78" t="s">
        <v>39</v>
      </c>
      <c r="H7" s="14" t="s">
        <v>79</v>
      </c>
      <c r="I7" s="14" t="s">
        <v>93</v>
      </c>
      <c r="J7" s="27">
        <v>801.22</v>
      </c>
      <c r="K7" s="25">
        <v>41677</v>
      </c>
      <c r="L7" s="11" t="s">
        <v>143</v>
      </c>
      <c r="M7" s="11" t="s">
        <v>47</v>
      </c>
      <c r="N7" s="11" t="s">
        <v>37</v>
      </c>
      <c r="O7" s="11" t="s">
        <v>144</v>
      </c>
      <c r="P7" s="13">
        <v>36000</v>
      </c>
      <c r="Q7" s="28">
        <f t="shared" si="0"/>
        <v>3961044</v>
      </c>
      <c r="R7" s="29" t="s">
        <v>32</v>
      </c>
      <c r="S7" s="10">
        <v>110.029</v>
      </c>
      <c r="T7" s="30">
        <f t="shared" si="1"/>
        <v>41766</v>
      </c>
      <c r="U7" s="14" t="s">
        <v>39</v>
      </c>
      <c r="V7" s="31">
        <f t="shared" si="2"/>
        <v>4753.2527999999993</v>
      </c>
      <c r="W7" s="23">
        <v>155.75</v>
      </c>
      <c r="X7" s="28">
        <f t="shared" si="3"/>
        <v>740319.12359999993</v>
      </c>
      <c r="Y7" s="35">
        <v>740319.12</v>
      </c>
      <c r="Z7" s="30">
        <v>41736</v>
      </c>
      <c r="AA7" s="36">
        <v>3585</v>
      </c>
      <c r="AB7" s="23"/>
    </row>
    <row r="8" spans="2:28" ht="30" customHeight="1">
      <c r="B8" s="22">
        <f t="shared" si="4"/>
        <v>4</v>
      </c>
      <c r="C8" s="11" t="s">
        <v>149</v>
      </c>
      <c r="D8" s="14" t="s">
        <v>184</v>
      </c>
      <c r="E8" s="24">
        <v>41743</v>
      </c>
      <c r="F8" s="34" t="s">
        <v>150</v>
      </c>
      <c r="G8" s="14" t="s">
        <v>121</v>
      </c>
      <c r="H8" s="14" t="s">
        <v>79</v>
      </c>
      <c r="I8" s="14" t="s">
        <v>93</v>
      </c>
      <c r="J8" s="27">
        <v>801.22</v>
      </c>
      <c r="K8" s="25">
        <v>41677</v>
      </c>
      <c r="L8" s="11" t="s">
        <v>143</v>
      </c>
      <c r="M8" s="11" t="s">
        <v>47</v>
      </c>
      <c r="N8" s="11" t="s">
        <v>37</v>
      </c>
      <c r="O8" s="11" t="s">
        <v>144</v>
      </c>
      <c r="P8" s="13">
        <v>30000</v>
      </c>
      <c r="Q8" s="28">
        <f t="shared" si="0"/>
        <v>3300870</v>
      </c>
      <c r="R8" s="29" t="s">
        <v>32</v>
      </c>
      <c r="S8" s="10">
        <v>110.029</v>
      </c>
      <c r="T8" s="30">
        <f t="shared" si="1"/>
        <v>41766</v>
      </c>
      <c r="U8" s="14" t="s">
        <v>39</v>
      </c>
      <c r="V8" s="31">
        <f t="shared" si="2"/>
        <v>3961.0439999999999</v>
      </c>
      <c r="W8" s="23">
        <v>155.75</v>
      </c>
      <c r="X8" s="28">
        <f t="shared" si="3"/>
        <v>616932.603</v>
      </c>
      <c r="Y8" s="35">
        <v>616932.6</v>
      </c>
      <c r="Z8" s="30">
        <v>41736</v>
      </c>
      <c r="AA8" s="36">
        <v>3586</v>
      </c>
      <c r="AB8" s="23"/>
    </row>
    <row r="9" spans="2:28" ht="30" customHeight="1">
      <c r="B9" s="22">
        <f t="shared" si="4"/>
        <v>5</v>
      </c>
      <c r="C9" s="11" t="s">
        <v>174</v>
      </c>
      <c r="D9" s="24" t="s">
        <v>185</v>
      </c>
      <c r="E9" s="25">
        <v>41743</v>
      </c>
      <c r="F9" s="34" t="s">
        <v>166</v>
      </c>
      <c r="G9" s="11" t="s">
        <v>103</v>
      </c>
      <c r="H9" s="11" t="s">
        <v>133</v>
      </c>
      <c r="I9" s="11" t="s">
        <v>107</v>
      </c>
      <c r="J9" s="27">
        <v>801.22</v>
      </c>
      <c r="K9" s="25">
        <v>41718</v>
      </c>
      <c r="L9" s="11" t="s">
        <v>168</v>
      </c>
      <c r="M9" s="11" t="s">
        <v>108</v>
      </c>
      <c r="N9" s="11" t="s">
        <v>71</v>
      </c>
      <c r="O9" s="14" t="s">
        <v>110</v>
      </c>
      <c r="P9" s="13">
        <v>629594</v>
      </c>
      <c r="Q9" s="28">
        <f t="shared" ref="Q9" si="5">SUM(P9*S9)</f>
        <v>64634120.039999999</v>
      </c>
      <c r="R9" s="29" t="s">
        <v>32</v>
      </c>
      <c r="S9" s="7">
        <v>102.66</v>
      </c>
      <c r="T9" s="30">
        <f t="shared" si="1"/>
        <v>41807</v>
      </c>
      <c r="U9" s="11" t="s">
        <v>109</v>
      </c>
      <c r="V9" s="31">
        <f t="shared" si="2"/>
        <v>77560.94404799999</v>
      </c>
      <c r="W9" s="23">
        <v>155.74</v>
      </c>
      <c r="X9" s="28">
        <f t="shared" si="3"/>
        <v>12079341.42603552</v>
      </c>
      <c r="Y9" s="35">
        <v>12079340.800000001</v>
      </c>
      <c r="Z9" s="30">
        <v>41732</v>
      </c>
      <c r="AA9" s="36">
        <v>4091</v>
      </c>
      <c r="AB9" s="23"/>
    </row>
    <row r="10" spans="2:28" ht="32.25" customHeight="1">
      <c r="B10" s="22">
        <f t="shared" si="4"/>
        <v>6</v>
      </c>
      <c r="C10" s="11" t="s">
        <v>138</v>
      </c>
      <c r="D10" s="24" t="s">
        <v>178</v>
      </c>
      <c r="E10" s="39">
        <v>41744</v>
      </c>
      <c r="F10" s="26" t="s">
        <v>176</v>
      </c>
      <c r="G10" s="11" t="s">
        <v>91</v>
      </c>
      <c r="H10" s="11" t="s">
        <v>74</v>
      </c>
      <c r="I10" s="11" t="s">
        <v>93</v>
      </c>
      <c r="J10" s="27">
        <v>801.22</v>
      </c>
      <c r="K10" s="25">
        <v>41655</v>
      </c>
      <c r="L10" s="11" t="s">
        <v>134</v>
      </c>
      <c r="M10" s="11" t="s">
        <v>47</v>
      </c>
      <c r="N10" s="11" t="s">
        <v>31</v>
      </c>
      <c r="O10" s="14" t="s">
        <v>85</v>
      </c>
      <c r="P10" s="13">
        <v>216000</v>
      </c>
      <c r="Q10" s="28">
        <f>SUM(P10*S10)</f>
        <v>23663880</v>
      </c>
      <c r="R10" s="29" t="s">
        <v>32</v>
      </c>
      <c r="S10" s="8">
        <v>109.55500000000001</v>
      </c>
      <c r="T10" s="30">
        <f>SUM(K10)+89</f>
        <v>41744</v>
      </c>
      <c r="U10" s="11" t="s">
        <v>91</v>
      </c>
      <c r="V10" s="31">
        <f>SUM(Q10*0.12%)</f>
        <v>28396.655999999999</v>
      </c>
      <c r="W10" s="23">
        <v>155.75</v>
      </c>
      <c r="X10" s="28">
        <f>SUM(V10*W10)</f>
        <v>4422779.1720000003</v>
      </c>
      <c r="Y10" s="35">
        <v>4422779.17</v>
      </c>
      <c r="Z10" s="30">
        <v>41738</v>
      </c>
      <c r="AA10" s="36">
        <v>29503</v>
      </c>
      <c r="AB10" s="23"/>
    </row>
    <row r="11" spans="2:28" ht="33.75" customHeight="1">
      <c r="B11" s="22">
        <f t="shared" si="4"/>
        <v>7</v>
      </c>
      <c r="C11" s="11" t="s">
        <v>151</v>
      </c>
      <c r="D11" s="24" t="s">
        <v>179</v>
      </c>
      <c r="E11" s="39">
        <v>41744</v>
      </c>
      <c r="F11" s="26" t="s">
        <v>177</v>
      </c>
      <c r="G11" s="14" t="s">
        <v>91</v>
      </c>
      <c r="H11" s="14" t="s">
        <v>74</v>
      </c>
      <c r="I11" s="14" t="s">
        <v>93</v>
      </c>
      <c r="J11" s="27">
        <v>801.22</v>
      </c>
      <c r="K11" s="25">
        <v>41677</v>
      </c>
      <c r="L11" s="11" t="s">
        <v>143</v>
      </c>
      <c r="M11" s="11" t="s">
        <v>47</v>
      </c>
      <c r="N11" s="11" t="s">
        <v>37</v>
      </c>
      <c r="O11" s="11" t="s">
        <v>144</v>
      </c>
      <c r="P11" s="13">
        <v>110000</v>
      </c>
      <c r="Q11" s="28">
        <f>SUM(P11*S11)</f>
        <v>12125190</v>
      </c>
      <c r="R11" s="29" t="s">
        <v>32</v>
      </c>
      <c r="S11" s="8">
        <v>110.229</v>
      </c>
      <c r="T11" s="30">
        <f>SUM(K11)+89</f>
        <v>41766</v>
      </c>
      <c r="U11" s="14" t="s">
        <v>91</v>
      </c>
      <c r="V11" s="31">
        <f>SUM(Q11*0.12%)</f>
        <v>14550.227999999999</v>
      </c>
      <c r="W11" s="23">
        <v>155.75</v>
      </c>
      <c r="X11" s="28">
        <f>SUM(V11*W11)</f>
        <v>2266198.0109999999</v>
      </c>
      <c r="Y11" s="35">
        <v>2266198.0099999998</v>
      </c>
      <c r="Z11" s="30">
        <v>41738</v>
      </c>
      <c r="AA11" s="36">
        <v>29504</v>
      </c>
      <c r="AB11" s="23"/>
    </row>
    <row r="12" spans="2:28" ht="30" customHeight="1">
      <c r="B12" s="22">
        <f t="shared" si="4"/>
        <v>8</v>
      </c>
      <c r="C12" s="11" t="s">
        <v>153</v>
      </c>
      <c r="D12" s="24" t="s">
        <v>191</v>
      </c>
      <c r="E12" s="39">
        <v>41753</v>
      </c>
      <c r="F12" s="12" t="s">
        <v>189</v>
      </c>
      <c r="G12" s="14" t="s">
        <v>132</v>
      </c>
      <c r="H12" s="14" t="s">
        <v>43</v>
      </c>
      <c r="I12" s="14" t="s">
        <v>93</v>
      </c>
      <c r="J12" s="27">
        <v>801.22</v>
      </c>
      <c r="K12" s="25">
        <v>41690</v>
      </c>
      <c r="L12" s="11" t="s">
        <v>154</v>
      </c>
      <c r="M12" s="11" t="s">
        <v>47</v>
      </c>
      <c r="N12" s="11" t="s">
        <v>68</v>
      </c>
      <c r="O12" s="11" t="s">
        <v>102</v>
      </c>
      <c r="P12" s="13">
        <v>499863</v>
      </c>
      <c r="Q12" s="28">
        <f t="shared" ref="Q12:Q16" si="6">SUM(P12*S12)</f>
        <v>55397316.975000001</v>
      </c>
      <c r="R12" s="29" t="s">
        <v>32</v>
      </c>
      <c r="S12" s="38">
        <v>110.825</v>
      </c>
      <c r="T12" s="30">
        <f t="shared" ref="T12:T16" si="7">SUM(K12)+89</f>
        <v>41779</v>
      </c>
      <c r="U12" s="14" t="s">
        <v>132</v>
      </c>
      <c r="V12" s="31">
        <f t="shared" ref="V12:V19" si="8">SUM(Q12*0.12%)</f>
        <v>66476.780369999993</v>
      </c>
      <c r="W12" s="23">
        <v>155.75</v>
      </c>
      <c r="X12" s="28">
        <f t="shared" ref="X12:X16" si="9">SUM(V12*W12)</f>
        <v>10353758.542627499</v>
      </c>
      <c r="Y12" s="35">
        <f t="shared" ref="Y12:Y16" si="10">X12</f>
        <v>10353758.542627499</v>
      </c>
      <c r="Z12" s="23"/>
      <c r="AA12" s="23"/>
      <c r="AB12" s="90" t="s">
        <v>247</v>
      </c>
    </row>
    <row r="13" spans="2:28" ht="30" customHeight="1">
      <c r="B13" s="22">
        <f t="shared" si="4"/>
        <v>9</v>
      </c>
      <c r="C13" s="11" t="s">
        <v>156</v>
      </c>
      <c r="D13" s="24" t="s">
        <v>191</v>
      </c>
      <c r="E13" s="39">
        <v>41753</v>
      </c>
      <c r="F13" s="12" t="s">
        <v>190</v>
      </c>
      <c r="G13" s="14" t="s">
        <v>132</v>
      </c>
      <c r="H13" s="14" t="s">
        <v>43</v>
      </c>
      <c r="I13" s="14" t="s">
        <v>93</v>
      </c>
      <c r="J13" s="27">
        <v>801.22</v>
      </c>
      <c r="K13" s="25">
        <v>41693</v>
      </c>
      <c r="L13" s="11" t="s">
        <v>78</v>
      </c>
      <c r="M13" s="11" t="s">
        <v>47</v>
      </c>
      <c r="N13" s="11" t="s">
        <v>68</v>
      </c>
      <c r="O13" s="11" t="s">
        <v>102</v>
      </c>
      <c r="P13" s="13">
        <v>421023</v>
      </c>
      <c r="Q13" s="28">
        <f t="shared" si="6"/>
        <v>46563038.685000002</v>
      </c>
      <c r="R13" s="29" t="s">
        <v>32</v>
      </c>
      <c r="S13" s="7">
        <v>110.595</v>
      </c>
      <c r="T13" s="30">
        <f t="shared" si="7"/>
        <v>41782</v>
      </c>
      <c r="U13" s="14" t="s">
        <v>132</v>
      </c>
      <c r="V13" s="31">
        <f t="shared" si="8"/>
        <v>55875.646421999998</v>
      </c>
      <c r="W13" s="23">
        <v>155.75</v>
      </c>
      <c r="X13" s="28">
        <f t="shared" si="9"/>
        <v>8702631.9302264992</v>
      </c>
      <c r="Y13" s="35">
        <f t="shared" si="10"/>
        <v>8702631.9302264992</v>
      </c>
      <c r="Z13" s="23"/>
      <c r="AA13" s="23"/>
      <c r="AB13" s="91"/>
    </row>
    <row r="14" spans="2:28" ht="30" customHeight="1">
      <c r="B14" s="22">
        <f t="shared" si="4"/>
        <v>10</v>
      </c>
      <c r="C14" s="11" t="s">
        <v>157</v>
      </c>
      <c r="D14" s="24" t="s">
        <v>192</v>
      </c>
      <c r="E14" s="39">
        <v>41753</v>
      </c>
      <c r="F14" s="26" t="s">
        <v>186</v>
      </c>
      <c r="G14" s="14" t="s">
        <v>132</v>
      </c>
      <c r="H14" s="14" t="s">
        <v>43</v>
      </c>
      <c r="I14" s="14" t="s">
        <v>93</v>
      </c>
      <c r="J14" s="27">
        <v>801.22</v>
      </c>
      <c r="K14" s="25">
        <v>41695</v>
      </c>
      <c r="L14" s="11" t="s">
        <v>158</v>
      </c>
      <c r="M14" s="11" t="s">
        <v>47</v>
      </c>
      <c r="N14" s="11" t="s">
        <v>69</v>
      </c>
      <c r="O14" s="11" t="s">
        <v>159</v>
      </c>
      <c r="P14" s="13">
        <v>63000</v>
      </c>
      <c r="Q14" s="28">
        <f t="shared" si="6"/>
        <v>6969564</v>
      </c>
      <c r="R14" s="29" t="s">
        <v>32</v>
      </c>
      <c r="S14" s="38">
        <v>110.628</v>
      </c>
      <c r="T14" s="30">
        <f t="shared" si="7"/>
        <v>41784</v>
      </c>
      <c r="U14" s="14" t="s">
        <v>132</v>
      </c>
      <c r="V14" s="31">
        <f t="shared" si="8"/>
        <v>8363.4767999999985</v>
      </c>
      <c r="W14" s="23">
        <v>155.75</v>
      </c>
      <c r="X14" s="28">
        <f t="shared" si="9"/>
        <v>1302611.5115999999</v>
      </c>
      <c r="Y14" s="35">
        <f t="shared" si="10"/>
        <v>1302611.5115999999</v>
      </c>
      <c r="Z14" s="23"/>
      <c r="AA14" s="23"/>
      <c r="AB14" s="23"/>
    </row>
    <row r="15" spans="2:28" ht="30" customHeight="1">
      <c r="B15" s="22">
        <f t="shared" si="4"/>
        <v>11</v>
      </c>
      <c r="C15" s="11" t="s">
        <v>160</v>
      </c>
      <c r="D15" s="24" t="s">
        <v>193</v>
      </c>
      <c r="E15" s="39">
        <v>41753</v>
      </c>
      <c r="F15" s="26" t="s">
        <v>187</v>
      </c>
      <c r="G15" s="14" t="s">
        <v>132</v>
      </c>
      <c r="H15" s="14" t="s">
        <v>43</v>
      </c>
      <c r="I15" s="14" t="s">
        <v>93</v>
      </c>
      <c r="J15" s="27">
        <v>801.22</v>
      </c>
      <c r="K15" s="25">
        <v>41695</v>
      </c>
      <c r="L15" s="11" t="s">
        <v>158</v>
      </c>
      <c r="M15" s="11" t="s">
        <v>47</v>
      </c>
      <c r="N15" s="11" t="s">
        <v>69</v>
      </c>
      <c r="O15" s="11" t="s">
        <v>159</v>
      </c>
      <c r="P15" s="13">
        <v>42000</v>
      </c>
      <c r="Q15" s="28">
        <f t="shared" si="6"/>
        <v>4646376</v>
      </c>
      <c r="R15" s="29" t="s">
        <v>32</v>
      </c>
      <c r="S15" s="38">
        <v>110.628</v>
      </c>
      <c r="T15" s="30">
        <f t="shared" si="7"/>
        <v>41784</v>
      </c>
      <c r="U15" s="14" t="s">
        <v>132</v>
      </c>
      <c r="V15" s="31">
        <f t="shared" si="8"/>
        <v>5575.6511999999993</v>
      </c>
      <c r="W15" s="23">
        <v>155.75</v>
      </c>
      <c r="X15" s="28">
        <f t="shared" si="9"/>
        <v>868407.6743999999</v>
      </c>
      <c r="Y15" s="35">
        <f t="shared" si="10"/>
        <v>868407.6743999999</v>
      </c>
      <c r="Z15" s="23"/>
      <c r="AA15" s="23"/>
      <c r="AB15" s="23"/>
    </row>
    <row r="16" spans="2:28" ht="30" customHeight="1">
      <c r="B16" s="22">
        <f t="shared" si="4"/>
        <v>12</v>
      </c>
      <c r="C16" s="11" t="s">
        <v>161</v>
      </c>
      <c r="D16" s="24" t="s">
        <v>194</v>
      </c>
      <c r="E16" s="39">
        <v>41753</v>
      </c>
      <c r="F16" s="26" t="s">
        <v>188</v>
      </c>
      <c r="G16" s="14" t="s">
        <v>132</v>
      </c>
      <c r="H16" s="14" t="s">
        <v>43</v>
      </c>
      <c r="I16" s="14" t="s">
        <v>93</v>
      </c>
      <c r="J16" s="27">
        <v>801.22</v>
      </c>
      <c r="K16" s="25">
        <v>41695</v>
      </c>
      <c r="L16" s="11" t="s">
        <v>158</v>
      </c>
      <c r="M16" s="11" t="s">
        <v>47</v>
      </c>
      <c r="N16" s="11" t="s">
        <v>69</v>
      </c>
      <c r="O16" s="11" t="s">
        <v>159</v>
      </c>
      <c r="P16" s="13">
        <v>144472</v>
      </c>
      <c r="Q16" s="28">
        <f t="shared" si="6"/>
        <v>15982648.415999999</v>
      </c>
      <c r="R16" s="29" t="s">
        <v>32</v>
      </c>
      <c r="S16" s="38">
        <v>110.628</v>
      </c>
      <c r="T16" s="30">
        <f t="shared" si="7"/>
        <v>41784</v>
      </c>
      <c r="U16" s="14" t="s">
        <v>132</v>
      </c>
      <c r="V16" s="31">
        <f t="shared" si="8"/>
        <v>19179.178099199999</v>
      </c>
      <c r="W16" s="23">
        <v>155.75</v>
      </c>
      <c r="X16" s="28">
        <f t="shared" si="9"/>
        <v>2987156.9889503997</v>
      </c>
      <c r="Y16" s="35">
        <f t="shared" si="10"/>
        <v>2987156.9889503997</v>
      </c>
      <c r="Z16" s="23"/>
      <c r="AA16" s="23"/>
      <c r="AB16" s="23"/>
    </row>
    <row r="17" spans="2:28" ht="30" customHeight="1">
      <c r="B17" s="22">
        <f t="shared" si="4"/>
        <v>13</v>
      </c>
      <c r="C17" s="11" t="s">
        <v>117</v>
      </c>
      <c r="D17" s="79" t="s">
        <v>197</v>
      </c>
      <c r="E17" s="25">
        <v>41758</v>
      </c>
      <c r="F17" s="26" t="s">
        <v>195</v>
      </c>
      <c r="G17" s="11" t="s">
        <v>103</v>
      </c>
      <c r="H17" s="11" t="s">
        <v>104</v>
      </c>
      <c r="I17" s="11" t="s">
        <v>93</v>
      </c>
      <c r="J17" s="27">
        <v>801.22</v>
      </c>
      <c r="K17" s="25">
        <v>41555</v>
      </c>
      <c r="L17" s="11" t="s">
        <v>113</v>
      </c>
      <c r="M17" s="11" t="s">
        <v>47</v>
      </c>
      <c r="N17" s="11" t="s">
        <v>56</v>
      </c>
      <c r="O17" s="14" t="s">
        <v>115</v>
      </c>
      <c r="P17" s="13">
        <v>649094</v>
      </c>
      <c r="Q17" s="28">
        <f t="shared" ref="Q17:Q18" si="11">SUM(P17*S17)</f>
        <v>72116290.681999996</v>
      </c>
      <c r="R17" s="29" t="s">
        <v>32</v>
      </c>
      <c r="S17" s="38">
        <v>111.10299999999999</v>
      </c>
      <c r="T17" s="30">
        <f t="shared" ref="T17:T18" si="12">SUM(K17)+89</f>
        <v>41644</v>
      </c>
      <c r="U17" s="11" t="s">
        <v>33</v>
      </c>
      <c r="V17" s="31">
        <f t="shared" si="8"/>
        <v>86539.548818399984</v>
      </c>
      <c r="W17" s="80">
        <v>155.80000000000001</v>
      </c>
      <c r="X17" s="28">
        <f t="shared" ref="X17:X19" si="13">SUM(V17*W17)</f>
        <v>13482861.705906719</v>
      </c>
      <c r="Y17" s="35">
        <v>13439592.109999999</v>
      </c>
      <c r="Z17" s="30">
        <v>41022</v>
      </c>
      <c r="AA17" s="36">
        <v>4097</v>
      </c>
      <c r="AB17" s="90" t="s">
        <v>247</v>
      </c>
    </row>
    <row r="18" spans="2:28" ht="30" customHeight="1">
      <c r="B18" s="22">
        <f t="shared" si="4"/>
        <v>14</v>
      </c>
      <c r="C18" s="11" t="s">
        <v>118</v>
      </c>
      <c r="D18" s="79" t="s">
        <v>197</v>
      </c>
      <c r="E18" s="25">
        <v>41758</v>
      </c>
      <c r="F18" s="26" t="s">
        <v>196</v>
      </c>
      <c r="G18" s="11" t="s">
        <v>103</v>
      </c>
      <c r="H18" s="11" t="s">
        <v>104</v>
      </c>
      <c r="I18" s="11" t="s">
        <v>93</v>
      </c>
      <c r="J18" s="27">
        <v>801.22</v>
      </c>
      <c r="K18" s="25">
        <v>41555</v>
      </c>
      <c r="L18" s="11" t="s">
        <v>113</v>
      </c>
      <c r="M18" s="11" t="s">
        <v>47</v>
      </c>
      <c r="N18" s="11" t="s">
        <v>69</v>
      </c>
      <c r="O18" s="14" t="s">
        <v>92</v>
      </c>
      <c r="P18" s="13">
        <v>300000</v>
      </c>
      <c r="Q18" s="28">
        <f t="shared" si="11"/>
        <v>33330900</v>
      </c>
      <c r="R18" s="29" t="s">
        <v>32</v>
      </c>
      <c r="S18" s="38">
        <v>111.10299999999999</v>
      </c>
      <c r="T18" s="30">
        <f t="shared" si="12"/>
        <v>41644</v>
      </c>
      <c r="U18" s="11" t="s">
        <v>33</v>
      </c>
      <c r="V18" s="31">
        <f t="shared" si="8"/>
        <v>39997.079999999994</v>
      </c>
      <c r="W18" s="80">
        <v>155.80000000000001</v>
      </c>
      <c r="X18" s="28">
        <f t="shared" si="13"/>
        <v>6231545.0639999993</v>
      </c>
      <c r="Y18" s="35">
        <v>6211546.3499999996</v>
      </c>
      <c r="Z18" s="30">
        <v>41022</v>
      </c>
      <c r="AA18" s="36">
        <v>4097</v>
      </c>
      <c r="AB18" s="91"/>
    </row>
    <row r="19" spans="2:28" ht="30" customHeight="1">
      <c r="B19" s="22">
        <f t="shared" si="4"/>
        <v>15</v>
      </c>
      <c r="C19" s="11" t="s">
        <v>119</v>
      </c>
      <c r="D19" s="79" t="s">
        <v>198</v>
      </c>
      <c r="E19" s="25">
        <v>41758</v>
      </c>
      <c r="F19" s="81">
        <v>201300010461</v>
      </c>
      <c r="G19" s="82" t="s">
        <v>103</v>
      </c>
      <c r="H19" s="11" t="s">
        <v>104</v>
      </c>
      <c r="I19" s="11" t="s">
        <v>93</v>
      </c>
      <c r="J19" s="27">
        <v>801.22</v>
      </c>
      <c r="K19" s="30">
        <v>41573</v>
      </c>
      <c r="L19" s="11" t="s">
        <v>97</v>
      </c>
      <c r="M19" s="23" t="s">
        <v>47</v>
      </c>
      <c r="N19" s="11" t="s">
        <v>71</v>
      </c>
      <c r="O19" s="14" t="s">
        <v>95</v>
      </c>
      <c r="P19" s="83">
        <v>949538</v>
      </c>
      <c r="Q19" s="28">
        <f t="shared" ref="Q19:Q27" si="14">SUM(P19*S19)</f>
        <v>104414047.094</v>
      </c>
      <c r="R19" s="29" t="s">
        <v>32</v>
      </c>
      <c r="S19" s="38">
        <v>109.96299999999999</v>
      </c>
      <c r="T19" s="30">
        <f t="shared" ref="T19" si="15">SUM(K19)+89</f>
        <v>41662</v>
      </c>
      <c r="U19" s="11" t="s">
        <v>33</v>
      </c>
      <c r="V19" s="31">
        <f t="shared" si="8"/>
        <v>125296.85651279999</v>
      </c>
      <c r="W19" s="80">
        <v>155.80000000000001</v>
      </c>
      <c r="X19" s="28">
        <f t="shared" si="13"/>
        <v>19521250.24469424</v>
      </c>
      <c r="Y19" s="35">
        <v>19458601.82</v>
      </c>
      <c r="Z19" s="30">
        <v>41022</v>
      </c>
      <c r="AA19" s="36">
        <v>4098</v>
      </c>
      <c r="AB19" s="23"/>
    </row>
    <row r="20" spans="2:28" ht="30" customHeight="1">
      <c r="B20" s="22">
        <f t="shared" si="4"/>
        <v>16</v>
      </c>
      <c r="C20" s="11" t="s">
        <v>229</v>
      </c>
      <c r="D20" s="25" t="s">
        <v>199</v>
      </c>
      <c r="E20" s="25">
        <v>41759</v>
      </c>
      <c r="F20" s="12" t="s">
        <v>209</v>
      </c>
      <c r="G20" s="11" t="s">
        <v>132</v>
      </c>
      <c r="H20" s="11" t="s">
        <v>43</v>
      </c>
      <c r="I20" s="11" t="s">
        <v>93</v>
      </c>
      <c r="J20" s="27">
        <v>801.22</v>
      </c>
      <c r="K20" s="25">
        <v>41734</v>
      </c>
      <c r="L20" s="11" t="s">
        <v>99</v>
      </c>
      <c r="M20" s="11" t="s">
        <v>47</v>
      </c>
      <c r="N20" s="11" t="s">
        <v>135</v>
      </c>
      <c r="O20" s="14" t="s">
        <v>136</v>
      </c>
      <c r="P20" s="13">
        <v>199536</v>
      </c>
      <c r="Q20" s="28">
        <f t="shared" si="14"/>
        <v>21475660.607999999</v>
      </c>
      <c r="R20" s="29" t="s">
        <v>32</v>
      </c>
      <c r="S20" s="7">
        <v>107.628</v>
      </c>
      <c r="T20" s="30">
        <f t="shared" ref="T20:T25" si="16">SUM(K20)+89</f>
        <v>41823</v>
      </c>
      <c r="U20" s="11" t="s">
        <v>132</v>
      </c>
      <c r="V20" s="31">
        <f t="shared" ref="V20:V30" si="17">SUM(Q20*0.12%)</f>
        <v>25770.792729599998</v>
      </c>
      <c r="W20" s="23">
        <v>155.72999999999999</v>
      </c>
      <c r="X20" s="28">
        <f t="shared" ref="X20:X47" si="18">SUM(V20*W20)</f>
        <v>4013285.5517806076</v>
      </c>
      <c r="Y20" s="35">
        <f t="shared" ref="Y20:Y25" si="19">X20</f>
        <v>4013285.5517806076</v>
      </c>
      <c r="Z20" s="23"/>
      <c r="AA20" s="23"/>
      <c r="AB20" s="23"/>
    </row>
    <row r="21" spans="2:28" ht="30" customHeight="1">
      <c r="B21" s="22">
        <f t="shared" si="4"/>
        <v>17</v>
      </c>
      <c r="C21" s="11" t="s">
        <v>230</v>
      </c>
      <c r="D21" s="25" t="s">
        <v>200</v>
      </c>
      <c r="E21" s="25">
        <v>41759</v>
      </c>
      <c r="F21" s="12" t="s">
        <v>210</v>
      </c>
      <c r="G21" s="11" t="s">
        <v>132</v>
      </c>
      <c r="H21" s="11" t="s">
        <v>43</v>
      </c>
      <c r="I21" s="11" t="s">
        <v>93</v>
      </c>
      <c r="J21" s="27">
        <v>801.22</v>
      </c>
      <c r="K21" s="25">
        <v>41734</v>
      </c>
      <c r="L21" s="11" t="s">
        <v>99</v>
      </c>
      <c r="M21" s="11" t="s">
        <v>47</v>
      </c>
      <c r="N21" s="11" t="s">
        <v>135</v>
      </c>
      <c r="O21" s="14" t="s">
        <v>136</v>
      </c>
      <c r="P21" s="13">
        <v>120000</v>
      </c>
      <c r="Q21" s="28">
        <f t="shared" si="14"/>
        <v>12915360</v>
      </c>
      <c r="R21" s="29" t="s">
        <v>32</v>
      </c>
      <c r="S21" s="38">
        <v>107.628</v>
      </c>
      <c r="T21" s="30">
        <f t="shared" si="16"/>
        <v>41823</v>
      </c>
      <c r="U21" s="11" t="s">
        <v>132</v>
      </c>
      <c r="V21" s="31">
        <f t="shared" si="17"/>
        <v>15498.431999999999</v>
      </c>
      <c r="W21" s="23">
        <v>155.72999999999999</v>
      </c>
      <c r="X21" s="28">
        <f t="shared" si="18"/>
        <v>2413570.8153599999</v>
      </c>
      <c r="Y21" s="35">
        <f t="shared" si="19"/>
        <v>2413570.8153599999</v>
      </c>
      <c r="Z21" s="23"/>
      <c r="AA21" s="23"/>
      <c r="AB21" s="23"/>
    </row>
    <row r="22" spans="2:28" ht="30" customHeight="1">
      <c r="B22" s="22">
        <f t="shared" si="4"/>
        <v>18</v>
      </c>
      <c r="C22" s="11" t="s">
        <v>231</v>
      </c>
      <c r="D22" s="25" t="s">
        <v>201</v>
      </c>
      <c r="E22" s="25">
        <v>41759</v>
      </c>
      <c r="F22" s="34" t="s">
        <v>211</v>
      </c>
      <c r="G22" s="11" t="s">
        <v>132</v>
      </c>
      <c r="H22" s="11" t="s">
        <v>43</v>
      </c>
      <c r="I22" s="11" t="s">
        <v>44</v>
      </c>
      <c r="J22" s="27">
        <v>801.22</v>
      </c>
      <c r="K22" s="25">
        <v>41742</v>
      </c>
      <c r="L22" s="11" t="s">
        <v>65</v>
      </c>
      <c r="M22" s="11" t="s">
        <v>45</v>
      </c>
      <c r="N22" s="11" t="s">
        <v>56</v>
      </c>
      <c r="O22" s="14" t="s">
        <v>83</v>
      </c>
      <c r="P22" s="13">
        <v>899774</v>
      </c>
      <c r="Q22" s="28">
        <f t="shared" si="14"/>
        <v>99304457.283999994</v>
      </c>
      <c r="R22" s="29" t="s">
        <v>32</v>
      </c>
      <c r="S22" s="38">
        <v>110.366</v>
      </c>
      <c r="T22" s="30">
        <f t="shared" si="16"/>
        <v>41831</v>
      </c>
      <c r="U22" s="11" t="s">
        <v>132</v>
      </c>
      <c r="V22" s="31">
        <f t="shared" si="17"/>
        <v>119165.34874079998</v>
      </c>
      <c r="W22" s="23">
        <v>155.72999999999999</v>
      </c>
      <c r="X22" s="28">
        <f t="shared" si="18"/>
        <v>18557619.759404778</v>
      </c>
      <c r="Y22" s="35">
        <f t="shared" si="19"/>
        <v>18557619.759404778</v>
      </c>
      <c r="Z22" s="23"/>
      <c r="AA22" s="23"/>
      <c r="AB22" s="23"/>
    </row>
    <row r="23" spans="2:28" ht="30" customHeight="1">
      <c r="B23" s="22">
        <f t="shared" si="4"/>
        <v>19</v>
      </c>
      <c r="C23" s="11" t="s">
        <v>232</v>
      </c>
      <c r="D23" s="25" t="s">
        <v>202</v>
      </c>
      <c r="E23" s="25">
        <v>41759</v>
      </c>
      <c r="F23" s="34" t="s">
        <v>212</v>
      </c>
      <c r="G23" s="11" t="s">
        <v>132</v>
      </c>
      <c r="H23" s="11" t="s">
        <v>43</v>
      </c>
      <c r="I23" s="11" t="s">
        <v>93</v>
      </c>
      <c r="J23" s="27">
        <v>801.22</v>
      </c>
      <c r="K23" s="25">
        <v>41742</v>
      </c>
      <c r="L23" s="11" t="s">
        <v>78</v>
      </c>
      <c r="M23" s="11" t="s">
        <v>47</v>
      </c>
      <c r="N23" s="11" t="s">
        <v>68</v>
      </c>
      <c r="O23" s="14" t="s">
        <v>81</v>
      </c>
      <c r="P23" s="13">
        <v>170000</v>
      </c>
      <c r="Q23" s="28">
        <f t="shared" si="14"/>
        <v>18685720</v>
      </c>
      <c r="R23" s="29" t="s">
        <v>32</v>
      </c>
      <c r="S23" s="38">
        <v>109.916</v>
      </c>
      <c r="T23" s="30">
        <f t="shared" si="16"/>
        <v>41831</v>
      </c>
      <c r="U23" s="11" t="s">
        <v>132</v>
      </c>
      <c r="V23" s="31">
        <f t="shared" si="17"/>
        <v>22422.863999999998</v>
      </c>
      <c r="W23" s="23">
        <v>155.72999999999999</v>
      </c>
      <c r="X23" s="28">
        <f t="shared" si="18"/>
        <v>3491912.6107199993</v>
      </c>
      <c r="Y23" s="35">
        <f t="shared" si="19"/>
        <v>3491912.6107199993</v>
      </c>
      <c r="Z23" s="23"/>
      <c r="AA23" s="23"/>
      <c r="AB23" s="23"/>
    </row>
    <row r="24" spans="2:28" ht="30" customHeight="1">
      <c r="B24" s="22">
        <f t="shared" si="4"/>
        <v>20</v>
      </c>
      <c r="C24" s="11" t="s">
        <v>233</v>
      </c>
      <c r="D24" s="25" t="s">
        <v>203</v>
      </c>
      <c r="E24" s="25">
        <v>41759</v>
      </c>
      <c r="F24" s="34" t="s">
        <v>213</v>
      </c>
      <c r="G24" s="11" t="s">
        <v>132</v>
      </c>
      <c r="H24" s="11" t="s">
        <v>43</v>
      </c>
      <c r="I24" s="11" t="s">
        <v>93</v>
      </c>
      <c r="J24" s="27">
        <v>801.22</v>
      </c>
      <c r="K24" s="25">
        <v>41742</v>
      </c>
      <c r="L24" s="11" t="s">
        <v>78</v>
      </c>
      <c r="M24" s="11" t="s">
        <v>47</v>
      </c>
      <c r="N24" s="11" t="s">
        <v>68</v>
      </c>
      <c r="O24" s="14" t="s">
        <v>81</v>
      </c>
      <c r="P24" s="13">
        <v>50000</v>
      </c>
      <c r="Q24" s="28">
        <f t="shared" si="14"/>
        <v>5495800</v>
      </c>
      <c r="R24" s="29" t="s">
        <v>32</v>
      </c>
      <c r="S24" s="38">
        <v>109.916</v>
      </c>
      <c r="T24" s="30">
        <f t="shared" si="16"/>
        <v>41831</v>
      </c>
      <c r="U24" s="11" t="s">
        <v>132</v>
      </c>
      <c r="V24" s="31">
        <f t="shared" si="17"/>
        <v>6594.9599999999991</v>
      </c>
      <c r="W24" s="23">
        <v>155.72999999999999</v>
      </c>
      <c r="X24" s="28">
        <f t="shared" si="18"/>
        <v>1027033.1207999998</v>
      </c>
      <c r="Y24" s="35">
        <f t="shared" si="19"/>
        <v>1027033.1207999998</v>
      </c>
      <c r="Z24" s="23"/>
      <c r="AA24" s="23"/>
      <c r="AB24" s="23"/>
    </row>
    <row r="25" spans="2:28" ht="30" customHeight="1">
      <c r="B25" s="22">
        <f t="shared" si="4"/>
        <v>21</v>
      </c>
      <c r="C25" s="11" t="s">
        <v>241</v>
      </c>
      <c r="D25" s="25" t="s">
        <v>204</v>
      </c>
      <c r="E25" s="25">
        <v>41759</v>
      </c>
      <c r="F25" s="34" t="s">
        <v>221</v>
      </c>
      <c r="G25" s="11" t="s">
        <v>132</v>
      </c>
      <c r="H25" s="11" t="s">
        <v>43</v>
      </c>
      <c r="I25" s="11" t="s">
        <v>93</v>
      </c>
      <c r="J25" s="27">
        <v>801.22</v>
      </c>
      <c r="K25" s="25">
        <v>41758</v>
      </c>
      <c r="L25" s="11" t="s">
        <v>105</v>
      </c>
      <c r="M25" s="11" t="s">
        <v>47</v>
      </c>
      <c r="N25" s="11" t="s">
        <v>37</v>
      </c>
      <c r="O25" s="14" t="s">
        <v>96</v>
      </c>
      <c r="P25" s="48">
        <v>949719</v>
      </c>
      <c r="Q25" s="49">
        <f t="shared" si="14"/>
        <v>105507132.867</v>
      </c>
      <c r="R25" s="29" t="s">
        <v>32</v>
      </c>
      <c r="S25" s="38">
        <v>111.093</v>
      </c>
      <c r="T25" s="30">
        <f t="shared" si="16"/>
        <v>41847</v>
      </c>
      <c r="U25" s="11" t="s">
        <v>132</v>
      </c>
      <c r="V25" s="53">
        <f t="shared" si="17"/>
        <v>126608.55944039999</v>
      </c>
      <c r="W25" s="23">
        <v>155.72999999999999</v>
      </c>
      <c r="X25" s="49">
        <f t="shared" si="18"/>
        <v>19716750.96165349</v>
      </c>
      <c r="Y25" s="35">
        <f t="shared" si="19"/>
        <v>19716750.96165349</v>
      </c>
      <c r="Z25" s="23"/>
      <c r="AA25" s="23"/>
      <c r="AB25" s="23"/>
    </row>
    <row r="26" spans="2:28" ht="30" customHeight="1">
      <c r="B26" s="22">
        <f t="shared" si="4"/>
        <v>22</v>
      </c>
      <c r="C26" s="11" t="s">
        <v>244</v>
      </c>
      <c r="D26" s="25" t="s">
        <v>251</v>
      </c>
      <c r="E26" s="25">
        <v>41771</v>
      </c>
      <c r="F26" s="34" t="s">
        <v>214</v>
      </c>
      <c r="G26" s="11" t="s">
        <v>109</v>
      </c>
      <c r="H26" s="11" t="s">
        <v>133</v>
      </c>
      <c r="I26" s="11" t="s">
        <v>107</v>
      </c>
      <c r="J26" s="27">
        <v>801.22</v>
      </c>
      <c r="K26" s="25">
        <v>41743</v>
      </c>
      <c r="L26" s="11" t="s">
        <v>222</v>
      </c>
      <c r="M26" s="11" t="s">
        <v>108</v>
      </c>
      <c r="N26" s="11" t="s">
        <v>37</v>
      </c>
      <c r="O26" s="14" t="s">
        <v>223</v>
      </c>
      <c r="P26" s="13">
        <v>649457</v>
      </c>
      <c r="Q26" s="28">
        <f t="shared" si="14"/>
        <v>66604413.178000003</v>
      </c>
      <c r="R26" s="29" t="s">
        <v>32</v>
      </c>
      <c r="S26" s="38">
        <v>102.554</v>
      </c>
      <c r="T26" s="30">
        <f t="shared" ref="T26" si="20">SUM(K26)+89</f>
        <v>41832</v>
      </c>
      <c r="U26" s="11" t="s">
        <v>109</v>
      </c>
      <c r="V26" s="31">
        <f t="shared" si="17"/>
        <v>79925.295813599994</v>
      </c>
      <c r="W26" s="23">
        <v>155.72999999999999</v>
      </c>
      <c r="X26" s="28">
        <f t="shared" si="18"/>
        <v>12446766.317051927</v>
      </c>
      <c r="Y26" s="35">
        <v>12446766.970000001</v>
      </c>
      <c r="Z26" s="30">
        <v>41766</v>
      </c>
      <c r="AA26" s="36">
        <v>4648</v>
      </c>
      <c r="AB26" s="23"/>
    </row>
    <row r="27" spans="2:28" ht="30" customHeight="1">
      <c r="B27" s="22">
        <f t="shared" si="4"/>
        <v>23</v>
      </c>
      <c r="C27" s="11" t="s">
        <v>245</v>
      </c>
      <c r="D27" s="11" t="s">
        <v>252</v>
      </c>
      <c r="E27" s="25">
        <v>41771</v>
      </c>
      <c r="F27" s="34" t="s">
        <v>219</v>
      </c>
      <c r="G27" s="11" t="s">
        <v>50</v>
      </c>
      <c r="H27" s="11" t="s">
        <v>72</v>
      </c>
      <c r="I27" s="11" t="s">
        <v>54</v>
      </c>
      <c r="J27" s="27">
        <v>801.22</v>
      </c>
      <c r="K27" s="25">
        <v>41749</v>
      </c>
      <c r="L27" s="11" t="s">
        <v>129</v>
      </c>
      <c r="M27" s="11" t="s">
        <v>55</v>
      </c>
      <c r="N27" s="11" t="s">
        <v>69</v>
      </c>
      <c r="O27" s="14" t="s">
        <v>92</v>
      </c>
      <c r="P27" s="13">
        <v>153776</v>
      </c>
      <c r="Q27" s="28">
        <f t="shared" si="14"/>
        <v>16977331.728</v>
      </c>
      <c r="R27" s="29" t="s">
        <v>32</v>
      </c>
      <c r="S27" s="38">
        <v>110.40300000000001</v>
      </c>
      <c r="T27" s="30">
        <f t="shared" ref="T27" si="21">SUM(K27)+89</f>
        <v>41838</v>
      </c>
      <c r="U27" s="11" t="s">
        <v>50</v>
      </c>
      <c r="V27" s="31">
        <f t="shared" si="17"/>
        <v>20372.798073599999</v>
      </c>
      <c r="W27" s="23">
        <v>155.72999999999999</v>
      </c>
      <c r="X27" s="28">
        <f t="shared" si="18"/>
        <v>3172655.8440017276</v>
      </c>
      <c r="Y27" s="35">
        <v>3172655.84</v>
      </c>
      <c r="Z27" s="30">
        <v>41765</v>
      </c>
      <c r="AA27" s="42">
        <v>15442</v>
      </c>
      <c r="AB27" s="23"/>
    </row>
    <row r="28" spans="2:28" s="2" customFormat="1" ht="30" customHeight="1">
      <c r="B28" s="22">
        <f>B27+1</f>
        <v>24</v>
      </c>
      <c r="C28" s="11" t="s">
        <v>171</v>
      </c>
      <c r="D28" s="24" t="s">
        <v>253</v>
      </c>
      <c r="E28" s="25">
        <v>41778</v>
      </c>
      <c r="F28" s="26" t="s">
        <v>164</v>
      </c>
      <c r="G28" s="11" t="s">
        <v>90</v>
      </c>
      <c r="H28" s="11" t="s">
        <v>28</v>
      </c>
      <c r="I28" s="11" t="s">
        <v>93</v>
      </c>
      <c r="J28" s="27">
        <v>801.22</v>
      </c>
      <c r="K28" s="39">
        <v>41703</v>
      </c>
      <c r="L28" s="57" t="s">
        <v>84</v>
      </c>
      <c r="M28" s="57" t="s">
        <v>47</v>
      </c>
      <c r="N28" s="11" t="s">
        <v>41</v>
      </c>
      <c r="O28" s="14" t="s">
        <v>42</v>
      </c>
      <c r="P28" s="13">
        <v>180000</v>
      </c>
      <c r="Q28" s="49">
        <f t="shared" ref="Q28" si="22">SUM(P28*S28)</f>
        <v>19768320</v>
      </c>
      <c r="R28" s="29" t="s">
        <v>32</v>
      </c>
      <c r="S28" s="8">
        <v>109.824</v>
      </c>
      <c r="T28" s="30">
        <f t="shared" ref="T28:T30" si="23">SUM(K28)+89</f>
        <v>41792</v>
      </c>
      <c r="U28" s="11" t="s">
        <v>27</v>
      </c>
      <c r="V28" s="53">
        <f t="shared" si="17"/>
        <v>23721.983999999997</v>
      </c>
      <c r="W28" s="23">
        <v>155.74</v>
      </c>
      <c r="X28" s="49">
        <f t="shared" si="18"/>
        <v>3694461.7881599995</v>
      </c>
      <c r="Y28" s="35">
        <v>3694461.17</v>
      </c>
      <c r="Z28" s="30">
        <v>41773</v>
      </c>
      <c r="AA28" s="36">
        <v>1439</v>
      </c>
      <c r="AB28" s="23"/>
    </row>
    <row r="29" spans="2:28" ht="30" customHeight="1">
      <c r="B29" s="22">
        <f t="shared" si="4"/>
        <v>25</v>
      </c>
      <c r="C29" s="11" t="s">
        <v>173</v>
      </c>
      <c r="D29" s="24" t="s">
        <v>254</v>
      </c>
      <c r="E29" s="25">
        <v>41778</v>
      </c>
      <c r="F29" s="34" t="s">
        <v>167</v>
      </c>
      <c r="G29" s="11" t="s">
        <v>90</v>
      </c>
      <c r="H29" s="11" t="s">
        <v>28</v>
      </c>
      <c r="I29" s="11" t="s">
        <v>29</v>
      </c>
      <c r="J29" s="27">
        <v>801.22</v>
      </c>
      <c r="K29" s="25">
        <v>41727</v>
      </c>
      <c r="L29" s="11" t="s">
        <v>70</v>
      </c>
      <c r="M29" s="11" t="s">
        <v>30</v>
      </c>
      <c r="N29" s="11" t="s">
        <v>89</v>
      </c>
      <c r="O29" s="14" t="s">
        <v>116</v>
      </c>
      <c r="P29" s="13">
        <v>947026</v>
      </c>
      <c r="Q29" s="28">
        <f t="shared" ref="Q29:Q30" si="24">SUM(P29*S29)</f>
        <v>99519174.236000001</v>
      </c>
      <c r="R29" s="29" t="s">
        <v>32</v>
      </c>
      <c r="S29" s="38">
        <v>105.086</v>
      </c>
      <c r="T29" s="30">
        <f t="shared" si="23"/>
        <v>41816</v>
      </c>
      <c r="U29" s="11" t="s">
        <v>27</v>
      </c>
      <c r="V29" s="31">
        <f t="shared" si="17"/>
        <v>119423.00908319998</v>
      </c>
      <c r="W29" s="23">
        <v>155.74</v>
      </c>
      <c r="X29" s="28">
        <f t="shared" si="18"/>
        <v>18598939.434617568</v>
      </c>
      <c r="Y29" s="35">
        <v>18598939.579999998</v>
      </c>
      <c r="Z29" s="30">
        <v>41774</v>
      </c>
      <c r="AA29" s="36">
        <v>1440</v>
      </c>
      <c r="AB29" s="23"/>
    </row>
    <row r="30" spans="2:28" ht="30" customHeight="1">
      <c r="B30" s="22">
        <f t="shared" si="4"/>
        <v>26</v>
      </c>
      <c r="C30" s="11" t="s">
        <v>234</v>
      </c>
      <c r="D30" s="25" t="s">
        <v>255</v>
      </c>
      <c r="E30" s="39">
        <v>41778</v>
      </c>
      <c r="F30" s="26" t="s">
        <v>250</v>
      </c>
      <c r="G30" s="11" t="s">
        <v>132</v>
      </c>
      <c r="H30" s="11" t="s">
        <v>43</v>
      </c>
      <c r="I30" s="11" t="s">
        <v>93</v>
      </c>
      <c r="J30" s="27">
        <v>801.22</v>
      </c>
      <c r="K30" s="25">
        <v>41742</v>
      </c>
      <c r="L30" s="11" t="s">
        <v>78</v>
      </c>
      <c r="M30" s="11" t="s">
        <v>47</v>
      </c>
      <c r="N30" s="11" t="s">
        <v>68</v>
      </c>
      <c r="O30" s="14" t="s">
        <v>81</v>
      </c>
      <c r="P30" s="13">
        <v>78386</v>
      </c>
      <c r="Q30" s="28">
        <f t="shared" si="24"/>
        <v>8615875.5759999994</v>
      </c>
      <c r="R30" s="29" t="s">
        <v>32</v>
      </c>
      <c r="S30" s="38">
        <v>109.916</v>
      </c>
      <c r="T30" s="30">
        <f t="shared" si="23"/>
        <v>41831</v>
      </c>
      <c r="U30" s="11" t="s">
        <v>132</v>
      </c>
      <c r="V30" s="31">
        <f t="shared" si="17"/>
        <v>10339.050691199998</v>
      </c>
      <c r="W30" s="23">
        <v>155.72999999999999</v>
      </c>
      <c r="X30" s="28">
        <f t="shared" si="18"/>
        <v>1610100.3641405755</v>
      </c>
      <c r="Y30" s="35">
        <f t="shared" ref="Y30" si="25">X30</f>
        <v>1610100.3641405755</v>
      </c>
      <c r="Z30" s="23"/>
      <c r="AA30" s="23"/>
      <c r="AB30" s="23"/>
    </row>
    <row r="31" spans="2:28" ht="30" customHeight="1">
      <c r="B31" s="22">
        <f t="shared" si="4"/>
        <v>27</v>
      </c>
      <c r="C31" s="11" t="s">
        <v>162</v>
      </c>
      <c r="D31" s="24" t="s">
        <v>256</v>
      </c>
      <c r="E31" s="25">
        <v>41785</v>
      </c>
      <c r="F31" s="26" t="s">
        <v>175</v>
      </c>
      <c r="G31" s="14" t="s">
        <v>109</v>
      </c>
      <c r="H31" s="14" t="s">
        <v>34</v>
      </c>
      <c r="I31" s="14" t="s">
        <v>35</v>
      </c>
      <c r="J31" s="27">
        <v>801.22</v>
      </c>
      <c r="K31" s="25">
        <v>41696</v>
      </c>
      <c r="L31" s="11" t="s">
        <v>163</v>
      </c>
      <c r="M31" s="11" t="s">
        <v>36</v>
      </c>
      <c r="N31" s="11" t="s">
        <v>48</v>
      </c>
      <c r="O31" s="11" t="s">
        <v>49</v>
      </c>
      <c r="P31" s="13">
        <v>945742</v>
      </c>
      <c r="Q31" s="28">
        <f t="shared" ref="Q31" si="26">SUM(P31*S31)</f>
        <v>104519433.7236</v>
      </c>
      <c r="R31" s="29" t="s">
        <v>32</v>
      </c>
      <c r="S31" s="38">
        <v>110.5158</v>
      </c>
      <c r="T31" s="30">
        <f t="shared" ref="T31" si="27">SUM(K31)+89</f>
        <v>41785</v>
      </c>
      <c r="U31" s="14" t="s">
        <v>38</v>
      </c>
      <c r="V31" s="31">
        <f t="shared" ref="V31:V45" si="28">SUM(Q31*0.12%)</f>
        <v>125423.32046831999</v>
      </c>
      <c r="W31" s="23">
        <v>155.75</v>
      </c>
      <c r="X31" s="28">
        <f t="shared" si="18"/>
        <v>19534682.162940837</v>
      </c>
      <c r="Y31" s="35">
        <v>19730028.98</v>
      </c>
      <c r="Z31" s="30">
        <v>41768</v>
      </c>
      <c r="AA31" s="36">
        <v>9966</v>
      </c>
      <c r="AB31" s="23"/>
    </row>
    <row r="32" spans="2:28" ht="30" customHeight="1">
      <c r="B32" s="22">
        <f t="shared" si="4"/>
        <v>28</v>
      </c>
      <c r="C32" s="11" t="s">
        <v>126</v>
      </c>
      <c r="D32" s="14" t="s">
        <v>259</v>
      </c>
      <c r="E32" s="25">
        <v>41789</v>
      </c>
      <c r="F32" s="34" t="s">
        <v>120</v>
      </c>
      <c r="G32" s="11" t="s">
        <v>109</v>
      </c>
      <c r="H32" s="11" t="s">
        <v>58</v>
      </c>
      <c r="I32" s="11" t="s">
        <v>93</v>
      </c>
      <c r="J32" s="27">
        <v>801.22</v>
      </c>
      <c r="K32" s="25">
        <v>41584</v>
      </c>
      <c r="L32" s="11" t="s">
        <v>122</v>
      </c>
      <c r="M32" s="11" t="s">
        <v>47</v>
      </c>
      <c r="N32" s="11" t="s">
        <v>123</v>
      </c>
      <c r="O32" s="14" t="s">
        <v>124</v>
      </c>
      <c r="P32" s="13">
        <v>397000</v>
      </c>
      <c r="Q32" s="28">
        <f t="shared" ref="Q32:Q35" si="29">SUM(P32*S32)</f>
        <v>42709260</v>
      </c>
      <c r="R32" s="29" t="s">
        <v>32</v>
      </c>
      <c r="S32" s="38">
        <v>107.58</v>
      </c>
      <c r="T32" s="30">
        <f t="shared" ref="T32:T33" si="30">SUM(K32)+89</f>
        <v>41673</v>
      </c>
      <c r="U32" s="23" t="s">
        <v>38</v>
      </c>
      <c r="V32" s="31">
        <f t="shared" si="28"/>
        <v>51251.111999999994</v>
      </c>
      <c r="W32" s="23">
        <v>155.72</v>
      </c>
      <c r="X32" s="28">
        <f t="shared" si="18"/>
        <v>7980823.1606399985</v>
      </c>
      <c r="Y32" s="35">
        <v>8201710.3300000001</v>
      </c>
      <c r="Z32" s="30">
        <v>41787</v>
      </c>
      <c r="AA32" s="36">
        <v>7710</v>
      </c>
      <c r="AB32" s="23"/>
    </row>
    <row r="33" spans="2:28" ht="30" customHeight="1">
      <c r="B33" s="22">
        <f t="shared" si="4"/>
        <v>29</v>
      </c>
      <c r="C33" s="11" t="s">
        <v>131</v>
      </c>
      <c r="D33" s="14" t="s">
        <v>260</v>
      </c>
      <c r="E33" s="25">
        <v>41789</v>
      </c>
      <c r="F33" s="81">
        <v>201300010516</v>
      </c>
      <c r="G33" s="11" t="s">
        <v>109</v>
      </c>
      <c r="H33" s="11" t="s">
        <v>58</v>
      </c>
      <c r="I33" s="11" t="s">
        <v>93</v>
      </c>
      <c r="J33" s="27">
        <v>801.22</v>
      </c>
      <c r="K33" s="25">
        <v>41628</v>
      </c>
      <c r="L33" s="11" t="s">
        <v>128</v>
      </c>
      <c r="M33" s="11" t="s">
        <v>47</v>
      </c>
      <c r="N33" s="11" t="s">
        <v>98</v>
      </c>
      <c r="O33" s="14" t="s">
        <v>82</v>
      </c>
      <c r="P33" s="83">
        <v>319000</v>
      </c>
      <c r="Q33" s="28">
        <f t="shared" si="29"/>
        <v>36031050</v>
      </c>
      <c r="R33" s="29" t="s">
        <v>32</v>
      </c>
      <c r="S33" s="38">
        <v>112.95</v>
      </c>
      <c r="T33" s="30">
        <f t="shared" si="30"/>
        <v>41717</v>
      </c>
      <c r="U33" s="23" t="s">
        <v>38</v>
      </c>
      <c r="V33" s="31">
        <f t="shared" si="28"/>
        <v>43237.259999999995</v>
      </c>
      <c r="W33" s="80">
        <v>155.69999999999999</v>
      </c>
      <c r="X33" s="28">
        <f t="shared" si="18"/>
        <v>6732041.3819999984</v>
      </c>
      <c r="Y33" s="35">
        <v>6919254.3899999997</v>
      </c>
      <c r="Z33" s="30">
        <v>41787</v>
      </c>
      <c r="AA33" s="36">
        <v>7712</v>
      </c>
      <c r="AB33" s="23"/>
    </row>
    <row r="34" spans="2:28" s="2" customFormat="1" ht="30" customHeight="1">
      <c r="B34" s="22">
        <f t="shared" si="4"/>
        <v>30</v>
      </c>
      <c r="C34" s="11" t="s">
        <v>141</v>
      </c>
      <c r="D34" s="14" t="s">
        <v>261</v>
      </c>
      <c r="E34" s="25">
        <v>41789</v>
      </c>
      <c r="F34" s="34" t="s">
        <v>142</v>
      </c>
      <c r="G34" s="14" t="s">
        <v>109</v>
      </c>
      <c r="H34" s="14" t="s">
        <v>58</v>
      </c>
      <c r="I34" s="14" t="s">
        <v>93</v>
      </c>
      <c r="J34" s="27">
        <v>801.22</v>
      </c>
      <c r="K34" s="25">
        <v>41677</v>
      </c>
      <c r="L34" s="11" t="s">
        <v>143</v>
      </c>
      <c r="M34" s="11" t="s">
        <v>47</v>
      </c>
      <c r="N34" s="11" t="s">
        <v>37</v>
      </c>
      <c r="O34" s="11" t="s">
        <v>144</v>
      </c>
      <c r="P34" s="13">
        <v>255000</v>
      </c>
      <c r="Q34" s="28">
        <f t="shared" si="29"/>
        <v>28191270</v>
      </c>
      <c r="R34" s="29" t="s">
        <v>32</v>
      </c>
      <c r="S34" s="7">
        <v>110.554</v>
      </c>
      <c r="T34" s="30">
        <f t="shared" ref="T34:T35" si="31">SUM(K34)+89</f>
        <v>41766</v>
      </c>
      <c r="U34" s="14" t="s">
        <v>38</v>
      </c>
      <c r="V34" s="31">
        <f t="shared" si="28"/>
        <v>33829.523999999998</v>
      </c>
      <c r="W34" s="23">
        <v>155.75</v>
      </c>
      <c r="X34" s="28">
        <f t="shared" si="18"/>
        <v>5268948.3629999999</v>
      </c>
      <c r="Y34" s="35">
        <v>5573414.0800000001</v>
      </c>
      <c r="Z34" s="30">
        <v>41787</v>
      </c>
      <c r="AA34" s="36">
        <v>7713</v>
      </c>
      <c r="AB34" s="23"/>
    </row>
    <row r="35" spans="2:28" ht="30" customHeight="1">
      <c r="B35" s="22">
        <f t="shared" si="4"/>
        <v>31</v>
      </c>
      <c r="C35" s="11" t="s">
        <v>172</v>
      </c>
      <c r="D35" s="14" t="s">
        <v>262</v>
      </c>
      <c r="E35" s="25">
        <v>41789</v>
      </c>
      <c r="F35" s="26" t="s">
        <v>165</v>
      </c>
      <c r="G35" s="11" t="s">
        <v>109</v>
      </c>
      <c r="H35" s="11" t="s">
        <v>58</v>
      </c>
      <c r="I35" s="11" t="s">
        <v>93</v>
      </c>
      <c r="J35" s="27">
        <v>801.22</v>
      </c>
      <c r="K35" s="39">
        <v>41703</v>
      </c>
      <c r="L35" s="57" t="s">
        <v>84</v>
      </c>
      <c r="M35" s="57" t="s">
        <v>47</v>
      </c>
      <c r="N35" s="11" t="s">
        <v>41</v>
      </c>
      <c r="O35" s="14" t="s">
        <v>42</v>
      </c>
      <c r="P35" s="60">
        <v>349000</v>
      </c>
      <c r="Q35" s="49">
        <f t="shared" si="29"/>
        <v>38328576</v>
      </c>
      <c r="R35" s="29" t="s">
        <v>32</v>
      </c>
      <c r="S35" s="8">
        <v>109.824</v>
      </c>
      <c r="T35" s="30">
        <f t="shared" si="31"/>
        <v>41792</v>
      </c>
      <c r="U35" s="14" t="s">
        <v>38</v>
      </c>
      <c r="V35" s="53">
        <f t="shared" si="28"/>
        <v>45994.291199999992</v>
      </c>
      <c r="W35" s="23">
        <v>155.74</v>
      </c>
      <c r="X35" s="49">
        <f t="shared" si="18"/>
        <v>7163150.9114879994</v>
      </c>
      <c r="Y35" s="35">
        <v>7388058.4000000004</v>
      </c>
      <c r="Z35" s="30">
        <v>41787</v>
      </c>
      <c r="AA35" s="36">
        <v>7714</v>
      </c>
      <c r="AB35" s="23"/>
    </row>
    <row r="36" spans="2:28" ht="30" customHeight="1">
      <c r="B36" s="22">
        <f t="shared" si="4"/>
        <v>32</v>
      </c>
      <c r="C36" s="11" t="s">
        <v>303</v>
      </c>
      <c r="D36" s="25" t="s">
        <v>263</v>
      </c>
      <c r="E36" s="25">
        <v>41789</v>
      </c>
      <c r="F36" s="34" t="s">
        <v>273</v>
      </c>
      <c r="G36" s="11" t="s">
        <v>132</v>
      </c>
      <c r="H36" s="11" t="s">
        <v>43</v>
      </c>
      <c r="I36" s="11" t="s">
        <v>44</v>
      </c>
      <c r="J36" s="27">
        <v>801.22</v>
      </c>
      <c r="K36" s="25">
        <v>41764</v>
      </c>
      <c r="L36" s="11" t="s">
        <v>292</v>
      </c>
      <c r="M36" s="11" t="s">
        <v>45</v>
      </c>
      <c r="N36" s="11" t="s">
        <v>76</v>
      </c>
      <c r="O36" s="14" t="s">
        <v>299</v>
      </c>
      <c r="P36" s="13">
        <v>899633</v>
      </c>
      <c r="Q36" s="28">
        <f t="shared" ref="Q36:Q47" si="32">SUM(P36*S36)</f>
        <v>100128793.0468</v>
      </c>
      <c r="R36" s="29" t="s">
        <v>32</v>
      </c>
      <c r="S36" s="7">
        <v>111.2996</v>
      </c>
      <c r="T36" s="30">
        <f t="shared" ref="T36:T45" si="33">SUM(K36)+89</f>
        <v>41853</v>
      </c>
      <c r="U36" s="11" t="s">
        <v>132</v>
      </c>
      <c r="V36" s="31">
        <f t="shared" si="28"/>
        <v>120154.55165615999</v>
      </c>
      <c r="W36" s="23">
        <v>155.72999999999999</v>
      </c>
      <c r="X36" s="28">
        <f t="shared" si="18"/>
        <v>18711668.329413794</v>
      </c>
      <c r="Y36" s="55">
        <f t="shared" ref="Y36:Y45" si="34">X36</f>
        <v>18711668.329413794</v>
      </c>
      <c r="Z36" s="23"/>
      <c r="AA36" s="23"/>
      <c r="AB36" s="23"/>
    </row>
    <row r="37" spans="2:28" ht="30" customHeight="1">
      <c r="B37" s="22">
        <f t="shared" si="4"/>
        <v>33</v>
      </c>
      <c r="C37" s="11" t="s">
        <v>241</v>
      </c>
      <c r="D37" s="25" t="s">
        <v>264</v>
      </c>
      <c r="E37" s="25">
        <v>41789</v>
      </c>
      <c r="F37" s="34" t="s">
        <v>274</v>
      </c>
      <c r="G37" s="11" t="s">
        <v>132</v>
      </c>
      <c r="H37" s="11" t="s">
        <v>43</v>
      </c>
      <c r="I37" s="11" t="s">
        <v>93</v>
      </c>
      <c r="J37" s="27">
        <v>801.22</v>
      </c>
      <c r="K37" s="25">
        <v>41766</v>
      </c>
      <c r="L37" s="11" t="s">
        <v>100</v>
      </c>
      <c r="M37" s="11" t="s">
        <v>47</v>
      </c>
      <c r="N37" s="11" t="s">
        <v>135</v>
      </c>
      <c r="O37" s="14" t="s">
        <v>136</v>
      </c>
      <c r="P37" s="13">
        <v>46000</v>
      </c>
      <c r="Q37" s="28">
        <f t="shared" si="32"/>
        <v>5082632</v>
      </c>
      <c r="R37" s="29" t="s">
        <v>32</v>
      </c>
      <c r="S37" s="7">
        <v>110.492</v>
      </c>
      <c r="T37" s="30">
        <f t="shared" si="33"/>
        <v>41855</v>
      </c>
      <c r="U37" s="11" t="s">
        <v>132</v>
      </c>
      <c r="V37" s="31">
        <f t="shared" si="28"/>
        <v>6099.1583999999993</v>
      </c>
      <c r="W37" s="23">
        <v>155.72999999999999</v>
      </c>
      <c r="X37" s="28">
        <f t="shared" si="18"/>
        <v>949821.93763199984</v>
      </c>
      <c r="Y37" s="55">
        <f t="shared" si="34"/>
        <v>949821.93763199984</v>
      </c>
      <c r="Z37" s="23"/>
      <c r="AA37" s="23"/>
      <c r="AB37" s="23"/>
    </row>
    <row r="38" spans="2:28" ht="30" customHeight="1">
      <c r="B38" s="22">
        <f t="shared" si="4"/>
        <v>34</v>
      </c>
      <c r="C38" s="11" t="s">
        <v>305</v>
      </c>
      <c r="D38" s="25" t="s">
        <v>265</v>
      </c>
      <c r="E38" s="25">
        <v>41789</v>
      </c>
      <c r="F38" s="34" t="s">
        <v>275</v>
      </c>
      <c r="G38" s="11" t="s">
        <v>132</v>
      </c>
      <c r="H38" s="11" t="s">
        <v>43</v>
      </c>
      <c r="I38" s="11" t="s">
        <v>93</v>
      </c>
      <c r="J38" s="27">
        <v>801.22</v>
      </c>
      <c r="K38" s="25">
        <v>41766</v>
      </c>
      <c r="L38" s="11" t="s">
        <v>100</v>
      </c>
      <c r="M38" s="11" t="s">
        <v>47</v>
      </c>
      <c r="N38" s="11" t="s">
        <v>135</v>
      </c>
      <c r="O38" s="14" t="s">
        <v>136</v>
      </c>
      <c r="P38" s="13">
        <v>42000</v>
      </c>
      <c r="Q38" s="28">
        <f t="shared" si="32"/>
        <v>4640664</v>
      </c>
      <c r="R38" s="29" t="s">
        <v>32</v>
      </c>
      <c r="S38" s="7">
        <v>110.492</v>
      </c>
      <c r="T38" s="30">
        <f t="shared" si="33"/>
        <v>41855</v>
      </c>
      <c r="U38" s="11" t="s">
        <v>132</v>
      </c>
      <c r="V38" s="31">
        <f t="shared" si="28"/>
        <v>5568.7967999999992</v>
      </c>
      <c r="W38" s="23">
        <v>155.72999999999999</v>
      </c>
      <c r="X38" s="28">
        <f t="shared" si="18"/>
        <v>867228.72566399979</v>
      </c>
      <c r="Y38" s="55">
        <f t="shared" si="34"/>
        <v>867228.72566399979</v>
      </c>
      <c r="Z38" s="23"/>
      <c r="AA38" s="23"/>
      <c r="AB38" s="23"/>
    </row>
    <row r="39" spans="2:28" ht="30" customHeight="1">
      <c r="B39" s="22">
        <f t="shared" si="4"/>
        <v>35</v>
      </c>
      <c r="C39" s="11" t="s">
        <v>306</v>
      </c>
      <c r="D39" s="25" t="s">
        <v>266</v>
      </c>
      <c r="E39" s="25">
        <v>41789</v>
      </c>
      <c r="F39" s="34" t="s">
        <v>276</v>
      </c>
      <c r="G39" s="11" t="s">
        <v>132</v>
      </c>
      <c r="H39" s="11" t="s">
        <v>43</v>
      </c>
      <c r="I39" s="11" t="s">
        <v>93</v>
      </c>
      <c r="J39" s="27">
        <v>801.22</v>
      </c>
      <c r="K39" s="25">
        <v>41766</v>
      </c>
      <c r="L39" s="11" t="s">
        <v>100</v>
      </c>
      <c r="M39" s="11" t="s">
        <v>47</v>
      </c>
      <c r="N39" s="11" t="s">
        <v>135</v>
      </c>
      <c r="O39" s="14" t="s">
        <v>136</v>
      </c>
      <c r="P39" s="13">
        <v>78000</v>
      </c>
      <c r="Q39" s="28">
        <f t="shared" si="32"/>
        <v>8618376</v>
      </c>
      <c r="R39" s="29" t="s">
        <v>32</v>
      </c>
      <c r="S39" s="7">
        <v>110.492</v>
      </c>
      <c r="T39" s="30">
        <f t="shared" si="33"/>
        <v>41855</v>
      </c>
      <c r="U39" s="11" t="s">
        <v>132</v>
      </c>
      <c r="V39" s="31">
        <f t="shared" si="28"/>
        <v>10342.0512</v>
      </c>
      <c r="W39" s="23">
        <v>155.72999999999999</v>
      </c>
      <c r="X39" s="28">
        <f t="shared" si="18"/>
        <v>1610567.633376</v>
      </c>
      <c r="Y39" s="55">
        <f t="shared" si="34"/>
        <v>1610567.633376</v>
      </c>
      <c r="Z39" s="23"/>
      <c r="AA39" s="23"/>
      <c r="AB39" s="23"/>
    </row>
    <row r="40" spans="2:28" ht="30" customHeight="1">
      <c r="B40" s="22">
        <f t="shared" si="4"/>
        <v>36</v>
      </c>
      <c r="C40" s="11" t="s">
        <v>307</v>
      </c>
      <c r="D40" s="25" t="s">
        <v>267</v>
      </c>
      <c r="E40" s="25">
        <v>41789</v>
      </c>
      <c r="F40" s="34" t="s">
        <v>277</v>
      </c>
      <c r="G40" s="11" t="s">
        <v>132</v>
      </c>
      <c r="H40" s="11" t="s">
        <v>43</v>
      </c>
      <c r="I40" s="11" t="s">
        <v>93</v>
      </c>
      <c r="J40" s="27">
        <v>801.22</v>
      </c>
      <c r="K40" s="25">
        <v>41766</v>
      </c>
      <c r="L40" s="11" t="s">
        <v>100</v>
      </c>
      <c r="M40" s="11" t="s">
        <v>47</v>
      </c>
      <c r="N40" s="11" t="s">
        <v>135</v>
      </c>
      <c r="O40" s="14" t="s">
        <v>136</v>
      </c>
      <c r="P40" s="13">
        <v>83641</v>
      </c>
      <c r="Q40" s="28">
        <f t="shared" si="32"/>
        <v>9241661.3719999995</v>
      </c>
      <c r="R40" s="29" t="s">
        <v>32</v>
      </c>
      <c r="S40" s="7">
        <v>110.492</v>
      </c>
      <c r="T40" s="30">
        <f t="shared" si="33"/>
        <v>41855</v>
      </c>
      <c r="U40" s="11" t="s">
        <v>132</v>
      </c>
      <c r="V40" s="31">
        <f t="shared" si="28"/>
        <v>11089.993646399998</v>
      </c>
      <c r="W40" s="23">
        <v>155.72999999999999</v>
      </c>
      <c r="X40" s="28">
        <f t="shared" si="18"/>
        <v>1727044.7105538717</v>
      </c>
      <c r="Y40" s="55">
        <f t="shared" si="34"/>
        <v>1727044.7105538717</v>
      </c>
      <c r="Z40" s="23"/>
      <c r="AA40" s="23"/>
      <c r="AB40" s="23"/>
    </row>
    <row r="41" spans="2:28" ht="30" customHeight="1">
      <c r="B41" s="22">
        <f t="shared" si="4"/>
        <v>37</v>
      </c>
      <c r="C41" s="11" t="s">
        <v>319</v>
      </c>
      <c r="D41" s="25" t="s">
        <v>268</v>
      </c>
      <c r="E41" s="25">
        <v>41789</v>
      </c>
      <c r="F41" s="12" t="s">
        <v>278</v>
      </c>
      <c r="G41" s="11" t="s">
        <v>132</v>
      </c>
      <c r="H41" s="11" t="s">
        <v>43</v>
      </c>
      <c r="I41" s="11" t="s">
        <v>35</v>
      </c>
      <c r="J41" s="27">
        <v>801.22</v>
      </c>
      <c r="K41" s="25">
        <v>41770</v>
      </c>
      <c r="L41" s="11" t="s">
        <v>70</v>
      </c>
      <c r="M41" s="11" t="s">
        <v>36</v>
      </c>
      <c r="N41" s="11" t="s">
        <v>298</v>
      </c>
      <c r="O41" s="14" t="s">
        <v>49</v>
      </c>
      <c r="P41" s="13">
        <v>950065</v>
      </c>
      <c r="Q41" s="28">
        <f t="shared" si="32"/>
        <v>105371709.14999999</v>
      </c>
      <c r="R41" s="29" t="s">
        <v>32</v>
      </c>
      <c r="S41" s="7">
        <v>110.91</v>
      </c>
      <c r="T41" s="30">
        <f t="shared" si="33"/>
        <v>41859</v>
      </c>
      <c r="U41" s="11" t="s">
        <v>132</v>
      </c>
      <c r="V41" s="31">
        <f t="shared" si="28"/>
        <v>126446.05097999999</v>
      </c>
      <c r="W41" s="23">
        <v>155.72999999999999</v>
      </c>
      <c r="X41" s="28">
        <f t="shared" si="18"/>
        <v>19691443.519115396</v>
      </c>
      <c r="Y41" s="55">
        <f t="shared" si="34"/>
        <v>19691443.519115396</v>
      </c>
      <c r="Z41" s="23"/>
      <c r="AA41" s="23"/>
      <c r="AB41" s="23"/>
    </row>
    <row r="42" spans="2:28" ht="30" customHeight="1">
      <c r="B42" s="22">
        <f t="shared" si="4"/>
        <v>38</v>
      </c>
      <c r="C42" s="11" t="s">
        <v>320</v>
      </c>
      <c r="D42" s="25" t="s">
        <v>269</v>
      </c>
      <c r="E42" s="25">
        <v>41789</v>
      </c>
      <c r="F42" s="12" t="s">
        <v>279</v>
      </c>
      <c r="G42" s="11" t="s">
        <v>132</v>
      </c>
      <c r="H42" s="11" t="s">
        <v>43</v>
      </c>
      <c r="I42" s="11" t="s">
        <v>29</v>
      </c>
      <c r="J42" s="27">
        <v>801.22</v>
      </c>
      <c r="K42" s="25">
        <v>41776</v>
      </c>
      <c r="L42" s="11" t="s">
        <v>294</v>
      </c>
      <c r="M42" s="11" t="s">
        <v>30</v>
      </c>
      <c r="N42" s="11" t="s">
        <v>52</v>
      </c>
      <c r="O42" s="14" t="s">
        <v>53</v>
      </c>
      <c r="P42" s="13">
        <v>548502</v>
      </c>
      <c r="Q42" s="28">
        <f t="shared" si="32"/>
        <v>60799801.193999998</v>
      </c>
      <c r="R42" s="29" t="s">
        <v>32</v>
      </c>
      <c r="S42" s="38">
        <v>110.84699999999999</v>
      </c>
      <c r="T42" s="30">
        <f t="shared" si="33"/>
        <v>41865</v>
      </c>
      <c r="U42" s="11" t="s">
        <v>132</v>
      </c>
      <c r="V42" s="31">
        <f t="shared" si="28"/>
        <v>72959.761432799991</v>
      </c>
      <c r="W42" s="23">
        <v>155.72999999999999</v>
      </c>
      <c r="X42" s="28">
        <f t="shared" si="18"/>
        <v>11362023.647929942</v>
      </c>
      <c r="Y42" s="55">
        <f t="shared" si="34"/>
        <v>11362023.647929942</v>
      </c>
      <c r="Z42" s="23"/>
      <c r="AA42" s="23"/>
      <c r="AB42" s="23"/>
    </row>
    <row r="43" spans="2:28" ht="30" customHeight="1">
      <c r="B43" s="22">
        <f t="shared" si="4"/>
        <v>39</v>
      </c>
      <c r="C43" s="11" t="s">
        <v>321</v>
      </c>
      <c r="D43" s="25" t="s">
        <v>270</v>
      </c>
      <c r="E43" s="25">
        <v>41789</v>
      </c>
      <c r="F43" s="12" t="s">
        <v>280</v>
      </c>
      <c r="G43" s="11" t="s">
        <v>132</v>
      </c>
      <c r="H43" s="11" t="s">
        <v>43</v>
      </c>
      <c r="I43" s="11" t="s">
        <v>29</v>
      </c>
      <c r="J43" s="27">
        <v>801.22</v>
      </c>
      <c r="K43" s="25">
        <v>41776</v>
      </c>
      <c r="L43" s="11" t="s">
        <v>294</v>
      </c>
      <c r="M43" s="11" t="s">
        <v>30</v>
      </c>
      <c r="N43" s="11" t="s">
        <v>52</v>
      </c>
      <c r="O43" s="14" t="s">
        <v>53</v>
      </c>
      <c r="P43" s="13">
        <v>400000</v>
      </c>
      <c r="Q43" s="28">
        <f t="shared" si="32"/>
        <v>44338800</v>
      </c>
      <c r="R43" s="29" t="s">
        <v>32</v>
      </c>
      <c r="S43" s="38">
        <v>110.84699999999999</v>
      </c>
      <c r="T43" s="30">
        <f t="shared" si="33"/>
        <v>41865</v>
      </c>
      <c r="U43" s="11" t="s">
        <v>132</v>
      </c>
      <c r="V43" s="31">
        <f t="shared" si="28"/>
        <v>53206.559999999998</v>
      </c>
      <c r="W43" s="23">
        <v>155.72999999999999</v>
      </c>
      <c r="X43" s="28">
        <f t="shared" si="18"/>
        <v>8285857.5887999991</v>
      </c>
      <c r="Y43" s="55">
        <f t="shared" si="34"/>
        <v>8285857.5887999991</v>
      </c>
      <c r="Z43" s="23"/>
      <c r="AA43" s="23"/>
      <c r="AB43" s="23"/>
    </row>
    <row r="44" spans="2:28" ht="30" customHeight="1">
      <c r="B44" s="22">
        <f t="shared" si="4"/>
        <v>40</v>
      </c>
      <c r="C44" s="11" t="s">
        <v>304</v>
      </c>
      <c r="D44" s="25" t="s">
        <v>271</v>
      </c>
      <c r="E44" s="25">
        <v>41789</v>
      </c>
      <c r="F44" s="34" t="s">
        <v>290</v>
      </c>
      <c r="G44" s="11" t="s">
        <v>132</v>
      </c>
      <c r="H44" s="11" t="s">
        <v>43</v>
      </c>
      <c r="I44" s="11" t="s">
        <v>44</v>
      </c>
      <c r="J44" s="27">
        <v>801.22</v>
      </c>
      <c r="K44" s="25">
        <v>41786</v>
      </c>
      <c r="L44" s="11" t="s">
        <v>296</v>
      </c>
      <c r="M44" s="11" t="s">
        <v>45</v>
      </c>
      <c r="N44" s="11" t="s">
        <v>76</v>
      </c>
      <c r="O44" s="14" t="s">
        <v>299</v>
      </c>
      <c r="P44" s="40">
        <v>899866</v>
      </c>
      <c r="Q44" s="28">
        <f t="shared" si="32"/>
        <v>101288557.01360001</v>
      </c>
      <c r="R44" s="29" t="s">
        <v>32</v>
      </c>
      <c r="S44" s="7">
        <v>112.5596</v>
      </c>
      <c r="T44" s="30">
        <f t="shared" si="33"/>
        <v>41875</v>
      </c>
      <c r="U44" s="11" t="s">
        <v>132</v>
      </c>
      <c r="V44" s="31">
        <f t="shared" si="28"/>
        <v>121546.26841632</v>
      </c>
      <c r="W44" s="23">
        <v>155.72999999999999</v>
      </c>
      <c r="X44" s="28">
        <f t="shared" si="18"/>
        <v>18928400.380473513</v>
      </c>
      <c r="Y44" s="55">
        <f t="shared" si="34"/>
        <v>18928400.380473513</v>
      </c>
      <c r="Z44" s="23"/>
      <c r="AA44" s="23"/>
      <c r="AB44" s="23"/>
    </row>
    <row r="45" spans="2:28" ht="30" customHeight="1">
      <c r="B45" s="22">
        <f t="shared" si="4"/>
        <v>41</v>
      </c>
      <c r="C45" s="11" t="s">
        <v>317</v>
      </c>
      <c r="D45" s="25" t="s">
        <v>272</v>
      </c>
      <c r="E45" s="25">
        <v>41789</v>
      </c>
      <c r="F45" s="34" t="s">
        <v>291</v>
      </c>
      <c r="G45" s="11" t="s">
        <v>132</v>
      </c>
      <c r="H45" s="11" t="s">
        <v>43</v>
      </c>
      <c r="I45" s="11" t="s">
        <v>93</v>
      </c>
      <c r="J45" s="27">
        <v>801.22</v>
      </c>
      <c r="K45" s="25">
        <v>41788</v>
      </c>
      <c r="L45" s="11" t="s">
        <v>297</v>
      </c>
      <c r="M45" s="11" t="s">
        <v>47</v>
      </c>
      <c r="N45" s="11" t="s">
        <v>52</v>
      </c>
      <c r="O45" s="14" t="s">
        <v>73</v>
      </c>
      <c r="P45" s="56">
        <v>949623</v>
      </c>
      <c r="Q45" s="49">
        <f t="shared" si="32"/>
        <v>106066241.73899999</v>
      </c>
      <c r="R45" s="29" t="s">
        <v>32</v>
      </c>
      <c r="S45" s="38">
        <v>111.693</v>
      </c>
      <c r="T45" s="30">
        <f t="shared" si="33"/>
        <v>41877</v>
      </c>
      <c r="U45" s="11" t="s">
        <v>132</v>
      </c>
      <c r="V45" s="53">
        <f t="shared" si="28"/>
        <v>127279.49008679998</v>
      </c>
      <c r="W45" s="23">
        <v>155.72999999999999</v>
      </c>
      <c r="X45" s="49">
        <f t="shared" si="18"/>
        <v>19821234.99121736</v>
      </c>
      <c r="Y45" s="55">
        <f t="shared" si="34"/>
        <v>19821234.99121736</v>
      </c>
      <c r="Z45" s="23"/>
      <c r="AA45" s="23"/>
      <c r="AB45" s="23"/>
    </row>
    <row r="46" spans="2:28" ht="30" customHeight="1">
      <c r="B46" s="22">
        <f t="shared" si="4"/>
        <v>42</v>
      </c>
      <c r="C46" s="11" t="s">
        <v>228</v>
      </c>
      <c r="D46" s="37" t="s">
        <v>325</v>
      </c>
      <c r="E46" s="25">
        <v>41801</v>
      </c>
      <c r="F46" s="26" t="s">
        <v>323</v>
      </c>
      <c r="G46" s="11" t="s">
        <v>91</v>
      </c>
      <c r="H46" s="11" t="s">
        <v>74</v>
      </c>
      <c r="I46" s="11" t="s">
        <v>93</v>
      </c>
      <c r="J46" s="27">
        <v>801.22</v>
      </c>
      <c r="K46" s="25">
        <v>41731</v>
      </c>
      <c r="L46" s="11" t="s">
        <v>169</v>
      </c>
      <c r="M46" s="11" t="s">
        <v>47</v>
      </c>
      <c r="N46" s="11" t="s">
        <v>62</v>
      </c>
      <c r="O46" s="14" t="s">
        <v>137</v>
      </c>
      <c r="P46" s="13">
        <v>110000</v>
      </c>
      <c r="Q46" s="28">
        <f t="shared" si="32"/>
        <v>12059520</v>
      </c>
      <c r="R46" s="29" t="s">
        <v>32</v>
      </c>
      <c r="S46" s="8">
        <v>109.63200000000001</v>
      </c>
      <c r="T46" s="30">
        <f>SUM(K46)+89</f>
        <v>41820</v>
      </c>
      <c r="U46" s="11" t="s">
        <v>101</v>
      </c>
      <c r="V46" s="31">
        <f t="shared" ref="V46:V63" si="35">SUM(Q46*0.12%)</f>
        <v>14471.423999999999</v>
      </c>
      <c r="W46" s="23">
        <v>155.72999999999999</v>
      </c>
      <c r="X46" s="28">
        <f t="shared" si="18"/>
        <v>2253634.8595199995</v>
      </c>
      <c r="Y46" s="35">
        <v>2253634.86</v>
      </c>
      <c r="Z46" s="30">
        <v>41800</v>
      </c>
      <c r="AA46" s="36">
        <v>29698</v>
      </c>
      <c r="AB46" s="23"/>
    </row>
    <row r="47" spans="2:28" ht="30" customHeight="1">
      <c r="B47" s="22">
        <f t="shared" si="4"/>
        <v>43</v>
      </c>
      <c r="C47" s="11" t="s">
        <v>239</v>
      </c>
      <c r="D47" s="37" t="s">
        <v>326</v>
      </c>
      <c r="E47" s="25">
        <v>41801</v>
      </c>
      <c r="F47" s="26" t="s">
        <v>324</v>
      </c>
      <c r="G47" s="11" t="s">
        <v>91</v>
      </c>
      <c r="H47" s="11" t="s">
        <v>74</v>
      </c>
      <c r="I47" s="11" t="s">
        <v>93</v>
      </c>
      <c r="J47" s="27">
        <v>801.22</v>
      </c>
      <c r="K47" s="25">
        <v>41747</v>
      </c>
      <c r="L47" s="11" t="s">
        <v>114</v>
      </c>
      <c r="M47" s="11" t="s">
        <v>47</v>
      </c>
      <c r="N47" s="11" t="s">
        <v>52</v>
      </c>
      <c r="O47" s="14" t="s">
        <v>73</v>
      </c>
      <c r="P47" s="40">
        <v>178000</v>
      </c>
      <c r="Q47" s="28">
        <f t="shared" si="32"/>
        <v>19514496</v>
      </c>
      <c r="R47" s="29" t="s">
        <v>32</v>
      </c>
      <c r="S47" s="8">
        <v>109.63200000000001</v>
      </c>
      <c r="T47" s="30">
        <f>SUM(K47)+89</f>
        <v>41836</v>
      </c>
      <c r="U47" s="11" t="s">
        <v>101</v>
      </c>
      <c r="V47" s="31">
        <f t="shared" si="35"/>
        <v>23417.395199999999</v>
      </c>
      <c r="W47" s="23">
        <v>155.72999999999999</v>
      </c>
      <c r="X47" s="28">
        <f t="shared" si="18"/>
        <v>3646790.9544959995</v>
      </c>
      <c r="Y47" s="35">
        <v>3646790.95</v>
      </c>
      <c r="Z47" s="30">
        <v>41800</v>
      </c>
      <c r="AA47" s="36">
        <v>29699</v>
      </c>
      <c r="AB47" s="23"/>
    </row>
    <row r="48" spans="2:28" ht="30" customHeight="1">
      <c r="B48" s="22">
        <f t="shared" si="4"/>
        <v>44</v>
      </c>
      <c r="C48" s="11" t="s">
        <v>111</v>
      </c>
      <c r="D48" s="14" t="s">
        <v>327</v>
      </c>
      <c r="E48" s="39">
        <v>41803</v>
      </c>
      <c r="F48" s="34" t="s">
        <v>112</v>
      </c>
      <c r="G48" s="11" t="s">
        <v>109</v>
      </c>
      <c r="H48" s="11" t="s">
        <v>58</v>
      </c>
      <c r="I48" s="11" t="s">
        <v>93</v>
      </c>
      <c r="J48" s="27">
        <v>801.22</v>
      </c>
      <c r="K48" s="25">
        <v>41542</v>
      </c>
      <c r="L48" s="11" t="s">
        <v>88</v>
      </c>
      <c r="M48" s="11" t="s">
        <v>94</v>
      </c>
      <c r="N48" s="11" t="s">
        <v>41</v>
      </c>
      <c r="O48" s="14" t="s">
        <v>42</v>
      </c>
      <c r="P48" s="83">
        <v>123000</v>
      </c>
      <c r="Q48" s="28">
        <f t="shared" ref="Q48" si="36">SUM(P48*S48)</f>
        <v>13592853</v>
      </c>
      <c r="R48" s="29" t="s">
        <v>32</v>
      </c>
      <c r="S48" s="7">
        <v>110.511</v>
      </c>
      <c r="T48" s="30">
        <f t="shared" ref="T48" si="37">SUM(K48)+89</f>
        <v>41631</v>
      </c>
      <c r="U48" s="23" t="s">
        <v>38</v>
      </c>
      <c r="V48" s="31">
        <f t="shared" si="35"/>
        <v>16311.423599999998</v>
      </c>
      <c r="W48" s="23">
        <v>155.75</v>
      </c>
      <c r="X48" s="28">
        <f t="shared" ref="X48" si="38">SUM(V48*W48)</f>
        <v>2540504.2256999998</v>
      </c>
      <c r="Y48" s="35">
        <v>2635110.48</v>
      </c>
      <c r="Z48" s="30">
        <v>41603</v>
      </c>
      <c r="AA48" s="36">
        <v>8977</v>
      </c>
      <c r="AB48" s="23"/>
    </row>
    <row r="49" spans="2:28" ht="30" customHeight="1">
      <c r="B49" s="22">
        <f t="shared" ref="B49:B63" si="39">B48+1</f>
        <v>45</v>
      </c>
      <c r="C49" s="11" t="s">
        <v>318</v>
      </c>
      <c r="D49" s="24" t="s">
        <v>328</v>
      </c>
      <c r="E49" s="25">
        <v>41806</v>
      </c>
      <c r="F49" s="26" t="s">
        <v>322</v>
      </c>
      <c r="G49" s="11" t="s">
        <v>103</v>
      </c>
      <c r="H49" s="11" t="s">
        <v>133</v>
      </c>
      <c r="I49" s="11" t="s">
        <v>107</v>
      </c>
      <c r="J49" s="27">
        <v>801.22</v>
      </c>
      <c r="K49" s="25">
        <v>41768</v>
      </c>
      <c r="L49" s="11" t="s">
        <v>293</v>
      </c>
      <c r="M49" s="11" t="s">
        <v>108</v>
      </c>
      <c r="N49" s="11" t="s">
        <v>62</v>
      </c>
      <c r="O49" s="14" t="s">
        <v>300</v>
      </c>
      <c r="P49" s="13">
        <v>631195</v>
      </c>
      <c r="Q49" s="28">
        <f t="shared" ref="Q49" si="40">SUM(P49*S49)</f>
        <v>66642830.489999995</v>
      </c>
      <c r="R49" s="29" t="s">
        <v>32</v>
      </c>
      <c r="S49" s="8">
        <v>105.58199999999999</v>
      </c>
      <c r="T49" s="30">
        <f t="shared" ref="T49" si="41">SUM(K49)+89</f>
        <v>41857</v>
      </c>
      <c r="U49" s="11" t="s">
        <v>109</v>
      </c>
      <c r="V49" s="31">
        <f t="shared" si="35"/>
        <v>79971.396587999989</v>
      </c>
      <c r="W49" s="23">
        <v>155.72999999999999</v>
      </c>
      <c r="X49" s="28">
        <f t="shared" ref="X49" si="42">SUM(V49*W49)</f>
        <v>12453945.590649238</v>
      </c>
      <c r="Y49" s="35">
        <v>12453946.119999999</v>
      </c>
      <c r="Z49" s="30">
        <v>41803</v>
      </c>
      <c r="AA49" s="36">
        <v>4132</v>
      </c>
      <c r="AB49" s="23"/>
    </row>
    <row r="50" spans="2:28" ht="30" customHeight="1">
      <c r="B50" s="22">
        <f t="shared" si="39"/>
        <v>46</v>
      </c>
      <c r="C50" s="11" t="s">
        <v>130</v>
      </c>
      <c r="D50" s="14" t="s">
        <v>330</v>
      </c>
      <c r="E50" s="25">
        <v>41813</v>
      </c>
      <c r="F50" s="34" t="s">
        <v>329</v>
      </c>
      <c r="G50" s="11" t="s">
        <v>109</v>
      </c>
      <c r="H50" s="11" t="s">
        <v>58</v>
      </c>
      <c r="I50" s="11" t="s">
        <v>93</v>
      </c>
      <c r="J50" s="27">
        <v>801.22</v>
      </c>
      <c r="K50" s="25">
        <v>41615</v>
      </c>
      <c r="L50" s="11" t="s">
        <v>127</v>
      </c>
      <c r="M50" s="11" t="s">
        <v>47</v>
      </c>
      <c r="N50" s="11" t="s">
        <v>62</v>
      </c>
      <c r="O50" s="14" t="s">
        <v>63</v>
      </c>
      <c r="P50" s="13">
        <v>509000</v>
      </c>
      <c r="Q50" s="28">
        <f t="shared" ref="Q50:Q63" si="43">SUM(P50*S50)</f>
        <v>56395673</v>
      </c>
      <c r="R50" s="29" t="s">
        <v>32</v>
      </c>
      <c r="S50" s="7">
        <v>110.797</v>
      </c>
      <c r="T50" s="30">
        <f t="shared" ref="T50" si="44">SUM(K50)+89</f>
        <v>41704</v>
      </c>
      <c r="U50" s="23" t="s">
        <v>38</v>
      </c>
      <c r="V50" s="31">
        <f t="shared" si="35"/>
        <v>67674.8076</v>
      </c>
      <c r="W50" s="80">
        <v>155.69999999999999</v>
      </c>
      <c r="X50" s="28">
        <f t="shared" ref="X50" si="45">SUM(V50*W50)</f>
        <v>10536967.54332</v>
      </c>
      <c r="Y50" s="35">
        <v>10829992.689999999</v>
      </c>
      <c r="Z50" s="30">
        <v>41787</v>
      </c>
      <c r="AA50" s="36">
        <v>7711</v>
      </c>
      <c r="AB50" s="23"/>
    </row>
    <row r="51" spans="2:28" ht="30" customHeight="1">
      <c r="B51" s="22">
        <f t="shared" si="39"/>
        <v>47</v>
      </c>
      <c r="C51" s="11" t="s">
        <v>243</v>
      </c>
      <c r="D51" s="25" t="s">
        <v>331</v>
      </c>
      <c r="E51" s="25">
        <v>41820</v>
      </c>
      <c r="F51" s="34" t="s">
        <v>220</v>
      </c>
      <c r="G51" s="11" t="s">
        <v>90</v>
      </c>
      <c r="H51" s="11" t="s">
        <v>28</v>
      </c>
      <c r="I51" s="11" t="s">
        <v>29</v>
      </c>
      <c r="J51" s="27">
        <v>801.22</v>
      </c>
      <c r="K51" s="25">
        <v>41754</v>
      </c>
      <c r="L51" s="11" t="s">
        <v>87</v>
      </c>
      <c r="M51" s="11" t="s">
        <v>30</v>
      </c>
      <c r="N51" s="11" t="s">
        <v>52</v>
      </c>
      <c r="O51" s="14" t="s">
        <v>53</v>
      </c>
      <c r="P51" s="40">
        <v>949194</v>
      </c>
      <c r="Q51" s="28">
        <f t="shared" si="43"/>
        <v>103501062.954</v>
      </c>
      <c r="R51" s="29" t="s">
        <v>32</v>
      </c>
      <c r="S51" s="38">
        <v>109.041</v>
      </c>
      <c r="T51" s="30">
        <f t="shared" ref="T51" si="46">SUM(K51)+89</f>
        <v>41843</v>
      </c>
      <c r="U51" s="11" t="s">
        <v>27</v>
      </c>
      <c r="V51" s="31">
        <f t="shared" si="35"/>
        <v>124201.27554479998</v>
      </c>
      <c r="W51" s="23">
        <v>155.72999999999999</v>
      </c>
      <c r="X51" s="28">
        <f t="shared" ref="X51" si="47">SUM(V51*W51)</f>
        <v>19341864.6405917</v>
      </c>
      <c r="Y51" s="35">
        <v>19341865.329999998</v>
      </c>
      <c r="Z51" s="30">
        <v>41816</v>
      </c>
      <c r="AA51" s="36">
        <v>1518</v>
      </c>
      <c r="AB51" s="23"/>
    </row>
    <row r="52" spans="2:28" ht="30" customHeight="1">
      <c r="B52" s="22">
        <f>B51+1</f>
        <v>48</v>
      </c>
      <c r="C52" s="11" t="s">
        <v>225</v>
      </c>
      <c r="D52" s="11" t="s">
        <v>332</v>
      </c>
      <c r="E52" s="25">
        <v>41820</v>
      </c>
      <c r="F52" s="34" t="s">
        <v>205</v>
      </c>
      <c r="G52" s="11" t="s">
        <v>39</v>
      </c>
      <c r="H52" s="11" t="s">
        <v>79</v>
      </c>
      <c r="I52" s="11" t="s">
        <v>93</v>
      </c>
      <c r="J52" s="27">
        <v>801.22</v>
      </c>
      <c r="K52" s="25">
        <v>41731</v>
      </c>
      <c r="L52" s="11" t="s">
        <v>169</v>
      </c>
      <c r="M52" s="11" t="s">
        <v>47</v>
      </c>
      <c r="N52" s="11" t="s">
        <v>62</v>
      </c>
      <c r="O52" s="14" t="s">
        <v>137</v>
      </c>
      <c r="P52" s="13">
        <v>24000</v>
      </c>
      <c r="Q52" s="28">
        <f t="shared" si="43"/>
        <v>2626368</v>
      </c>
      <c r="R52" s="29" t="s">
        <v>32</v>
      </c>
      <c r="S52" s="8">
        <v>109.432</v>
      </c>
      <c r="T52" s="30">
        <f t="shared" ref="T52:T56" si="48">SUM(K52)+89</f>
        <v>41820</v>
      </c>
      <c r="U52" s="14" t="s">
        <v>39</v>
      </c>
      <c r="V52" s="31">
        <f t="shared" si="35"/>
        <v>3151.6415999999999</v>
      </c>
      <c r="W52" s="23">
        <v>155.72999999999999</v>
      </c>
      <c r="X52" s="28">
        <f t="shared" ref="X52:X56" si="49">SUM(V52*W52)</f>
        <v>490805.14636799996</v>
      </c>
      <c r="Y52" s="35">
        <v>490805.15</v>
      </c>
      <c r="Z52" s="30">
        <v>41820</v>
      </c>
      <c r="AA52" s="36">
        <v>3594</v>
      </c>
      <c r="AB52" s="23"/>
    </row>
    <row r="53" spans="2:28" ht="30" customHeight="1">
      <c r="B53" s="22">
        <f t="shared" si="39"/>
        <v>49</v>
      </c>
      <c r="C53" s="11" t="s">
        <v>226</v>
      </c>
      <c r="D53" s="11" t="s">
        <v>333</v>
      </c>
      <c r="E53" s="25">
        <v>41820</v>
      </c>
      <c r="F53" s="34" t="s">
        <v>206</v>
      </c>
      <c r="G53" s="11" t="s">
        <v>39</v>
      </c>
      <c r="H53" s="11" t="s">
        <v>79</v>
      </c>
      <c r="I53" s="11" t="s">
        <v>93</v>
      </c>
      <c r="J53" s="27">
        <v>801.22</v>
      </c>
      <c r="K53" s="25">
        <v>41731</v>
      </c>
      <c r="L53" s="11" t="s">
        <v>169</v>
      </c>
      <c r="M53" s="11" t="s">
        <v>47</v>
      </c>
      <c r="N53" s="11" t="s">
        <v>62</v>
      </c>
      <c r="O53" s="14" t="s">
        <v>137</v>
      </c>
      <c r="P53" s="13">
        <v>36000</v>
      </c>
      <c r="Q53" s="28">
        <f t="shared" si="43"/>
        <v>3939552</v>
      </c>
      <c r="R53" s="29" t="s">
        <v>32</v>
      </c>
      <c r="S53" s="8">
        <v>109.432</v>
      </c>
      <c r="T53" s="30">
        <f t="shared" si="48"/>
        <v>41820</v>
      </c>
      <c r="U53" s="14" t="s">
        <v>39</v>
      </c>
      <c r="V53" s="31">
        <f t="shared" si="35"/>
        <v>4727.4623999999994</v>
      </c>
      <c r="W53" s="23">
        <v>155.72999999999999</v>
      </c>
      <c r="X53" s="28">
        <f t="shared" si="49"/>
        <v>736207.71955199982</v>
      </c>
      <c r="Y53" s="35">
        <v>736204.72</v>
      </c>
      <c r="Z53" s="30">
        <v>41820</v>
      </c>
      <c r="AA53" s="36">
        <v>3595</v>
      </c>
      <c r="AB53" s="23"/>
    </row>
    <row r="54" spans="2:28" ht="30" customHeight="1">
      <c r="B54" s="22">
        <f t="shared" si="39"/>
        <v>50</v>
      </c>
      <c r="C54" s="11" t="s">
        <v>227</v>
      </c>
      <c r="D54" s="11" t="s">
        <v>334</v>
      </c>
      <c r="E54" s="25">
        <v>41820</v>
      </c>
      <c r="F54" s="34" t="s">
        <v>207</v>
      </c>
      <c r="G54" s="11" t="s">
        <v>121</v>
      </c>
      <c r="H54" s="11" t="s">
        <v>79</v>
      </c>
      <c r="I54" s="11" t="s">
        <v>93</v>
      </c>
      <c r="J54" s="27">
        <v>801.22</v>
      </c>
      <c r="K54" s="25">
        <v>41731</v>
      </c>
      <c r="L54" s="11" t="s">
        <v>169</v>
      </c>
      <c r="M54" s="11" t="s">
        <v>47</v>
      </c>
      <c r="N54" s="11" t="s">
        <v>62</v>
      </c>
      <c r="O54" s="14" t="s">
        <v>137</v>
      </c>
      <c r="P54" s="13">
        <v>30000</v>
      </c>
      <c r="Q54" s="28">
        <f t="shared" si="43"/>
        <v>3282960</v>
      </c>
      <c r="R54" s="29" t="s">
        <v>32</v>
      </c>
      <c r="S54" s="8">
        <v>109.432</v>
      </c>
      <c r="T54" s="30">
        <f t="shared" si="48"/>
        <v>41820</v>
      </c>
      <c r="U54" s="14" t="s">
        <v>39</v>
      </c>
      <c r="V54" s="31">
        <f t="shared" si="35"/>
        <v>3939.5519999999997</v>
      </c>
      <c r="W54" s="23">
        <v>155.72999999999999</v>
      </c>
      <c r="X54" s="28">
        <f t="shared" si="49"/>
        <v>613506.43295999989</v>
      </c>
      <c r="Y54" s="35">
        <v>613506.43000000005</v>
      </c>
      <c r="Z54" s="30">
        <v>41820</v>
      </c>
      <c r="AA54" s="36">
        <v>3596</v>
      </c>
      <c r="AB54" s="23"/>
    </row>
    <row r="55" spans="2:28" ht="30" customHeight="1">
      <c r="B55" s="22">
        <f t="shared" si="39"/>
        <v>51</v>
      </c>
      <c r="C55" s="11" t="s">
        <v>237</v>
      </c>
      <c r="D55" s="11" t="s">
        <v>335</v>
      </c>
      <c r="E55" s="25">
        <v>41820</v>
      </c>
      <c r="F55" s="34" t="s">
        <v>217</v>
      </c>
      <c r="G55" s="11" t="s">
        <v>39</v>
      </c>
      <c r="H55" s="11" t="s">
        <v>79</v>
      </c>
      <c r="I55" s="11" t="s">
        <v>93</v>
      </c>
      <c r="J55" s="27">
        <v>801.22</v>
      </c>
      <c r="K55" s="25">
        <v>41747</v>
      </c>
      <c r="L55" s="11" t="s">
        <v>114</v>
      </c>
      <c r="M55" s="11" t="s">
        <v>47</v>
      </c>
      <c r="N55" s="11" t="s">
        <v>52</v>
      </c>
      <c r="O55" s="14" t="s">
        <v>73</v>
      </c>
      <c r="P55" s="40">
        <v>25000</v>
      </c>
      <c r="Q55" s="28">
        <f t="shared" si="43"/>
        <v>2778600</v>
      </c>
      <c r="R55" s="29" t="s">
        <v>32</v>
      </c>
      <c r="S55" s="8">
        <v>111.14400000000001</v>
      </c>
      <c r="T55" s="30">
        <f t="shared" si="48"/>
        <v>41836</v>
      </c>
      <c r="U55" s="14" t="s">
        <v>39</v>
      </c>
      <c r="V55" s="31">
        <f t="shared" si="35"/>
        <v>3334.3199999999997</v>
      </c>
      <c r="W55" s="23">
        <v>155.72999999999999</v>
      </c>
      <c r="X55" s="28">
        <f t="shared" si="49"/>
        <v>519253.6535999999</v>
      </c>
      <c r="Y55" s="35">
        <v>519253.65</v>
      </c>
      <c r="Z55" s="30">
        <v>41820</v>
      </c>
      <c r="AA55" s="36">
        <v>3597</v>
      </c>
      <c r="AB55" s="23"/>
    </row>
    <row r="56" spans="2:28" ht="30" customHeight="1">
      <c r="B56" s="22">
        <f t="shared" si="39"/>
        <v>52</v>
      </c>
      <c r="C56" s="11" t="s">
        <v>238</v>
      </c>
      <c r="D56" s="11" t="s">
        <v>336</v>
      </c>
      <c r="E56" s="25">
        <v>41820</v>
      </c>
      <c r="F56" s="34" t="s">
        <v>218</v>
      </c>
      <c r="G56" s="11" t="s">
        <v>121</v>
      </c>
      <c r="H56" s="11" t="s">
        <v>79</v>
      </c>
      <c r="I56" s="11" t="s">
        <v>93</v>
      </c>
      <c r="J56" s="27">
        <v>801.22</v>
      </c>
      <c r="K56" s="25">
        <v>41747</v>
      </c>
      <c r="L56" s="11" t="s">
        <v>114</v>
      </c>
      <c r="M56" s="11" t="s">
        <v>47</v>
      </c>
      <c r="N56" s="11" t="s">
        <v>52</v>
      </c>
      <c r="O56" s="14" t="s">
        <v>73</v>
      </c>
      <c r="P56" s="40">
        <v>37000</v>
      </c>
      <c r="Q56" s="28">
        <f t="shared" si="43"/>
        <v>4112328</v>
      </c>
      <c r="R56" s="29" t="s">
        <v>32</v>
      </c>
      <c r="S56" s="8">
        <v>111.14400000000001</v>
      </c>
      <c r="T56" s="30">
        <f t="shared" si="48"/>
        <v>41836</v>
      </c>
      <c r="U56" s="14" t="s">
        <v>39</v>
      </c>
      <c r="V56" s="31">
        <f t="shared" si="35"/>
        <v>4934.7936</v>
      </c>
      <c r="W56" s="23">
        <v>155.72999999999999</v>
      </c>
      <c r="X56" s="28">
        <f t="shared" si="49"/>
        <v>768495.40732799994</v>
      </c>
      <c r="Y56" s="35">
        <v>768495.41</v>
      </c>
      <c r="Z56" s="30">
        <v>41820</v>
      </c>
      <c r="AA56" s="36">
        <v>3599</v>
      </c>
      <c r="AB56" s="23"/>
    </row>
    <row r="57" spans="2:28" ht="30" customHeight="1">
      <c r="B57" s="22">
        <f t="shared" si="39"/>
        <v>53</v>
      </c>
      <c r="C57" s="11" t="s">
        <v>384</v>
      </c>
      <c r="D57" s="25" t="s">
        <v>337</v>
      </c>
      <c r="E57" s="39">
        <v>41820</v>
      </c>
      <c r="F57" s="12" t="s">
        <v>350</v>
      </c>
      <c r="G57" s="11" t="s">
        <v>132</v>
      </c>
      <c r="H57" s="11" t="s">
        <v>43</v>
      </c>
      <c r="I57" s="11" t="s">
        <v>93</v>
      </c>
      <c r="J57" s="27">
        <v>801.22</v>
      </c>
      <c r="K57" s="39">
        <v>41799</v>
      </c>
      <c r="L57" s="57" t="s">
        <v>78</v>
      </c>
      <c r="M57" s="62" t="s">
        <v>47</v>
      </c>
      <c r="N57" s="11" t="s">
        <v>68</v>
      </c>
      <c r="O57" s="14" t="s">
        <v>81</v>
      </c>
      <c r="P57" s="60">
        <v>399733</v>
      </c>
      <c r="Q57" s="28">
        <f t="shared" si="43"/>
        <v>44673360.614</v>
      </c>
      <c r="R57" s="29" t="s">
        <v>32</v>
      </c>
      <c r="S57" s="38">
        <v>111.758</v>
      </c>
      <c r="T57" s="30">
        <f t="shared" ref="T57:T63" si="50">SUM(K57)+89</f>
        <v>41888</v>
      </c>
      <c r="U57" s="11" t="s">
        <v>132</v>
      </c>
      <c r="V57" s="53">
        <f t="shared" si="35"/>
        <v>53608.032736799993</v>
      </c>
      <c r="W57" s="23">
        <v>155.72999999999999</v>
      </c>
      <c r="X57" s="28">
        <f t="shared" ref="X57:X63" si="51">SUM(V57*W57)</f>
        <v>8348378.9381018626</v>
      </c>
      <c r="Y57" s="55">
        <f t="shared" ref="Y57:Y63" si="52">X57</f>
        <v>8348378.9381018626</v>
      </c>
      <c r="Z57" s="23"/>
      <c r="AA57" s="23"/>
      <c r="AB57" s="23"/>
    </row>
    <row r="58" spans="2:28" ht="30" customHeight="1">
      <c r="B58" s="22">
        <f t="shared" si="39"/>
        <v>54</v>
      </c>
      <c r="C58" s="11" t="s">
        <v>385</v>
      </c>
      <c r="D58" s="25" t="s">
        <v>338</v>
      </c>
      <c r="E58" s="39">
        <v>41820</v>
      </c>
      <c r="F58" s="12" t="s">
        <v>351</v>
      </c>
      <c r="G58" s="11" t="s">
        <v>132</v>
      </c>
      <c r="H58" s="11" t="s">
        <v>43</v>
      </c>
      <c r="I58" s="11" t="s">
        <v>93</v>
      </c>
      <c r="J58" s="27">
        <v>801.22</v>
      </c>
      <c r="K58" s="39">
        <v>41802</v>
      </c>
      <c r="L58" s="57" t="s">
        <v>155</v>
      </c>
      <c r="M58" s="62" t="s">
        <v>47</v>
      </c>
      <c r="N58" s="11" t="s">
        <v>48</v>
      </c>
      <c r="O58" s="14" t="s">
        <v>67</v>
      </c>
      <c r="P58" s="60">
        <v>949823</v>
      </c>
      <c r="Q58" s="28">
        <f t="shared" si="43"/>
        <v>107770716.87199999</v>
      </c>
      <c r="R58" s="29" t="s">
        <v>32</v>
      </c>
      <c r="S58" s="38">
        <v>113.464</v>
      </c>
      <c r="T58" s="30">
        <f t="shared" si="50"/>
        <v>41891</v>
      </c>
      <c r="U58" s="11" t="s">
        <v>132</v>
      </c>
      <c r="V58" s="53">
        <f t="shared" si="35"/>
        <v>129324.86024639999</v>
      </c>
      <c r="W58" s="23">
        <v>155.72999999999999</v>
      </c>
      <c r="X58" s="28">
        <f t="shared" si="51"/>
        <v>20139760.486171868</v>
      </c>
      <c r="Y58" s="55">
        <f t="shared" si="52"/>
        <v>20139760.486171868</v>
      </c>
      <c r="Z58" s="23"/>
      <c r="AA58" s="23"/>
      <c r="AB58" s="23"/>
    </row>
    <row r="59" spans="2:28" ht="30" customHeight="1">
      <c r="B59" s="22">
        <f t="shared" si="39"/>
        <v>55</v>
      </c>
      <c r="C59" s="11" t="s">
        <v>372</v>
      </c>
      <c r="D59" s="25" t="s">
        <v>339</v>
      </c>
      <c r="E59" s="39">
        <v>41820</v>
      </c>
      <c r="F59" s="26" t="s">
        <v>352</v>
      </c>
      <c r="G59" s="11" t="s">
        <v>132</v>
      </c>
      <c r="H59" s="57" t="s">
        <v>43</v>
      </c>
      <c r="I59" s="11" t="s">
        <v>35</v>
      </c>
      <c r="J59" s="27">
        <v>801.22</v>
      </c>
      <c r="K59" s="39">
        <v>41807</v>
      </c>
      <c r="L59" s="57" t="s">
        <v>75</v>
      </c>
      <c r="M59" s="57" t="s">
        <v>36</v>
      </c>
      <c r="N59" s="11" t="s">
        <v>62</v>
      </c>
      <c r="O59" s="14" t="s">
        <v>63</v>
      </c>
      <c r="P59" s="60">
        <v>950330</v>
      </c>
      <c r="Q59" s="28">
        <f t="shared" si="43"/>
        <v>110929169.91</v>
      </c>
      <c r="R59" s="29" t="s">
        <v>32</v>
      </c>
      <c r="S59" s="38">
        <v>116.727</v>
      </c>
      <c r="T59" s="30">
        <f t="shared" si="50"/>
        <v>41896</v>
      </c>
      <c r="U59" s="11" t="s">
        <v>132</v>
      </c>
      <c r="V59" s="53">
        <f t="shared" si="35"/>
        <v>133115.00389199998</v>
      </c>
      <c r="W59" s="23">
        <v>155.72999999999999</v>
      </c>
      <c r="X59" s="28">
        <f t="shared" si="51"/>
        <v>20729999.556101155</v>
      </c>
      <c r="Y59" s="55">
        <f t="shared" si="52"/>
        <v>20729999.556101155</v>
      </c>
      <c r="Z59" s="23"/>
      <c r="AA59" s="23"/>
      <c r="AB59" s="23"/>
    </row>
    <row r="60" spans="2:28" ht="30" customHeight="1">
      <c r="B60" s="22">
        <f t="shared" si="39"/>
        <v>56</v>
      </c>
      <c r="C60" s="11" t="s">
        <v>386</v>
      </c>
      <c r="D60" s="25" t="s">
        <v>340</v>
      </c>
      <c r="E60" s="39">
        <v>41820</v>
      </c>
      <c r="F60" s="26" t="s">
        <v>353</v>
      </c>
      <c r="G60" s="11" t="s">
        <v>132</v>
      </c>
      <c r="H60" s="57" t="s">
        <v>43</v>
      </c>
      <c r="I60" s="11" t="s">
        <v>44</v>
      </c>
      <c r="J60" s="27">
        <v>801.22</v>
      </c>
      <c r="K60" s="39">
        <v>41809</v>
      </c>
      <c r="L60" s="57" t="s">
        <v>367</v>
      </c>
      <c r="M60" s="57" t="s">
        <v>45</v>
      </c>
      <c r="N60" s="11" t="s">
        <v>66</v>
      </c>
      <c r="O60" s="14" t="s">
        <v>170</v>
      </c>
      <c r="P60" s="60">
        <v>899955</v>
      </c>
      <c r="Q60" s="28">
        <f t="shared" si="43"/>
        <v>105461226.675</v>
      </c>
      <c r="R60" s="29" t="s">
        <v>32</v>
      </c>
      <c r="S60" s="38">
        <v>117.185</v>
      </c>
      <c r="T60" s="30">
        <f t="shared" si="50"/>
        <v>41898</v>
      </c>
      <c r="U60" s="11" t="s">
        <v>132</v>
      </c>
      <c r="V60" s="53">
        <f t="shared" si="35"/>
        <v>126553.47200999998</v>
      </c>
      <c r="W60" s="23">
        <v>155.72999999999999</v>
      </c>
      <c r="X60" s="28">
        <f t="shared" si="51"/>
        <v>19708172.196117297</v>
      </c>
      <c r="Y60" s="55">
        <f t="shared" si="52"/>
        <v>19708172.196117297</v>
      </c>
      <c r="Z60" s="23"/>
      <c r="AA60" s="23"/>
      <c r="AB60" s="23"/>
    </row>
    <row r="61" spans="2:28" ht="30" customHeight="1">
      <c r="B61" s="22">
        <f t="shared" si="39"/>
        <v>57</v>
      </c>
      <c r="C61" s="11" t="s">
        <v>376</v>
      </c>
      <c r="D61" s="25" t="s">
        <v>341</v>
      </c>
      <c r="E61" s="39">
        <v>41820</v>
      </c>
      <c r="F61" s="26" t="s">
        <v>361</v>
      </c>
      <c r="G61" s="11" t="s">
        <v>132</v>
      </c>
      <c r="H61" s="11" t="s">
        <v>43</v>
      </c>
      <c r="I61" s="11" t="s">
        <v>29</v>
      </c>
      <c r="J61" s="27">
        <v>801.22</v>
      </c>
      <c r="K61" s="39">
        <v>41813</v>
      </c>
      <c r="L61" s="57" t="s">
        <v>369</v>
      </c>
      <c r="M61" s="57" t="s">
        <v>30</v>
      </c>
      <c r="N61" s="11" t="s">
        <v>52</v>
      </c>
      <c r="O61" s="14" t="s">
        <v>53</v>
      </c>
      <c r="P61" s="60">
        <v>507077</v>
      </c>
      <c r="Q61" s="28">
        <f t="shared" si="43"/>
        <v>57594819.813999996</v>
      </c>
      <c r="R61" s="29" t="s">
        <v>32</v>
      </c>
      <c r="S61" s="63">
        <v>113.58199999999999</v>
      </c>
      <c r="T61" s="30">
        <f t="shared" si="50"/>
        <v>41902</v>
      </c>
      <c r="U61" s="11" t="s">
        <v>132</v>
      </c>
      <c r="V61" s="53">
        <f t="shared" si="35"/>
        <v>69113.783776799988</v>
      </c>
      <c r="W61" s="23">
        <v>155.72999999999999</v>
      </c>
      <c r="X61" s="28">
        <f t="shared" si="51"/>
        <v>10763089.547561061</v>
      </c>
      <c r="Y61" s="55">
        <f t="shared" si="52"/>
        <v>10763089.547561061</v>
      </c>
      <c r="Z61" s="23"/>
      <c r="AA61" s="23"/>
      <c r="AB61" s="23"/>
    </row>
    <row r="62" spans="2:28" ht="30" customHeight="1">
      <c r="B62" s="22">
        <f t="shared" si="39"/>
        <v>58</v>
      </c>
      <c r="C62" s="11" t="s">
        <v>377</v>
      </c>
      <c r="D62" s="25" t="s">
        <v>342</v>
      </c>
      <c r="E62" s="39">
        <v>41820</v>
      </c>
      <c r="F62" s="26" t="s">
        <v>362</v>
      </c>
      <c r="G62" s="11" t="s">
        <v>132</v>
      </c>
      <c r="H62" s="11" t="s">
        <v>43</v>
      </c>
      <c r="I62" s="11" t="s">
        <v>29</v>
      </c>
      <c r="J62" s="27">
        <v>801.22</v>
      </c>
      <c r="K62" s="39">
        <v>41813</v>
      </c>
      <c r="L62" s="57" t="s">
        <v>369</v>
      </c>
      <c r="M62" s="57" t="s">
        <v>30</v>
      </c>
      <c r="N62" s="11" t="s">
        <v>52</v>
      </c>
      <c r="O62" s="14" t="s">
        <v>53</v>
      </c>
      <c r="P62" s="60">
        <v>30000</v>
      </c>
      <c r="Q62" s="28">
        <f t="shared" si="43"/>
        <v>3407460</v>
      </c>
      <c r="R62" s="29" t="s">
        <v>32</v>
      </c>
      <c r="S62" s="63">
        <v>113.58199999999999</v>
      </c>
      <c r="T62" s="30">
        <f t="shared" si="50"/>
        <v>41902</v>
      </c>
      <c r="U62" s="11" t="s">
        <v>132</v>
      </c>
      <c r="V62" s="53">
        <f t="shared" si="35"/>
        <v>4088.9519999999998</v>
      </c>
      <c r="W62" s="23">
        <v>155.72999999999999</v>
      </c>
      <c r="X62" s="28">
        <f t="shared" si="51"/>
        <v>636772.49495999992</v>
      </c>
      <c r="Y62" s="55">
        <f t="shared" si="52"/>
        <v>636772.49495999992</v>
      </c>
      <c r="Z62" s="23"/>
      <c r="AA62" s="23"/>
      <c r="AB62" s="23"/>
    </row>
    <row r="63" spans="2:28" ht="30" customHeight="1" thickBot="1">
      <c r="B63" s="22">
        <f t="shared" si="39"/>
        <v>59</v>
      </c>
      <c r="C63" s="11" t="s">
        <v>378</v>
      </c>
      <c r="D63" s="25" t="s">
        <v>343</v>
      </c>
      <c r="E63" s="39">
        <v>41820</v>
      </c>
      <c r="F63" s="26" t="s">
        <v>363</v>
      </c>
      <c r="G63" s="11" t="s">
        <v>132</v>
      </c>
      <c r="H63" s="11" t="s">
        <v>43</v>
      </c>
      <c r="I63" s="11" t="s">
        <v>29</v>
      </c>
      <c r="J63" s="27">
        <v>801.22</v>
      </c>
      <c r="K63" s="39">
        <v>41813</v>
      </c>
      <c r="L63" s="57" t="s">
        <v>369</v>
      </c>
      <c r="M63" s="57" t="s">
        <v>30</v>
      </c>
      <c r="N63" s="11" t="s">
        <v>52</v>
      </c>
      <c r="O63" s="14" t="s">
        <v>53</v>
      </c>
      <c r="P63" s="60">
        <v>400000</v>
      </c>
      <c r="Q63" s="28">
        <f t="shared" si="43"/>
        <v>45432800</v>
      </c>
      <c r="R63" s="29" t="s">
        <v>32</v>
      </c>
      <c r="S63" s="63">
        <v>113.58199999999999</v>
      </c>
      <c r="T63" s="30">
        <f t="shared" si="50"/>
        <v>41902</v>
      </c>
      <c r="U63" s="11" t="s">
        <v>132</v>
      </c>
      <c r="V63" s="53">
        <f t="shared" si="35"/>
        <v>54519.359999999993</v>
      </c>
      <c r="W63" s="23">
        <v>155.72999999999999</v>
      </c>
      <c r="X63" s="28">
        <f t="shared" si="51"/>
        <v>8490299.9327999987</v>
      </c>
      <c r="Y63" s="55">
        <f t="shared" si="52"/>
        <v>8490299.9327999987</v>
      </c>
      <c r="Z63" s="23"/>
      <c r="AA63" s="23"/>
      <c r="AB63" s="23"/>
    </row>
    <row r="64" spans="2:28" ht="15.75" thickBot="1">
      <c r="B64" s="33"/>
      <c r="C64" s="33"/>
      <c r="D64" s="21"/>
      <c r="E64" s="21"/>
      <c r="F64" s="21"/>
      <c r="G64" s="21"/>
      <c r="H64" s="21"/>
      <c r="I64" s="21"/>
      <c r="J64" s="33"/>
      <c r="K64" s="65"/>
      <c r="L64" s="21"/>
      <c r="M64" s="65"/>
      <c r="N64" s="66"/>
      <c r="O64" s="67"/>
      <c r="P64" s="68">
        <f>SUM(P5:P63)</f>
        <v>23414768</v>
      </c>
      <c r="Q64" s="84">
        <f>SUM(Q5:Q63)</f>
        <v>2587899738.2266006</v>
      </c>
      <c r="R64" s="85"/>
      <c r="S64" s="86"/>
      <c r="T64" s="87"/>
      <c r="U64" s="88"/>
      <c r="V64" s="84">
        <f>SUM(V5:V63)</f>
        <v>3105479.6858719205</v>
      </c>
      <c r="W64" s="85"/>
      <c r="X64" s="84">
        <f>SUM(X5:X63)</f>
        <v>483643025.33960074</v>
      </c>
      <c r="Y64" s="84">
        <f>SUM(Y5:Y63)</f>
        <v>485156014.73765302</v>
      </c>
      <c r="Z64" s="33"/>
      <c r="AA64" s="33"/>
      <c r="AB64" s="33"/>
    </row>
  </sheetData>
  <mergeCells count="2">
    <mergeCell ref="AB17:AB18"/>
    <mergeCell ref="AB12:AB13"/>
  </mergeCells>
  <pageMargins left="0" right="0" top="0" bottom="0" header="0.31496062992125984" footer="0"/>
  <pageSetup paperSize="8" orientation="landscape" r:id="rId1"/>
  <ignoredErrors>
    <ignoredError sqref="F5:F9 F10:F11 F17 F26:F27 F28:F29 F31 F32:F35 F46:F51 F52:F56" numberStoredAsText="1"/>
    <ignoredError sqref="Q9 Q28 T26:T27 Q48:Q49 X4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5"/>
  <sheetViews>
    <sheetView workbookViewId="0">
      <selection activeCell="A38" sqref="A38:XFD46"/>
    </sheetView>
  </sheetViews>
  <sheetFormatPr defaultRowHeight="15"/>
  <cols>
    <col min="1" max="1" width="4.42578125" customWidth="1"/>
    <col min="2" max="2" width="3.28515625" customWidth="1"/>
    <col min="3" max="3" width="6.140625" customWidth="1"/>
    <col min="4" max="4" width="7" customWidth="1"/>
    <col min="5" max="5" width="4.140625" style="1" customWidth="1"/>
    <col min="6" max="6" width="9.42578125" style="3" customWidth="1"/>
    <col min="7" max="7" width="10.42578125" style="3" customWidth="1"/>
    <col min="8" max="8" width="9" style="3" customWidth="1"/>
    <col min="9" max="9" width="10.140625" style="3" customWidth="1"/>
    <col min="10" max="10" width="6.140625" customWidth="1"/>
    <col min="11" max="11" width="6.28515625" style="1" customWidth="1"/>
    <col min="12" max="12" width="9.5703125" style="3" customWidth="1"/>
    <col min="13" max="13" width="5.7109375" style="3" customWidth="1"/>
    <col min="14" max="14" width="8.85546875" style="5" customWidth="1"/>
    <col min="15" max="15" width="12.42578125" style="6" customWidth="1"/>
    <col min="16" max="16" width="7.42578125" customWidth="1"/>
    <col min="17" max="17" width="11.85546875" customWidth="1"/>
    <col min="18" max="18" width="5.42578125" customWidth="1"/>
    <col min="19" max="19" width="6" style="3" customWidth="1"/>
    <col min="20" max="20" width="6.28515625" style="1" customWidth="1"/>
    <col min="21" max="21" width="10.28515625" style="3" customWidth="1"/>
    <col min="22" max="22" width="9.140625" customWidth="1"/>
    <col min="23" max="23" width="5.42578125" customWidth="1"/>
    <col min="24" max="24" width="11.5703125" customWidth="1"/>
    <col min="25" max="25" width="6.85546875" customWidth="1"/>
    <col min="26" max="26" width="6.42578125" customWidth="1"/>
    <col min="27" max="27" width="6.85546875" customWidth="1"/>
  </cols>
  <sheetData>
    <row r="2" spans="2:27" ht="15.75">
      <c r="B2" s="33"/>
      <c r="C2" s="33"/>
      <c r="D2" s="33"/>
      <c r="E2" s="65"/>
      <c r="F2" s="21"/>
      <c r="G2" s="21"/>
      <c r="H2" s="21"/>
      <c r="I2" s="21"/>
      <c r="J2" s="33"/>
      <c r="K2" s="65"/>
      <c r="L2" s="75" t="s">
        <v>0</v>
      </c>
      <c r="M2" s="21"/>
      <c r="N2" s="66"/>
      <c r="O2" s="67"/>
      <c r="P2" s="33"/>
      <c r="Q2" s="33"/>
      <c r="R2" s="33"/>
      <c r="S2" s="21"/>
      <c r="T2" s="65"/>
      <c r="U2" s="21"/>
      <c r="V2" s="33"/>
      <c r="W2" s="33"/>
      <c r="X2" s="33"/>
      <c r="Y2" s="33"/>
      <c r="Z2" s="33"/>
      <c r="AA2" s="33"/>
    </row>
    <row r="3" spans="2:27" ht="22.5" customHeight="1" thickBot="1">
      <c r="B3" s="33"/>
      <c r="C3" s="33"/>
      <c r="D3" s="33"/>
      <c r="E3" s="65"/>
      <c r="F3" s="21"/>
      <c r="G3" s="21"/>
      <c r="H3" s="21"/>
      <c r="I3" s="21"/>
      <c r="J3" s="33"/>
      <c r="K3" s="65"/>
      <c r="L3" s="75" t="s">
        <v>395</v>
      </c>
      <c r="M3" s="21"/>
      <c r="N3" s="66"/>
      <c r="O3" s="67"/>
      <c r="P3" s="77"/>
      <c r="Q3" s="33"/>
      <c r="R3" s="33"/>
      <c r="S3" s="21"/>
      <c r="T3" s="65"/>
      <c r="U3" s="21"/>
      <c r="V3" s="33"/>
      <c r="W3" s="33"/>
      <c r="X3" s="33"/>
      <c r="Y3" s="33"/>
      <c r="Z3" s="33"/>
      <c r="AA3" s="33"/>
    </row>
    <row r="4" spans="2:27" s="3" customFormat="1" ht="42.6" customHeight="1" thickBot="1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8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20" t="s">
        <v>26</v>
      </c>
    </row>
    <row r="5" spans="2:27" ht="19.5" customHeight="1">
      <c r="B5" s="22">
        <v>1</v>
      </c>
      <c r="C5" s="11" t="s">
        <v>224</v>
      </c>
      <c r="D5" s="24" t="s">
        <v>64</v>
      </c>
      <c r="E5" s="25"/>
      <c r="F5" s="26" t="s">
        <v>258</v>
      </c>
      <c r="G5" s="11" t="s">
        <v>90</v>
      </c>
      <c r="H5" s="11" t="s">
        <v>51</v>
      </c>
      <c r="I5" s="11" t="s">
        <v>93</v>
      </c>
      <c r="J5" s="27">
        <v>801.22</v>
      </c>
      <c r="K5" s="25">
        <v>41731</v>
      </c>
      <c r="L5" s="11" t="s">
        <v>169</v>
      </c>
      <c r="M5" s="11" t="s">
        <v>47</v>
      </c>
      <c r="N5" s="11" t="s">
        <v>62</v>
      </c>
      <c r="O5" s="14" t="s">
        <v>137</v>
      </c>
      <c r="P5" s="13">
        <v>227068</v>
      </c>
      <c r="Q5" s="28">
        <f t="shared" ref="Q5:Q34" si="0">SUM(P5*S5)</f>
        <v>24366894.148000002</v>
      </c>
      <c r="R5" s="29" t="s">
        <v>32</v>
      </c>
      <c r="S5" s="7">
        <v>107.31100000000001</v>
      </c>
      <c r="T5" s="30">
        <f t="shared" ref="T5:T10" si="1">SUM(K5)+89</f>
        <v>41820</v>
      </c>
      <c r="U5" s="14" t="s">
        <v>38</v>
      </c>
      <c r="V5" s="31">
        <f t="shared" ref="V5:V34" si="2">SUM(Q5*0.12%)</f>
        <v>29240.272977600001</v>
      </c>
      <c r="W5" s="23">
        <v>155.72999999999999</v>
      </c>
      <c r="X5" s="28">
        <f t="shared" ref="X5:X34" si="3">SUM(V5*W5)</f>
        <v>4553587.710801648</v>
      </c>
      <c r="Y5" s="32">
        <v>0</v>
      </c>
      <c r="Z5" s="23"/>
      <c r="AA5" s="23"/>
    </row>
    <row r="6" spans="2:27" ht="19.5" customHeight="1">
      <c r="B6" s="22">
        <f t="shared" ref="B6:B34" si="4">B5+1</f>
        <v>2</v>
      </c>
      <c r="C6" s="11" t="s">
        <v>242</v>
      </c>
      <c r="D6" s="24" t="s">
        <v>64</v>
      </c>
      <c r="E6" s="25"/>
      <c r="F6" s="34" t="s">
        <v>208</v>
      </c>
      <c r="G6" s="11" t="s">
        <v>39</v>
      </c>
      <c r="H6" s="11" t="s">
        <v>40</v>
      </c>
      <c r="I6" s="11" t="s">
        <v>29</v>
      </c>
      <c r="J6" s="27">
        <v>801.22</v>
      </c>
      <c r="K6" s="25">
        <v>41733</v>
      </c>
      <c r="L6" s="11" t="s">
        <v>168</v>
      </c>
      <c r="M6" s="11" t="s">
        <v>30</v>
      </c>
      <c r="N6" s="11" t="s">
        <v>52</v>
      </c>
      <c r="O6" s="14" t="s">
        <v>53</v>
      </c>
      <c r="P6" s="13">
        <v>349060</v>
      </c>
      <c r="Q6" s="28">
        <f t="shared" si="0"/>
        <v>36712385.5</v>
      </c>
      <c r="R6" s="29" t="s">
        <v>32</v>
      </c>
      <c r="S6" s="7">
        <v>105.175</v>
      </c>
      <c r="T6" s="30">
        <f t="shared" si="1"/>
        <v>41822</v>
      </c>
      <c r="U6" s="14" t="s">
        <v>39</v>
      </c>
      <c r="V6" s="31">
        <f t="shared" si="2"/>
        <v>44054.862599999993</v>
      </c>
      <c r="W6" s="23">
        <v>155.72999999999999</v>
      </c>
      <c r="X6" s="28">
        <f t="shared" si="3"/>
        <v>6860663.7526979987</v>
      </c>
      <c r="Y6" s="32">
        <v>0</v>
      </c>
      <c r="Z6" s="23"/>
      <c r="AA6" s="23"/>
    </row>
    <row r="7" spans="2:27" ht="20.25" customHeight="1">
      <c r="B7" s="22">
        <f t="shared" si="4"/>
        <v>3</v>
      </c>
      <c r="C7" s="11" t="s">
        <v>235</v>
      </c>
      <c r="D7" s="24" t="s">
        <v>64</v>
      </c>
      <c r="E7" s="25"/>
      <c r="F7" s="26" t="s">
        <v>248</v>
      </c>
      <c r="G7" s="11" t="s">
        <v>103</v>
      </c>
      <c r="H7" s="11" t="s">
        <v>51</v>
      </c>
      <c r="I7" s="11" t="s">
        <v>93</v>
      </c>
      <c r="J7" s="27">
        <v>801.22</v>
      </c>
      <c r="K7" s="25">
        <v>41747</v>
      </c>
      <c r="L7" s="11" t="s">
        <v>114</v>
      </c>
      <c r="M7" s="11" t="s">
        <v>47</v>
      </c>
      <c r="N7" s="11" t="s">
        <v>52</v>
      </c>
      <c r="O7" s="14" t="s">
        <v>73</v>
      </c>
      <c r="P7" s="40">
        <v>345399</v>
      </c>
      <c r="Q7" s="28">
        <f t="shared" si="0"/>
        <v>38354210.2368</v>
      </c>
      <c r="R7" s="29" t="s">
        <v>32</v>
      </c>
      <c r="S7" s="7">
        <v>111.0432</v>
      </c>
      <c r="T7" s="30">
        <f t="shared" si="1"/>
        <v>41836</v>
      </c>
      <c r="U7" s="14" t="s">
        <v>38</v>
      </c>
      <c r="V7" s="31">
        <f t="shared" si="2"/>
        <v>46025.052284159996</v>
      </c>
      <c r="W7" s="23">
        <v>155.72999999999999</v>
      </c>
      <c r="X7" s="28">
        <f t="shared" si="3"/>
        <v>7167481.3922122354</v>
      </c>
      <c r="Y7" s="32">
        <v>0</v>
      </c>
      <c r="Z7" s="23"/>
      <c r="AA7" s="23"/>
    </row>
    <row r="8" spans="2:27" ht="20.25" customHeight="1">
      <c r="B8" s="22">
        <f t="shared" si="4"/>
        <v>4</v>
      </c>
      <c r="C8" s="11" t="s">
        <v>236</v>
      </c>
      <c r="D8" s="24" t="s">
        <v>64</v>
      </c>
      <c r="E8" s="25"/>
      <c r="F8" s="34" t="s">
        <v>215</v>
      </c>
      <c r="G8" s="11" t="s">
        <v>90</v>
      </c>
      <c r="H8" s="11" t="s">
        <v>46</v>
      </c>
      <c r="I8" s="11" t="s">
        <v>93</v>
      </c>
      <c r="J8" s="27">
        <v>801.22</v>
      </c>
      <c r="K8" s="25">
        <v>41747</v>
      </c>
      <c r="L8" s="11" t="s">
        <v>114</v>
      </c>
      <c r="M8" s="11" t="s">
        <v>47</v>
      </c>
      <c r="N8" s="11" t="s">
        <v>52</v>
      </c>
      <c r="O8" s="14" t="s">
        <v>73</v>
      </c>
      <c r="P8" s="40">
        <v>80000</v>
      </c>
      <c r="Q8" s="28">
        <f t="shared" si="0"/>
        <v>8883456</v>
      </c>
      <c r="R8" s="29" t="s">
        <v>32</v>
      </c>
      <c r="S8" s="7">
        <v>111.0432</v>
      </c>
      <c r="T8" s="30">
        <f t="shared" si="1"/>
        <v>41836</v>
      </c>
      <c r="U8" s="14" t="s">
        <v>38</v>
      </c>
      <c r="V8" s="31">
        <f t="shared" si="2"/>
        <v>10660.147199999999</v>
      </c>
      <c r="W8" s="23">
        <v>155.72999999999999</v>
      </c>
      <c r="X8" s="28">
        <f t="shared" si="3"/>
        <v>1660104.7234559997</v>
      </c>
      <c r="Y8" s="32">
        <v>0</v>
      </c>
      <c r="Z8" s="23"/>
      <c r="AA8" s="23"/>
    </row>
    <row r="9" spans="2:27" ht="20.25" customHeight="1">
      <c r="B9" s="22">
        <f t="shared" si="4"/>
        <v>5</v>
      </c>
      <c r="C9" s="11" t="s">
        <v>237</v>
      </c>
      <c r="D9" s="24" t="s">
        <v>64</v>
      </c>
      <c r="E9" s="25"/>
      <c r="F9" s="34" t="s">
        <v>216</v>
      </c>
      <c r="G9" s="11" t="s">
        <v>109</v>
      </c>
      <c r="H9" s="11" t="s">
        <v>58</v>
      </c>
      <c r="I9" s="11" t="s">
        <v>93</v>
      </c>
      <c r="J9" s="27">
        <v>801.22</v>
      </c>
      <c r="K9" s="25">
        <v>41747</v>
      </c>
      <c r="L9" s="11" t="s">
        <v>114</v>
      </c>
      <c r="M9" s="11" t="s">
        <v>47</v>
      </c>
      <c r="N9" s="11" t="s">
        <v>52</v>
      </c>
      <c r="O9" s="14" t="s">
        <v>73</v>
      </c>
      <c r="P9" s="40">
        <v>304000</v>
      </c>
      <c r="Q9" s="28">
        <f t="shared" si="0"/>
        <v>33768624</v>
      </c>
      <c r="R9" s="29" t="s">
        <v>32</v>
      </c>
      <c r="S9" s="8">
        <v>111.081</v>
      </c>
      <c r="T9" s="30">
        <f t="shared" si="1"/>
        <v>41836</v>
      </c>
      <c r="U9" s="14" t="s">
        <v>38</v>
      </c>
      <c r="V9" s="31">
        <f t="shared" si="2"/>
        <v>40522.3488</v>
      </c>
      <c r="W9" s="23">
        <v>155.72999999999999</v>
      </c>
      <c r="X9" s="28">
        <f t="shared" si="3"/>
        <v>6310545.3786239997</v>
      </c>
      <c r="Y9" s="32">
        <v>0</v>
      </c>
      <c r="Z9" s="23"/>
      <c r="AA9" s="23"/>
    </row>
    <row r="10" spans="2:27" ht="20.25" customHeight="1">
      <c r="B10" s="22">
        <f t="shared" si="4"/>
        <v>6</v>
      </c>
      <c r="C10" s="11" t="s">
        <v>246</v>
      </c>
      <c r="D10" s="24" t="s">
        <v>64</v>
      </c>
      <c r="E10" s="25"/>
      <c r="F10" s="26" t="s">
        <v>257</v>
      </c>
      <c r="G10" s="11" t="s">
        <v>109</v>
      </c>
      <c r="H10" s="11" t="s">
        <v>34</v>
      </c>
      <c r="I10" s="11" t="s">
        <v>35</v>
      </c>
      <c r="J10" s="27">
        <v>801.22</v>
      </c>
      <c r="K10" s="25">
        <v>41750</v>
      </c>
      <c r="L10" s="11" t="s">
        <v>77</v>
      </c>
      <c r="M10" s="11" t="s">
        <v>36</v>
      </c>
      <c r="N10" s="11" t="s">
        <v>37</v>
      </c>
      <c r="O10" s="14" t="s">
        <v>59</v>
      </c>
      <c r="P10" s="40">
        <v>950596</v>
      </c>
      <c r="Q10" s="28">
        <f t="shared" si="0"/>
        <v>104259277.96880001</v>
      </c>
      <c r="R10" s="29" t="s">
        <v>32</v>
      </c>
      <c r="S10" s="38">
        <v>109.6778</v>
      </c>
      <c r="T10" s="30">
        <f t="shared" si="1"/>
        <v>41839</v>
      </c>
      <c r="U10" s="14" t="s">
        <v>38</v>
      </c>
      <c r="V10" s="31">
        <f t="shared" si="2"/>
        <v>125111.13356256</v>
      </c>
      <c r="W10" s="23">
        <v>155.72999999999999</v>
      </c>
      <c r="X10" s="28">
        <f t="shared" si="3"/>
        <v>19483556.829697467</v>
      </c>
      <c r="Y10" s="32">
        <v>0</v>
      </c>
      <c r="Z10" s="23"/>
      <c r="AA10" s="23"/>
    </row>
    <row r="11" spans="2:27" ht="21.75" customHeight="1">
      <c r="B11" s="22">
        <f t="shared" si="4"/>
        <v>7</v>
      </c>
      <c r="C11" s="11" t="s">
        <v>308</v>
      </c>
      <c r="D11" s="24" t="s">
        <v>64</v>
      </c>
      <c r="E11" s="25"/>
      <c r="F11" s="34" t="s">
        <v>281</v>
      </c>
      <c r="G11" s="11" t="s">
        <v>90</v>
      </c>
      <c r="H11" s="11" t="s">
        <v>51</v>
      </c>
      <c r="I11" s="11" t="s">
        <v>93</v>
      </c>
      <c r="J11" s="27">
        <v>801.22</v>
      </c>
      <c r="K11" s="25">
        <v>41776</v>
      </c>
      <c r="L11" s="11" t="s">
        <v>295</v>
      </c>
      <c r="M11" s="11" t="s">
        <v>47</v>
      </c>
      <c r="N11" s="11" t="s">
        <v>298</v>
      </c>
      <c r="O11" s="14" t="s">
        <v>49</v>
      </c>
      <c r="P11" s="13">
        <v>101000</v>
      </c>
      <c r="Q11" s="28">
        <f t="shared" si="0"/>
        <v>11397547</v>
      </c>
      <c r="R11" s="29" t="s">
        <v>32</v>
      </c>
      <c r="S11" s="38">
        <v>112.84699999999999</v>
      </c>
      <c r="T11" s="30">
        <f t="shared" ref="T11:T19" si="5">SUM(K11)+89</f>
        <v>41865</v>
      </c>
      <c r="U11" s="14" t="s">
        <v>38</v>
      </c>
      <c r="V11" s="31">
        <f t="shared" si="2"/>
        <v>13677.056399999999</v>
      </c>
      <c r="W11" s="23">
        <v>155.72999999999999</v>
      </c>
      <c r="X11" s="28">
        <f t="shared" si="3"/>
        <v>2129927.9931719997</v>
      </c>
      <c r="Y11" s="32">
        <v>0</v>
      </c>
      <c r="Z11" s="23"/>
      <c r="AA11" s="23"/>
    </row>
    <row r="12" spans="2:27" ht="21.75" customHeight="1">
      <c r="B12" s="22">
        <f t="shared" si="4"/>
        <v>8</v>
      </c>
      <c r="C12" s="11" t="s">
        <v>309</v>
      </c>
      <c r="D12" s="24" t="s">
        <v>64</v>
      </c>
      <c r="E12" s="25"/>
      <c r="F12" s="34" t="s">
        <v>282</v>
      </c>
      <c r="G12" s="11" t="s">
        <v>90</v>
      </c>
      <c r="H12" s="11" t="s">
        <v>51</v>
      </c>
      <c r="I12" s="11" t="s">
        <v>93</v>
      </c>
      <c r="J12" s="27">
        <v>801.22</v>
      </c>
      <c r="K12" s="25">
        <v>41776</v>
      </c>
      <c r="L12" s="11" t="s">
        <v>295</v>
      </c>
      <c r="M12" s="11" t="s">
        <v>47</v>
      </c>
      <c r="N12" s="11" t="s">
        <v>298</v>
      </c>
      <c r="O12" s="14" t="s">
        <v>49</v>
      </c>
      <c r="P12" s="13">
        <v>119592</v>
      </c>
      <c r="Q12" s="28">
        <f t="shared" si="0"/>
        <v>13495598.423999999</v>
      </c>
      <c r="R12" s="29" t="s">
        <v>32</v>
      </c>
      <c r="S12" s="38">
        <v>112.84699999999999</v>
      </c>
      <c r="T12" s="30">
        <f t="shared" si="5"/>
        <v>41865</v>
      </c>
      <c r="U12" s="14" t="s">
        <v>38</v>
      </c>
      <c r="V12" s="31">
        <f t="shared" si="2"/>
        <v>16194.718108799998</v>
      </c>
      <c r="W12" s="23">
        <v>155.72999999999999</v>
      </c>
      <c r="X12" s="28">
        <f t="shared" si="3"/>
        <v>2522003.4510834236</v>
      </c>
      <c r="Y12" s="32">
        <v>0</v>
      </c>
      <c r="Z12" s="23"/>
      <c r="AA12" s="23"/>
    </row>
    <row r="13" spans="2:27" ht="21.75" customHeight="1">
      <c r="B13" s="22">
        <f t="shared" si="4"/>
        <v>9</v>
      </c>
      <c r="C13" s="11" t="s">
        <v>310</v>
      </c>
      <c r="D13" s="24" t="s">
        <v>64</v>
      </c>
      <c r="E13" s="25"/>
      <c r="F13" s="34" t="s">
        <v>283</v>
      </c>
      <c r="G13" s="11" t="s">
        <v>90</v>
      </c>
      <c r="H13" s="11" t="s">
        <v>46</v>
      </c>
      <c r="I13" s="11" t="s">
        <v>93</v>
      </c>
      <c r="J13" s="27">
        <v>801.22</v>
      </c>
      <c r="K13" s="25">
        <v>41776</v>
      </c>
      <c r="L13" s="11" t="s">
        <v>295</v>
      </c>
      <c r="M13" s="11" t="s">
        <v>47</v>
      </c>
      <c r="N13" s="11" t="s">
        <v>298</v>
      </c>
      <c r="O13" s="14" t="s">
        <v>49</v>
      </c>
      <c r="P13" s="13">
        <v>70000</v>
      </c>
      <c r="Q13" s="28">
        <f t="shared" si="0"/>
        <v>7899290</v>
      </c>
      <c r="R13" s="29" t="s">
        <v>32</v>
      </c>
      <c r="S13" s="38">
        <v>112.84699999999999</v>
      </c>
      <c r="T13" s="30">
        <f t="shared" si="5"/>
        <v>41865</v>
      </c>
      <c r="U13" s="14" t="s">
        <v>38</v>
      </c>
      <c r="V13" s="31">
        <f t="shared" si="2"/>
        <v>9479.1479999999992</v>
      </c>
      <c r="W13" s="23">
        <v>155.72999999999999</v>
      </c>
      <c r="X13" s="28">
        <f t="shared" si="3"/>
        <v>1476187.7180399997</v>
      </c>
      <c r="Y13" s="32">
        <v>0</v>
      </c>
      <c r="Z13" s="23"/>
      <c r="AA13" s="23"/>
    </row>
    <row r="14" spans="2:27" ht="24.75">
      <c r="B14" s="22">
        <f t="shared" si="4"/>
        <v>10</v>
      </c>
      <c r="C14" s="11" t="s">
        <v>311</v>
      </c>
      <c r="D14" s="24" t="s">
        <v>64</v>
      </c>
      <c r="E14" s="25"/>
      <c r="F14" s="34" t="s">
        <v>284</v>
      </c>
      <c r="G14" s="11" t="s">
        <v>109</v>
      </c>
      <c r="H14" s="11" t="s">
        <v>58</v>
      </c>
      <c r="I14" s="11" t="s">
        <v>93</v>
      </c>
      <c r="J14" s="27">
        <v>801.22</v>
      </c>
      <c r="K14" s="25">
        <v>41776</v>
      </c>
      <c r="L14" s="11" t="s">
        <v>295</v>
      </c>
      <c r="M14" s="11" t="s">
        <v>47</v>
      </c>
      <c r="N14" s="11" t="s">
        <v>41</v>
      </c>
      <c r="O14" s="14" t="s">
        <v>301</v>
      </c>
      <c r="P14" s="13">
        <v>359000</v>
      </c>
      <c r="Q14" s="28">
        <f t="shared" si="0"/>
        <v>40551922</v>
      </c>
      <c r="R14" s="29" t="s">
        <v>32</v>
      </c>
      <c r="S14" s="38">
        <v>112.958</v>
      </c>
      <c r="T14" s="30">
        <f t="shared" si="5"/>
        <v>41865</v>
      </c>
      <c r="U14" s="14" t="s">
        <v>38</v>
      </c>
      <c r="V14" s="31">
        <f t="shared" si="2"/>
        <v>48662.306399999994</v>
      </c>
      <c r="W14" s="23">
        <v>155.72999999999999</v>
      </c>
      <c r="X14" s="28">
        <f t="shared" si="3"/>
        <v>7578180.9756719982</v>
      </c>
      <c r="Y14" s="32">
        <v>0</v>
      </c>
      <c r="Z14" s="23"/>
      <c r="AA14" s="23"/>
    </row>
    <row r="15" spans="2:27" ht="24.75">
      <c r="B15" s="22">
        <f t="shared" si="4"/>
        <v>11</v>
      </c>
      <c r="C15" s="11" t="s">
        <v>312</v>
      </c>
      <c r="D15" s="24" t="s">
        <v>64</v>
      </c>
      <c r="E15" s="25"/>
      <c r="F15" s="34" t="s">
        <v>285</v>
      </c>
      <c r="G15" s="11" t="s">
        <v>39</v>
      </c>
      <c r="H15" s="11" t="s">
        <v>79</v>
      </c>
      <c r="I15" s="11" t="s">
        <v>93</v>
      </c>
      <c r="J15" s="27">
        <v>801.22</v>
      </c>
      <c r="K15" s="25">
        <v>41776</v>
      </c>
      <c r="L15" s="11" t="s">
        <v>295</v>
      </c>
      <c r="M15" s="11" t="s">
        <v>47</v>
      </c>
      <c r="N15" s="11" t="s">
        <v>41</v>
      </c>
      <c r="O15" s="14" t="s">
        <v>301</v>
      </c>
      <c r="P15" s="13">
        <v>18000</v>
      </c>
      <c r="Q15" s="28">
        <f t="shared" si="0"/>
        <v>2002572</v>
      </c>
      <c r="R15" s="29" t="s">
        <v>32</v>
      </c>
      <c r="S15" s="38">
        <v>111.254</v>
      </c>
      <c r="T15" s="30">
        <f t="shared" si="5"/>
        <v>41865</v>
      </c>
      <c r="U15" s="14" t="s">
        <v>39</v>
      </c>
      <c r="V15" s="31">
        <f t="shared" si="2"/>
        <v>2403.0863999999997</v>
      </c>
      <c r="W15" s="23">
        <v>155.72999999999999</v>
      </c>
      <c r="X15" s="28">
        <f t="shared" si="3"/>
        <v>374232.64507199993</v>
      </c>
      <c r="Y15" s="32">
        <v>0</v>
      </c>
      <c r="Z15" s="23"/>
      <c r="AA15" s="23"/>
    </row>
    <row r="16" spans="2:27" ht="24.75">
      <c r="B16" s="22">
        <f t="shared" si="4"/>
        <v>12</v>
      </c>
      <c r="C16" s="11" t="s">
        <v>313</v>
      </c>
      <c r="D16" s="24" t="s">
        <v>64</v>
      </c>
      <c r="E16" s="25"/>
      <c r="F16" s="34" t="s">
        <v>286</v>
      </c>
      <c r="G16" s="11" t="s">
        <v>39</v>
      </c>
      <c r="H16" s="11" t="s">
        <v>79</v>
      </c>
      <c r="I16" s="11" t="s">
        <v>93</v>
      </c>
      <c r="J16" s="27">
        <v>801.22</v>
      </c>
      <c r="K16" s="25">
        <v>41776</v>
      </c>
      <c r="L16" s="11" t="s">
        <v>295</v>
      </c>
      <c r="M16" s="11" t="s">
        <v>47</v>
      </c>
      <c r="N16" s="11" t="s">
        <v>41</v>
      </c>
      <c r="O16" s="14" t="s">
        <v>301</v>
      </c>
      <c r="P16" s="13">
        <v>57000</v>
      </c>
      <c r="Q16" s="28">
        <f t="shared" si="0"/>
        <v>6341478</v>
      </c>
      <c r="R16" s="29" t="s">
        <v>32</v>
      </c>
      <c r="S16" s="38">
        <v>111.254</v>
      </c>
      <c r="T16" s="30">
        <f t="shared" si="5"/>
        <v>41865</v>
      </c>
      <c r="U16" s="14" t="s">
        <v>39</v>
      </c>
      <c r="V16" s="31">
        <f t="shared" si="2"/>
        <v>7609.7735999999995</v>
      </c>
      <c r="W16" s="23">
        <v>155.72999999999999</v>
      </c>
      <c r="X16" s="28">
        <f t="shared" si="3"/>
        <v>1185070.0427279999</v>
      </c>
      <c r="Y16" s="32">
        <v>0</v>
      </c>
      <c r="Z16" s="23"/>
      <c r="AA16" s="23"/>
    </row>
    <row r="17" spans="2:27" ht="24.75">
      <c r="B17" s="22">
        <f t="shared" si="4"/>
        <v>13</v>
      </c>
      <c r="C17" s="11" t="s">
        <v>314</v>
      </c>
      <c r="D17" s="24" t="s">
        <v>64</v>
      </c>
      <c r="E17" s="25"/>
      <c r="F17" s="34" t="s">
        <v>287</v>
      </c>
      <c r="G17" s="11" t="s">
        <v>121</v>
      </c>
      <c r="H17" s="11" t="s">
        <v>79</v>
      </c>
      <c r="I17" s="11" t="s">
        <v>93</v>
      </c>
      <c r="J17" s="27">
        <v>801.22</v>
      </c>
      <c r="K17" s="25">
        <v>41776</v>
      </c>
      <c r="L17" s="11" t="s">
        <v>295</v>
      </c>
      <c r="M17" s="11" t="s">
        <v>47</v>
      </c>
      <c r="N17" s="11" t="s">
        <v>41</v>
      </c>
      <c r="O17" s="14" t="s">
        <v>301</v>
      </c>
      <c r="P17" s="13">
        <v>39000</v>
      </c>
      <c r="Q17" s="28">
        <f t="shared" si="0"/>
        <v>4338906</v>
      </c>
      <c r="R17" s="29" t="s">
        <v>32</v>
      </c>
      <c r="S17" s="38">
        <v>111.254</v>
      </c>
      <c r="T17" s="30">
        <f t="shared" si="5"/>
        <v>41865</v>
      </c>
      <c r="U17" s="14" t="s">
        <v>39</v>
      </c>
      <c r="V17" s="31">
        <f t="shared" si="2"/>
        <v>5206.6871999999994</v>
      </c>
      <c r="W17" s="23">
        <v>155.72999999999999</v>
      </c>
      <c r="X17" s="28">
        <f t="shared" si="3"/>
        <v>810837.39765599987</v>
      </c>
      <c r="Y17" s="32">
        <v>0</v>
      </c>
      <c r="Z17" s="23"/>
      <c r="AA17" s="23"/>
    </row>
    <row r="18" spans="2:27" ht="24.75">
      <c r="B18" s="22">
        <f t="shared" si="4"/>
        <v>14</v>
      </c>
      <c r="C18" s="11" t="s">
        <v>315</v>
      </c>
      <c r="D18" s="24" t="s">
        <v>64</v>
      </c>
      <c r="E18" s="25"/>
      <c r="F18" s="34" t="s">
        <v>288</v>
      </c>
      <c r="G18" s="11" t="s">
        <v>91</v>
      </c>
      <c r="H18" s="11" t="s">
        <v>74</v>
      </c>
      <c r="I18" s="11" t="s">
        <v>93</v>
      </c>
      <c r="J18" s="27">
        <v>801.22</v>
      </c>
      <c r="K18" s="25">
        <v>41776</v>
      </c>
      <c r="L18" s="11" t="s">
        <v>295</v>
      </c>
      <c r="M18" s="11" t="s">
        <v>47</v>
      </c>
      <c r="N18" s="11" t="s">
        <v>41</v>
      </c>
      <c r="O18" s="14" t="s">
        <v>301</v>
      </c>
      <c r="P18" s="13">
        <v>177000</v>
      </c>
      <c r="Q18" s="28">
        <f t="shared" si="0"/>
        <v>19973919</v>
      </c>
      <c r="R18" s="29" t="s">
        <v>32</v>
      </c>
      <c r="S18" s="38">
        <v>112.84699999999999</v>
      </c>
      <c r="T18" s="30">
        <f t="shared" si="5"/>
        <v>41865</v>
      </c>
      <c r="U18" s="11" t="s">
        <v>101</v>
      </c>
      <c r="V18" s="31">
        <f t="shared" si="2"/>
        <v>23968.702799999999</v>
      </c>
      <c r="W18" s="23">
        <v>155.72999999999999</v>
      </c>
      <c r="X18" s="28">
        <f t="shared" si="3"/>
        <v>3732646.0870439997</v>
      </c>
      <c r="Y18" s="32">
        <v>0</v>
      </c>
      <c r="Z18" s="23"/>
      <c r="AA18" s="23"/>
    </row>
    <row r="19" spans="2:27" ht="20.25" customHeight="1">
      <c r="B19" s="22">
        <f t="shared" si="4"/>
        <v>15</v>
      </c>
      <c r="C19" s="11" t="s">
        <v>316</v>
      </c>
      <c r="D19" s="24" t="s">
        <v>64</v>
      </c>
      <c r="E19" s="25"/>
      <c r="F19" s="34" t="s">
        <v>289</v>
      </c>
      <c r="G19" s="11" t="s">
        <v>91</v>
      </c>
      <c r="H19" s="11" t="s">
        <v>74</v>
      </c>
      <c r="I19" s="11" t="s">
        <v>93</v>
      </c>
      <c r="J19" s="27">
        <v>801.22</v>
      </c>
      <c r="K19" s="25">
        <v>41776</v>
      </c>
      <c r="L19" s="11" t="s">
        <v>295</v>
      </c>
      <c r="M19" s="11" t="s">
        <v>47</v>
      </c>
      <c r="N19" s="11" t="s">
        <v>298</v>
      </c>
      <c r="O19" s="14" t="s">
        <v>49</v>
      </c>
      <c r="P19" s="13">
        <v>59000</v>
      </c>
      <c r="Q19" s="28">
        <f t="shared" si="0"/>
        <v>6657973</v>
      </c>
      <c r="R19" s="29" t="s">
        <v>32</v>
      </c>
      <c r="S19" s="38">
        <v>112.84699999999999</v>
      </c>
      <c r="T19" s="30">
        <f t="shared" si="5"/>
        <v>41865</v>
      </c>
      <c r="U19" s="11" t="s">
        <v>101</v>
      </c>
      <c r="V19" s="31">
        <f t="shared" si="2"/>
        <v>7989.5675999999994</v>
      </c>
      <c r="W19" s="23">
        <v>155.72999999999999</v>
      </c>
      <c r="X19" s="28">
        <f t="shared" si="3"/>
        <v>1244215.3623479998</v>
      </c>
      <c r="Y19" s="32">
        <v>0</v>
      </c>
      <c r="Z19" s="23"/>
      <c r="AA19" s="23"/>
    </row>
    <row r="20" spans="2:27" ht="19.5" customHeight="1">
      <c r="B20" s="22">
        <f t="shared" si="4"/>
        <v>16</v>
      </c>
      <c r="C20" s="11" t="s">
        <v>371</v>
      </c>
      <c r="D20" s="24" t="s">
        <v>64</v>
      </c>
      <c r="E20" s="25"/>
      <c r="F20" s="26" t="s">
        <v>344</v>
      </c>
      <c r="G20" s="11" t="s">
        <v>109</v>
      </c>
      <c r="H20" s="11" t="s">
        <v>34</v>
      </c>
      <c r="I20" s="11" t="s">
        <v>35</v>
      </c>
      <c r="J20" s="27">
        <v>801.22</v>
      </c>
      <c r="K20" s="39">
        <v>41791</v>
      </c>
      <c r="L20" s="57" t="s">
        <v>106</v>
      </c>
      <c r="M20" s="57" t="s">
        <v>36</v>
      </c>
      <c r="N20" s="11" t="s">
        <v>60</v>
      </c>
      <c r="O20" s="14" t="s">
        <v>61</v>
      </c>
      <c r="P20" s="13">
        <v>950125</v>
      </c>
      <c r="Q20" s="28">
        <f t="shared" si="0"/>
        <v>106182169.5</v>
      </c>
      <c r="R20" s="29" t="s">
        <v>32</v>
      </c>
      <c r="S20" s="8">
        <v>111.756</v>
      </c>
      <c r="T20" s="30">
        <f t="shared" ref="T20:T34" si="6">SUM(K20)+89</f>
        <v>41880</v>
      </c>
      <c r="U20" s="58" t="s">
        <v>38</v>
      </c>
      <c r="V20" s="53">
        <f t="shared" si="2"/>
        <v>127418.60339999999</v>
      </c>
      <c r="W20" s="23">
        <v>155.72999999999999</v>
      </c>
      <c r="X20" s="28">
        <f t="shared" si="3"/>
        <v>19842899.107481997</v>
      </c>
      <c r="Y20" s="59">
        <v>0</v>
      </c>
      <c r="Z20" s="23"/>
      <c r="AA20" s="23"/>
    </row>
    <row r="21" spans="2:27" ht="19.5" customHeight="1">
      <c r="B21" s="22">
        <f t="shared" si="4"/>
        <v>17</v>
      </c>
      <c r="C21" s="11" t="s">
        <v>373</v>
      </c>
      <c r="D21" s="24" t="s">
        <v>64</v>
      </c>
      <c r="E21" s="25"/>
      <c r="F21" s="26" t="s">
        <v>345</v>
      </c>
      <c r="G21" s="11" t="s">
        <v>103</v>
      </c>
      <c r="H21" s="11" t="s">
        <v>133</v>
      </c>
      <c r="I21" s="11" t="s">
        <v>107</v>
      </c>
      <c r="J21" s="27">
        <v>801.22</v>
      </c>
      <c r="K21" s="39">
        <v>41792</v>
      </c>
      <c r="L21" s="57" t="s">
        <v>152</v>
      </c>
      <c r="M21" s="57" t="s">
        <v>108</v>
      </c>
      <c r="N21" s="11" t="s">
        <v>71</v>
      </c>
      <c r="O21" s="14" t="s">
        <v>110</v>
      </c>
      <c r="P21" s="60">
        <v>618102</v>
      </c>
      <c r="Q21" s="28">
        <f t="shared" si="0"/>
        <v>64946449.548</v>
      </c>
      <c r="R21" s="29" t="s">
        <v>32</v>
      </c>
      <c r="S21" s="8">
        <v>105.074</v>
      </c>
      <c r="T21" s="30">
        <f t="shared" si="6"/>
        <v>41881</v>
      </c>
      <c r="U21" s="11" t="s">
        <v>109</v>
      </c>
      <c r="V21" s="53">
        <f t="shared" si="2"/>
        <v>77935.739457599993</v>
      </c>
      <c r="W21" s="61">
        <v>155.72999999999999</v>
      </c>
      <c r="X21" s="28">
        <f t="shared" si="3"/>
        <v>12136932.705732046</v>
      </c>
      <c r="Y21" s="32">
        <v>0</v>
      </c>
      <c r="Z21" s="23"/>
      <c r="AA21" s="23"/>
    </row>
    <row r="22" spans="2:27" ht="19.5" customHeight="1">
      <c r="B22" s="22">
        <f t="shared" si="4"/>
        <v>18</v>
      </c>
      <c r="C22" s="11" t="s">
        <v>375</v>
      </c>
      <c r="D22" s="24" t="s">
        <v>64</v>
      </c>
      <c r="E22" s="25"/>
      <c r="F22" s="26" t="s">
        <v>346</v>
      </c>
      <c r="G22" s="11" t="s">
        <v>90</v>
      </c>
      <c r="H22" s="11" t="s">
        <v>28</v>
      </c>
      <c r="I22" s="11" t="s">
        <v>29</v>
      </c>
      <c r="J22" s="27">
        <v>801.22</v>
      </c>
      <c r="K22" s="39">
        <v>41793</v>
      </c>
      <c r="L22" s="57" t="s">
        <v>366</v>
      </c>
      <c r="M22" s="57" t="s">
        <v>30</v>
      </c>
      <c r="N22" s="11" t="s">
        <v>48</v>
      </c>
      <c r="O22" s="14" t="s">
        <v>67</v>
      </c>
      <c r="P22" s="60">
        <v>949018</v>
      </c>
      <c r="Q22" s="28">
        <f t="shared" si="0"/>
        <v>103463840.396</v>
      </c>
      <c r="R22" s="29" t="s">
        <v>32</v>
      </c>
      <c r="S22" s="8">
        <v>109.02200000000001</v>
      </c>
      <c r="T22" s="30">
        <f t="shared" si="6"/>
        <v>41882</v>
      </c>
      <c r="U22" s="11" t="s">
        <v>27</v>
      </c>
      <c r="V22" s="53">
        <f t="shared" si="2"/>
        <v>124156.60847519999</v>
      </c>
      <c r="W22" s="23">
        <v>155.72999999999999</v>
      </c>
      <c r="X22" s="28">
        <f t="shared" si="3"/>
        <v>19334908.637842894</v>
      </c>
      <c r="Y22" s="32">
        <v>0</v>
      </c>
      <c r="Z22" s="23"/>
      <c r="AA22" s="23"/>
    </row>
    <row r="23" spans="2:27" ht="19.5" customHeight="1">
      <c r="B23" s="22">
        <f t="shared" si="4"/>
        <v>19</v>
      </c>
      <c r="C23" s="11" t="s">
        <v>380</v>
      </c>
      <c r="D23" s="24" t="s">
        <v>64</v>
      </c>
      <c r="E23" s="25"/>
      <c r="F23" s="26" t="s">
        <v>347</v>
      </c>
      <c r="G23" s="11" t="s">
        <v>90</v>
      </c>
      <c r="H23" s="11" t="s">
        <v>51</v>
      </c>
      <c r="I23" s="11" t="s">
        <v>93</v>
      </c>
      <c r="J23" s="27">
        <v>801.22</v>
      </c>
      <c r="K23" s="39">
        <v>41793</v>
      </c>
      <c r="L23" s="57" t="s">
        <v>128</v>
      </c>
      <c r="M23" s="57" t="s">
        <v>47</v>
      </c>
      <c r="N23" s="11" t="s">
        <v>60</v>
      </c>
      <c r="O23" s="14" t="s">
        <v>61</v>
      </c>
      <c r="P23" s="60">
        <v>149638</v>
      </c>
      <c r="Q23" s="28">
        <f t="shared" si="0"/>
        <v>16613110.036</v>
      </c>
      <c r="R23" s="29" t="s">
        <v>32</v>
      </c>
      <c r="S23" s="8">
        <v>111.02200000000001</v>
      </c>
      <c r="T23" s="30">
        <f t="shared" si="6"/>
        <v>41882</v>
      </c>
      <c r="U23" s="11" t="s">
        <v>38</v>
      </c>
      <c r="V23" s="53">
        <f t="shared" si="2"/>
        <v>19935.732043199998</v>
      </c>
      <c r="W23" s="23">
        <v>155.72999999999999</v>
      </c>
      <c r="X23" s="28">
        <f t="shared" si="3"/>
        <v>3104591.5510875355</v>
      </c>
      <c r="Y23" s="32">
        <v>0</v>
      </c>
      <c r="Z23" s="23"/>
      <c r="AA23" s="23"/>
    </row>
    <row r="24" spans="2:27" ht="19.5" customHeight="1">
      <c r="B24" s="22">
        <f t="shared" si="4"/>
        <v>20</v>
      </c>
      <c r="C24" s="11" t="s">
        <v>381</v>
      </c>
      <c r="D24" s="24" t="s">
        <v>64</v>
      </c>
      <c r="E24" s="25"/>
      <c r="F24" s="26" t="s">
        <v>348</v>
      </c>
      <c r="G24" s="11" t="s">
        <v>39</v>
      </c>
      <c r="H24" s="11" t="s">
        <v>79</v>
      </c>
      <c r="I24" s="11" t="s">
        <v>93</v>
      </c>
      <c r="J24" s="27">
        <v>801.22</v>
      </c>
      <c r="K24" s="39">
        <v>41793</v>
      </c>
      <c r="L24" s="57" t="s">
        <v>128</v>
      </c>
      <c r="M24" s="57" t="s">
        <v>47</v>
      </c>
      <c r="N24" s="11" t="s">
        <v>60</v>
      </c>
      <c r="O24" s="14" t="s">
        <v>61</v>
      </c>
      <c r="P24" s="60">
        <v>32000</v>
      </c>
      <c r="Q24" s="28">
        <f t="shared" si="0"/>
        <v>3631328</v>
      </c>
      <c r="R24" s="29" t="s">
        <v>32</v>
      </c>
      <c r="S24" s="8">
        <v>113.479</v>
      </c>
      <c r="T24" s="30">
        <f t="shared" si="6"/>
        <v>41882</v>
      </c>
      <c r="U24" s="11" t="s">
        <v>39</v>
      </c>
      <c r="V24" s="53">
        <f t="shared" si="2"/>
        <v>4357.5935999999992</v>
      </c>
      <c r="W24" s="23">
        <v>155.72999999999999</v>
      </c>
      <c r="X24" s="28">
        <f t="shared" si="3"/>
        <v>678608.0513279998</v>
      </c>
      <c r="Y24" s="32">
        <v>0</v>
      </c>
      <c r="Z24" s="23"/>
      <c r="AA24" s="23"/>
    </row>
    <row r="25" spans="2:27" ht="19.5" customHeight="1">
      <c r="B25" s="22">
        <f t="shared" si="4"/>
        <v>21</v>
      </c>
      <c r="C25" s="11" t="s">
        <v>382</v>
      </c>
      <c r="D25" s="24" t="s">
        <v>64</v>
      </c>
      <c r="E25" s="25"/>
      <c r="F25" s="26" t="s">
        <v>349</v>
      </c>
      <c r="G25" s="11" t="s">
        <v>39</v>
      </c>
      <c r="H25" s="11" t="s">
        <v>79</v>
      </c>
      <c r="I25" s="11" t="s">
        <v>93</v>
      </c>
      <c r="J25" s="27">
        <v>801.22</v>
      </c>
      <c r="K25" s="39">
        <v>41793</v>
      </c>
      <c r="L25" s="57" t="s">
        <v>128</v>
      </c>
      <c r="M25" s="57" t="s">
        <v>47</v>
      </c>
      <c r="N25" s="11" t="s">
        <v>60</v>
      </c>
      <c r="O25" s="14" t="s">
        <v>61</v>
      </c>
      <c r="P25" s="60">
        <v>34000</v>
      </c>
      <c r="Q25" s="28">
        <f t="shared" si="0"/>
        <v>3858286</v>
      </c>
      <c r="R25" s="29" t="s">
        <v>32</v>
      </c>
      <c r="S25" s="8">
        <v>113.479</v>
      </c>
      <c r="T25" s="30">
        <f t="shared" si="6"/>
        <v>41882</v>
      </c>
      <c r="U25" s="11" t="s">
        <v>39</v>
      </c>
      <c r="V25" s="53">
        <f t="shared" si="2"/>
        <v>4629.9431999999997</v>
      </c>
      <c r="W25" s="23">
        <v>155.72999999999999</v>
      </c>
      <c r="X25" s="28">
        <f t="shared" si="3"/>
        <v>721021.05453599989</v>
      </c>
      <c r="Y25" s="32">
        <v>0</v>
      </c>
      <c r="Z25" s="23"/>
      <c r="AA25" s="23"/>
    </row>
    <row r="26" spans="2:27" ht="19.5" customHeight="1">
      <c r="B26" s="22">
        <f t="shared" si="4"/>
        <v>22</v>
      </c>
      <c r="C26" s="11" t="s">
        <v>383</v>
      </c>
      <c r="D26" s="24" t="s">
        <v>64</v>
      </c>
      <c r="E26" s="25"/>
      <c r="F26" s="12">
        <v>20149030006</v>
      </c>
      <c r="G26" s="11" t="s">
        <v>121</v>
      </c>
      <c r="H26" s="11" t="s">
        <v>79</v>
      </c>
      <c r="I26" s="11" t="s">
        <v>93</v>
      </c>
      <c r="J26" s="27">
        <v>801.22</v>
      </c>
      <c r="K26" s="39">
        <v>41793</v>
      </c>
      <c r="L26" s="57" t="s">
        <v>128</v>
      </c>
      <c r="M26" s="57" t="s">
        <v>47</v>
      </c>
      <c r="N26" s="11" t="s">
        <v>60</v>
      </c>
      <c r="O26" s="14" t="s">
        <v>61</v>
      </c>
      <c r="P26" s="60">
        <v>78000</v>
      </c>
      <c r="Q26" s="28">
        <f t="shared" si="0"/>
        <v>8851362</v>
      </c>
      <c r="R26" s="29" t="s">
        <v>32</v>
      </c>
      <c r="S26" s="8">
        <v>113.479</v>
      </c>
      <c r="T26" s="30">
        <f t="shared" si="6"/>
        <v>41882</v>
      </c>
      <c r="U26" s="11" t="s">
        <v>39</v>
      </c>
      <c r="V26" s="53">
        <f t="shared" si="2"/>
        <v>10621.634399999999</v>
      </c>
      <c r="W26" s="23">
        <v>155.72999999999999</v>
      </c>
      <c r="X26" s="28">
        <f t="shared" si="3"/>
        <v>1654107.1251119997</v>
      </c>
      <c r="Y26" s="32">
        <v>0</v>
      </c>
      <c r="Z26" s="23"/>
      <c r="AA26" s="23"/>
    </row>
    <row r="27" spans="2:27" ht="19.5" customHeight="1">
      <c r="B27" s="22">
        <f t="shared" si="4"/>
        <v>23</v>
      </c>
      <c r="C27" s="11" t="s">
        <v>387</v>
      </c>
      <c r="D27" s="24" t="s">
        <v>64</v>
      </c>
      <c r="E27" s="25"/>
      <c r="F27" s="26" t="s">
        <v>354</v>
      </c>
      <c r="G27" s="11" t="s">
        <v>90</v>
      </c>
      <c r="H27" s="57" t="s">
        <v>46</v>
      </c>
      <c r="I27" s="11" t="s">
        <v>93</v>
      </c>
      <c r="J27" s="27">
        <v>801.22</v>
      </c>
      <c r="K27" s="39">
        <v>41812</v>
      </c>
      <c r="L27" s="57" t="s">
        <v>70</v>
      </c>
      <c r="M27" s="57" t="s">
        <v>47</v>
      </c>
      <c r="N27" s="11" t="s">
        <v>56</v>
      </c>
      <c r="O27" s="14" t="s">
        <v>57</v>
      </c>
      <c r="P27" s="60">
        <v>80000</v>
      </c>
      <c r="Q27" s="28">
        <f t="shared" si="0"/>
        <v>9274800</v>
      </c>
      <c r="R27" s="29" t="s">
        <v>32</v>
      </c>
      <c r="S27" s="38">
        <v>115.935</v>
      </c>
      <c r="T27" s="30">
        <f t="shared" si="6"/>
        <v>41901</v>
      </c>
      <c r="U27" s="14" t="s">
        <v>38</v>
      </c>
      <c r="V27" s="53">
        <f t="shared" si="2"/>
        <v>11129.759999999998</v>
      </c>
      <c r="W27" s="23">
        <v>155.72999999999999</v>
      </c>
      <c r="X27" s="28">
        <f t="shared" si="3"/>
        <v>1733237.5247999995</v>
      </c>
      <c r="Y27" s="32">
        <v>0</v>
      </c>
      <c r="Z27" s="23"/>
      <c r="AA27" s="23"/>
    </row>
    <row r="28" spans="2:27" ht="19.5" customHeight="1">
      <c r="B28" s="22">
        <f t="shared" si="4"/>
        <v>24</v>
      </c>
      <c r="C28" s="11" t="s">
        <v>388</v>
      </c>
      <c r="D28" s="24" t="s">
        <v>64</v>
      </c>
      <c r="E28" s="25"/>
      <c r="F28" s="26" t="s">
        <v>355</v>
      </c>
      <c r="G28" s="11" t="s">
        <v>90</v>
      </c>
      <c r="H28" s="57" t="s">
        <v>51</v>
      </c>
      <c r="I28" s="11" t="s">
        <v>93</v>
      </c>
      <c r="J28" s="27">
        <v>801.22</v>
      </c>
      <c r="K28" s="39">
        <v>41812</v>
      </c>
      <c r="L28" s="57" t="s">
        <v>70</v>
      </c>
      <c r="M28" s="57" t="s">
        <v>47</v>
      </c>
      <c r="N28" s="11" t="s">
        <v>56</v>
      </c>
      <c r="O28" s="14" t="s">
        <v>57</v>
      </c>
      <c r="P28" s="60">
        <v>242344</v>
      </c>
      <c r="Q28" s="28">
        <f t="shared" si="0"/>
        <v>28096151.640000001</v>
      </c>
      <c r="R28" s="29" t="s">
        <v>32</v>
      </c>
      <c r="S28" s="38">
        <v>115.935</v>
      </c>
      <c r="T28" s="30">
        <f t="shared" si="6"/>
        <v>41901</v>
      </c>
      <c r="U28" s="14" t="s">
        <v>38</v>
      </c>
      <c r="V28" s="53">
        <f t="shared" si="2"/>
        <v>33715.381967999994</v>
      </c>
      <c r="W28" s="23">
        <v>155.72999999999999</v>
      </c>
      <c r="X28" s="28">
        <f t="shared" si="3"/>
        <v>5250496.4338766383</v>
      </c>
      <c r="Y28" s="32">
        <v>0</v>
      </c>
      <c r="Z28" s="23"/>
      <c r="AA28" s="23"/>
    </row>
    <row r="29" spans="2:27" ht="19.5" customHeight="1">
      <c r="B29" s="22">
        <f t="shared" si="4"/>
        <v>25</v>
      </c>
      <c r="C29" s="11" t="s">
        <v>389</v>
      </c>
      <c r="D29" s="24" t="s">
        <v>64</v>
      </c>
      <c r="E29" s="25"/>
      <c r="F29" s="26" t="s">
        <v>356</v>
      </c>
      <c r="G29" s="11" t="s">
        <v>109</v>
      </c>
      <c r="H29" s="11" t="s">
        <v>365</v>
      </c>
      <c r="I29" s="11" t="s">
        <v>93</v>
      </c>
      <c r="J29" s="27">
        <v>801.22</v>
      </c>
      <c r="K29" s="39">
        <v>41812</v>
      </c>
      <c r="L29" s="57" t="s">
        <v>70</v>
      </c>
      <c r="M29" s="57" t="s">
        <v>47</v>
      </c>
      <c r="N29" s="11" t="s">
        <v>56</v>
      </c>
      <c r="O29" s="14" t="s">
        <v>57</v>
      </c>
      <c r="P29" s="60">
        <v>208000</v>
      </c>
      <c r="Q29" s="28">
        <f t="shared" si="0"/>
        <v>24114480</v>
      </c>
      <c r="R29" s="29" t="s">
        <v>32</v>
      </c>
      <c r="S29" s="38">
        <v>115.935</v>
      </c>
      <c r="T29" s="30">
        <f t="shared" si="6"/>
        <v>41901</v>
      </c>
      <c r="U29" s="14" t="s">
        <v>38</v>
      </c>
      <c r="V29" s="53">
        <f t="shared" si="2"/>
        <v>28937.375999999997</v>
      </c>
      <c r="W29" s="23">
        <v>155.72999999999999</v>
      </c>
      <c r="X29" s="28">
        <f t="shared" si="3"/>
        <v>4506417.5644799992</v>
      </c>
      <c r="Y29" s="32">
        <v>0</v>
      </c>
      <c r="Z29" s="23"/>
      <c r="AA29" s="23"/>
    </row>
    <row r="30" spans="2:27" ht="19.5" customHeight="1">
      <c r="B30" s="22">
        <f t="shared" si="4"/>
        <v>26</v>
      </c>
      <c r="C30" s="11" t="s">
        <v>390</v>
      </c>
      <c r="D30" s="24" t="s">
        <v>64</v>
      </c>
      <c r="E30" s="25"/>
      <c r="F30" s="26" t="s">
        <v>357</v>
      </c>
      <c r="G30" s="11" t="s">
        <v>109</v>
      </c>
      <c r="H30" s="11" t="s">
        <v>365</v>
      </c>
      <c r="I30" s="11" t="s">
        <v>93</v>
      </c>
      <c r="J30" s="27">
        <v>801.22</v>
      </c>
      <c r="K30" s="39">
        <v>41812</v>
      </c>
      <c r="L30" s="57" t="s">
        <v>70</v>
      </c>
      <c r="M30" s="57" t="s">
        <v>47</v>
      </c>
      <c r="N30" s="11" t="s">
        <v>56</v>
      </c>
      <c r="O30" s="14" t="s">
        <v>125</v>
      </c>
      <c r="P30" s="60">
        <v>124000</v>
      </c>
      <c r="Q30" s="28">
        <f t="shared" si="0"/>
        <v>14375940</v>
      </c>
      <c r="R30" s="29" t="s">
        <v>32</v>
      </c>
      <c r="S30" s="38">
        <v>115.935</v>
      </c>
      <c r="T30" s="30">
        <f t="shared" si="6"/>
        <v>41901</v>
      </c>
      <c r="U30" s="14" t="s">
        <v>38</v>
      </c>
      <c r="V30" s="53">
        <f t="shared" si="2"/>
        <v>17251.127999999997</v>
      </c>
      <c r="W30" s="23">
        <v>155.72999999999999</v>
      </c>
      <c r="X30" s="28">
        <f t="shared" si="3"/>
        <v>2686518.1634399993</v>
      </c>
      <c r="Y30" s="32">
        <v>0</v>
      </c>
      <c r="Z30" s="23"/>
      <c r="AA30" s="23"/>
    </row>
    <row r="31" spans="2:27" ht="19.5" customHeight="1">
      <c r="B31" s="22">
        <f t="shared" si="4"/>
        <v>27</v>
      </c>
      <c r="C31" s="11" t="s">
        <v>391</v>
      </c>
      <c r="D31" s="24" t="s">
        <v>64</v>
      </c>
      <c r="E31" s="25"/>
      <c r="F31" s="26" t="s">
        <v>358</v>
      </c>
      <c r="G31" s="11" t="s">
        <v>39</v>
      </c>
      <c r="H31" s="11" t="s">
        <v>79</v>
      </c>
      <c r="I31" s="11" t="s">
        <v>93</v>
      </c>
      <c r="J31" s="27">
        <v>801.22</v>
      </c>
      <c r="K31" s="39">
        <v>41812</v>
      </c>
      <c r="L31" s="57" t="s">
        <v>70</v>
      </c>
      <c r="M31" s="57" t="s">
        <v>47</v>
      </c>
      <c r="N31" s="11" t="s">
        <v>56</v>
      </c>
      <c r="O31" s="14" t="s">
        <v>125</v>
      </c>
      <c r="P31" s="60">
        <v>50000</v>
      </c>
      <c r="Q31" s="28">
        <f t="shared" si="0"/>
        <v>5673950</v>
      </c>
      <c r="R31" s="29" t="s">
        <v>32</v>
      </c>
      <c r="S31" s="8">
        <v>113.479</v>
      </c>
      <c r="T31" s="30">
        <f t="shared" si="6"/>
        <v>41901</v>
      </c>
      <c r="U31" s="14" t="s">
        <v>39</v>
      </c>
      <c r="V31" s="53">
        <f t="shared" si="2"/>
        <v>6808.74</v>
      </c>
      <c r="W31" s="23">
        <v>155.72999999999999</v>
      </c>
      <c r="X31" s="28">
        <f t="shared" si="3"/>
        <v>1060325.0802</v>
      </c>
      <c r="Y31" s="32">
        <v>0</v>
      </c>
      <c r="Z31" s="23"/>
      <c r="AA31" s="23"/>
    </row>
    <row r="32" spans="2:27" ht="19.5" customHeight="1">
      <c r="B32" s="22">
        <f t="shared" si="4"/>
        <v>28</v>
      </c>
      <c r="C32" s="11" t="s">
        <v>392</v>
      </c>
      <c r="D32" s="24" t="s">
        <v>64</v>
      </c>
      <c r="E32" s="25"/>
      <c r="F32" s="26" t="s">
        <v>359</v>
      </c>
      <c r="G32" s="11" t="s">
        <v>91</v>
      </c>
      <c r="H32" s="11" t="s">
        <v>80</v>
      </c>
      <c r="I32" s="11" t="s">
        <v>93</v>
      </c>
      <c r="J32" s="27">
        <v>801.22</v>
      </c>
      <c r="K32" s="39">
        <v>41812</v>
      </c>
      <c r="L32" s="57" t="s">
        <v>70</v>
      </c>
      <c r="M32" s="57" t="s">
        <v>47</v>
      </c>
      <c r="N32" s="11" t="s">
        <v>56</v>
      </c>
      <c r="O32" s="14" t="s">
        <v>125</v>
      </c>
      <c r="P32" s="60">
        <v>326000</v>
      </c>
      <c r="Q32" s="28">
        <f t="shared" si="0"/>
        <v>37794810</v>
      </c>
      <c r="R32" s="29" t="s">
        <v>32</v>
      </c>
      <c r="S32" s="38">
        <v>115.935</v>
      </c>
      <c r="T32" s="30">
        <f t="shared" si="6"/>
        <v>41901</v>
      </c>
      <c r="U32" s="14" t="s">
        <v>101</v>
      </c>
      <c r="V32" s="53">
        <f t="shared" si="2"/>
        <v>45353.771999999997</v>
      </c>
      <c r="W32" s="23">
        <v>155.72999999999999</v>
      </c>
      <c r="X32" s="28">
        <f t="shared" si="3"/>
        <v>7062942.9135599993</v>
      </c>
      <c r="Y32" s="32">
        <v>0</v>
      </c>
      <c r="Z32" s="23"/>
      <c r="AA32" s="23"/>
    </row>
    <row r="33" spans="2:27" ht="19.5" customHeight="1">
      <c r="B33" s="22">
        <f t="shared" si="4"/>
        <v>29</v>
      </c>
      <c r="C33" s="11" t="s">
        <v>374</v>
      </c>
      <c r="D33" s="24" t="s">
        <v>64</v>
      </c>
      <c r="E33" s="25"/>
      <c r="F33" s="26" t="s">
        <v>360</v>
      </c>
      <c r="G33" s="11" t="s">
        <v>103</v>
      </c>
      <c r="H33" s="11" t="s">
        <v>133</v>
      </c>
      <c r="I33" s="11" t="s">
        <v>107</v>
      </c>
      <c r="J33" s="27">
        <v>801.22</v>
      </c>
      <c r="K33" s="39">
        <v>41813</v>
      </c>
      <c r="L33" s="57" t="s">
        <v>368</v>
      </c>
      <c r="M33" s="57" t="s">
        <v>108</v>
      </c>
      <c r="N33" s="11" t="s">
        <v>71</v>
      </c>
      <c r="O33" s="14" t="s">
        <v>110</v>
      </c>
      <c r="P33" s="60">
        <v>702158</v>
      </c>
      <c r="Q33" s="28">
        <f t="shared" si="0"/>
        <v>76873662.156000003</v>
      </c>
      <c r="R33" s="29" t="s">
        <v>32</v>
      </c>
      <c r="S33" s="38">
        <v>109.482</v>
      </c>
      <c r="T33" s="30">
        <f t="shared" si="6"/>
        <v>41902</v>
      </c>
      <c r="U33" s="14" t="s">
        <v>109</v>
      </c>
      <c r="V33" s="53">
        <f t="shared" si="2"/>
        <v>92248.394587199989</v>
      </c>
      <c r="W33" s="23">
        <v>155.72999999999999</v>
      </c>
      <c r="X33" s="28">
        <f t="shared" si="3"/>
        <v>14365842.489064654</v>
      </c>
      <c r="Y33" s="32">
        <v>0</v>
      </c>
      <c r="Z33" s="23"/>
      <c r="AA33" s="23"/>
    </row>
    <row r="34" spans="2:27" ht="20.25" customHeight="1" thickBot="1">
      <c r="B34" s="22">
        <f t="shared" si="4"/>
        <v>30</v>
      </c>
      <c r="C34" s="11" t="s">
        <v>379</v>
      </c>
      <c r="D34" s="24" t="s">
        <v>64</v>
      </c>
      <c r="E34" s="25"/>
      <c r="F34" s="26" t="s">
        <v>364</v>
      </c>
      <c r="G34" s="11" t="s">
        <v>39</v>
      </c>
      <c r="H34" s="11" t="s">
        <v>40</v>
      </c>
      <c r="I34" s="11" t="s">
        <v>29</v>
      </c>
      <c r="J34" s="27">
        <v>801.22</v>
      </c>
      <c r="K34" s="39">
        <v>41820</v>
      </c>
      <c r="L34" s="57" t="s">
        <v>370</v>
      </c>
      <c r="M34" s="57" t="s">
        <v>30</v>
      </c>
      <c r="N34" s="11" t="s">
        <v>48</v>
      </c>
      <c r="O34" s="14" t="s">
        <v>67</v>
      </c>
      <c r="P34" s="64">
        <v>299495</v>
      </c>
      <c r="Q34" s="28">
        <f t="shared" si="0"/>
        <v>33252031.365000002</v>
      </c>
      <c r="R34" s="29" t="s">
        <v>32</v>
      </c>
      <c r="S34" s="38">
        <v>111.027</v>
      </c>
      <c r="T34" s="30">
        <f t="shared" si="6"/>
        <v>41909</v>
      </c>
      <c r="U34" s="11" t="s">
        <v>39</v>
      </c>
      <c r="V34" s="31">
        <f t="shared" si="2"/>
        <v>39902.437637999996</v>
      </c>
      <c r="W34" s="23">
        <v>155.72999999999999</v>
      </c>
      <c r="X34" s="28">
        <f t="shared" si="3"/>
        <v>6214006.6133657387</v>
      </c>
      <c r="Y34" s="32">
        <v>0</v>
      </c>
      <c r="Z34" s="23"/>
      <c r="AA34" s="23"/>
    </row>
    <row r="35" spans="2:27" ht="15.75" thickBot="1">
      <c r="B35" s="85"/>
      <c r="C35" s="85"/>
      <c r="D35" s="85"/>
      <c r="E35" s="87"/>
      <c r="F35" s="88"/>
      <c r="G35" s="88"/>
      <c r="H35" s="88"/>
      <c r="I35" s="88"/>
      <c r="J35" s="85"/>
      <c r="K35" s="87"/>
      <c r="L35" s="88"/>
      <c r="M35" s="88"/>
      <c r="N35" s="89"/>
      <c r="O35" s="89"/>
      <c r="P35" s="68">
        <f>SUM(P5:P34)</f>
        <v>8098595</v>
      </c>
      <c r="Q35" s="69">
        <f>SUM(Q5:Q34)</f>
        <v>896006423.91860008</v>
      </c>
      <c r="R35" s="85"/>
      <c r="S35" s="88"/>
      <c r="T35" s="87"/>
      <c r="U35" s="88"/>
      <c r="V35" s="69">
        <f>SUM(V5:V34)</f>
        <v>1075207.70870232</v>
      </c>
      <c r="W35" s="85"/>
      <c r="X35" s="69">
        <f>SUM(X5:X34)</f>
        <v>167442096.47621223</v>
      </c>
      <c r="Y35" s="69">
        <f>SUM(Y5:Y34)</f>
        <v>0</v>
      </c>
      <c r="Z35" s="85"/>
      <c r="AA35" s="85"/>
    </row>
  </sheetData>
  <pageMargins left="0" right="0" top="0" bottom="0" header="0.31496062992125984" footer="0"/>
  <pageSetup paperSize="8" orientation="landscape" r:id="rId1"/>
  <ignoredErrors>
    <ignoredError sqref="F5 F8:F9 F7 F11:F17 F6 F10 F22:F3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(2ND QTR'14)</vt:lpstr>
      <vt:lpstr>COMPLIANT (2ND QTR'14)</vt:lpstr>
      <vt:lpstr>NON-COMPLIANT (2ND QTR'14)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2014-07-15T11:25:43Z</cp:lastPrinted>
  <dcterms:created xsi:type="dcterms:W3CDTF">2013-10-09T11:18:50Z</dcterms:created>
  <dcterms:modified xsi:type="dcterms:W3CDTF">2014-07-18T08:30:28Z</dcterms:modified>
</cp:coreProperties>
</file>