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40" windowWidth="20100" windowHeight="7500" activeTab="2"/>
  </bookViews>
  <sheets>
    <sheet name="CIR FEBRUARY 2014" sheetId="4" r:id="rId1"/>
    <sheet name="CID FEBRUARY 2014 " sheetId="7" r:id="rId2"/>
    <sheet name="NCI FEBRUARY 2014" sheetId="6" r:id="rId3"/>
  </sheets>
  <definedNames>
    <definedName name="_xlnm._FilterDatabase" localSheetId="1" hidden="1">'CID FEBRUARY 2014 '!$H$23:$I$38</definedName>
    <definedName name="_xlnm._FilterDatabase" localSheetId="0" hidden="1">'CIR FEBRUARY 2014'!$C$29:$D$55</definedName>
    <definedName name="_xlnm._FilterDatabase" localSheetId="2" hidden="1">'NCI FEBRUARY 2014'!$A$31:$AA$41</definedName>
    <definedName name="_xlnm.Print_Area" localSheetId="1">'CID FEBRUARY 2014 '!$A$1:$AA$55</definedName>
    <definedName name="_xlnm.Print_Area" localSheetId="0">'CIR FEBRUARY 2014'!$A$1:$AA$63</definedName>
    <definedName name="_xlnm.Print_Area" localSheetId="2">'NCI FEBRUARY 2014'!$A$1:$AA$49</definedName>
    <definedName name="_xlnm.Print_Titles" localSheetId="1">'CID FEBRUARY 2014 '!$A:$A,'CID FEBRUARY 2014 '!$21:$21</definedName>
    <definedName name="_xlnm.Print_Titles" localSheetId="0">'CIR FEBRUARY 2014'!$A:$A,'CIR FEBRUARY 2014'!$29:$29</definedName>
    <definedName name="_xlnm.Print_Titles" localSheetId="2">'NCI FEBRUARY 2014'!$A:$A,'NCI FEBRUARY 2014'!#REF!</definedName>
  </definedNames>
  <calcPr calcId="145621"/>
</workbook>
</file>

<file path=xl/calcChain.xml><?xml version="1.0" encoding="utf-8"?>
<calcChain xmlns="http://schemas.openxmlformats.org/spreadsheetml/2006/main">
  <c r="O49" i="6" l="1"/>
  <c r="P49" i="6"/>
  <c r="Q49" i="6"/>
  <c r="V49" i="6"/>
  <c r="X49" i="6"/>
  <c r="Y49" i="6"/>
  <c r="O55" i="7"/>
  <c r="Y55" i="7"/>
  <c r="T48" i="7"/>
  <c r="T49" i="7"/>
  <c r="T50" i="7"/>
  <c r="T51" i="7"/>
  <c r="T52" i="7"/>
  <c r="T53" i="7"/>
  <c r="P48" i="7"/>
  <c r="V48" i="7" s="1"/>
  <c r="X48" i="7" s="1"/>
  <c r="P49" i="7"/>
  <c r="V49" i="7" s="1"/>
  <c r="X49" i="7" s="1"/>
  <c r="P50" i="7"/>
  <c r="V50" i="7" s="1"/>
  <c r="X50" i="7" s="1"/>
  <c r="P51" i="7"/>
  <c r="V51" i="7" s="1"/>
  <c r="X51" i="7" s="1"/>
  <c r="P52" i="7"/>
  <c r="V52" i="7" s="1"/>
  <c r="X52" i="7" s="1"/>
  <c r="P53" i="7"/>
  <c r="V53" i="7" s="1"/>
  <c r="X53" i="7" s="1"/>
  <c r="Q53" i="7" l="1"/>
  <c r="Q51" i="7"/>
  <c r="Q49" i="7"/>
  <c r="Q52" i="7"/>
  <c r="Q50" i="7"/>
  <c r="Q48" i="7"/>
  <c r="P27" i="7"/>
  <c r="V27" i="7" s="1"/>
  <c r="X27" i="7" s="1"/>
  <c r="P28" i="7"/>
  <c r="V28" i="7" s="1"/>
  <c r="X28" i="7" s="1"/>
  <c r="X63" i="4" l="1"/>
  <c r="V63" i="4"/>
  <c r="T42" i="6" l="1"/>
  <c r="T43" i="6"/>
  <c r="T44" i="6"/>
  <c r="T45" i="6"/>
  <c r="T46" i="6"/>
  <c r="T47" i="6"/>
  <c r="P42" i="6"/>
  <c r="V42" i="6" s="1"/>
  <c r="X42" i="6" s="1"/>
  <c r="P43" i="6"/>
  <c r="V43" i="6" s="1"/>
  <c r="X43" i="6" s="1"/>
  <c r="P44" i="6"/>
  <c r="V44" i="6" s="1"/>
  <c r="X44" i="6" s="1"/>
  <c r="P45" i="6"/>
  <c r="V45" i="6" s="1"/>
  <c r="X45" i="6" s="1"/>
  <c r="P46" i="6"/>
  <c r="V46" i="6" s="1"/>
  <c r="X46" i="6" s="1"/>
  <c r="P47" i="6"/>
  <c r="V47" i="6" s="1"/>
  <c r="X47" i="6" s="1"/>
  <c r="Q47" i="6" l="1"/>
  <c r="Q45" i="6"/>
  <c r="Q43" i="6"/>
  <c r="Q46" i="6"/>
  <c r="Q44" i="6"/>
  <c r="Q42" i="6"/>
  <c r="T46" i="7"/>
  <c r="T47" i="7"/>
  <c r="P46" i="7"/>
  <c r="V46" i="7" s="1"/>
  <c r="X46" i="7" s="1"/>
  <c r="P47" i="7"/>
  <c r="V47" i="7" s="1"/>
  <c r="X47" i="7" s="1"/>
  <c r="Q47" i="7" l="1"/>
  <c r="Q46" i="7"/>
  <c r="O63" i="4" l="1"/>
  <c r="T39" i="7" l="1"/>
  <c r="T40" i="7"/>
  <c r="T41" i="7"/>
  <c r="T42" i="7"/>
  <c r="T43" i="7"/>
  <c r="T44" i="7"/>
  <c r="T45" i="7"/>
  <c r="P39" i="7"/>
  <c r="V39" i="7" s="1"/>
  <c r="X39" i="7" s="1"/>
  <c r="P40" i="7"/>
  <c r="V40" i="7" s="1"/>
  <c r="X40" i="7" s="1"/>
  <c r="P41" i="7"/>
  <c r="V41" i="7" s="1"/>
  <c r="X41" i="7" s="1"/>
  <c r="P42" i="7"/>
  <c r="V42" i="7" s="1"/>
  <c r="X42" i="7" s="1"/>
  <c r="P43" i="7"/>
  <c r="Q43" i="7" s="1"/>
  <c r="P44" i="7"/>
  <c r="V44" i="7" s="1"/>
  <c r="X44" i="7" s="1"/>
  <c r="P45" i="7"/>
  <c r="Q45" i="7" s="1"/>
  <c r="Q44" i="7" l="1"/>
  <c r="Q42" i="7"/>
  <c r="V45" i="7"/>
  <c r="X45" i="7" s="1"/>
  <c r="V43" i="7"/>
  <c r="X43" i="7" s="1"/>
  <c r="Q41" i="7"/>
  <c r="Q39" i="7"/>
  <c r="Q40" i="7"/>
  <c r="T56" i="4"/>
  <c r="T57" i="4"/>
  <c r="T58" i="4"/>
  <c r="T59" i="4"/>
  <c r="T60" i="4"/>
  <c r="P56" i="4"/>
  <c r="V56" i="4" s="1"/>
  <c r="X56" i="4" s="1"/>
  <c r="P57" i="4"/>
  <c r="V57" i="4" s="1"/>
  <c r="X57" i="4" s="1"/>
  <c r="P58" i="4"/>
  <c r="V58" i="4" s="1"/>
  <c r="X58" i="4" s="1"/>
  <c r="P59" i="4"/>
  <c r="V59" i="4" s="1"/>
  <c r="X59" i="4" s="1"/>
  <c r="P60" i="4"/>
  <c r="V60" i="4" s="1"/>
  <c r="X60" i="4" s="1"/>
  <c r="Q58" i="4" l="1"/>
  <c r="Q56" i="4"/>
  <c r="Q60" i="4"/>
  <c r="Q59" i="4"/>
  <c r="Q57" i="4"/>
  <c r="T33" i="6" l="1"/>
  <c r="T34" i="6"/>
  <c r="T35" i="6"/>
  <c r="T36" i="6"/>
  <c r="T37" i="6"/>
  <c r="T38" i="6"/>
  <c r="T39" i="6"/>
  <c r="T40" i="6"/>
  <c r="T41" i="6"/>
  <c r="P33" i="6"/>
  <c r="Q33" i="6" s="1"/>
  <c r="P34" i="6"/>
  <c r="Q34" i="6" s="1"/>
  <c r="P35" i="6"/>
  <c r="Q35" i="6" s="1"/>
  <c r="P36" i="6"/>
  <c r="Q36" i="6" s="1"/>
  <c r="P37" i="6"/>
  <c r="Q37" i="6" s="1"/>
  <c r="P38" i="6"/>
  <c r="P39" i="6"/>
  <c r="Q39" i="6" s="1"/>
  <c r="P40" i="6"/>
  <c r="Q40" i="6" s="1"/>
  <c r="P41" i="6"/>
  <c r="Q41" i="6" s="1"/>
  <c r="Q38" i="6" l="1"/>
  <c r="V40" i="6"/>
  <c r="X40" i="6" s="1"/>
  <c r="V38" i="6"/>
  <c r="V36" i="6"/>
  <c r="X36" i="6" s="1"/>
  <c r="V34" i="6"/>
  <c r="X34" i="6" s="1"/>
  <c r="V41" i="6"/>
  <c r="X41" i="6" s="1"/>
  <c r="V39" i="6"/>
  <c r="X39" i="6" s="1"/>
  <c r="V37" i="6"/>
  <c r="X37" i="6" s="1"/>
  <c r="V35" i="6"/>
  <c r="X35" i="6" s="1"/>
  <c r="V33" i="6"/>
  <c r="X33" i="6" s="1"/>
  <c r="Y63" i="4"/>
  <c r="T51" i="4"/>
  <c r="T52" i="4"/>
  <c r="T53" i="4"/>
  <c r="T54" i="4"/>
  <c r="T55" i="4"/>
  <c r="P51" i="4"/>
  <c r="Q51" i="4" s="1"/>
  <c r="P52" i="4"/>
  <c r="V52" i="4" s="1"/>
  <c r="X52" i="4" s="1"/>
  <c r="P53" i="4"/>
  <c r="Q53" i="4" s="1"/>
  <c r="P54" i="4"/>
  <c r="V54" i="4" s="1"/>
  <c r="X54" i="4" s="1"/>
  <c r="P55" i="4"/>
  <c r="Q55" i="4" s="1"/>
  <c r="X38" i="6" l="1"/>
  <c r="V55" i="4"/>
  <c r="X55" i="4" s="1"/>
  <c r="V53" i="4"/>
  <c r="X53" i="4" s="1"/>
  <c r="V51" i="4"/>
  <c r="X51" i="4" s="1"/>
  <c r="Q54" i="4"/>
  <c r="Q52" i="4"/>
  <c r="P38" i="7" l="1"/>
  <c r="Q38" i="7" s="1"/>
  <c r="T38" i="7"/>
  <c r="T27" i="7"/>
  <c r="T28" i="7"/>
  <c r="T29" i="7"/>
  <c r="T30" i="7"/>
  <c r="T31" i="7"/>
  <c r="T32" i="7"/>
  <c r="T33" i="7"/>
  <c r="T34" i="7"/>
  <c r="T35" i="7"/>
  <c r="P29" i="7"/>
  <c r="V29" i="7" s="1"/>
  <c r="X29" i="7" s="1"/>
  <c r="P30" i="7"/>
  <c r="Q30" i="7" s="1"/>
  <c r="P31" i="7"/>
  <c r="V31" i="7" s="1"/>
  <c r="X31" i="7" s="1"/>
  <c r="P32" i="7"/>
  <c r="Q32" i="7" s="1"/>
  <c r="P33" i="7"/>
  <c r="Q33" i="7" s="1"/>
  <c r="P34" i="7"/>
  <c r="Q34" i="7" s="1"/>
  <c r="P35" i="7"/>
  <c r="V35" i="7" s="1"/>
  <c r="X35" i="7" s="1"/>
  <c r="Q28" i="7" l="1"/>
  <c r="V34" i="7"/>
  <c r="X34" i="7" s="1"/>
  <c r="V32" i="7"/>
  <c r="X32" i="7" s="1"/>
  <c r="V30" i="7"/>
  <c r="X30" i="7" s="1"/>
  <c r="V38" i="7"/>
  <c r="X38" i="7" s="1"/>
  <c r="Q35" i="7"/>
  <c r="Q31" i="7"/>
  <c r="Q29" i="7"/>
  <c r="Q27" i="7"/>
  <c r="V33" i="7"/>
  <c r="X33" i="7" s="1"/>
  <c r="T36" i="7"/>
  <c r="T25" i="7"/>
  <c r="T26" i="7"/>
  <c r="P25" i="7"/>
  <c r="P26" i="7"/>
  <c r="Q26" i="7" l="1"/>
  <c r="V26" i="7"/>
  <c r="X26" i="7" s="1"/>
  <c r="Q25" i="7"/>
  <c r="V25" i="7"/>
  <c r="X25" i="7" s="1"/>
  <c r="P32" i="6"/>
  <c r="Q32" i="6" s="1"/>
  <c r="T32" i="6"/>
  <c r="P32" i="4"/>
  <c r="Q32" i="4" s="1"/>
  <c r="T32" i="4"/>
  <c r="P33" i="4"/>
  <c r="Q33" i="4" s="1"/>
  <c r="T33" i="4"/>
  <c r="P34" i="4"/>
  <c r="Q34" i="4" s="1"/>
  <c r="T34" i="4"/>
  <c r="P35" i="4"/>
  <c r="Q35" i="4" s="1"/>
  <c r="T35" i="4"/>
  <c r="P36" i="4"/>
  <c r="Q36" i="4" s="1"/>
  <c r="T36" i="4"/>
  <c r="P37" i="4"/>
  <c r="Q37" i="4" s="1"/>
  <c r="T37" i="4"/>
  <c r="P38" i="4"/>
  <c r="Q38" i="4" s="1"/>
  <c r="T38" i="4"/>
  <c r="P39" i="4"/>
  <c r="Q39" i="4" s="1"/>
  <c r="T39" i="4"/>
  <c r="P40" i="4"/>
  <c r="Q40" i="4" s="1"/>
  <c r="T40" i="4"/>
  <c r="P41" i="4"/>
  <c r="Q41" i="4" s="1"/>
  <c r="T41" i="4"/>
  <c r="P42" i="4"/>
  <c r="Q42" i="4" s="1"/>
  <c r="T42" i="4"/>
  <c r="P43" i="4"/>
  <c r="Q43" i="4" s="1"/>
  <c r="T43" i="4"/>
  <c r="P44" i="4"/>
  <c r="Q44" i="4" s="1"/>
  <c r="T44" i="4"/>
  <c r="P45" i="4"/>
  <c r="Q45" i="4" s="1"/>
  <c r="T45" i="4"/>
  <c r="P46" i="4"/>
  <c r="Q46" i="4" s="1"/>
  <c r="T46" i="4"/>
  <c r="P47" i="4"/>
  <c r="Q47" i="4" s="1"/>
  <c r="T47" i="4"/>
  <c r="P48" i="4"/>
  <c r="Q48" i="4" s="1"/>
  <c r="T48" i="4"/>
  <c r="P49" i="4"/>
  <c r="Q49" i="4" s="1"/>
  <c r="T49" i="4"/>
  <c r="P50" i="4"/>
  <c r="Q50" i="4" s="1"/>
  <c r="T50" i="4"/>
  <c r="V32" i="6" l="1"/>
  <c r="X32" i="6" s="1"/>
  <c r="V50" i="4"/>
  <c r="X50" i="4" s="1"/>
  <c r="V48" i="4"/>
  <c r="X48" i="4" s="1"/>
  <c r="V46" i="4"/>
  <c r="X46" i="4" s="1"/>
  <c r="V44" i="4"/>
  <c r="X44" i="4" s="1"/>
  <c r="V42" i="4"/>
  <c r="X42" i="4" s="1"/>
  <c r="V40" i="4"/>
  <c r="X40" i="4" s="1"/>
  <c r="V38" i="4"/>
  <c r="X38" i="4" s="1"/>
  <c r="V36" i="4"/>
  <c r="X36" i="4" s="1"/>
  <c r="V34" i="4"/>
  <c r="X34" i="4" s="1"/>
  <c r="V32" i="4"/>
  <c r="X32" i="4" s="1"/>
  <c r="V49" i="4"/>
  <c r="X49" i="4" s="1"/>
  <c r="V47" i="4"/>
  <c r="X47" i="4" s="1"/>
  <c r="V45" i="4"/>
  <c r="X45" i="4" s="1"/>
  <c r="V43" i="4"/>
  <c r="X43" i="4" s="1"/>
  <c r="V41" i="4"/>
  <c r="X41" i="4" s="1"/>
  <c r="V39" i="4"/>
  <c r="X39" i="4" s="1"/>
  <c r="V37" i="4"/>
  <c r="X37" i="4" s="1"/>
  <c r="V35" i="4"/>
  <c r="X35" i="4" s="1"/>
  <c r="V33" i="4"/>
  <c r="X33" i="4" s="1"/>
  <c r="T24" i="7" l="1"/>
  <c r="T31" i="6" l="1"/>
  <c r="P31" i="6"/>
  <c r="V31" i="6" l="1"/>
  <c r="Q31" i="6"/>
  <c r="X31" i="6" l="1"/>
  <c r="P24" i="7"/>
  <c r="V24" i="7" l="1"/>
  <c r="Q24" i="7"/>
  <c r="X24" i="7" l="1"/>
  <c r="P36" i="7"/>
  <c r="V36" i="7" l="1"/>
  <c r="X36" i="7" l="1"/>
  <c r="P37" i="7"/>
  <c r="P55" i="7" s="1"/>
  <c r="T37" i="7"/>
  <c r="V37" i="7" l="1"/>
  <c r="V55" i="7" s="1"/>
  <c r="Q37" i="7"/>
  <c r="X37" i="7" l="1"/>
  <c r="X55" i="7" s="1"/>
  <c r="Q36" i="7" l="1"/>
  <c r="T31" i="4" l="1"/>
  <c r="P31" i="4"/>
  <c r="T30" i="4"/>
  <c r="P30" i="4"/>
  <c r="P63" i="4" s="1"/>
  <c r="V30" i="4" l="1"/>
  <c r="Q30" i="4"/>
  <c r="V31" i="4"/>
  <c r="X31" i="4" s="1"/>
  <c r="Q31" i="4"/>
  <c r="Q63" i="4" l="1"/>
  <c r="X30" i="4"/>
</calcChain>
</file>

<file path=xl/sharedStrings.xml><?xml version="1.0" encoding="utf-8"?>
<sst xmlns="http://schemas.openxmlformats.org/spreadsheetml/2006/main" count="1253" uniqueCount="230">
  <si>
    <t>S/N</t>
  </si>
  <si>
    <t xml:space="preserve">REF NUMBER </t>
  </si>
  <si>
    <t>CCI NUMBER</t>
  </si>
  <si>
    <t>CCI DATE</t>
  </si>
  <si>
    <t>NXP NUMBER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</si>
  <si>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</si>
  <si>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</si>
  <si>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</si>
  <si>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</si>
  <si>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</si>
  <si>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</si>
  <si>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</si>
  <si>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</si>
  <si>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</si>
  <si>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BARRELS</t>
  </si>
  <si>
    <t>FOB CURRENCY (CCY)</t>
  </si>
  <si>
    <t>PRICE PER BARREL</t>
  </si>
  <si>
    <t>REPATRIATION DUE DATE</t>
  </si>
  <si>
    <t>DESIGNATED BANK</t>
  </si>
  <si>
    <t>NESS FEE PAYABLE (USD)</t>
  </si>
  <si>
    <t>EXCHANGE RATE FOR THE MONTH</t>
  </si>
  <si>
    <t>NESS FEE PAYABLE (NAIRA)</t>
  </si>
  <si>
    <t>NESS FEE PAID (NAIRA)</t>
  </si>
  <si>
    <t>NESS RECEIPT DATE</t>
  </si>
  <si>
    <t>NESS RECEIPT NUMBER</t>
  </si>
  <si>
    <t>USD</t>
  </si>
  <si>
    <t>USA</t>
  </si>
  <si>
    <t>GSTL FOB VALUE  ($)</t>
  </si>
  <si>
    <t>TOTAL</t>
  </si>
  <si>
    <t>FOB VALUE  ($)</t>
  </si>
  <si>
    <t xml:space="preserve">EXCHANGE RATE </t>
  </si>
  <si>
    <t>QUA IBOE</t>
  </si>
  <si>
    <t>BONNY</t>
  </si>
  <si>
    <t>QUA IBOE LIGHT</t>
  </si>
  <si>
    <t>BONNY LIGHT</t>
  </si>
  <si>
    <t>MOBIL PRODUCING NIGERIA LIMITED</t>
  </si>
  <si>
    <t>INDONESIA</t>
  </si>
  <si>
    <t>FOB VALUE  (NGN)</t>
  </si>
  <si>
    <t>NIGERIAN NATIONAL PETROLEUM CORPORATION</t>
  </si>
  <si>
    <t>GSTL FOB VALUE  (NGN)</t>
  </si>
  <si>
    <t>NOT RECEIVED</t>
  </si>
  <si>
    <t>STANDARD CHARTERED BANK</t>
  </si>
  <si>
    <t>ROTTERDAM</t>
  </si>
  <si>
    <t>ITALY</t>
  </si>
  <si>
    <t>INDIA</t>
  </si>
  <si>
    <t>NETHERLANDS</t>
  </si>
  <si>
    <t>SOUTH AFRICA</t>
  </si>
  <si>
    <t>UNITED KINGDOM</t>
  </si>
  <si>
    <t>WALTERSMITH PETROMAN OIL LIMITED</t>
  </si>
  <si>
    <t>SHELL PETROLEUM DEVELOPMENT COMPANY</t>
  </si>
  <si>
    <t>FRANCE</t>
  </si>
  <si>
    <t>PERTAMINA RU IV CILACAP</t>
  </si>
  <si>
    <t>SKYE BANK PLC</t>
  </si>
  <si>
    <t>CENTRAL BANK OF NIGERIA</t>
  </si>
  <si>
    <t>OMSP-INDIA</t>
  </si>
  <si>
    <t>TRIESTE</t>
  </si>
  <si>
    <t>NOT ISSUED</t>
  </si>
  <si>
    <t>NIGER DELTA PETROLEUM RESOURCES</t>
  </si>
  <si>
    <t>GHANA</t>
  </si>
  <si>
    <t>NIPPON PRINCESS</t>
  </si>
  <si>
    <t>SALDANHA BAY</t>
  </si>
  <si>
    <t>UNITED BANK  FOR AFRICA</t>
  </si>
  <si>
    <t>GSTL/004/2014/JAN-4/B-1/1B</t>
  </si>
  <si>
    <t>GSTL/004/2014/JAN-4/B-1/1C</t>
  </si>
  <si>
    <t>GSTL/009/2014/JAN-9/B-4/4</t>
  </si>
  <si>
    <t>GSTL/012/2014/JAN-12/B-5/5A</t>
  </si>
  <si>
    <t>GSTL/012/2014/JAN-12/B-5/5B</t>
  </si>
  <si>
    <t>GSTL/012/2014/JAN-12/B-5/5C</t>
  </si>
  <si>
    <t>GSTL/015/2014/JAN-15/B-6/6</t>
  </si>
  <si>
    <t>GSTL/016/2014/JAN-16/Q-9/9A</t>
  </si>
  <si>
    <t>GSTL/020/2014/JAN-20/B-8/8</t>
  </si>
  <si>
    <t>068201400010005</t>
  </si>
  <si>
    <t>CHEVRON NIGERIA LTD</t>
  </si>
  <si>
    <t>TOTAL E &amp; P NIGERIA LIMITED</t>
  </si>
  <si>
    <t>PENNINGTON LIGHT</t>
  </si>
  <si>
    <t>ASTIPALAIA</t>
  </si>
  <si>
    <t>VILAMOURA</t>
  </si>
  <si>
    <t>ACHILLEAS</t>
  </si>
  <si>
    <t>PRINCIMAR HOPE</t>
  </si>
  <si>
    <t>NORDIC COSMOS</t>
  </si>
  <si>
    <t>PENNINGTON</t>
  </si>
  <si>
    <t>BRAZIL</t>
  </si>
  <si>
    <t>CHINA</t>
  </si>
  <si>
    <t>COTE D'IVOIRE</t>
  </si>
  <si>
    <t>OMSP-BRAZIL</t>
  </si>
  <si>
    <t>OMSP-CHINA</t>
  </si>
  <si>
    <t>LE HAVRE</t>
  </si>
  <si>
    <t>ABOADZE</t>
  </si>
  <si>
    <t>ABIDJAN</t>
  </si>
  <si>
    <t>UNITED BANK FOR AFRICA</t>
  </si>
  <si>
    <t>TURKEY</t>
  </si>
  <si>
    <t>MILFORD HAVEN</t>
  </si>
  <si>
    <t>GSTL/022/2014/FEB-1/B-8/1A</t>
  </si>
  <si>
    <t>GSTL/022/2014/FEB-1/B-8/1B</t>
  </si>
  <si>
    <t>GSTL/022/2014/FEB-1/B-8/1C</t>
  </si>
  <si>
    <t>GSTL/022/2014/FEB-1/B-8/1D</t>
  </si>
  <si>
    <t>GSTL/023/2014/FEB-2/Q-13/1</t>
  </si>
  <si>
    <t>GSTL/024/2014/FEB-3/Q-14/2</t>
  </si>
  <si>
    <t>GSTL/025/2014/FEB-4/B-9/2A</t>
  </si>
  <si>
    <t>GSTL/025/2014/FEB-4/B-9/2B</t>
  </si>
  <si>
    <t>GSTL/026/2014/FEB-5/Q-15/3</t>
  </si>
  <si>
    <t>GSTL/027/2014/FEB-6/B-10/3A</t>
  </si>
  <si>
    <t>GSTL/027/2014/FEB-6/B-10/3B</t>
  </si>
  <si>
    <t>GSTL/028/2014/FEB-7/Q-16/4</t>
  </si>
  <si>
    <t>GSTL/029/2014/FEB-8/Q-17/5</t>
  </si>
  <si>
    <t>GSTL/030/2014/FEB-9/Q-18/6</t>
  </si>
  <si>
    <t>GSTL/031/2014/FEB-10/B-11/4A</t>
  </si>
  <si>
    <t>GSTL/031/2014/FEB-10/B-11/4B</t>
  </si>
  <si>
    <t>GSTL/032/2014/FEB-11/Q-19/7</t>
  </si>
  <si>
    <t>GSTL/033/2014/FEB-12/Q-20/8</t>
  </si>
  <si>
    <t>GSTL/034/2014/FEB-13/Q-21/9A</t>
  </si>
  <si>
    <t>GSTL/034/2014/FEB-13/Q-21/9B</t>
  </si>
  <si>
    <t>GSTL/034/2014/FEB-13/Q-21/9C</t>
  </si>
  <si>
    <t>GSTL/035/2014/FEB-14/B-12/5A</t>
  </si>
  <si>
    <t>GSTL/035/2014/FEB-14/B-12/5B</t>
  </si>
  <si>
    <t>GSTL/035/2014/FEB-14/B-12/5C</t>
  </si>
  <si>
    <t>GSTL/035/2014/FEB-14/B-12/5D</t>
  </si>
  <si>
    <t>GSTL/036/2014/FEB-15/Q-22/10A</t>
  </si>
  <si>
    <t>GSTL/036/2014/FEB-15/Q-22/10B</t>
  </si>
  <si>
    <t>GSTL/037/2014/FEB-16/Q-23/11</t>
  </si>
  <si>
    <t>GSTL/038/2014/FEB-17/P-2/1</t>
  </si>
  <si>
    <t>GSTL/039/2014/FEB-18/B-13/6</t>
  </si>
  <si>
    <t>GSTL/040/2014/FEB-19/Q-24/12</t>
  </si>
  <si>
    <t>G002201415</t>
  </si>
  <si>
    <t>G002201416</t>
  </si>
  <si>
    <t>G002201417</t>
  </si>
  <si>
    <t>G002201418</t>
  </si>
  <si>
    <t>G002201419</t>
  </si>
  <si>
    <t>G002201420</t>
  </si>
  <si>
    <t>G002201421</t>
  </si>
  <si>
    <t>G002201422</t>
  </si>
  <si>
    <t>G002201423</t>
  </si>
  <si>
    <t>G002201424</t>
  </si>
  <si>
    <t>G002201425</t>
  </si>
  <si>
    <t>G002201426</t>
  </si>
  <si>
    <t>023201400010036</t>
  </si>
  <si>
    <t>ST040412104C38/63</t>
  </si>
  <si>
    <t>068201400010026</t>
  </si>
  <si>
    <t>ST041601102C7/65</t>
  </si>
  <si>
    <t>ST041301104C38/64</t>
  </si>
  <si>
    <t>ST041301104C48/238</t>
  </si>
  <si>
    <t>ST041301101C36/8B</t>
  </si>
  <si>
    <t>ST041301101C36/8A</t>
  </si>
  <si>
    <t>ST041301104C50/7</t>
  </si>
  <si>
    <t>ST041301104C48/243</t>
  </si>
  <si>
    <t>ST041301104C57/5B</t>
  </si>
  <si>
    <t>ST041301104C57/5C</t>
  </si>
  <si>
    <t>ST041301104C57/5A</t>
  </si>
  <si>
    <t>076201401360023</t>
  </si>
  <si>
    <t>ST041301104C7/58</t>
  </si>
  <si>
    <t>CITIBANK NIGERIA LIMITED</t>
  </si>
  <si>
    <t>KOKKARI</t>
  </si>
  <si>
    <t>MOUNT FUJI</t>
  </si>
  <si>
    <t>MAERSK HEIWA</t>
  </si>
  <si>
    <t>ALMI GALAXY</t>
  </si>
  <si>
    <t>ELIZA</t>
  </si>
  <si>
    <t>NORDIC ZENITH</t>
  </si>
  <si>
    <t>FRONT SPLENDOUR</t>
  </si>
  <si>
    <t>BOUBOULINA</t>
  </si>
  <si>
    <t>BEIJING</t>
  </si>
  <si>
    <t>BW LAKE</t>
  </si>
  <si>
    <t>MARAN CALLISTO</t>
  </si>
  <si>
    <t>MARINA</t>
  </si>
  <si>
    <t>MATALA</t>
  </si>
  <si>
    <t>MAJESTIC</t>
  </si>
  <si>
    <t>LEONID LOZA</t>
  </si>
  <si>
    <t>NICOLAOS</t>
  </si>
  <si>
    <t>FRANCE/UNITED KINGDOM</t>
  </si>
  <si>
    <t>ALIAGA/IZMIR REFINERY</t>
  </si>
  <si>
    <t>TUTUNCIFLIK/IZMIR REFINERY</t>
  </si>
  <si>
    <t>PERTAMINA RU-V BALIKPAPAN</t>
  </si>
  <si>
    <t>OTSP-INDIA</t>
  </si>
  <si>
    <t>LA HAVRE/IMMINGHAM</t>
  </si>
  <si>
    <t>US EAST COAST</t>
  </si>
  <si>
    <t>0005961</t>
  </si>
  <si>
    <t>GSTL/0185/2013/AUG-6/B-42/1B</t>
  </si>
  <si>
    <t>GSTL/0197/2013/AUG-18/Q-87/13</t>
  </si>
  <si>
    <t>G002201401</t>
  </si>
  <si>
    <t>G002201407</t>
  </si>
  <si>
    <t>023201300010243</t>
  </si>
  <si>
    <t>068201300010405</t>
  </si>
  <si>
    <t>CHEVRON NIGEIRA LIMITED</t>
  </si>
  <si>
    <t>PRINCIMAR TRUTH</t>
  </si>
  <si>
    <t>ATHENIAN HARMONY</t>
  </si>
  <si>
    <t>GERMANY</t>
  </si>
  <si>
    <t>WILHELMSHAVEN</t>
  </si>
  <si>
    <t>OMSP - INDIA</t>
  </si>
  <si>
    <t>0001143</t>
  </si>
  <si>
    <t>0009179</t>
  </si>
  <si>
    <t>COMPLIANT INSPECTION DURING THE MONTH OF FEBRUARY 2014 FOR SWEDE CONTROL INTERTEK LIMITED</t>
  </si>
  <si>
    <t>SOUNION</t>
  </si>
  <si>
    <t>FPMC C MELODY</t>
  </si>
  <si>
    <t>EVGINIA 1</t>
  </si>
  <si>
    <t>BUNGA KASTURI LIMA</t>
  </si>
  <si>
    <t>G002201402</t>
  </si>
  <si>
    <t>G002201403</t>
  </si>
  <si>
    <t>G002201404</t>
  </si>
  <si>
    <t>G002201405</t>
  </si>
  <si>
    <t>G002201406</t>
  </si>
  <si>
    <t>068201300010530</t>
  </si>
  <si>
    <t>068201300010529</t>
  </si>
  <si>
    <t>068201300010528</t>
  </si>
  <si>
    <t>068201300010523</t>
  </si>
  <si>
    <t>068201300010527</t>
  </si>
  <si>
    <t>0010520</t>
  </si>
  <si>
    <t>0010521</t>
  </si>
  <si>
    <t>0010522</t>
  </si>
  <si>
    <t>0010524</t>
  </si>
  <si>
    <t>0010525</t>
  </si>
  <si>
    <t>GSTL/0233/2013/NOV-1/Q-112/1</t>
  </si>
  <si>
    <t>GSTL/0236/2013/NOV-4/Q-114/3</t>
  </si>
  <si>
    <t>GSTL/0240/2013/NOV-8/Q-116/5</t>
  </si>
  <si>
    <t>GSTL/0246/2013/NOV-14/Q-120/9A</t>
  </si>
  <si>
    <t>GSTL/0247/2013/NOV-15/Q-121/10B</t>
  </si>
  <si>
    <t>G002201408</t>
  </si>
  <si>
    <t>G002201409</t>
  </si>
  <si>
    <t>G002201410</t>
  </si>
  <si>
    <t>G002201413</t>
  </si>
  <si>
    <t>G002201411</t>
  </si>
  <si>
    <t>G002201414</t>
  </si>
  <si>
    <t>G002201412</t>
  </si>
  <si>
    <t>ST042412101C7/61A</t>
  </si>
  <si>
    <t>ST042312101C7/62</t>
  </si>
  <si>
    <t>ST042312101C40/37</t>
  </si>
  <si>
    <t>ST040701101C38/67</t>
  </si>
  <si>
    <t>ST040412104C13/51</t>
  </si>
  <si>
    <t>ST040701102/C7/64</t>
  </si>
  <si>
    <t>0004604</t>
  </si>
  <si>
    <t>COMPREHENSIVE INSPECTION REPORT FOR THE MONTH OF FEBRUARY 2014</t>
  </si>
  <si>
    <t xml:space="preserve">NON-COMPLIANT INSPECTION REPORT FOR THE MONTH OF FEBRUARY 2014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</si>
</sst>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_-;\-* #,##0_-;_-* &quot;-&quot;??_-;_-@_-"/>
    <numFmt numFmtId="166" formatCode="0.0000"/>
    <numFmt numFmtId="167" formatCode="#,##0.0000"/>
    <numFmt numFmtId="168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sz val="28"/>
      <name val="Arial"/>
      <family val="2"/>
    </font>
    <font>
      <b/>
      <u/>
      <sz val="28"/>
      <color theme="1"/>
      <name val="Arial"/>
      <family val="2"/>
    </font>
    <font>
      <b/>
      <sz val="28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name val="Arial"/>
      <family val="2"/>
    </font>
    <font>
      <b/>
      <u/>
      <sz val="36"/>
      <color theme="1"/>
      <name val="Arial"/>
      <family val="2"/>
    </font>
    <font>
      <b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8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164" fontId="3" fillId="2" borderId="0" xfId="1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Alignment="1">
      <alignment horizontal="left"/>
    </xf>
    <xf numFmtId="4" fontId="4" fillId="0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14" fontId="4" fillId="2" borderId="0" xfId="0" applyNumberFormat="1" applyFont="1" applyFill="1" applyBorder="1" applyAlignment="1">
      <alignment horizontal="left"/>
    </xf>
    <xf numFmtId="3" fontId="4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left"/>
    </xf>
    <xf numFmtId="165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166" fontId="3" fillId="2" borderId="0" xfId="0" applyNumberFormat="1" applyFont="1" applyFill="1" applyAlignment="1">
      <alignment horizontal="left"/>
    </xf>
    <xf numFmtId="166" fontId="4" fillId="0" borderId="0" xfId="0" applyNumberFormat="1" applyFont="1" applyFill="1" applyAlignment="1">
      <alignment horizontal="left"/>
    </xf>
    <xf numFmtId="166" fontId="4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3" fontId="7" fillId="2" borderId="0" xfId="0" applyNumberFormat="1" applyFont="1" applyFill="1" applyBorder="1" applyAlignment="1">
      <alignment horizontal="left"/>
    </xf>
    <xf numFmtId="4" fontId="7" fillId="2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left"/>
    </xf>
    <xf numFmtId="4" fontId="6" fillId="2" borderId="0" xfId="0" applyNumberFormat="1" applyFont="1" applyFill="1" applyBorder="1" applyAlignment="1">
      <alignment horizontal="left" wrapText="1"/>
    </xf>
    <xf numFmtId="4" fontId="6" fillId="0" borderId="0" xfId="0" applyNumberFormat="1" applyFont="1" applyFill="1" applyAlignment="1">
      <alignment horizontal="left"/>
    </xf>
    <xf numFmtId="167" fontId="6" fillId="2" borderId="0" xfId="0" applyNumberFormat="1" applyFont="1" applyFill="1" applyBorder="1" applyAlignment="1">
      <alignment wrapText="1"/>
    </xf>
    <xf numFmtId="0" fontId="7" fillId="2" borderId="0" xfId="0" applyFont="1" applyFill="1" applyBorder="1" applyAlignment="1">
      <alignment horizontal="left"/>
    </xf>
    <xf numFmtId="14" fontId="7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166" fontId="7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7" fillId="2" borderId="0" xfId="0" applyNumberFormat="1" applyFont="1" applyFill="1" applyBorder="1" applyAlignment="1">
      <alignment horizontal="left"/>
    </xf>
    <xf numFmtId="165" fontId="7" fillId="2" borderId="0" xfId="0" applyNumberFormat="1" applyFont="1" applyFill="1" applyBorder="1" applyAlignment="1">
      <alignment horizontal="left" wrapText="1"/>
    </xf>
    <xf numFmtId="0" fontId="9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horizontal="left"/>
    </xf>
    <xf numFmtId="14" fontId="9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left"/>
    </xf>
    <xf numFmtId="0" fontId="9" fillId="0" borderId="0" xfId="0" applyNumberFormat="1" applyFont="1" applyFill="1" applyAlignment="1">
      <alignment horizontal="left"/>
    </xf>
    <xf numFmtId="3" fontId="9" fillId="0" borderId="0" xfId="0" applyNumberFormat="1" applyFont="1" applyFill="1" applyAlignment="1">
      <alignment horizontal="left"/>
    </xf>
    <xf numFmtId="4" fontId="9" fillId="0" borderId="0" xfId="0" applyNumberFormat="1" applyFont="1" applyFill="1" applyAlignment="1">
      <alignment horizontal="left"/>
    </xf>
    <xf numFmtId="166" fontId="9" fillId="0" borderId="0" xfId="0" applyNumberFormat="1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14" fontId="9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4" fontId="9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3" fontId="9" fillId="0" borderId="0" xfId="0" applyNumberFormat="1" applyFont="1" applyFill="1" applyBorder="1" applyAlignment="1">
      <alignment horizontal="left" vertical="center"/>
    </xf>
    <xf numFmtId="4" fontId="9" fillId="0" borderId="0" xfId="0" applyNumberFormat="1" applyFont="1" applyFill="1" applyAlignment="1">
      <alignment horizontal="left" vertical="center"/>
    </xf>
    <xf numFmtId="166" fontId="9" fillId="0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1" fontId="9" fillId="0" borderId="9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14" fontId="9" fillId="2" borderId="2" xfId="0" applyNumberFormat="1" applyFont="1" applyFill="1" applyBorder="1" applyAlignment="1">
      <alignment horizontal="left"/>
    </xf>
    <xf numFmtId="0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14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/>
    </xf>
    <xf numFmtId="0" fontId="9" fillId="0" borderId="2" xfId="0" applyNumberFormat="1" applyFont="1" applyBorder="1" applyAlignment="1">
      <alignment horizontal="left"/>
    </xf>
    <xf numFmtId="0" fontId="9" fillId="2" borderId="2" xfId="1" applyNumberFormat="1" applyFont="1" applyFill="1" applyBorder="1" applyAlignment="1">
      <alignment horizontal="left" wrapText="1"/>
    </xf>
    <xf numFmtId="3" fontId="9" fillId="2" borderId="2" xfId="1" applyNumberFormat="1" applyFont="1" applyFill="1" applyBorder="1" applyAlignment="1">
      <alignment horizontal="left"/>
    </xf>
    <xf numFmtId="4" fontId="9" fillId="2" borderId="2" xfId="0" applyNumberFormat="1" applyFont="1" applyFill="1" applyBorder="1" applyAlignment="1">
      <alignment horizontal="left"/>
    </xf>
    <xf numFmtId="166" fontId="9" fillId="2" borderId="2" xfId="0" applyNumberFormat="1" applyFont="1" applyFill="1" applyBorder="1" applyAlignment="1">
      <alignment horizontal="left"/>
    </xf>
    <xf numFmtId="14" fontId="11" fillId="2" borderId="2" xfId="1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2" xfId="0" quotePrefix="1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14" fontId="9" fillId="0" borderId="2" xfId="0" applyNumberFormat="1" applyFont="1" applyBorder="1" applyAlignment="1">
      <alignment horizontal="left" wrapText="1"/>
    </xf>
    <xf numFmtId="14" fontId="9" fillId="0" borderId="2" xfId="0" applyNumberFormat="1" applyFont="1" applyFill="1" applyBorder="1" applyAlignment="1">
      <alignment horizontal="left"/>
    </xf>
    <xf numFmtId="0" fontId="9" fillId="0" borderId="2" xfId="0" applyNumberFormat="1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49" fontId="16" fillId="0" borderId="0" xfId="0" applyNumberFormat="1" applyFont="1" applyFill="1" applyAlignment="1">
      <alignment horizontal="left"/>
    </xf>
    <xf numFmtId="15" fontId="14" fillId="0" borderId="0" xfId="0" applyNumberFormat="1" applyFont="1" applyFill="1" applyAlignment="1">
      <alignment horizontal="left"/>
    </xf>
    <xf numFmtId="3" fontId="14" fillId="0" borderId="0" xfId="0" applyNumberFormat="1" applyFont="1" applyFill="1" applyAlignment="1">
      <alignment horizontal="left"/>
    </xf>
    <xf numFmtId="4" fontId="14" fillId="0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14" fontId="14" fillId="2" borderId="0" xfId="0" applyNumberFormat="1" applyFont="1" applyFill="1" applyAlignment="1">
      <alignment horizontal="left"/>
    </xf>
    <xf numFmtId="0" fontId="14" fillId="0" borderId="0" xfId="0" applyFont="1" applyFill="1" applyBorder="1"/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/>
    </xf>
    <xf numFmtId="14" fontId="14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14" fontId="14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left" vertical="center"/>
    </xf>
    <xf numFmtId="4" fontId="14" fillId="0" borderId="0" xfId="0" applyNumberFormat="1" applyFont="1" applyFill="1" applyAlignment="1">
      <alignment horizontal="left" vertical="center"/>
    </xf>
    <xf numFmtId="166" fontId="14" fillId="0" borderId="0" xfId="0" applyNumberFormat="1" applyFont="1" applyFill="1" applyAlignment="1">
      <alignment horizontal="left" vertical="center"/>
    </xf>
    <xf numFmtId="14" fontId="14" fillId="2" borderId="0" xfId="0" applyNumberFormat="1" applyFont="1" applyFill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1" fontId="14" fillId="0" borderId="9" xfId="0" applyNumberFormat="1" applyFont="1" applyFill="1" applyBorder="1" applyAlignment="1">
      <alignment horizontal="left" vertical="center"/>
    </xf>
    <xf numFmtId="0" fontId="14" fillId="0" borderId="9" xfId="0" applyNumberFormat="1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14" fontId="15" fillId="2" borderId="4" xfId="0" applyNumberFormat="1" applyFont="1" applyFill="1" applyBorder="1" applyAlignment="1">
      <alignment horizontal="left" vertical="top" wrapText="1"/>
    </xf>
    <xf numFmtId="49" fontId="18" fillId="2" borderId="4" xfId="0" applyNumberFormat="1" applyFont="1" applyFill="1" applyBorder="1" applyAlignment="1">
      <alignment horizontal="left" vertical="top" wrapText="1"/>
    </xf>
    <xf numFmtId="0" fontId="15" fillId="2" borderId="4" xfId="0" applyNumberFormat="1" applyFont="1" applyFill="1" applyBorder="1" applyAlignment="1">
      <alignment horizontal="left" vertical="top"/>
    </xf>
    <xf numFmtId="3" fontId="15" fillId="2" borderId="4" xfId="0" applyNumberFormat="1" applyFont="1" applyFill="1" applyBorder="1" applyAlignment="1">
      <alignment horizontal="left" vertical="top" wrapText="1"/>
    </xf>
    <xf numFmtId="4" fontId="15" fillId="2" borderId="4" xfId="0" applyNumberFormat="1" applyFont="1" applyFill="1" applyBorder="1" applyAlignment="1">
      <alignment horizontal="left" vertical="top" wrapText="1"/>
    </xf>
    <xf numFmtId="166" fontId="15" fillId="2" borderId="4" xfId="0" applyNumberFormat="1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0" borderId="0" xfId="0" applyFont="1" applyFill="1" applyAlignment="1">
      <alignment horizontal="left" vertical="top"/>
    </xf>
    <xf numFmtId="0" fontId="14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 wrapText="1"/>
    </xf>
    <xf numFmtId="14" fontId="14" fillId="2" borderId="1" xfId="0" applyNumberFormat="1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 wrapText="1"/>
    </xf>
    <xf numFmtId="4" fontId="14" fillId="2" borderId="2" xfId="0" applyNumberFormat="1" applyFont="1" applyFill="1" applyBorder="1" applyAlignment="1">
      <alignment horizontal="left" wrapText="1"/>
    </xf>
    <xf numFmtId="4" fontId="14" fillId="0" borderId="2" xfId="0" applyNumberFormat="1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/>
    </xf>
    <xf numFmtId="166" fontId="14" fillId="2" borderId="2" xfId="0" applyNumberFormat="1" applyFont="1" applyFill="1" applyBorder="1" applyAlignment="1">
      <alignment horizontal="left"/>
    </xf>
    <xf numFmtId="4" fontId="14" fillId="2" borderId="2" xfId="0" applyNumberFormat="1" applyFont="1" applyFill="1" applyBorder="1" applyAlignment="1">
      <alignment horizontal="left"/>
    </xf>
    <xf numFmtId="14" fontId="14" fillId="2" borderId="3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4" fillId="2" borderId="2" xfId="0" applyNumberFormat="1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14" fontId="14" fillId="0" borderId="2" xfId="0" applyNumberFormat="1" applyFont="1" applyBorder="1" applyAlignment="1">
      <alignment horizontal="left" wrapText="1"/>
    </xf>
    <xf numFmtId="0" fontId="14" fillId="0" borderId="2" xfId="0" applyNumberFormat="1" applyFont="1" applyBorder="1" applyAlignment="1">
      <alignment horizontal="left"/>
    </xf>
    <xf numFmtId="0" fontId="16" fillId="2" borderId="2" xfId="1" applyNumberFormat="1" applyFont="1" applyFill="1" applyBorder="1" applyAlignment="1">
      <alignment horizontal="left" wrapText="1"/>
    </xf>
    <xf numFmtId="3" fontId="14" fillId="2" borderId="2" xfId="1" applyNumberFormat="1" applyFont="1" applyFill="1" applyBorder="1" applyAlignment="1">
      <alignment horizontal="left"/>
    </xf>
    <xf numFmtId="4" fontId="14" fillId="0" borderId="2" xfId="0" applyNumberFormat="1" applyFont="1" applyFill="1" applyBorder="1" applyAlignment="1">
      <alignment horizontal="left"/>
    </xf>
    <xf numFmtId="14" fontId="16" fillId="2" borderId="2" xfId="1" applyNumberFormat="1" applyFont="1" applyFill="1" applyBorder="1" applyAlignment="1">
      <alignment horizontal="left"/>
    </xf>
    <xf numFmtId="0" fontId="14" fillId="2" borderId="2" xfId="0" applyFont="1" applyFill="1" applyBorder="1" applyAlignment="1"/>
    <xf numFmtId="0" fontId="14" fillId="2" borderId="2" xfId="0" quotePrefix="1" applyFont="1" applyFill="1" applyBorder="1" applyAlignment="1">
      <alignment horizontal="left" wrapText="1"/>
    </xf>
    <xf numFmtId="14" fontId="14" fillId="0" borderId="0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>
      <alignment horizontal="left" wrapText="1"/>
    </xf>
    <xf numFmtId="49" fontId="14" fillId="2" borderId="2" xfId="0" applyNumberFormat="1" applyFont="1" applyFill="1" applyBorder="1" applyAlignment="1">
      <alignment horizontal="left"/>
    </xf>
    <xf numFmtId="0" fontId="14" fillId="0" borderId="2" xfId="0" applyFont="1" applyFill="1" applyBorder="1" applyAlignment="1">
      <alignment horizontal="left"/>
    </xf>
    <xf numFmtId="0" fontId="16" fillId="2" borderId="2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/>
    </xf>
    <xf numFmtId="14" fontId="15" fillId="2" borderId="4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 wrapText="1"/>
    </xf>
    <xf numFmtId="0" fontId="15" fillId="2" borderId="4" xfId="1" applyNumberFormat="1" applyFont="1" applyFill="1" applyBorder="1" applyAlignment="1">
      <alignment horizontal="left" wrapText="1"/>
    </xf>
    <xf numFmtId="4" fontId="15" fillId="2" borderId="4" xfId="0" applyNumberFormat="1" applyFont="1" applyFill="1" applyBorder="1" applyAlignment="1">
      <alignment horizontal="left"/>
    </xf>
    <xf numFmtId="166" fontId="15" fillId="2" borderId="4" xfId="0" applyNumberFormat="1" applyFont="1" applyFill="1" applyBorder="1" applyAlignment="1">
      <alignment horizontal="left"/>
    </xf>
    <xf numFmtId="14" fontId="18" fillId="2" borderId="4" xfId="1" applyNumberFormat="1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14" fontId="15" fillId="2" borderId="0" xfId="0" applyNumberFormat="1" applyFont="1" applyFill="1" applyBorder="1" applyAlignment="1">
      <alignment horizontal="left"/>
    </xf>
    <xf numFmtId="0" fontId="15" fillId="2" borderId="0" xfId="0" quotePrefix="1" applyFont="1" applyFill="1" applyBorder="1" applyAlignment="1">
      <alignment horizontal="left"/>
    </xf>
    <xf numFmtId="0" fontId="15" fillId="2" borderId="0" xfId="0" applyNumberFormat="1" applyFont="1" applyFill="1" applyBorder="1" applyAlignment="1">
      <alignment horizontal="left" wrapText="1"/>
    </xf>
    <xf numFmtId="0" fontId="18" fillId="2" borderId="0" xfId="0" applyFont="1" applyFill="1" applyBorder="1" applyAlignment="1">
      <alignment horizontal="left" wrapText="1"/>
    </xf>
    <xf numFmtId="0" fontId="15" fillId="2" borderId="0" xfId="0" applyFont="1" applyFill="1" applyBorder="1" applyAlignment="1">
      <alignment horizontal="left" wrapText="1"/>
    </xf>
    <xf numFmtId="14" fontId="15" fillId="0" borderId="0" xfId="0" applyNumberFormat="1" applyFont="1" applyBorder="1" applyAlignment="1">
      <alignment horizontal="left" wrapText="1"/>
    </xf>
    <xf numFmtId="0" fontId="15" fillId="0" borderId="0" xfId="0" applyNumberFormat="1" applyFont="1" applyBorder="1" applyAlignment="1">
      <alignment horizontal="left"/>
    </xf>
    <xf numFmtId="0" fontId="15" fillId="2" borderId="0" xfId="1" applyNumberFormat="1" applyFont="1" applyFill="1" applyBorder="1" applyAlignment="1">
      <alignment horizontal="left" wrapText="1"/>
    </xf>
    <xf numFmtId="168" fontId="15" fillId="2" borderId="0" xfId="1" applyNumberFormat="1" applyFont="1" applyFill="1" applyBorder="1" applyAlignment="1">
      <alignment horizontal="left"/>
    </xf>
    <xf numFmtId="4" fontId="15" fillId="0" borderId="0" xfId="0" applyNumberFormat="1" applyFont="1" applyFill="1" applyBorder="1" applyAlignment="1">
      <alignment horizontal="left"/>
    </xf>
    <xf numFmtId="4" fontId="15" fillId="2" borderId="0" xfId="0" applyNumberFormat="1" applyFont="1" applyFill="1" applyBorder="1" applyAlignment="1">
      <alignment horizontal="left" wrapText="1"/>
    </xf>
    <xf numFmtId="4" fontId="15" fillId="2" borderId="0" xfId="0" applyNumberFormat="1" applyFont="1" applyFill="1" applyBorder="1" applyAlignment="1">
      <alignment horizontal="left"/>
    </xf>
    <xf numFmtId="166" fontId="15" fillId="2" borderId="0" xfId="0" applyNumberFormat="1" applyFont="1" applyFill="1" applyBorder="1" applyAlignment="1">
      <alignment horizontal="left"/>
    </xf>
    <xf numFmtId="14" fontId="18" fillId="2" borderId="0" xfId="1" applyNumberFormat="1" applyFont="1" applyFill="1" applyBorder="1" applyAlignment="1">
      <alignment horizontal="left"/>
    </xf>
    <xf numFmtId="167" fontId="15" fillId="2" borderId="0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4" fontId="14" fillId="2" borderId="0" xfId="0" applyNumberFormat="1" applyFont="1" applyFill="1" applyBorder="1" applyAlignment="1">
      <alignment horizontal="left"/>
    </xf>
    <xf numFmtId="0" fontId="14" fillId="2" borderId="0" xfId="0" quotePrefix="1" applyFont="1" applyFill="1" applyBorder="1" applyAlignment="1">
      <alignment horizontal="left"/>
    </xf>
    <xf numFmtId="0" fontId="14" fillId="2" borderId="0" xfId="0" applyNumberFormat="1" applyFont="1" applyFill="1" applyBorder="1" applyAlignment="1">
      <alignment horizontal="left" wrapText="1"/>
    </xf>
    <xf numFmtId="0" fontId="16" fillId="2" borderId="0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 wrapText="1"/>
    </xf>
    <xf numFmtId="14" fontId="14" fillId="0" borderId="0" xfId="0" applyNumberFormat="1" applyFont="1" applyBorder="1" applyAlignment="1">
      <alignment horizontal="left" wrapText="1"/>
    </xf>
    <xf numFmtId="0" fontId="14" fillId="0" borderId="0" xfId="0" applyNumberFormat="1" applyFont="1" applyBorder="1" applyAlignment="1">
      <alignment horizontal="left"/>
    </xf>
    <xf numFmtId="0" fontId="14" fillId="2" borderId="0" xfId="1" applyNumberFormat="1" applyFont="1" applyFill="1" applyBorder="1" applyAlignment="1">
      <alignment horizontal="left" wrapText="1"/>
    </xf>
    <xf numFmtId="3" fontId="14" fillId="2" borderId="0" xfId="1" applyNumberFormat="1" applyFont="1" applyFill="1" applyBorder="1" applyAlignment="1">
      <alignment horizontal="left"/>
    </xf>
    <xf numFmtId="4" fontId="14" fillId="0" borderId="0" xfId="0" applyNumberFormat="1" applyFont="1" applyFill="1" applyBorder="1" applyAlignment="1">
      <alignment horizontal="left"/>
    </xf>
    <xf numFmtId="4" fontId="14" fillId="2" borderId="0" xfId="0" applyNumberFormat="1" applyFont="1" applyFill="1" applyBorder="1" applyAlignment="1">
      <alignment horizontal="left" wrapText="1"/>
    </xf>
    <xf numFmtId="4" fontId="14" fillId="2" borderId="0" xfId="0" applyNumberFormat="1" applyFont="1" applyFill="1" applyBorder="1" applyAlignment="1">
      <alignment horizontal="left"/>
    </xf>
    <xf numFmtId="166" fontId="14" fillId="2" borderId="0" xfId="0" applyNumberFormat="1" applyFont="1" applyFill="1" applyBorder="1" applyAlignment="1">
      <alignment horizontal="left"/>
    </xf>
    <xf numFmtId="14" fontId="16" fillId="2" borderId="0" xfId="1" applyNumberFormat="1" applyFont="1" applyFill="1" applyBorder="1" applyAlignment="1">
      <alignment horizontal="left"/>
    </xf>
    <xf numFmtId="167" fontId="14" fillId="2" borderId="0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14" fontId="14" fillId="2" borderId="1" xfId="0" applyNumberFormat="1" applyFont="1" applyFill="1" applyBorder="1" applyAlignment="1">
      <alignment horizontal="left"/>
    </xf>
    <xf numFmtId="0" fontId="14" fillId="2" borderId="1" xfId="0" applyNumberFormat="1" applyFont="1" applyFill="1" applyBorder="1" applyAlignment="1">
      <alignment horizontal="left" wrapText="1"/>
    </xf>
    <xf numFmtId="0" fontId="14" fillId="2" borderId="1" xfId="1" applyNumberFormat="1" applyFont="1" applyFill="1" applyBorder="1" applyAlignment="1">
      <alignment horizontal="left" wrapText="1"/>
    </xf>
    <xf numFmtId="0" fontId="14" fillId="0" borderId="1" xfId="0" applyNumberFormat="1" applyFont="1" applyBorder="1" applyAlignment="1">
      <alignment horizontal="left"/>
    </xf>
    <xf numFmtId="3" fontId="14" fillId="2" borderId="1" xfId="1" applyNumberFormat="1" applyFont="1" applyFill="1" applyBorder="1" applyAlignment="1">
      <alignment horizontal="left"/>
    </xf>
    <xf numFmtId="4" fontId="14" fillId="2" borderId="1" xfId="0" applyNumberFormat="1" applyFont="1" applyFill="1" applyBorder="1" applyAlignment="1">
      <alignment horizontal="left"/>
    </xf>
    <xf numFmtId="166" fontId="14" fillId="2" borderId="1" xfId="0" applyNumberFormat="1" applyFont="1" applyFill="1" applyBorder="1" applyAlignment="1">
      <alignment horizontal="left"/>
    </xf>
    <xf numFmtId="0" fontId="14" fillId="2" borderId="1" xfId="0" quotePrefix="1" applyFont="1" applyFill="1" applyBorder="1" applyAlignment="1">
      <alignment horizontal="left"/>
    </xf>
    <xf numFmtId="0" fontId="16" fillId="0" borderId="0" xfId="0" applyFont="1" applyFill="1" applyAlignment="1">
      <alignment horizontal="left"/>
    </xf>
    <xf numFmtId="0" fontId="14" fillId="2" borderId="7" xfId="0" applyFont="1" applyFill="1" applyBorder="1" applyAlignment="1">
      <alignment horizontal="left" wrapText="1"/>
    </xf>
    <xf numFmtId="165" fontId="14" fillId="2" borderId="2" xfId="1" applyNumberFormat="1" applyFont="1" applyFill="1" applyBorder="1" applyAlignment="1">
      <alignment horizontal="left" wrapText="1"/>
    </xf>
    <xf numFmtId="49" fontId="14" fillId="2" borderId="3" xfId="0" applyNumberFormat="1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14" fontId="15" fillId="2" borderId="4" xfId="0" applyNumberFormat="1" applyFont="1" applyFill="1" applyBorder="1" applyAlignment="1">
      <alignment horizontal="left" wrapText="1"/>
    </xf>
    <xf numFmtId="3" fontId="15" fillId="2" borderId="4" xfId="1" applyNumberFormat="1" applyFont="1" applyFill="1" applyBorder="1" applyAlignment="1">
      <alignment horizontal="left"/>
    </xf>
    <xf numFmtId="0" fontId="15" fillId="0" borderId="0" xfId="0" applyFont="1" applyFill="1"/>
    <xf numFmtId="14" fontId="14" fillId="0" borderId="0" xfId="0" applyNumberFormat="1" applyFont="1" applyFill="1" applyAlignment="1">
      <alignment horizontal="left"/>
    </xf>
    <xf numFmtId="0" fontId="14" fillId="0" borderId="0" xfId="0" applyNumberFormat="1" applyFont="1" applyFill="1" applyAlignment="1">
      <alignment horizontal="left"/>
    </xf>
    <xf numFmtId="0" fontId="14" fillId="2" borderId="3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 wrapText="1"/>
    </xf>
    <xf numFmtId="0" fontId="15" fillId="2" borderId="4" xfId="0" applyFont="1" applyFill="1" applyBorder="1" applyAlignment="1"/>
    <xf numFmtId="0" fontId="15" fillId="2" borderId="5" xfId="0" applyFont="1" applyFill="1" applyBorder="1" applyAlignment="1">
      <alignment horizontal="left"/>
    </xf>
    <xf numFmtId="0" fontId="15" fillId="0" borderId="4" xfId="0" applyNumberFormat="1" applyFont="1" applyFill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49" fontId="16" fillId="0" borderId="0" xfId="0" applyNumberFormat="1" applyFont="1" applyFill="1" applyBorder="1" applyAlignment="1">
      <alignment horizontal="left"/>
    </xf>
    <xf numFmtId="15" fontId="14" fillId="0" borderId="0" xfId="0" applyNumberFormat="1" applyFont="1" applyFill="1" applyBorder="1" applyAlignment="1">
      <alignment horizontal="left"/>
    </xf>
    <xf numFmtId="3" fontId="14" fillId="0" borderId="0" xfId="0" applyNumberFormat="1" applyFont="1" applyFill="1" applyBorder="1" applyAlignment="1">
      <alignment horizontal="left"/>
    </xf>
    <xf numFmtId="166" fontId="14" fillId="0" borderId="0" xfId="0" applyNumberFormat="1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 wrapText="1"/>
    </xf>
    <xf numFmtId="0" fontId="14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 wrapText="1"/>
    </xf>
    <xf numFmtId="3" fontId="14" fillId="2" borderId="9" xfId="0" applyNumberFormat="1" applyFont="1" applyFill="1" applyBorder="1" applyAlignment="1">
      <alignment horizontal="left" wrapText="1"/>
    </xf>
    <xf numFmtId="4" fontId="14" fillId="2" borderId="9" xfId="0" applyNumberFormat="1" applyFont="1" applyFill="1" applyBorder="1" applyAlignment="1">
      <alignment horizontal="left" wrapText="1"/>
    </xf>
    <xf numFmtId="0" fontId="14" fillId="2" borderId="11" xfId="0" applyFont="1" applyFill="1" applyBorder="1" applyAlignment="1">
      <alignment horizontal="left"/>
    </xf>
    <xf numFmtId="4" fontId="14" fillId="2" borderId="1" xfId="0" applyNumberFormat="1" applyFont="1" applyFill="1" applyBorder="1" applyAlignment="1">
      <alignment horizontal="left" wrapText="1"/>
    </xf>
    <xf numFmtId="0" fontId="14" fillId="2" borderId="1" xfId="0" applyFont="1" applyFill="1" applyBorder="1" applyAlignment="1"/>
    <xf numFmtId="14" fontId="14" fillId="0" borderId="1" xfId="0" applyNumberFormat="1" applyFont="1" applyBorder="1" applyAlignment="1">
      <alignment horizontal="left" wrapText="1"/>
    </xf>
    <xf numFmtId="4" fontId="14" fillId="0" borderId="1" xfId="0" applyNumberFormat="1" applyFont="1" applyFill="1" applyBorder="1" applyAlignment="1">
      <alignment horizontal="left"/>
    </xf>
    <xf numFmtId="14" fontId="14" fillId="2" borderId="12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left" wrapText="1"/>
    </xf>
    <xf numFmtId="14" fontId="16" fillId="2" borderId="1" xfId="0" applyNumberFormat="1" applyFont="1" applyFill="1" applyBorder="1" applyAlignment="1">
      <alignment horizontal="left" wrapText="1"/>
    </xf>
    <xf numFmtId="0" fontId="14" fillId="2" borderId="1" xfId="0" quotePrefix="1" applyFont="1" applyFill="1" applyBorder="1" applyAlignment="1">
      <alignment horizontal="left" wrapText="1"/>
    </xf>
    <xf numFmtId="3" fontId="14" fillId="2" borderId="1" xfId="0" applyNumberFormat="1" applyFont="1" applyFill="1" applyBorder="1" applyAlignment="1">
      <alignment horizontal="left" wrapText="1"/>
    </xf>
    <xf numFmtId="167" fontId="14" fillId="2" borderId="1" xfId="0" applyNumberFormat="1" applyFont="1" applyFill="1" applyBorder="1" applyAlignment="1">
      <alignment horizontal="left" wrapText="1"/>
    </xf>
    <xf numFmtId="49" fontId="14" fillId="0" borderId="1" xfId="0" applyNumberFormat="1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5" fillId="2" borderId="16" xfId="0" applyFont="1" applyFill="1" applyBorder="1" applyAlignment="1">
      <alignment horizontal="left"/>
    </xf>
    <xf numFmtId="14" fontId="15" fillId="2" borderId="17" xfId="0" applyNumberFormat="1" applyFont="1" applyFill="1" applyBorder="1" applyAlignment="1">
      <alignment horizontal="left"/>
    </xf>
    <xf numFmtId="0" fontId="14" fillId="0" borderId="16" xfId="0" applyFont="1" applyFill="1" applyBorder="1"/>
    <xf numFmtId="0" fontId="14" fillId="0" borderId="17" xfId="0" applyFont="1" applyFill="1" applyBorder="1" applyAlignment="1">
      <alignment horizontal="left"/>
    </xf>
    <xf numFmtId="14" fontId="14" fillId="2" borderId="17" xfId="0" applyNumberFormat="1" applyFont="1" applyFill="1" applyBorder="1" applyAlignment="1">
      <alignment horizontal="left"/>
    </xf>
    <xf numFmtId="0" fontId="16" fillId="2" borderId="9" xfId="0" applyFont="1" applyFill="1" applyBorder="1" applyAlignment="1">
      <alignment horizontal="left" wrapText="1"/>
    </xf>
    <xf numFmtId="14" fontId="16" fillId="2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 wrapText="1"/>
    </xf>
    <xf numFmtId="4" fontId="14" fillId="0" borderId="9" xfId="0" applyNumberFormat="1" applyFont="1" applyFill="1" applyBorder="1" applyAlignment="1">
      <alignment horizontal="left"/>
    </xf>
    <xf numFmtId="167" fontId="14" fillId="2" borderId="9" xfId="0" applyNumberFormat="1" applyFont="1" applyFill="1" applyBorder="1" applyAlignment="1">
      <alignment horizontal="left" wrapText="1"/>
    </xf>
    <xf numFmtId="49" fontId="14" fillId="0" borderId="9" xfId="0" applyNumberFormat="1" applyFont="1" applyFill="1" applyBorder="1" applyAlignment="1">
      <alignment horizontal="left"/>
    </xf>
    <xf numFmtId="166" fontId="14" fillId="2" borderId="9" xfId="0" applyNumberFormat="1" applyFont="1" applyFill="1" applyBorder="1" applyAlignment="1">
      <alignment horizontal="left"/>
    </xf>
    <xf numFmtId="4" fontId="14" fillId="0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/>
    </xf>
    <xf numFmtId="14" fontId="14" fillId="2" borderId="10" xfId="0" applyNumberFormat="1" applyFont="1" applyFill="1" applyBorder="1" applyAlignment="1">
      <alignment horizontal="left"/>
    </xf>
    <xf numFmtId="0" fontId="10" fillId="2" borderId="13" xfId="0" applyFont="1" applyFill="1" applyBorder="1" applyAlignment="1">
      <alignment horizontal="left" vertical="top"/>
    </xf>
    <xf numFmtId="0" fontId="10" fillId="2" borderId="13" xfId="0" applyFont="1" applyFill="1" applyBorder="1" applyAlignment="1">
      <alignment horizontal="left" vertical="top" wrapText="1"/>
    </xf>
    <xf numFmtId="14" fontId="10" fillId="2" borderId="13" xfId="0" applyNumberFormat="1" applyFont="1" applyFill="1" applyBorder="1" applyAlignment="1">
      <alignment horizontal="left" vertical="top" wrapText="1"/>
    </xf>
    <xf numFmtId="49" fontId="13" fillId="2" borderId="13" xfId="0" applyNumberFormat="1" applyFont="1" applyFill="1" applyBorder="1" applyAlignment="1">
      <alignment horizontal="left" vertical="top" wrapText="1"/>
    </xf>
    <xf numFmtId="0" fontId="10" fillId="2" borderId="13" xfId="0" applyNumberFormat="1" applyFont="1" applyFill="1" applyBorder="1" applyAlignment="1">
      <alignment horizontal="left" vertical="top" wrapText="1"/>
    </xf>
    <xf numFmtId="3" fontId="10" fillId="2" borderId="13" xfId="0" applyNumberFormat="1" applyFont="1" applyFill="1" applyBorder="1" applyAlignment="1">
      <alignment horizontal="left" vertical="top" wrapText="1"/>
    </xf>
    <xf numFmtId="4" fontId="10" fillId="2" borderId="13" xfId="0" applyNumberFormat="1" applyFont="1" applyFill="1" applyBorder="1" applyAlignment="1">
      <alignment horizontal="left" vertical="top" wrapText="1"/>
    </xf>
    <xf numFmtId="166" fontId="10" fillId="2" borderId="13" xfId="0" applyNumberFormat="1" applyFont="1" applyFill="1" applyBorder="1" applyAlignment="1">
      <alignment horizontal="left" vertical="top" wrapText="1"/>
    </xf>
    <xf numFmtId="0" fontId="10" fillId="2" borderId="15" xfId="0" applyFont="1" applyFill="1" applyBorder="1" applyAlignment="1">
      <alignment horizontal="left" vertical="top" wrapText="1"/>
    </xf>
    <xf numFmtId="0" fontId="11" fillId="2" borderId="9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left"/>
    </xf>
    <xf numFmtId="14" fontId="9" fillId="2" borderId="9" xfId="0" applyNumberFormat="1" applyFont="1" applyFill="1" applyBorder="1" applyAlignment="1">
      <alignment horizontal="left"/>
    </xf>
    <xf numFmtId="0" fontId="9" fillId="2" borderId="9" xfId="0" applyNumberFormat="1" applyFont="1" applyFill="1" applyBorder="1" applyAlignment="1">
      <alignment horizontal="left" wrapText="1"/>
    </xf>
    <xf numFmtId="0" fontId="9" fillId="2" borderId="9" xfId="0" applyFont="1" applyFill="1" applyBorder="1" applyAlignment="1">
      <alignment horizontal="left" wrapText="1"/>
    </xf>
    <xf numFmtId="14" fontId="9" fillId="2" borderId="9" xfId="0" applyNumberFormat="1" applyFont="1" applyFill="1" applyBorder="1" applyAlignment="1">
      <alignment horizontal="left" wrapText="1"/>
    </xf>
    <xf numFmtId="0" fontId="9" fillId="0" borderId="9" xfId="0" applyNumberFormat="1" applyFont="1" applyBorder="1" applyAlignment="1">
      <alignment horizontal="left"/>
    </xf>
    <xf numFmtId="0" fontId="9" fillId="2" borderId="9" xfId="1" applyNumberFormat="1" applyFont="1" applyFill="1" applyBorder="1" applyAlignment="1">
      <alignment horizontal="left" wrapText="1"/>
    </xf>
    <xf numFmtId="3" fontId="9" fillId="2" borderId="9" xfId="1" applyNumberFormat="1" applyFont="1" applyFill="1" applyBorder="1" applyAlignment="1">
      <alignment horizontal="left"/>
    </xf>
    <xf numFmtId="4" fontId="9" fillId="2" borderId="9" xfId="0" applyNumberFormat="1" applyFont="1" applyFill="1" applyBorder="1" applyAlignment="1">
      <alignment horizontal="left"/>
    </xf>
    <xf numFmtId="166" fontId="9" fillId="2" borderId="9" xfId="0" applyNumberFormat="1" applyFont="1" applyFill="1" applyBorder="1" applyAlignment="1">
      <alignment horizontal="left"/>
    </xf>
    <xf numFmtId="14" fontId="11" fillId="2" borderId="9" xfId="1" applyNumberFormat="1" applyFont="1" applyFill="1" applyBorder="1" applyAlignment="1">
      <alignment horizontal="left"/>
    </xf>
    <xf numFmtId="49" fontId="9" fillId="2" borderId="9" xfId="0" applyNumberFormat="1" applyFont="1" applyFill="1" applyBorder="1" applyAlignment="1">
      <alignment horizontal="left"/>
    </xf>
    <xf numFmtId="0" fontId="9" fillId="2" borderId="10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 wrapText="1"/>
    </xf>
    <xf numFmtId="49" fontId="10" fillId="2" borderId="4" xfId="0" applyNumberFormat="1" applyFont="1" applyFill="1" applyBorder="1" applyAlignment="1">
      <alignment horizontal="left"/>
    </xf>
    <xf numFmtId="14" fontId="10" fillId="2" borderId="4" xfId="0" applyNumberFormat="1" applyFont="1" applyFill="1" applyBorder="1" applyAlignment="1">
      <alignment horizontal="left"/>
    </xf>
    <xf numFmtId="0" fontId="10" fillId="2" borderId="4" xfId="0" applyNumberFormat="1" applyFont="1" applyFill="1" applyBorder="1" applyAlignment="1">
      <alignment horizontal="left" wrapText="1"/>
    </xf>
    <xf numFmtId="14" fontId="10" fillId="2" borderId="4" xfId="0" applyNumberFormat="1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/>
    </xf>
    <xf numFmtId="165" fontId="10" fillId="2" borderId="4" xfId="1" applyNumberFormat="1" applyFont="1" applyFill="1" applyBorder="1" applyAlignment="1">
      <alignment horizontal="left" wrapText="1"/>
    </xf>
    <xf numFmtId="3" fontId="10" fillId="2" borderId="4" xfId="1" applyNumberFormat="1" applyFont="1" applyFill="1" applyBorder="1" applyAlignment="1">
      <alignment horizontal="left"/>
    </xf>
    <xf numFmtId="4" fontId="10" fillId="2" borderId="4" xfId="0" applyNumberFormat="1" applyFont="1" applyFill="1" applyBorder="1" applyAlignment="1">
      <alignment horizontal="left"/>
    </xf>
    <xf numFmtId="166" fontId="10" fillId="2" borderId="4" xfId="0" applyNumberFormat="1" applyFont="1" applyFill="1" applyBorder="1" applyAlignment="1">
      <alignment horizontal="left"/>
    </xf>
    <xf numFmtId="14" fontId="13" fillId="2" borderId="4" xfId="1" applyNumberFormat="1" applyFont="1" applyFill="1" applyBorder="1" applyAlignment="1">
      <alignment horizontal="left"/>
    </xf>
    <xf numFmtId="49" fontId="10" fillId="2" borderId="5" xfId="0" applyNumberFormat="1" applyFont="1" applyFill="1" applyBorder="1" applyAlignment="1">
      <alignment horizontal="left"/>
    </xf>
    <xf numFmtId="0" fontId="15" fillId="2" borderId="14" xfId="0" applyFont="1" applyFill="1" applyBorder="1" applyAlignment="1">
      <alignment horizontal="left" vertical="top"/>
    </xf>
    <xf numFmtId="0" fontId="15" fillId="2" borderId="13" xfId="0" applyFont="1" applyFill="1" applyBorder="1" applyAlignment="1">
      <alignment horizontal="left" vertical="top"/>
    </xf>
    <xf numFmtId="0" fontId="15" fillId="2" borderId="13" xfId="0" applyFont="1" applyFill="1" applyBorder="1" applyAlignment="1">
      <alignment horizontal="left" vertical="top" wrapText="1"/>
    </xf>
    <xf numFmtId="14" fontId="15" fillId="2" borderId="13" xfId="0" applyNumberFormat="1" applyFont="1" applyFill="1" applyBorder="1" applyAlignment="1">
      <alignment horizontal="left" vertical="top" wrapText="1"/>
    </xf>
    <xf numFmtId="49" fontId="18" fillId="2" borderId="13" xfId="0" applyNumberFormat="1" applyFont="1" applyFill="1" applyBorder="1" applyAlignment="1">
      <alignment horizontal="left" vertical="top" wrapText="1"/>
    </xf>
    <xf numFmtId="0" fontId="15" fillId="2" borderId="13" xfId="0" applyNumberFormat="1" applyFont="1" applyFill="1" applyBorder="1" applyAlignment="1">
      <alignment horizontal="left" vertical="top" wrapText="1"/>
    </xf>
    <xf numFmtId="3" fontId="15" fillId="2" borderId="13" xfId="0" applyNumberFormat="1" applyFont="1" applyFill="1" applyBorder="1" applyAlignment="1">
      <alignment horizontal="left" vertical="top" wrapText="1"/>
    </xf>
    <xf numFmtId="4" fontId="15" fillId="2" borderId="13" xfId="0" applyNumberFormat="1" applyFont="1" applyFill="1" applyBorder="1" applyAlignment="1">
      <alignment horizontal="left" vertical="top" wrapText="1"/>
    </xf>
    <xf numFmtId="166" fontId="15" fillId="2" borderId="13" xfId="0" applyNumberFormat="1" applyFont="1" applyFill="1" applyBorder="1" applyAlignment="1">
      <alignment horizontal="left" vertical="top" wrapText="1"/>
    </xf>
    <xf numFmtId="0" fontId="15" fillId="2" borderId="15" xfId="0" applyFont="1" applyFill="1" applyBorder="1" applyAlignment="1">
      <alignment horizontal="left" vertical="top" wrapText="1"/>
    </xf>
    <xf numFmtId="0" fontId="14" fillId="2" borderId="8" xfId="0" applyFont="1" applyFill="1" applyBorder="1" applyAlignment="1">
      <alignment horizontal="left" wrapText="1"/>
    </xf>
    <xf numFmtId="0" fontId="16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/>
    </xf>
    <xf numFmtId="0" fontId="14" fillId="2" borderId="9" xfId="0" applyNumberFormat="1" applyFont="1" applyFill="1" applyBorder="1" applyAlignment="1">
      <alignment horizontal="left" wrapText="1"/>
    </xf>
    <xf numFmtId="0" fontId="14" fillId="0" borderId="9" xfId="0" applyNumberFormat="1" applyFont="1" applyBorder="1" applyAlignment="1">
      <alignment horizontal="left"/>
    </xf>
    <xf numFmtId="0" fontId="14" fillId="2" borderId="9" xfId="1" applyNumberFormat="1" applyFont="1" applyFill="1" applyBorder="1" applyAlignment="1">
      <alignment horizontal="left" wrapText="1"/>
    </xf>
    <xf numFmtId="3" fontId="14" fillId="2" borderId="9" xfId="1" applyNumberFormat="1" applyFont="1" applyFill="1" applyBorder="1" applyAlignment="1">
      <alignment horizontal="left"/>
    </xf>
    <xf numFmtId="4" fontId="14" fillId="2" borderId="9" xfId="0" applyNumberFormat="1" applyFont="1" applyFill="1" applyBorder="1" applyAlignment="1">
      <alignment horizontal="left"/>
    </xf>
    <xf numFmtId="14" fontId="16" fillId="2" borderId="9" xfId="1" applyNumberFormat="1" applyFont="1" applyFill="1" applyBorder="1" applyAlignment="1">
      <alignment horizontal="left"/>
    </xf>
    <xf numFmtId="49" fontId="14" fillId="2" borderId="9" xfId="0" applyNumberFormat="1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14" fontId="9" fillId="2" borderId="3" xfId="0" applyNumberFormat="1" applyFont="1" applyFill="1" applyBorder="1" applyAlignment="1">
      <alignment horizontal="left"/>
    </xf>
    <xf numFmtId="0" fontId="14" fillId="2" borderId="11" xfId="0" applyFont="1" applyFill="1" applyBorder="1" applyAlignment="1">
      <alignment horizontal="left" vertical="center"/>
    </xf>
    <xf numFmtId="49" fontId="14" fillId="2" borderId="1" xfId="0" applyNumberFormat="1" applyFont="1" applyFill="1" applyBorder="1" applyAlignment="1">
      <alignment horizontal="left" vertical="center"/>
    </xf>
    <xf numFmtId="0" fontId="15" fillId="2" borderId="4" xfId="0" applyNumberFormat="1" applyFont="1" applyFill="1" applyBorder="1" applyAlignment="1">
      <alignment horizontal="left"/>
    </xf>
    <xf numFmtId="165" fontId="15" fillId="2" borderId="4" xfId="0" applyNumberFormat="1" applyFont="1" applyFill="1" applyBorder="1" applyAlignment="1">
      <alignment horizontal="left" wrapText="1"/>
    </xf>
    <xf numFmtId="3" fontId="15" fillId="2" borderId="4" xfId="0" applyNumberFormat="1" applyFont="1" applyFill="1" applyBorder="1" applyAlignment="1">
      <alignment horizontal="left"/>
    </xf>
    <xf numFmtId="0" fontId="15" fillId="2" borderId="20" xfId="0" applyFont="1" applyFill="1" applyBorder="1" applyAlignment="1">
      <alignment horizontal="left" vertical="top" wrapText="1"/>
    </xf>
    <xf numFmtId="14" fontId="15" fillId="2" borderId="21" xfId="0" applyNumberFormat="1" applyFont="1" applyFill="1" applyBorder="1" applyAlignment="1">
      <alignment horizontal="left" vertical="top" wrapText="1"/>
    </xf>
    <xf numFmtId="0" fontId="14" fillId="0" borderId="2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wrapText="1"/>
    </xf>
    <xf numFmtId="0" fontId="10" fillId="2" borderId="6" xfId="0" applyFont="1" applyFill="1" applyBorder="1" applyAlignment="1">
      <alignment horizontal="left" vertical="top"/>
    </xf>
    <xf numFmtId="0" fontId="11" fillId="2" borderId="2" xfId="0" applyFont="1" applyFill="1" applyBorder="1" applyAlignment="1"/>
    <xf numFmtId="14" fontId="9" fillId="2" borderId="2" xfId="0" applyNumberFormat="1" applyFont="1" applyFill="1" applyBorder="1" applyAlignment="1"/>
    <xf numFmtId="0" fontId="9" fillId="2" borderId="2" xfId="0" applyFont="1" applyFill="1" applyBorder="1" applyAlignment="1"/>
    <xf numFmtId="0" fontId="9" fillId="2" borderId="2" xfId="0" applyNumberFormat="1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14" fontId="9" fillId="0" borderId="2" xfId="0" applyNumberFormat="1" applyFont="1" applyBorder="1" applyAlignment="1">
      <alignment wrapText="1"/>
    </xf>
    <xf numFmtId="0" fontId="9" fillId="0" borderId="2" xfId="0" applyNumberFormat="1" applyFont="1" applyFill="1" applyBorder="1" applyAlignment="1"/>
    <xf numFmtId="0" fontId="9" fillId="2" borderId="2" xfId="1" applyNumberFormat="1" applyFont="1" applyFill="1" applyBorder="1" applyAlignment="1">
      <alignment wrapText="1"/>
    </xf>
    <xf numFmtId="3" fontId="9" fillId="2" borderId="2" xfId="1" applyNumberFormat="1" applyFont="1" applyFill="1" applyBorder="1" applyAlignment="1"/>
    <xf numFmtId="4" fontId="9" fillId="2" borderId="2" xfId="0" applyNumberFormat="1" applyFont="1" applyFill="1" applyBorder="1" applyAlignment="1"/>
    <xf numFmtId="166" fontId="9" fillId="2" borderId="2" xfId="0" applyNumberFormat="1" applyFont="1" applyFill="1" applyBorder="1" applyAlignment="1"/>
    <xf numFmtId="14" fontId="11" fillId="2" borderId="2" xfId="1" applyNumberFormat="1" applyFont="1" applyFill="1" applyBorder="1" applyAlignment="1"/>
    <xf numFmtId="49" fontId="9" fillId="2" borderId="2" xfId="0" applyNumberFormat="1" applyFont="1" applyFill="1" applyBorder="1" applyAlignment="1"/>
    <xf numFmtId="0" fontId="9" fillId="2" borderId="2" xfId="0" quotePrefix="1" applyFont="1" applyFill="1" applyBorder="1" applyAlignment="1"/>
    <xf numFmtId="0" fontId="9" fillId="2" borderId="3" xfId="0" applyFont="1" applyFill="1" applyBorder="1" applyAlignment="1"/>
    <xf numFmtId="0" fontId="9" fillId="2" borderId="7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165" fontId="9" fillId="2" borderId="2" xfId="1" applyNumberFormat="1" applyFont="1" applyFill="1" applyBorder="1" applyAlignment="1">
      <alignment wrapText="1"/>
    </xf>
    <xf numFmtId="49" fontId="9" fillId="2" borderId="3" xfId="0" applyNumberFormat="1" applyFont="1" applyFill="1" applyBorder="1" applyAlignment="1"/>
    <xf numFmtId="0" fontId="9" fillId="2" borderId="14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wrapText="1"/>
    </xf>
    <xf numFmtId="0" fontId="14" fillId="2" borderId="2" xfId="0" quotePrefix="1" applyFont="1" applyFill="1" applyBorder="1" applyAlignment="1">
      <alignment wrapText="1"/>
    </xf>
    <xf numFmtId="0" fontId="14" fillId="2" borderId="14" xfId="0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/>
    </xf>
    <xf numFmtId="4" fontId="14" fillId="2" borderId="2" xfId="0" applyNumberFormat="1" applyFont="1" applyFill="1" applyBorder="1" applyAlignment="1">
      <alignment wrapText="1"/>
    </xf>
    <xf numFmtId="0" fontId="9" fillId="2" borderId="13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16" fillId="2" borderId="13" xfId="0" applyFont="1" applyFill="1" applyBorder="1" applyAlignment="1">
      <alignment horizontal="left" vertical="center" wrapText="1"/>
    </xf>
    <xf numFmtId="0" fontId="16" fillId="2" borderId="18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4" fillId="2" borderId="13" xfId="0" quotePrefix="1" applyFont="1" applyFill="1" applyBorder="1" applyAlignment="1">
      <alignment horizontal="left" vertical="center" wrapText="1"/>
    </xf>
    <xf numFmtId="0" fontId="14" fillId="2" borderId="18" xfId="0" quotePrefix="1" applyFont="1" applyFill="1" applyBorder="1" applyAlignment="1">
      <alignment horizontal="left" vertical="center" wrapText="1"/>
    </xf>
    <xf numFmtId="0" fontId="14" fillId="2" borderId="1" xfId="0" quotePrefix="1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left" vertical="center"/>
    </xf>
    <xf numFmtId="0" fontId="14" fillId="2" borderId="19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4" fontId="14" fillId="2" borderId="13" xfId="0" applyNumberFormat="1" applyFont="1" applyFill="1" applyBorder="1" applyAlignment="1">
      <alignment horizontal="left" vertical="center" wrapText="1"/>
    </xf>
    <xf numFmtId="4" fontId="14" fillId="2" borderId="18" xfId="0" applyNumberFormat="1" applyFont="1" applyFill="1" applyBorder="1" applyAlignment="1">
      <alignment horizontal="left" vertical="center" wrapText="1"/>
    </xf>
    <xf numFmtId="4" fontId="14" fillId="2" borderId="1" xfId="0" applyNumberFormat="1" applyFont="1" applyFill="1" applyBorder="1" applyAlignment="1">
      <alignment horizontal="left" vertical="center" wrapText="1"/>
    </xf>
    <xf numFmtId="49" fontId="14" fillId="2" borderId="13" xfId="0" applyNumberFormat="1" applyFont="1" applyFill="1" applyBorder="1" applyAlignment="1">
      <alignment horizontal="left" vertical="center"/>
    </xf>
    <xf numFmtId="49" fontId="14" fillId="2" borderId="1" xfId="0" applyNumberFormat="1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</cellXfs>
  <cellStyles count="10">
    <cellStyle name="Comma" xfId="1" builtinId="3"/>
    <cellStyle name="Comma 2" xfId="2"/>
    <cellStyle name="Comma 2 2" xfId="3"/>
    <cellStyle name="Comma 3" xfId="4"/>
    <cellStyle name="Comma 3 2" xfId="5"/>
    <cellStyle name="Comma 4" xfId="6"/>
    <cellStyle name="Comma 4 2" xfId="7"/>
    <cellStyle name="Comma 5" xfId="8"/>
    <cellStyle name="Comma 5 2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2566987</xdr:colOff>
      <xdr:row>23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52400"/>
          <a:ext cx="18249900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241300</xdr:colOff>
      <xdr:row>16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52400"/>
          <a:ext cx="19335750" cy="401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4</xdr:col>
      <xdr:colOff>1619250</xdr:colOff>
      <xdr:row>24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2400"/>
          <a:ext cx="16154400" cy="451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5"/>
  <sheetViews>
    <sheetView zoomScale="40" zoomScaleNormal="40" zoomScaleSheetLayoutView="10" workbookViewId="0">
      <selection activeCell="F30" sqref="F30"/>
    </sheetView>
  </sheetViews>
  <sheetFormatPr defaultRowHeight="15" x14ac:dyDescent="0.2"/>
  <cols>
    <col min="1" max="1" width="12" style="4" customWidth="1"/>
    <col min="2" max="2" width="89.42578125" style="5" customWidth="1"/>
    <col min="3" max="3" width="41" style="5" customWidth="1"/>
    <col min="4" max="4" width="43" style="14" customWidth="1"/>
    <col min="5" max="5" width="62.7109375" style="12" bestFit="1" customWidth="1"/>
    <col min="6" max="6" width="81.85546875" style="5" customWidth="1"/>
    <col min="7" max="7" width="143.5703125" style="13" bestFit="1" customWidth="1"/>
    <col min="8" max="8" width="54" style="5" customWidth="1"/>
    <col min="9" max="9" width="28.42578125" style="5" customWidth="1"/>
    <col min="10" max="10" width="65.5703125" style="14" customWidth="1"/>
    <col min="11" max="11" width="89.85546875" style="5" bestFit="1" customWidth="1"/>
    <col min="12" max="12" width="36.140625" style="5" customWidth="1"/>
    <col min="13" max="13" width="52.42578125" style="5" customWidth="1"/>
    <col min="14" max="14" width="79.85546875" style="5" bestFit="1" customWidth="1"/>
    <col min="15" max="15" width="67.7109375" style="15" bestFit="1" customWidth="1"/>
    <col min="16" max="16" width="62.7109375" style="16" bestFit="1" customWidth="1"/>
    <col min="17" max="17" width="71.85546875" style="16" bestFit="1" customWidth="1"/>
    <col min="18" max="18" width="66.5703125" style="16" bestFit="1" customWidth="1"/>
    <col min="19" max="19" width="57.85546875" style="26" bestFit="1" customWidth="1"/>
    <col min="20" max="20" width="75.140625" style="17" bestFit="1" customWidth="1"/>
    <col min="21" max="21" width="57.85546875" style="5" customWidth="1"/>
    <col min="22" max="22" width="75.85546875" style="16" bestFit="1" customWidth="1"/>
    <col min="23" max="23" width="67" style="26" customWidth="1"/>
    <col min="24" max="24" width="53.85546875" style="16" customWidth="1"/>
    <col min="25" max="25" width="68.140625" style="16" bestFit="1" customWidth="1"/>
    <col min="26" max="26" width="48.42578125" style="5" customWidth="1"/>
    <col min="27" max="27" width="61.28515625" style="5" bestFit="1" customWidth="1"/>
    <col min="28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6" spans="1:27" s="42" customFormat="1" ht="90.75" customHeight="1" x14ac:dyDescent="0.5">
      <c r="B26" s="43" t="s">
        <v>228</v>
      </c>
      <c r="C26" s="44"/>
      <c r="D26" s="45"/>
      <c r="E26" s="46"/>
      <c r="F26" s="44"/>
      <c r="G26" s="47"/>
      <c r="H26" s="44"/>
      <c r="I26" s="44"/>
      <c r="J26" s="45"/>
      <c r="K26" s="44"/>
      <c r="L26" s="44"/>
      <c r="M26" s="44"/>
      <c r="N26" s="44"/>
      <c r="O26" s="48"/>
      <c r="P26" s="49"/>
      <c r="Q26" s="49"/>
      <c r="R26" s="49"/>
      <c r="S26" s="50"/>
      <c r="T26" s="51"/>
      <c r="U26" s="44"/>
      <c r="V26" s="49"/>
      <c r="W26" s="50"/>
      <c r="X26" s="49"/>
      <c r="Y26" s="49"/>
      <c r="Z26" s="44"/>
      <c r="AA26" s="44"/>
    </row>
    <row r="27" spans="1:27" s="52" customFormat="1" ht="90.75" customHeight="1" thickBot="1" x14ac:dyDescent="0.3">
      <c r="B27" s="53"/>
      <c r="C27" s="53"/>
      <c r="D27" s="54"/>
      <c r="E27" s="55"/>
      <c r="F27" s="53"/>
      <c r="G27" s="56"/>
      <c r="H27" s="57"/>
      <c r="I27" s="57"/>
      <c r="J27" s="58"/>
      <c r="K27" s="59"/>
      <c r="L27" s="60"/>
      <c r="M27" s="57"/>
      <c r="N27" s="60"/>
      <c r="O27" s="61"/>
      <c r="P27" s="62"/>
      <c r="Q27" s="62"/>
      <c r="R27" s="62"/>
      <c r="S27" s="63"/>
      <c r="T27" s="64"/>
      <c r="U27" s="53"/>
      <c r="V27" s="62"/>
      <c r="W27" s="63"/>
      <c r="X27" s="62"/>
      <c r="Y27" s="62"/>
      <c r="Z27" s="53"/>
      <c r="AA27" s="53"/>
    </row>
    <row r="28" spans="1:27" s="53" customFormat="1" ht="90.75" customHeight="1" x14ac:dyDescent="0.25">
      <c r="A28" s="65">
        <v>1</v>
      </c>
      <c r="B28" s="66">
        <v>2</v>
      </c>
      <c r="C28" s="66">
        <v>3</v>
      </c>
      <c r="D28" s="67">
        <v>4</v>
      </c>
      <c r="E28" s="66">
        <v>5</v>
      </c>
      <c r="F28" s="66">
        <v>6</v>
      </c>
      <c r="G28" s="68">
        <v>7</v>
      </c>
      <c r="H28" s="66">
        <v>8</v>
      </c>
      <c r="I28" s="66">
        <v>9</v>
      </c>
      <c r="J28" s="66">
        <v>10</v>
      </c>
      <c r="K28" s="66">
        <v>11</v>
      </c>
      <c r="L28" s="66">
        <v>12</v>
      </c>
      <c r="M28" s="66">
        <v>13</v>
      </c>
      <c r="N28" s="66">
        <v>14</v>
      </c>
      <c r="O28" s="66">
        <v>15</v>
      </c>
      <c r="P28" s="66">
        <v>16</v>
      </c>
      <c r="Q28" s="66">
        <v>17</v>
      </c>
      <c r="R28" s="66">
        <v>18</v>
      </c>
      <c r="S28" s="66">
        <v>19</v>
      </c>
      <c r="T28" s="66">
        <v>20</v>
      </c>
      <c r="U28" s="66">
        <v>21</v>
      </c>
      <c r="V28" s="66">
        <v>22</v>
      </c>
      <c r="W28" s="67">
        <v>23</v>
      </c>
      <c r="X28" s="66">
        <v>24</v>
      </c>
      <c r="Y28" s="66">
        <v>25</v>
      </c>
      <c r="Z28" s="66">
        <v>26</v>
      </c>
      <c r="AA28" s="69">
        <v>27</v>
      </c>
    </row>
    <row r="29" spans="1:27" s="70" customFormat="1" ht="90.75" customHeight="1" thickBot="1" x14ac:dyDescent="0.3">
      <c r="A29" s="334" t="s">
        <v>0</v>
      </c>
      <c r="B29" s="267" t="s">
        <v>1</v>
      </c>
      <c r="C29" s="356" t="s">
        <v>2</v>
      </c>
      <c r="D29" s="269" t="s">
        <v>3</v>
      </c>
      <c r="E29" s="270" t="s">
        <v>4</v>
      </c>
      <c r="F29" s="268" t="s">
        <v>5</v>
      </c>
      <c r="G29" s="271" t="s">
        <v>6</v>
      </c>
      <c r="H29" s="268" t="s">
        <v>7</v>
      </c>
      <c r="I29" s="268" t="s">
        <v>8</v>
      </c>
      <c r="J29" s="269" t="s">
        <v>9</v>
      </c>
      <c r="K29" s="267" t="s">
        <v>10</v>
      </c>
      <c r="L29" s="267" t="s">
        <v>11</v>
      </c>
      <c r="M29" s="268" t="s">
        <v>12</v>
      </c>
      <c r="N29" s="268" t="s">
        <v>13</v>
      </c>
      <c r="O29" s="272" t="s">
        <v>14</v>
      </c>
      <c r="P29" s="273" t="s">
        <v>27</v>
      </c>
      <c r="Q29" s="273" t="s">
        <v>39</v>
      </c>
      <c r="R29" s="273" t="s">
        <v>15</v>
      </c>
      <c r="S29" s="274" t="s">
        <v>16</v>
      </c>
      <c r="T29" s="269" t="s">
        <v>17</v>
      </c>
      <c r="U29" s="268" t="s">
        <v>18</v>
      </c>
      <c r="V29" s="273" t="s">
        <v>19</v>
      </c>
      <c r="W29" s="274" t="s">
        <v>20</v>
      </c>
      <c r="X29" s="273" t="s">
        <v>21</v>
      </c>
      <c r="Y29" s="273" t="s">
        <v>22</v>
      </c>
      <c r="Z29" s="268" t="s">
        <v>24</v>
      </c>
      <c r="AA29" s="275" t="s">
        <v>23</v>
      </c>
    </row>
    <row r="30" spans="1:27" s="44" customFormat="1" ht="90.75" customHeight="1" x14ac:dyDescent="0.45">
      <c r="A30" s="333">
        <v>1</v>
      </c>
      <c r="B30" s="276" t="s">
        <v>92</v>
      </c>
      <c r="C30" s="355" t="s">
        <v>56</v>
      </c>
      <c r="D30" s="278" t="s">
        <v>56</v>
      </c>
      <c r="E30" s="277" t="s">
        <v>40</v>
      </c>
      <c r="F30" s="277" t="s">
        <v>40</v>
      </c>
      <c r="G30" s="279" t="s">
        <v>49</v>
      </c>
      <c r="H30" s="280" t="s">
        <v>34</v>
      </c>
      <c r="I30" s="280">
        <v>27090000</v>
      </c>
      <c r="J30" s="281">
        <v>41672</v>
      </c>
      <c r="K30" s="277" t="s">
        <v>151</v>
      </c>
      <c r="L30" s="282" t="s">
        <v>32</v>
      </c>
      <c r="M30" s="280" t="s">
        <v>44</v>
      </c>
      <c r="N30" s="283" t="s">
        <v>54</v>
      </c>
      <c r="O30" s="284">
        <v>75000</v>
      </c>
      <c r="P30" s="285">
        <f t="shared" ref="P30:P31" si="0">O30*S30</f>
        <v>8203500</v>
      </c>
      <c r="Q30" s="285">
        <f t="shared" ref="Q30:Q31" si="1">P30*W30</f>
        <v>1277695125</v>
      </c>
      <c r="R30" s="285" t="s">
        <v>25</v>
      </c>
      <c r="S30" s="286">
        <v>109.38</v>
      </c>
      <c r="T30" s="287">
        <f t="shared" ref="T30:T31" si="2">J30+90</f>
        <v>41762</v>
      </c>
      <c r="U30" s="288" t="s">
        <v>40</v>
      </c>
      <c r="V30" s="285">
        <f t="shared" ref="V30:V31" si="3">P30*0.12%</f>
        <v>9844.1999999999989</v>
      </c>
      <c r="W30" s="286">
        <v>155.75</v>
      </c>
      <c r="X30" s="285">
        <f t="shared" ref="X30:X31" si="4">V30*W30</f>
        <v>1533234.15</v>
      </c>
      <c r="Y30" s="285" t="s">
        <v>40</v>
      </c>
      <c r="Z30" s="277" t="s">
        <v>40</v>
      </c>
      <c r="AA30" s="289" t="s">
        <v>40</v>
      </c>
    </row>
    <row r="31" spans="1:27" s="86" customFormat="1" ht="90.75" customHeight="1" x14ac:dyDescent="0.45">
      <c r="A31" s="74">
        <v>2</v>
      </c>
      <c r="B31" s="71" t="s">
        <v>93</v>
      </c>
      <c r="C31" s="76" t="s">
        <v>56</v>
      </c>
      <c r="D31" s="72" t="s">
        <v>56</v>
      </c>
      <c r="E31" s="76" t="s">
        <v>135</v>
      </c>
      <c r="F31" s="76" t="s">
        <v>150</v>
      </c>
      <c r="G31" s="73" t="s">
        <v>72</v>
      </c>
      <c r="H31" s="74" t="s">
        <v>34</v>
      </c>
      <c r="I31" s="74">
        <v>27090000</v>
      </c>
      <c r="J31" s="75">
        <v>41672</v>
      </c>
      <c r="K31" s="76" t="s">
        <v>151</v>
      </c>
      <c r="L31" s="77" t="s">
        <v>32</v>
      </c>
      <c r="M31" s="74" t="s">
        <v>44</v>
      </c>
      <c r="N31" s="78" t="s">
        <v>54</v>
      </c>
      <c r="O31" s="79">
        <v>90000</v>
      </c>
      <c r="P31" s="80">
        <f t="shared" si="0"/>
        <v>9844200</v>
      </c>
      <c r="Q31" s="80">
        <f t="shared" si="1"/>
        <v>1533234150</v>
      </c>
      <c r="R31" s="80" t="s">
        <v>25</v>
      </c>
      <c r="S31" s="81">
        <v>109.38</v>
      </c>
      <c r="T31" s="82">
        <f t="shared" si="2"/>
        <v>41762</v>
      </c>
      <c r="U31" s="83" t="s">
        <v>40</v>
      </c>
      <c r="V31" s="80">
        <f t="shared" si="3"/>
        <v>11813.039999999999</v>
      </c>
      <c r="W31" s="81">
        <v>155.75</v>
      </c>
      <c r="X31" s="80">
        <f t="shared" si="4"/>
        <v>1839880.9799999997</v>
      </c>
      <c r="Y31" s="80" t="s">
        <v>40</v>
      </c>
      <c r="Z31" s="85" t="s">
        <v>40</v>
      </c>
      <c r="AA31" s="84" t="s">
        <v>40</v>
      </c>
    </row>
    <row r="32" spans="1:27" s="86" customFormat="1" ht="90.75" customHeight="1" x14ac:dyDescent="0.45">
      <c r="A32" s="74">
        <v>3</v>
      </c>
      <c r="B32" s="71" t="s">
        <v>94</v>
      </c>
      <c r="C32" s="76" t="s">
        <v>56</v>
      </c>
      <c r="D32" s="72" t="s">
        <v>56</v>
      </c>
      <c r="E32" s="76" t="s">
        <v>40</v>
      </c>
      <c r="F32" s="76" t="s">
        <v>40</v>
      </c>
      <c r="G32" s="73" t="s">
        <v>49</v>
      </c>
      <c r="H32" s="74" t="s">
        <v>34</v>
      </c>
      <c r="I32" s="74">
        <v>27090000</v>
      </c>
      <c r="J32" s="75">
        <v>41672</v>
      </c>
      <c r="K32" s="76" t="s">
        <v>151</v>
      </c>
      <c r="L32" s="77" t="s">
        <v>32</v>
      </c>
      <c r="M32" s="74" t="s">
        <v>44</v>
      </c>
      <c r="N32" s="78" t="s">
        <v>54</v>
      </c>
      <c r="O32" s="79">
        <v>100000</v>
      </c>
      <c r="P32" s="80">
        <f t="shared" ref="P32:P50" si="5">O32*S32</f>
        <v>10938000</v>
      </c>
      <c r="Q32" s="80">
        <f t="shared" ref="Q32:Q50" si="6">P32*W32</f>
        <v>1703593500</v>
      </c>
      <c r="R32" s="80" t="s">
        <v>25</v>
      </c>
      <c r="S32" s="81">
        <v>109.38</v>
      </c>
      <c r="T32" s="82">
        <f t="shared" ref="T32:T60" si="7">J32+90</f>
        <v>41762</v>
      </c>
      <c r="U32" s="83" t="s">
        <v>40</v>
      </c>
      <c r="V32" s="80">
        <f t="shared" ref="V32:V50" si="8">P32*0.12%</f>
        <v>13125.599999999999</v>
      </c>
      <c r="W32" s="81">
        <v>155.75</v>
      </c>
      <c r="X32" s="80">
        <f t="shared" ref="X32:X60" si="9">V32*W32</f>
        <v>2044312.1999999997</v>
      </c>
      <c r="Y32" s="80" t="s">
        <v>40</v>
      </c>
      <c r="Z32" s="85" t="s">
        <v>40</v>
      </c>
      <c r="AA32" s="84" t="s">
        <v>40</v>
      </c>
    </row>
    <row r="33" spans="1:27" s="86" customFormat="1" ht="90.75" customHeight="1" x14ac:dyDescent="0.45">
      <c r="A33" s="74">
        <v>4</v>
      </c>
      <c r="B33" s="71" t="s">
        <v>95</v>
      </c>
      <c r="C33" s="76" t="s">
        <v>56</v>
      </c>
      <c r="D33" s="72" t="s">
        <v>56</v>
      </c>
      <c r="E33" s="76" t="s">
        <v>40</v>
      </c>
      <c r="F33" s="76" t="s">
        <v>40</v>
      </c>
      <c r="G33" s="73" t="s">
        <v>49</v>
      </c>
      <c r="H33" s="74" t="s">
        <v>34</v>
      </c>
      <c r="I33" s="74">
        <v>27090000</v>
      </c>
      <c r="J33" s="75">
        <v>41672</v>
      </c>
      <c r="K33" s="76" t="s">
        <v>151</v>
      </c>
      <c r="L33" s="77" t="s">
        <v>32</v>
      </c>
      <c r="M33" s="74" t="s">
        <v>44</v>
      </c>
      <c r="N33" s="78" t="s">
        <v>54</v>
      </c>
      <c r="O33" s="79">
        <v>688200</v>
      </c>
      <c r="P33" s="80">
        <f t="shared" si="5"/>
        <v>75275316</v>
      </c>
      <c r="Q33" s="80">
        <f t="shared" si="6"/>
        <v>11724130467</v>
      </c>
      <c r="R33" s="80" t="s">
        <v>25</v>
      </c>
      <c r="S33" s="81">
        <v>109.38</v>
      </c>
      <c r="T33" s="82">
        <f t="shared" si="7"/>
        <v>41762</v>
      </c>
      <c r="U33" s="83" t="s">
        <v>40</v>
      </c>
      <c r="V33" s="80">
        <f t="shared" si="8"/>
        <v>90330.379199999996</v>
      </c>
      <c r="W33" s="81">
        <v>155.75</v>
      </c>
      <c r="X33" s="80">
        <f t="shared" si="9"/>
        <v>14068956.5604</v>
      </c>
      <c r="Y33" s="80" t="s">
        <v>40</v>
      </c>
      <c r="Z33" s="85" t="s">
        <v>40</v>
      </c>
      <c r="AA33" s="84" t="s">
        <v>40</v>
      </c>
    </row>
    <row r="34" spans="1:27" s="86" customFormat="1" ht="90.75" customHeight="1" x14ac:dyDescent="0.45">
      <c r="A34" s="74">
        <v>5</v>
      </c>
      <c r="B34" s="71" t="s">
        <v>96</v>
      </c>
      <c r="C34" s="76" t="s">
        <v>123</v>
      </c>
      <c r="D34" s="72">
        <v>41701</v>
      </c>
      <c r="E34" s="76" t="s">
        <v>136</v>
      </c>
      <c r="F34" s="76" t="s">
        <v>53</v>
      </c>
      <c r="G34" s="73" t="s">
        <v>38</v>
      </c>
      <c r="H34" s="74" t="s">
        <v>33</v>
      </c>
      <c r="I34" s="74">
        <v>27090000</v>
      </c>
      <c r="J34" s="75">
        <v>41673</v>
      </c>
      <c r="K34" s="76" t="s">
        <v>152</v>
      </c>
      <c r="L34" s="77" t="s">
        <v>31</v>
      </c>
      <c r="M34" s="74" t="s">
        <v>44</v>
      </c>
      <c r="N34" s="78" t="s">
        <v>54</v>
      </c>
      <c r="O34" s="79">
        <v>904422</v>
      </c>
      <c r="P34" s="80">
        <f t="shared" si="5"/>
        <v>98716756.878000006</v>
      </c>
      <c r="Q34" s="80">
        <f t="shared" si="6"/>
        <v>15375134883.748501</v>
      </c>
      <c r="R34" s="80" t="s">
        <v>25</v>
      </c>
      <c r="S34" s="81">
        <v>109.149</v>
      </c>
      <c r="T34" s="82">
        <f t="shared" si="7"/>
        <v>41763</v>
      </c>
      <c r="U34" s="83" t="s">
        <v>40</v>
      </c>
      <c r="V34" s="80">
        <f t="shared" si="8"/>
        <v>118460.1082536</v>
      </c>
      <c r="W34" s="81">
        <v>155.75</v>
      </c>
      <c r="X34" s="80">
        <f t="shared" si="9"/>
        <v>18450161.860498201</v>
      </c>
      <c r="Y34" s="80" t="s">
        <v>40</v>
      </c>
      <c r="Z34" s="85" t="s">
        <v>40</v>
      </c>
      <c r="AA34" s="84" t="s">
        <v>40</v>
      </c>
    </row>
    <row r="35" spans="1:27" s="86" customFormat="1" ht="90.75" customHeight="1" x14ac:dyDescent="0.45">
      <c r="A35" s="74">
        <v>6</v>
      </c>
      <c r="B35" s="71" t="s">
        <v>97</v>
      </c>
      <c r="C35" s="76" t="s">
        <v>56</v>
      </c>
      <c r="D35" s="72" t="s">
        <v>56</v>
      </c>
      <c r="E35" s="76" t="s">
        <v>40</v>
      </c>
      <c r="F35" s="76" t="s">
        <v>40</v>
      </c>
      <c r="G35" s="73" t="s">
        <v>35</v>
      </c>
      <c r="H35" s="74" t="s">
        <v>33</v>
      </c>
      <c r="I35" s="74">
        <v>27090000</v>
      </c>
      <c r="J35" s="75">
        <v>41675</v>
      </c>
      <c r="K35" s="76" t="s">
        <v>153</v>
      </c>
      <c r="L35" s="77" t="s">
        <v>31</v>
      </c>
      <c r="M35" s="74" t="s">
        <v>36</v>
      </c>
      <c r="N35" s="78" t="s">
        <v>51</v>
      </c>
      <c r="O35" s="79">
        <v>949433</v>
      </c>
      <c r="P35" s="80">
        <f t="shared" si="5"/>
        <v>104072098.295</v>
      </c>
      <c r="Q35" s="80">
        <f t="shared" si="6"/>
        <v>16209229309.446251</v>
      </c>
      <c r="R35" s="80" t="s">
        <v>25</v>
      </c>
      <c r="S35" s="81">
        <v>109.61499999999999</v>
      </c>
      <c r="T35" s="82">
        <f t="shared" si="7"/>
        <v>41765</v>
      </c>
      <c r="U35" s="83" t="s">
        <v>40</v>
      </c>
      <c r="V35" s="80">
        <f t="shared" si="8"/>
        <v>124886.517954</v>
      </c>
      <c r="W35" s="81">
        <v>155.75</v>
      </c>
      <c r="X35" s="80">
        <f t="shared" si="9"/>
        <v>19451075.1713355</v>
      </c>
      <c r="Y35" s="80" t="s">
        <v>40</v>
      </c>
      <c r="Z35" s="85" t="s">
        <v>40</v>
      </c>
      <c r="AA35" s="84" t="s">
        <v>40</v>
      </c>
    </row>
    <row r="36" spans="1:27" s="86" customFormat="1" ht="90.75" customHeight="1" x14ac:dyDescent="0.45">
      <c r="A36" s="366">
        <v>7</v>
      </c>
      <c r="B36" s="71" t="s">
        <v>98</v>
      </c>
      <c r="C36" s="76" t="s">
        <v>56</v>
      </c>
      <c r="D36" s="72" t="s">
        <v>56</v>
      </c>
      <c r="E36" s="362" t="s">
        <v>137</v>
      </c>
      <c r="F36" s="76" t="s">
        <v>41</v>
      </c>
      <c r="G36" s="73" t="s">
        <v>73</v>
      </c>
      <c r="H36" s="74" t="s">
        <v>34</v>
      </c>
      <c r="I36" s="74">
        <v>27090000</v>
      </c>
      <c r="J36" s="75">
        <v>41676</v>
      </c>
      <c r="K36" s="76" t="s">
        <v>154</v>
      </c>
      <c r="L36" s="77" t="s">
        <v>32</v>
      </c>
      <c r="M36" s="74" t="s">
        <v>90</v>
      </c>
      <c r="N36" s="78" t="s">
        <v>168</v>
      </c>
      <c r="O36" s="79">
        <v>500000</v>
      </c>
      <c r="P36" s="80">
        <f t="shared" si="5"/>
        <v>55049000</v>
      </c>
      <c r="Q36" s="80">
        <f t="shared" si="6"/>
        <v>8573881750</v>
      </c>
      <c r="R36" s="80" t="s">
        <v>25</v>
      </c>
      <c r="S36" s="81">
        <v>110.098</v>
      </c>
      <c r="T36" s="82">
        <f t="shared" si="7"/>
        <v>41766</v>
      </c>
      <c r="U36" s="83" t="s">
        <v>40</v>
      </c>
      <c r="V36" s="80">
        <f t="shared" si="8"/>
        <v>66058.799999999988</v>
      </c>
      <c r="W36" s="81">
        <v>155.75</v>
      </c>
      <c r="X36" s="80">
        <f t="shared" si="9"/>
        <v>10288658.099999998</v>
      </c>
      <c r="Y36" s="80" t="s">
        <v>40</v>
      </c>
      <c r="Z36" s="85" t="s">
        <v>40</v>
      </c>
      <c r="AA36" s="84" t="s">
        <v>40</v>
      </c>
    </row>
    <row r="37" spans="1:27" s="86" customFormat="1" ht="90.75" customHeight="1" x14ac:dyDescent="0.45">
      <c r="A37" s="367"/>
      <c r="B37" s="71" t="s">
        <v>99</v>
      </c>
      <c r="C37" s="76" t="s">
        <v>56</v>
      </c>
      <c r="D37" s="72" t="s">
        <v>56</v>
      </c>
      <c r="E37" s="363"/>
      <c r="F37" s="76" t="s">
        <v>41</v>
      </c>
      <c r="G37" s="73" t="s">
        <v>73</v>
      </c>
      <c r="H37" s="74" t="s">
        <v>34</v>
      </c>
      <c r="I37" s="74">
        <v>27090000</v>
      </c>
      <c r="J37" s="75">
        <v>41676</v>
      </c>
      <c r="K37" s="76" t="s">
        <v>154</v>
      </c>
      <c r="L37" s="77" t="s">
        <v>32</v>
      </c>
      <c r="M37" s="74" t="s">
        <v>90</v>
      </c>
      <c r="N37" s="78" t="s">
        <v>169</v>
      </c>
      <c r="O37" s="79">
        <v>454596</v>
      </c>
      <c r="P37" s="80">
        <f t="shared" si="5"/>
        <v>50050110.408</v>
      </c>
      <c r="Q37" s="80">
        <f t="shared" si="6"/>
        <v>7795304696.0459995</v>
      </c>
      <c r="R37" s="80" t="s">
        <v>25</v>
      </c>
      <c r="S37" s="81">
        <v>110.098</v>
      </c>
      <c r="T37" s="82">
        <f t="shared" si="7"/>
        <v>41766</v>
      </c>
      <c r="U37" s="83" t="s">
        <v>40</v>
      </c>
      <c r="V37" s="80">
        <f t="shared" si="8"/>
        <v>60060.132489599993</v>
      </c>
      <c r="W37" s="81">
        <v>155.75</v>
      </c>
      <c r="X37" s="80">
        <f t="shared" si="9"/>
        <v>9354365.6352551989</v>
      </c>
      <c r="Y37" s="80" t="s">
        <v>40</v>
      </c>
      <c r="Z37" s="85" t="s">
        <v>40</v>
      </c>
      <c r="AA37" s="84" t="s">
        <v>40</v>
      </c>
    </row>
    <row r="38" spans="1:27" s="86" customFormat="1" ht="90.75" customHeight="1" x14ac:dyDescent="0.45">
      <c r="A38" s="74">
        <v>8</v>
      </c>
      <c r="B38" s="71" t="s">
        <v>100</v>
      </c>
      <c r="C38" s="76" t="s">
        <v>56</v>
      </c>
      <c r="D38" s="72" t="s">
        <v>56</v>
      </c>
      <c r="E38" s="76" t="s">
        <v>40</v>
      </c>
      <c r="F38" s="76" t="s">
        <v>40</v>
      </c>
      <c r="G38" s="73" t="s">
        <v>35</v>
      </c>
      <c r="H38" s="74" t="s">
        <v>33</v>
      </c>
      <c r="I38" s="74">
        <v>27090000</v>
      </c>
      <c r="J38" s="75">
        <v>41678</v>
      </c>
      <c r="K38" s="76" t="s">
        <v>155</v>
      </c>
      <c r="L38" s="77" t="s">
        <v>31</v>
      </c>
      <c r="M38" s="74" t="s">
        <v>44</v>
      </c>
      <c r="N38" s="78" t="s">
        <v>54</v>
      </c>
      <c r="O38" s="79">
        <v>949629</v>
      </c>
      <c r="P38" s="80">
        <f t="shared" si="5"/>
        <v>105723146.199</v>
      </c>
      <c r="Q38" s="80">
        <f t="shared" si="6"/>
        <v>16466380020.494249</v>
      </c>
      <c r="R38" s="80" t="s">
        <v>25</v>
      </c>
      <c r="S38" s="81">
        <v>111.331</v>
      </c>
      <c r="T38" s="82">
        <f t="shared" si="7"/>
        <v>41768</v>
      </c>
      <c r="U38" s="83" t="s">
        <v>40</v>
      </c>
      <c r="V38" s="80">
        <f t="shared" si="8"/>
        <v>126867.77543879999</v>
      </c>
      <c r="W38" s="81">
        <v>155.75</v>
      </c>
      <c r="X38" s="80">
        <f t="shared" si="9"/>
        <v>19759656.0245931</v>
      </c>
      <c r="Y38" s="80" t="s">
        <v>40</v>
      </c>
      <c r="Z38" s="85" t="s">
        <v>40</v>
      </c>
      <c r="AA38" s="84" t="s">
        <v>40</v>
      </c>
    </row>
    <row r="39" spans="1:27" s="86" customFormat="1" ht="90.75" customHeight="1" x14ac:dyDescent="0.45">
      <c r="A39" s="366">
        <v>9</v>
      </c>
      <c r="B39" s="71" t="s">
        <v>101</v>
      </c>
      <c r="C39" s="362" t="s">
        <v>124</v>
      </c>
      <c r="D39" s="72">
        <v>41701</v>
      </c>
      <c r="E39" s="362" t="s">
        <v>138</v>
      </c>
      <c r="F39" s="76" t="s">
        <v>53</v>
      </c>
      <c r="G39" s="73" t="s">
        <v>38</v>
      </c>
      <c r="H39" s="74" t="s">
        <v>34</v>
      </c>
      <c r="I39" s="74">
        <v>27090000</v>
      </c>
      <c r="J39" s="75">
        <v>41680</v>
      </c>
      <c r="K39" s="76" t="s">
        <v>156</v>
      </c>
      <c r="L39" s="77" t="s">
        <v>32</v>
      </c>
      <c r="M39" s="74" t="s">
        <v>83</v>
      </c>
      <c r="N39" s="78" t="s">
        <v>88</v>
      </c>
      <c r="O39" s="79">
        <v>525000</v>
      </c>
      <c r="P39" s="80">
        <f t="shared" si="5"/>
        <v>58551675</v>
      </c>
      <c r="Q39" s="80">
        <f t="shared" si="6"/>
        <v>9119423381.25</v>
      </c>
      <c r="R39" s="80" t="s">
        <v>25</v>
      </c>
      <c r="S39" s="81">
        <v>111.527</v>
      </c>
      <c r="T39" s="82">
        <f t="shared" si="7"/>
        <v>41770</v>
      </c>
      <c r="U39" s="83" t="s">
        <v>40</v>
      </c>
      <c r="V39" s="80">
        <f t="shared" si="8"/>
        <v>70262.009999999995</v>
      </c>
      <c r="W39" s="81">
        <v>155.75</v>
      </c>
      <c r="X39" s="80">
        <f t="shared" si="9"/>
        <v>10943308.057499999</v>
      </c>
      <c r="Y39" s="80" t="s">
        <v>40</v>
      </c>
      <c r="Z39" s="85" t="s">
        <v>40</v>
      </c>
      <c r="AA39" s="84" t="s">
        <v>40</v>
      </c>
    </row>
    <row r="40" spans="1:27" s="86" customFormat="1" ht="90.75" customHeight="1" x14ac:dyDescent="0.45">
      <c r="A40" s="367"/>
      <c r="B40" s="71" t="s">
        <v>102</v>
      </c>
      <c r="C40" s="363"/>
      <c r="D40" s="72">
        <v>41701</v>
      </c>
      <c r="E40" s="363"/>
      <c r="F40" s="76" t="s">
        <v>53</v>
      </c>
      <c r="G40" s="73" t="s">
        <v>38</v>
      </c>
      <c r="H40" s="74" t="s">
        <v>34</v>
      </c>
      <c r="I40" s="74">
        <v>27090000</v>
      </c>
      <c r="J40" s="75">
        <v>41680</v>
      </c>
      <c r="K40" s="76" t="s">
        <v>156</v>
      </c>
      <c r="L40" s="77" t="s">
        <v>32</v>
      </c>
      <c r="M40" s="74" t="s">
        <v>83</v>
      </c>
      <c r="N40" s="78" t="s">
        <v>88</v>
      </c>
      <c r="O40" s="79">
        <v>381226</v>
      </c>
      <c r="P40" s="80">
        <f t="shared" si="5"/>
        <v>42516992.101999998</v>
      </c>
      <c r="Q40" s="80">
        <f t="shared" si="6"/>
        <v>6622021519.8864994</v>
      </c>
      <c r="R40" s="80" t="s">
        <v>25</v>
      </c>
      <c r="S40" s="81">
        <v>111.527</v>
      </c>
      <c r="T40" s="82">
        <f t="shared" si="7"/>
        <v>41770</v>
      </c>
      <c r="U40" s="83" t="s">
        <v>52</v>
      </c>
      <c r="V40" s="80">
        <f t="shared" si="8"/>
        <v>51020.39052239999</v>
      </c>
      <c r="W40" s="81">
        <v>155.75</v>
      </c>
      <c r="X40" s="80">
        <f t="shared" si="9"/>
        <v>7946425.8238637988</v>
      </c>
      <c r="Y40" s="80" t="s">
        <v>40</v>
      </c>
      <c r="Z40" s="85" t="s">
        <v>40</v>
      </c>
      <c r="AA40" s="324" t="s">
        <v>40</v>
      </c>
    </row>
    <row r="41" spans="1:27" s="86" customFormat="1" ht="90.75" customHeight="1" x14ac:dyDescent="0.45">
      <c r="A41" s="74">
        <v>10</v>
      </c>
      <c r="B41" s="71" t="s">
        <v>103</v>
      </c>
      <c r="C41" s="76" t="s">
        <v>125</v>
      </c>
      <c r="D41" s="72">
        <v>41701</v>
      </c>
      <c r="E41" s="85" t="s">
        <v>139</v>
      </c>
      <c r="F41" s="76" t="s">
        <v>53</v>
      </c>
      <c r="G41" s="73" t="s">
        <v>38</v>
      </c>
      <c r="H41" s="74" t="s">
        <v>33</v>
      </c>
      <c r="I41" s="74">
        <v>27090000</v>
      </c>
      <c r="J41" s="75">
        <v>41680</v>
      </c>
      <c r="K41" s="76" t="s">
        <v>157</v>
      </c>
      <c r="L41" s="77" t="s">
        <v>31</v>
      </c>
      <c r="M41" s="74" t="s">
        <v>36</v>
      </c>
      <c r="N41" s="78" t="s">
        <v>170</v>
      </c>
      <c r="O41" s="79">
        <v>949676</v>
      </c>
      <c r="P41" s="80">
        <f t="shared" si="5"/>
        <v>105914515.252</v>
      </c>
      <c r="Q41" s="80">
        <f t="shared" si="6"/>
        <v>16496185750.499001</v>
      </c>
      <c r="R41" s="80" t="s">
        <v>25</v>
      </c>
      <c r="S41" s="81">
        <v>111.527</v>
      </c>
      <c r="T41" s="82">
        <f t="shared" si="7"/>
        <v>41770</v>
      </c>
      <c r="U41" s="83" t="s">
        <v>40</v>
      </c>
      <c r="V41" s="80">
        <f t="shared" si="8"/>
        <v>127097.41830239999</v>
      </c>
      <c r="W41" s="81">
        <v>155.75</v>
      </c>
      <c r="X41" s="80">
        <f t="shared" si="9"/>
        <v>19795422.900598798</v>
      </c>
      <c r="Y41" s="80" t="s">
        <v>40</v>
      </c>
      <c r="Z41" s="85" t="s">
        <v>40</v>
      </c>
      <c r="AA41" s="84" t="s">
        <v>40</v>
      </c>
    </row>
    <row r="42" spans="1:27" s="86" customFormat="1" ht="90.75" customHeight="1" x14ac:dyDescent="0.45">
      <c r="A42" s="74">
        <v>11</v>
      </c>
      <c r="B42" s="71" t="s">
        <v>104</v>
      </c>
      <c r="C42" s="76" t="s">
        <v>126</v>
      </c>
      <c r="D42" s="72">
        <v>41701</v>
      </c>
      <c r="E42" s="76" t="s">
        <v>140</v>
      </c>
      <c r="F42" s="76" t="s">
        <v>53</v>
      </c>
      <c r="G42" s="73" t="s">
        <v>38</v>
      </c>
      <c r="H42" s="74" t="s">
        <v>33</v>
      </c>
      <c r="I42" s="74">
        <v>27090000</v>
      </c>
      <c r="J42" s="75">
        <v>41682</v>
      </c>
      <c r="K42" s="76" t="s">
        <v>155</v>
      </c>
      <c r="L42" s="77" t="s">
        <v>31</v>
      </c>
      <c r="M42" s="74" t="s">
        <v>44</v>
      </c>
      <c r="N42" s="78" t="s">
        <v>54</v>
      </c>
      <c r="O42" s="79">
        <v>949834</v>
      </c>
      <c r="P42" s="80">
        <f t="shared" si="5"/>
        <v>105554102.58600001</v>
      </c>
      <c r="Q42" s="80">
        <f t="shared" si="6"/>
        <v>16440051477.769501</v>
      </c>
      <c r="R42" s="80" t="s">
        <v>25</v>
      </c>
      <c r="S42" s="81">
        <v>111.129</v>
      </c>
      <c r="T42" s="82">
        <f t="shared" si="7"/>
        <v>41772</v>
      </c>
      <c r="U42" s="83" t="s">
        <v>40</v>
      </c>
      <c r="V42" s="80">
        <f t="shared" si="8"/>
        <v>126664.9231032</v>
      </c>
      <c r="W42" s="81">
        <v>155.75</v>
      </c>
      <c r="X42" s="80">
        <f t="shared" si="9"/>
        <v>19728061.773323398</v>
      </c>
      <c r="Y42" s="80" t="s">
        <v>40</v>
      </c>
      <c r="Z42" s="85" t="s">
        <v>40</v>
      </c>
      <c r="AA42" s="84" t="s">
        <v>40</v>
      </c>
    </row>
    <row r="43" spans="1:27" s="86" customFormat="1" ht="90.75" customHeight="1" x14ac:dyDescent="0.45">
      <c r="A43" s="74">
        <v>12</v>
      </c>
      <c r="B43" s="71" t="s">
        <v>105</v>
      </c>
      <c r="C43" s="76" t="s">
        <v>56</v>
      </c>
      <c r="D43" s="72" t="s">
        <v>56</v>
      </c>
      <c r="E43" s="85" t="s">
        <v>40</v>
      </c>
      <c r="F43" s="76" t="s">
        <v>40</v>
      </c>
      <c r="G43" s="73" t="s">
        <v>35</v>
      </c>
      <c r="H43" s="74" t="s">
        <v>33</v>
      </c>
      <c r="I43" s="74">
        <v>27090000</v>
      </c>
      <c r="J43" s="75">
        <v>41685</v>
      </c>
      <c r="K43" s="76" t="s">
        <v>158</v>
      </c>
      <c r="L43" s="77" t="s">
        <v>31</v>
      </c>
      <c r="M43" s="74" t="s">
        <v>46</v>
      </c>
      <c r="N43" s="78" t="s">
        <v>60</v>
      </c>
      <c r="O43" s="79">
        <v>949870</v>
      </c>
      <c r="P43" s="80">
        <f t="shared" si="5"/>
        <v>105186704.06</v>
      </c>
      <c r="Q43" s="80">
        <f t="shared" si="6"/>
        <v>16382829157.345001</v>
      </c>
      <c r="R43" s="80" t="s">
        <v>25</v>
      </c>
      <c r="S43" s="81">
        <v>110.738</v>
      </c>
      <c r="T43" s="82">
        <f t="shared" si="7"/>
        <v>41775</v>
      </c>
      <c r="U43" s="83" t="s">
        <v>40</v>
      </c>
      <c r="V43" s="80">
        <f t="shared" si="8"/>
        <v>126224.044872</v>
      </c>
      <c r="W43" s="81">
        <v>155.75</v>
      </c>
      <c r="X43" s="80">
        <f t="shared" si="9"/>
        <v>19659394.988814</v>
      </c>
      <c r="Y43" s="80" t="s">
        <v>40</v>
      </c>
      <c r="Z43" s="85" t="s">
        <v>40</v>
      </c>
      <c r="AA43" s="84" t="s">
        <v>40</v>
      </c>
    </row>
    <row r="44" spans="1:27" s="86" customFormat="1" ht="90.75" customHeight="1" x14ac:dyDescent="0.45">
      <c r="A44" s="74">
        <v>13</v>
      </c>
      <c r="B44" s="71" t="s">
        <v>106</v>
      </c>
      <c r="C44" s="76" t="s">
        <v>127</v>
      </c>
      <c r="D44" s="72">
        <v>41701</v>
      </c>
      <c r="E44" s="76" t="s">
        <v>141</v>
      </c>
      <c r="F44" s="76" t="s">
        <v>53</v>
      </c>
      <c r="G44" s="73" t="s">
        <v>38</v>
      </c>
      <c r="H44" s="74" t="s">
        <v>34</v>
      </c>
      <c r="I44" s="74">
        <v>27090000</v>
      </c>
      <c r="J44" s="75">
        <v>41685</v>
      </c>
      <c r="K44" s="76" t="s">
        <v>159</v>
      </c>
      <c r="L44" s="77" t="s">
        <v>32</v>
      </c>
      <c r="M44" s="74" t="s">
        <v>44</v>
      </c>
      <c r="N44" s="78" t="s">
        <v>171</v>
      </c>
      <c r="O44" s="79">
        <v>152800</v>
      </c>
      <c r="P44" s="80">
        <f t="shared" si="5"/>
        <v>16920766.399999999</v>
      </c>
      <c r="Q44" s="80">
        <f t="shared" si="6"/>
        <v>2635409366.7999997</v>
      </c>
      <c r="R44" s="80" t="s">
        <v>25</v>
      </c>
      <c r="S44" s="81">
        <v>110.738</v>
      </c>
      <c r="T44" s="82">
        <f t="shared" si="7"/>
        <v>41775</v>
      </c>
      <c r="U44" s="83" t="s">
        <v>40</v>
      </c>
      <c r="V44" s="80">
        <f t="shared" si="8"/>
        <v>20304.919679999995</v>
      </c>
      <c r="W44" s="81">
        <v>155.75</v>
      </c>
      <c r="X44" s="80">
        <f t="shared" si="9"/>
        <v>3162491.2401599991</v>
      </c>
      <c r="Y44" s="80" t="s">
        <v>40</v>
      </c>
      <c r="Z44" s="85" t="s">
        <v>40</v>
      </c>
      <c r="AA44" s="84" t="s">
        <v>40</v>
      </c>
    </row>
    <row r="45" spans="1:27" s="86" customFormat="1" ht="90.75" customHeight="1" x14ac:dyDescent="0.45">
      <c r="A45" s="74">
        <v>14</v>
      </c>
      <c r="B45" s="71" t="s">
        <v>107</v>
      </c>
      <c r="C45" s="76" t="s">
        <v>128</v>
      </c>
      <c r="D45" s="72">
        <v>41701</v>
      </c>
      <c r="E45" s="76" t="s">
        <v>142</v>
      </c>
      <c r="F45" s="76" t="s">
        <v>53</v>
      </c>
      <c r="G45" s="73" t="s">
        <v>38</v>
      </c>
      <c r="H45" s="74" t="s">
        <v>34</v>
      </c>
      <c r="I45" s="74">
        <v>27090000</v>
      </c>
      <c r="J45" s="75">
        <v>41685</v>
      </c>
      <c r="K45" s="76" t="s">
        <v>159</v>
      </c>
      <c r="L45" s="77" t="s">
        <v>32</v>
      </c>
      <c r="M45" s="74" t="s">
        <v>44</v>
      </c>
      <c r="N45" s="78" t="s">
        <v>171</v>
      </c>
      <c r="O45" s="79">
        <v>753049</v>
      </c>
      <c r="P45" s="80">
        <f t="shared" si="5"/>
        <v>83391140.162</v>
      </c>
      <c r="Q45" s="80">
        <f t="shared" si="6"/>
        <v>12988170080.231501</v>
      </c>
      <c r="R45" s="80" t="s">
        <v>25</v>
      </c>
      <c r="S45" s="81">
        <v>110.738</v>
      </c>
      <c r="T45" s="82">
        <f t="shared" si="7"/>
        <v>41775</v>
      </c>
      <c r="U45" s="83" t="s">
        <v>40</v>
      </c>
      <c r="V45" s="80">
        <f t="shared" si="8"/>
        <v>100069.3681944</v>
      </c>
      <c r="W45" s="81">
        <v>155.75</v>
      </c>
      <c r="X45" s="80">
        <f t="shared" si="9"/>
        <v>15585804.096277799</v>
      </c>
      <c r="Y45" s="80" t="s">
        <v>40</v>
      </c>
      <c r="Z45" s="85" t="s">
        <v>40</v>
      </c>
      <c r="AA45" s="84" t="s">
        <v>40</v>
      </c>
    </row>
    <row r="46" spans="1:27" s="86" customFormat="1" ht="90.75" customHeight="1" x14ac:dyDescent="0.45">
      <c r="A46" s="74">
        <v>15</v>
      </c>
      <c r="B46" s="71" t="s">
        <v>108</v>
      </c>
      <c r="C46" s="76" t="s">
        <v>129</v>
      </c>
      <c r="D46" s="72">
        <v>41701</v>
      </c>
      <c r="E46" s="76" t="s">
        <v>143</v>
      </c>
      <c r="F46" s="76" t="s">
        <v>53</v>
      </c>
      <c r="G46" s="73" t="s">
        <v>38</v>
      </c>
      <c r="H46" s="74" t="s">
        <v>33</v>
      </c>
      <c r="I46" s="74">
        <v>27090000</v>
      </c>
      <c r="J46" s="75">
        <v>41686</v>
      </c>
      <c r="K46" s="76" t="s">
        <v>160</v>
      </c>
      <c r="L46" s="77" t="s">
        <v>31</v>
      </c>
      <c r="M46" s="74" t="s">
        <v>36</v>
      </c>
      <c r="N46" s="78" t="s">
        <v>51</v>
      </c>
      <c r="O46" s="79">
        <v>949868</v>
      </c>
      <c r="P46" s="80">
        <f t="shared" si="5"/>
        <v>105393553.808</v>
      </c>
      <c r="Q46" s="80">
        <f t="shared" si="6"/>
        <v>16415046005.596001</v>
      </c>
      <c r="R46" s="80" t="s">
        <v>25</v>
      </c>
      <c r="S46" s="81">
        <v>110.956</v>
      </c>
      <c r="T46" s="82">
        <f t="shared" si="7"/>
        <v>41776</v>
      </c>
      <c r="U46" s="83" t="s">
        <v>40</v>
      </c>
      <c r="V46" s="80">
        <f t="shared" si="8"/>
        <v>126472.26456959998</v>
      </c>
      <c r="W46" s="81">
        <v>155.75</v>
      </c>
      <c r="X46" s="80">
        <f t="shared" si="9"/>
        <v>19698055.206715196</v>
      </c>
      <c r="Y46" s="80" t="s">
        <v>40</v>
      </c>
      <c r="Z46" s="85" t="s">
        <v>40</v>
      </c>
      <c r="AA46" s="84" t="s">
        <v>40</v>
      </c>
    </row>
    <row r="47" spans="1:27" s="86" customFormat="1" ht="90.75" customHeight="1" x14ac:dyDescent="0.45">
      <c r="A47" s="74">
        <v>16</v>
      </c>
      <c r="B47" s="71" t="s">
        <v>109</v>
      </c>
      <c r="C47" s="76" t="s">
        <v>130</v>
      </c>
      <c r="D47" s="72">
        <v>41701</v>
      </c>
      <c r="E47" s="76" t="s">
        <v>144</v>
      </c>
      <c r="F47" s="76" t="s">
        <v>53</v>
      </c>
      <c r="G47" s="73" t="s">
        <v>38</v>
      </c>
      <c r="H47" s="74" t="s">
        <v>33</v>
      </c>
      <c r="I47" s="74">
        <v>27090000</v>
      </c>
      <c r="J47" s="75">
        <v>41688</v>
      </c>
      <c r="K47" s="76" t="s">
        <v>160</v>
      </c>
      <c r="L47" s="77" t="s">
        <v>31</v>
      </c>
      <c r="M47" s="74" t="s">
        <v>36</v>
      </c>
      <c r="N47" s="78" t="s">
        <v>51</v>
      </c>
      <c r="O47" s="79">
        <v>950344</v>
      </c>
      <c r="P47" s="80">
        <f t="shared" si="5"/>
        <v>105888278.824</v>
      </c>
      <c r="Q47" s="80">
        <f t="shared" si="6"/>
        <v>16492099426.837999</v>
      </c>
      <c r="R47" s="80" t="s">
        <v>25</v>
      </c>
      <c r="S47" s="81">
        <v>111.42100000000001</v>
      </c>
      <c r="T47" s="82">
        <f t="shared" si="7"/>
        <v>41778</v>
      </c>
      <c r="U47" s="83" t="s">
        <v>40</v>
      </c>
      <c r="V47" s="80">
        <f t="shared" si="8"/>
        <v>127065.9345888</v>
      </c>
      <c r="W47" s="81">
        <v>155.75</v>
      </c>
      <c r="X47" s="80">
        <f t="shared" si="9"/>
        <v>19790519.312205598</v>
      </c>
      <c r="Y47" s="80" t="s">
        <v>40</v>
      </c>
      <c r="Z47" s="85" t="s">
        <v>40</v>
      </c>
      <c r="AA47" s="84" t="s">
        <v>40</v>
      </c>
    </row>
    <row r="48" spans="1:27" s="86" customFormat="1" ht="90.75" customHeight="1" x14ac:dyDescent="0.45">
      <c r="A48" s="74">
        <v>17</v>
      </c>
      <c r="B48" s="71" t="s">
        <v>110</v>
      </c>
      <c r="C48" s="76" t="s">
        <v>131</v>
      </c>
      <c r="D48" s="72">
        <v>41701</v>
      </c>
      <c r="E48" s="76" t="s">
        <v>145</v>
      </c>
      <c r="F48" s="76" t="s">
        <v>53</v>
      </c>
      <c r="G48" s="73" t="s">
        <v>38</v>
      </c>
      <c r="H48" s="74" t="s">
        <v>33</v>
      </c>
      <c r="I48" s="74">
        <v>27090000</v>
      </c>
      <c r="J48" s="75">
        <v>41692</v>
      </c>
      <c r="K48" s="76" t="s">
        <v>161</v>
      </c>
      <c r="L48" s="77" t="s">
        <v>31</v>
      </c>
      <c r="M48" s="74" t="s">
        <v>82</v>
      </c>
      <c r="N48" s="78" t="s">
        <v>85</v>
      </c>
      <c r="O48" s="79">
        <v>120000</v>
      </c>
      <c r="P48" s="80">
        <f t="shared" si="5"/>
        <v>13344120</v>
      </c>
      <c r="Q48" s="80">
        <f t="shared" si="6"/>
        <v>2078346690</v>
      </c>
      <c r="R48" s="80" t="s">
        <v>25</v>
      </c>
      <c r="S48" s="81">
        <v>111.20099999999999</v>
      </c>
      <c r="T48" s="82">
        <f t="shared" si="7"/>
        <v>41782</v>
      </c>
      <c r="U48" s="83" t="s">
        <v>40</v>
      </c>
      <c r="V48" s="80">
        <f t="shared" si="8"/>
        <v>16012.944</v>
      </c>
      <c r="W48" s="81">
        <v>155.75</v>
      </c>
      <c r="X48" s="80">
        <f t="shared" si="9"/>
        <v>2494016.0279999999</v>
      </c>
      <c r="Y48" s="80" t="s">
        <v>40</v>
      </c>
      <c r="Z48" s="85" t="s">
        <v>40</v>
      </c>
      <c r="AA48" s="84" t="s">
        <v>40</v>
      </c>
    </row>
    <row r="49" spans="1:27" s="86" customFormat="1" ht="90.75" customHeight="1" x14ac:dyDescent="0.45">
      <c r="A49" s="74">
        <v>18</v>
      </c>
      <c r="B49" s="71" t="s">
        <v>111</v>
      </c>
      <c r="C49" s="76" t="s">
        <v>132</v>
      </c>
      <c r="D49" s="72">
        <v>41701</v>
      </c>
      <c r="E49" s="85" t="s">
        <v>146</v>
      </c>
      <c r="F49" s="76" t="s">
        <v>53</v>
      </c>
      <c r="G49" s="73" t="s">
        <v>38</v>
      </c>
      <c r="H49" s="74" t="s">
        <v>33</v>
      </c>
      <c r="I49" s="74">
        <v>27090000</v>
      </c>
      <c r="J49" s="87">
        <v>41692</v>
      </c>
      <c r="K49" s="76" t="s">
        <v>161</v>
      </c>
      <c r="L49" s="77" t="s">
        <v>31</v>
      </c>
      <c r="M49" s="74" t="s">
        <v>82</v>
      </c>
      <c r="N49" s="88" t="s">
        <v>85</v>
      </c>
      <c r="O49" s="79">
        <v>90000</v>
      </c>
      <c r="P49" s="80">
        <f t="shared" si="5"/>
        <v>10008090</v>
      </c>
      <c r="Q49" s="80">
        <f t="shared" si="6"/>
        <v>1558760017.5</v>
      </c>
      <c r="R49" s="80" t="s">
        <v>25</v>
      </c>
      <c r="S49" s="81">
        <v>111.20099999999999</v>
      </c>
      <c r="T49" s="82">
        <f t="shared" si="7"/>
        <v>41782</v>
      </c>
      <c r="U49" s="83" t="s">
        <v>40</v>
      </c>
      <c r="V49" s="80">
        <f t="shared" si="8"/>
        <v>12009.707999999999</v>
      </c>
      <c r="W49" s="81">
        <v>155.75</v>
      </c>
      <c r="X49" s="80">
        <f t="shared" si="9"/>
        <v>1870512.0209999997</v>
      </c>
      <c r="Y49" s="80" t="s">
        <v>40</v>
      </c>
      <c r="Z49" s="85" t="s">
        <v>40</v>
      </c>
      <c r="AA49" s="84" t="s">
        <v>40</v>
      </c>
    </row>
    <row r="50" spans="1:27" s="86" customFormat="1" ht="90.75" customHeight="1" x14ac:dyDescent="0.45">
      <c r="A50" s="74">
        <v>19</v>
      </c>
      <c r="B50" s="71" t="s">
        <v>112</v>
      </c>
      <c r="C50" s="76" t="s">
        <v>133</v>
      </c>
      <c r="D50" s="72">
        <v>41701</v>
      </c>
      <c r="E50" s="85" t="s">
        <v>147</v>
      </c>
      <c r="F50" s="76" t="s">
        <v>53</v>
      </c>
      <c r="G50" s="73" t="s">
        <v>38</v>
      </c>
      <c r="H50" s="74" t="s">
        <v>33</v>
      </c>
      <c r="I50" s="74">
        <v>27090000</v>
      </c>
      <c r="J50" s="87">
        <v>41692</v>
      </c>
      <c r="K50" s="76" t="s">
        <v>161</v>
      </c>
      <c r="L50" s="89" t="s">
        <v>31</v>
      </c>
      <c r="M50" s="74" t="s">
        <v>82</v>
      </c>
      <c r="N50" s="78" t="s">
        <v>85</v>
      </c>
      <c r="O50" s="79">
        <v>740096</v>
      </c>
      <c r="P50" s="80">
        <f t="shared" si="5"/>
        <v>82299415.295999989</v>
      </c>
      <c r="Q50" s="80">
        <f t="shared" si="6"/>
        <v>12818133932.351997</v>
      </c>
      <c r="R50" s="80" t="s">
        <v>25</v>
      </c>
      <c r="S50" s="81">
        <v>111.20099999999999</v>
      </c>
      <c r="T50" s="82">
        <f t="shared" si="7"/>
        <v>41782</v>
      </c>
      <c r="U50" s="83" t="s">
        <v>40</v>
      </c>
      <c r="V50" s="80">
        <f t="shared" si="8"/>
        <v>98759.298355199979</v>
      </c>
      <c r="W50" s="81">
        <v>155.75</v>
      </c>
      <c r="X50" s="80">
        <f t="shared" si="9"/>
        <v>15381760.718822397</v>
      </c>
      <c r="Y50" s="80" t="s">
        <v>40</v>
      </c>
      <c r="Z50" s="85" t="s">
        <v>40</v>
      </c>
      <c r="AA50" s="84" t="s">
        <v>40</v>
      </c>
    </row>
    <row r="51" spans="1:27" s="86" customFormat="1" ht="90.75" customHeight="1" x14ac:dyDescent="0.45">
      <c r="A51" s="74">
        <v>20</v>
      </c>
      <c r="B51" s="71" t="s">
        <v>113</v>
      </c>
      <c r="C51" s="76" t="s">
        <v>56</v>
      </c>
      <c r="D51" s="72" t="s">
        <v>56</v>
      </c>
      <c r="E51" s="85" t="s">
        <v>40</v>
      </c>
      <c r="F51" s="76" t="s">
        <v>40</v>
      </c>
      <c r="G51" s="73" t="s">
        <v>49</v>
      </c>
      <c r="H51" s="74" t="s">
        <v>34</v>
      </c>
      <c r="I51" s="74">
        <v>27090000</v>
      </c>
      <c r="J51" s="87">
        <v>41693</v>
      </c>
      <c r="K51" s="76" t="s">
        <v>162</v>
      </c>
      <c r="L51" s="89" t="s">
        <v>32</v>
      </c>
      <c r="M51" s="74" t="s">
        <v>44</v>
      </c>
      <c r="N51" s="78" t="s">
        <v>54</v>
      </c>
      <c r="O51" s="79">
        <v>772894</v>
      </c>
      <c r="P51" s="80">
        <f t="shared" ref="P51:P60" si="10">O51*S51</f>
        <v>85903303.629999995</v>
      </c>
      <c r="Q51" s="80">
        <f t="shared" ref="Q51:Q60" si="11">P51*W51</f>
        <v>13379439540.372499</v>
      </c>
      <c r="R51" s="80" t="s">
        <v>25</v>
      </c>
      <c r="S51" s="81">
        <v>111.145</v>
      </c>
      <c r="T51" s="82">
        <f t="shared" si="7"/>
        <v>41783</v>
      </c>
      <c r="U51" s="83" t="s">
        <v>40</v>
      </c>
      <c r="V51" s="80">
        <f t="shared" ref="V51:V60" si="12">P51*0.12%</f>
        <v>103083.96435599998</v>
      </c>
      <c r="W51" s="81">
        <v>155.75</v>
      </c>
      <c r="X51" s="80">
        <f t="shared" si="9"/>
        <v>16055327.448446997</v>
      </c>
      <c r="Y51" s="80" t="s">
        <v>40</v>
      </c>
      <c r="Z51" s="85" t="s">
        <v>40</v>
      </c>
      <c r="AA51" s="84" t="s">
        <v>40</v>
      </c>
    </row>
    <row r="52" spans="1:27" s="86" customFormat="1" ht="90.75" customHeight="1" x14ac:dyDescent="0.45">
      <c r="A52" s="74">
        <v>21</v>
      </c>
      <c r="B52" s="71" t="s">
        <v>114</v>
      </c>
      <c r="C52" s="76" t="s">
        <v>56</v>
      </c>
      <c r="D52" s="72" t="s">
        <v>56</v>
      </c>
      <c r="E52" s="85" t="s">
        <v>148</v>
      </c>
      <c r="F52" s="76" t="s">
        <v>52</v>
      </c>
      <c r="G52" s="73" t="s">
        <v>48</v>
      </c>
      <c r="H52" s="74" t="s">
        <v>34</v>
      </c>
      <c r="I52" s="74">
        <v>27090000</v>
      </c>
      <c r="J52" s="87">
        <v>41693</v>
      </c>
      <c r="K52" s="76" t="s">
        <v>162</v>
      </c>
      <c r="L52" s="89" t="s">
        <v>32</v>
      </c>
      <c r="M52" s="74" t="s">
        <v>44</v>
      </c>
      <c r="N52" s="78" t="s">
        <v>54</v>
      </c>
      <c r="O52" s="79">
        <v>57300</v>
      </c>
      <c r="P52" s="80">
        <f t="shared" si="10"/>
        <v>6368608.5</v>
      </c>
      <c r="Q52" s="80">
        <f t="shared" si="11"/>
        <v>991910773.875</v>
      </c>
      <c r="R52" s="80" t="s">
        <v>25</v>
      </c>
      <c r="S52" s="81">
        <v>111.145</v>
      </c>
      <c r="T52" s="82">
        <f t="shared" si="7"/>
        <v>41783</v>
      </c>
      <c r="U52" s="83" t="s">
        <v>40</v>
      </c>
      <c r="V52" s="80">
        <f t="shared" si="12"/>
        <v>7642.3301999999994</v>
      </c>
      <c r="W52" s="81">
        <v>155.75</v>
      </c>
      <c r="X52" s="80">
        <f t="shared" si="9"/>
        <v>1190292.9286499999</v>
      </c>
      <c r="Y52" s="80">
        <v>1127696.6599999999</v>
      </c>
      <c r="Z52" s="85" t="s">
        <v>174</v>
      </c>
      <c r="AA52" s="324">
        <v>41691</v>
      </c>
    </row>
    <row r="53" spans="1:27" s="86" customFormat="1" ht="90.75" customHeight="1" x14ac:dyDescent="0.45">
      <c r="A53" s="74">
        <v>22</v>
      </c>
      <c r="B53" s="71" t="s">
        <v>115</v>
      </c>
      <c r="C53" s="76" t="s">
        <v>56</v>
      </c>
      <c r="D53" s="72" t="s">
        <v>56</v>
      </c>
      <c r="E53" s="85" t="s">
        <v>40</v>
      </c>
      <c r="F53" s="76" t="s">
        <v>40</v>
      </c>
      <c r="G53" s="73" t="s">
        <v>72</v>
      </c>
      <c r="H53" s="74" t="s">
        <v>34</v>
      </c>
      <c r="I53" s="74">
        <v>27090000</v>
      </c>
      <c r="J53" s="87">
        <v>41693</v>
      </c>
      <c r="K53" s="76" t="s">
        <v>162</v>
      </c>
      <c r="L53" s="89" t="s">
        <v>32</v>
      </c>
      <c r="M53" s="74" t="s">
        <v>44</v>
      </c>
      <c r="N53" s="78" t="s">
        <v>54</v>
      </c>
      <c r="O53" s="79">
        <v>23875</v>
      </c>
      <c r="P53" s="80">
        <f t="shared" si="10"/>
        <v>2653586.875</v>
      </c>
      <c r="Q53" s="80">
        <f t="shared" si="11"/>
        <v>413296155.78125</v>
      </c>
      <c r="R53" s="80" t="s">
        <v>25</v>
      </c>
      <c r="S53" s="81">
        <v>111.145</v>
      </c>
      <c r="T53" s="82">
        <f t="shared" si="7"/>
        <v>41783</v>
      </c>
      <c r="U53" s="83" t="s">
        <v>40</v>
      </c>
      <c r="V53" s="80">
        <f t="shared" si="12"/>
        <v>3184.3042499999997</v>
      </c>
      <c r="W53" s="81">
        <v>155.75</v>
      </c>
      <c r="X53" s="80">
        <f t="shared" si="9"/>
        <v>495955.38693749998</v>
      </c>
      <c r="Y53" s="80" t="s">
        <v>40</v>
      </c>
      <c r="Z53" s="85" t="s">
        <v>40</v>
      </c>
      <c r="AA53" s="84" t="s">
        <v>40</v>
      </c>
    </row>
    <row r="54" spans="1:27" s="86" customFormat="1" ht="90.75" customHeight="1" x14ac:dyDescent="0.45">
      <c r="A54" s="74">
        <v>23</v>
      </c>
      <c r="B54" s="71" t="s">
        <v>116</v>
      </c>
      <c r="C54" s="76" t="s">
        <v>56</v>
      </c>
      <c r="D54" s="72" t="s">
        <v>56</v>
      </c>
      <c r="E54" s="85" t="s">
        <v>40</v>
      </c>
      <c r="F54" s="76" t="s">
        <v>40</v>
      </c>
      <c r="G54" s="73" t="s">
        <v>57</v>
      </c>
      <c r="H54" s="74" t="s">
        <v>34</v>
      </c>
      <c r="I54" s="74">
        <v>27090000</v>
      </c>
      <c r="J54" s="87">
        <v>41693</v>
      </c>
      <c r="K54" s="76" t="s">
        <v>162</v>
      </c>
      <c r="L54" s="89" t="s">
        <v>32</v>
      </c>
      <c r="M54" s="74" t="s">
        <v>44</v>
      </c>
      <c r="N54" s="78" t="s">
        <v>54</v>
      </c>
      <c r="O54" s="79">
        <v>100275</v>
      </c>
      <c r="P54" s="80">
        <f t="shared" si="10"/>
        <v>11145064.875</v>
      </c>
      <c r="Q54" s="80">
        <f t="shared" si="11"/>
        <v>1735843854.28125</v>
      </c>
      <c r="R54" s="80" t="s">
        <v>25</v>
      </c>
      <c r="S54" s="81">
        <v>111.145</v>
      </c>
      <c r="T54" s="82">
        <f t="shared" si="7"/>
        <v>41783</v>
      </c>
      <c r="U54" s="83" t="s">
        <v>40</v>
      </c>
      <c r="V54" s="80">
        <f t="shared" si="12"/>
        <v>13374.07785</v>
      </c>
      <c r="W54" s="81">
        <v>155.75</v>
      </c>
      <c r="X54" s="80">
        <f t="shared" si="9"/>
        <v>2083012.6251375</v>
      </c>
      <c r="Y54" s="80" t="s">
        <v>40</v>
      </c>
      <c r="Z54" s="85" t="s">
        <v>40</v>
      </c>
      <c r="AA54" s="84" t="s">
        <v>40</v>
      </c>
    </row>
    <row r="55" spans="1:27" s="86" customFormat="1" ht="90.75" customHeight="1" x14ac:dyDescent="0.45">
      <c r="A55" s="368">
        <v>24</v>
      </c>
      <c r="B55" s="71" t="s">
        <v>117</v>
      </c>
      <c r="C55" s="362" t="s">
        <v>134</v>
      </c>
      <c r="D55" s="72">
        <v>41701</v>
      </c>
      <c r="E55" s="364" t="s">
        <v>149</v>
      </c>
      <c r="F55" s="76" t="s">
        <v>53</v>
      </c>
      <c r="G55" s="73" t="s">
        <v>38</v>
      </c>
      <c r="H55" s="74" t="s">
        <v>33</v>
      </c>
      <c r="I55" s="74">
        <v>27090000</v>
      </c>
      <c r="J55" s="87">
        <v>41694</v>
      </c>
      <c r="K55" s="76" t="s">
        <v>163</v>
      </c>
      <c r="L55" s="89" t="s">
        <v>31</v>
      </c>
      <c r="M55" s="74" t="s">
        <v>167</v>
      </c>
      <c r="N55" s="78" t="s">
        <v>172</v>
      </c>
      <c r="O55" s="79">
        <v>500000</v>
      </c>
      <c r="P55" s="80">
        <f t="shared" si="10"/>
        <v>55624500</v>
      </c>
      <c r="Q55" s="80">
        <f t="shared" si="11"/>
        <v>8663515875</v>
      </c>
      <c r="R55" s="80" t="s">
        <v>25</v>
      </c>
      <c r="S55" s="81">
        <v>111.249</v>
      </c>
      <c r="T55" s="82">
        <f t="shared" si="7"/>
        <v>41784</v>
      </c>
      <c r="U55" s="83" t="s">
        <v>40</v>
      </c>
      <c r="V55" s="80">
        <f t="shared" si="12"/>
        <v>66749.399999999994</v>
      </c>
      <c r="W55" s="81">
        <v>155.75</v>
      </c>
      <c r="X55" s="80">
        <f t="shared" si="9"/>
        <v>10396219.049999999</v>
      </c>
      <c r="Y55" s="80" t="s">
        <v>40</v>
      </c>
      <c r="Z55" s="85" t="s">
        <v>40</v>
      </c>
      <c r="AA55" s="84" t="s">
        <v>40</v>
      </c>
    </row>
    <row r="56" spans="1:27" s="86" customFormat="1" ht="90.75" customHeight="1" x14ac:dyDescent="0.45">
      <c r="A56" s="369"/>
      <c r="B56" s="71" t="s">
        <v>118</v>
      </c>
      <c r="C56" s="363"/>
      <c r="D56" s="72">
        <v>41701</v>
      </c>
      <c r="E56" s="365"/>
      <c r="F56" s="76" t="s">
        <v>53</v>
      </c>
      <c r="G56" s="73" t="s">
        <v>38</v>
      </c>
      <c r="H56" s="74" t="s">
        <v>33</v>
      </c>
      <c r="I56" s="74">
        <v>27090000</v>
      </c>
      <c r="J56" s="87">
        <v>41694</v>
      </c>
      <c r="K56" s="76" t="s">
        <v>163</v>
      </c>
      <c r="L56" s="89" t="s">
        <v>31</v>
      </c>
      <c r="M56" s="74" t="s">
        <v>167</v>
      </c>
      <c r="N56" s="78" t="s">
        <v>172</v>
      </c>
      <c r="O56" s="79">
        <v>449975</v>
      </c>
      <c r="P56" s="80">
        <f t="shared" si="10"/>
        <v>50059268.774999999</v>
      </c>
      <c r="Q56" s="80">
        <f t="shared" si="11"/>
        <v>7796731111.7062502</v>
      </c>
      <c r="R56" s="80" t="s">
        <v>25</v>
      </c>
      <c r="S56" s="81">
        <v>111.249</v>
      </c>
      <c r="T56" s="82">
        <f t="shared" si="7"/>
        <v>41784</v>
      </c>
      <c r="U56" s="83" t="s">
        <v>40</v>
      </c>
      <c r="V56" s="80">
        <f t="shared" si="12"/>
        <v>60071.122529999993</v>
      </c>
      <c r="W56" s="81">
        <v>155.75</v>
      </c>
      <c r="X56" s="80">
        <f t="shared" si="9"/>
        <v>9356077.3340474982</v>
      </c>
      <c r="Y56" s="80" t="s">
        <v>40</v>
      </c>
      <c r="Z56" s="85" t="s">
        <v>40</v>
      </c>
      <c r="AA56" s="84" t="s">
        <v>40</v>
      </c>
    </row>
    <row r="57" spans="1:27" s="86" customFormat="1" ht="90.75" customHeight="1" x14ac:dyDescent="0.45">
      <c r="A57" s="354">
        <v>25</v>
      </c>
      <c r="B57" s="71" t="s">
        <v>119</v>
      </c>
      <c r="C57" s="76" t="s">
        <v>56</v>
      </c>
      <c r="D57" s="72" t="s">
        <v>56</v>
      </c>
      <c r="E57" s="85" t="s">
        <v>40</v>
      </c>
      <c r="F57" s="76" t="s">
        <v>40</v>
      </c>
      <c r="G57" s="73" t="s">
        <v>35</v>
      </c>
      <c r="H57" s="74" t="s">
        <v>33</v>
      </c>
      <c r="I57" s="74">
        <v>27090000</v>
      </c>
      <c r="J57" s="87">
        <v>41697</v>
      </c>
      <c r="K57" s="76" t="s">
        <v>164</v>
      </c>
      <c r="L57" s="89" t="s">
        <v>31</v>
      </c>
      <c r="M57" s="74" t="s">
        <v>47</v>
      </c>
      <c r="N57" s="78" t="s">
        <v>91</v>
      </c>
      <c r="O57" s="79">
        <v>950043</v>
      </c>
      <c r="P57" s="80">
        <f t="shared" si="10"/>
        <v>105321766.98</v>
      </c>
      <c r="Q57" s="80">
        <f t="shared" si="11"/>
        <v>16403865207.135</v>
      </c>
      <c r="R57" s="80" t="s">
        <v>25</v>
      </c>
      <c r="S57" s="81">
        <v>110.86</v>
      </c>
      <c r="T57" s="82">
        <f t="shared" si="7"/>
        <v>41787</v>
      </c>
      <c r="U57" s="83" t="s">
        <v>40</v>
      </c>
      <c r="V57" s="80">
        <f t="shared" si="12"/>
        <v>126386.12037599999</v>
      </c>
      <c r="W57" s="81">
        <v>155.75</v>
      </c>
      <c r="X57" s="80">
        <f t="shared" si="9"/>
        <v>19684638.248561997</v>
      </c>
      <c r="Y57" s="80" t="s">
        <v>40</v>
      </c>
      <c r="Z57" s="85" t="s">
        <v>40</v>
      </c>
      <c r="AA57" s="84" t="s">
        <v>40</v>
      </c>
    </row>
    <row r="58" spans="1:27" s="90" customFormat="1" ht="90.75" customHeight="1" x14ac:dyDescent="0.5">
      <c r="A58" s="354">
        <v>26</v>
      </c>
      <c r="B58" s="71" t="s">
        <v>120</v>
      </c>
      <c r="C58" s="76" t="s">
        <v>56</v>
      </c>
      <c r="D58" s="72" t="s">
        <v>56</v>
      </c>
      <c r="E58" s="85" t="s">
        <v>40</v>
      </c>
      <c r="F58" s="76" t="s">
        <v>40</v>
      </c>
      <c r="G58" s="73" t="s">
        <v>72</v>
      </c>
      <c r="H58" s="74" t="s">
        <v>74</v>
      </c>
      <c r="I58" s="74">
        <v>27090000</v>
      </c>
      <c r="J58" s="87">
        <v>41697</v>
      </c>
      <c r="K58" s="76" t="s">
        <v>165</v>
      </c>
      <c r="L58" s="89" t="s">
        <v>80</v>
      </c>
      <c r="M58" s="74" t="s">
        <v>81</v>
      </c>
      <c r="N58" s="78" t="s">
        <v>84</v>
      </c>
      <c r="O58" s="79">
        <v>955003</v>
      </c>
      <c r="P58" s="80">
        <f t="shared" si="10"/>
        <v>107877138.88</v>
      </c>
      <c r="Q58" s="80">
        <f t="shared" si="11"/>
        <v>16801864380.559999</v>
      </c>
      <c r="R58" s="80" t="s">
        <v>25</v>
      </c>
      <c r="S58" s="81">
        <v>112.96</v>
      </c>
      <c r="T58" s="82">
        <f t="shared" si="7"/>
        <v>41787</v>
      </c>
      <c r="U58" s="83" t="s">
        <v>40</v>
      </c>
      <c r="V58" s="80">
        <f t="shared" si="12"/>
        <v>129452.56665599998</v>
      </c>
      <c r="W58" s="81">
        <v>155.75</v>
      </c>
      <c r="X58" s="80">
        <f t="shared" si="9"/>
        <v>20162237.256671999</v>
      </c>
      <c r="Y58" s="80" t="s">
        <v>40</v>
      </c>
      <c r="Z58" s="85" t="s">
        <v>40</v>
      </c>
      <c r="AA58" s="84" t="s">
        <v>40</v>
      </c>
    </row>
    <row r="59" spans="1:27" ht="72.75" customHeight="1" x14ac:dyDescent="0.45">
      <c r="A59" s="354">
        <v>27</v>
      </c>
      <c r="B59" s="71" t="s">
        <v>121</v>
      </c>
      <c r="C59" s="76" t="s">
        <v>56</v>
      </c>
      <c r="D59" s="72" t="s">
        <v>56</v>
      </c>
      <c r="E59" s="85" t="s">
        <v>40</v>
      </c>
      <c r="F59" s="76" t="s">
        <v>40</v>
      </c>
      <c r="G59" s="73" t="s">
        <v>49</v>
      </c>
      <c r="H59" s="74" t="s">
        <v>34</v>
      </c>
      <c r="I59" s="74">
        <v>27090000</v>
      </c>
      <c r="J59" s="87">
        <v>41698</v>
      </c>
      <c r="K59" s="76" t="s">
        <v>162</v>
      </c>
      <c r="L59" s="89" t="s">
        <v>32</v>
      </c>
      <c r="M59" s="74" t="s">
        <v>44</v>
      </c>
      <c r="N59" s="78" t="s">
        <v>54</v>
      </c>
      <c r="O59" s="79">
        <v>1000005</v>
      </c>
      <c r="P59" s="80">
        <f t="shared" si="10"/>
        <v>111301556.505</v>
      </c>
      <c r="Q59" s="80">
        <f t="shared" si="11"/>
        <v>17335217425.653748</v>
      </c>
      <c r="R59" s="80" t="s">
        <v>25</v>
      </c>
      <c r="S59" s="81">
        <v>111.301</v>
      </c>
      <c r="T59" s="82">
        <f t="shared" si="7"/>
        <v>41788</v>
      </c>
      <c r="U59" s="83" t="s">
        <v>40</v>
      </c>
      <c r="V59" s="80">
        <f t="shared" si="12"/>
        <v>133561.86780599999</v>
      </c>
      <c r="W59" s="81">
        <v>155.75</v>
      </c>
      <c r="X59" s="80">
        <f t="shared" si="9"/>
        <v>20802260.910784498</v>
      </c>
      <c r="Y59" s="80" t="s">
        <v>40</v>
      </c>
      <c r="Z59" s="85" t="s">
        <v>40</v>
      </c>
      <c r="AA59" s="324" t="s">
        <v>40</v>
      </c>
    </row>
    <row r="60" spans="1:27" ht="69" customHeight="1" x14ac:dyDescent="0.45">
      <c r="A60" s="354">
        <v>28</v>
      </c>
      <c r="B60" s="71" t="s">
        <v>122</v>
      </c>
      <c r="C60" s="76" t="s">
        <v>56</v>
      </c>
      <c r="D60" s="72" t="s">
        <v>56</v>
      </c>
      <c r="E60" s="85" t="s">
        <v>40</v>
      </c>
      <c r="F60" s="76" t="s">
        <v>40</v>
      </c>
      <c r="G60" s="73" t="s">
        <v>35</v>
      </c>
      <c r="H60" s="74" t="s">
        <v>33</v>
      </c>
      <c r="I60" s="74">
        <v>27090000</v>
      </c>
      <c r="J60" s="87">
        <v>41698</v>
      </c>
      <c r="K60" s="76" t="s">
        <v>166</v>
      </c>
      <c r="L60" s="89" t="s">
        <v>31</v>
      </c>
      <c r="M60" s="74" t="s">
        <v>26</v>
      </c>
      <c r="N60" s="78" t="s">
        <v>173</v>
      </c>
      <c r="O60" s="79">
        <v>949859</v>
      </c>
      <c r="P60" s="80">
        <f t="shared" si="10"/>
        <v>105720256.559</v>
      </c>
      <c r="Q60" s="80">
        <f t="shared" si="11"/>
        <v>16465929959.064251</v>
      </c>
      <c r="R60" s="80" t="s">
        <v>25</v>
      </c>
      <c r="S60" s="81">
        <v>111.301</v>
      </c>
      <c r="T60" s="82">
        <f t="shared" si="7"/>
        <v>41788</v>
      </c>
      <c r="U60" s="83" t="s">
        <v>40</v>
      </c>
      <c r="V60" s="80">
        <f t="shared" si="12"/>
        <v>126864.3078708</v>
      </c>
      <c r="W60" s="81">
        <v>155.75</v>
      </c>
      <c r="X60" s="80">
        <f t="shared" si="9"/>
        <v>19759115.9508771</v>
      </c>
      <c r="Y60" s="80" t="s">
        <v>40</v>
      </c>
      <c r="Z60" s="85" t="s">
        <v>40</v>
      </c>
      <c r="AA60" s="84" t="s">
        <v>40</v>
      </c>
    </row>
    <row r="61" spans="1:27" ht="48" customHeight="1" x14ac:dyDescent="0.45">
      <c r="A61" s="350"/>
      <c r="B61" s="335"/>
      <c r="C61" s="337"/>
      <c r="D61" s="336"/>
      <c r="E61" s="348"/>
      <c r="F61" s="337"/>
      <c r="G61" s="338"/>
      <c r="H61" s="339"/>
      <c r="I61" s="339"/>
      <c r="J61" s="340"/>
      <c r="K61" s="337"/>
      <c r="L61" s="341"/>
      <c r="M61" s="339"/>
      <c r="N61" s="342"/>
      <c r="O61" s="343"/>
      <c r="P61" s="344"/>
      <c r="Q61" s="344"/>
      <c r="R61" s="344"/>
      <c r="S61" s="345"/>
      <c r="T61" s="346"/>
      <c r="U61" s="347"/>
      <c r="V61" s="344"/>
      <c r="W61" s="345"/>
      <c r="X61" s="344"/>
      <c r="Y61" s="344"/>
      <c r="Z61" s="348"/>
      <c r="AA61" s="349"/>
    </row>
    <row r="62" spans="1:27" ht="48" customHeight="1" x14ac:dyDescent="0.45">
      <c r="A62" s="350"/>
      <c r="B62" s="339"/>
      <c r="C62" s="347"/>
      <c r="D62" s="336"/>
      <c r="E62" s="347"/>
      <c r="F62" s="347"/>
      <c r="G62" s="338"/>
      <c r="H62" s="339"/>
      <c r="I62" s="339"/>
      <c r="J62" s="351"/>
      <c r="K62" s="337"/>
      <c r="L62" s="337"/>
      <c r="M62" s="339"/>
      <c r="N62" s="352"/>
      <c r="O62" s="343"/>
      <c r="P62" s="344"/>
      <c r="Q62" s="344"/>
      <c r="R62" s="344"/>
      <c r="S62" s="345"/>
      <c r="T62" s="346"/>
      <c r="U62" s="337"/>
      <c r="V62" s="344"/>
      <c r="W62" s="345"/>
      <c r="X62" s="344"/>
      <c r="Y62" s="344"/>
      <c r="Z62" s="347"/>
      <c r="AA62" s="353"/>
    </row>
    <row r="63" spans="1:27" ht="53.25" customHeight="1" thickBot="1" x14ac:dyDescent="0.55000000000000004">
      <c r="A63" s="290"/>
      <c r="B63" s="291" t="s">
        <v>28</v>
      </c>
      <c r="C63" s="292"/>
      <c r="D63" s="293"/>
      <c r="E63" s="292"/>
      <c r="F63" s="292"/>
      <c r="G63" s="294"/>
      <c r="H63" s="291"/>
      <c r="I63" s="291"/>
      <c r="J63" s="295"/>
      <c r="K63" s="296"/>
      <c r="L63" s="296"/>
      <c r="M63" s="291"/>
      <c r="N63" s="297"/>
      <c r="O63" s="298">
        <f>SUM(O30:O62)</f>
        <v>17982272</v>
      </c>
      <c r="P63" s="299">
        <f>SUM(P30:P62)</f>
        <v>1994816532.8490005</v>
      </c>
      <c r="Q63" s="299">
        <f>SUM(Q30:Q60)</f>
        <v>310692674991.23181</v>
      </c>
      <c r="R63" s="299"/>
      <c r="S63" s="300"/>
      <c r="T63" s="301"/>
      <c r="U63" s="296"/>
      <c r="V63" s="299">
        <f>SUM(V30:V62)</f>
        <v>2393779.8394188005</v>
      </c>
      <c r="W63" s="300"/>
      <c r="X63" s="299">
        <f>SUM(X30:X62)</f>
        <v>372831209.98947811</v>
      </c>
      <c r="Y63" s="299">
        <f>SUM(Y30:Y55)</f>
        <v>1127696.6599999999</v>
      </c>
      <c r="Z63" s="292"/>
      <c r="AA63" s="302"/>
    </row>
    <row r="64" spans="1:27" ht="15.75" customHeight="1" x14ac:dyDescent="0.2">
      <c r="A64" s="7"/>
      <c r="B64" s="8"/>
      <c r="C64" s="6"/>
      <c r="D64" s="17"/>
      <c r="E64" s="18"/>
      <c r="F64" s="6"/>
      <c r="G64" s="19"/>
      <c r="H64" s="6"/>
      <c r="I64" s="6"/>
      <c r="J64" s="20"/>
      <c r="K64" s="8"/>
      <c r="L64" s="8"/>
      <c r="M64" s="6"/>
      <c r="N64" s="6"/>
      <c r="O64" s="21"/>
      <c r="P64" s="22"/>
      <c r="Q64" s="22"/>
      <c r="R64" s="22"/>
      <c r="S64" s="27"/>
      <c r="V64" s="22"/>
      <c r="W64" s="27"/>
      <c r="X64" s="22"/>
      <c r="Y64" s="22"/>
      <c r="Z64" s="6"/>
      <c r="AA64" s="6"/>
    </row>
    <row r="65" spans="14:15" ht="15.75" customHeight="1" x14ac:dyDescent="0.2"/>
    <row r="66" spans="14:15" ht="15.75" customHeight="1" x14ac:dyDescent="0.2"/>
    <row r="75" spans="14:15" x14ac:dyDescent="0.2">
      <c r="N75" s="23"/>
      <c r="O75" s="24"/>
    </row>
  </sheetData>
  <mergeCells count="8">
    <mergeCell ref="C55:C56"/>
    <mergeCell ref="E55:E56"/>
    <mergeCell ref="A36:A37"/>
    <mergeCell ref="A39:A40"/>
    <mergeCell ref="A55:A56"/>
    <mergeCell ref="E36:E37"/>
    <mergeCell ref="C39:C40"/>
    <mergeCell ref="E39:E40"/>
  </mergeCells>
  <pageMargins left="0.31496062992125984" right="0.19685039370078741" top="0.15748031496062992" bottom="0.15748031496062992" header="0.31496062992125984" footer="0.31496062992125984"/>
  <pageSetup paperSize="9" scale="22" orientation="landscape" r:id="rId1"/>
  <headerFooter>
    <oddFooter>&amp;R2</oddFooter>
  </headerFooter>
  <rowBreaks count="1" manualBreakCount="1">
    <brk id="63" max="25" man="1"/>
  </rowBreaks>
  <colBreaks count="1" manualBreakCount="1">
    <brk id="14" max="4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9"/>
  <sheetViews>
    <sheetView zoomScale="30" zoomScaleNormal="30" zoomScaleSheetLayoutView="10" workbookViewId="0">
      <selection activeCell="V55" sqref="V55"/>
    </sheetView>
  </sheetViews>
  <sheetFormatPr defaultRowHeight="15" x14ac:dyDescent="0.2"/>
  <cols>
    <col min="1" max="1" width="14.85546875" style="4" customWidth="1"/>
    <col min="2" max="2" width="120.85546875" style="5" customWidth="1"/>
    <col min="3" max="3" width="48.7109375" style="5" bestFit="1" customWidth="1"/>
    <col min="4" max="4" width="38.140625" style="14" bestFit="1" customWidth="1"/>
    <col min="5" max="5" width="79.140625" style="12" bestFit="1" customWidth="1"/>
    <col min="6" max="6" width="105.28515625" style="5" bestFit="1" customWidth="1"/>
    <col min="7" max="7" width="183.7109375" style="13" customWidth="1"/>
    <col min="8" max="8" width="69.28515625" style="5" bestFit="1" customWidth="1"/>
    <col min="9" max="9" width="35" style="5" bestFit="1" customWidth="1"/>
    <col min="10" max="10" width="82.7109375" style="14" bestFit="1" customWidth="1"/>
    <col min="11" max="11" width="111.28515625" style="5" customWidth="1"/>
    <col min="12" max="12" width="48.5703125" style="5" customWidth="1"/>
    <col min="13" max="13" width="65" style="5" bestFit="1" customWidth="1"/>
    <col min="14" max="14" width="106.42578125" style="5" bestFit="1" customWidth="1"/>
    <col min="15" max="15" width="85.5703125" style="15" bestFit="1" customWidth="1"/>
    <col min="16" max="16" width="58.140625" style="16" bestFit="1" customWidth="1"/>
    <col min="17" max="17" width="69.28515625" style="16" bestFit="1" customWidth="1"/>
    <col min="18" max="18" width="81.85546875" style="16" bestFit="1" customWidth="1"/>
    <col min="19" max="19" width="73.5703125" style="26" bestFit="1" customWidth="1"/>
    <col min="20" max="20" width="95.85546875" style="17" bestFit="1" customWidth="1"/>
    <col min="21" max="21" width="109.28515625" style="5" bestFit="1" customWidth="1"/>
    <col min="22" max="22" width="97" style="16" bestFit="1" customWidth="1"/>
    <col min="23" max="23" width="65" style="26" bestFit="1" customWidth="1"/>
    <col min="24" max="24" width="104.7109375" style="16" bestFit="1" customWidth="1"/>
    <col min="25" max="25" width="87.5703125" style="16" bestFit="1" customWidth="1"/>
    <col min="26" max="26" width="89.85546875" style="5" bestFit="1" customWidth="1"/>
    <col min="27" max="27" width="77.5703125" style="5" bestFit="1" customWidth="1"/>
    <col min="28" max="28" width="19.85546875" style="4" bestFit="1" customWidth="1"/>
    <col min="29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4" spans="1:27" ht="20.25" x14ac:dyDescent="0.3">
      <c r="P4" s="32"/>
      <c r="R4" s="34"/>
    </row>
    <row r="7" spans="1:27" ht="20.25" x14ac:dyDescent="0.3">
      <c r="P7" s="33"/>
    </row>
    <row r="8" spans="1:27" ht="20.25" x14ac:dyDescent="0.3">
      <c r="P8" s="33"/>
    </row>
    <row r="9" spans="1:27" ht="20.25" x14ac:dyDescent="0.3">
      <c r="P9" s="33"/>
    </row>
    <row r="10" spans="1:27" ht="20.25" x14ac:dyDescent="0.3">
      <c r="P10" s="33"/>
    </row>
    <row r="11" spans="1:27" ht="20.25" x14ac:dyDescent="0.3">
      <c r="P11" s="33"/>
    </row>
    <row r="12" spans="1:27" ht="20.25" x14ac:dyDescent="0.3">
      <c r="P12" s="33"/>
    </row>
    <row r="13" spans="1:27" ht="20.25" x14ac:dyDescent="0.3">
      <c r="P13" s="33"/>
    </row>
    <row r="14" spans="1:27" ht="20.25" x14ac:dyDescent="0.3">
      <c r="P14" s="33"/>
    </row>
    <row r="15" spans="1:27" ht="20.25" x14ac:dyDescent="0.3">
      <c r="P15" s="33"/>
    </row>
    <row r="16" spans="1:27" ht="20.25" x14ac:dyDescent="0.3">
      <c r="P16" s="33"/>
    </row>
    <row r="17" spans="1:69" ht="20.25" x14ac:dyDescent="0.3">
      <c r="P17" s="33"/>
    </row>
    <row r="18" spans="1:69" s="91" customFormat="1" ht="42" customHeight="1" x14ac:dyDescent="0.6">
      <c r="B18" s="92"/>
      <c r="C18" s="93"/>
      <c r="D18" s="93"/>
      <c r="E18" s="94"/>
      <c r="F18" s="93"/>
      <c r="G18" s="93"/>
      <c r="H18" s="93"/>
      <c r="I18" s="93"/>
      <c r="J18" s="95"/>
      <c r="K18" s="93"/>
      <c r="L18" s="93"/>
      <c r="M18" s="93"/>
      <c r="N18" s="93"/>
      <c r="O18" s="96"/>
      <c r="P18" s="97"/>
      <c r="Q18" s="97"/>
      <c r="R18" s="97"/>
      <c r="S18" s="98"/>
      <c r="T18" s="99"/>
      <c r="U18" s="93"/>
      <c r="V18" s="97"/>
      <c r="W18" s="98"/>
      <c r="X18" s="97"/>
      <c r="Y18" s="97"/>
      <c r="Z18" s="93"/>
      <c r="AA18" s="93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</row>
    <row r="19" spans="1:69" s="101" customFormat="1" ht="27" customHeight="1" x14ac:dyDescent="0.6">
      <c r="A19" s="252"/>
      <c r="B19" s="169"/>
      <c r="C19" s="168"/>
      <c r="D19" s="170"/>
      <c r="E19" s="171"/>
      <c r="F19" s="168"/>
      <c r="G19" s="172"/>
      <c r="H19" s="173"/>
      <c r="I19" s="174"/>
      <c r="J19" s="175"/>
      <c r="K19" s="169"/>
      <c r="L19" s="176"/>
      <c r="M19" s="174"/>
      <c r="N19" s="177"/>
      <c r="O19" s="178"/>
      <c r="P19" s="179"/>
      <c r="Q19" s="180"/>
      <c r="R19" s="181"/>
      <c r="S19" s="182"/>
      <c r="T19" s="183"/>
      <c r="U19" s="168"/>
      <c r="V19" s="180"/>
      <c r="W19" s="184"/>
      <c r="X19" s="181"/>
      <c r="Y19" s="181"/>
      <c r="Z19" s="171"/>
      <c r="AA19" s="253"/>
    </row>
    <row r="20" spans="1:69" s="102" customFormat="1" ht="72" customHeight="1" x14ac:dyDescent="0.6">
      <c r="A20" s="254"/>
      <c r="B20" s="227" t="s">
        <v>189</v>
      </c>
      <c r="C20" s="133"/>
      <c r="D20" s="133"/>
      <c r="E20" s="228"/>
      <c r="F20" s="133"/>
      <c r="G20" s="133"/>
      <c r="H20" s="133"/>
      <c r="I20" s="133"/>
      <c r="J20" s="229"/>
      <c r="K20" s="133"/>
      <c r="L20" s="133"/>
      <c r="M20" s="133"/>
      <c r="N20" s="133"/>
      <c r="O20" s="230"/>
      <c r="P20" s="196"/>
      <c r="Q20" s="196"/>
      <c r="R20" s="196"/>
      <c r="S20" s="231"/>
      <c r="T20" s="187"/>
      <c r="U20" s="133"/>
      <c r="V20" s="196"/>
      <c r="W20" s="231"/>
      <c r="X20" s="196"/>
      <c r="Y20" s="196"/>
      <c r="Z20" s="133"/>
      <c r="AA20" s="255"/>
    </row>
    <row r="21" spans="1:69" s="129" customFormat="1" ht="72" customHeight="1" thickBot="1" x14ac:dyDescent="0.6">
      <c r="A21" s="251"/>
      <c r="B21" s="186"/>
      <c r="C21" s="185"/>
      <c r="D21" s="187"/>
      <c r="E21" s="188"/>
      <c r="F21" s="185"/>
      <c r="G21" s="189"/>
      <c r="H21" s="190"/>
      <c r="I21" s="191"/>
      <c r="J21" s="192"/>
      <c r="K21" s="186"/>
      <c r="L21" s="193"/>
      <c r="M21" s="191"/>
      <c r="N21" s="194"/>
      <c r="O21" s="195"/>
      <c r="P21" s="196"/>
      <c r="Q21" s="197"/>
      <c r="R21" s="198"/>
      <c r="S21" s="199"/>
      <c r="T21" s="200"/>
      <c r="U21" s="185"/>
      <c r="V21" s="197"/>
      <c r="W21" s="201"/>
      <c r="X21" s="198"/>
      <c r="Y21" s="198"/>
      <c r="Z21" s="188"/>
      <c r="AA21" s="256"/>
    </row>
    <row r="22" spans="1:69" s="93" customFormat="1" ht="72" customHeight="1" x14ac:dyDescent="0.55000000000000004">
      <c r="A22" s="114">
        <v>1</v>
      </c>
      <c r="B22" s="115">
        <v>2</v>
      </c>
      <c r="C22" s="115">
        <v>3</v>
      </c>
      <c r="D22" s="116">
        <v>4</v>
      </c>
      <c r="E22" s="115">
        <v>5</v>
      </c>
      <c r="F22" s="115">
        <v>6</v>
      </c>
      <c r="G22" s="117">
        <v>7</v>
      </c>
      <c r="H22" s="115">
        <v>8</v>
      </c>
      <c r="I22" s="115">
        <v>9</v>
      </c>
      <c r="J22" s="115">
        <v>10</v>
      </c>
      <c r="K22" s="115">
        <v>11</v>
      </c>
      <c r="L22" s="115">
        <v>12</v>
      </c>
      <c r="M22" s="115">
        <v>13</v>
      </c>
      <c r="N22" s="115">
        <v>14</v>
      </c>
      <c r="O22" s="115">
        <v>15</v>
      </c>
      <c r="P22" s="115">
        <v>16</v>
      </c>
      <c r="Q22" s="115">
        <v>17</v>
      </c>
      <c r="R22" s="115">
        <v>18</v>
      </c>
      <c r="S22" s="115">
        <v>19</v>
      </c>
      <c r="T22" s="115">
        <v>20</v>
      </c>
      <c r="U22" s="115">
        <v>21</v>
      </c>
      <c r="V22" s="115">
        <v>22</v>
      </c>
      <c r="W22" s="115">
        <v>23</v>
      </c>
      <c r="X22" s="115">
        <v>24</v>
      </c>
      <c r="Y22" s="115">
        <v>25</v>
      </c>
      <c r="Z22" s="115">
        <v>26</v>
      </c>
      <c r="AA22" s="118">
        <v>27</v>
      </c>
    </row>
    <row r="23" spans="1:69" s="93" customFormat="1" ht="72" customHeight="1" thickBot="1" x14ac:dyDescent="0.6">
      <c r="A23" s="119" t="s">
        <v>0</v>
      </c>
      <c r="B23" s="120" t="s">
        <v>1</v>
      </c>
      <c r="C23" s="121" t="s">
        <v>2</v>
      </c>
      <c r="D23" s="122" t="s">
        <v>3</v>
      </c>
      <c r="E23" s="123" t="s">
        <v>4</v>
      </c>
      <c r="F23" s="120" t="s">
        <v>5</v>
      </c>
      <c r="G23" s="124" t="s">
        <v>6</v>
      </c>
      <c r="H23" s="121" t="s">
        <v>7</v>
      </c>
      <c r="I23" s="121" t="s">
        <v>8</v>
      </c>
      <c r="J23" s="122" t="s">
        <v>9</v>
      </c>
      <c r="K23" s="120" t="s">
        <v>10</v>
      </c>
      <c r="L23" s="120" t="s">
        <v>11</v>
      </c>
      <c r="M23" s="121" t="s">
        <v>12</v>
      </c>
      <c r="N23" s="121" t="s">
        <v>13</v>
      </c>
      <c r="O23" s="125" t="s">
        <v>14</v>
      </c>
      <c r="P23" s="126" t="s">
        <v>29</v>
      </c>
      <c r="Q23" s="126" t="s">
        <v>37</v>
      </c>
      <c r="R23" s="126" t="s">
        <v>15</v>
      </c>
      <c r="S23" s="127" t="s">
        <v>16</v>
      </c>
      <c r="T23" s="122" t="s">
        <v>17</v>
      </c>
      <c r="U23" s="121" t="s">
        <v>18</v>
      </c>
      <c r="V23" s="126" t="s">
        <v>19</v>
      </c>
      <c r="W23" s="127" t="s">
        <v>30</v>
      </c>
      <c r="X23" s="126" t="s">
        <v>21</v>
      </c>
      <c r="Y23" s="126" t="s">
        <v>22</v>
      </c>
      <c r="Z23" s="121" t="s">
        <v>24</v>
      </c>
      <c r="AA23" s="128" t="s">
        <v>23</v>
      </c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</row>
    <row r="24" spans="1:69" s="93" customFormat="1" ht="72" customHeight="1" x14ac:dyDescent="0.55000000000000004">
      <c r="A24" s="233">
        <v>1</v>
      </c>
      <c r="B24" s="235" t="s">
        <v>175</v>
      </c>
      <c r="C24" s="257" t="s">
        <v>177</v>
      </c>
      <c r="D24" s="258">
        <v>41681</v>
      </c>
      <c r="E24" s="259" t="s">
        <v>179</v>
      </c>
      <c r="F24" s="234" t="s">
        <v>150</v>
      </c>
      <c r="G24" s="234" t="s">
        <v>181</v>
      </c>
      <c r="H24" s="234" t="s">
        <v>34</v>
      </c>
      <c r="I24" s="234">
        <v>27090000</v>
      </c>
      <c r="J24" s="236">
        <v>41496</v>
      </c>
      <c r="K24" s="235" t="s">
        <v>182</v>
      </c>
      <c r="L24" s="235" t="s">
        <v>32</v>
      </c>
      <c r="M24" s="234" t="s">
        <v>184</v>
      </c>
      <c r="N24" s="234" t="s">
        <v>185</v>
      </c>
      <c r="O24" s="237">
        <v>55000</v>
      </c>
      <c r="P24" s="260">
        <f>O24*S24</f>
        <v>6227980</v>
      </c>
      <c r="Q24" s="238">
        <f>P24*W24</f>
        <v>966955657.4669435</v>
      </c>
      <c r="R24" s="238" t="s">
        <v>25</v>
      </c>
      <c r="S24" s="261">
        <v>113.236</v>
      </c>
      <c r="T24" s="236">
        <f>J24+90</f>
        <v>41586</v>
      </c>
      <c r="U24" s="262" t="s">
        <v>150</v>
      </c>
      <c r="V24" s="238">
        <f>P24*0.12%</f>
        <v>7473.5759999999991</v>
      </c>
      <c r="W24" s="263">
        <v>155.25991693405302</v>
      </c>
      <c r="X24" s="264">
        <f>V24*W24</f>
        <v>1160346.7889603321</v>
      </c>
      <c r="Y24" s="238">
        <v>1160347.4099999999</v>
      </c>
      <c r="Z24" s="265" t="s">
        <v>187</v>
      </c>
      <c r="AA24" s="266">
        <v>41593</v>
      </c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</row>
    <row r="25" spans="1:69" s="93" customFormat="1" ht="74.25" customHeight="1" x14ac:dyDescent="0.55000000000000004">
      <c r="A25" s="239">
        <v>2</v>
      </c>
      <c r="B25" s="130" t="s">
        <v>176</v>
      </c>
      <c r="C25" s="245" t="s">
        <v>178</v>
      </c>
      <c r="D25" s="246">
        <v>41694</v>
      </c>
      <c r="E25" s="247" t="s">
        <v>180</v>
      </c>
      <c r="F25" s="131" t="s">
        <v>41</v>
      </c>
      <c r="G25" s="131" t="s">
        <v>35</v>
      </c>
      <c r="H25" s="131" t="s">
        <v>33</v>
      </c>
      <c r="I25" s="131">
        <v>27090000</v>
      </c>
      <c r="J25" s="132">
        <v>41517</v>
      </c>
      <c r="K25" s="130" t="s">
        <v>183</v>
      </c>
      <c r="L25" s="130" t="s">
        <v>31</v>
      </c>
      <c r="M25" s="131" t="s">
        <v>44</v>
      </c>
      <c r="N25" s="131" t="s">
        <v>186</v>
      </c>
      <c r="O25" s="248">
        <v>949888</v>
      </c>
      <c r="P25" s="150">
        <f t="shared" ref="P25:P28" si="0">O25*S25</f>
        <v>107277501.06</v>
      </c>
      <c r="Q25" s="137">
        <f t="shared" ref="Q25:Q26" si="1">P25*W25</f>
        <v>16876639000.756657</v>
      </c>
      <c r="R25" s="137" t="s">
        <v>25</v>
      </c>
      <c r="S25" s="249">
        <v>112.93700000421103</v>
      </c>
      <c r="T25" s="136">
        <f t="shared" ref="T25:T36" si="2">J25+90</f>
        <v>41607</v>
      </c>
      <c r="U25" s="250" t="s">
        <v>61</v>
      </c>
      <c r="V25" s="137">
        <f t="shared" ref="V25:V36" si="3">P25*0.12%</f>
        <v>128733.00127199999</v>
      </c>
      <c r="W25" s="209">
        <v>157.3176</v>
      </c>
      <c r="X25" s="138">
        <f t="shared" ref="X25:X36" si="4">V25*W25</f>
        <v>20251966.800907984</v>
      </c>
      <c r="Y25" s="240">
        <v>20251966.800000001</v>
      </c>
      <c r="Z25" s="210" t="s">
        <v>188</v>
      </c>
      <c r="AA25" s="244">
        <v>41593</v>
      </c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</row>
    <row r="26" spans="1:69" s="93" customFormat="1" ht="89.25" customHeight="1" x14ac:dyDescent="0.55000000000000004">
      <c r="A26" s="239">
        <v>3</v>
      </c>
      <c r="B26" s="130" t="s">
        <v>209</v>
      </c>
      <c r="C26" s="145" t="s">
        <v>194</v>
      </c>
      <c r="D26" s="246">
        <v>41694</v>
      </c>
      <c r="E26" s="153" t="s">
        <v>199</v>
      </c>
      <c r="F26" s="131" t="s">
        <v>41</v>
      </c>
      <c r="G26" s="131" t="s">
        <v>35</v>
      </c>
      <c r="H26" s="131" t="s">
        <v>33</v>
      </c>
      <c r="I26" s="131">
        <v>27090000</v>
      </c>
      <c r="J26" s="132">
        <v>41580</v>
      </c>
      <c r="K26" s="130" t="s">
        <v>190</v>
      </c>
      <c r="L26" s="130" t="s">
        <v>31</v>
      </c>
      <c r="M26" s="131" t="s">
        <v>44</v>
      </c>
      <c r="N26" s="131" t="s">
        <v>186</v>
      </c>
      <c r="O26" s="248">
        <v>949725</v>
      </c>
      <c r="P26" s="150">
        <f t="shared" si="0"/>
        <v>103619081.31999999</v>
      </c>
      <c r="Q26" s="137">
        <f t="shared" si="1"/>
        <v>16305291398.35256</v>
      </c>
      <c r="R26" s="137" t="s">
        <v>25</v>
      </c>
      <c r="S26" s="249">
        <v>109.10430000263233</v>
      </c>
      <c r="T26" s="136">
        <f t="shared" si="2"/>
        <v>41670</v>
      </c>
      <c r="U26" s="250" t="s">
        <v>89</v>
      </c>
      <c r="V26" s="137">
        <f t="shared" si="3"/>
        <v>124342.89758399998</v>
      </c>
      <c r="W26" s="209">
        <v>157.358</v>
      </c>
      <c r="X26" s="138">
        <f t="shared" si="4"/>
        <v>19566349.67802307</v>
      </c>
      <c r="Y26" s="137">
        <v>19566349.68</v>
      </c>
      <c r="Z26" s="210" t="s">
        <v>204</v>
      </c>
      <c r="AA26" s="244">
        <v>41670</v>
      </c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</row>
    <row r="27" spans="1:69" s="93" customFormat="1" ht="72" customHeight="1" x14ac:dyDescent="0.55000000000000004">
      <c r="A27" s="239">
        <v>4</v>
      </c>
      <c r="B27" s="130" t="s">
        <v>210</v>
      </c>
      <c r="C27" s="145" t="s">
        <v>195</v>
      </c>
      <c r="D27" s="246">
        <v>41694</v>
      </c>
      <c r="E27" s="153" t="s">
        <v>200</v>
      </c>
      <c r="F27" s="131" t="s">
        <v>41</v>
      </c>
      <c r="G27" s="131" t="s">
        <v>35</v>
      </c>
      <c r="H27" s="131" t="s">
        <v>33</v>
      </c>
      <c r="I27" s="131">
        <v>27090000</v>
      </c>
      <c r="J27" s="132">
        <v>41587</v>
      </c>
      <c r="K27" s="130" t="s">
        <v>191</v>
      </c>
      <c r="L27" s="130" t="s">
        <v>31</v>
      </c>
      <c r="M27" s="131" t="s">
        <v>44</v>
      </c>
      <c r="N27" s="131" t="s">
        <v>186</v>
      </c>
      <c r="O27" s="248">
        <v>949668</v>
      </c>
      <c r="P27" s="150">
        <f t="shared" si="0"/>
        <v>103627107.39</v>
      </c>
      <c r="Q27" s="137">
        <f t="shared" ref="Q27:Q35" si="5">P27*W27</f>
        <v>16306554364.675621</v>
      </c>
      <c r="R27" s="137" t="s">
        <v>25</v>
      </c>
      <c r="S27" s="249">
        <v>109.11929999747281</v>
      </c>
      <c r="T27" s="136">
        <f t="shared" si="2"/>
        <v>41677</v>
      </c>
      <c r="U27" s="250" t="s">
        <v>89</v>
      </c>
      <c r="V27" s="137">
        <f t="shared" si="3"/>
        <v>124352.52886799999</v>
      </c>
      <c r="W27" s="209">
        <v>157.358</v>
      </c>
      <c r="X27" s="138">
        <f t="shared" si="4"/>
        <v>19567865.237610742</v>
      </c>
      <c r="Y27" s="137">
        <v>19567865.239999998</v>
      </c>
      <c r="Z27" s="210" t="s">
        <v>205</v>
      </c>
      <c r="AA27" s="244">
        <v>41670</v>
      </c>
    </row>
    <row r="28" spans="1:69" s="92" customFormat="1" ht="72" customHeight="1" x14ac:dyDescent="0.6">
      <c r="A28" s="239">
        <v>5</v>
      </c>
      <c r="B28" s="130" t="s">
        <v>211</v>
      </c>
      <c r="C28" s="145" t="s">
        <v>196</v>
      </c>
      <c r="D28" s="246">
        <v>41694</v>
      </c>
      <c r="E28" s="153" t="s">
        <v>201</v>
      </c>
      <c r="F28" s="131" t="s">
        <v>41</v>
      </c>
      <c r="G28" s="131" t="s">
        <v>35</v>
      </c>
      <c r="H28" s="131" t="s">
        <v>33</v>
      </c>
      <c r="I28" s="131">
        <v>27090000</v>
      </c>
      <c r="J28" s="132">
        <v>41591</v>
      </c>
      <c r="K28" s="130" t="s">
        <v>192</v>
      </c>
      <c r="L28" s="130" t="s">
        <v>31</v>
      </c>
      <c r="M28" s="131" t="s">
        <v>44</v>
      </c>
      <c r="N28" s="131" t="s">
        <v>54</v>
      </c>
      <c r="O28" s="248">
        <v>997298</v>
      </c>
      <c r="P28" s="150">
        <f t="shared" si="0"/>
        <v>108833435.33</v>
      </c>
      <c r="Q28" s="137">
        <f t="shared" si="5"/>
        <v>17125811716.65814</v>
      </c>
      <c r="R28" s="137" t="s">
        <v>25</v>
      </c>
      <c r="S28" s="249">
        <v>109.12829999659078</v>
      </c>
      <c r="T28" s="136">
        <f t="shared" si="2"/>
        <v>41681</v>
      </c>
      <c r="U28" s="131" t="s">
        <v>89</v>
      </c>
      <c r="V28" s="137">
        <f t="shared" si="3"/>
        <v>130600.12239599999</v>
      </c>
      <c r="W28" s="209">
        <v>157.358</v>
      </c>
      <c r="X28" s="138">
        <f t="shared" si="4"/>
        <v>20550974.059989769</v>
      </c>
      <c r="Y28" s="137">
        <v>20550974.059999999</v>
      </c>
      <c r="Z28" s="210" t="s">
        <v>206</v>
      </c>
      <c r="AA28" s="244">
        <v>41670</v>
      </c>
    </row>
    <row r="29" spans="1:69" s="92" customFormat="1" ht="72" customHeight="1" x14ac:dyDescent="0.6">
      <c r="A29" s="359">
        <v>6</v>
      </c>
      <c r="B29" s="130" t="s">
        <v>212</v>
      </c>
      <c r="C29" s="357" t="s">
        <v>197</v>
      </c>
      <c r="D29" s="246">
        <v>41694</v>
      </c>
      <c r="E29" s="358" t="s">
        <v>202</v>
      </c>
      <c r="F29" s="131" t="s">
        <v>41</v>
      </c>
      <c r="G29" s="131" t="s">
        <v>35</v>
      </c>
      <c r="H29" s="131" t="s">
        <v>33</v>
      </c>
      <c r="I29" s="131">
        <v>27090000</v>
      </c>
      <c r="J29" s="132">
        <v>41602</v>
      </c>
      <c r="K29" s="130" t="s">
        <v>193</v>
      </c>
      <c r="L29" s="130" t="s">
        <v>31</v>
      </c>
      <c r="M29" s="131" t="s">
        <v>44</v>
      </c>
      <c r="N29" s="131" t="s">
        <v>54</v>
      </c>
      <c r="O29" s="248">
        <v>950180</v>
      </c>
      <c r="P29" s="150">
        <f t="shared" ref="P29:P35" si="6">O29*S29</f>
        <v>103668723.77</v>
      </c>
      <c r="Q29" s="137">
        <f t="shared" si="5"/>
        <v>16313103034.99966</v>
      </c>
      <c r="R29" s="137" t="s">
        <v>25</v>
      </c>
      <c r="S29" s="249">
        <v>109.10429999579027</v>
      </c>
      <c r="T29" s="136">
        <f t="shared" si="2"/>
        <v>41692</v>
      </c>
      <c r="U29" s="250" t="s">
        <v>89</v>
      </c>
      <c r="V29" s="137">
        <f t="shared" si="3"/>
        <v>124402.46852399998</v>
      </c>
      <c r="W29" s="209">
        <v>157.358</v>
      </c>
      <c r="X29" s="138">
        <f t="shared" si="4"/>
        <v>19575723.641999591</v>
      </c>
      <c r="Y29" s="137">
        <v>19575723.640000001</v>
      </c>
      <c r="Z29" s="210" t="s">
        <v>207</v>
      </c>
      <c r="AA29" s="244">
        <v>41670</v>
      </c>
    </row>
    <row r="30" spans="1:69" s="91" customFormat="1" ht="72" customHeight="1" x14ac:dyDescent="0.55000000000000004">
      <c r="A30" s="359">
        <v>7</v>
      </c>
      <c r="B30" s="130" t="s">
        <v>213</v>
      </c>
      <c r="C30" s="357" t="s">
        <v>198</v>
      </c>
      <c r="D30" s="246">
        <v>41694</v>
      </c>
      <c r="E30" s="358" t="s">
        <v>203</v>
      </c>
      <c r="F30" s="131" t="s">
        <v>41</v>
      </c>
      <c r="G30" s="131" t="s">
        <v>35</v>
      </c>
      <c r="H30" s="131" t="s">
        <v>33</v>
      </c>
      <c r="I30" s="131">
        <v>27090000</v>
      </c>
      <c r="J30" s="132">
        <v>41603</v>
      </c>
      <c r="K30" s="130" t="s">
        <v>193</v>
      </c>
      <c r="L30" s="130" t="s">
        <v>31</v>
      </c>
      <c r="M30" s="131" t="s">
        <v>44</v>
      </c>
      <c r="N30" s="131" t="s">
        <v>54</v>
      </c>
      <c r="O30" s="248">
        <v>950671</v>
      </c>
      <c r="P30" s="150">
        <f t="shared" si="6"/>
        <v>103733702.04000001</v>
      </c>
      <c r="Q30" s="137">
        <f t="shared" si="5"/>
        <v>16323327885.610321</v>
      </c>
      <c r="R30" s="137" t="s">
        <v>25</v>
      </c>
      <c r="S30" s="249">
        <v>109.11630000284011</v>
      </c>
      <c r="T30" s="136">
        <f t="shared" si="2"/>
        <v>41693</v>
      </c>
      <c r="U30" s="250" t="s">
        <v>89</v>
      </c>
      <c r="V30" s="137">
        <f t="shared" si="3"/>
        <v>124480.442448</v>
      </c>
      <c r="W30" s="209">
        <v>157.358</v>
      </c>
      <c r="X30" s="138">
        <f t="shared" si="4"/>
        <v>19587993.462732386</v>
      </c>
      <c r="Y30" s="137">
        <v>19587993.460000001</v>
      </c>
      <c r="Z30" s="210" t="s">
        <v>208</v>
      </c>
      <c r="AA30" s="244">
        <v>41670</v>
      </c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</row>
    <row r="31" spans="1:69" s="93" customFormat="1" ht="72" customHeight="1" x14ac:dyDescent="0.55000000000000004">
      <c r="A31" s="359">
        <v>8</v>
      </c>
      <c r="B31" s="130" t="s">
        <v>62</v>
      </c>
      <c r="C31" s="357" t="s">
        <v>214</v>
      </c>
      <c r="D31" s="246">
        <v>41701</v>
      </c>
      <c r="E31" s="358" t="s">
        <v>221</v>
      </c>
      <c r="F31" s="131" t="s">
        <v>53</v>
      </c>
      <c r="G31" s="131" t="s">
        <v>38</v>
      </c>
      <c r="H31" s="131" t="s">
        <v>34</v>
      </c>
      <c r="I31" s="131">
        <v>27090000</v>
      </c>
      <c r="J31" s="132">
        <v>41645</v>
      </c>
      <c r="K31" s="130" t="s">
        <v>75</v>
      </c>
      <c r="L31" s="130" t="s">
        <v>32</v>
      </c>
      <c r="M31" s="131" t="s">
        <v>45</v>
      </c>
      <c r="N31" s="131" t="s">
        <v>42</v>
      </c>
      <c r="O31" s="248">
        <v>300000</v>
      </c>
      <c r="P31" s="150">
        <f t="shared" si="6"/>
        <v>32657100</v>
      </c>
      <c r="Q31" s="137">
        <f t="shared" si="5"/>
        <v>5086343325</v>
      </c>
      <c r="R31" s="137" t="s">
        <v>25</v>
      </c>
      <c r="S31" s="249">
        <v>108.857</v>
      </c>
      <c r="T31" s="136">
        <f t="shared" si="2"/>
        <v>41735</v>
      </c>
      <c r="U31" s="131" t="s">
        <v>40</v>
      </c>
      <c r="V31" s="137">
        <f t="shared" si="3"/>
        <v>39188.519999999997</v>
      </c>
      <c r="W31" s="209">
        <v>155.75</v>
      </c>
      <c r="X31" s="138">
        <f t="shared" si="4"/>
        <v>6103611.9899999993</v>
      </c>
      <c r="Y31" s="361" t="s">
        <v>40</v>
      </c>
      <c r="Z31" s="210" t="s">
        <v>40</v>
      </c>
      <c r="AA31" s="244" t="s">
        <v>40</v>
      </c>
    </row>
    <row r="32" spans="1:69" s="102" customFormat="1" ht="72" customHeight="1" x14ac:dyDescent="0.55000000000000004">
      <c r="A32" s="359">
        <v>9</v>
      </c>
      <c r="B32" s="130" t="s">
        <v>63</v>
      </c>
      <c r="C32" s="357" t="s">
        <v>215</v>
      </c>
      <c r="D32" s="246">
        <v>41701</v>
      </c>
      <c r="E32" s="358" t="s">
        <v>222</v>
      </c>
      <c r="F32" s="131" t="s">
        <v>53</v>
      </c>
      <c r="G32" s="131" t="s">
        <v>38</v>
      </c>
      <c r="H32" s="131" t="s">
        <v>34</v>
      </c>
      <c r="I32" s="131">
        <v>27090000</v>
      </c>
      <c r="J32" s="132">
        <v>41645</v>
      </c>
      <c r="K32" s="130" t="s">
        <v>75</v>
      </c>
      <c r="L32" s="130" t="s">
        <v>32</v>
      </c>
      <c r="M32" s="131" t="s">
        <v>45</v>
      </c>
      <c r="N32" s="131" t="s">
        <v>42</v>
      </c>
      <c r="O32" s="248">
        <v>953678</v>
      </c>
      <c r="P32" s="150">
        <f t="shared" si="6"/>
        <v>103814526.046</v>
      </c>
      <c r="Q32" s="137">
        <f t="shared" si="5"/>
        <v>16169112431.664501</v>
      </c>
      <c r="R32" s="137" t="s">
        <v>25</v>
      </c>
      <c r="S32" s="249">
        <v>108.857</v>
      </c>
      <c r="T32" s="136">
        <f t="shared" si="2"/>
        <v>41735</v>
      </c>
      <c r="U32" s="131" t="s">
        <v>40</v>
      </c>
      <c r="V32" s="137">
        <f t="shared" si="3"/>
        <v>124577.43125519999</v>
      </c>
      <c r="W32" s="209">
        <v>155.75</v>
      </c>
      <c r="X32" s="138">
        <f t="shared" si="4"/>
        <v>19402934.917997397</v>
      </c>
      <c r="Y32" s="361" t="s">
        <v>40</v>
      </c>
      <c r="Z32" s="210" t="s">
        <v>40</v>
      </c>
      <c r="AA32" s="244" t="s">
        <v>40</v>
      </c>
    </row>
    <row r="33" spans="1:69" s="129" customFormat="1" ht="72" customHeight="1" x14ac:dyDescent="0.55000000000000004">
      <c r="A33" s="359">
        <v>10</v>
      </c>
      <c r="B33" s="130" t="s">
        <v>64</v>
      </c>
      <c r="C33" s="245" t="s">
        <v>216</v>
      </c>
      <c r="D33" s="246">
        <v>41701</v>
      </c>
      <c r="E33" s="153" t="s">
        <v>223</v>
      </c>
      <c r="F33" s="131" t="s">
        <v>53</v>
      </c>
      <c r="G33" s="131" t="s">
        <v>38</v>
      </c>
      <c r="H33" s="131" t="s">
        <v>34</v>
      </c>
      <c r="I33" s="131">
        <v>27090000</v>
      </c>
      <c r="J33" s="132">
        <v>41653</v>
      </c>
      <c r="K33" s="130" t="s">
        <v>76</v>
      </c>
      <c r="L33" s="130" t="s">
        <v>32</v>
      </c>
      <c r="M33" s="131" t="s">
        <v>50</v>
      </c>
      <c r="N33" s="131" t="s">
        <v>86</v>
      </c>
      <c r="O33" s="248">
        <v>948282</v>
      </c>
      <c r="P33" s="150">
        <f t="shared" si="6"/>
        <v>104343261.588</v>
      </c>
      <c r="Q33" s="137">
        <f t="shared" si="5"/>
        <v>16251462992.330999</v>
      </c>
      <c r="R33" s="137" t="s">
        <v>25</v>
      </c>
      <c r="S33" s="249">
        <v>110.03400000000001</v>
      </c>
      <c r="T33" s="136">
        <f t="shared" si="2"/>
        <v>41743</v>
      </c>
      <c r="U33" s="131" t="s">
        <v>40</v>
      </c>
      <c r="V33" s="137">
        <f t="shared" si="3"/>
        <v>125211.91390559998</v>
      </c>
      <c r="W33" s="209">
        <v>155.75</v>
      </c>
      <c r="X33" s="138">
        <f t="shared" si="4"/>
        <v>19501755.590797197</v>
      </c>
      <c r="Y33" s="137" t="s">
        <v>40</v>
      </c>
      <c r="Z33" s="210" t="s">
        <v>40</v>
      </c>
      <c r="AA33" s="244" t="s">
        <v>40</v>
      </c>
    </row>
    <row r="34" spans="1:69" s="93" customFormat="1" ht="81.75" customHeight="1" x14ac:dyDescent="0.55000000000000004">
      <c r="A34" s="376">
        <v>11</v>
      </c>
      <c r="B34" s="130" t="s">
        <v>65</v>
      </c>
      <c r="C34" s="370" t="s">
        <v>217</v>
      </c>
      <c r="D34" s="246">
        <v>41702</v>
      </c>
      <c r="E34" s="373" t="s">
        <v>71</v>
      </c>
      <c r="F34" s="131" t="s">
        <v>41</v>
      </c>
      <c r="G34" s="131" t="s">
        <v>73</v>
      </c>
      <c r="H34" s="131" t="s">
        <v>34</v>
      </c>
      <c r="I34" s="131">
        <v>27090000</v>
      </c>
      <c r="J34" s="132">
        <v>41657</v>
      </c>
      <c r="K34" s="130" t="s">
        <v>77</v>
      </c>
      <c r="L34" s="130" t="s">
        <v>32</v>
      </c>
      <c r="M34" s="131" t="s">
        <v>43</v>
      </c>
      <c r="N34" s="131" t="s">
        <v>55</v>
      </c>
      <c r="O34" s="248">
        <v>500000</v>
      </c>
      <c r="P34" s="150">
        <f t="shared" si="6"/>
        <v>54844299.99837859</v>
      </c>
      <c r="Q34" s="137">
        <f t="shared" si="5"/>
        <v>8541999724.7474651</v>
      </c>
      <c r="R34" s="137" t="s">
        <v>25</v>
      </c>
      <c r="S34" s="249">
        <v>109.68859999675718</v>
      </c>
      <c r="T34" s="136">
        <f t="shared" si="2"/>
        <v>41747</v>
      </c>
      <c r="U34" s="250" t="s">
        <v>41</v>
      </c>
      <c r="V34" s="137">
        <f t="shared" si="3"/>
        <v>65813.159998054296</v>
      </c>
      <c r="W34" s="209">
        <v>155.75</v>
      </c>
      <c r="X34" s="138">
        <f t="shared" si="4"/>
        <v>10250399.669696957</v>
      </c>
      <c r="Y34" s="379">
        <v>21494452.579999998</v>
      </c>
      <c r="Z34" s="210" t="s">
        <v>227</v>
      </c>
      <c r="AA34" s="244">
        <v>41695</v>
      </c>
      <c r="AB34" s="154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</row>
    <row r="35" spans="1:69" s="93" customFormat="1" ht="84.75" customHeight="1" x14ac:dyDescent="0.55000000000000004">
      <c r="A35" s="377"/>
      <c r="B35" s="130" t="s">
        <v>66</v>
      </c>
      <c r="C35" s="371"/>
      <c r="D35" s="246">
        <v>41702</v>
      </c>
      <c r="E35" s="374"/>
      <c r="F35" s="131" t="s">
        <v>41</v>
      </c>
      <c r="G35" s="131" t="s">
        <v>73</v>
      </c>
      <c r="H35" s="131" t="s">
        <v>34</v>
      </c>
      <c r="I35" s="131">
        <v>27090000</v>
      </c>
      <c r="J35" s="132">
        <v>41657</v>
      </c>
      <c r="K35" s="130" t="s">
        <v>77</v>
      </c>
      <c r="L35" s="130" t="s">
        <v>32</v>
      </c>
      <c r="M35" s="131" t="s">
        <v>43</v>
      </c>
      <c r="N35" s="131" t="s">
        <v>55</v>
      </c>
      <c r="O35" s="248">
        <v>310000</v>
      </c>
      <c r="P35" s="150">
        <f t="shared" si="6"/>
        <v>34003465.998994723</v>
      </c>
      <c r="Q35" s="137">
        <f t="shared" si="5"/>
        <v>5296039829.3434277</v>
      </c>
      <c r="R35" s="137" t="s">
        <v>25</v>
      </c>
      <c r="S35" s="249">
        <v>109.68859999675718</v>
      </c>
      <c r="T35" s="136">
        <f t="shared" si="2"/>
        <v>41747</v>
      </c>
      <c r="U35" s="250" t="s">
        <v>41</v>
      </c>
      <c r="V35" s="137">
        <f t="shared" si="3"/>
        <v>40804.159198793663</v>
      </c>
      <c r="W35" s="209">
        <v>155.75</v>
      </c>
      <c r="X35" s="138">
        <f t="shared" si="4"/>
        <v>6355247.7952121133</v>
      </c>
      <c r="Y35" s="380"/>
      <c r="Z35" s="210" t="s">
        <v>227</v>
      </c>
      <c r="AA35" s="244">
        <v>41695</v>
      </c>
      <c r="AB35" s="154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</row>
    <row r="36" spans="1:69" s="93" customFormat="1" ht="92.25" customHeight="1" x14ac:dyDescent="0.55000000000000004">
      <c r="A36" s="378"/>
      <c r="B36" s="202" t="s">
        <v>67</v>
      </c>
      <c r="C36" s="372"/>
      <c r="D36" s="203">
        <v>41702</v>
      </c>
      <c r="E36" s="375"/>
      <c r="F36" s="241" t="s">
        <v>41</v>
      </c>
      <c r="G36" s="204" t="s">
        <v>73</v>
      </c>
      <c r="H36" s="205" t="s">
        <v>34</v>
      </c>
      <c r="I36" s="131">
        <v>27090000</v>
      </c>
      <c r="J36" s="242">
        <v>41657</v>
      </c>
      <c r="K36" s="130" t="s">
        <v>77</v>
      </c>
      <c r="L36" s="206" t="s">
        <v>32</v>
      </c>
      <c r="M36" s="131" t="s">
        <v>43</v>
      </c>
      <c r="N36" s="205" t="s">
        <v>55</v>
      </c>
      <c r="O36" s="207">
        <v>238469</v>
      </c>
      <c r="P36" s="243">
        <f>O36*S36</f>
        <v>26157330.752626687</v>
      </c>
      <c r="Q36" s="240">
        <f t="shared" ref="Q36" si="7">P36*W36</f>
        <v>4074004264.7216067</v>
      </c>
      <c r="R36" s="208" t="s">
        <v>25</v>
      </c>
      <c r="S36" s="209">
        <v>109.68859999675718</v>
      </c>
      <c r="T36" s="136">
        <f t="shared" si="2"/>
        <v>41747</v>
      </c>
      <c r="U36" s="250" t="s">
        <v>41</v>
      </c>
      <c r="V36" s="137">
        <f t="shared" si="3"/>
        <v>31388.796903152022</v>
      </c>
      <c r="W36" s="209">
        <v>155.75</v>
      </c>
      <c r="X36" s="138">
        <f t="shared" si="4"/>
        <v>4888805.1176659279</v>
      </c>
      <c r="Y36" s="381"/>
      <c r="Z36" s="210" t="s">
        <v>227</v>
      </c>
      <c r="AA36" s="244">
        <v>41695</v>
      </c>
      <c r="AB36" s="154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</row>
    <row r="37" spans="1:69" s="93" customFormat="1" ht="92.25" customHeight="1" x14ac:dyDescent="0.55000000000000004">
      <c r="A37" s="239">
        <v>12</v>
      </c>
      <c r="B37" s="143" t="s">
        <v>68</v>
      </c>
      <c r="C37" s="143" t="s">
        <v>218</v>
      </c>
      <c r="D37" s="139">
        <v>41701</v>
      </c>
      <c r="E37" s="153" t="s">
        <v>224</v>
      </c>
      <c r="F37" s="152" t="s">
        <v>53</v>
      </c>
      <c r="G37" s="159" t="s">
        <v>38</v>
      </c>
      <c r="H37" s="145" t="s">
        <v>34</v>
      </c>
      <c r="I37" s="131">
        <v>27090000</v>
      </c>
      <c r="J37" s="146">
        <v>41661</v>
      </c>
      <c r="K37" s="143" t="s">
        <v>59</v>
      </c>
      <c r="L37" s="147" t="s">
        <v>32</v>
      </c>
      <c r="M37" s="145" t="s">
        <v>58</v>
      </c>
      <c r="N37" s="148" t="s">
        <v>87</v>
      </c>
      <c r="O37" s="149">
        <v>448143</v>
      </c>
      <c r="P37" s="150">
        <f>O37*S37</f>
        <v>50040095.523000002</v>
      </c>
      <c r="Q37" s="137">
        <f>P37*W37</f>
        <v>7793744877.7072506</v>
      </c>
      <c r="R37" s="141" t="s">
        <v>25</v>
      </c>
      <c r="S37" s="140">
        <v>111.661</v>
      </c>
      <c r="T37" s="151">
        <f>J37+90</f>
        <v>41751</v>
      </c>
      <c r="U37" s="250" t="s">
        <v>40</v>
      </c>
      <c r="V37" s="137">
        <f>P37*0.12%</f>
        <v>60048.1146276</v>
      </c>
      <c r="W37" s="209">
        <v>155.75</v>
      </c>
      <c r="X37" s="141">
        <f>V37*W37</f>
        <v>9352493.8532487005</v>
      </c>
      <c r="Y37" s="240" t="s">
        <v>40</v>
      </c>
      <c r="Z37" s="210" t="s">
        <v>40</v>
      </c>
      <c r="AA37" s="244" t="s">
        <v>40</v>
      </c>
      <c r="AB37" s="154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</row>
    <row r="38" spans="1:69" s="93" customFormat="1" ht="92.25" customHeight="1" x14ac:dyDescent="0.55000000000000004">
      <c r="A38" s="239">
        <v>13</v>
      </c>
      <c r="B38" s="135" t="s">
        <v>69</v>
      </c>
      <c r="C38" s="157" t="s">
        <v>219</v>
      </c>
      <c r="D38" s="139">
        <v>41701</v>
      </c>
      <c r="E38" s="157" t="s">
        <v>225</v>
      </c>
      <c r="F38" s="157" t="s">
        <v>53</v>
      </c>
      <c r="G38" s="144" t="s">
        <v>38</v>
      </c>
      <c r="H38" s="135" t="s">
        <v>33</v>
      </c>
      <c r="I38" s="131">
        <v>27090000</v>
      </c>
      <c r="J38" s="136">
        <v>41662</v>
      </c>
      <c r="K38" s="134" t="s">
        <v>78</v>
      </c>
      <c r="L38" s="134" t="s">
        <v>31</v>
      </c>
      <c r="M38" s="135" t="s">
        <v>36</v>
      </c>
      <c r="N38" s="213" t="s">
        <v>51</v>
      </c>
      <c r="O38" s="149">
        <v>904784</v>
      </c>
      <c r="P38" s="150">
        <f>O38*S38</f>
        <v>101166613.392</v>
      </c>
      <c r="Q38" s="137">
        <f>P38*W38</f>
        <v>15756700035.804001</v>
      </c>
      <c r="R38" s="141" t="s">
        <v>25</v>
      </c>
      <c r="S38" s="140">
        <v>111.813</v>
      </c>
      <c r="T38" s="151">
        <f>J38+90</f>
        <v>41752</v>
      </c>
      <c r="U38" s="250" t="s">
        <v>40</v>
      </c>
      <c r="V38" s="137">
        <f>P38*0.12%</f>
        <v>121399.9360704</v>
      </c>
      <c r="W38" s="209">
        <v>155.75</v>
      </c>
      <c r="X38" s="141">
        <f>V38*W38</f>
        <v>18908040.042964801</v>
      </c>
      <c r="Y38" s="240" t="s">
        <v>40</v>
      </c>
      <c r="Z38" s="210" t="s">
        <v>40</v>
      </c>
      <c r="AA38" s="244" t="s">
        <v>40</v>
      </c>
      <c r="AB38" s="154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</row>
    <row r="39" spans="1:69" s="93" customFormat="1" ht="92.25" customHeight="1" x14ac:dyDescent="0.55000000000000004">
      <c r="A39" s="239">
        <v>14</v>
      </c>
      <c r="B39" s="135" t="s">
        <v>70</v>
      </c>
      <c r="C39" s="157" t="s">
        <v>220</v>
      </c>
      <c r="D39" s="139">
        <v>41701</v>
      </c>
      <c r="E39" s="157" t="s">
        <v>226</v>
      </c>
      <c r="F39" s="157" t="s">
        <v>53</v>
      </c>
      <c r="G39" s="144" t="s">
        <v>38</v>
      </c>
      <c r="H39" s="135" t="s">
        <v>34</v>
      </c>
      <c r="I39" s="131">
        <v>27090000</v>
      </c>
      <c r="J39" s="136">
        <v>41667</v>
      </c>
      <c r="K39" s="134" t="s">
        <v>79</v>
      </c>
      <c r="L39" s="134" t="s">
        <v>32</v>
      </c>
      <c r="M39" s="135" t="s">
        <v>83</v>
      </c>
      <c r="N39" s="213" t="s">
        <v>88</v>
      </c>
      <c r="O39" s="149">
        <v>905624</v>
      </c>
      <c r="P39" s="150">
        <f t="shared" ref="P39:P53" si="8">O39*S39</f>
        <v>100490755.912</v>
      </c>
      <c r="Q39" s="137">
        <f t="shared" ref="Q39:Q53" si="9">P39*W39</f>
        <v>15651435233.294001</v>
      </c>
      <c r="R39" s="141" t="s">
        <v>25</v>
      </c>
      <c r="S39" s="140">
        <v>110.96299999999999</v>
      </c>
      <c r="T39" s="151">
        <f t="shared" ref="T39:T53" si="10">J39+90</f>
        <v>41757</v>
      </c>
      <c r="U39" s="250" t="s">
        <v>40</v>
      </c>
      <c r="V39" s="137">
        <f t="shared" ref="V39:V53" si="11">P39*0.12%</f>
        <v>120588.90709439998</v>
      </c>
      <c r="W39" s="209">
        <v>155.75</v>
      </c>
      <c r="X39" s="141">
        <f t="shared" ref="X39:X53" si="12">V39*W39</f>
        <v>18781722.279952798</v>
      </c>
      <c r="Y39" s="240" t="s">
        <v>40</v>
      </c>
      <c r="Z39" s="210" t="s">
        <v>40</v>
      </c>
      <c r="AA39" s="244" t="s">
        <v>40</v>
      </c>
      <c r="AB39" s="154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</row>
    <row r="40" spans="1:69" s="93" customFormat="1" ht="92.25" customHeight="1" x14ac:dyDescent="0.55000000000000004">
      <c r="A40" s="239">
        <v>15</v>
      </c>
      <c r="B40" s="135" t="s">
        <v>96</v>
      </c>
      <c r="C40" s="157" t="s">
        <v>123</v>
      </c>
      <c r="D40" s="139">
        <v>41701</v>
      </c>
      <c r="E40" s="157" t="s">
        <v>136</v>
      </c>
      <c r="F40" s="157" t="s">
        <v>53</v>
      </c>
      <c r="G40" s="144" t="s">
        <v>38</v>
      </c>
      <c r="H40" s="135" t="s">
        <v>33</v>
      </c>
      <c r="I40" s="131">
        <v>27090000</v>
      </c>
      <c r="J40" s="136">
        <v>41673</v>
      </c>
      <c r="K40" s="134" t="s">
        <v>152</v>
      </c>
      <c r="L40" s="134" t="s">
        <v>31</v>
      </c>
      <c r="M40" s="135" t="s">
        <v>44</v>
      </c>
      <c r="N40" s="213" t="s">
        <v>54</v>
      </c>
      <c r="O40" s="149">
        <v>904422</v>
      </c>
      <c r="P40" s="150">
        <f t="shared" si="8"/>
        <v>98716756.878000006</v>
      </c>
      <c r="Q40" s="137">
        <f t="shared" si="9"/>
        <v>15375134883.748501</v>
      </c>
      <c r="R40" s="141" t="s">
        <v>25</v>
      </c>
      <c r="S40" s="140">
        <v>109.149</v>
      </c>
      <c r="T40" s="151">
        <f t="shared" si="10"/>
        <v>41763</v>
      </c>
      <c r="U40" s="250" t="s">
        <v>40</v>
      </c>
      <c r="V40" s="137">
        <f t="shared" si="11"/>
        <v>118460.1082536</v>
      </c>
      <c r="W40" s="209">
        <v>155.75</v>
      </c>
      <c r="X40" s="141">
        <f t="shared" si="12"/>
        <v>18450161.860498201</v>
      </c>
      <c r="Y40" s="240" t="s">
        <v>40</v>
      </c>
      <c r="Z40" s="210" t="s">
        <v>40</v>
      </c>
      <c r="AA40" s="244" t="s">
        <v>40</v>
      </c>
      <c r="AB40" s="154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</row>
    <row r="41" spans="1:69" s="93" customFormat="1" ht="92.25" customHeight="1" x14ac:dyDescent="0.55000000000000004">
      <c r="A41" s="376">
        <v>16</v>
      </c>
      <c r="B41" s="135" t="s">
        <v>101</v>
      </c>
      <c r="C41" s="382" t="s">
        <v>124</v>
      </c>
      <c r="D41" s="139">
        <v>41701</v>
      </c>
      <c r="E41" s="382" t="s">
        <v>138</v>
      </c>
      <c r="F41" s="157" t="s">
        <v>53</v>
      </c>
      <c r="G41" s="144" t="s">
        <v>38</v>
      </c>
      <c r="H41" s="135" t="s">
        <v>34</v>
      </c>
      <c r="I41" s="131">
        <v>27090000</v>
      </c>
      <c r="J41" s="136">
        <v>41680</v>
      </c>
      <c r="K41" s="134" t="s">
        <v>156</v>
      </c>
      <c r="L41" s="134" t="s">
        <v>32</v>
      </c>
      <c r="M41" s="135" t="s">
        <v>83</v>
      </c>
      <c r="N41" s="213" t="s">
        <v>88</v>
      </c>
      <c r="O41" s="149">
        <v>525000</v>
      </c>
      <c r="P41" s="150">
        <f t="shared" si="8"/>
        <v>58551675</v>
      </c>
      <c r="Q41" s="137">
        <f t="shared" si="9"/>
        <v>9119423381.25</v>
      </c>
      <c r="R41" s="141" t="s">
        <v>25</v>
      </c>
      <c r="S41" s="140">
        <v>111.527</v>
      </c>
      <c r="T41" s="151">
        <f t="shared" si="10"/>
        <v>41770</v>
      </c>
      <c r="U41" s="250" t="s">
        <v>40</v>
      </c>
      <c r="V41" s="137">
        <f t="shared" si="11"/>
        <v>70262.009999999995</v>
      </c>
      <c r="W41" s="209">
        <v>155.75</v>
      </c>
      <c r="X41" s="141">
        <f t="shared" si="12"/>
        <v>10943308.057499999</v>
      </c>
      <c r="Y41" s="240" t="s">
        <v>40</v>
      </c>
      <c r="Z41" s="210" t="s">
        <v>40</v>
      </c>
      <c r="AA41" s="244" t="s">
        <v>40</v>
      </c>
      <c r="AB41" s="154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</row>
    <row r="42" spans="1:69" s="93" customFormat="1" ht="92.25" customHeight="1" x14ac:dyDescent="0.55000000000000004">
      <c r="A42" s="378"/>
      <c r="B42" s="135" t="s">
        <v>102</v>
      </c>
      <c r="C42" s="383"/>
      <c r="D42" s="139">
        <v>41701</v>
      </c>
      <c r="E42" s="383"/>
      <c r="F42" s="157" t="s">
        <v>53</v>
      </c>
      <c r="G42" s="144" t="s">
        <v>38</v>
      </c>
      <c r="H42" s="135" t="s">
        <v>34</v>
      </c>
      <c r="I42" s="131">
        <v>27090000</v>
      </c>
      <c r="J42" s="136">
        <v>41680</v>
      </c>
      <c r="K42" s="134" t="s">
        <v>156</v>
      </c>
      <c r="L42" s="134" t="s">
        <v>32</v>
      </c>
      <c r="M42" s="135" t="s">
        <v>83</v>
      </c>
      <c r="N42" s="213" t="s">
        <v>88</v>
      </c>
      <c r="O42" s="149">
        <v>381226</v>
      </c>
      <c r="P42" s="150">
        <f t="shared" si="8"/>
        <v>42516992.101999998</v>
      </c>
      <c r="Q42" s="137">
        <f t="shared" si="9"/>
        <v>6622021519.8864994</v>
      </c>
      <c r="R42" s="141" t="s">
        <v>25</v>
      </c>
      <c r="S42" s="140">
        <v>111.527</v>
      </c>
      <c r="T42" s="151">
        <f t="shared" si="10"/>
        <v>41770</v>
      </c>
      <c r="U42" s="250" t="s">
        <v>40</v>
      </c>
      <c r="V42" s="137">
        <f t="shared" si="11"/>
        <v>51020.39052239999</v>
      </c>
      <c r="W42" s="209">
        <v>155.75</v>
      </c>
      <c r="X42" s="141">
        <f t="shared" si="12"/>
        <v>7946425.8238637988</v>
      </c>
      <c r="Y42" s="240" t="s">
        <v>40</v>
      </c>
      <c r="Z42" s="210" t="s">
        <v>40</v>
      </c>
      <c r="AA42" s="244" t="s">
        <v>40</v>
      </c>
      <c r="AB42" s="154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</row>
    <row r="43" spans="1:69" s="93" customFormat="1" ht="92.25" customHeight="1" x14ac:dyDescent="0.55000000000000004">
      <c r="A43" s="239">
        <v>17</v>
      </c>
      <c r="B43" s="135" t="s">
        <v>103</v>
      </c>
      <c r="C43" s="157" t="s">
        <v>125</v>
      </c>
      <c r="D43" s="139">
        <v>41701</v>
      </c>
      <c r="E43" s="157" t="s">
        <v>139</v>
      </c>
      <c r="F43" s="157" t="s">
        <v>53</v>
      </c>
      <c r="G43" s="144" t="s">
        <v>38</v>
      </c>
      <c r="H43" s="135" t="s">
        <v>33</v>
      </c>
      <c r="I43" s="131">
        <v>27090000</v>
      </c>
      <c r="J43" s="136">
        <v>41680</v>
      </c>
      <c r="K43" s="134" t="s">
        <v>157</v>
      </c>
      <c r="L43" s="134" t="s">
        <v>31</v>
      </c>
      <c r="M43" s="135" t="s">
        <v>36</v>
      </c>
      <c r="N43" s="213" t="s">
        <v>170</v>
      </c>
      <c r="O43" s="149">
        <v>949676</v>
      </c>
      <c r="P43" s="150">
        <f t="shared" si="8"/>
        <v>105914515.252</v>
      </c>
      <c r="Q43" s="137">
        <f t="shared" si="9"/>
        <v>16496185750.499001</v>
      </c>
      <c r="R43" s="141" t="s">
        <v>25</v>
      </c>
      <c r="S43" s="140">
        <v>111.527</v>
      </c>
      <c r="T43" s="151">
        <f t="shared" si="10"/>
        <v>41770</v>
      </c>
      <c r="U43" s="250" t="s">
        <v>40</v>
      </c>
      <c r="V43" s="137">
        <f t="shared" si="11"/>
        <v>127097.41830239999</v>
      </c>
      <c r="W43" s="209">
        <v>155.75</v>
      </c>
      <c r="X43" s="141">
        <f t="shared" si="12"/>
        <v>19795422.900598798</v>
      </c>
      <c r="Y43" s="240" t="s">
        <v>40</v>
      </c>
      <c r="Z43" s="210" t="s">
        <v>40</v>
      </c>
      <c r="AA43" s="244" t="s">
        <v>40</v>
      </c>
      <c r="AB43" s="154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</row>
    <row r="44" spans="1:69" s="93" customFormat="1" ht="92.25" customHeight="1" x14ac:dyDescent="0.55000000000000004">
      <c r="A44" s="239">
        <v>18</v>
      </c>
      <c r="B44" s="135" t="s">
        <v>104</v>
      </c>
      <c r="C44" s="157" t="s">
        <v>126</v>
      </c>
      <c r="D44" s="139">
        <v>41701</v>
      </c>
      <c r="E44" s="157" t="s">
        <v>140</v>
      </c>
      <c r="F44" s="157" t="s">
        <v>53</v>
      </c>
      <c r="G44" s="144" t="s">
        <v>38</v>
      </c>
      <c r="H44" s="135" t="s">
        <v>33</v>
      </c>
      <c r="I44" s="131">
        <v>27090000</v>
      </c>
      <c r="J44" s="136">
        <v>41682</v>
      </c>
      <c r="K44" s="134" t="s">
        <v>155</v>
      </c>
      <c r="L44" s="134" t="s">
        <v>31</v>
      </c>
      <c r="M44" s="135" t="s">
        <v>44</v>
      </c>
      <c r="N44" s="213" t="s">
        <v>54</v>
      </c>
      <c r="O44" s="149">
        <v>949834</v>
      </c>
      <c r="P44" s="150">
        <f t="shared" si="8"/>
        <v>105554102.58600001</v>
      </c>
      <c r="Q44" s="137">
        <f t="shared" si="9"/>
        <v>16440051477.769501</v>
      </c>
      <c r="R44" s="141" t="s">
        <v>25</v>
      </c>
      <c r="S44" s="140">
        <v>111.129</v>
      </c>
      <c r="T44" s="151">
        <f t="shared" si="10"/>
        <v>41772</v>
      </c>
      <c r="U44" s="250" t="s">
        <v>40</v>
      </c>
      <c r="V44" s="137">
        <f t="shared" si="11"/>
        <v>126664.9231032</v>
      </c>
      <c r="W44" s="209">
        <v>155.75</v>
      </c>
      <c r="X44" s="141">
        <f t="shared" si="12"/>
        <v>19728061.773323398</v>
      </c>
      <c r="Y44" s="240" t="s">
        <v>40</v>
      </c>
      <c r="Z44" s="210" t="s">
        <v>40</v>
      </c>
      <c r="AA44" s="244" t="s">
        <v>40</v>
      </c>
      <c r="AB44" s="154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</row>
    <row r="45" spans="1:69" s="93" customFormat="1" ht="92.25" customHeight="1" x14ac:dyDescent="0.55000000000000004">
      <c r="A45" s="239">
        <v>19</v>
      </c>
      <c r="B45" s="135" t="s">
        <v>106</v>
      </c>
      <c r="C45" s="157" t="s">
        <v>127</v>
      </c>
      <c r="D45" s="139">
        <v>41701</v>
      </c>
      <c r="E45" s="157" t="s">
        <v>141</v>
      </c>
      <c r="F45" s="157" t="s">
        <v>53</v>
      </c>
      <c r="G45" s="144" t="s">
        <v>38</v>
      </c>
      <c r="H45" s="135" t="s">
        <v>34</v>
      </c>
      <c r="I45" s="131">
        <v>27090000</v>
      </c>
      <c r="J45" s="136">
        <v>41685</v>
      </c>
      <c r="K45" s="134" t="s">
        <v>159</v>
      </c>
      <c r="L45" s="134" t="s">
        <v>32</v>
      </c>
      <c r="M45" s="135" t="s">
        <v>44</v>
      </c>
      <c r="N45" s="213" t="s">
        <v>171</v>
      </c>
      <c r="O45" s="149">
        <v>152800</v>
      </c>
      <c r="P45" s="150">
        <f t="shared" si="8"/>
        <v>16920766.399999999</v>
      </c>
      <c r="Q45" s="137">
        <f t="shared" si="9"/>
        <v>2635409366.7999997</v>
      </c>
      <c r="R45" s="141" t="s">
        <v>25</v>
      </c>
      <c r="S45" s="140">
        <v>110.738</v>
      </c>
      <c r="T45" s="151">
        <f t="shared" si="10"/>
        <v>41775</v>
      </c>
      <c r="U45" s="250" t="s">
        <v>40</v>
      </c>
      <c r="V45" s="137">
        <f t="shared" si="11"/>
        <v>20304.919679999995</v>
      </c>
      <c r="W45" s="209">
        <v>155.75</v>
      </c>
      <c r="X45" s="141">
        <f t="shared" si="12"/>
        <v>3162491.2401599991</v>
      </c>
      <c r="Y45" s="240" t="s">
        <v>40</v>
      </c>
      <c r="Z45" s="210" t="s">
        <v>40</v>
      </c>
      <c r="AA45" s="244" t="s">
        <v>40</v>
      </c>
      <c r="AB45" s="154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</row>
    <row r="46" spans="1:69" s="211" customFormat="1" ht="94.5" customHeight="1" x14ac:dyDescent="0.55000000000000004">
      <c r="A46" s="239">
        <v>20</v>
      </c>
      <c r="B46" s="135" t="s">
        <v>107</v>
      </c>
      <c r="C46" s="157" t="s">
        <v>128</v>
      </c>
      <c r="D46" s="139">
        <v>41701</v>
      </c>
      <c r="E46" s="157" t="s">
        <v>142</v>
      </c>
      <c r="F46" s="157" t="s">
        <v>53</v>
      </c>
      <c r="G46" s="144" t="s">
        <v>38</v>
      </c>
      <c r="H46" s="135" t="s">
        <v>34</v>
      </c>
      <c r="I46" s="131">
        <v>27090000</v>
      </c>
      <c r="J46" s="136">
        <v>41685</v>
      </c>
      <c r="K46" s="134" t="s">
        <v>159</v>
      </c>
      <c r="L46" s="134" t="s">
        <v>32</v>
      </c>
      <c r="M46" s="135" t="s">
        <v>44</v>
      </c>
      <c r="N46" s="213" t="s">
        <v>171</v>
      </c>
      <c r="O46" s="149">
        <v>753049</v>
      </c>
      <c r="P46" s="150">
        <f t="shared" si="8"/>
        <v>83391140.162</v>
      </c>
      <c r="Q46" s="137">
        <f t="shared" si="9"/>
        <v>12988170080.231501</v>
      </c>
      <c r="R46" s="141" t="s">
        <v>25</v>
      </c>
      <c r="S46" s="140">
        <v>110.738</v>
      </c>
      <c r="T46" s="151">
        <f t="shared" si="10"/>
        <v>41775</v>
      </c>
      <c r="U46" s="250" t="s">
        <v>40</v>
      </c>
      <c r="V46" s="137">
        <f t="shared" si="11"/>
        <v>100069.3681944</v>
      </c>
      <c r="W46" s="209">
        <v>155.75</v>
      </c>
      <c r="X46" s="141">
        <f t="shared" si="12"/>
        <v>15585804.096277799</v>
      </c>
      <c r="Y46" s="240" t="s">
        <v>40</v>
      </c>
      <c r="Z46" s="210" t="s">
        <v>40</v>
      </c>
      <c r="AA46" s="244" t="s">
        <v>40</v>
      </c>
    </row>
    <row r="47" spans="1:69" s="93" customFormat="1" ht="94.5" customHeight="1" x14ac:dyDescent="0.55000000000000004">
      <c r="A47" s="239">
        <v>21</v>
      </c>
      <c r="B47" s="135" t="s">
        <v>108</v>
      </c>
      <c r="C47" s="157" t="s">
        <v>129</v>
      </c>
      <c r="D47" s="139">
        <v>41701</v>
      </c>
      <c r="E47" s="157" t="s">
        <v>143</v>
      </c>
      <c r="F47" s="157" t="s">
        <v>53</v>
      </c>
      <c r="G47" s="144" t="s">
        <v>38</v>
      </c>
      <c r="H47" s="135" t="s">
        <v>33</v>
      </c>
      <c r="I47" s="131">
        <v>27090000</v>
      </c>
      <c r="J47" s="136">
        <v>41686</v>
      </c>
      <c r="K47" s="134" t="s">
        <v>160</v>
      </c>
      <c r="L47" s="134" t="s">
        <v>31</v>
      </c>
      <c r="M47" s="135" t="s">
        <v>36</v>
      </c>
      <c r="N47" s="213" t="s">
        <v>51</v>
      </c>
      <c r="O47" s="149">
        <v>949868</v>
      </c>
      <c r="P47" s="150">
        <f t="shared" si="8"/>
        <v>105393553.808</v>
      </c>
      <c r="Q47" s="137">
        <f t="shared" si="9"/>
        <v>16415046005.596001</v>
      </c>
      <c r="R47" s="141" t="s">
        <v>25</v>
      </c>
      <c r="S47" s="140">
        <v>110.956</v>
      </c>
      <c r="T47" s="151">
        <f t="shared" si="10"/>
        <v>41776</v>
      </c>
      <c r="U47" s="250" t="s">
        <v>40</v>
      </c>
      <c r="V47" s="137">
        <f t="shared" si="11"/>
        <v>126472.26456959998</v>
      </c>
      <c r="W47" s="209">
        <v>155.75</v>
      </c>
      <c r="X47" s="141">
        <f t="shared" si="12"/>
        <v>19698055.206715196</v>
      </c>
      <c r="Y47" s="240" t="s">
        <v>40</v>
      </c>
      <c r="Z47" s="210" t="s">
        <v>40</v>
      </c>
      <c r="AA47" s="244" t="s">
        <v>40</v>
      </c>
    </row>
    <row r="48" spans="1:69" s="93" customFormat="1" ht="94.5" customHeight="1" x14ac:dyDescent="0.55000000000000004">
      <c r="A48" s="239">
        <v>22</v>
      </c>
      <c r="B48" s="135" t="s">
        <v>109</v>
      </c>
      <c r="C48" s="360" t="s">
        <v>130</v>
      </c>
      <c r="D48" s="139">
        <v>41701</v>
      </c>
      <c r="E48" s="360" t="s">
        <v>144</v>
      </c>
      <c r="F48" s="157" t="s">
        <v>53</v>
      </c>
      <c r="G48" s="144" t="s">
        <v>38</v>
      </c>
      <c r="H48" s="135" t="s">
        <v>33</v>
      </c>
      <c r="I48" s="131">
        <v>27090000</v>
      </c>
      <c r="J48" s="136">
        <v>41688</v>
      </c>
      <c r="K48" s="134" t="s">
        <v>160</v>
      </c>
      <c r="L48" s="134" t="s">
        <v>31</v>
      </c>
      <c r="M48" s="135" t="s">
        <v>36</v>
      </c>
      <c r="N48" s="213" t="s">
        <v>51</v>
      </c>
      <c r="O48" s="149">
        <v>950344</v>
      </c>
      <c r="P48" s="150">
        <f t="shared" si="8"/>
        <v>105888278.824</v>
      </c>
      <c r="Q48" s="137">
        <f t="shared" si="9"/>
        <v>16492099426.837999</v>
      </c>
      <c r="R48" s="141" t="s">
        <v>25</v>
      </c>
      <c r="S48" s="140">
        <v>111.42100000000001</v>
      </c>
      <c r="T48" s="151">
        <f t="shared" si="10"/>
        <v>41778</v>
      </c>
      <c r="U48" s="250" t="s">
        <v>40</v>
      </c>
      <c r="V48" s="137">
        <f t="shared" si="11"/>
        <v>127065.9345888</v>
      </c>
      <c r="W48" s="209">
        <v>155.75</v>
      </c>
      <c r="X48" s="141">
        <f t="shared" si="12"/>
        <v>19790519.312205598</v>
      </c>
      <c r="Y48" s="240" t="s">
        <v>40</v>
      </c>
      <c r="Z48" s="210" t="s">
        <v>40</v>
      </c>
      <c r="AA48" s="244" t="s">
        <v>40</v>
      </c>
    </row>
    <row r="49" spans="1:27" s="93" customFormat="1" ht="94.5" customHeight="1" x14ac:dyDescent="0.55000000000000004">
      <c r="A49" s="239">
        <v>23</v>
      </c>
      <c r="B49" s="135" t="s">
        <v>110</v>
      </c>
      <c r="C49" s="360" t="s">
        <v>131</v>
      </c>
      <c r="D49" s="139">
        <v>41701</v>
      </c>
      <c r="E49" s="360" t="s">
        <v>145</v>
      </c>
      <c r="F49" s="157" t="s">
        <v>53</v>
      </c>
      <c r="G49" s="144" t="s">
        <v>38</v>
      </c>
      <c r="H49" s="135" t="s">
        <v>33</v>
      </c>
      <c r="I49" s="131">
        <v>27090000</v>
      </c>
      <c r="J49" s="136">
        <v>41692</v>
      </c>
      <c r="K49" s="134" t="s">
        <v>161</v>
      </c>
      <c r="L49" s="134" t="s">
        <v>31</v>
      </c>
      <c r="M49" s="135" t="s">
        <v>82</v>
      </c>
      <c r="N49" s="213" t="s">
        <v>85</v>
      </c>
      <c r="O49" s="149">
        <v>120000</v>
      </c>
      <c r="P49" s="150">
        <f t="shared" si="8"/>
        <v>13344120</v>
      </c>
      <c r="Q49" s="137">
        <f t="shared" si="9"/>
        <v>2078346690</v>
      </c>
      <c r="R49" s="141" t="s">
        <v>25</v>
      </c>
      <c r="S49" s="140">
        <v>111.20099999999999</v>
      </c>
      <c r="T49" s="151">
        <f t="shared" si="10"/>
        <v>41782</v>
      </c>
      <c r="U49" s="250" t="s">
        <v>40</v>
      </c>
      <c r="V49" s="137">
        <f t="shared" si="11"/>
        <v>16012.944</v>
      </c>
      <c r="W49" s="209">
        <v>155.75</v>
      </c>
      <c r="X49" s="141">
        <f t="shared" si="12"/>
        <v>2494016.0279999999</v>
      </c>
      <c r="Y49" s="240" t="s">
        <v>40</v>
      </c>
      <c r="Z49" s="210" t="s">
        <v>40</v>
      </c>
      <c r="AA49" s="244" t="s">
        <v>40</v>
      </c>
    </row>
    <row r="50" spans="1:27" s="93" customFormat="1" ht="94.5" customHeight="1" x14ac:dyDescent="0.55000000000000004">
      <c r="A50" s="239">
        <v>24</v>
      </c>
      <c r="B50" s="135" t="s">
        <v>111</v>
      </c>
      <c r="C50" s="360" t="s">
        <v>132</v>
      </c>
      <c r="D50" s="139">
        <v>41701</v>
      </c>
      <c r="E50" s="360" t="s">
        <v>146</v>
      </c>
      <c r="F50" s="157" t="s">
        <v>53</v>
      </c>
      <c r="G50" s="144" t="s">
        <v>38</v>
      </c>
      <c r="H50" s="135" t="s">
        <v>33</v>
      </c>
      <c r="I50" s="131">
        <v>27090000</v>
      </c>
      <c r="J50" s="136">
        <v>41692</v>
      </c>
      <c r="K50" s="134" t="s">
        <v>161</v>
      </c>
      <c r="L50" s="134" t="s">
        <v>31</v>
      </c>
      <c r="M50" s="135" t="s">
        <v>82</v>
      </c>
      <c r="N50" s="213" t="s">
        <v>85</v>
      </c>
      <c r="O50" s="149">
        <v>90000</v>
      </c>
      <c r="P50" s="150">
        <f t="shared" si="8"/>
        <v>10008090</v>
      </c>
      <c r="Q50" s="137">
        <f t="shared" si="9"/>
        <v>1558760017.5</v>
      </c>
      <c r="R50" s="141" t="s">
        <v>25</v>
      </c>
      <c r="S50" s="140">
        <v>111.20099999999999</v>
      </c>
      <c r="T50" s="151">
        <f t="shared" si="10"/>
        <v>41782</v>
      </c>
      <c r="U50" s="250" t="s">
        <v>40</v>
      </c>
      <c r="V50" s="137">
        <f t="shared" si="11"/>
        <v>12009.707999999999</v>
      </c>
      <c r="W50" s="209">
        <v>155.75</v>
      </c>
      <c r="X50" s="141">
        <f t="shared" si="12"/>
        <v>1870512.0209999997</v>
      </c>
      <c r="Y50" s="240" t="s">
        <v>40</v>
      </c>
      <c r="Z50" s="210" t="s">
        <v>40</v>
      </c>
      <c r="AA50" s="244" t="s">
        <v>40</v>
      </c>
    </row>
    <row r="51" spans="1:27" s="93" customFormat="1" ht="94.5" customHeight="1" x14ac:dyDescent="0.55000000000000004">
      <c r="A51" s="239">
        <v>25</v>
      </c>
      <c r="B51" s="135" t="s">
        <v>112</v>
      </c>
      <c r="C51" s="360" t="s">
        <v>133</v>
      </c>
      <c r="D51" s="139">
        <v>41701</v>
      </c>
      <c r="E51" s="360" t="s">
        <v>147</v>
      </c>
      <c r="F51" s="157" t="s">
        <v>53</v>
      </c>
      <c r="G51" s="144" t="s">
        <v>38</v>
      </c>
      <c r="H51" s="135" t="s">
        <v>33</v>
      </c>
      <c r="I51" s="131">
        <v>27090000</v>
      </c>
      <c r="J51" s="136">
        <v>41692</v>
      </c>
      <c r="K51" s="134" t="s">
        <v>161</v>
      </c>
      <c r="L51" s="134" t="s">
        <v>31</v>
      </c>
      <c r="M51" s="135" t="s">
        <v>82</v>
      </c>
      <c r="N51" s="213" t="s">
        <v>85</v>
      </c>
      <c r="O51" s="149">
        <v>740096</v>
      </c>
      <c r="P51" s="150">
        <f t="shared" si="8"/>
        <v>82299415.295999989</v>
      </c>
      <c r="Q51" s="137">
        <f t="shared" si="9"/>
        <v>12818133932.351997</v>
      </c>
      <c r="R51" s="141" t="s">
        <v>25</v>
      </c>
      <c r="S51" s="140">
        <v>111.20099999999999</v>
      </c>
      <c r="T51" s="151">
        <f t="shared" si="10"/>
        <v>41782</v>
      </c>
      <c r="U51" s="250" t="s">
        <v>40</v>
      </c>
      <c r="V51" s="137">
        <f t="shared" si="11"/>
        <v>98759.298355199979</v>
      </c>
      <c r="W51" s="209">
        <v>155.75</v>
      </c>
      <c r="X51" s="141">
        <f t="shared" si="12"/>
        <v>15381760.718822397</v>
      </c>
      <c r="Y51" s="240" t="s">
        <v>40</v>
      </c>
      <c r="Z51" s="210" t="s">
        <v>40</v>
      </c>
      <c r="AA51" s="244" t="s">
        <v>40</v>
      </c>
    </row>
    <row r="52" spans="1:27" s="93" customFormat="1" ht="94.5" customHeight="1" x14ac:dyDescent="0.55000000000000004">
      <c r="A52" s="376">
        <v>26</v>
      </c>
      <c r="B52" s="135" t="s">
        <v>117</v>
      </c>
      <c r="C52" s="382" t="s">
        <v>134</v>
      </c>
      <c r="D52" s="139">
        <v>41701</v>
      </c>
      <c r="E52" s="382" t="s">
        <v>149</v>
      </c>
      <c r="F52" s="157" t="s">
        <v>53</v>
      </c>
      <c r="G52" s="144" t="s">
        <v>38</v>
      </c>
      <c r="H52" s="135" t="s">
        <v>33</v>
      </c>
      <c r="I52" s="131">
        <v>27090000</v>
      </c>
      <c r="J52" s="136">
        <v>41694</v>
      </c>
      <c r="K52" s="134" t="s">
        <v>163</v>
      </c>
      <c r="L52" s="134" t="s">
        <v>31</v>
      </c>
      <c r="M52" s="135" t="s">
        <v>167</v>
      </c>
      <c r="N52" s="213" t="s">
        <v>172</v>
      </c>
      <c r="O52" s="149">
        <v>500000</v>
      </c>
      <c r="P52" s="150">
        <f t="shared" si="8"/>
        <v>55624500</v>
      </c>
      <c r="Q52" s="137">
        <f t="shared" si="9"/>
        <v>8663515875</v>
      </c>
      <c r="R52" s="141" t="s">
        <v>25</v>
      </c>
      <c r="S52" s="140">
        <v>111.249</v>
      </c>
      <c r="T52" s="151">
        <f t="shared" si="10"/>
        <v>41784</v>
      </c>
      <c r="U52" s="250" t="s">
        <v>40</v>
      </c>
      <c r="V52" s="137">
        <f t="shared" si="11"/>
        <v>66749.399999999994</v>
      </c>
      <c r="W52" s="209">
        <v>155.75</v>
      </c>
      <c r="X52" s="141">
        <f t="shared" si="12"/>
        <v>10396219.049999999</v>
      </c>
      <c r="Y52" s="240" t="s">
        <v>40</v>
      </c>
      <c r="Z52" s="210" t="s">
        <v>40</v>
      </c>
      <c r="AA52" s="244" t="s">
        <v>40</v>
      </c>
    </row>
    <row r="53" spans="1:27" s="93" customFormat="1" ht="94.5" customHeight="1" x14ac:dyDescent="0.55000000000000004">
      <c r="A53" s="378"/>
      <c r="B53" s="135" t="s">
        <v>118</v>
      </c>
      <c r="C53" s="383"/>
      <c r="D53" s="139">
        <v>41701</v>
      </c>
      <c r="E53" s="383"/>
      <c r="F53" s="157" t="s">
        <v>53</v>
      </c>
      <c r="G53" s="144" t="s">
        <v>38</v>
      </c>
      <c r="H53" s="135" t="s">
        <v>33</v>
      </c>
      <c r="I53" s="131">
        <v>27090000</v>
      </c>
      <c r="J53" s="136">
        <v>41694</v>
      </c>
      <c r="K53" s="134" t="s">
        <v>163</v>
      </c>
      <c r="L53" s="134" t="s">
        <v>31</v>
      </c>
      <c r="M53" s="135" t="s">
        <v>167</v>
      </c>
      <c r="N53" s="213" t="s">
        <v>172</v>
      </c>
      <c r="O53" s="149">
        <v>449975</v>
      </c>
      <c r="P53" s="150">
        <f t="shared" si="8"/>
        <v>50059268.774999999</v>
      </c>
      <c r="Q53" s="137">
        <f t="shared" si="9"/>
        <v>7796731111.7062502</v>
      </c>
      <c r="R53" s="141" t="s">
        <v>25</v>
      </c>
      <c r="S53" s="140">
        <v>111.249</v>
      </c>
      <c r="T53" s="151">
        <f t="shared" si="10"/>
        <v>41784</v>
      </c>
      <c r="U53" s="250" t="s">
        <v>40</v>
      </c>
      <c r="V53" s="137">
        <f t="shared" si="11"/>
        <v>60071.122529999993</v>
      </c>
      <c r="W53" s="209">
        <v>155.75</v>
      </c>
      <c r="X53" s="141">
        <f t="shared" si="12"/>
        <v>9356077.3340474982</v>
      </c>
      <c r="Y53" s="240" t="s">
        <v>40</v>
      </c>
      <c r="Z53" s="210" t="s">
        <v>40</v>
      </c>
      <c r="AA53" s="244" t="s">
        <v>40</v>
      </c>
    </row>
    <row r="54" spans="1:27" ht="78.75" customHeight="1" x14ac:dyDescent="0.55000000000000004">
      <c r="A54" s="325"/>
      <c r="B54" s="135"/>
      <c r="C54" s="326"/>
      <c r="D54" s="139"/>
      <c r="E54" s="326"/>
      <c r="F54" s="157"/>
      <c r="G54" s="144"/>
      <c r="H54" s="135"/>
      <c r="I54" s="131"/>
      <c r="J54" s="136"/>
      <c r="K54" s="134"/>
      <c r="L54" s="134"/>
      <c r="M54" s="135"/>
      <c r="N54" s="213"/>
      <c r="O54" s="149"/>
      <c r="P54" s="150"/>
      <c r="Q54" s="137"/>
      <c r="R54" s="141"/>
      <c r="S54" s="140"/>
      <c r="T54" s="151"/>
      <c r="U54" s="250"/>
      <c r="V54" s="137"/>
      <c r="W54" s="140"/>
      <c r="X54" s="141"/>
      <c r="Y54" s="141"/>
      <c r="Z54" s="157"/>
      <c r="AA54" s="214"/>
    </row>
    <row r="55" spans="1:27" s="16" customFormat="1" ht="78.75" customHeight="1" thickBot="1" x14ac:dyDescent="0.65">
      <c r="A55" s="232"/>
      <c r="B55" s="160" t="s">
        <v>28</v>
      </c>
      <c r="C55" s="160"/>
      <c r="D55" s="161"/>
      <c r="E55" s="160"/>
      <c r="F55" s="160"/>
      <c r="G55" s="327"/>
      <c r="H55" s="160"/>
      <c r="I55" s="160"/>
      <c r="J55" s="161"/>
      <c r="K55" s="160"/>
      <c r="L55" s="160"/>
      <c r="M55" s="160"/>
      <c r="N55" s="328"/>
      <c r="O55" s="329">
        <f>SUM(O24:O54)</f>
        <v>19727700</v>
      </c>
      <c r="P55" s="165">
        <f>SUM(P24:P54)</f>
        <v>2178688155.204</v>
      </c>
      <c r="Q55" s="165"/>
      <c r="R55" s="165"/>
      <c r="S55" s="166"/>
      <c r="T55" s="161"/>
      <c r="U55" s="165"/>
      <c r="V55" s="165">
        <f>SUM(V24:V54)</f>
        <v>2614425.7862447998</v>
      </c>
      <c r="W55" s="166"/>
      <c r="X55" s="165">
        <f>SUM(X24:X54)</f>
        <v>408405066.3507725</v>
      </c>
      <c r="Y55" s="165">
        <f>SUM(Y24:Y54)</f>
        <v>141755672.87</v>
      </c>
      <c r="Z55" s="160"/>
      <c r="AA55" s="224"/>
    </row>
    <row r="56" spans="1:27" s="16" customFormat="1" ht="23.25" x14ac:dyDescent="0.35">
      <c r="A56" s="39"/>
      <c r="B56" s="37"/>
      <c r="C56" s="35"/>
      <c r="D56" s="36"/>
      <c r="E56" s="35"/>
      <c r="F56" s="35"/>
      <c r="G56" s="40"/>
      <c r="H56" s="35"/>
      <c r="I56" s="35"/>
      <c r="J56" s="36"/>
      <c r="K56" s="35"/>
      <c r="L56" s="35"/>
      <c r="M56" s="35"/>
      <c r="N56" s="41"/>
      <c r="O56" s="29"/>
      <c r="P56" s="30"/>
      <c r="Q56" s="30"/>
      <c r="R56" s="30"/>
      <c r="S56" s="38"/>
      <c r="T56" s="36"/>
      <c r="U56" s="30"/>
      <c r="V56" s="30"/>
      <c r="W56" s="38"/>
      <c r="X56" s="30"/>
      <c r="Y56" s="30"/>
      <c r="Z56" s="35"/>
      <c r="AA56" s="35"/>
    </row>
    <row r="57" spans="1:27" x14ac:dyDescent="0.2">
      <c r="A57" s="7"/>
      <c r="B57" s="8"/>
      <c r="C57" s="6"/>
      <c r="D57" s="17"/>
      <c r="E57" s="18"/>
      <c r="F57" s="6"/>
      <c r="G57" s="19"/>
      <c r="H57" s="6"/>
      <c r="I57" s="6"/>
      <c r="J57" s="20"/>
      <c r="K57" s="8"/>
      <c r="L57" s="8"/>
      <c r="M57" s="6"/>
      <c r="N57" s="6"/>
      <c r="O57" s="21"/>
      <c r="P57" s="22"/>
      <c r="Q57" s="22"/>
      <c r="R57" s="22"/>
      <c r="S57" s="27"/>
      <c r="V57" s="22"/>
      <c r="W57" s="27"/>
      <c r="X57" s="22"/>
      <c r="Y57" s="22"/>
      <c r="Z57" s="6"/>
      <c r="AA57" s="6"/>
    </row>
    <row r="69" spans="14:15" x14ac:dyDescent="0.2">
      <c r="N69" s="23"/>
      <c r="O69" s="24"/>
    </row>
  </sheetData>
  <mergeCells count="10">
    <mergeCell ref="C52:C53"/>
    <mergeCell ref="A41:A42"/>
    <mergeCell ref="A52:A53"/>
    <mergeCell ref="E41:E42"/>
    <mergeCell ref="E52:E53"/>
    <mergeCell ref="C34:C36"/>
    <mergeCell ref="E34:E36"/>
    <mergeCell ref="A34:A36"/>
    <mergeCell ref="Y34:Y36"/>
    <mergeCell ref="C41:C42"/>
  </mergeCells>
  <pageMargins left="0.31496062992125984" right="0.19685039370078741" top="0.15748031496062992" bottom="0.15748031496062992" header="0.31496062992125984" footer="0.31496062992125984"/>
  <pageSetup paperSize="9" scale="12" orientation="landscape" r:id="rId1"/>
  <headerFooter>
    <oddFooter>&amp;R2</oddFooter>
  </headerFooter>
  <colBreaks count="1" manualBreakCount="1">
    <brk id="15" max="7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2"/>
  <sheetViews>
    <sheetView tabSelected="1" topLeftCell="A23" zoomScale="37" zoomScaleNormal="37" zoomScaleSheetLayoutView="10" workbookViewId="0">
      <selection activeCell="F31" sqref="F31"/>
    </sheetView>
  </sheetViews>
  <sheetFormatPr defaultRowHeight="15" x14ac:dyDescent="0.2"/>
  <cols>
    <col min="1" max="1" width="14.85546875" style="5" customWidth="1"/>
    <col min="2" max="2" width="109.5703125" style="5" customWidth="1"/>
    <col min="3" max="3" width="54.7109375" style="5" customWidth="1"/>
    <col min="4" max="4" width="54.140625" style="14" customWidth="1"/>
    <col min="5" max="5" width="62" style="12" bestFit="1" customWidth="1"/>
    <col min="6" max="6" width="114.42578125" style="5" bestFit="1" customWidth="1"/>
    <col min="7" max="7" width="176.140625" style="13" bestFit="1" customWidth="1"/>
    <col min="8" max="8" width="63" style="5" bestFit="1" customWidth="1"/>
    <col min="9" max="9" width="35" style="5" bestFit="1" customWidth="1"/>
    <col min="10" max="10" width="70.7109375" style="14" customWidth="1"/>
    <col min="11" max="11" width="119" style="5" bestFit="1" customWidth="1"/>
    <col min="12" max="12" width="51.5703125" style="5" customWidth="1"/>
    <col min="13" max="13" width="55.28515625" style="5" customWidth="1"/>
    <col min="14" max="14" width="96.42578125" style="5" bestFit="1" customWidth="1"/>
    <col min="15" max="15" width="71.85546875" style="15" customWidth="1"/>
    <col min="16" max="16" width="79" style="16" bestFit="1" customWidth="1"/>
    <col min="17" max="17" width="91.28515625" style="16" bestFit="1" customWidth="1"/>
    <col min="18" max="18" width="59.5703125" style="16" customWidth="1"/>
    <col min="19" max="19" width="55.85546875" style="26" customWidth="1"/>
    <col min="20" max="20" width="65.28515625" style="17" customWidth="1"/>
    <col min="21" max="21" width="72.7109375" style="5" bestFit="1" customWidth="1"/>
    <col min="22" max="22" width="72.42578125" style="16" customWidth="1"/>
    <col min="23" max="23" width="62.140625" style="26" customWidth="1"/>
    <col min="24" max="24" width="75.5703125" style="16" customWidth="1"/>
    <col min="25" max="25" width="65.5703125" style="16" customWidth="1"/>
    <col min="26" max="26" width="71" style="5" customWidth="1"/>
    <col min="27" max="27" width="65.5703125" style="5" customWidth="1"/>
    <col min="28" max="16384" width="9.140625" style="4"/>
  </cols>
  <sheetData>
    <row r="1" spans="1:27" s="3" customFormat="1" ht="18" x14ac:dyDescent="0.25">
      <c r="A1" s="2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7" spans="1:27" s="91" customFormat="1" ht="160.5" customHeight="1" x14ac:dyDescent="0.6">
      <c r="B27" s="218" t="s">
        <v>229</v>
      </c>
      <c r="C27" s="93"/>
      <c r="D27" s="219"/>
      <c r="E27" s="94"/>
      <c r="F27" s="93"/>
      <c r="G27" s="220"/>
      <c r="H27" s="93"/>
      <c r="I27" s="93"/>
      <c r="J27" s="219"/>
      <c r="K27" s="93"/>
      <c r="L27" s="93"/>
      <c r="M27" s="93"/>
      <c r="N27" s="93"/>
      <c r="O27" s="96"/>
      <c r="P27" s="97"/>
      <c r="Q27" s="97"/>
      <c r="R27" s="97"/>
      <c r="S27" s="98"/>
      <c r="T27" s="99"/>
      <c r="U27" s="93"/>
      <c r="V27" s="97"/>
      <c r="W27" s="98"/>
      <c r="X27" s="97"/>
      <c r="Y27" s="97"/>
      <c r="Z27" s="93"/>
      <c r="AA27" s="93"/>
    </row>
    <row r="28" spans="1:27" s="101" customFormat="1" ht="160.5" customHeight="1" thickBot="1" x14ac:dyDescent="0.3">
      <c r="B28" s="102"/>
      <c r="C28" s="102"/>
      <c r="D28" s="103"/>
      <c r="E28" s="104"/>
      <c r="F28" s="102"/>
      <c r="G28" s="105"/>
      <c r="H28" s="106"/>
      <c r="I28" s="106"/>
      <c r="J28" s="107"/>
      <c r="K28" s="108"/>
      <c r="L28" s="109"/>
      <c r="M28" s="106"/>
      <c r="N28" s="109"/>
      <c r="O28" s="110"/>
      <c r="P28" s="111"/>
      <c r="Q28" s="111"/>
      <c r="R28" s="111"/>
      <c r="S28" s="112"/>
      <c r="T28" s="113"/>
      <c r="U28" s="102"/>
      <c r="V28" s="111"/>
      <c r="W28" s="112"/>
      <c r="X28" s="111"/>
      <c r="Y28" s="111"/>
      <c r="Z28" s="102"/>
      <c r="AA28" s="102"/>
    </row>
    <row r="29" spans="1:27" s="102" customFormat="1" ht="160.5" customHeight="1" x14ac:dyDescent="0.25">
      <c r="A29" s="114">
        <v>1</v>
      </c>
      <c r="B29" s="115">
        <v>2</v>
      </c>
      <c r="C29" s="115">
        <v>3</v>
      </c>
      <c r="D29" s="116">
        <v>4</v>
      </c>
      <c r="E29" s="115">
        <v>5</v>
      </c>
      <c r="F29" s="115">
        <v>6</v>
      </c>
      <c r="G29" s="117">
        <v>7</v>
      </c>
      <c r="H29" s="115">
        <v>8</v>
      </c>
      <c r="I29" s="332">
        <v>9</v>
      </c>
      <c r="J29" s="115">
        <v>10</v>
      </c>
      <c r="K29" s="115">
        <v>11</v>
      </c>
      <c r="L29" s="115">
        <v>12</v>
      </c>
      <c r="M29" s="115">
        <v>13</v>
      </c>
      <c r="N29" s="115">
        <v>14</v>
      </c>
      <c r="O29" s="115">
        <v>15</v>
      </c>
      <c r="P29" s="115">
        <v>16</v>
      </c>
      <c r="Q29" s="115">
        <v>17</v>
      </c>
      <c r="R29" s="115">
        <v>18</v>
      </c>
      <c r="S29" s="115">
        <v>19</v>
      </c>
      <c r="T29" s="115">
        <v>20</v>
      </c>
      <c r="U29" s="115">
        <v>21</v>
      </c>
      <c r="V29" s="115">
        <v>22</v>
      </c>
      <c r="W29" s="116">
        <v>23</v>
      </c>
      <c r="X29" s="115">
        <v>24</v>
      </c>
      <c r="Y29" s="115">
        <v>25</v>
      </c>
      <c r="Z29" s="115">
        <v>26</v>
      </c>
      <c r="AA29" s="118">
        <v>27</v>
      </c>
    </row>
    <row r="30" spans="1:27" s="129" customFormat="1" ht="160.5" customHeight="1" thickBot="1" x14ac:dyDescent="0.3">
      <c r="A30" s="303" t="s">
        <v>0</v>
      </c>
      <c r="B30" s="304" t="s">
        <v>1</v>
      </c>
      <c r="C30" s="305" t="s">
        <v>2</v>
      </c>
      <c r="D30" s="306" t="s">
        <v>3</v>
      </c>
      <c r="E30" s="307" t="s">
        <v>4</v>
      </c>
      <c r="F30" s="305" t="s">
        <v>5</v>
      </c>
      <c r="G30" s="308" t="s">
        <v>6</v>
      </c>
      <c r="H30" s="330" t="s">
        <v>7</v>
      </c>
      <c r="I30" s="121" t="s">
        <v>8</v>
      </c>
      <c r="J30" s="331" t="s">
        <v>9</v>
      </c>
      <c r="K30" s="304" t="s">
        <v>10</v>
      </c>
      <c r="L30" s="304" t="s">
        <v>11</v>
      </c>
      <c r="M30" s="305" t="s">
        <v>12</v>
      </c>
      <c r="N30" s="305" t="s">
        <v>13</v>
      </c>
      <c r="O30" s="309" t="s">
        <v>14</v>
      </c>
      <c r="P30" s="310" t="s">
        <v>27</v>
      </c>
      <c r="Q30" s="310" t="s">
        <v>39</v>
      </c>
      <c r="R30" s="310" t="s">
        <v>15</v>
      </c>
      <c r="S30" s="311" t="s">
        <v>16</v>
      </c>
      <c r="T30" s="306" t="s">
        <v>17</v>
      </c>
      <c r="U30" s="305" t="s">
        <v>18</v>
      </c>
      <c r="V30" s="310" t="s">
        <v>19</v>
      </c>
      <c r="W30" s="311" t="s">
        <v>20</v>
      </c>
      <c r="X30" s="310" t="s">
        <v>21</v>
      </c>
      <c r="Y30" s="310" t="s">
        <v>22</v>
      </c>
      <c r="Z30" s="305" t="s">
        <v>24</v>
      </c>
      <c r="AA30" s="312" t="s">
        <v>23</v>
      </c>
    </row>
    <row r="31" spans="1:27" s="93" customFormat="1" ht="160.5" customHeight="1" x14ac:dyDescent="0.55000000000000004">
      <c r="A31" s="313">
        <v>1</v>
      </c>
      <c r="B31" s="314" t="s">
        <v>92</v>
      </c>
      <c r="C31" s="235" t="s">
        <v>56</v>
      </c>
      <c r="D31" s="315" t="s">
        <v>56</v>
      </c>
      <c r="E31" s="235" t="s">
        <v>40</v>
      </c>
      <c r="F31" s="235" t="s">
        <v>40</v>
      </c>
      <c r="G31" s="316" t="s">
        <v>49</v>
      </c>
      <c r="H31" s="234" t="s">
        <v>34</v>
      </c>
      <c r="I31" s="131">
        <v>27090000</v>
      </c>
      <c r="J31" s="236">
        <v>41672</v>
      </c>
      <c r="K31" s="235" t="s">
        <v>151</v>
      </c>
      <c r="L31" s="317" t="s">
        <v>32</v>
      </c>
      <c r="M31" s="234" t="s">
        <v>44</v>
      </c>
      <c r="N31" s="318" t="s">
        <v>54</v>
      </c>
      <c r="O31" s="319">
        <v>75000</v>
      </c>
      <c r="P31" s="320">
        <f t="shared" ref="P31" si="0">O31*S31</f>
        <v>8203500</v>
      </c>
      <c r="Q31" s="320">
        <f t="shared" ref="Q31" si="1">P31*W31</f>
        <v>1277695125</v>
      </c>
      <c r="R31" s="320" t="s">
        <v>25</v>
      </c>
      <c r="S31" s="263">
        <v>109.38</v>
      </c>
      <c r="T31" s="321">
        <f t="shared" ref="T31" si="2">J31+90</f>
        <v>41762</v>
      </c>
      <c r="U31" s="322" t="s">
        <v>40</v>
      </c>
      <c r="V31" s="320">
        <f t="shared" ref="V31" si="3">P31*0.12%</f>
        <v>9844.1999999999989</v>
      </c>
      <c r="W31" s="263">
        <v>155.75</v>
      </c>
      <c r="X31" s="320">
        <f t="shared" ref="X31" si="4">V31*W31</f>
        <v>1533234.15</v>
      </c>
      <c r="Y31" s="320" t="s">
        <v>40</v>
      </c>
      <c r="Z31" s="235" t="s">
        <v>40</v>
      </c>
      <c r="AA31" s="323" t="s">
        <v>40</v>
      </c>
    </row>
    <row r="32" spans="1:27" s="93" customFormat="1" ht="160.5" customHeight="1" x14ac:dyDescent="0.55000000000000004">
      <c r="A32" s="212">
        <v>2</v>
      </c>
      <c r="B32" s="143" t="s">
        <v>93</v>
      </c>
      <c r="C32" s="134" t="s">
        <v>56</v>
      </c>
      <c r="D32" s="139" t="s">
        <v>56</v>
      </c>
      <c r="E32" s="134" t="s">
        <v>135</v>
      </c>
      <c r="F32" s="134" t="s">
        <v>150</v>
      </c>
      <c r="G32" s="144" t="s">
        <v>72</v>
      </c>
      <c r="H32" s="135" t="s">
        <v>34</v>
      </c>
      <c r="I32" s="135">
        <v>27090000</v>
      </c>
      <c r="J32" s="136">
        <v>41672</v>
      </c>
      <c r="K32" s="134" t="s">
        <v>151</v>
      </c>
      <c r="L32" s="147" t="s">
        <v>32</v>
      </c>
      <c r="M32" s="135" t="s">
        <v>44</v>
      </c>
      <c r="N32" s="156" t="s">
        <v>54</v>
      </c>
      <c r="O32" s="149">
        <v>90000</v>
      </c>
      <c r="P32" s="141">
        <f t="shared" ref="P32:P47" si="5">O32*S32</f>
        <v>9844200</v>
      </c>
      <c r="Q32" s="141">
        <f t="shared" ref="Q32" si="6">P32*W32</f>
        <v>1533234150</v>
      </c>
      <c r="R32" s="141" t="s">
        <v>25</v>
      </c>
      <c r="S32" s="140">
        <v>109.38</v>
      </c>
      <c r="T32" s="151">
        <f t="shared" ref="T32" si="7">J32+90</f>
        <v>41762</v>
      </c>
      <c r="U32" s="157" t="s">
        <v>40</v>
      </c>
      <c r="V32" s="141">
        <f t="shared" ref="V32" si="8">P32*0.12%</f>
        <v>11813.039999999999</v>
      </c>
      <c r="W32" s="140">
        <v>155.75</v>
      </c>
      <c r="X32" s="141">
        <f t="shared" ref="X32" si="9">V32*W32</f>
        <v>1839880.9799999997</v>
      </c>
      <c r="Y32" s="141" t="s">
        <v>40</v>
      </c>
      <c r="Z32" s="134" t="s">
        <v>40</v>
      </c>
      <c r="AA32" s="221" t="s">
        <v>40</v>
      </c>
    </row>
    <row r="33" spans="1:27" s="93" customFormat="1" ht="160.5" customHeight="1" x14ac:dyDescent="0.55000000000000004">
      <c r="A33" s="212">
        <v>3</v>
      </c>
      <c r="B33" s="143" t="s">
        <v>94</v>
      </c>
      <c r="C33" s="134" t="s">
        <v>56</v>
      </c>
      <c r="D33" s="139" t="s">
        <v>56</v>
      </c>
      <c r="E33" s="134" t="s">
        <v>40</v>
      </c>
      <c r="F33" s="134" t="s">
        <v>40</v>
      </c>
      <c r="G33" s="144" t="s">
        <v>49</v>
      </c>
      <c r="H33" s="135" t="s">
        <v>34</v>
      </c>
      <c r="I33" s="135">
        <v>27090000</v>
      </c>
      <c r="J33" s="136">
        <v>41672</v>
      </c>
      <c r="K33" s="134" t="s">
        <v>151</v>
      </c>
      <c r="L33" s="147" t="s">
        <v>32</v>
      </c>
      <c r="M33" s="135" t="s">
        <v>44</v>
      </c>
      <c r="N33" s="156" t="s">
        <v>54</v>
      </c>
      <c r="O33" s="149">
        <v>100000</v>
      </c>
      <c r="P33" s="141">
        <f t="shared" si="5"/>
        <v>10938000</v>
      </c>
      <c r="Q33" s="141">
        <f t="shared" ref="Q33:Q47" si="10">P33*W33</f>
        <v>1703593500</v>
      </c>
      <c r="R33" s="141" t="s">
        <v>25</v>
      </c>
      <c r="S33" s="140">
        <v>109.38</v>
      </c>
      <c r="T33" s="151">
        <f t="shared" ref="T33:T47" si="11">J33+90</f>
        <v>41762</v>
      </c>
      <c r="U33" s="157" t="s">
        <v>40</v>
      </c>
      <c r="V33" s="141">
        <f t="shared" ref="V33:V47" si="12">P33*0.12%</f>
        <v>13125.599999999999</v>
      </c>
      <c r="W33" s="140">
        <v>155.75</v>
      </c>
      <c r="X33" s="141">
        <f t="shared" ref="X33:X47" si="13">V33*W33</f>
        <v>2044312.1999999997</v>
      </c>
      <c r="Y33" s="141" t="s">
        <v>40</v>
      </c>
      <c r="Z33" s="134" t="s">
        <v>40</v>
      </c>
      <c r="AA33" s="221" t="s">
        <v>40</v>
      </c>
    </row>
    <row r="34" spans="1:27" s="93" customFormat="1" ht="160.5" customHeight="1" x14ac:dyDescent="0.55000000000000004">
      <c r="A34" s="212">
        <v>4</v>
      </c>
      <c r="B34" s="143" t="s">
        <v>95</v>
      </c>
      <c r="C34" s="134" t="s">
        <v>56</v>
      </c>
      <c r="D34" s="139" t="s">
        <v>56</v>
      </c>
      <c r="E34" s="134" t="s">
        <v>40</v>
      </c>
      <c r="F34" s="134" t="s">
        <v>40</v>
      </c>
      <c r="G34" s="144" t="s">
        <v>49</v>
      </c>
      <c r="H34" s="135" t="s">
        <v>34</v>
      </c>
      <c r="I34" s="135">
        <v>27090000</v>
      </c>
      <c r="J34" s="136">
        <v>41672</v>
      </c>
      <c r="K34" s="134" t="s">
        <v>151</v>
      </c>
      <c r="L34" s="147" t="s">
        <v>32</v>
      </c>
      <c r="M34" s="135" t="s">
        <v>44</v>
      </c>
      <c r="N34" s="156" t="s">
        <v>54</v>
      </c>
      <c r="O34" s="149">
        <v>688200</v>
      </c>
      <c r="P34" s="141">
        <f t="shared" si="5"/>
        <v>75275316</v>
      </c>
      <c r="Q34" s="141">
        <f t="shared" si="10"/>
        <v>11724130467</v>
      </c>
      <c r="R34" s="141" t="s">
        <v>25</v>
      </c>
      <c r="S34" s="140">
        <v>109.38</v>
      </c>
      <c r="T34" s="151">
        <f t="shared" si="11"/>
        <v>41762</v>
      </c>
      <c r="U34" s="157" t="s">
        <v>40</v>
      </c>
      <c r="V34" s="141">
        <f t="shared" si="12"/>
        <v>90330.379199999996</v>
      </c>
      <c r="W34" s="140">
        <v>155.75</v>
      </c>
      <c r="X34" s="141">
        <f t="shared" si="13"/>
        <v>14068956.5604</v>
      </c>
      <c r="Y34" s="141" t="s">
        <v>40</v>
      </c>
      <c r="Z34" s="134" t="s">
        <v>40</v>
      </c>
      <c r="AA34" s="221" t="s">
        <v>40</v>
      </c>
    </row>
    <row r="35" spans="1:27" s="93" customFormat="1" ht="160.5" customHeight="1" x14ac:dyDescent="0.55000000000000004">
      <c r="A35" s="212">
        <v>5</v>
      </c>
      <c r="B35" s="143" t="s">
        <v>97</v>
      </c>
      <c r="C35" s="134" t="s">
        <v>56</v>
      </c>
      <c r="D35" s="139" t="s">
        <v>56</v>
      </c>
      <c r="E35" s="134" t="s">
        <v>40</v>
      </c>
      <c r="F35" s="134" t="s">
        <v>40</v>
      </c>
      <c r="G35" s="144" t="s">
        <v>35</v>
      </c>
      <c r="H35" s="135" t="s">
        <v>33</v>
      </c>
      <c r="I35" s="135">
        <v>27090000</v>
      </c>
      <c r="J35" s="136">
        <v>41675</v>
      </c>
      <c r="K35" s="134" t="s">
        <v>153</v>
      </c>
      <c r="L35" s="147" t="s">
        <v>31</v>
      </c>
      <c r="M35" s="135" t="s">
        <v>36</v>
      </c>
      <c r="N35" s="156" t="s">
        <v>51</v>
      </c>
      <c r="O35" s="149">
        <v>949433</v>
      </c>
      <c r="P35" s="141">
        <f t="shared" si="5"/>
        <v>104072098.295</v>
      </c>
      <c r="Q35" s="141">
        <f t="shared" si="10"/>
        <v>16209229309.446251</v>
      </c>
      <c r="R35" s="141" t="s">
        <v>25</v>
      </c>
      <c r="S35" s="140">
        <v>109.61499999999999</v>
      </c>
      <c r="T35" s="151">
        <f t="shared" si="11"/>
        <v>41765</v>
      </c>
      <c r="U35" s="157" t="s">
        <v>40</v>
      </c>
      <c r="V35" s="141">
        <f t="shared" si="12"/>
        <v>124886.517954</v>
      </c>
      <c r="W35" s="140">
        <v>155.75</v>
      </c>
      <c r="X35" s="141">
        <f t="shared" si="13"/>
        <v>19451075.1713355</v>
      </c>
      <c r="Y35" s="141" t="s">
        <v>40</v>
      </c>
      <c r="Z35" s="134" t="s">
        <v>40</v>
      </c>
      <c r="AA35" s="221" t="s">
        <v>40</v>
      </c>
    </row>
    <row r="36" spans="1:27" s="93" customFormat="1" ht="160.5" customHeight="1" x14ac:dyDescent="0.55000000000000004">
      <c r="A36" s="386">
        <v>6</v>
      </c>
      <c r="B36" s="143" t="s">
        <v>98</v>
      </c>
      <c r="C36" s="134" t="s">
        <v>56</v>
      </c>
      <c r="D36" s="139" t="s">
        <v>56</v>
      </c>
      <c r="E36" s="384" t="s">
        <v>137</v>
      </c>
      <c r="F36" s="134" t="s">
        <v>41</v>
      </c>
      <c r="G36" s="144" t="s">
        <v>73</v>
      </c>
      <c r="H36" s="135" t="s">
        <v>34</v>
      </c>
      <c r="I36" s="135">
        <v>27090000</v>
      </c>
      <c r="J36" s="136">
        <v>41676</v>
      </c>
      <c r="K36" s="134" t="s">
        <v>154</v>
      </c>
      <c r="L36" s="147" t="s">
        <v>32</v>
      </c>
      <c r="M36" s="135" t="s">
        <v>90</v>
      </c>
      <c r="N36" s="156" t="s">
        <v>168</v>
      </c>
      <c r="O36" s="149">
        <v>500000</v>
      </c>
      <c r="P36" s="141">
        <f t="shared" si="5"/>
        <v>55049000</v>
      </c>
      <c r="Q36" s="141">
        <f t="shared" si="10"/>
        <v>8573881750</v>
      </c>
      <c r="R36" s="141" t="s">
        <v>25</v>
      </c>
      <c r="S36" s="140">
        <v>110.098</v>
      </c>
      <c r="T36" s="151">
        <f t="shared" si="11"/>
        <v>41766</v>
      </c>
      <c r="U36" s="157" t="s">
        <v>40</v>
      </c>
      <c r="V36" s="141">
        <f t="shared" si="12"/>
        <v>66058.799999999988</v>
      </c>
      <c r="W36" s="140">
        <v>155.75</v>
      </c>
      <c r="X36" s="141">
        <f t="shared" si="13"/>
        <v>10288658.099999998</v>
      </c>
      <c r="Y36" s="141" t="s">
        <v>40</v>
      </c>
      <c r="Z36" s="134" t="s">
        <v>40</v>
      </c>
      <c r="AA36" s="221" t="s">
        <v>40</v>
      </c>
    </row>
    <row r="37" spans="1:27" s="93" customFormat="1" ht="160.5" customHeight="1" x14ac:dyDescent="0.55000000000000004">
      <c r="A37" s="387"/>
      <c r="B37" s="143" t="s">
        <v>99</v>
      </c>
      <c r="C37" s="134" t="s">
        <v>56</v>
      </c>
      <c r="D37" s="139" t="s">
        <v>56</v>
      </c>
      <c r="E37" s="385"/>
      <c r="F37" s="134" t="s">
        <v>41</v>
      </c>
      <c r="G37" s="144" t="s">
        <v>73</v>
      </c>
      <c r="H37" s="135" t="s">
        <v>34</v>
      </c>
      <c r="I37" s="135">
        <v>27090000</v>
      </c>
      <c r="J37" s="136">
        <v>41676</v>
      </c>
      <c r="K37" s="134" t="s">
        <v>154</v>
      </c>
      <c r="L37" s="147" t="s">
        <v>32</v>
      </c>
      <c r="M37" s="135" t="s">
        <v>90</v>
      </c>
      <c r="N37" s="156" t="s">
        <v>169</v>
      </c>
      <c r="O37" s="149">
        <v>454596</v>
      </c>
      <c r="P37" s="141">
        <f t="shared" si="5"/>
        <v>50050110.408</v>
      </c>
      <c r="Q37" s="141">
        <f t="shared" si="10"/>
        <v>7795304696.0459995</v>
      </c>
      <c r="R37" s="141" t="s">
        <v>25</v>
      </c>
      <c r="S37" s="140">
        <v>110.098</v>
      </c>
      <c r="T37" s="151">
        <f t="shared" si="11"/>
        <v>41766</v>
      </c>
      <c r="U37" s="157" t="s">
        <v>40</v>
      </c>
      <c r="V37" s="141">
        <f t="shared" si="12"/>
        <v>60060.132489599993</v>
      </c>
      <c r="W37" s="140">
        <v>155.75</v>
      </c>
      <c r="X37" s="141">
        <f t="shared" si="13"/>
        <v>9354365.6352551989</v>
      </c>
      <c r="Y37" s="141" t="s">
        <v>40</v>
      </c>
      <c r="Z37" s="134" t="s">
        <v>40</v>
      </c>
      <c r="AA37" s="142" t="s">
        <v>40</v>
      </c>
    </row>
    <row r="38" spans="1:27" s="93" customFormat="1" ht="160.5" customHeight="1" x14ac:dyDescent="0.55000000000000004">
      <c r="A38" s="212">
        <v>7</v>
      </c>
      <c r="B38" s="143" t="s">
        <v>100</v>
      </c>
      <c r="C38" s="134" t="s">
        <v>56</v>
      </c>
      <c r="D38" s="139" t="s">
        <v>56</v>
      </c>
      <c r="E38" s="134" t="s">
        <v>40</v>
      </c>
      <c r="F38" s="134" t="s">
        <v>40</v>
      </c>
      <c r="G38" s="144" t="s">
        <v>35</v>
      </c>
      <c r="H38" s="135" t="s">
        <v>33</v>
      </c>
      <c r="I38" s="135">
        <v>27090000</v>
      </c>
      <c r="J38" s="136">
        <v>41678</v>
      </c>
      <c r="K38" s="134" t="s">
        <v>155</v>
      </c>
      <c r="L38" s="147" t="s">
        <v>31</v>
      </c>
      <c r="M38" s="135" t="s">
        <v>44</v>
      </c>
      <c r="N38" s="156" t="s">
        <v>54</v>
      </c>
      <c r="O38" s="149">
        <v>949629</v>
      </c>
      <c r="P38" s="141">
        <f t="shared" si="5"/>
        <v>105723146.199</v>
      </c>
      <c r="Q38" s="141">
        <f t="shared" si="10"/>
        <v>16466380020.494249</v>
      </c>
      <c r="R38" s="141" t="s">
        <v>25</v>
      </c>
      <c r="S38" s="140">
        <v>111.331</v>
      </c>
      <c r="T38" s="151">
        <f t="shared" si="11"/>
        <v>41768</v>
      </c>
      <c r="U38" s="157" t="s">
        <v>40</v>
      </c>
      <c r="V38" s="141">
        <f t="shared" si="12"/>
        <v>126867.77543879999</v>
      </c>
      <c r="W38" s="140">
        <v>155.75</v>
      </c>
      <c r="X38" s="141">
        <f t="shared" si="13"/>
        <v>19759656.0245931</v>
      </c>
      <c r="Y38" s="141" t="s">
        <v>40</v>
      </c>
      <c r="Z38" s="134" t="s">
        <v>40</v>
      </c>
      <c r="AA38" s="221" t="s">
        <v>40</v>
      </c>
    </row>
    <row r="39" spans="1:27" s="93" customFormat="1" ht="160.5" customHeight="1" x14ac:dyDescent="0.55000000000000004">
      <c r="A39" s="212">
        <v>8</v>
      </c>
      <c r="B39" s="143" t="s">
        <v>105</v>
      </c>
      <c r="C39" s="134" t="s">
        <v>56</v>
      </c>
      <c r="D39" s="139" t="s">
        <v>56</v>
      </c>
      <c r="E39" s="134" t="s">
        <v>40</v>
      </c>
      <c r="F39" s="134" t="s">
        <v>40</v>
      </c>
      <c r="G39" s="144" t="s">
        <v>35</v>
      </c>
      <c r="H39" s="135" t="s">
        <v>33</v>
      </c>
      <c r="I39" s="135">
        <v>27090000</v>
      </c>
      <c r="J39" s="136">
        <v>41685</v>
      </c>
      <c r="K39" s="134" t="s">
        <v>158</v>
      </c>
      <c r="L39" s="147" t="s">
        <v>31</v>
      </c>
      <c r="M39" s="135" t="s">
        <v>46</v>
      </c>
      <c r="N39" s="156" t="s">
        <v>60</v>
      </c>
      <c r="O39" s="149">
        <v>949870</v>
      </c>
      <c r="P39" s="141">
        <f t="shared" si="5"/>
        <v>105186704.06</v>
      </c>
      <c r="Q39" s="141">
        <f t="shared" si="10"/>
        <v>16382829157.345001</v>
      </c>
      <c r="R39" s="141" t="s">
        <v>25</v>
      </c>
      <c r="S39" s="140">
        <v>110.738</v>
      </c>
      <c r="T39" s="151">
        <f t="shared" si="11"/>
        <v>41775</v>
      </c>
      <c r="U39" s="157" t="s">
        <v>40</v>
      </c>
      <c r="V39" s="141">
        <f t="shared" si="12"/>
        <v>126224.044872</v>
      </c>
      <c r="W39" s="140">
        <v>155.75</v>
      </c>
      <c r="X39" s="141">
        <f t="shared" si="13"/>
        <v>19659394.988814</v>
      </c>
      <c r="Y39" s="141" t="s">
        <v>40</v>
      </c>
      <c r="Z39" s="134" t="s">
        <v>40</v>
      </c>
      <c r="AA39" s="142" t="s">
        <v>40</v>
      </c>
    </row>
    <row r="40" spans="1:27" s="93" customFormat="1" ht="160.5" customHeight="1" x14ac:dyDescent="0.55000000000000004">
      <c r="A40" s="212">
        <v>9</v>
      </c>
      <c r="B40" s="143" t="s">
        <v>113</v>
      </c>
      <c r="C40" s="134" t="s">
        <v>56</v>
      </c>
      <c r="D40" s="139" t="s">
        <v>56</v>
      </c>
      <c r="E40" s="134" t="s">
        <v>40</v>
      </c>
      <c r="F40" s="134" t="s">
        <v>40</v>
      </c>
      <c r="G40" s="144" t="s">
        <v>49</v>
      </c>
      <c r="H40" s="135" t="s">
        <v>34</v>
      </c>
      <c r="I40" s="135">
        <v>27090000</v>
      </c>
      <c r="J40" s="136">
        <v>41693</v>
      </c>
      <c r="K40" s="134" t="s">
        <v>162</v>
      </c>
      <c r="L40" s="147" t="s">
        <v>32</v>
      </c>
      <c r="M40" s="135" t="s">
        <v>44</v>
      </c>
      <c r="N40" s="156" t="s">
        <v>54</v>
      </c>
      <c r="O40" s="149">
        <v>772894</v>
      </c>
      <c r="P40" s="141">
        <f t="shared" si="5"/>
        <v>85903303.629999995</v>
      </c>
      <c r="Q40" s="141">
        <f t="shared" si="10"/>
        <v>13379439540.372499</v>
      </c>
      <c r="R40" s="141" t="s">
        <v>25</v>
      </c>
      <c r="S40" s="140">
        <v>111.145</v>
      </c>
      <c r="T40" s="151">
        <f t="shared" si="11"/>
        <v>41783</v>
      </c>
      <c r="U40" s="157" t="s">
        <v>40</v>
      </c>
      <c r="V40" s="141">
        <f t="shared" si="12"/>
        <v>103083.96435599998</v>
      </c>
      <c r="W40" s="140">
        <v>155.75</v>
      </c>
      <c r="X40" s="141">
        <f t="shared" si="13"/>
        <v>16055327.448446997</v>
      </c>
      <c r="Y40" s="141" t="s">
        <v>40</v>
      </c>
      <c r="Z40" s="134" t="s">
        <v>40</v>
      </c>
      <c r="AA40" s="221" t="s">
        <v>40</v>
      </c>
    </row>
    <row r="41" spans="1:27" s="93" customFormat="1" ht="160.5" customHeight="1" x14ac:dyDescent="0.55000000000000004">
      <c r="A41" s="212">
        <v>10</v>
      </c>
      <c r="B41" s="143" t="s">
        <v>114</v>
      </c>
      <c r="C41" s="134" t="s">
        <v>56</v>
      </c>
      <c r="D41" s="139" t="s">
        <v>56</v>
      </c>
      <c r="E41" s="134" t="s">
        <v>148</v>
      </c>
      <c r="F41" s="134" t="s">
        <v>52</v>
      </c>
      <c r="G41" s="144" t="s">
        <v>48</v>
      </c>
      <c r="H41" s="135" t="s">
        <v>34</v>
      </c>
      <c r="I41" s="131">
        <v>27090000</v>
      </c>
      <c r="J41" s="136">
        <v>41693</v>
      </c>
      <c r="K41" s="134" t="s">
        <v>162</v>
      </c>
      <c r="L41" s="147" t="s">
        <v>32</v>
      </c>
      <c r="M41" s="135" t="s">
        <v>44</v>
      </c>
      <c r="N41" s="156" t="s">
        <v>54</v>
      </c>
      <c r="O41" s="149">
        <v>57300</v>
      </c>
      <c r="P41" s="141">
        <f t="shared" si="5"/>
        <v>6368608.5</v>
      </c>
      <c r="Q41" s="141">
        <f t="shared" si="10"/>
        <v>991910773.875</v>
      </c>
      <c r="R41" s="141" t="s">
        <v>25</v>
      </c>
      <c r="S41" s="140">
        <v>111.145</v>
      </c>
      <c r="T41" s="151">
        <f t="shared" si="11"/>
        <v>41783</v>
      </c>
      <c r="U41" s="157" t="s">
        <v>52</v>
      </c>
      <c r="V41" s="141">
        <f t="shared" si="12"/>
        <v>7642.3301999999994</v>
      </c>
      <c r="W41" s="140">
        <v>155.75</v>
      </c>
      <c r="X41" s="141">
        <f t="shared" si="13"/>
        <v>1190292.9286499999</v>
      </c>
      <c r="Y41" s="141">
        <v>1127696.6599999999</v>
      </c>
      <c r="Z41" s="134" t="s">
        <v>174</v>
      </c>
      <c r="AA41" s="142">
        <v>41691</v>
      </c>
    </row>
    <row r="42" spans="1:27" s="93" customFormat="1" ht="160.5" customHeight="1" x14ac:dyDescent="0.55000000000000004">
      <c r="A42" s="212">
        <v>11</v>
      </c>
      <c r="B42" s="143" t="s">
        <v>115</v>
      </c>
      <c r="C42" s="134" t="s">
        <v>56</v>
      </c>
      <c r="D42" s="139" t="s">
        <v>56</v>
      </c>
      <c r="E42" s="152" t="s">
        <v>40</v>
      </c>
      <c r="F42" s="134" t="s">
        <v>40</v>
      </c>
      <c r="G42" s="144" t="s">
        <v>72</v>
      </c>
      <c r="H42" s="135" t="s">
        <v>34</v>
      </c>
      <c r="I42" s="131">
        <v>27090000</v>
      </c>
      <c r="J42" s="136">
        <v>41693</v>
      </c>
      <c r="K42" s="134" t="s">
        <v>162</v>
      </c>
      <c r="L42" s="147" t="s">
        <v>32</v>
      </c>
      <c r="M42" s="135" t="s">
        <v>44</v>
      </c>
      <c r="N42" s="156" t="s">
        <v>54</v>
      </c>
      <c r="O42" s="149">
        <v>23875</v>
      </c>
      <c r="P42" s="141">
        <f t="shared" si="5"/>
        <v>2653586.875</v>
      </c>
      <c r="Q42" s="141">
        <f t="shared" si="10"/>
        <v>413296155.78125</v>
      </c>
      <c r="R42" s="141" t="s">
        <v>25</v>
      </c>
      <c r="S42" s="140">
        <v>111.145</v>
      </c>
      <c r="T42" s="151">
        <f t="shared" si="11"/>
        <v>41783</v>
      </c>
      <c r="U42" s="157" t="s">
        <v>40</v>
      </c>
      <c r="V42" s="141">
        <f t="shared" si="12"/>
        <v>3184.3042499999997</v>
      </c>
      <c r="W42" s="140">
        <v>155.75</v>
      </c>
      <c r="X42" s="141">
        <f t="shared" si="13"/>
        <v>495955.38693749998</v>
      </c>
      <c r="Y42" s="141" t="s">
        <v>40</v>
      </c>
      <c r="Z42" s="134" t="s">
        <v>40</v>
      </c>
      <c r="AA42" s="221" t="s">
        <v>40</v>
      </c>
    </row>
    <row r="43" spans="1:27" s="93" customFormat="1" ht="160.5" customHeight="1" x14ac:dyDescent="0.55000000000000004">
      <c r="A43" s="212">
        <v>12</v>
      </c>
      <c r="B43" s="143" t="s">
        <v>116</v>
      </c>
      <c r="C43" s="134" t="s">
        <v>56</v>
      </c>
      <c r="D43" s="139" t="s">
        <v>56</v>
      </c>
      <c r="E43" s="152" t="s">
        <v>40</v>
      </c>
      <c r="F43" s="134" t="s">
        <v>40</v>
      </c>
      <c r="G43" s="144" t="s">
        <v>57</v>
      </c>
      <c r="H43" s="135" t="s">
        <v>34</v>
      </c>
      <c r="I43" s="131">
        <v>27090000</v>
      </c>
      <c r="J43" s="136">
        <v>41693</v>
      </c>
      <c r="K43" s="134" t="s">
        <v>162</v>
      </c>
      <c r="L43" s="147" t="s">
        <v>32</v>
      </c>
      <c r="M43" s="135" t="s">
        <v>44</v>
      </c>
      <c r="N43" s="156" t="s">
        <v>54</v>
      </c>
      <c r="O43" s="149">
        <v>100275</v>
      </c>
      <c r="P43" s="141">
        <f t="shared" si="5"/>
        <v>11145064.875</v>
      </c>
      <c r="Q43" s="141">
        <f t="shared" si="10"/>
        <v>1735843854.28125</v>
      </c>
      <c r="R43" s="141" t="s">
        <v>25</v>
      </c>
      <c r="S43" s="140">
        <v>111.145</v>
      </c>
      <c r="T43" s="151">
        <f t="shared" si="11"/>
        <v>41783</v>
      </c>
      <c r="U43" s="157" t="s">
        <v>40</v>
      </c>
      <c r="V43" s="141">
        <f t="shared" si="12"/>
        <v>13374.07785</v>
      </c>
      <c r="W43" s="140">
        <v>155.75</v>
      </c>
      <c r="X43" s="141">
        <f t="shared" si="13"/>
        <v>2083012.6251375</v>
      </c>
      <c r="Y43" s="141" t="s">
        <v>40</v>
      </c>
      <c r="Z43" s="134" t="s">
        <v>40</v>
      </c>
      <c r="AA43" s="221" t="s">
        <v>40</v>
      </c>
    </row>
    <row r="44" spans="1:27" s="93" customFormat="1" ht="160.5" customHeight="1" x14ac:dyDescent="0.55000000000000004">
      <c r="A44" s="212">
        <v>13</v>
      </c>
      <c r="B44" s="143" t="s">
        <v>119</v>
      </c>
      <c r="C44" s="134" t="s">
        <v>56</v>
      </c>
      <c r="D44" s="139" t="s">
        <v>56</v>
      </c>
      <c r="E44" s="152" t="s">
        <v>40</v>
      </c>
      <c r="F44" s="134" t="s">
        <v>40</v>
      </c>
      <c r="G44" s="144" t="s">
        <v>35</v>
      </c>
      <c r="H44" s="135" t="s">
        <v>33</v>
      </c>
      <c r="I44" s="131">
        <v>27090000</v>
      </c>
      <c r="J44" s="136">
        <v>41697</v>
      </c>
      <c r="K44" s="134" t="s">
        <v>164</v>
      </c>
      <c r="L44" s="147" t="s">
        <v>31</v>
      </c>
      <c r="M44" s="135" t="s">
        <v>47</v>
      </c>
      <c r="N44" s="156" t="s">
        <v>91</v>
      </c>
      <c r="O44" s="149">
        <v>950043</v>
      </c>
      <c r="P44" s="141">
        <f t="shared" si="5"/>
        <v>105321766.98</v>
      </c>
      <c r="Q44" s="141">
        <f t="shared" si="10"/>
        <v>16403865207.135</v>
      </c>
      <c r="R44" s="141" t="s">
        <v>25</v>
      </c>
      <c r="S44" s="140">
        <v>110.86</v>
      </c>
      <c r="T44" s="151">
        <f t="shared" si="11"/>
        <v>41787</v>
      </c>
      <c r="U44" s="157" t="s">
        <v>40</v>
      </c>
      <c r="V44" s="141">
        <f t="shared" si="12"/>
        <v>126386.12037599999</v>
      </c>
      <c r="W44" s="140">
        <v>155.75</v>
      </c>
      <c r="X44" s="141">
        <f t="shared" si="13"/>
        <v>19684638.248561997</v>
      </c>
      <c r="Y44" s="141" t="s">
        <v>40</v>
      </c>
      <c r="Z44" s="134" t="s">
        <v>40</v>
      </c>
      <c r="AA44" s="221" t="s">
        <v>40</v>
      </c>
    </row>
    <row r="45" spans="1:27" s="93" customFormat="1" ht="160.5" customHeight="1" x14ac:dyDescent="0.55000000000000004">
      <c r="A45" s="212">
        <v>14</v>
      </c>
      <c r="B45" s="143" t="s">
        <v>120</v>
      </c>
      <c r="C45" s="134" t="s">
        <v>56</v>
      </c>
      <c r="D45" s="139" t="s">
        <v>56</v>
      </c>
      <c r="E45" s="134" t="s">
        <v>40</v>
      </c>
      <c r="F45" s="134" t="s">
        <v>40</v>
      </c>
      <c r="G45" s="144" t="s">
        <v>72</v>
      </c>
      <c r="H45" s="135" t="s">
        <v>74</v>
      </c>
      <c r="I45" s="131">
        <v>27090000</v>
      </c>
      <c r="J45" s="136">
        <v>41697</v>
      </c>
      <c r="K45" s="134" t="s">
        <v>165</v>
      </c>
      <c r="L45" s="147" t="s">
        <v>80</v>
      </c>
      <c r="M45" s="135" t="s">
        <v>81</v>
      </c>
      <c r="N45" s="156" t="s">
        <v>84</v>
      </c>
      <c r="O45" s="149">
        <v>955003</v>
      </c>
      <c r="P45" s="141">
        <f t="shared" si="5"/>
        <v>107877138.88</v>
      </c>
      <c r="Q45" s="141">
        <f t="shared" si="10"/>
        <v>16801864380.559999</v>
      </c>
      <c r="R45" s="141" t="s">
        <v>25</v>
      </c>
      <c r="S45" s="140">
        <v>112.96</v>
      </c>
      <c r="T45" s="151">
        <f t="shared" si="11"/>
        <v>41787</v>
      </c>
      <c r="U45" s="157" t="s">
        <v>40</v>
      </c>
      <c r="V45" s="141">
        <f t="shared" si="12"/>
        <v>129452.56665599998</v>
      </c>
      <c r="W45" s="140">
        <v>155.75</v>
      </c>
      <c r="X45" s="141">
        <f t="shared" si="13"/>
        <v>20162237.256671999</v>
      </c>
      <c r="Y45" s="141" t="s">
        <v>40</v>
      </c>
      <c r="Z45" s="134" t="s">
        <v>40</v>
      </c>
      <c r="AA45" s="221" t="s">
        <v>40</v>
      </c>
    </row>
    <row r="46" spans="1:27" s="93" customFormat="1" ht="160.5" customHeight="1" x14ac:dyDescent="0.55000000000000004">
      <c r="A46" s="212">
        <v>15</v>
      </c>
      <c r="B46" s="143" t="s">
        <v>121</v>
      </c>
      <c r="C46" s="134" t="s">
        <v>56</v>
      </c>
      <c r="D46" s="139" t="s">
        <v>56</v>
      </c>
      <c r="E46" s="134" t="s">
        <v>40</v>
      </c>
      <c r="F46" s="134" t="s">
        <v>40</v>
      </c>
      <c r="G46" s="144" t="s">
        <v>49</v>
      </c>
      <c r="H46" s="135" t="s">
        <v>34</v>
      </c>
      <c r="I46" s="131">
        <v>27090000</v>
      </c>
      <c r="J46" s="136">
        <v>41698</v>
      </c>
      <c r="K46" s="134" t="s">
        <v>162</v>
      </c>
      <c r="L46" s="147" t="s">
        <v>32</v>
      </c>
      <c r="M46" s="135" t="s">
        <v>44</v>
      </c>
      <c r="N46" s="156" t="s">
        <v>54</v>
      </c>
      <c r="O46" s="149">
        <v>1000005</v>
      </c>
      <c r="P46" s="141">
        <f t="shared" si="5"/>
        <v>111301556.505</v>
      </c>
      <c r="Q46" s="141">
        <f t="shared" si="10"/>
        <v>17335217425.653748</v>
      </c>
      <c r="R46" s="141" t="s">
        <v>25</v>
      </c>
      <c r="S46" s="140">
        <v>111.301</v>
      </c>
      <c r="T46" s="151">
        <f t="shared" si="11"/>
        <v>41788</v>
      </c>
      <c r="U46" s="157" t="s">
        <v>40</v>
      </c>
      <c r="V46" s="141">
        <f t="shared" si="12"/>
        <v>133561.86780599999</v>
      </c>
      <c r="W46" s="140">
        <v>155.75</v>
      </c>
      <c r="X46" s="141">
        <f t="shared" si="13"/>
        <v>20802260.910784498</v>
      </c>
      <c r="Y46" s="141" t="s">
        <v>40</v>
      </c>
      <c r="Z46" s="134" t="s">
        <v>40</v>
      </c>
      <c r="AA46" s="221" t="s">
        <v>40</v>
      </c>
    </row>
    <row r="47" spans="1:27" s="93" customFormat="1" ht="160.5" customHeight="1" x14ac:dyDescent="0.55000000000000004">
      <c r="A47" s="212">
        <v>16</v>
      </c>
      <c r="B47" s="143" t="s">
        <v>122</v>
      </c>
      <c r="C47" s="134" t="s">
        <v>56</v>
      </c>
      <c r="D47" s="139" t="s">
        <v>56</v>
      </c>
      <c r="E47" s="134" t="s">
        <v>40</v>
      </c>
      <c r="F47" s="134" t="s">
        <v>40</v>
      </c>
      <c r="G47" s="144" t="s">
        <v>35</v>
      </c>
      <c r="H47" s="135" t="s">
        <v>33</v>
      </c>
      <c r="I47" s="131">
        <v>27090000</v>
      </c>
      <c r="J47" s="136">
        <v>41698</v>
      </c>
      <c r="K47" s="134" t="s">
        <v>166</v>
      </c>
      <c r="L47" s="147" t="s">
        <v>31</v>
      </c>
      <c r="M47" s="135" t="s">
        <v>26</v>
      </c>
      <c r="N47" s="156" t="s">
        <v>173</v>
      </c>
      <c r="O47" s="149">
        <v>949859</v>
      </c>
      <c r="P47" s="141">
        <f t="shared" si="5"/>
        <v>105720256.559</v>
      </c>
      <c r="Q47" s="141">
        <f t="shared" si="10"/>
        <v>16465929959.064251</v>
      </c>
      <c r="R47" s="141" t="s">
        <v>25</v>
      </c>
      <c r="S47" s="140">
        <v>111.301</v>
      </c>
      <c r="T47" s="151">
        <f t="shared" si="11"/>
        <v>41788</v>
      </c>
      <c r="U47" s="157" t="s">
        <v>40</v>
      </c>
      <c r="V47" s="141">
        <f t="shared" si="12"/>
        <v>126864.3078708</v>
      </c>
      <c r="W47" s="140">
        <v>155.75</v>
      </c>
      <c r="X47" s="141">
        <f t="shared" si="13"/>
        <v>19759115.9508771</v>
      </c>
      <c r="Y47" s="141" t="s">
        <v>40</v>
      </c>
      <c r="Z47" s="134" t="s">
        <v>40</v>
      </c>
      <c r="AA47" s="221" t="s">
        <v>40</v>
      </c>
    </row>
    <row r="48" spans="1:27" s="215" customFormat="1" ht="160.5" customHeight="1" x14ac:dyDescent="0.6">
      <c r="A48" s="212"/>
      <c r="B48" s="143"/>
      <c r="C48" s="152"/>
      <c r="D48" s="139"/>
      <c r="E48" s="134"/>
      <c r="F48" s="134"/>
      <c r="G48" s="144"/>
      <c r="H48" s="135"/>
      <c r="I48" s="135"/>
      <c r="J48" s="136"/>
      <c r="K48" s="134"/>
      <c r="L48" s="155"/>
      <c r="M48" s="135"/>
      <c r="N48" s="156"/>
      <c r="O48" s="149"/>
      <c r="P48" s="141"/>
      <c r="Q48" s="141"/>
      <c r="R48" s="141"/>
      <c r="S48" s="140"/>
      <c r="T48" s="151"/>
      <c r="U48" s="158"/>
      <c r="V48" s="141"/>
      <c r="W48" s="140"/>
      <c r="X48" s="141"/>
      <c r="Y48" s="141"/>
      <c r="Z48" s="134"/>
      <c r="AA48" s="221"/>
    </row>
    <row r="49" spans="1:27" ht="54" customHeight="1" thickBot="1" x14ac:dyDescent="0.65">
      <c r="A49" s="222"/>
      <c r="B49" s="163" t="s">
        <v>28</v>
      </c>
      <c r="C49" s="223"/>
      <c r="D49" s="161"/>
      <c r="E49" s="160"/>
      <c r="F49" s="160"/>
      <c r="G49" s="162"/>
      <c r="H49" s="163"/>
      <c r="I49" s="163"/>
      <c r="J49" s="216"/>
      <c r="K49" s="160"/>
      <c r="L49" s="225"/>
      <c r="M49" s="163"/>
      <c r="N49" s="164"/>
      <c r="O49" s="217">
        <f>SUM(O31:O48)</f>
        <v>9565982</v>
      </c>
      <c r="P49" s="165">
        <f>SUM(P31:P48)</f>
        <v>1060633357.766</v>
      </c>
      <c r="Q49" s="165">
        <f>SUM(Q31:Q48)</f>
        <v>165193645472.05447</v>
      </c>
      <c r="R49" s="165"/>
      <c r="S49" s="166"/>
      <c r="T49" s="167"/>
      <c r="U49" s="226"/>
      <c r="V49" s="165">
        <f>SUM(V31:V48)</f>
        <v>1272760.0293191997</v>
      </c>
      <c r="W49" s="166"/>
      <c r="X49" s="165">
        <f>SUM(X31:X48)</f>
        <v>198232374.56646541</v>
      </c>
      <c r="Y49" s="165">
        <f>SUM(Y31:Y48)</f>
        <v>1127696.6599999999</v>
      </c>
      <c r="Z49" s="160"/>
      <c r="AA49" s="224"/>
    </row>
    <row r="50" spans="1:27" x14ac:dyDescent="0.2">
      <c r="A50" s="8"/>
      <c r="B50" s="8"/>
      <c r="C50" s="6"/>
      <c r="D50" s="17"/>
      <c r="E50" s="18"/>
      <c r="F50" s="6"/>
      <c r="G50" s="19"/>
      <c r="H50" s="6"/>
      <c r="I50" s="6"/>
      <c r="J50" s="20"/>
      <c r="K50" s="8"/>
      <c r="L50" s="8"/>
      <c r="M50" s="6"/>
      <c r="N50" s="6"/>
      <c r="O50" s="21"/>
      <c r="P50" s="22"/>
      <c r="Q50" s="22"/>
      <c r="R50" s="22"/>
      <c r="S50" s="27"/>
      <c r="V50" s="22"/>
      <c r="W50" s="27"/>
      <c r="X50" s="22"/>
      <c r="Y50" s="22"/>
      <c r="Z50" s="6"/>
      <c r="AA50" s="6"/>
    </row>
    <row r="53" spans="1:27" ht="23.25" x14ac:dyDescent="0.35">
      <c r="O53" s="29"/>
      <c r="P53" s="30"/>
      <c r="Q53" s="30"/>
    </row>
    <row r="54" spans="1:27" x14ac:dyDescent="0.2">
      <c r="O54" s="24"/>
      <c r="P54" s="31"/>
      <c r="Q54" s="31"/>
    </row>
    <row r="55" spans="1:27" x14ac:dyDescent="0.2">
      <c r="O55" s="24"/>
      <c r="P55" s="24"/>
      <c r="Q55" s="24"/>
    </row>
    <row r="61" spans="1:27" s="16" customFormat="1" ht="15.75" customHeight="1" x14ac:dyDescent="0.2">
      <c r="A61" s="5"/>
      <c r="B61" s="5"/>
      <c r="C61" s="5"/>
      <c r="D61" s="14"/>
      <c r="E61" s="12"/>
      <c r="F61" s="5"/>
      <c r="G61" s="13"/>
      <c r="H61" s="5"/>
      <c r="I61" s="5"/>
      <c r="J61" s="14"/>
      <c r="K61" s="5"/>
      <c r="L61" s="5"/>
      <c r="M61" s="5"/>
      <c r="N61" s="5"/>
      <c r="O61" s="15"/>
      <c r="S61" s="26"/>
      <c r="T61" s="17"/>
      <c r="U61" s="5"/>
      <c r="W61" s="26"/>
      <c r="Z61" s="5"/>
      <c r="AA61" s="5"/>
    </row>
    <row r="62" spans="1:27" x14ac:dyDescent="0.2">
      <c r="N62" s="23"/>
      <c r="O62" s="24"/>
    </row>
  </sheetData>
  <mergeCells count="2">
    <mergeCell ref="E36:E37"/>
    <mergeCell ref="A36:A37"/>
  </mergeCells>
  <pageMargins left="0.31496062992125984" right="0.19685039370078741" top="0.15748031496062992" bottom="0.15748031496062992" header="0.31496062992125984" footer="0.31496062992125984"/>
  <pageSetup paperSize="9" scale="16" orientation="landscape" r:id="rId1"/>
  <headerFooter>
    <oddFooter>&amp;R2</oddFooter>
  </headerFooter>
  <colBreaks count="1" manualBreakCount="1">
    <brk id="16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CIR FEBRUARY 2014</vt:lpstr>
      <vt:lpstr>CID FEBRUARY 2014 </vt:lpstr>
      <vt:lpstr>NCI FEBRUARY 2014</vt:lpstr>
      <vt:lpstr>'CID FEBRUARY 2014 '!Print_Area</vt:lpstr>
      <vt:lpstr>'CIR FEBRUARY 2014'!Print_Area</vt:lpstr>
      <vt:lpstr>'NCI FEBRUARY 2014'!Print_Area</vt:lpstr>
      <vt:lpstr>'CID FEBRUARY 2014 '!Print_Titles</vt:lpstr>
      <vt:lpstr>'CIR FEBRUARY 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Ndidi</cp:lastModifiedBy>
  <cp:lastPrinted>2013-11-05T10:21:15Z</cp:lastPrinted>
  <dcterms:created xsi:type="dcterms:W3CDTF">2012-08-07T13:29:00Z</dcterms:created>
  <dcterms:modified xsi:type="dcterms:W3CDTF">2014-03-07T15:58:08Z</dcterms:modified>
</cp:coreProperties>
</file>