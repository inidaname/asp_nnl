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7320" windowWidth="23250" windowHeight="7260" tabRatio="763" firstSheet="1" activeTab="2"/>
  </bookViews>
  <sheets>
    <sheet name="Template - Q1_Returns" sheetId="10" r:id="rId1"/>
    <sheet name="Template - Q2_Returns" sheetId="11" r:id="rId2"/>
    <sheet name="Template - Q3_Returns" sheetId="12" r:id="rId3"/>
    <sheet name="TEMPLATE - Proceeds Bonga" sheetId="2" r:id="rId4"/>
    <sheet name="TEMPLATE - Lifting Bonga" sheetId="5" r:id="rId5"/>
    <sheet name="TEMPLATE - Proceeds Erha" sheetId="6" r:id="rId6"/>
    <sheet name="TEMPLATE - Lifting Erha" sheetId="7" r:id="rId7"/>
  </sheets>
  <externalReferences>
    <externalReference r:id="rId8"/>
  </externalReferences>
  <definedNames>
    <definedName name="cst_oil" localSheetId="1">'Template - Q2_Returns'!$H$9:$H$130</definedName>
    <definedName name="cst_oil" localSheetId="2">'Template - Q3_Returns'!$H$10:$H$131</definedName>
    <definedName name="cst_oil">'Template - Q1_Returns'!$H$9:$H$130</definedName>
    <definedName name="pf_oil_splt_cont" localSheetId="1">'Template - Q2_Returns'!$O$9:$O$130</definedName>
    <definedName name="pf_oil_splt_cont" localSheetId="2">'Template - Q3_Returns'!$O$10:$O$131</definedName>
    <definedName name="pf_oil_splt_cont">'Template - Q1_Returns'!$O$9:$O$130</definedName>
    <definedName name="_xlnm.Print_Area" localSheetId="4">'TEMPLATE - Lifting Bonga'!#REF!</definedName>
    <definedName name="_xlnm.Print_Area" localSheetId="6">'TEMPLATE - Lifting Erha'!#REF!</definedName>
    <definedName name="_xlnm.Print_Area" localSheetId="3">'TEMPLATE - Proceeds Bonga'!#REF!</definedName>
    <definedName name="_xlnm.Print_Area" localSheetId="5">'TEMPLATE - Proceeds Erha'!#REF!</definedName>
    <definedName name="_xlnm.Print_Area" localSheetId="0">'Template - Q1_Returns'!$B$1:$T$9</definedName>
    <definedName name="_xlnm.Print_Area" localSheetId="1">'Template - Q2_Returns'!$B$1:$T$9</definedName>
    <definedName name="_xlnm.Print_Area" localSheetId="2">'Template - Q3_Returns'!$B$1:$T$10</definedName>
    <definedName name="_xlnm.Print_Titles" localSheetId="4">'TEMPLATE - Lifting Bonga'!#REF!</definedName>
    <definedName name="_xlnm.Print_Titles" localSheetId="6">'TEMPLATE - Lifting Erha'!#REF!</definedName>
    <definedName name="_xlnm.Print_Titles" localSheetId="3">'TEMPLATE - Proceeds Bonga'!#REF!</definedName>
    <definedName name="_xlnm.Print_Titles" localSheetId="5">'TEMPLATE - Proceeds Erha'!#REF!</definedName>
    <definedName name="_xlnm.Print_Titles" localSheetId="0">'Template - Q1_Returns'!$37:$37</definedName>
    <definedName name="_xlnm.Print_Titles" localSheetId="1">'Template - Q2_Returns'!$37:$37</definedName>
    <definedName name="_xlnm.Print_Titles" localSheetId="2">'Template - Q3_Returns'!$38:$38</definedName>
    <definedName name="Shell_prod_share">'[1]TMP Lifting &amp; Cash Adj Input'!$K$3</definedName>
  </definedNames>
  <calcPr calcId="125725"/>
</workbook>
</file>

<file path=xl/calcChain.xml><?xml version="1.0" encoding="utf-8"?>
<calcChain xmlns="http://schemas.openxmlformats.org/spreadsheetml/2006/main">
  <c r="P7" i="12"/>
  <c r="P6"/>
  <c r="N6"/>
  <c r="L7" l="1"/>
  <c r="L6"/>
  <c r="H7"/>
  <c r="H6"/>
  <c r="P7" i="11"/>
  <c r="P6"/>
  <c r="L7"/>
  <c r="L6"/>
  <c r="H7"/>
  <c r="H6"/>
  <c r="S7" i="12"/>
  <c r="V7" s="1"/>
  <c r="Q7"/>
  <c r="J7"/>
  <c r="F7"/>
  <c r="D7"/>
  <c r="S6"/>
  <c r="V6" s="1"/>
  <c r="Q6"/>
  <c r="J6"/>
  <c r="F6"/>
  <c r="D6"/>
  <c r="S7" i="11"/>
  <c r="V7" s="1"/>
  <c r="N7"/>
  <c r="J7"/>
  <c r="F7"/>
  <c r="D7"/>
  <c r="S6"/>
  <c r="V6" s="1"/>
  <c r="Q6"/>
  <c r="N6"/>
  <c r="J6"/>
  <c r="F6"/>
  <c r="R6" s="1"/>
  <c r="D6"/>
  <c r="T6" l="1"/>
  <c r="R7" i="12"/>
  <c r="R6"/>
  <c r="T7"/>
  <c r="T6"/>
  <c r="T7" i="11"/>
  <c r="R7"/>
  <c r="Q7"/>
  <c r="I7" i="10"/>
  <c r="E7"/>
  <c r="J14" i="2" l="1"/>
  <c r="J13" i="6"/>
  <c r="G9" i="5"/>
  <c r="K14" i="2"/>
  <c r="G7" i="7"/>
  <c r="H9" i="5"/>
  <c r="I9"/>
  <c r="J9"/>
  <c r="H7" i="7" l="1"/>
  <c r="I7"/>
  <c r="J7"/>
  <c r="T7" i="10"/>
  <c r="S7"/>
  <c r="V7" s="1"/>
  <c r="Q7"/>
  <c r="N7"/>
  <c r="J7"/>
  <c r="F7"/>
  <c r="D7"/>
  <c r="T6"/>
  <c r="S6"/>
  <c r="V6" s="1"/>
  <c r="Q6"/>
  <c r="N6"/>
  <c r="J6"/>
  <c r="F6"/>
  <c r="D6"/>
  <c r="R6" l="1"/>
  <c r="R7"/>
  <c r="D4" i="2" l="1"/>
  <c r="K13" i="6" l="1"/>
  <c r="D4"/>
</calcChain>
</file>

<file path=xl/sharedStrings.xml><?xml version="1.0" encoding="utf-8"?>
<sst xmlns="http://schemas.openxmlformats.org/spreadsheetml/2006/main" count="286" uniqueCount="101">
  <si>
    <t>STREAM</t>
  </si>
  <si>
    <t>JANUARY</t>
  </si>
  <si>
    <t>FEBRUARY</t>
  </si>
  <si>
    <t>MARCH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</si>
  <si>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</si>
  <si>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</si>
  <si>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</si>
  <si>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</si>
  <si>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</si>
  <si>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</si>
  <si>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</si>
  <si>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</si>
  <si>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</si>
  <si>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</si>
  <si>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</si>
  <si>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</si>
  <si>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</si>
  <si>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</si>
  <si>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</si>
  <si>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</si>
  <si>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</si>
  <si>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</si>
  <si>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</si>
  <si>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</si>
  <si>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</si>
  <si>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</si>
  <si>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</si>
  <si>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</si>
  <si>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</si>
  <si>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</si>
  <si>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</si>
  <si>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</si>
  <si>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</si>
  <si>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</si>
  <si>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</si>
  <si>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</si>
  <si>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</si>
  <si>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</si>
  <si>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</si>
  <si>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</si>
  <si>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</si>
  <si>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</si>
  <si>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</si>
  <si>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</si>
  <si>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CRUDE OIL LIFTING STATISTICS  -  SNEPCO (BONGA)</t>
  </si>
  <si>
    <t>TOTAL SNEPCO (BONGA) LIFTINGS</t>
  </si>
  <si>
    <t>SNEPCO</t>
  </si>
  <si>
    <t>BONGA</t>
  </si>
  <si>
    <t>INSPECTORATE</t>
  </si>
  <si>
    <t>COMPANY Name:  SNEPCO (BONGA)</t>
  </si>
  <si>
    <t>SNEPCO (BONGA)</t>
  </si>
  <si>
    <t>ERHA</t>
  </si>
  <si>
    <t>CRUDE OIL LIFTING STATISTICS  -  SNEPCO (ERHA)</t>
  </si>
  <si>
    <t>COMPANY Name:  SNEPCO (ERHA)</t>
  </si>
  <si>
    <t>TOTAL SNEPCO (ERHA) LIFTINGS</t>
  </si>
  <si>
    <t>SNEPCO (ERHA)</t>
  </si>
  <si>
    <t>PRODUCTION VOLUMES</t>
  </si>
  <si>
    <t>EXPORT VOLUMES</t>
  </si>
  <si>
    <t>HEALTH CHECK</t>
  </si>
  <si>
    <t>NET BBLS</t>
  </si>
  <si>
    <t>NET MT</t>
  </si>
  <si>
    <t xml:space="preserve">NOTE: </t>
  </si>
  <si>
    <t>The Permanent Secretary</t>
  </si>
  <si>
    <t>Federal Ministry of trade and investment</t>
  </si>
  <si>
    <t>Federal Government Secretariat</t>
  </si>
  <si>
    <t>P. M. B. 88</t>
  </si>
  <si>
    <t>Garki - Abuja</t>
  </si>
  <si>
    <t>Dear Sir,</t>
  </si>
  <si>
    <t>MONTHLY AND QUARTERLY RETURNS OF CRUDE OIL PRODUCTION AND EXPORT -  1QTR. 2012</t>
  </si>
  <si>
    <t>With reference to your letters EXP.T/S.18/Vol.153 dated July  6, 2005 and EXP.T/408/ol.VII/292 dated</t>
  </si>
  <si>
    <t>October 7, 2009 ,  we hereby advise the actual volumes of crude oil produced by COMPANY JV and the</t>
  </si>
  <si>
    <t>crude oil exported by COMPANY XX Nigeria Limited for the month of January to March 2012</t>
  </si>
  <si>
    <t>* TEPNG equity production from TEPNG and SPDC JVs</t>
  </si>
  <si>
    <t>**TEPNG equity production from non-operated JV and PSC</t>
  </si>
  <si>
    <t>NB: Please note that the exported crude oil volumes  are expressed in Net Barrels at 60°/60°F.</t>
  </si>
  <si>
    <t>NB: Please note that  Usan is still on the trial marketing period for 6months</t>
  </si>
  <si>
    <t>Yours  faithfully,</t>
  </si>
  <si>
    <t>For:  COMPANY A Nigeria Limited</t>
  </si>
  <si>
    <t>SIGNED</t>
  </si>
  <si>
    <t>EXPORT Manager/DIVISION</t>
  </si>
  <si>
    <t>Cc:  GGM, COMD -NNPC,  ABUJA</t>
  </si>
  <si>
    <t>Conversion rate from net barrels to net metric tonnes used on production volumes is 0.133774139</t>
  </si>
  <si>
    <t>SNEPCO Q1 2014 PRODUCTION AND EXPORT SUMMARY</t>
  </si>
  <si>
    <t>Q1 2014 EXPORT  PERMIT VOLUMES</t>
  </si>
  <si>
    <t>Q1 2014 SUMMARY</t>
  </si>
  <si>
    <t xml:space="preserve">Bonga and Erha Production and Export volumes shown above is Shell exclusive. </t>
  </si>
  <si>
    <t>APRIL</t>
  </si>
  <si>
    <t>MAY</t>
  </si>
  <si>
    <t>JUNE</t>
  </si>
  <si>
    <t>Q2 2014 SUMMARY</t>
  </si>
  <si>
    <t>JULY</t>
  </si>
  <si>
    <t>AUGUST</t>
  </si>
  <si>
    <t>SEPTEMBER</t>
  </si>
  <si>
    <t>Q3 2014 SUMMARY</t>
  </si>
  <si>
    <t>SNEPCO Q3 2014 PRODUCTION AND EXPORT SUMMARY</t>
  </si>
  <si>
    <t>SNEPCO Q2 2014 PRODUCTION AND EXPORT SUMMARY</t>
  </si>
  <si>
    <t>Q2 2014 EXPORT  PERMIT VOLUMES</t>
  </si>
  <si>
    <t>Q3 2014 EXPORT  PERMIT VOLUMES</t>
  </si>
  <si>
    <t>NORDIC SPRINTER</t>
  </si>
  <si>
    <t>SALDANHA BAY FOR ORDERS</t>
  </si>
  <si>
    <t>GREENLINK MARITIME SERVICES LTD.</t>
  </si>
</sst>
</file>

<file path=xl/styles.xml><?xml version="1.0" encoding="utf-8"?>
<styleSheet xmlns="http://schemas.openxmlformats.org/spreadsheetml/2006/main">
  <numFmts count="8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dd\-mmm\-yyyy"/>
    <numFmt numFmtId="167" formatCode="\$0.0000"/>
    <numFmt numFmtId="168" formatCode="_-* #,##0.00000_-;\-* #,##0.00000_-;_-* &quot;-&quot;??_-;_-@_-"/>
    <numFmt numFmtId="169" formatCode="_(* #,##0_);_(* \(#,##0\);_(* &quot;-&quot;??_);_(@_)"/>
    <numFmt numFmtId="170" formatCode="#,##0.0"/>
  </numFmts>
  <fonts count="34">
    <font>
      <sz val="10"/>
      <name val="Arial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b/>
      <u/>
      <sz val="12"/>
      <name val="Arial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0" fontId="1" fillId="0" borderId="0"/>
    <xf numFmtId="4" fontId="1" fillId="6" borderId="20">
      <alignment horizontal="right" vertical="justify"/>
    </xf>
  </cellStyleXfs>
  <cellXfs count="172">
    <xf numFmtId="0" fontId="0" fillId="0" borderId="0" xfId="0"/>
    <xf numFmtId="43" fontId="1" fillId="0" borderId="0" xfId="1"/>
    <xf numFmtId="0" fontId="5" fillId="0" borderId="0" xfId="0" applyFont="1"/>
    <xf numFmtId="0" fontId="4" fillId="0" borderId="0" xfId="0" applyFont="1"/>
    <xf numFmtId="0" fontId="8" fillId="0" borderId="0" xfId="0" applyFont="1" applyBorder="1"/>
    <xf numFmtId="0" fontId="2" fillId="0" borderId="0" xfId="0" applyFont="1" applyBorder="1"/>
    <xf numFmtId="0" fontId="6" fillId="0" borderId="0" xfId="0" applyFont="1" applyBorder="1"/>
    <xf numFmtId="0" fontId="3" fillId="0" borderId="0" xfId="0" applyFont="1" applyBorder="1"/>
    <xf numFmtId="0" fontId="0" fillId="0" borderId="0" xfId="0" applyBorder="1"/>
    <xf numFmtId="0" fontId="14" fillId="0" borderId="0" xfId="0" applyFont="1" applyBorder="1"/>
    <xf numFmtId="3" fontId="13" fillId="0" borderId="0" xfId="0" applyNumberFormat="1" applyFont="1" applyFill="1" applyBorder="1" applyAlignment="1">
      <alignment horizontal="center"/>
    </xf>
    <xf numFmtId="14" fontId="15" fillId="0" borderId="0" xfId="0" applyNumberFormat="1" applyFont="1" applyBorder="1" applyAlignment="1">
      <alignment horizontal="center"/>
    </xf>
    <xf numFmtId="3" fontId="16" fillId="0" borderId="0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5" fillId="0" borderId="0" xfId="0" applyFont="1" applyAlignment="1">
      <alignment horizontal="left"/>
    </xf>
    <xf numFmtId="0" fontId="11" fillId="0" borderId="0" xfId="0" applyFont="1"/>
    <xf numFmtId="17" fontId="9" fillId="0" borderId="0" xfId="0" applyNumberFormat="1" applyFont="1" applyAlignment="1">
      <alignment horizontal="left" vertical="center"/>
    </xf>
    <xf numFmtId="17" fontId="9" fillId="0" borderId="0" xfId="0" applyNumberFormat="1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7" fontId="19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horizontal="left" vertical="center"/>
    </xf>
    <xf numFmtId="0" fontId="11" fillId="0" borderId="0" xfId="0" applyFont="1" applyBorder="1"/>
    <xf numFmtId="43" fontId="11" fillId="0" borderId="0" xfId="1" applyFont="1"/>
    <xf numFmtId="0" fontId="11" fillId="0" borderId="0" xfId="2" applyFont="1" applyAlignment="1">
      <alignment horizontal="left"/>
    </xf>
    <xf numFmtId="0" fontId="11" fillId="0" borderId="0" xfId="2" applyFont="1" applyFill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2" fontId="11" fillId="0" borderId="0" xfId="2" applyNumberFormat="1" applyFont="1"/>
    <xf numFmtId="0" fontId="10" fillId="0" borderId="5" xfId="2" applyFont="1" applyBorder="1" applyAlignment="1">
      <alignment horizontal="center"/>
    </xf>
    <xf numFmtId="0" fontId="10" fillId="0" borderId="5" xfId="2" applyFont="1" applyFill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6" xfId="2" applyFont="1" applyBorder="1" applyAlignment="1">
      <alignment horizontal="right"/>
    </xf>
    <xf numFmtId="2" fontId="10" fillId="0" borderId="5" xfId="2" applyNumberFormat="1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10" fillId="0" borderId="8" xfId="2" applyFont="1" applyFill="1" applyBorder="1" applyAlignment="1">
      <alignment horizontal="center"/>
    </xf>
    <xf numFmtId="2" fontId="10" fillId="0" borderId="8" xfId="2" applyNumberFormat="1" applyFont="1" applyBorder="1" applyAlignment="1">
      <alignment horizontal="center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 wrapText="1"/>
    </xf>
    <xf numFmtId="0" fontId="22" fillId="0" borderId="0" xfId="0" applyFont="1" applyBorder="1"/>
    <xf numFmtId="0" fontId="23" fillId="0" borderId="0" xfId="0" applyFont="1" applyBorder="1"/>
    <xf numFmtId="0" fontId="24" fillId="0" borderId="0" xfId="0" applyFont="1" applyBorder="1"/>
    <xf numFmtId="3" fontId="23" fillId="0" borderId="0" xfId="0" applyNumberFormat="1" applyFont="1" applyFill="1" applyBorder="1" applyAlignment="1">
      <alignment horizontal="center"/>
    </xf>
    <xf numFmtId="14" fontId="25" fillId="0" borderId="0" xfId="0" applyNumberFormat="1" applyFont="1" applyBorder="1" applyAlignment="1">
      <alignment horizontal="center"/>
    </xf>
    <xf numFmtId="3" fontId="25" fillId="0" borderId="0" xfId="0" applyNumberFormat="1" applyFont="1" applyBorder="1" applyAlignment="1">
      <alignment horizontal="center"/>
    </xf>
    <xf numFmtId="3" fontId="23" fillId="0" borderId="0" xfId="0" applyNumberFormat="1" applyFont="1" applyBorder="1" applyAlignment="1">
      <alignment horizontal="center"/>
    </xf>
    <xf numFmtId="0" fontId="26" fillId="0" borderId="0" xfId="0" applyFont="1" applyBorder="1"/>
    <xf numFmtId="0" fontId="27" fillId="0" borderId="0" xfId="0" applyFont="1"/>
    <xf numFmtId="14" fontId="27" fillId="0" borderId="0" xfId="0" applyNumberFormat="1" applyFont="1" applyAlignment="1">
      <alignment horizontal="left"/>
    </xf>
    <xf numFmtId="165" fontId="11" fillId="0" borderId="0" xfId="1" applyNumberFormat="1" applyFont="1" applyBorder="1" applyAlignment="1">
      <alignment horizontal="center"/>
    </xf>
    <xf numFmtId="165" fontId="11" fillId="0" borderId="0" xfId="1" applyNumberFormat="1" applyFont="1"/>
    <xf numFmtId="43" fontId="11" fillId="0" borderId="0" xfId="1" applyNumberFormat="1" applyFont="1" applyBorder="1" applyAlignment="1">
      <alignment horizontal="center"/>
    </xf>
    <xf numFmtId="0" fontId="17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vertical="center"/>
    </xf>
    <xf numFmtId="4" fontId="17" fillId="0" borderId="12" xfId="0" applyNumberFormat="1" applyFont="1" applyBorder="1" applyAlignment="1">
      <alignment horizontal="center" vertical="center"/>
    </xf>
    <xf numFmtId="3" fontId="17" fillId="0" borderId="12" xfId="0" applyNumberFormat="1" applyFont="1" applyBorder="1" applyAlignment="1">
      <alignment horizontal="center" vertical="center"/>
    </xf>
    <xf numFmtId="43" fontId="12" fillId="0" borderId="0" xfId="1" applyFont="1" applyBorder="1" applyAlignment="1">
      <alignment horizontal="center" vertical="center"/>
    </xf>
    <xf numFmtId="165" fontId="12" fillId="0" borderId="0" xfId="1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vertical="center"/>
    </xf>
    <xf numFmtId="2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15" fillId="0" borderId="0" xfId="0" applyNumberFormat="1" applyFont="1" applyBorder="1" applyAlignment="1">
      <alignment horizontal="center"/>
    </xf>
    <xf numFmtId="43" fontId="29" fillId="0" borderId="0" xfId="1" applyFont="1"/>
    <xf numFmtId="0" fontId="1" fillId="0" borderId="0" xfId="3"/>
    <xf numFmtId="0" fontId="3" fillId="0" borderId="13" xfId="3" applyFont="1" applyBorder="1" applyAlignment="1">
      <alignment horizontal="centerContinuous" wrapText="1"/>
    </xf>
    <xf numFmtId="0" fontId="1" fillId="0" borderId="0" xfId="3" applyFont="1" applyAlignment="1">
      <alignment vertical="center"/>
    </xf>
    <xf numFmtId="3" fontId="1" fillId="0" borderId="0" xfId="3" applyNumberFormat="1" applyFont="1" applyAlignment="1">
      <alignment vertical="center"/>
    </xf>
    <xf numFmtId="3" fontId="1" fillId="4" borderId="0" xfId="3" applyNumberFormat="1" applyFont="1" applyFill="1" applyAlignment="1">
      <alignment vertical="center"/>
    </xf>
    <xf numFmtId="43" fontId="1" fillId="0" borderId="0" xfId="1" applyFont="1" applyAlignment="1">
      <alignment vertical="center"/>
    </xf>
    <xf numFmtId="3" fontId="28" fillId="4" borderId="0" xfId="3" applyNumberFormat="1" applyFont="1" applyFill="1" applyAlignment="1">
      <alignment vertical="center"/>
    </xf>
    <xf numFmtId="0" fontId="1" fillId="0" borderId="0" xfId="3" applyFont="1" applyFill="1" applyAlignment="1">
      <alignment vertical="center"/>
    </xf>
    <xf numFmtId="0" fontId="17" fillId="0" borderId="15" xfId="3" applyFont="1" applyFill="1" applyBorder="1" applyAlignment="1">
      <alignment horizontal="center" vertical="center" wrapText="1"/>
    </xf>
    <xf numFmtId="0" fontId="17" fillId="0" borderId="16" xfId="3" applyFont="1" applyFill="1" applyBorder="1" applyAlignment="1">
      <alignment horizontal="center" vertical="center" wrapText="1"/>
    </xf>
    <xf numFmtId="0" fontId="17" fillId="0" borderId="17" xfId="3" applyFont="1" applyFill="1" applyBorder="1" applyAlignment="1">
      <alignment horizontal="center" vertical="center" wrapText="1"/>
    </xf>
    <xf numFmtId="3" fontId="1" fillId="0" borderId="0" xfId="3" applyNumberFormat="1" applyFont="1" applyFill="1" applyAlignment="1">
      <alignment vertical="center"/>
    </xf>
    <xf numFmtId="3" fontId="28" fillId="0" borderId="0" xfId="3" applyNumberFormat="1" applyFont="1" applyFill="1" applyAlignment="1">
      <alignment vertical="center"/>
    </xf>
    <xf numFmtId="15" fontId="17" fillId="0" borderId="1" xfId="3" applyNumberFormat="1" applyFont="1" applyBorder="1" applyAlignment="1">
      <alignment horizontal="left" vertical="center"/>
    </xf>
    <xf numFmtId="3" fontId="12" fillId="0" borderId="18" xfId="3" applyNumberFormat="1" applyFont="1" applyBorder="1" applyAlignment="1">
      <alignment horizontal="right" vertical="center"/>
    </xf>
    <xf numFmtId="3" fontId="12" fillId="0" borderId="19" xfId="3" applyNumberFormat="1" applyFont="1" applyBorder="1" applyAlignment="1">
      <alignment horizontal="right" vertical="center"/>
    </xf>
    <xf numFmtId="168" fontId="1" fillId="0" borderId="0" xfId="1" applyNumberFormat="1" applyFont="1" applyAlignment="1">
      <alignment vertical="center"/>
    </xf>
    <xf numFmtId="165" fontId="0" fillId="5" borderId="0" xfId="1" applyNumberFormat="1" applyFont="1" applyFill="1"/>
    <xf numFmtId="15" fontId="17" fillId="0" borderId="0" xfId="3" applyNumberFormat="1" applyFont="1" applyBorder="1" applyAlignment="1">
      <alignment horizontal="left" vertical="center"/>
    </xf>
    <xf numFmtId="3" fontId="17" fillId="0" borderId="0" xfId="3" applyNumberFormat="1" applyFont="1" applyBorder="1" applyAlignment="1">
      <alignment horizontal="center" vertical="center"/>
    </xf>
    <xf numFmtId="0" fontId="4" fillId="0" borderId="0" xfId="3" applyFont="1"/>
    <xf numFmtId="0" fontId="3" fillId="0" borderId="0" xfId="3" applyFont="1"/>
    <xf numFmtId="0" fontId="1" fillId="0" borderId="0" xfId="3" applyFont="1"/>
    <xf numFmtId="43" fontId="1" fillId="0" borderId="0" xfId="1" applyFont="1"/>
    <xf numFmtId="0" fontId="7" fillId="3" borderId="0" xfId="3" applyFont="1" applyFill="1" applyAlignment="1">
      <alignment horizontal="left"/>
    </xf>
    <xf numFmtId="0" fontId="8" fillId="3" borderId="0" xfId="3" applyFont="1" applyFill="1" applyBorder="1"/>
    <xf numFmtId="0" fontId="6" fillId="0" borderId="0" xfId="3" applyFont="1"/>
    <xf numFmtId="0" fontId="9" fillId="0" borderId="0" xfId="3" applyFont="1"/>
    <xf numFmtId="0" fontId="1" fillId="0" borderId="0" xfId="3" applyAlignment="1">
      <alignment vertical="center" wrapText="1"/>
    </xf>
    <xf numFmtId="43" fontId="1" fillId="0" borderId="0" xfId="1" applyAlignment="1">
      <alignment vertical="center" wrapText="1"/>
    </xf>
    <xf numFmtId="3" fontId="1" fillId="0" borderId="0" xfId="3" applyNumberFormat="1" applyAlignment="1">
      <alignment vertical="center" wrapText="1"/>
    </xf>
    <xf numFmtId="15" fontId="12" fillId="0" borderId="0" xfId="3" applyNumberFormat="1" applyFont="1" applyBorder="1" applyAlignment="1">
      <alignment horizontal="left" vertical="center"/>
    </xf>
    <xf numFmtId="0" fontId="12" fillId="0" borderId="0" xfId="3" applyFont="1" applyAlignment="1">
      <alignment vertical="center"/>
    </xf>
    <xf numFmtId="3" fontId="12" fillId="0" borderId="0" xfId="3" applyNumberFormat="1" applyFont="1" applyBorder="1" applyAlignment="1">
      <alignment horizontal="center" vertical="center"/>
    </xf>
    <xf numFmtId="0" fontId="8" fillId="0" borderId="0" xfId="3" applyFont="1"/>
    <xf numFmtId="3" fontId="1" fillId="0" borderId="0" xfId="3" applyNumberFormat="1"/>
    <xf numFmtId="0" fontId="8" fillId="0" borderId="0" xfId="3" applyFont="1" applyBorder="1"/>
    <xf numFmtId="0" fontId="6" fillId="0" borderId="0" xfId="3" applyFont="1" applyBorder="1"/>
    <xf numFmtId="0" fontId="9" fillId="0" borderId="0" xfId="3" applyFont="1" applyBorder="1"/>
    <xf numFmtId="0" fontId="1" fillId="0" borderId="0" xfId="3" applyBorder="1"/>
    <xf numFmtId="0" fontId="2" fillId="0" borderId="0" xfId="3" applyFont="1" applyBorder="1"/>
    <xf numFmtId="0" fontId="14" fillId="0" borderId="0" xfId="3" applyFont="1" applyBorder="1"/>
    <xf numFmtId="3" fontId="13" fillId="0" borderId="0" xfId="3" applyNumberFormat="1" applyFont="1" applyFill="1" applyBorder="1" applyAlignment="1">
      <alignment horizontal="center"/>
    </xf>
    <xf numFmtId="14" fontId="15" fillId="0" borderId="0" xfId="3" applyNumberFormat="1" applyFont="1" applyBorder="1" applyAlignment="1">
      <alignment horizontal="center"/>
    </xf>
    <xf numFmtId="3" fontId="15" fillId="0" borderId="0" xfId="3" applyNumberFormat="1" applyFont="1" applyBorder="1" applyAlignment="1">
      <alignment horizontal="center"/>
    </xf>
    <xf numFmtId="3" fontId="13" fillId="0" borderId="0" xfId="3" applyNumberFormat="1" applyFont="1" applyBorder="1" applyAlignment="1">
      <alignment horizontal="center"/>
    </xf>
    <xf numFmtId="0" fontId="17" fillId="4" borderId="12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vertical="center"/>
    </xf>
    <xf numFmtId="4" fontId="17" fillId="4" borderId="12" xfId="0" applyNumberFormat="1" applyFont="1" applyFill="1" applyBorder="1" applyAlignment="1">
      <alignment horizontal="center" vertical="center"/>
    </xf>
    <xf numFmtId="3" fontId="17" fillId="4" borderId="12" xfId="0" applyNumberFormat="1" applyFont="1" applyFill="1" applyBorder="1" applyAlignment="1">
      <alignment horizontal="center" vertical="center"/>
    </xf>
    <xf numFmtId="14" fontId="27" fillId="0" borderId="0" xfId="0" applyNumberFormat="1" applyFont="1" applyFill="1" applyAlignment="1">
      <alignment horizontal="left"/>
    </xf>
    <xf numFmtId="43" fontId="31" fillId="0" borderId="0" xfId="1" applyFont="1"/>
    <xf numFmtId="165" fontId="31" fillId="0" borderId="0" xfId="1" applyNumberFormat="1" applyFont="1"/>
    <xf numFmtId="3" fontId="12" fillId="0" borderId="18" xfId="3" applyNumberFormat="1" applyFont="1" applyFill="1" applyBorder="1" applyAlignment="1">
      <alignment horizontal="right" vertical="center"/>
    </xf>
    <xf numFmtId="165" fontId="0" fillId="7" borderId="0" xfId="1" applyNumberFormat="1" applyFont="1" applyFill="1"/>
    <xf numFmtId="0" fontId="12" fillId="0" borderId="0" xfId="0" applyFont="1" applyBorder="1" applyAlignment="1">
      <alignment horizontal="center" vertical="center"/>
    </xf>
    <xf numFmtId="0" fontId="27" fillId="0" borderId="0" xfId="0" applyFont="1" applyFill="1"/>
    <xf numFmtId="14" fontId="27" fillId="0" borderId="0" xfId="0" applyNumberFormat="1" applyFont="1" applyFill="1"/>
    <xf numFmtId="169" fontId="27" fillId="0" borderId="0" xfId="1" applyNumberFormat="1" applyFont="1" applyFill="1" applyAlignment="1">
      <alignment horizontal="right"/>
    </xf>
    <xf numFmtId="164" fontId="27" fillId="0" borderId="0" xfId="1" applyNumberFormat="1" applyFont="1" applyFill="1" applyAlignment="1">
      <alignment horizontal="center"/>
    </xf>
    <xf numFmtId="0" fontId="27" fillId="0" borderId="0" xfId="0" applyFont="1" applyFill="1" applyAlignment="1">
      <alignment horizontal="left"/>
    </xf>
    <xf numFmtId="0" fontId="31" fillId="0" borderId="0" xfId="0" applyFont="1" applyFill="1"/>
    <xf numFmtId="14" fontId="31" fillId="0" borderId="0" xfId="0" applyNumberFormat="1" applyFont="1" applyFill="1"/>
    <xf numFmtId="164" fontId="31" fillId="0" borderId="0" xfId="1" applyNumberFormat="1" applyFont="1" applyFill="1" applyAlignment="1"/>
    <xf numFmtId="169" fontId="31" fillId="0" borderId="0" xfId="1" applyNumberFormat="1" applyFont="1" applyFill="1" applyAlignment="1">
      <alignment horizontal="right"/>
    </xf>
    <xf numFmtId="169" fontId="31" fillId="0" borderId="0" xfId="1" applyNumberFormat="1" applyFont="1" applyFill="1" applyAlignment="1">
      <alignment horizontal="center"/>
    </xf>
    <xf numFmtId="164" fontId="31" fillId="0" borderId="0" xfId="1" applyNumberFormat="1" applyFont="1" applyFill="1" applyAlignment="1">
      <alignment horizontal="center"/>
    </xf>
    <xf numFmtId="14" fontId="31" fillId="0" borderId="0" xfId="0" applyNumberFormat="1" applyFont="1" applyFill="1" applyAlignment="1">
      <alignment horizontal="left"/>
    </xf>
    <xf numFmtId="0" fontId="31" fillId="0" borderId="0" xfId="0" applyFont="1" applyFill="1" applyAlignment="1">
      <alignment horizontal="left"/>
    </xf>
    <xf numFmtId="14" fontId="32" fillId="0" borderId="0" xfId="0" applyNumberFormat="1" applyFont="1" applyFill="1" applyAlignment="1">
      <alignment horizontal="left"/>
    </xf>
    <xf numFmtId="0" fontId="32" fillId="0" borderId="0" xfId="0" applyFont="1" applyFill="1"/>
    <xf numFmtId="164" fontId="32" fillId="0" borderId="0" xfId="1" applyNumberFormat="1" applyFont="1" applyFill="1" applyAlignment="1">
      <alignment horizontal="center"/>
    </xf>
    <xf numFmtId="164" fontId="32" fillId="0" borderId="0" xfId="1" applyNumberFormat="1" applyFont="1" applyFill="1"/>
    <xf numFmtId="169" fontId="32" fillId="0" borderId="0" xfId="1" applyNumberFormat="1" applyFont="1" applyFill="1" applyAlignment="1">
      <alignment horizontal="right"/>
    </xf>
    <xf numFmtId="165" fontId="12" fillId="0" borderId="0" xfId="1" applyNumberFormat="1" applyFont="1" applyBorder="1" applyAlignment="1">
      <alignment horizontal="center"/>
    </xf>
    <xf numFmtId="169" fontId="32" fillId="0" borderId="0" xfId="1" applyNumberFormat="1" applyFont="1" applyFill="1" applyAlignment="1">
      <alignment horizontal="center"/>
    </xf>
    <xf numFmtId="0" fontId="32" fillId="0" borderId="0" xfId="0" applyFont="1" applyFill="1" applyAlignment="1">
      <alignment horizontal="left"/>
    </xf>
    <xf numFmtId="15" fontId="33" fillId="0" borderId="0" xfId="3" applyNumberFormat="1" applyFont="1" applyBorder="1" applyAlignment="1">
      <alignment horizontal="left" vertical="center"/>
    </xf>
    <xf numFmtId="3" fontId="12" fillId="0" borderId="19" xfId="3" applyNumberFormat="1" applyFont="1" applyFill="1" applyBorder="1" applyAlignment="1">
      <alignment horizontal="right" vertical="center"/>
    </xf>
    <xf numFmtId="170" fontId="17" fillId="0" borderId="0" xfId="3" applyNumberFormat="1" applyFont="1" applyBorder="1" applyAlignment="1">
      <alignment horizontal="center" vertical="center"/>
    </xf>
    <xf numFmtId="164" fontId="31" fillId="0" borderId="0" xfId="1" applyNumberFormat="1" applyFont="1"/>
    <xf numFmtId="0" fontId="17" fillId="2" borderId="5" xfId="3" applyFont="1" applyFill="1" applyBorder="1" applyAlignment="1">
      <alignment horizontal="center" vertical="center" wrapText="1"/>
    </xf>
    <xf numFmtId="0" fontId="1" fillId="0" borderId="7" xfId="3" applyBorder="1" applyAlignment="1">
      <alignment horizontal="center" vertical="center" wrapText="1"/>
    </xf>
    <xf numFmtId="0" fontId="1" fillId="0" borderId="4" xfId="3" applyBorder="1" applyAlignment="1">
      <alignment horizontal="center" vertical="center" wrapText="1"/>
    </xf>
    <xf numFmtId="0" fontId="1" fillId="0" borderId="14" xfId="3" applyBorder="1" applyAlignment="1">
      <alignment horizontal="center" vertical="center" wrapText="1"/>
    </xf>
    <xf numFmtId="0" fontId="30" fillId="0" borderId="0" xfId="3" applyFont="1" applyAlignment="1">
      <alignment horizontal="center"/>
    </xf>
    <xf numFmtId="0" fontId="3" fillId="0" borderId="13" xfId="3" applyFont="1" applyBorder="1" applyAlignment="1">
      <alignment horizontal="center" wrapText="1"/>
    </xf>
    <xf numFmtId="0" fontId="17" fillId="2" borderId="2" xfId="3" applyFont="1" applyFill="1" applyBorder="1" applyAlignment="1">
      <alignment horizontal="center" vertical="center" wrapText="1"/>
    </xf>
    <xf numFmtId="0" fontId="17" fillId="2" borderId="3" xfId="3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21" fillId="3" borderId="0" xfId="2" applyFont="1" applyFill="1" applyAlignment="1">
      <alignment horizontal="center"/>
    </xf>
    <xf numFmtId="17" fontId="21" fillId="3" borderId="0" xfId="2" applyNumberFormat="1" applyFont="1" applyFill="1" applyAlignment="1">
      <alignment horizontal="center"/>
    </xf>
    <xf numFmtId="0" fontId="10" fillId="0" borderId="5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</cellXfs>
  <cellStyles count="5">
    <cellStyle name="Calc (digits)" xfId="4"/>
    <cellStyle name="Comma" xfId="1" builtinId="3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vwe.Ofovwe\AppData\Local\Temp\wz28f7\Bonga_Entitlement_Master_February_201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X Template"/>
      <sheetName val="User Instructions"/>
      <sheetName val="Inputs &amp; Calcs"/>
      <sheetName val="Input Capital &amp; Non Capital "/>
      <sheetName val="Input Rolling capital recovery"/>
      <sheetName val="Tax Oil Input"/>
      <sheetName val="TMP Lifting &amp; Cash Adj Input"/>
      <sheetName val="Calc - Non-Capital Summary"/>
      <sheetName val="Calc - Allowable Overheads"/>
      <sheetName val="POS"/>
      <sheetName val="Reporting"/>
      <sheetName val="Model End - Support Docs--&gt;&gt;"/>
      <sheetName val="Ref - Concession Rental"/>
      <sheetName val="Ref - AR RP Adjustment"/>
      <sheetName val="Ref - Royalty Comp Correction"/>
      <sheetName val="Ref -Feb '08 RP Change Analysis"/>
      <sheetName val="Ref - RP Change Analysis"/>
      <sheetName val="Ref - Adjustments made"/>
      <sheetName val="Ref - June Corrections"/>
      <sheetName val="Ref -Adj for Cost Oil Reduction"/>
      <sheetName val="Ref - Verified Costs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K3">
            <v>0.55000000000000004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61"/>
  </sheetPr>
  <dimension ref="A1:Z276"/>
  <sheetViews>
    <sheetView showGridLines="0" view="pageLayout" zoomScale="85" zoomScaleNormal="100" zoomScalePageLayoutView="85" workbookViewId="0">
      <selection activeCell="M7" sqref="M7"/>
    </sheetView>
  </sheetViews>
  <sheetFormatPr defaultColWidth="9.140625" defaultRowHeight="12.75"/>
  <cols>
    <col min="1" max="1" width="1.42578125" style="73" customWidth="1"/>
    <col min="2" max="2" width="13" style="73" customWidth="1"/>
    <col min="3" max="3" width="9" style="73" customWidth="1"/>
    <col min="4" max="4" width="8.7109375" style="73" customWidth="1"/>
    <col min="5" max="5" width="9.5703125" style="73" customWidth="1"/>
    <col min="6" max="6" width="7.5703125" style="73" customWidth="1"/>
    <col min="7" max="7" width="9.140625" style="73" customWidth="1"/>
    <col min="8" max="8" width="7.5703125" style="73" customWidth="1"/>
    <col min="9" max="9" width="10.42578125" style="73" customWidth="1"/>
    <col min="10" max="10" width="7.42578125" style="73" customWidth="1"/>
    <col min="11" max="11" width="9" style="73" customWidth="1"/>
    <col min="12" max="12" width="7.85546875" style="73" customWidth="1"/>
    <col min="13" max="13" width="9.42578125" style="73" customWidth="1"/>
    <col min="14" max="14" width="7.5703125" style="73" customWidth="1"/>
    <col min="15" max="15" width="9.42578125" style="73" customWidth="1"/>
    <col min="16" max="16" width="7.42578125" style="73" customWidth="1"/>
    <col min="17" max="17" width="9.28515625" style="73" customWidth="1"/>
    <col min="18" max="18" width="8.5703125" style="73" customWidth="1"/>
    <col min="19" max="19" width="9.42578125" style="73" customWidth="1"/>
    <col min="20" max="20" width="7.42578125" style="73" customWidth="1"/>
    <col min="21" max="21" width="2.140625" style="73" customWidth="1"/>
    <col min="22" max="22" width="13.85546875" style="73" customWidth="1"/>
    <col min="23" max="23" width="11.85546875" style="73" customWidth="1"/>
    <col min="24" max="24" width="15.5703125" style="73" customWidth="1"/>
    <col min="25" max="25" width="20.140625" style="73" customWidth="1"/>
    <col min="26" max="26" width="11.28515625" style="1" bestFit="1" customWidth="1"/>
    <col min="27" max="16384" width="9.140625" style="73"/>
  </cols>
  <sheetData>
    <row r="1" spans="1:26" ht="16.5" thickBot="1">
      <c r="B1" s="158" t="s">
        <v>82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</row>
    <row r="2" spans="1:26" ht="15.75" thickBot="1">
      <c r="E2" s="74" t="s">
        <v>1</v>
      </c>
      <c r="F2" s="74"/>
      <c r="G2" s="74"/>
      <c r="H2" s="74"/>
      <c r="I2" s="74" t="s">
        <v>2</v>
      </c>
      <c r="J2" s="74"/>
      <c r="K2" s="74"/>
      <c r="L2" s="74"/>
      <c r="M2" s="74" t="s">
        <v>3</v>
      </c>
      <c r="N2" s="74"/>
      <c r="O2" s="74"/>
      <c r="P2" s="74"/>
      <c r="Q2" s="159" t="s">
        <v>84</v>
      </c>
      <c r="R2" s="159"/>
      <c r="S2" s="159"/>
      <c r="T2" s="159"/>
    </row>
    <row r="3" spans="1:26" s="75" customFormat="1" ht="27.95" customHeight="1">
      <c r="B3" s="160" t="s">
        <v>0</v>
      </c>
      <c r="C3" s="154" t="s">
        <v>83</v>
      </c>
      <c r="D3" s="155"/>
      <c r="E3" s="154" t="s">
        <v>56</v>
      </c>
      <c r="F3" s="155"/>
      <c r="G3" s="154" t="s">
        <v>57</v>
      </c>
      <c r="H3" s="155"/>
      <c r="I3" s="154" t="s">
        <v>56</v>
      </c>
      <c r="J3" s="155"/>
      <c r="K3" s="154" t="s">
        <v>57</v>
      </c>
      <c r="L3" s="155"/>
      <c r="M3" s="154" t="s">
        <v>56</v>
      </c>
      <c r="N3" s="155"/>
      <c r="O3" s="154" t="s">
        <v>57</v>
      </c>
      <c r="P3" s="155"/>
      <c r="Q3" s="154" t="s">
        <v>56</v>
      </c>
      <c r="R3" s="155"/>
      <c r="S3" s="154" t="s">
        <v>57</v>
      </c>
      <c r="T3" s="155"/>
      <c r="U3" s="76"/>
      <c r="V3" s="77"/>
      <c r="Z3" s="78"/>
    </row>
    <row r="4" spans="1:26" s="75" customFormat="1" ht="51.75" customHeight="1">
      <c r="B4" s="161"/>
      <c r="C4" s="156"/>
      <c r="D4" s="157"/>
      <c r="E4" s="156"/>
      <c r="F4" s="157"/>
      <c r="G4" s="156"/>
      <c r="H4" s="157"/>
      <c r="I4" s="156"/>
      <c r="J4" s="157"/>
      <c r="K4" s="156"/>
      <c r="L4" s="157"/>
      <c r="M4" s="156"/>
      <c r="N4" s="157"/>
      <c r="O4" s="156"/>
      <c r="P4" s="157"/>
      <c r="Q4" s="156"/>
      <c r="R4" s="157"/>
      <c r="S4" s="156"/>
      <c r="T4" s="157"/>
      <c r="U4" s="76"/>
      <c r="V4" s="79" t="s">
        <v>58</v>
      </c>
      <c r="Z4" s="78"/>
    </row>
    <row r="5" spans="1:26" s="75" customFormat="1" ht="37.5" customHeight="1">
      <c r="A5" s="80"/>
      <c r="B5" s="81"/>
      <c r="C5" s="82" t="s">
        <v>59</v>
      </c>
      <c r="D5" s="83" t="s">
        <v>60</v>
      </c>
      <c r="E5" s="82" t="s">
        <v>59</v>
      </c>
      <c r="F5" s="83" t="s">
        <v>60</v>
      </c>
      <c r="G5" s="82" t="s">
        <v>59</v>
      </c>
      <c r="H5" s="83" t="s">
        <v>60</v>
      </c>
      <c r="I5" s="82" t="s">
        <v>59</v>
      </c>
      <c r="J5" s="83" t="s">
        <v>60</v>
      </c>
      <c r="K5" s="82" t="s">
        <v>59</v>
      </c>
      <c r="L5" s="83" t="s">
        <v>60</v>
      </c>
      <c r="M5" s="82" t="s">
        <v>59</v>
      </c>
      <c r="N5" s="83" t="s">
        <v>60</v>
      </c>
      <c r="O5" s="82" t="s">
        <v>59</v>
      </c>
      <c r="P5" s="83" t="s">
        <v>60</v>
      </c>
      <c r="Q5" s="82" t="s">
        <v>59</v>
      </c>
      <c r="R5" s="83" t="s">
        <v>60</v>
      </c>
      <c r="S5" s="82" t="s">
        <v>59</v>
      </c>
      <c r="T5" s="83" t="s">
        <v>60</v>
      </c>
      <c r="U5" s="84"/>
      <c r="V5" s="85"/>
      <c r="W5" s="73"/>
      <c r="X5" s="73"/>
      <c r="Z5" s="78"/>
    </row>
    <row r="6" spans="1:26" s="75" customFormat="1" ht="37.5" customHeight="1">
      <c r="B6" s="86" t="s">
        <v>47</v>
      </c>
      <c r="C6" s="87">
        <v>6000000</v>
      </c>
      <c r="D6" s="88">
        <f>C6*0.133774139</f>
        <v>802644.83399999992</v>
      </c>
      <c r="E6" s="126">
        <v>274175.77</v>
      </c>
      <c r="F6" s="88">
        <f>E6*0.133774139</f>
        <v>36677.627566412026</v>
      </c>
      <c r="G6" s="87">
        <v>1920768</v>
      </c>
      <c r="H6" s="88">
        <v>265949</v>
      </c>
      <c r="I6" s="87">
        <v>1024872.71</v>
      </c>
      <c r="J6" s="88">
        <f>I6*0.13377</f>
        <v>137097.22241670001</v>
      </c>
      <c r="K6" s="87">
        <v>953523</v>
      </c>
      <c r="L6" s="88">
        <v>131760</v>
      </c>
      <c r="M6" s="87">
        <v>1669861.6858643603</v>
      </c>
      <c r="N6" s="88">
        <f>M6*0.13377</f>
        <v>223377.39771807549</v>
      </c>
      <c r="O6" s="87">
        <v>950199</v>
      </c>
      <c r="P6" s="88">
        <v>131417</v>
      </c>
      <c r="Q6" s="87">
        <f>+E6+I6+M6</f>
        <v>2968910.1658643605</v>
      </c>
      <c r="R6" s="88">
        <f>+F6+J6+N6</f>
        <v>397152.2477011875</v>
      </c>
      <c r="S6" s="87">
        <f>+G6+K6+O6</f>
        <v>3824490</v>
      </c>
      <c r="T6" s="88">
        <f>+H6+L6+P6</f>
        <v>529126</v>
      </c>
      <c r="U6" s="73"/>
      <c r="V6" s="90">
        <f>C6-S6</f>
        <v>2175510</v>
      </c>
      <c r="W6" s="73"/>
      <c r="X6" s="73"/>
      <c r="Z6" s="89"/>
    </row>
    <row r="7" spans="1:26" s="75" customFormat="1" ht="37.5" customHeight="1">
      <c r="B7" s="86" t="s">
        <v>51</v>
      </c>
      <c r="C7" s="87">
        <v>3000000</v>
      </c>
      <c r="D7" s="88">
        <f t="shared" ref="D7:F7" si="0">C7*0.133774139</f>
        <v>401322.41699999996</v>
      </c>
      <c r="E7" s="87">
        <f>2166722.02528994*0.4375</f>
        <v>947940.88606434886</v>
      </c>
      <c r="F7" s="88">
        <f t="shared" si="0"/>
        <v>126809.97585615536</v>
      </c>
      <c r="G7" s="87">
        <v>999588</v>
      </c>
      <c r="H7" s="88">
        <v>134395</v>
      </c>
      <c r="I7" s="126">
        <f>1918864.28996409*0.4375</f>
        <v>839503.12685928936</v>
      </c>
      <c r="J7" s="88">
        <f t="shared" ref="J7" si="1">I7*0.13377</f>
        <v>112300.33327996713</v>
      </c>
      <c r="K7" s="87">
        <v>1000319</v>
      </c>
      <c r="L7" s="88">
        <v>134416</v>
      </c>
      <c r="M7" s="126">
        <v>997005</v>
      </c>
      <c r="N7" s="88">
        <f t="shared" ref="N7" si="2">M7*0.13377</f>
        <v>133369.35884999999</v>
      </c>
      <c r="O7" s="87">
        <v>1001998</v>
      </c>
      <c r="P7" s="88">
        <v>134810</v>
      </c>
      <c r="Q7" s="87">
        <f>+E7+I7+M7</f>
        <v>2784449.0129236383</v>
      </c>
      <c r="R7" s="88">
        <f t="shared" ref="R7" si="3">+F7+J7+N7</f>
        <v>372479.66798612248</v>
      </c>
      <c r="S7" s="87">
        <f>+G7+K7+O7</f>
        <v>3001905</v>
      </c>
      <c r="T7" s="88">
        <f t="shared" ref="T7" si="4">+H7+L7+P7</f>
        <v>403621</v>
      </c>
      <c r="U7" s="73"/>
      <c r="V7" s="127">
        <f t="shared" ref="V7" si="5">C7-S7</f>
        <v>-1905</v>
      </c>
      <c r="W7" s="73"/>
      <c r="X7" s="73"/>
      <c r="Z7" s="78"/>
    </row>
    <row r="8" spans="1:26" s="75" customFormat="1" ht="25.5" customHeight="1">
      <c r="B8" s="91" t="s">
        <v>61</v>
      </c>
      <c r="C8" s="91" t="s">
        <v>85</v>
      </c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73"/>
      <c r="V8" s="73"/>
      <c r="W8" s="73"/>
      <c r="X8" s="73"/>
      <c r="Z8" s="78"/>
    </row>
    <row r="9" spans="1:26" s="75" customFormat="1" ht="25.5" customHeight="1">
      <c r="C9" s="91" t="s">
        <v>81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73"/>
      <c r="V9" s="73"/>
      <c r="W9" s="73"/>
      <c r="X9" s="73"/>
      <c r="Z9" s="78"/>
    </row>
    <row r="10" spans="1:26" s="75" customFormat="1" ht="25.5" customHeight="1">
      <c r="B10" s="91"/>
      <c r="C10" s="91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73"/>
      <c r="V10" s="73"/>
      <c r="W10" s="73"/>
      <c r="X10" s="73"/>
      <c r="Z10" s="78"/>
    </row>
    <row r="11" spans="1:26" s="75" customFormat="1" ht="25.5" customHeight="1">
      <c r="B11" s="91"/>
      <c r="C11" s="91"/>
      <c r="D11" s="92"/>
      <c r="E11" s="15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56"/>
      <c r="Q11" s="92"/>
      <c r="R11" s="92"/>
      <c r="S11" s="92"/>
      <c r="T11" s="92"/>
      <c r="U11" s="73"/>
      <c r="V11" s="73"/>
      <c r="W11" s="73"/>
      <c r="X11" s="73"/>
      <c r="Z11" s="78"/>
    </row>
    <row r="12" spans="1:26" s="75" customFormat="1" ht="25.5" customHeight="1">
      <c r="B12" s="91"/>
      <c r="C12" s="91"/>
      <c r="D12" s="92"/>
      <c r="E12" s="92"/>
      <c r="H12" s="92"/>
      <c r="I12" s="92"/>
      <c r="J12" s="92"/>
      <c r="K12" s="92"/>
      <c r="L12" s="92"/>
      <c r="M12" s="92"/>
      <c r="N12" s="92"/>
      <c r="O12" s="92"/>
      <c r="P12" s="56"/>
      <c r="Q12" s="92"/>
      <c r="R12" s="92"/>
      <c r="S12" s="92"/>
      <c r="T12" s="92"/>
      <c r="U12" s="73"/>
      <c r="V12" s="73"/>
      <c r="W12" s="73"/>
      <c r="X12" s="73"/>
      <c r="Z12" s="78"/>
    </row>
    <row r="13" spans="1:26" s="75" customFormat="1" ht="25.5" customHeight="1">
      <c r="B13" s="91"/>
      <c r="C13" s="91"/>
      <c r="D13" s="92"/>
      <c r="E13" s="92"/>
      <c r="H13" s="92"/>
      <c r="I13" s="92"/>
      <c r="J13" s="92"/>
      <c r="K13" s="92"/>
      <c r="L13" s="92"/>
      <c r="M13" s="92"/>
      <c r="N13" s="92"/>
      <c r="O13" s="92"/>
      <c r="P13" s="56"/>
      <c r="Q13" s="92"/>
      <c r="R13" s="92"/>
      <c r="S13" s="92"/>
      <c r="T13" s="92"/>
      <c r="U13" s="73"/>
      <c r="V13" s="73"/>
      <c r="W13" s="73"/>
      <c r="X13" s="73"/>
      <c r="Z13" s="78"/>
    </row>
    <row r="14" spans="1:26" s="75" customFormat="1" ht="25.5" customHeight="1">
      <c r="B14" s="91"/>
      <c r="C14" s="91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73"/>
      <c r="V14" s="73"/>
      <c r="W14" s="73"/>
      <c r="X14" s="73"/>
      <c r="Z14" s="78"/>
    </row>
    <row r="15" spans="1:26" s="75" customFormat="1" ht="25.5" customHeight="1">
      <c r="B15" s="91"/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73"/>
      <c r="V15" s="73"/>
      <c r="W15" s="73"/>
      <c r="X15" s="73"/>
      <c r="Z15" s="78"/>
    </row>
    <row r="16" spans="1:26" s="75" customFormat="1" ht="25.5" customHeight="1">
      <c r="B16" s="91"/>
      <c r="C16" s="91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73"/>
      <c r="V16" s="73"/>
      <c r="W16" s="73"/>
      <c r="X16" s="73"/>
      <c r="Z16" s="78"/>
    </row>
    <row r="17" spans="1:26" s="75" customFormat="1" ht="25.5" customHeight="1">
      <c r="B17" s="91"/>
      <c r="C17" s="91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73"/>
      <c r="V17" s="73"/>
      <c r="W17" s="73"/>
      <c r="X17" s="73"/>
      <c r="Z17" s="78"/>
    </row>
    <row r="18" spans="1:26" s="75" customFormat="1" ht="25.5" customHeight="1">
      <c r="B18" s="91"/>
      <c r="C18" s="91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73"/>
      <c r="V18" s="73"/>
      <c r="W18" s="73"/>
      <c r="X18" s="73"/>
      <c r="Z18" s="78"/>
    </row>
    <row r="19" spans="1:26" s="75" customFormat="1" ht="25.5" customHeight="1">
      <c r="B19" s="91"/>
      <c r="C19" s="91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73"/>
      <c r="V19" s="73"/>
      <c r="W19" s="73"/>
      <c r="X19" s="73"/>
      <c r="Z19" s="78"/>
    </row>
    <row r="20" spans="1:26" s="75" customFormat="1" ht="25.5" customHeight="1">
      <c r="B20" s="91"/>
      <c r="C20" s="91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73"/>
      <c r="V20" s="73"/>
      <c r="W20" s="73"/>
      <c r="X20" s="73"/>
      <c r="Z20" s="78"/>
    </row>
    <row r="21" spans="1:26" s="75" customFormat="1" ht="25.5" customHeight="1">
      <c r="B21" s="91"/>
      <c r="C21" s="91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73"/>
      <c r="V21" s="73"/>
      <c r="W21" s="73"/>
      <c r="X21" s="73"/>
      <c r="Z21" s="78"/>
    </row>
    <row r="22" spans="1:26" s="75" customFormat="1" ht="25.5" customHeight="1">
      <c r="B22" s="91"/>
      <c r="C22" s="91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73"/>
      <c r="V22" s="73"/>
      <c r="W22" s="73"/>
      <c r="X22" s="73"/>
      <c r="Z22" s="78"/>
    </row>
    <row r="23" spans="1:26">
      <c r="A23" s="75"/>
      <c r="B23" s="91"/>
      <c r="C23" s="91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</row>
    <row r="24" spans="1:26" ht="15.75">
      <c r="B24" s="93" t="s">
        <v>62</v>
      </c>
      <c r="C24" s="93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</row>
    <row r="25" spans="1:26" ht="15">
      <c r="B25" s="94" t="s">
        <v>63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</row>
    <row r="26" spans="1:26" ht="15">
      <c r="B26" s="94" t="s">
        <v>64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</row>
    <row r="27" spans="1:26" ht="15">
      <c r="B27" s="94" t="s">
        <v>65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</row>
    <row r="28" spans="1:26" ht="15">
      <c r="B28" s="94" t="s">
        <v>66</v>
      </c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</row>
    <row r="29" spans="1:26" ht="15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</row>
    <row r="30" spans="1:26" ht="12.75" customHeight="1">
      <c r="B30" s="94" t="s">
        <v>67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</row>
    <row r="31" spans="1:26" s="95" customFormat="1" ht="18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Z31" s="96"/>
    </row>
    <row r="32" spans="1:26" s="95" customFormat="1" ht="7.5" customHeight="1">
      <c r="B32" s="97" t="s">
        <v>68</v>
      </c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Z32" s="96"/>
    </row>
    <row r="33" spans="1:26" s="95" customFormat="1" ht="12.75" customHeight="1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Z33" s="96"/>
    </row>
    <row r="34" spans="1:26" s="95" customFormat="1" ht="13.5" customHeight="1">
      <c r="B34" s="100" t="s">
        <v>69</v>
      </c>
      <c r="C34" s="100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Z34" s="96"/>
    </row>
    <row r="35" spans="1:26" ht="14.25" customHeight="1">
      <c r="A35" s="95"/>
      <c r="B35" s="100" t="s">
        <v>70</v>
      </c>
      <c r="C35" s="100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5"/>
      <c r="V35" s="95"/>
    </row>
    <row r="36" spans="1:26" s="101" customFormat="1" ht="15">
      <c r="A36" s="73"/>
      <c r="B36" s="100" t="s">
        <v>71</v>
      </c>
      <c r="C36" s="100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73"/>
      <c r="V36" s="73"/>
      <c r="Z36" s="102"/>
    </row>
    <row r="37" spans="1:26" s="101" customFormat="1">
      <c r="Z37" s="102"/>
    </row>
    <row r="38" spans="1:26" s="75" customFormat="1" ht="12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3"/>
      <c r="V38" s="103"/>
      <c r="W38" s="73"/>
      <c r="X38" s="73"/>
      <c r="Z38" s="78"/>
    </row>
    <row r="39" spans="1:26" s="75" customFormat="1" ht="8.25" customHeight="1">
      <c r="B39" s="104" t="s">
        <v>72</v>
      </c>
      <c r="C39" s="104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73"/>
      <c r="V39" s="73"/>
      <c r="W39" s="73"/>
      <c r="X39" s="73"/>
      <c r="Z39" s="78"/>
    </row>
    <row r="40" spans="1:26" ht="14.25" customHeight="1">
      <c r="A40" s="75"/>
      <c r="B40" s="104" t="s">
        <v>73</v>
      </c>
      <c r="C40" s="104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</row>
    <row r="41" spans="1:26" ht="10.5" customHeight="1">
      <c r="B41" s="105" t="s">
        <v>74</v>
      </c>
      <c r="C41" s="105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</row>
    <row r="42" spans="1:26" ht="18.75" customHeight="1">
      <c r="B42" s="105" t="s">
        <v>75</v>
      </c>
      <c r="C42" s="105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</row>
    <row r="43" spans="1:26" ht="3" customHeight="1"/>
    <row r="44" spans="1:26" ht="12" customHeight="1">
      <c r="B44" s="93"/>
      <c r="C44" s="93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</row>
    <row r="45" spans="1:26" s="95" customFormat="1" ht="14.25" customHeight="1">
      <c r="A45" s="73"/>
      <c r="B45" s="94" t="s">
        <v>76</v>
      </c>
      <c r="C45" s="94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73"/>
      <c r="V45" s="73"/>
      <c r="W45" s="73"/>
      <c r="X45" s="73"/>
      <c r="Z45" s="96"/>
    </row>
    <row r="46" spans="1:26" s="95" customFormat="1" ht="15.75">
      <c r="B46" s="93" t="s">
        <v>77</v>
      </c>
      <c r="C46" s="93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73"/>
      <c r="V46" s="73"/>
      <c r="W46" s="73"/>
      <c r="X46" s="73"/>
      <c r="Z46" s="96"/>
    </row>
    <row r="47" spans="1:26" s="95" customFormat="1" ht="12.75" customHeight="1">
      <c r="U47" s="73"/>
      <c r="V47" s="73"/>
      <c r="W47" s="73"/>
      <c r="X47" s="73"/>
      <c r="Z47" s="96"/>
    </row>
    <row r="48" spans="1:26" s="95" customFormat="1" ht="15" customHeight="1">
      <c r="B48" s="93"/>
      <c r="C48" s="93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73"/>
      <c r="V48" s="73"/>
      <c r="W48" s="73"/>
      <c r="X48" s="73"/>
      <c r="Z48" s="96"/>
    </row>
    <row r="49" spans="1:26" s="95" customFormat="1">
      <c r="U49" s="73"/>
      <c r="V49" s="73"/>
      <c r="W49" s="73"/>
      <c r="X49" s="73"/>
      <c r="Z49" s="96"/>
    </row>
    <row r="50" spans="1:26" s="95" customFormat="1">
      <c r="U50" s="73"/>
      <c r="V50" s="73"/>
      <c r="W50" s="73"/>
      <c r="X50" s="73"/>
      <c r="Z50" s="96"/>
    </row>
    <row r="51" spans="1:26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</row>
    <row r="53" spans="1:26" ht="15.75">
      <c r="B53" s="93" t="s">
        <v>78</v>
      </c>
      <c r="C53" s="93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</row>
    <row r="54" spans="1:26" ht="15">
      <c r="B54" s="94" t="s">
        <v>79</v>
      </c>
      <c r="C54" s="94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</row>
    <row r="56" spans="1:26" ht="15">
      <c r="B56" s="94" t="s">
        <v>80</v>
      </c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</row>
    <row r="61" spans="1:26"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</row>
    <row r="62" spans="1:26"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</row>
    <row r="63" spans="1:26"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</row>
    <row r="64" spans="1:26" ht="15"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</row>
    <row r="65" spans="2:20" ht="15"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</row>
    <row r="66" spans="2:20" ht="14.25"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</row>
    <row r="67" spans="2:20" ht="14.25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</row>
    <row r="68" spans="2:20" ht="14.25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</row>
    <row r="69" spans="2:20" ht="14.25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</row>
    <row r="70" spans="2:20" ht="14.25"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</row>
    <row r="71" spans="2:20" ht="14.25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</row>
    <row r="72" spans="2:20" ht="14.25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</row>
    <row r="73" spans="2:20" ht="14.25"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</row>
    <row r="74" spans="2:20" ht="14.25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</row>
    <row r="75" spans="2:20" ht="14.25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</row>
    <row r="76" spans="2:20" ht="14.25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</row>
    <row r="77" spans="2:20" ht="14.25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</row>
    <row r="78" spans="2:20" ht="14.25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</row>
    <row r="79" spans="2:20" ht="14.25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</row>
    <row r="80" spans="2:20" ht="14.25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</row>
    <row r="81" spans="2:20" ht="14.25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</row>
    <row r="82" spans="2:20" ht="14.25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</row>
    <row r="83" spans="2:20"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</row>
    <row r="84" spans="2:20" ht="15.75"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</row>
    <row r="85" spans="2:20" ht="15.75"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</row>
    <row r="86" spans="2:20" ht="15.75"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</row>
    <row r="87" spans="2:20" ht="1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</row>
    <row r="88" spans="2:20" ht="1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</row>
    <row r="89" spans="2:20" ht="1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</row>
    <row r="90" spans="2:20" ht="1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</row>
    <row r="91" spans="2:20" ht="1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</row>
    <row r="92" spans="2:20" ht="1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</row>
    <row r="93" spans="2:20" ht="1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</row>
    <row r="94" spans="2:20" ht="1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</row>
    <row r="95" spans="2:20" ht="1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</row>
    <row r="96" spans="2:20" ht="1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</row>
    <row r="97" spans="2:20" ht="15">
      <c r="B97" s="114"/>
      <c r="C97" s="114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</row>
    <row r="98" spans="2:20" ht="1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</row>
    <row r="99" spans="2:20" ht="1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</row>
    <row r="100" spans="2:20" ht="1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</row>
    <row r="101" spans="2:20" ht="1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</row>
    <row r="102" spans="2:20"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</row>
    <row r="103" spans="2:20">
      <c r="B103" s="116"/>
      <c r="C103" s="116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</row>
    <row r="104" spans="2:20">
      <c r="B104" s="118"/>
      <c r="C104" s="118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</row>
    <row r="105" spans="2:20"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</row>
    <row r="106" spans="2:20" ht="1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</row>
    <row r="107" spans="2:20" ht="15"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</row>
    <row r="108" spans="2:20" ht="1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</row>
    <row r="109" spans="2:20" ht="1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</row>
    <row r="110" spans="2:20" ht="15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</row>
    <row r="111" spans="2:20" ht="15"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</row>
    <row r="112" spans="2:20" ht="15"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</row>
    <row r="113" spans="2:20" ht="15"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</row>
    <row r="114" spans="2:20" ht="15"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</row>
    <row r="115" spans="2:20" ht="15"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</row>
    <row r="116" spans="2:20" ht="15"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</row>
    <row r="117" spans="2:20" ht="15"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</row>
    <row r="118" spans="2:20" ht="15"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</row>
    <row r="119" spans="2:20" ht="15"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</row>
    <row r="120" spans="2:20" ht="15"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</row>
    <row r="121" spans="2:20" ht="15"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</row>
    <row r="122" spans="2:20" ht="15"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</row>
    <row r="123" spans="2:20" ht="15"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</row>
    <row r="124" spans="2:20" ht="15"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</row>
    <row r="125" spans="2:20" ht="14.25"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</row>
    <row r="126" spans="2:20"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</row>
    <row r="127" spans="2:20"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</row>
    <row r="128" spans="2:20"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</row>
    <row r="129" spans="2:20"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</row>
    <row r="130" spans="2:20"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</row>
    <row r="131" spans="2:20"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</row>
    <row r="132" spans="2:20"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</row>
    <row r="133" spans="2:20" ht="15.75"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</row>
    <row r="134" spans="2:20" ht="15.75"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</row>
    <row r="135" spans="2:20" ht="15.75"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</row>
    <row r="136" spans="2:20" ht="15"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</row>
    <row r="137" spans="2:20" ht="15"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</row>
    <row r="138" spans="2:20" ht="15"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</row>
    <row r="139" spans="2:20" ht="15"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</row>
    <row r="140" spans="2:20" ht="15"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</row>
    <row r="141" spans="2:20" ht="15"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</row>
    <row r="142" spans="2:20" ht="15"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</row>
    <row r="143" spans="2:20" ht="15"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</row>
    <row r="144" spans="2:20" ht="15"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</row>
    <row r="145" spans="2:20" ht="15"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</row>
    <row r="146" spans="2:20" ht="15">
      <c r="B146" s="114"/>
      <c r="C146" s="114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</row>
    <row r="147" spans="2:20" ht="15"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</row>
    <row r="148" spans="2:20" ht="15"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</row>
    <row r="149" spans="2:20" ht="15"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</row>
    <row r="150" spans="2:20" ht="15"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</row>
    <row r="151" spans="2:20"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</row>
    <row r="152" spans="2:20">
      <c r="B152" s="116"/>
      <c r="C152" s="116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</row>
    <row r="153" spans="2:20">
      <c r="B153" s="118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</row>
    <row r="154" spans="2:20"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</row>
    <row r="155" spans="2:20" ht="15"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</row>
    <row r="156" spans="2:20" ht="15"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</row>
    <row r="157" spans="2:20" ht="15"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</row>
    <row r="158" spans="2:20" ht="15"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</row>
    <row r="159" spans="2:20" ht="15"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</row>
    <row r="160" spans="2:20" ht="15"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</row>
    <row r="161" spans="2:20" ht="15"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</row>
    <row r="162" spans="2:20" ht="15"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</row>
    <row r="163" spans="2:20" ht="15"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</row>
    <row r="164" spans="2:20" ht="14.25"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</row>
    <row r="165" spans="2:20"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</row>
    <row r="166" spans="2:20"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</row>
    <row r="167" spans="2:20"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</row>
    <row r="168" spans="2:20"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</row>
    <row r="169" spans="2:20"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</row>
    <row r="170" spans="2:20"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</row>
    <row r="171" spans="2:20"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</row>
    <row r="172" spans="2:20"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</row>
    <row r="173" spans="2:20" ht="15.75"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</row>
    <row r="174" spans="2:20" ht="15.75"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</row>
    <row r="175" spans="2:20" ht="15.75"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</row>
    <row r="176" spans="2:20" ht="15"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</row>
    <row r="177" spans="2:20" ht="15"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</row>
    <row r="178" spans="2:20" ht="15"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</row>
    <row r="179" spans="2:20" ht="15"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</row>
    <row r="180" spans="2:20" ht="15"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</row>
    <row r="181" spans="2:20" ht="15"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</row>
    <row r="182" spans="2:20" ht="15"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</row>
    <row r="183" spans="2:20" ht="15"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</row>
    <row r="184" spans="2:20" ht="15"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</row>
    <row r="185" spans="2:20" ht="15"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</row>
    <row r="186" spans="2:20" ht="15">
      <c r="B186" s="114"/>
      <c r="C186" s="114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</row>
    <row r="187" spans="2:20" ht="15"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</row>
    <row r="188" spans="2:20" ht="15"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</row>
    <row r="189" spans="2:20" ht="15"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</row>
    <row r="190" spans="2:20" ht="15"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</row>
    <row r="191" spans="2:20"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</row>
    <row r="192" spans="2:20">
      <c r="B192" s="116"/>
      <c r="C192" s="116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</row>
    <row r="193" spans="2:20">
      <c r="B193" s="118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</row>
    <row r="194" spans="2:20"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</row>
    <row r="195" spans="2:20" ht="15"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</row>
    <row r="196" spans="2:20" ht="15"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</row>
    <row r="197" spans="2:20" ht="15"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</row>
    <row r="198" spans="2:20" ht="15"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</row>
    <row r="199" spans="2:20" ht="15"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</row>
    <row r="200" spans="2:20" ht="15"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</row>
    <row r="201" spans="2:20" ht="15"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</row>
    <row r="202" spans="2:20" ht="15"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</row>
    <row r="203" spans="2:20" ht="15"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</row>
    <row r="204" spans="2:20" ht="14.25"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</row>
    <row r="205" spans="2:20"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</row>
    <row r="206" spans="2:20"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</row>
    <row r="207" spans="2:20" ht="15.75"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</row>
    <row r="208" spans="2:20" ht="15.75"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</row>
    <row r="209" spans="2:20" ht="15.75"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</row>
    <row r="210" spans="2:20" ht="15"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</row>
    <row r="211" spans="2:20" ht="15"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</row>
    <row r="212" spans="2:20" ht="15"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</row>
    <row r="213" spans="2:20" ht="15"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</row>
    <row r="214" spans="2:20" ht="15"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</row>
    <row r="215" spans="2:20" ht="15"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</row>
    <row r="216" spans="2:20" ht="15"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</row>
    <row r="217" spans="2:20" ht="15"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</row>
    <row r="218" spans="2:20" ht="15"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</row>
    <row r="219" spans="2:20" ht="15"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</row>
    <row r="220" spans="2:20" ht="15">
      <c r="B220" s="114"/>
      <c r="C220" s="114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</row>
    <row r="221" spans="2:20" ht="15"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</row>
    <row r="222" spans="2:20" ht="15"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</row>
    <row r="223" spans="2:20" ht="15"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</row>
    <row r="224" spans="2:20" ht="15"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</row>
    <row r="225" spans="2:20"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</row>
    <row r="226" spans="2:20">
      <c r="B226" s="116"/>
      <c r="C226" s="116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</row>
    <row r="227" spans="2:20">
      <c r="B227" s="118"/>
      <c r="C227" s="118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</row>
    <row r="228" spans="2:20"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</row>
    <row r="229" spans="2:20" ht="21" customHeight="1"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</row>
    <row r="230" spans="2:20" ht="15"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</row>
    <row r="231" spans="2:20" ht="15"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</row>
    <row r="232" spans="2:20" ht="15"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</row>
    <row r="233" spans="2:20" ht="15"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</row>
    <row r="234" spans="2:20" ht="15"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</row>
    <row r="235" spans="2:20" ht="15"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</row>
    <row r="236" spans="2:20" ht="15"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</row>
    <row r="237" spans="2:20" ht="15"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</row>
    <row r="238" spans="2:20" ht="14.25"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</row>
    <row r="239" spans="2:20" ht="14.25"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</row>
    <row r="240" spans="2:20" ht="14.25"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</row>
    <row r="241" spans="2:20"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</row>
    <row r="242" spans="2:20"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</row>
    <row r="243" spans="2:20"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</row>
    <row r="244" spans="2:20"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</row>
    <row r="245" spans="2:20"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</row>
    <row r="246" spans="2:20"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</row>
    <row r="247" spans="2:20"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</row>
    <row r="248" spans="2:20"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</row>
    <row r="249" spans="2:20"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</row>
    <row r="250" spans="2:20"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</row>
    <row r="251" spans="2:20"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</row>
    <row r="252" spans="2:20"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</row>
    <row r="253" spans="2:20"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</row>
    <row r="254" spans="2:20"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</row>
    <row r="255" spans="2:20"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</row>
    <row r="256" spans="2:20"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</row>
    <row r="257" spans="2:20"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</row>
    <row r="258" spans="2:20"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</row>
    <row r="259" spans="2:20"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</row>
    <row r="260" spans="2:20"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</row>
    <row r="261" spans="2:20"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</row>
    <row r="262" spans="2:20"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</row>
    <row r="263" spans="2:20"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</row>
    <row r="264" spans="2:20"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</row>
    <row r="265" spans="2:20"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</row>
    <row r="266" spans="2:20"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</row>
    <row r="267" spans="2:20"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</row>
    <row r="268" spans="2:20"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</row>
    <row r="269" spans="2:20"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</row>
    <row r="270" spans="2:20"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</row>
    <row r="271" spans="2:20"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</row>
    <row r="272" spans="2:20"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</row>
    <row r="273" spans="2:20"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</row>
    <row r="274" spans="2:20"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</row>
    <row r="275" spans="2:20"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</row>
    <row r="276" spans="2:20"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61"/>
  </sheetPr>
  <dimension ref="A1:Z276"/>
  <sheetViews>
    <sheetView showGridLines="0" view="pageLayout" zoomScale="85" zoomScaleNormal="100" zoomScalePageLayoutView="85" workbookViewId="0">
      <selection activeCell="E11" sqref="E11:E14"/>
    </sheetView>
  </sheetViews>
  <sheetFormatPr defaultColWidth="9.140625" defaultRowHeight="12.75"/>
  <cols>
    <col min="1" max="1" width="1.42578125" style="73" customWidth="1"/>
    <col min="2" max="2" width="13" style="73" customWidth="1"/>
    <col min="3" max="3" width="9" style="73" customWidth="1"/>
    <col min="4" max="4" width="8.7109375" style="73" customWidth="1"/>
    <col min="5" max="5" width="9.5703125" style="73" customWidth="1"/>
    <col min="6" max="6" width="7.5703125" style="73" customWidth="1"/>
    <col min="7" max="7" width="9.140625" style="73" customWidth="1"/>
    <col min="8" max="8" width="7.5703125" style="73" customWidth="1"/>
    <col min="9" max="9" width="10.42578125" style="73" customWidth="1"/>
    <col min="10" max="10" width="7.42578125" style="73" customWidth="1"/>
    <col min="11" max="11" width="9" style="73" customWidth="1"/>
    <col min="12" max="12" width="7.85546875" style="73" customWidth="1"/>
    <col min="13" max="13" width="9.42578125" style="73" customWidth="1"/>
    <col min="14" max="14" width="7.5703125" style="73" customWidth="1"/>
    <col min="15" max="15" width="9.42578125" style="73" customWidth="1"/>
    <col min="16" max="16" width="7.42578125" style="73" customWidth="1"/>
    <col min="17" max="17" width="9.28515625" style="73" customWidth="1"/>
    <col min="18" max="18" width="8.5703125" style="73" customWidth="1"/>
    <col min="19" max="19" width="9.42578125" style="73" customWidth="1"/>
    <col min="20" max="20" width="7.42578125" style="73" customWidth="1"/>
    <col min="21" max="21" width="2.140625" style="73" customWidth="1"/>
    <col min="22" max="22" width="13.85546875" style="73" customWidth="1"/>
    <col min="23" max="23" width="11.85546875" style="73" customWidth="1"/>
    <col min="24" max="24" width="15.5703125" style="73" customWidth="1"/>
    <col min="25" max="25" width="20.140625" style="73" customWidth="1"/>
    <col min="26" max="26" width="11.28515625" style="1" bestFit="1" customWidth="1"/>
    <col min="27" max="16384" width="9.140625" style="73"/>
  </cols>
  <sheetData>
    <row r="1" spans="1:26" ht="16.5" thickBot="1">
      <c r="B1" s="158" t="s">
        <v>95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</row>
    <row r="2" spans="1:26" ht="15.75" thickBot="1">
      <c r="E2" s="74" t="s">
        <v>86</v>
      </c>
      <c r="F2" s="74"/>
      <c r="G2" s="74"/>
      <c r="H2" s="74"/>
      <c r="I2" s="74" t="s">
        <v>87</v>
      </c>
      <c r="J2" s="74"/>
      <c r="K2" s="74"/>
      <c r="L2" s="74"/>
      <c r="M2" s="74" t="s">
        <v>88</v>
      </c>
      <c r="N2" s="74"/>
      <c r="O2" s="74"/>
      <c r="P2" s="74"/>
      <c r="Q2" s="159" t="s">
        <v>89</v>
      </c>
      <c r="R2" s="159"/>
      <c r="S2" s="159"/>
      <c r="T2" s="159"/>
    </row>
    <row r="3" spans="1:26" s="75" customFormat="1" ht="27.95" customHeight="1">
      <c r="B3" s="160" t="s">
        <v>0</v>
      </c>
      <c r="C3" s="154" t="s">
        <v>96</v>
      </c>
      <c r="D3" s="155"/>
      <c r="E3" s="154" t="s">
        <v>56</v>
      </c>
      <c r="F3" s="155"/>
      <c r="G3" s="154" t="s">
        <v>57</v>
      </c>
      <c r="H3" s="155"/>
      <c r="I3" s="154" t="s">
        <v>56</v>
      </c>
      <c r="J3" s="155"/>
      <c r="K3" s="154" t="s">
        <v>57</v>
      </c>
      <c r="L3" s="155"/>
      <c r="M3" s="154" t="s">
        <v>56</v>
      </c>
      <c r="N3" s="155"/>
      <c r="O3" s="154" t="s">
        <v>57</v>
      </c>
      <c r="P3" s="155"/>
      <c r="Q3" s="154" t="s">
        <v>56</v>
      </c>
      <c r="R3" s="155"/>
      <c r="S3" s="154" t="s">
        <v>57</v>
      </c>
      <c r="T3" s="155"/>
      <c r="U3" s="76"/>
      <c r="V3" s="77"/>
      <c r="Z3" s="78"/>
    </row>
    <row r="4" spans="1:26" s="75" customFormat="1" ht="51.75" customHeight="1">
      <c r="B4" s="161"/>
      <c r="C4" s="156"/>
      <c r="D4" s="157"/>
      <c r="E4" s="156"/>
      <c r="F4" s="157"/>
      <c r="G4" s="156"/>
      <c r="H4" s="157"/>
      <c r="I4" s="156"/>
      <c r="J4" s="157"/>
      <c r="K4" s="156"/>
      <c r="L4" s="157"/>
      <c r="M4" s="156"/>
      <c r="N4" s="157"/>
      <c r="O4" s="156"/>
      <c r="P4" s="157"/>
      <c r="Q4" s="156"/>
      <c r="R4" s="157"/>
      <c r="S4" s="156"/>
      <c r="T4" s="157"/>
      <c r="U4" s="76"/>
      <c r="V4" s="79" t="s">
        <v>58</v>
      </c>
      <c r="Z4" s="78"/>
    </row>
    <row r="5" spans="1:26" s="75" customFormat="1" ht="37.5" customHeight="1">
      <c r="A5" s="80"/>
      <c r="B5" s="81"/>
      <c r="C5" s="82" t="s">
        <v>59</v>
      </c>
      <c r="D5" s="83" t="s">
        <v>60</v>
      </c>
      <c r="E5" s="82" t="s">
        <v>59</v>
      </c>
      <c r="F5" s="83" t="s">
        <v>60</v>
      </c>
      <c r="G5" s="82" t="s">
        <v>59</v>
      </c>
      <c r="H5" s="83" t="s">
        <v>60</v>
      </c>
      <c r="I5" s="82" t="s">
        <v>59</v>
      </c>
      <c r="J5" s="83" t="s">
        <v>60</v>
      </c>
      <c r="K5" s="82" t="s">
        <v>59</v>
      </c>
      <c r="L5" s="83" t="s">
        <v>60</v>
      </c>
      <c r="M5" s="82" t="s">
        <v>59</v>
      </c>
      <c r="N5" s="83" t="s">
        <v>60</v>
      </c>
      <c r="O5" s="82" t="s">
        <v>59</v>
      </c>
      <c r="P5" s="83" t="s">
        <v>60</v>
      </c>
      <c r="Q5" s="82" t="s">
        <v>59</v>
      </c>
      <c r="R5" s="83" t="s">
        <v>60</v>
      </c>
      <c r="S5" s="82" t="s">
        <v>59</v>
      </c>
      <c r="T5" s="83" t="s">
        <v>60</v>
      </c>
      <c r="U5" s="84"/>
      <c r="V5" s="85"/>
      <c r="W5" s="73"/>
      <c r="X5" s="73"/>
      <c r="Z5" s="78"/>
    </row>
    <row r="6" spans="1:26" s="75" customFormat="1" ht="37.5" customHeight="1">
      <c r="B6" s="86" t="s">
        <v>47</v>
      </c>
      <c r="C6" s="87">
        <v>5000000</v>
      </c>
      <c r="D6" s="88">
        <f>C6*0.133774139</f>
        <v>668870.69499999995</v>
      </c>
      <c r="E6" s="126">
        <v>1300292.4484908485</v>
      </c>
      <c r="F6" s="88">
        <f>E6*0.133774139</f>
        <v>173945.50274506508</v>
      </c>
      <c r="G6" s="87">
        <v>999422</v>
      </c>
      <c r="H6" s="88">
        <f>G6*0.133774139</f>
        <v>133696.81754765799</v>
      </c>
      <c r="I6" s="126">
        <v>1201330.5783250327</v>
      </c>
      <c r="J6" s="88">
        <f>I6*0.13377</f>
        <v>160701.99146253962</v>
      </c>
      <c r="K6" s="87">
        <v>906046</v>
      </c>
      <c r="L6" s="88">
        <f>K6*0.133774139</f>
        <v>121205.52354439399</v>
      </c>
      <c r="M6" s="126">
        <v>1119667.0897766554</v>
      </c>
      <c r="N6" s="88">
        <f>M6*0.13377</f>
        <v>149777.8665994232</v>
      </c>
      <c r="O6" s="87">
        <v>906040</v>
      </c>
      <c r="P6" s="88">
        <f>O6*0.133774139</f>
        <v>121204.72089955999</v>
      </c>
      <c r="Q6" s="87">
        <f>+E6+I6+M6</f>
        <v>3621290.1165925367</v>
      </c>
      <c r="R6" s="88">
        <f>+F6+J6+N6</f>
        <v>484425.3608070279</v>
      </c>
      <c r="S6" s="87">
        <f>+G6+K6+O6</f>
        <v>2811508</v>
      </c>
      <c r="T6" s="88">
        <f>+H6+L6+P6</f>
        <v>376107.06199161196</v>
      </c>
      <c r="U6" s="73"/>
      <c r="V6" s="90">
        <f>C6-S6</f>
        <v>2188492</v>
      </c>
      <c r="W6" s="73"/>
      <c r="X6" s="73"/>
      <c r="Z6" s="89"/>
    </row>
    <row r="7" spans="1:26" s="75" customFormat="1" ht="37.5" customHeight="1">
      <c r="B7" s="86" t="s">
        <v>51</v>
      </c>
      <c r="C7" s="87">
        <v>4000000</v>
      </c>
      <c r="D7" s="88">
        <f t="shared" ref="D7:H7" si="0">C7*0.133774139</f>
        <v>535096.55599999998</v>
      </c>
      <c r="E7" s="126">
        <v>918598</v>
      </c>
      <c r="F7" s="88">
        <f t="shared" si="0"/>
        <v>122884.65653712199</v>
      </c>
      <c r="G7" s="87">
        <v>0</v>
      </c>
      <c r="H7" s="88">
        <f t="shared" si="0"/>
        <v>0</v>
      </c>
      <c r="I7" s="126">
        <v>969827</v>
      </c>
      <c r="J7" s="88">
        <f t="shared" ref="J7" si="1">I7*0.13377</f>
        <v>129733.75779</v>
      </c>
      <c r="K7" s="87">
        <v>1027695</v>
      </c>
      <c r="L7" s="88">
        <f t="shared" ref="L7" si="2">K7*0.133774139</f>
        <v>137479.01377960498</v>
      </c>
      <c r="M7" s="126">
        <v>917834</v>
      </c>
      <c r="N7" s="88">
        <f t="shared" ref="N7" si="3">M7*0.13377</f>
        <v>122778.65418</v>
      </c>
      <c r="O7" s="87">
        <v>0</v>
      </c>
      <c r="P7" s="88">
        <f t="shared" ref="P7" si="4">O7*0.133774139</f>
        <v>0</v>
      </c>
      <c r="Q7" s="87">
        <f>+E7+I7+M7</f>
        <v>2806259</v>
      </c>
      <c r="R7" s="88">
        <f t="shared" ref="R7" si="5">+F7+J7+N7</f>
        <v>375397.06850712199</v>
      </c>
      <c r="S7" s="87">
        <f>+G7+K7+O7</f>
        <v>1027695</v>
      </c>
      <c r="T7" s="88">
        <f t="shared" ref="T7" si="6">+H7+L7+P7</f>
        <v>137479.01377960498</v>
      </c>
      <c r="U7" s="73"/>
      <c r="V7" s="90">
        <f t="shared" ref="V7" si="7">C7-S7</f>
        <v>2972305</v>
      </c>
      <c r="W7" s="73"/>
      <c r="X7" s="73"/>
      <c r="Z7" s="78"/>
    </row>
    <row r="8" spans="1:26" s="75" customFormat="1" ht="25.5" customHeight="1">
      <c r="B8" s="91" t="s">
        <v>61</v>
      </c>
      <c r="C8" s="91" t="s">
        <v>85</v>
      </c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73"/>
      <c r="V8" s="73"/>
      <c r="W8" s="73"/>
      <c r="X8" s="73"/>
      <c r="Z8" s="78"/>
    </row>
    <row r="9" spans="1:26" s="75" customFormat="1" ht="25.5" customHeight="1">
      <c r="C9" s="91" t="s">
        <v>81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73"/>
      <c r="V9" s="73"/>
      <c r="W9" s="73"/>
      <c r="X9" s="73"/>
      <c r="Z9" s="78"/>
    </row>
    <row r="10" spans="1:26" s="75" customFormat="1" ht="25.5" customHeight="1">
      <c r="B10" s="91"/>
      <c r="C10" s="91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73"/>
      <c r="V10" s="73"/>
      <c r="W10" s="73"/>
      <c r="X10" s="73"/>
      <c r="Z10" s="78"/>
    </row>
    <row r="11" spans="1:26" s="75" customFormat="1" ht="25.5" customHeight="1">
      <c r="B11" s="91"/>
      <c r="C11" s="91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56"/>
      <c r="Q11" s="92"/>
      <c r="R11" s="92"/>
      <c r="S11" s="92"/>
      <c r="T11" s="92"/>
      <c r="U11" s="73"/>
      <c r="V11" s="73"/>
      <c r="W11" s="73"/>
      <c r="X11" s="73"/>
      <c r="Z11" s="78"/>
    </row>
    <row r="12" spans="1:26" s="75" customFormat="1" ht="25.5" customHeight="1">
      <c r="B12" s="91"/>
      <c r="C12" s="91"/>
      <c r="D12" s="92"/>
      <c r="E12" s="92"/>
      <c r="H12" s="92"/>
      <c r="I12" s="92"/>
      <c r="J12" s="92"/>
      <c r="K12" s="92"/>
      <c r="L12" s="92"/>
      <c r="M12" s="92"/>
      <c r="N12" s="92"/>
      <c r="O12" s="92"/>
      <c r="P12" s="56"/>
      <c r="Q12" s="92"/>
      <c r="R12" s="92"/>
      <c r="S12" s="92"/>
      <c r="T12" s="92"/>
      <c r="U12" s="73"/>
      <c r="V12" s="73"/>
      <c r="W12" s="73"/>
      <c r="X12" s="73"/>
      <c r="Z12" s="78"/>
    </row>
    <row r="13" spans="1:26" s="75" customFormat="1" ht="25.5" customHeight="1">
      <c r="B13" s="91"/>
      <c r="C13" s="91"/>
      <c r="D13" s="92"/>
      <c r="E13" s="92"/>
      <c r="H13" s="92"/>
      <c r="I13" s="92"/>
      <c r="J13" s="92"/>
      <c r="K13" s="92"/>
      <c r="L13" s="92"/>
      <c r="M13" s="92"/>
      <c r="N13" s="92"/>
      <c r="O13" s="92"/>
      <c r="P13" s="56"/>
      <c r="Q13" s="92"/>
      <c r="R13" s="92"/>
      <c r="S13" s="92"/>
      <c r="T13" s="92"/>
      <c r="U13" s="73"/>
      <c r="V13" s="73"/>
      <c r="W13" s="73"/>
      <c r="X13" s="73"/>
      <c r="Z13" s="78"/>
    </row>
    <row r="14" spans="1:26" s="75" customFormat="1" ht="25.5" customHeight="1">
      <c r="B14" s="91"/>
      <c r="C14" s="91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73"/>
      <c r="V14" s="73"/>
      <c r="W14" s="73"/>
      <c r="X14" s="73"/>
      <c r="Z14" s="78"/>
    </row>
    <row r="15" spans="1:26" s="75" customFormat="1" ht="25.5" customHeight="1">
      <c r="B15" s="91"/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73"/>
      <c r="V15" s="73"/>
      <c r="W15" s="73"/>
      <c r="X15" s="73"/>
      <c r="Z15" s="78"/>
    </row>
    <row r="16" spans="1:26" s="75" customFormat="1" ht="25.5" customHeight="1">
      <c r="B16" s="91"/>
      <c r="C16" s="91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73"/>
      <c r="V16" s="73"/>
      <c r="W16" s="73"/>
      <c r="X16" s="73"/>
      <c r="Z16" s="78"/>
    </row>
    <row r="17" spans="1:26" s="75" customFormat="1" ht="25.5" customHeight="1">
      <c r="B17" s="91"/>
      <c r="C17" s="91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73"/>
      <c r="V17" s="73"/>
      <c r="W17" s="73"/>
      <c r="X17" s="73"/>
      <c r="Z17" s="78"/>
    </row>
    <row r="18" spans="1:26" s="75" customFormat="1" ht="25.5" customHeight="1">
      <c r="B18" s="91"/>
      <c r="C18" s="91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73"/>
      <c r="V18" s="73"/>
      <c r="W18" s="73"/>
      <c r="X18" s="73"/>
      <c r="Z18" s="78"/>
    </row>
    <row r="19" spans="1:26" s="75" customFormat="1" ht="25.5" customHeight="1">
      <c r="B19" s="91"/>
      <c r="C19" s="91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73"/>
      <c r="V19" s="73"/>
      <c r="W19" s="73"/>
      <c r="X19" s="73"/>
      <c r="Z19" s="78"/>
    </row>
    <row r="20" spans="1:26" s="75" customFormat="1" ht="25.5" customHeight="1">
      <c r="B20" s="91"/>
      <c r="C20" s="91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73"/>
      <c r="V20" s="73"/>
      <c r="W20" s="73"/>
      <c r="X20" s="73"/>
      <c r="Z20" s="78"/>
    </row>
    <row r="21" spans="1:26" s="75" customFormat="1" ht="25.5" customHeight="1">
      <c r="B21" s="91"/>
      <c r="C21" s="91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73"/>
      <c r="V21" s="73"/>
      <c r="W21" s="73"/>
      <c r="X21" s="73"/>
      <c r="Z21" s="78"/>
    </row>
    <row r="22" spans="1:26" s="75" customFormat="1" ht="25.5" customHeight="1">
      <c r="B22" s="91"/>
      <c r="C22" s="91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73"/>
      <c r="V22" s="73"/>
      <c r="W22" s="73"/>
      <c r="X22" s="73"/>
      <c r="Z22" s="78"/>
    </row>
    <row r="23" spans="1:26">
      <c r="A23" s="75"/>
      <c r="B23" s="91"/>
      <c r="C23" s="91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</row>
    <row r="24" spans="1:26" ht="15.75">
      <c r="B24" s="93" t="s">
        <v>62</v>
      </c>
      <c r="C24" s="93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</row>
    <row r="25" spans="1:26" ht="15">
      <c r="B25" s="94" t="s">
        <v>63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</row>
    <row r="26" spans="1:26" ht="15">
      <c r="B26" s="94" t="s">
        <v>64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</row>
    <row r="27" spans="1:26" ht="15">
      <c r="B27" s="94" t="s">
        <v>65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</row>
    <row r="28" spans="1:26" ht="15">
      <c r="B28" s="94" t="s">
        <v>66</v>
      </c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</row>
    <row r="29" spans="1:26" ht="15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</row>
    <row r="30" spans="1:26" ht="12.75" customHeight="1">
      <c r="B30" s="94" t="s">
        <v>67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</row>
    <row r="31" spans="1:26" s="95" customFormat="1" ht="18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Z31" s="96"/>
    </row>
    <row r="32" spans="1:26" s="95" customFormat="1" ht="7.5" customHeight="1">
      <c r="B32" s="97" t="s">
        <v>68</v>
      </c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Z32" s="96"/>
    </row>
    <row r="33" spans="1:26" s="95" customFormat="1" ht="12.75" customHeight="1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Z33" s="96"/>
    </row>
    <row r="34" spans="1:26" s="95" customFormat="1" ht="13.5" customHeight="1">
      <c r="B34" s="100" t="s">
        <v>69</v>
      </c>
      <c r="C34" s="100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Z34" s="96"/>
    </row>
    <row r="35" spans="1:26" ht="14.25" customHeight="1">
      <c r="A35" s="95"/>
      <c r="B35" s="100" t="s">
        <v>70</v>
      </c>
      <c r="C35" s="100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5"/>
      <c r="V35" s="95"/>
    </row>
    <row r="36" spans="1:26" s="101" customFormat="1" ht="15">
      <c r="A36" s="73"/>
      <c r="B36" s="100" t="s">
        <v>71</v>
      </c>
      <c r="C36" s="100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73"/>
      <c r="V36" s="73"/>
      <c r="Z36" s="102"/>
    </row>
    <row r="37" spans="1:26" s="101" customFormat="1">
      <c r="Z37" s="102"/>
    </row>
    <row r="38" spans="1:26" s="75" customFormat="1" ht="12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3"/>
      <c r="V38" s="103"/>
      <c r="W38" s="73"/>
      <c r="X38" s="73"/>
      <c r="Z38" s="78"/>
    </row>
    <row r="39" spans="1:26" s="75" customFormat="1" ht="8.25" customHeight="1">
      <c r="B39" s="104" t="s">
        <v>72</v>
      </c>
      <c r="C39" s="104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73"/>
      <c r="V39" s="73"/>
      <c r="W39" s="73"/>
      <c r="X39" s="73"/>
      <c r="Z39" s="78"/>
    </row>
    <row r="40" spans="1:26" ht="14.25" customHeight="1">
      <c r="A40" s="75"/>
      <c r="B40" s="104" t="s">
        <v>73</v>
      </c>
      <c r="C40" s="104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</row>
    <row r="41" spans="1:26" ht="10.5" customHeight="1">
      <c r="B41" s="105" t="s">
        <v>74</v>
      </c>
      <c r="C41" s="105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</row>
    <row r="42" spans="1:26" ht="18.75" customHeight="1">
      <c r="B42" s="105" t="s">
        <v>75</v>
      </c>
      <c r="C42" s="105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</row>
    <row r="43" spans="1:26" ht="3" customHeight="1"/>
    <row r="44" spans="1:26" ht="12" customHeight="1">
      <c r="B44" s="93"/>
      <c r="C44" s="93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</row>
    <row r="45" spans="1:26" s="95" customFormat="1" ht="14.25" customHeight="1">
      <c r="A45" s="73"/>
      <c r="B45" s="94" t="s">
        <v>76</v>
      </c>
      <c r="C45" s="94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73"/>
      <c r="V45" s="73"/>
      <c r="W45" s="73"/>
      <c r="X45" s="73"/>
      <c r="Z45" s="96"/>
    </row>
    <row r="46" spans="1:26" s="95" customFormat="1" ht="15.75">
      <c r="B46" s="93" t="s">
        <v>77</v>
      </c>
      <c r="C46" s="93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73"/>
      <c r="V46" s="73"/>
      <c r="W46" s="73"/>
      <c r="X46" s="73"/>
      <c r="Z46" s="96"/>
    </row>
    <row r="47" spans="1:26" s="95" customFormat="1" ht="12.75" customHeight="1">
      <c r="U47" s="73"/>
      <c r="V47" s="73"/>
      <c r="W47" s="73"/>
      <c r="X47" s="73"/>
      <c r="Z47" s="96"/>
    </row>
    <row r="48" spans="1:26" s="95" customFormat="1" ht="15" customHeight="1">
      <c r="B48" s="93"/>
      <c r="C48" s="93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73"/>
      <c r="V48" s="73"/>
      <c r="W48" s="73"/>
      <c r="X48" s="73"/>
      <c r="Z48" s="96"/>
    </row>
    <row r="49" spans="1:26" s="95" customFormat="1">
      <c r="U49" s="73"/>
      <c r="V49" s="73"/>
      <c r="W49" s="73"/>
      <c r="X49" s="73"/>
      <c r="Z49" s="96"/>
    </row>
    <row r="50" spans="1:26" s="95" customFormat="1">
      <c r="U50" s="73"/>
      <c r="V50" s="73"/>
      <c r="W50" s="73"/>
      <c r="X50" s="73"/>
      <c r="Z50" s="96"/>
    </row>
    <row r="51" spans="1:26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</row>
    <row r="53" spans="1:26" ht="15.75">
      <c r="B53" s="93" t="s">
        <v>78</v>
      </c>
      <c r="C53" s="93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</row>
    <row r="54" spans="1:26" ht="15">
      <c r="B54" s="94" t="s">
        <v>79</v>
      </c>
      <c r="C54" s="94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</row>
    <row r="56" spans="1:26" ht="15">
      <c r="B56" s="94" t="s">
        <v>80</v>
      </c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</row>
    <row r="61" spans="1:26"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</row>
    <row r="62" spans="1:26"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</row>
    <row r="63" spans="1:26"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</row>
    <row r="64" spans="1:26" ht="15"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</row>
    <row r="65" spans="2:20" ht="15"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</row>
    <row r="66" spans="2:20" ht="14.25"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</row>
    <row r="67" spans="2:20" ht="14.25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</row>
    <row r="68" spans="2:20" ht="14.25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</row>
    <row r="69" spans="2:20" ht="14.25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</row>
    <row r="70" spans="2:20" ht="14.25"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</row>
    <row r="71" spans="2:20" ht="14.25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</row>
    <row r="72" spans="2:20" ht="14.25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</row>
    <row r="73" spans="2:20" ht="14.25"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</row>
    <row r="74" spans="2:20" ht="14.25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</row>
    <row r="75" spans="2:20" ht="14.25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</row>
    <row r="76" spans="2:20" ht="14.25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</row>
    <row r="77" spans="2:20" ht="14.25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</row>
    <row r="78" spans="2:20" ht="14.25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</row>
    <row r="79" spans="2:20" ht="14.25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</row>
    <row r="80" spans="2:20" ht="14.25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</row>
    <row r="81" spans="2:20" ht="14.25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</row>
    <row r="82" spans="2:20" ht="14.25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</row>
    <row r="83" spans="2:20"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</row>
    <row r="84" spans="2:20" ht="15.75"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</row>
    <row r="85" spans="2:20" ht="15.75"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</row>
    <row r="86" spans="2:20" ht="15.75"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</row>
    <row r="87" spans="2:20" ht="1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</row>
    <row r="88" spans="2:20" ht="1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</row>
    <row r="89" spans="2:20" ht="1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</row>
    <row r="90" spans="2:20" ht="1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</row>
    <row r="91" spans="2:20" ht="1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</row>
    <row r="92" spans="2:20" ht="1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</row>
    <row r="93" spans="2:20" ht="1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</row>
    <row r="94" spans="2:20" ht="1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</row>
    <row r="95" spans="2:20" ht="1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</row>
    <row r="96" spans="2:20" ht="1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</row>
    <row r="97" spans="2:20" ht="15">
      <c r="B97" s="114"/>
      <c r="C97" s="114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</row>
    <row r="98" spans="2:20" ht="1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</row>
    <row r="99" spans="2:20" ht="1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</row>
    <row r="100" spans="2:20" ht="1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</row>
    <row r="101" spans="2:20" ht="1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</row>
    <row r="102" spans="2:20"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</row>
    <row r="103" spans="2:20">
      <c r="B103" s="116"/>
      <c r="C103" s="116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</row>
    <row r="104" spans="2:20">
      <c r="B104" s="118"/>
      <c r="C104" s="118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</row>
    <row r="105" spans="2:20"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</row>
    <row r="106" spans="2:20" ht="1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</row>
    <row r="107" spans="2:20" ht="15"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</row>
    <row r="108" spans="2:20" ht="1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</row>
    <row r="109" spans="2:20" ht="1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</row>
    <row r="110" spans="2:20" ht="15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</row>
    <row r="111" spans="2:20" ht="15"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</row>
    <row r="112" spans="2:20" ht="15"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</row>
    <row r="113" spans="2:20" ht="15"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</row>
    <row r="114" spans="2:20" ht="15"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</row>
    <row r="115" spans="2:20" ht="15"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</row>
    <row r="116" spans="2:20" ht="15"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</row>
    <row r="117" spans="2:20" ht="15"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</row>
    <row r="118" spans="2:20" ht="15"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</row>
    <row r="119" spans="2:20" ht="15"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</row>
    <row r="120" spans="2:20" ht="15"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</row>
    <row r="121" spans="2:20" ht="15"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</row>
    <row r="122" spans="2:20" ht="15"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</row>
    <row r="123" spans="2:20" ht="15"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</row>
    <row r="124" spans="2:20" ht="15"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</row>
    <row r="125" spans="2:20" ht="14.25"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</row>
    <row r="126" spans="2:20"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</row>
    <row r="127" spans="2:20"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</row>
    <row r="128" spans="2:20"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</row>
    <row r="129" spans="2:20"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</row>
    <row r="130" spans="2:20"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</row>
    <row r="131" spans="2:20"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</row>
    <row r="132" spans="2:20"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</row>
    <row r="133" spans="2:20" ht="15.75"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</row>
    <row r="134" spans="2:20" ht="15.75"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</row>
    <row r="135" spans="2:20" ht="15.75"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</row>
    <row r="136" spans="2:20" ht="15"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</row>
    <row r="137" spans="2:20" ht="15"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</row>
    <row r="138" spans="2:20" ht="15"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</row>
    <row r="139" spans="2:20" ht="15"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</row>
    <row r="140" spans="2:20" ht="15"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</row>
    <row r="141" spans="2:20" ht="15"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</row>
    <row r="142" spans="2:20" ht="15"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</row>
    <row r="143" spans="2:20" ht="15"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</row>
    <row r="144" spans="2:20" ht="15"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</row>
    <row r="145" spans="2:20" ht="15"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</row>
    <row r="146" spans="2:20" ht="15">
      <c r="B146" s="114"/>
      <c r="C146" s="114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</row>
    <row r="147" spans="2:20" ht="15"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</row>
    <row r="148" spans="2:20" ht="15"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</row>
    <row r="149" spans="2:20" ht="15"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</row>
    <row r="150" spans="2:20" ht="15"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</row>
    <row r="151" spans="2:20"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</row>
    <row r="152" spans="2:20">
      <c r="B152" s="116"/>
      <c r="C152" s="116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</row>
    <row r="153" spans="2:20">
      <c r="B153" s="118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</row>
    <row r="154" spans="2:20"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</row>
    <row r="155" spans="2:20" ht="15"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</row>
    <row r="156" spans="2:20" ht="15"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</row>
    <row r="157" spans="2:20" ht="15"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</row>
    <row r="158" spans="2:20" ht="15"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</row>
    <row r="159" spans="2:20" ht="15"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</row>
    <row r="160" spans="2:20" ht="15"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</row>
    <row r="161" spans="2:20" ht="15"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</row>
    <row r="162" spans="2:20" ht="15"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</row>
    <row r="163" spans="2:20" ht="15"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</row>
    <row r="164" spans="2:20" ht="14.25"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</row>
    <row r="165" spans="2:20"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</row>
    <row r="166" spans="2:20"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</row>
    <row r="167" spans="2:20"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</row>
    <row r="168" spans="2:20"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</row>
    <row r="169" spans="2:20"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</row>
    <row r="170" spans="2:20"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</row>
    <row r="171" spans="2:20"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</row>
    <row r="172" spans="2:20"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</row>
    <row r="173" spans="2:20" ht="15.75"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</row>
    <row r="174" spans="2:20" ht="15.75"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</row>
    <row r="175" spans="2:20" ht="15.75"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</row>
    <row r="176" spans="2:20" ht="15"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</row>
    <row r="177" spans="2:20" ht="15"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</row>
    <row r="178" spans="2:20" ht="15"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</row>
    <row r="179" spans="2:20" ht="15"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</row>
    <row r="180" spans="2:20" ht="15"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</row>
    <row r="181" spans="2:20" ht="15"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</row>
    <row r="182" spans="2:20" ht="15"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</row>
    <row r="183" spans="2:20" ht="15"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</row>
    <row r="184" spans="2:20" ht="15"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</row>
    <row r="185" spans="2:20" ht="15"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</row>
    <row r="186" spans="2:20" ht="15">
      <c r="B186" s="114"/>
      <c r="C186" s="114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</row>
    <row r="187" spans="2:20" ht="15"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</row>
    <row r="188" spans="2:20" ht="15"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</row>
    <row r="189" spans="2:20" ht="15"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</row>
    <row r="190" spans="2:20" ht="15"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</row>
    <row r="191" spans="2:20"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</row>
    <row r="192" spans="2:20">
      <c r="B192" s="116"/>
      <c r="C192" s="116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</row>
    <row r="193" spans="2:20">
      <c r="B193" s="118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</row>
    <row r="194" spans="2:20"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</row>
    <row r="195" spans="2:20" ht="15"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</row>
    <row r="196" spans="2:20" ht="15"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</row>
    <row r="197" spans="2:20" ht="15"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</row>
    <row r="198" spans="2:20" ht="15"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</row>
    <row r="199" spans="2:20" ht="15"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</row>
    <row r="200" spans="2:20" ht="15"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</row>
    <row r="201" spans="2:20" ht="15"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</row>
    <row r="202" spans="2:20" ht="15"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</row>
    <row r="203" spans="2:20" ht="15"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</row>
    <row r="204" spans="2:20" ht="14.25"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</row>
    <row r="205" spans="2:20"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</row>
    <row r="206" spans="2:20"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</row>
    <row r="207" spans="2:20" ht="15.75"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</row>
    <row r="208" spans="2:20" ht="15.75"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</row>
    <row r="209" spans="2:20" ht="15.75"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</row>
    <row r="210" spans="2:20" ht="15"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</row>
    <row r="211" spans="2:20" ht="15"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</row>
    <row r="212" spans="2:20" ht="15"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</row>
    <row r="213" spans="2:20" ht="15"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</row>
    <row r="214" spans="2:20" ht="15"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</row>
    <row r="215" spans="2:20" ht="15"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</row>
    <row r="216" spans="2:20" ht="15"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</row>
    <row r="217" spans="2:20" ht="15"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</row>
    <row r="218" spans="2:20" ht="15"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</row>
    <row r="219" spans="2:20" ht="15"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</row>
    <row r="220" spans="2:20" ht="15">
      <c r="B220" s="114"/>
      <c r="C220" s="114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</row>
    <row r="221" spans="2:20" ht="15"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</row>
    <row r="222" spans="2:20" ht="15"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</row>
    <row r="223" spans="2:20" ht="15"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</row>
    <row r="224" spans="2:20" ht="15"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</row>
    <row r="225" spans="2:20"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</row>
    <row r="226" spans="2:20">
      <c r="B226" s="116"/>
      <c r="C226" s="116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</row>
    <row r="227" spans="2:20">
      <c r="B227" s="118"/>
      <c r="C227" s="118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</row>
    <row r="228" spans="2:20"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</row>
    <row r="229" spans="2:20" ht="21" customHeight="1"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</row>
    <row r="230" spans="2:20" ht="15"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</row>
    <row r="231" spans="2:20" ht="15"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</row>
    <row r="232" spans="2:20" ht="15"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</row>
    <row r="233" spans="2:20" ht="15"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</row>
    <row r="234" spans="2:20" ht="15"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</row>
    <row r="235" spans="2:20" ht="15"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</row>
    <row r="236" spans="2:20" ht="15"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</row>
    <row r="237" spans="2:20" ht="15"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</row>
    <row r="238" spans="2:20" ht="14.25"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</row>
    <row r="239" spans="2:20" ht="14.25"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</row>
    <row r="240" spans="2:20" ht="14.25"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</row>
    <row r="241" spans="2:20"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</row>
    <row r="242" spans="2:20"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</row>
    <row r="243" spans="2:20"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</row>
    <row r="244" spans="2:20"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</row>
    <row r="245" spans="2:20"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</row>
    <row r="246" spans="2:20"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</row>
    <row r="247" spans="2:20"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</row>
    <row r="248" spans="2:20"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</row>
    <row r="249" spans="2:20"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</row>
    <row r="250" spans="2:20"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</row>
    <row r="251" spans="2:20"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</row>
    <row r="252" spans="2:20"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</row>
    <row r="253" spans="2:20"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</row>
    <row r="254" spans="2:20"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</row>
    <row r="255" spans="2:20"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</row>
    <row r="256" spans="2:20"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</row>
    <row r="257" spans="2:20"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</row>
    <row r="258" spans="2:20"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</row>
    <row r="259" spans="2:20"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</row>
    <row r="260" spans="2:20"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</row>
    <row r="261" spans="2:20"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</row>
    <row r="262" spans="2:20"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</row>
    <row r="263" spans="2:20"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</row>
    <row r="264" spans="2:20"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</row>
    <row r="265" spans="2:20"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</row>
    <row r="266" spans="2:20"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</row>
    <row r="267" spans="2:20"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</row>
    <row r="268" spans="2:20"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</row>
    <row r="269" spans="2:20"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</row>
    <row r="270" spans="2:20"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</row>
    <row r="271" spans="2:20"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</row>
    <row r="272" spans="2:20"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</row>
    <row r="273" spans="2:20"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</row>
    <row r="274" spans="2:20"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</row>
    <row r="275" spans="2:20"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</row>
    <row r="276" spans="2:20"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61"/>
  </sheetPr>
  <dimension ref="A1:Z277"/>
  <sheetViews>
    <sheetView showGridLines="0" tabSelected="1" view="pageLayout" zoomScale="85" zoomScaleNormal="100" zoomScalePageLayoutView="85" workbookViewId="0">
      <selection activeCell="J15" sqref="J15:J17"/>
    </sheetView>
  </sheetViews>
  <sheetFormatPr defaultColWidth="9.140625" defaultRowHeight="12.75"/>
  <cols>
    <col min="1" max="1" width="1.42578125" style="73" customWidth="1"/>
    <col min="2" max="2" width="13" style="73" customWidth="1"/>
    <col min="3" max="3" width="9" style="73" customWidth="1"/>
    <col min="4" max="4" width="8.7109375" style="73" customWidth="1"/>
    <col min="5" max="5" width="9.5703125" style="73" customWidth="1"/>
    <col min="6" max="6" width="7.5703125" style="73" customWidth="1"/>
    <col min="7" max="7" width="9.140625" style="73" customWidth="1"/>
    <col min="8" max="8" width="7.5703125" style="73" customWidth="1"/>
    <col min="9" max="9" width="10.42578125" style="73" customWidth="1"/>
    <col min="10" max="10" width="7.42578125" style="73" customWidth="1"/>
    <col min="11" max="11" width="9" style="73" customWidth="1"/>
    <col min="12" max="12" width="7.85546875" style="73" customWidth="1"/>
    <col min="13" max="13" width="9.42578125" style="73" customWidth="1"/>
    <col min="14" max="14" width="7.5703125" style="73" customWidth="1"/>
    <col min="15" max="15" width="9.42578125" style="73" customWidth="1"/>
    <col min="16" max="16" width="7.42578125" style="73" customWidth="1"/>
    <col min="17" max="17" width="9.28515625" style="73" customWidth="1"/>
    <col min="18" max="18" width="8.5703125" style="73" customWidth="1"/>
    <col min="19" max="19" width="9.42578125" style="73" customWidth="1"/>
    <col min="20" max="20" width="7.42578125" style="73" customWidth="1"/>
    <col min="21" max="21" width="2.140625" style="73" customWidth="1"/>
    <col min="22" max="22" width="13.85546875" style="73" customWidth="1"/>
    <col min="23" max="23" width="11.85546875" style="73" customWidth="1"/>
    <col min="24" max="24" width="15.5703125" style="73" customWidth="1"/>
    <col min="25" max="25" width="20.140625" style="73" customWidth="1"/>
    <col min="26" max="26" width="11.28515625" style="1" bestFit="1" customWidth="1"/>
    <col min="27" max="16384" width="9.140625" style="73"/>
  </cols>
  <sheetData>
    <row r="1" spans="1:26" ht="16.5" thickBot="1">
      <c r="B1" s="158" t="s">
        <v>94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</row>
    <row r="2" spans="1:26" ht="15.75" thickBot="1">
      <c r="E2" s="74" t="s">
        <v>90</v>
      </c>
      <c r="F2" s="74"/>
      <c r="G2" s="74"/>
      <c r="H2" s="74"/>
      <c r="I2" s="74" t="s">
        <v>91</v>
      </c>
      <c r="J2" s="74"/>
      <c r="K2" s="74"/>
      <c r="L2" s="74"/>
      <c r="M2" s="74" t="s">
        <v>92</v>
      </c>
      <c r="N2" s="74"/>
      <c r="O2" s="74"/>
      <c r="P2" s="74"/>
      <c r="Q2" s="159" t="s">
        <v>93</v>
      </c>
      <c r="R2" s="159"/>
      <c r="S2" s="159"/>
      <c r="T2" s="159"/>
    </row>
    <row r="3" spans="1:26" s="75" customFormat="1" ht="27.95" customHeight="1">
      <c r="B3" s="160" t="s">
        <v>0</v>
      </c>
      <c r="C3" s="154" t="s">
        <v>97</v>
      </c>
      <c r="D3" s="155"/>
      <c r="E3" s="154" t="s">
        <v>56</v>
      </c>
      <c r="F3" s="155"/>
      <c r="G3" s="154" t="s">
        <v>57</v>
      </c>
      <c r="H3" s="155"/>
      <c r="I3" s="154" t="s">
        <v>56</v>
      </c>
      <c r="J3" s="155"/>
      <c r="K3" s="154" t="s">
        <v>57</v>
      </c>
      <c r="L3" s="155"/>
      <c r="M3" s="154" t="s">
        <v>56</v>
      </c>
      <c r="N3" s="155"/>
      <c r="O3" s="154" t="s">
        <v>57</v>
      </c>
      <c r="P3" s="155"/>
      <c r="Q3" s="154" t="s">
        <v>56</v>
      </c>
      <c r="R3" s="155"/>
      <c r="S3" s="154" t="s">
        <v>57</v>
      </c>
      <c r="T3" s="155"/>
      <c r="U3" s="76"/>
      <c r="V3" s="77"/>
      <c r="Z3" s="78"/>
    </row>
    <row r="4" spans="1:26" s="75" customFormat="1" ht="51.75" customHeight="1">
      <c r="B4" s="161"/>
      <c r="C4" s="156"/>
      <c r="D4" s="157"/>
      <c r="E4" s="156"/>
      <c r="F4" s="157"/>
      <c r="G4" s="156"/>
      <c r="H4" s="157"/>
      <c r="I4" s="156"/>
      <c r="J4" s="157"/>
      <c r="K4" s="156"/>
      <c r="L4" s="157"/>
      <c r="M4" s="156"/>
      <c r="N4" s="157"/>
      <c r="O4" s="156"/>
      <c r="P4" s="157"/>
      <c r="Q4" s="156"/>
      <c r="R4" s="157"/>
      <c r="S4" s="156"/>
      <c r="T4" s="157"/>
      <c r="U4" s="76"/>
      <c r="V4" s="79" t="s">
        <v>58</v>
      </c>
      <c r="Z4" s="78"/>
    </row>
    <row r="5" spans="1:26" s="75" customFormat="1" ht="37.5" customHeight="1">
      <c r="A5" s="80"/>
      <c r="B5" s="81"/>
      <c r="C5" s="82" t="s">
        <v>59</v>
      </c>
      <c r="D5" s="83" t="s">
        <v>60</v>
      </c>
      <c r="E5" s="82" t="s">
        <v>59</v>
      </c>
      <c r="F5" s="83" t="s">
        <v>60</v>
      </c>
      <c r="G5" s="82" t="s">
        <v>59</v>
      </c>
      <c r="H5" s="83" t="s">
        <v>60</v>
      </c>
      <c r="I5" s="82" t="s">
        <v>59</v>
      </c>
      <c r="J5" s="83" t="s">
        <v>60</v>
      </c>
      <c r="K5" s="82" t="s">
        <v>59</v>
      </c>
      <c r="L5" s="83" t="s">
        <v>60</v>
      </c>
      <c r="M5" s="82" t="s">
        <v>59</v>
      </c>
      <c r="N5" s="83" t="s">
        <v>60</v>
      </c>
      <c r="O5" s="82" t="s">
        <v>59</v>
      </c>
      <c r="P5" s="83" t="s">
        <v>60</v>
      </c>
      <c r="Q5" s="82" t="s">
        <v>59</v>
      </c>
      <c r="R5" s="83" t="s">
        <v>60</v>
      </c>
      <c r="S5" s="82" t="s">
        <v>59</v>
      </c>
      <c r="T5" s="83" t="s">
        <v>60</v>
      </c>
      <c r="U5" s="84"/>
      <c r="V5" s="85"/>
      <c r="W5" s="73"/>
      <c r="X5" s="73"/>
      <c r="Z5" s="78"/>
    </row>
    <row r="6" spans="1:26" s="75" customFormat="1" ht="37.5" customHeight="1">
      <c r="B6" s="86" t="s">
        <v>47</v>
      </c>
      <c r="C6" s="87">
        <v>5500000</v>
      </c>
      <c r="D6" s="88">
        <f>C6*0.133774139</f>
        <v>735757.76449999993</v>
      </c>
      <c r="E6" s="126">
        <v>1164546.3736780477</v>
      </c>
      <c r="F6" s="88">
        <f>E6*0.133774139</f>
        <v>155786.18846435306</v>
      </c>
      <c r="G6" s="87">
        <v>949130</v>
      </c>
      <c r="H6" s="88">
        <f>G6*0.133774139</f>
        <v>126969.04854906999</v>
      </c>
      <c r="I6" s="126">
        <v>1415402.0628121435</v>
      </c>
      <c r="J6" s="88">
        <f>I6*0.13377</f>
        <v>189338.33394238044</v>
      </c>
      <c r="K6" s="87">
        <v>950253</v>
      </c>
      <c r="L6" s="88">
        <f>K6*0.133774139</f>
        <v>127119.27690716699</v>
      </c>
      <c r="M6" s="126">
        <v>1565316.469493361</v>
      </c>
      <c r="N6" s="151">
        <f>M6*0.13377</f>
        <v>209392.3841241269</v>
      </c>
      <c r="O6" s="126">
        <v>949652</v>
      </c>
      <c r="P6" s="151">
        <f>O6*0.133774139</f>
        <v>127038.87864962799</v>
      </c>
      <c r="Q6" s="87">
        <f>+E6+I6+M6</f>
        <v>4145264.9059835523</v>
      </c>
      <c r="R6" s="88">
        <f>+F6+J6+N6</f>
        <v>554516.90653086035</v>
      </c>
      <c r="S6" s="87">
        <f>+G6+K6+O6</f>
        <v>2849035</v>
      </c>
      <c r="T6" s="88">
        <f>+H6+L6+P6</f>
        <v>381127.20410586498</v>
      </c>
      <c r="U6" s="73"/>
      <c r="V6" s="90">
        <f>C6-S6</f>
        <v>2650965</v>
      </c>
      <c r="W6" s="73"/>
      <c r="X6" s="73"/>
      <c r="Z6" s="89"/>
    </row>
    <row r="7" spans="1:26" s="75" customFormat="1" ht="37.5" customHeight="1">
      <c r="B7" s="86" t="s">
        <v>51</v>
      </c>
      <c r="C7" s="87">
        <v>3300000</v>
      </c>
      <c r="D7" s="88">
        <f t="shared" ref="D7:H7" si="0">C7*0.133774139</f>
        <v>441454.65869999997</v>
      </c>
      <c r="E7" s="126">
        <v>923478</v>
      </c>
      <c r="F7" s="88">
        <f t="shared" si="0"/>
        <v>123537.47433544199</v>
      </c>
      <c r="G7" s="87">
        <v>0</v>
      </c>
      <c r="H7" s="88">
        <f t="shared" si="0"/>
        <v>0</v>
      </c>
      <c r="I7" s="87">
        <v>949581.3663095691</v>
      </c>
      <c r="J7" s="88">
        <f t="shared" ref="J7" si="1">I7*0.13377</f>
        <v>127025.49937123105</v>
      </c>
      <c r="K7" s="87">
        <v>1001312</v>
      </c>
      <c r="L7" s="88">
        <f t="shared" ref="L7" si="2">K7*0.133774139</f>
        <v>133949.65067036799</v>
      </c>
      <c r="M7" s="87"/>
      <c r="N7" s="88"/>
      <c r="O7" s="87">
        <v>0</v>
      </c>
      <c r="P7" s="88">
        <f t="shared" ref="P7" si="3">O7*0.133774139</f>
        <v>0</v>
      </c>
      <c r="Q7" s="87">
        <f>+E7+I7+M7</f>
        <v>1873059.3663095692</v>
      </c>
      <c r="R7" s="88">
        <f t="shared" ref="R7" si="4">+F7+J7+N7</f>
        <v>250562.97370667304</v>
      </c>
      <c r="S7" s="87">
        <f>+G7+K7+O7</f>
        <v>1001312</v>
      </c>
      <c r="T7" s="88">
        <f t="shared" ref="T7" si="5">+H7+L7+P7</f>
        <v>133949.65067036799</v>
      </c>
      <c r="U7" s="73"/>
      <c r="V7" s="90">
        <f t="shared" ref="V7" si="6">C7-S7</f>
        <v>2298688</v>
      </c>
      <c r="W7" s="73"/>
      <c r="X7" s="73"/>
      <c r="Z7" s="78"/>
    </row>
    <row r="8" spans="1:26" s="75" customFormat="1" ht="25.5" customHeight="1">
      <c r="B8" s="91" t="s">
        <v>61</v>
      </c>
      <c r="C8" s="91" t="s">
        <v>85</v>
      </c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73"/>
      <c r="V8" s="73"/>
      <c r="W8" s="73"/>
      <c r="X8" s="73"/>
      <c r="Z8" s="78"/>
    </row>
    <row r="9" spans="1:26" s="75" customFormat="1" ht="25.5" customHeight="1">
      <c r="B9" s="91"/>
      <c r="C9" s="150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73"/>
      <c r="V9" s="73"/>
      <c r="W9" s="73"/>
      <c r="X9" s="73"/>
      <c r="Z9" s="78"/>
    </row>
    <row r="10" spans="1:26" s="75" customFormat="1" ht="25.5" customHeight="1">
      <c r="C10" s="91" t="s">
        <v>81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73"/>
      <c r="V10" s="73"/>
      <c r="W10" s="73"/>
      <c r="X10" s="73"/>
      <c r="Z10" s="78"/>
    </row>
    <row r="11" spans="1:26" s="75" customFormat="1" ht="25.5" customHeight="1">
      <c r="B11" s="91"/>
      <c r="C11" s="91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73"/>
      <c r="V11" s="73"/>
      <c r="W11" s="73"/>
      <c r="X11" s="73"/>
      <c r="Z11" s="78"/>
    </row>
    <row r="12" spans="1:26" s="75" customFormat="1" ht="25.5" customHeight="1">
      <c r="B12" s="91"/>
      <c r="C12" s="91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56"/>
      <c r="Q12" s="92"/>
      <c r="R12" s="92"/>
      <c r="S12" s="92"/>
      <c r="T12" s="92"/>
      <c r="U12" s="73"/>
      <c r="V12" s="73"/>
      <c r="W12" s="73"/>
      <c r="X12" s="73"/>
      <c r="Z12" s="78"/>
    </row>
    <row r="13" spans="1:26" s="75" customFormat="1" ht="25.5" customHeight="1">
      <c r="B13" s="91"/>
      <c r="C13" s="91"/>
      <c r="D13" s="92"/>
      <c r="E13" s="92"/>
      <c r="H13" s="92"/>
      <c r="I13" s="92"/>
      <c r="J13" s="92"/>
      <c r="K13" s="92"/>
      <c r="L13" s="92"/>
      <c r="M13" s="92"/>
      <c r="N13" s="92"/>
      <c r="O13" s="92"/>
      <c r="P13" s="56"/>
      <c r="Q13" s="92"/>
      <c r="R13" s="92"/>
      <c r="S13" s="92"/>
      <c r="T13" s="92"/>
      <c r="U13" s="73"/>
      <c r="V13" s="73"/>
      <c r="W13" s="73"/>
      <c r="X13" s="73"/>
      <c r="Z13" s="78"/>
    </row>
    <row r="14" spans="1:26" s="75" customFormat="1" ht="25.5" customHeight="1">
      <c r="B14" s="91"/>
      <c r="C14" s="91"/>
      <c r="D14" s="92"/>
      <c r="E14" s="92"/>
      <c r="H14" s="92"/>
      <c r="I14" s="92"/>
      <c r="J14" s="92"/>
      <c r="K14" s="92"/>
      <c r="L14" s="92"/>
      <c r="M14" s="92"/>
      <c r="N14" s="92"/>
      <c r="O14" s="92"/>
      <c r="P14" s="56"/>
      <c r="Q14" s="92"/>
      <c r="R14" s="92"/>
      <c r="S14" s="92"/>
      <c r="T14" s="92"/>
      <c r="U14" s="73"/>
      <c r="V14" s="73"/>
      <c r="W14" s="73"/>
      <c r="X14" s="73"/>
      <c r="Z14" s="78"/>
    </row>
    <row r="15" spans="1:26" s="75" customFormat="1" ht="25.5" customHeight="1">
      <c r="B15" s="91"/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73"/>
      <c r="V15" s="73"/>
      <c r="W15" s="73"/>
      <c r="X15" s="73"/>
      <c r="Z15" s="78"/>
    </row>
    <row r="16" spans="1:26" s="75" customFormat="1" ht="25.5" customHeight="1">
      <c r="B16" s="91"/>
      <c r="C16" s="91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73"/>
      <c r="V16" s="73"/>
      <c r="W16" s="73"/>
      <c r="X16" s="73"/>
      <c r="Z16" s="78"/>
    </row>
    <row r="17" spans="1:26" s="75" customFormat="1" ht="25.5" customHeight="1">
      <c r="B17" s="91"/>
      <c r="C17" s="91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73"/>
      <c r="V17" s="73"/>
      <c r="W17" s="73"/>
      <c r="X17" s="73"/>
      <c r="Z17" s="78"/>
    </row>
    <row r="18" spans="1:26" s="75" customFormat="1" ht="25.5" customHeight="1">
      <c r="B18" s="91"/>
      <c r="C18" s="91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73"/>
      <c r="V18" s="73"/>
      <c r="W18" s="73"/>
      <c r="X18" s="73"/>
      <c r="Z18" s="78"/>
    </row>
    <row r="19" spans="1:26" s="75" customFormat="1" ht="25.5" customHeight="1">
      <c r="B19" s="91"/>
      <c r="C19" s="91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73"/>
      <c r="V19" s="73"/>
      <c r="W19" s="73"/>
      <c r="X19" s="73"/>
      <c r="Z19" s="78"/>
    </row>
    <row r="20" spans="1:26" s="75" customFormat="1" ht="25.5" customHeight="1">
      <c r="B20" s="91"/>
      <c r="C20" s="91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73"/>
      <c r="V20" s="73"/>
      <c r="W20" s="73"/>
      <c r="X20" s="73"/>
      <c r="Z20" s="78"/>
    </row>
    <row r="21" spans="1:26" s="75" customFormat="1" ht="25.5" customHeight="1">
      <c r="B21" s="91"/>
      <c r="C21" s="91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73"/>
      <c r="V21" s="73"/>
      <c r="W21" s="73"/>
      <c r="X21" s="73"/>
      <c r="Z21" s="78"/>
    </row>
    <row r="22" spans="1:26" s="75" customFormat="1" ht="25.5" customHeight="1">
      <c r="B22" s="91"/>
      <c r="C22" s="91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73"/>
      <c r="V22" s="73"/>
      <c r="W22" s="73"/>
      <c r="X22" s="73"/>
      <c r="Z22" s="78"/>
    </row>
    <row r="23" spans="1:26" s="75" customFormat="1" ht="25.5" customHeight="1">
      <c r="B23" s="91"/>
      <c r="C23" s="91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73"/>
      <c r="V23" s="73"/>
      <c r="W23" s="73"/>
      <c r="X23" s="73"/>
      <c r="Z23" s="78"/>
    </row>
    <row r="24" spans="1:26">
      <c r="A24" s="75"/>
      <c r="B24" s="91"/>
      <c r="C24" s="91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</row>
    <row r="25" spans="1:26" ht="15.75">
      <c r="B25" s="93" t="s">
        <v>62</v>
      </c>
      <c r="C25" s="93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</row>
    <row r="26" spans="1:26" ht="15">
      <c r="B26" s="94" t="s">
        <v>63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</row>
    <row r="27" spans="1:26" ht="15">
      <c r="B27" s="94" t="s">
        <v>64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</row>
    <row r="28" spans="1:26" ht="15">
      <c r="B28" s="94" t="s">
        <v>65</v>
      </c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</row>
    <row r="29" spans="1:26" ht="15">
      <c r="B29" s="94" t="s">
        <v>66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</row>
    <row r="30" spans="1:26" ht="15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</row>
    <row r="31" spans="1:26" ht="12.75" customHeight="1">
      <c r="B31" s="94" t="s">
        <v>67</v>
      </c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</row>
    <row r="32" spans="1:26" s="95" customFormat="1" ht="18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Z32" s="96"/>
    </row>
    <row r="33" spans="1:26" s="95" customFormat="1" ht="7.5" customHeight="1">
      <c r="B33" s="97" t="s">
        <v>68</v>
      </c>
      <c r="C33" s="97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Z33" s="96"/>
    </row>
    <row r="34" spans="1:26" s="95" customFormat="1" ht="12.75" customHeight="1"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Z34" s="96"/>
    </row>
    <row r="35" spans="1:26" s="95" customFormat="1" ht="13.5" customHeight="1">
      <c r="B35" s="100" t="s">
        <v>69</v>
      </c>
      <c r="C35" s="100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Z35" s="96"/>
    </row>
    <row r="36" spans="1:26" ht="14.25" customHeight="1">
      <c r="A36" s="95"/>
      <c r="B36" s="100" t="s">
        <v>70</v>
      </c>
      <c r="C36" s="100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5"/>
      <c r="V36" s="95"/>
    </row>
    <row r="37" spans="1:26" s="101" customFormat="1" ht="15">
      <c r="A37" s="73"/>
      <c r="B37" s="100" t="s">
        <v>71</v>
      </c>
      <c r="C37" s="100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73"/>
      <c r="V37" s="73"/>
      <c r="Z37" s="102"/>
    </row>
    <row r="38" spans="1:26" s="101" customFormat="1">
      <c r="Z38" s="102"/>
    </row>
    <row r="39" spans="1:26" s="75" customFormat="1" ht="12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3"/>
      <c r="V39" s="103"/>
      <c r="W39" s="73"/>
      <c r="X39" s="73"/>
      <c r="Z39" s="78"/>
    </row>
    <row r="40" spans="1:26" s="75" customFormat="1" ht="8.25" customHeight="1">
      <c r="B40" s="104" t="s">
        <v>72</v>
      </c>
      <c r="C40" s="104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73"/>
      <c r="V40" s="73"/>
      <c r="W40" s="73"/>
      <c r="X40" s="73"/>
      <c r="Z40" s="78"/>
    </row>
    <row r="41" spans="1:26" ht="14.25" customHeight="1">
      <c r="A41" s="75"/>
      <c r="B41" s="104" t="s">
        <v>73</v>
      </c>
      <c r="C41" s="104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</row>
    <row r="42" spans="1:26" ht="10.5" customHeight="1">
      <c r="B42" s="105" t="s">
        <v>74</v>
      </c>
      <c r="C42" s="105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</row>
    <row r="43" spans="1:26" ht="18.75" customHeight="1">
      <c r="B43" s="105" t="s">
        <v>75</v>
      </c>
      <c r="C43" s="105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</row>
    <row r="44" spans="1:26" ht="3" customHeight="1"/>
    <row r="45" spans="1:26" ht="12" customHeight="1">
      <c r="B45" s="93"/>
      <c r="C45" s="93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</row>
    <row r="46" spans="1:26" s="95" customFormat="1" ht="14.25" customHeight="1">
      <c r="A46" s="73"/>
      <c r="B46" s="94" t="s">
        <v>76</v>
      </c>
      <c r="C46" s="94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73"/>
      <c r="V46" s="73"/>
      <c r="W46" s="73"/>
      <c r="X46" s="73"/>
      <c r="Z46" s="96"/>
    </row>
    <row r="47" spans="1:26" s="95" customFormat="1" ht="15.75">
      <c r="B47" s="93" t="s">
        <v>77</v>
      </c>
      <c r="C47" s="93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73"/>
      <c r="V47" s="73"/>
      <c r="W47" s="73"/>
      <c r="X47" s="73"/>
      <c r="Z47" s="96"/>
    </row>
    <row r="48" spans="1:26" s="95" customFormat="1" ht="12.75" customHeight="1">
      <c r="U48" s="73"/>
      <c r="V48" s="73"/>
      <c r="W48" s="73"/>
      <c r="X48" s="73"/>
      <c r="Z48" s="96"/>
    </row>
    <row r="49" spans="1:26" s="95" customFormat="1" ht="15" customHeight="1">
      <c r="B49" s="93"/>
      <c r="C49" s="93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73"/>
      <c r="V49" s="73"/>
      <c r="W49" s="73"/>
      <c r="X49" s="73"/>
      <c r="Z49" s="96"/>
    </row>
    <row r="50" spans="1:26" s="95" customFormat="1">
      <c r="U50" s="73"/>
      <c r="V50" s="73"/>
      <c r="W50" s="73"/>
      <c r="X50" s="73"/>
      <c r="Z50" s="96"/>
    </row>
    <row r="51" spans="1:26" s="95" customFormat="1">
      <c r="U51" s="73"/>
      <c r="V51" s="73"/>
      <c r="W51" s="73"/>
      <c r="X51" s="73"/>
      <c r="Z51" s="96"/>
    </row>
    <row r="52" spans="1:26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</row>
    <row r="54" spans="1:26" ht="15.75">
      <c r="B54" s="93" t="s">
        <v>78</v>
      </c>
      <c r="C54" s="93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</row>
    <row r="55" spans="1:26" ht="15">
      <c r="B55" s="94" t="s">
        <v>79</v>
      </c>
      <c r="C55" s="94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</row>
    <row r="57" spans="1:26" ht="15">
      <c r="B57" s="94" t="s">
        <v>80</v>
      </c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</row>
    <row r="62" spans="1:26"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</row>
    <row r="63" spans="1:26"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</row>
    <row r="64" spans="1:26"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</row>
    <row r="65" spans="2:20" ht="15"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</row>
    <row r="66" spans="2:20" ht="15"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</row>
    <row r="67" spans="2:20" ht="14.25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</row>
    <row r="68" spans="2:20" ht="14.25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</row>
    <row r="69" spans="2:20" ht="14.25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</row>
    <row r="70" spans="2:20" ht="14.25"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</row>
    <row r="71" spans="2:20" ht="14.25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</row>
    <row r="72" spans="2:20" ht="14.25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</row>
    <row r="73" spans="2:20" ht="14.25"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</row>
    <row r="74" spans="2:20" ht="14.25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</row>
    <row r="75" spans="2:20" ht="14.25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</row>
    <row r="76" spans="2:20" ht="14.25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</row>
    <row r="77" spans="2:20" ht="14.25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</row>
    <row r="78" spans="2:20" ht="14.25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</row>
    <row r="79" spans="2:20" ht="14.25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</row>
    <row r="80" spans="2:20" ht="14.25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</row>
    <row r="81" spans="2:20" ht="14.25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</row>
    <row r="82" spans="2:20" ht="14.25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</row>
    <row r="83" spans="2:20" ht="14.25"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</row>
    <row r="84" spans="2:20"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</row>
    <row r="85" spans="2:20" ht="15.75"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</row>
    <row r="86" spans="2:20" ht="15.75"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</row>
    <row r="87" spans="2:20" ht="15.75"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</row>
    <row r="88" spans="2:20" ht="1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</row>
    <row r="89" spans="2:20" ht="1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</row>
    <row r="90" spans="2:20" ht="1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</row>
    <row r="91" spans="2:20" ht="1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</row>
    <row r="92" spans="2:20" ht="1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</row>
    <row r="93" spans="2:20" ht="1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</row>
    <row r="94" spans="2:20" ht="1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</row>
    <row r="95" spans="2:20" ht="1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</row>
    <row r="96" spans="2:20" ht="1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</row>
    <row r="97" spans="2:20" ht="1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</row>
    <row r="98" spans="2:20" ht="15">
      <c r="B98" s="114"/>
      <c r="C98" s="114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</row>
    <row r="99" spans="2:20" ht="1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</row>
    <row r="100" spans="2:20" ht="1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</row>
    <row r="101" spans="2:20" ht="1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</row>
    <row r="102" spans="2:20" ht="1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</row>
    <row r="103" spans="2:20"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</row>
    <row r="104" spans="2:20">
      <c r="B104" s="116"/>
      <c r="C104" s="116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</row>
    <row r="105" spans="2:20">
      <c r="B105" s="118"/>
      <c r="C105" s="118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</row>
    <row r="106" spans="2:20"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</row>
    <row r="107" spans="2:20" ht="1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</row>
    <row r="108" spans="2:20" ht="15"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</row>
    <row r="109" spans="2:20" ht="1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</row>
    <row r="110" spans="2:20" ht="15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</row>
    <row r="111" spans="2:20" ht="15"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</row>
    <row r="112" spans="2:20" ht="15"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</row>
    <row r="113" spans="2:20" ht="15"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</row>
    <row r="114" spans="2:20" ht="15"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</row>
    <row r="115" spans="2:20" ht="15"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</row>
    <row r="116" spans="2:20" ht="15"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</row>
    <row r="117" spans="2:20" ht="15"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</row>
    <row r="118" spans="2:20" ht="15"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</row>
    <row r="119" spans="2:20" ht="15"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</row>
    <row r="120" spans="2:20" ht="15"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</row>
    <row r="121" spans="2:20" ht="15"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</row>
    <row r="122" spans="2:20" ht="15"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</row>
    <row r="123" spans="2:20" ht="15"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</row>
    <row r="124" spans="2:20" ht="15"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</row>
    <row r="125" spans="2:20" ht="15"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</row>
    <row r="126" spans="2:20" ht="14.25"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</row>
    <row r="127" spans="2:20"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</row>
    <row r="128" spans="2:20"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</row>
    <row r="129" spans="2:20"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</row>
    <row r="130" spans="2:20"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</row>
    <row r="131" spans="2:20"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</row>
    <row r="132" spans="2:20"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</row>
    <row r="133" spans="2:20"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</row>
    <row r="134" spans="2:20" ht="15.75"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</row>
    <row r="135" spans="2:20" ht="15.75"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</row>
    <row r="136" spans="2:20" ht="15.75"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</row>
    <row r="137" spans="2:20" ht="15"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</row>
    <row r="138" spans="2:20" ht="15"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</row>
    <row r="139" spans="2:20" ht="15"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</row>
    <row r="140" spans="2:20" ht="15"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</row>
    <row r="141" spans="2:20" ht="15"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</row>
    <row r="142" spans="2:20" ht="15"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</row>
    <row r="143" spans="2:20" ht="15"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</row>
    <row r="144" spans="2:20" ht="15"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</row>
    <row r="145" spans="2:20" ht="15"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</row>
    <row r="146" spans="2:20" ht="15"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</row>
    <row r="147" spans="2:20" ht="15">
      <c r="B147" s="114"/>
      <c r="C147" s="114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</row>
    <row r="148" spans="2:20" ht="15"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</row>
    <row r="149" spans="2:20" ht="15"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</row>
    <row r="150" spans="2:20" ht="15"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</row>
    <row r="151" spans="2:20" ht="15"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</row>
    <row r="152" spans="2:20"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</row>
    <row r="153" spans="2:20">
      <c r="B153" s="116"/>
      <c r="C153" s="116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</row>
    <row r="154" spans="2:20">
      <c r="B154" s="118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</row>
    <row r="155" spans="2:20"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</row>
    <row r="156" spans="2:20" ht="15"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</row>
    <row r="157" spans="2:20" ht="15"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</row>
    <row r="158" spans="2:20" ht="15"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</row>
    <row r="159" spans="2:20" ht="15"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</row>
    <row r="160" spans="2:20" ht="15"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</row>
    <row r="161" spans="2:20" ht="15"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</row>
    <row r="162" spans="2:20" ht="15"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</row>
    <row r="163" spans="2:20" ht="15"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</row>
    <row r="164" spans="2:20" ht="15"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</row>
    <row r="165" spans="2:20" ht="14.25"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</row>
    <row r="166" spans="2:20"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</row>
    <row r="167" spans="2:20"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</row>
    <row r="168" spans="2:20"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</row>
    <row r="169" spans="2:20"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</row>
    <row r="170" spans="2:20"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</row>
    <row r="171" spans="2:20"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</row>
    <row r="172" spans="2:20"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</row>
    <row r="173" spans="2:20"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</row>
    <row r="174" spans="2:20" ht="15.75"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</row>
    <row r="175" spans="2:20" ht="15.75"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</row>
    <row r="176" spans="2:20" ht="15.75"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</row>
    <row r="177" spans="2:20" ht="15"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</row>
    <row r="178" spans="2:20" ht="15"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</row>
    <row r="179" spans="2:20" ht="15"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</row>
    <row r="180" spans="2:20" ht="15"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</row>
    <row r="181" spans="2:20" ht="15"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</row>
    <row r="182" spans="2:20" ht="15"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</row>
    <row r="183" spans="2:20" ht="15"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</row>
    <row r="184" spans="2:20" ht="15"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</row>
    <row r="185" spans="2:20" ht="15"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</row>
    <row r="186" spans="2:20" ht="15"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</row>
    <row r="187" spans="2:20" ht="15">
      <c r="B187" s="114"/>
      <c r="C187" s="114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</row>
    <row r="188" spans="2:20" ht="15"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</row>
    <row r="189" spans="2:20" ht="15"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</row>
    <row r="190" spans="2:20" ht="15"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</row>
    <row r="191" spans="2:20" ht="15"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</row>
    <row r="192" spans="2:20"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</row>
    <row r="193" spans="2:20">
      <c r="B193" s="116"/>
      <c r="C193" s="116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</row>
    <row r="194" spans="2:20">
      <c r="B194" s="118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</row>
    <row r="195" spans="2:20"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</row>
    <row r="196" spans="2:20" ht="15"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</row>
    <row r="197" spans="2:20" ht="15"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</row>
    <row r="198" spans="2:20" ht="15"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</row>
    <row r="199" spans="2:20" ht="15"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</row>
    <row r="200" spans="2:20" ht="15"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</row>
    <row r="201" spans="2:20" ht="15"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</row>
    <row r="202" spans="2:20" ht="15"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</row>
    <row r="203" spans="2:20" ht="15"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</row>
    <row r="204" spans="2:20" ht="15"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</row>
    <row r="205" spans="2:20" ht="14.25"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</row>
    <row r="206" spans="2:20"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</row>
    <row r="207" spans="2:20"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</row>
    <row r="208" spans="2:20" ht="15.75"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</row>
    <row r="209" spans="2:20" ht="15.75"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</row>
    <row r="210" spans="2:20" ht="15.75"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</row>
    <row r="211" spans="2:20" ht="15"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</row>
    <row r="212" spans="2:20" ht="15"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</row>
    <row r="213" spans="2:20" ht="15"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</row>
    <row r="214" spans="2:20" ht="15"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</row>
    <row r="215" spans="2:20" ht="15"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</row>
    <row r="216" spans="2:20" ht="15"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</row>
    <row r="217" spans="2:20" ht="15"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</row>
    <row r="218" spans="2:20" ht="15"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</row>
    <row r="219" spans="2:20" ht="15"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</row>
    <row r="220" spans="2:20" ht="15"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</row>
    <row r="221" spans="2:20" ht="15">
      <c r="B221" s="114"/>
      <c r="C221" s="114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</row>
    <row r="222" spans="2:20" ht="15"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</row>
    <row r="223" spans="2:20" ht="15"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</row>
    <row r="224" spans="2:20" ht="15"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</row>
    <row r="225" spans="2:20" ht="15"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</row>
    <row r="226" spans="2:20"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</row>
    <row r="227" spans="2:20">
      <c r="B227" s="116"/>
      <c r="C227" s="116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</row>
    <row r="228" spans="2:20">
      <c r="B228" s="118"/>
      <c r="C228" s="118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</row>
    <row r="229" spans="2:20"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</row>
    <row r="230" spans="2:20" ht="21" customHeight="1"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</row>
    <row r="231" spans="2:20" ht="15"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</row>
    <row r="232" spans="2:20" ht="15"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</row>
    <row r="233" spans="2:20" ht="15"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</row>
    <row r="234" spans="2:20" ht="15"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</row>
    <row r="235" spans="2:20" ht="15"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</row>
    <row r="236" spans="2:20" ht="15"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</row>
    <row r="237" spans="2:20" ht="15"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</row>
    <row r="238" spans="2:20" ht="15"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</row>
    <row r="239" spans="2:20" ht="14.25"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</row>
    <row r="240" spans="2:20" ht="14.25"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</row>
    <row r="241" spans="2:20" ht="14.25"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</row>
    <row r="242" spans="2:20"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</row>
    <row r="243" spans="2:20"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</row>
    <row r="244" spans="2:20"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</row>
    <row r="245" spans="2:20"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</row>
    <row r="246" spans="2:20"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</row>
    <row r="247" spans="2:20"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</row>
    <row r="248" spans="2:20"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</row>
    <row r="249" spans="2:20"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</row>
    <row r="250" spans="2:20"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</row>
    <row r="251" spans="2:20"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</row>
    <row r="252" spans="2:20"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</row>
    <row r="253" spans="2:20"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</row>
    <row r="254" spans="2:20"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</row>
    <row r="255" spans="2:20"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</row>
    <row r="256" spans="2:20"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</row>
    <row r="257" spans="2:20"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</row>
    <row r="258" spans="2:20"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</row>
    <row r="259" spans="2:20"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</row>
    <row r="260" spans="2:20"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</row>
    <row r="261" spans="2:20"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</row>
    <row r="262" spans="2:20"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</row>
    <row r="263" spans="2:20"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</row>
    <row r="264" spans="2:20"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</row>
    <row r="265" spans="2:20"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</row>
    <row r="266" spans="2:20"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</row>
    <row r="267" spans="2:20"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</row>
    <row r="268" spans="2:20"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</row>
    <row r="269" spans="2:20"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</row>
    <row r="270" spans="2:20"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</row>
    <row r="271" spans="2:20"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</row>
    <row r="272" spans="2:20"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</row>
    <row r="273" spans="2:20"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</row>
    <row r="274" spans="2:20"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</row>
    <row r="275" spans="2:20"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</row>
    <row r="276" spans="2:20"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</row>
    <row r="277" spans="2:20"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61"/>
  </sheetPr>
  <dimension ref="A1:L215"/>
  <sheetViews>
    <sheetView showGridLines="0" view="pageLayout" zoomScaleNormal="110" workbookViewId="0">
      <selection activeCell="I12" sqref="I12"/>
    </sheetView>
  </sheetViews>
  <sheetFormatPr defaultRowHeight="12.75"/>
  <cols>
    <col min="1" max="1" width="4" customWidth="1"/>
    <col min="2" max="2" width="13" customWidth="1"/>
    <col min="3" max="3" width="12.7109375" customWidth="1"/>
    <col min="4" max="4" width="13.425781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7.7109375" bestFit="1" customWidth="1"/>
    <col min="12" max="12" width="11.28515625" style="1" bestFit="1" customWidth="1"/>
  </cols>
  <sheetData>
    <row r="1" spans="1:12" s="1" customFormat="1" ht="15.75">
      <c r="A1"/>
      <c r="B1" s="3" t="s">
        <v>49</v>
      </c>
      <c r="C1" s="66"/>
      <c r="D1" s="67"/>
      <c r="E1" s="66"/>
      <c r="F1" s="66"/>
      <c r="G1" s="66"/>
      <c r="H1" s="66"/>
      <c r="I1" s="66"/>
      <c r="J1" s="66"/>
      <c r="K1" s="66"/>
    </row>
    <row r="2" spans="1:12" s="1" customFormat="1" ht="17.25">
      <c r="A2"/>
      <c r="B2" s="162" t="s">
        <v>4</v>
      </c>
      <c r="C2" s="162"/>
      <c r="D2" s="162"/>
      <c r="E2" s="162"/>
      <c r="F2" s="162"/>
      <c r="G2" s="162"/>
      <c r="H2" s="162"/>
      <c r="I2" s="162"/>
      <c r="J2" s="162"/>
      <c r="K2" s="162"/>
    </row>
    <row r="3" spans="1:12" s="1" customFormat="1" ht="17.25">
      <c r="A3"/>
      <c r="B3" s="163"/>
      <c r="C3" s="163"/>
      <c r="D3" s="163"/>
      <c r="E3" s="163"/>
      <c r="F3" s="163"/>
      <c r="G3" s="163"/>
      <c r="H3" s="163"/>
      <c r="I3" s="163"/>
      <c r="J3" s="163"/>
      <c r="K3" s="163"/>
    </row>
    <row r="4" spans="1:12" s="1" customFormat="1" ht="15">
      <c r="A4"/>
      <c r="B4" s="17" t="s">
        <v>5</v>
      </c>
      <c r="C4" s="18" t="s">
        <v>6</v>
      </c>
      <c r="D4" s="28">
        <f ca="1">NOW()</f>
        <v>41940.317036458335</v>
      </c>
      <c r="E4" s="19"/>
      <c r="F4" s="19"/>
      <c r="G4" s="19"/>
      <c r="H4" s="19"/>
      <c r="I4" s="19"/>
      <c r="J4" s="19"/>
      <c r="K4" s="19"/>
    </row>
    <row r="5" spans="1:12" s="1" customFormat="1" ht="15">
      <c r="A5"/>
      <c r="B5" s="17" t="s">
        <v>7</v>
      </c>
      <c r="C5" s="18" t="s">
        <v>6</v>
      </c>
      <c r="D5" s="20">
        <v>41883</v>
      </c>
      <c r="E5" s="19"/>
      <c r="F5" s="19"/>
      <c r="G5" s="19"/>
      <c r="H5" s="19"/>
      <c r="I5" s="19"/>
      <c r="J5" s="19"/>
      <c r="K5" s="19"/>
    </row>
    <row r="6" spans="1:12" s="1" customFormat="1" ht="15">
      <c r="A6"/>
      <c r="B6" s="17" t="s">
        <v>8</v>
      </c>
      <c r="C6" s="18" t="s">
        <v>6</v>
      </c>
      <c r="D6" s="17" t="s">
        <v>50</v>
      </c>
      <c r="E6" s="19"/>
      <c r="F6" s="19"/>
      <c r="G6" s="19"/>
      <c r="H6" s="19"/>
      <c r="I6" s="19"/>
      <c r="J6" s="19"/>
      <c r="K6" s="19"/>
    </row>
    <row r="7" spans="1:12" s="1" customFormat="1" ht="1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2" s="1" customFormat="1" ht="15">
      <c r="A8"/>
      <c r="B8" s="17" t="s">
        <v>10</v>
      </c>
      <c r="C8" s="18" t="s">
        <v>6</v>
      </c>
      <c r="D8" s="21"/>
      <c r="E8" s="19"/>
      <c r="F8" s="19"/>
      <c r="G8" s="19"/>
      <c r="H8" s="19"/>
      <c r="I8" s="19"/>
      <c r="J8" s="19"/>
      <c r="K8" s="19"/>
    </row>
    <row r="9" spans="1:12" s="1" customFormat="1">
      <c r="A9"/>
      <c r="B9" s="68"/>
      <c r="C9" s="68"/>
      <c r="D9" s="68"/>
      <c r="E9" s="68"/>
      <c r="F9" s="68"/>
      <c r="G9" s="68"/>
      <c r="H9" s="68"/>
      <c r="I9" s="68"/>
      <c r="J9" s="69"/>
      <c r="K9" s="70"/>
    </row>
    <row r="10" spans="1:12" s="1" customFormat="1">
      <c r="A10"/>
      <c r="B10" s="65" t="s">
        <v>11</v>
      </c>
      <c r="C10" s="25"/>
      <c r="D10" s="70" t="s">
        <v>12</v>
      </c>
      <c r="E10" s="70" t="s">
        <v>13</v>
      </c>
      <c r="F10" s="70" t="s">
        <v>14</v>
      </c>
      <c r="G10" s="70" t="s">
        <v>14</v>
      </c>
      <c r="H10" s="70" t="s">
        <v>14</v>
      </c>
      <c r="I10" s="70" t="s">
        <v>15</v>
      </c>
      <c r="J10" s="164" t="s">
        <v>16</v>
      </c>
      <c r="K10" s="164"/>
    </row>
    <row r="11" spans="1:12" s="1" customFormat="1">
      <c r="A11"/>
      <c r="B11" s="26" t="s">
        <v>17</v>
      </c>
      <c r="C11" s="26" t="s">
        <v>18</v>
      </c>
      <c r="D11" s="26"/>
      <c r="E11" s="26" t="s">
        <v>19</v>
      </c>
      <c r="F11" s="26" t="s">
        <v>20</v>
      </c>
      <c r="G11" s="26" t="s">
        <v>21</v>
      </c>
      <c r="H11" s="26" t="s">
        <v>22</v>
      </c>
      <c r="I11" s="27"/>
      <c r="J11" s="26" t="s">
        <v>23</v>
      </c>
      <c r="K11" s="26" t="s">
        <v>24</v>
      </c>
    </row>
    <row r="12" spans="1:12" s="1" customFormat="1" ht="19.5" customHeight="1">
      <c r="A12"/>
      <c r="B12" s="123">
        <v>41679</v>
      </c>
      <c r="C12" s="129" t="s">
        <v>98</v>
      </c>
      <c r="D12" s="132">
        <v>30.6</v>
      </c>
      <c r="E12" s="124">
        <v>2.4950283664722933E-2</v>
      </c>
      <c r="F12" s="125">
        <v>949652</v>
      </c>
      <c r="G12" s="125"/>
      <c r="H12" s="125">
        <v>131501</v>
      </c>
      <c r="I12" s="133" t="s">
        <v>99</v>
      </c>
      <c r="J12" s="125">
        <v>93345283.618400007</v>
      </c>
      <c r="K12" s="153">
        <v>9175299977.0437336</v>
      </c>
      <c r="L12" s="72"/>
    </row>
    <row r="13" spans="1:12" ht="19.5" customHeight="1">
      <c r="A13" s="8"/>
      <c r="B13" s="123"/>
      <c r="C13" s="54"/>
      <c r="D13" s="58"/>
      <c r="E13" s="63"/>
      <c r="F13" s="56"/>
      <c r="G13" s="56"/>
      <c r="H13" s="56"/>
      <c r="I13" s="54"/>
      <c r="J13" s="64"/>
      <c r="K13" s="64"/>
      <c r="L13" s="72"/>
    </row>
    <row r="14" spans="1:12" s="1" customFormat="1" ht="19.5" customHeight="1">
      <c r="A14" s="8"/>
      <c r="B14" s="119" t="s">
        <v>25</v>
      </c>
      <c r="C14" s="120"/>
      <c r="D14" s="120"/>
      <c r="E14" s="121"/>
      <c r="F14" s="122"/>
      <c r="G14" s="122"/>
      <c r="H14" s="122"/>
      <c r="I14" s="122"/>
      <c r="J14" s="122">
        <f>SUM(J12:J13)</f>
        <v>93345283.618400007</v>
      </c>
      <c r="K14" s="122">
        <f>SUM(K12:K13)</f>
        <v>9175299977.0437336</v>
      </c>
    </row>
    <row r="15" spans="1:12" ht="14.25">
      <c r="B15" s="14"/>
      <c r="C15" s="14"/>
      <c r="D15" s="14"/>
      <c r="E15" s="14"/>
      <c r="F15" s="14"/>
      <c r="G15" s="14"/>
    </row>
    <row r="16" spans="1:12" ht="14.25">
      <c r="B16" s="14"/>
      <c r="C16" s="14"/>
      <c r="D16" s="14"/>
      <c r="E16" s="14"/>
      <c r="F16" s="14"/>
      <c r="G16" s="14"/>
    </row>
    <row r="17" spans="2:7" ht="14.25">
      <c r="B17" s="14"/>
      <c r="C17" s="14"/>
      <c r="D17" s="14"/>
      <c r="E17" s="14"/>
      <c r="F17" s="14"/>
      <c r="G17" s="14"/>
    </row>
    <row r="18" spans="2:7" ht="14.25">
      <c r="B18" s="14"/>
      <c r="C18" s="14"/>
      <c r="D18" s="14"/>
      <c r="E18" s="14"/>
      <c r="F18" s="14"/>
      <c r="G18" s="14"/>
    </row>
    <row r="19" spans="2:7" ht="14.25">
      <c r="B19" s="14"/>
      <c r="C19" s="14"/>
      <c r="D19" s="14"/>
      <c r="E19" s="14"/>
      <c r="F19" s="14"/>
      <c r="G19" s="14"/>
    </row>
    <row r="20" spans="2:7" ht="14.25">
      <c r="B20" s="14"/>
      <c r="C20" s="14"/>
      <c r="D20" s="14"/>
      <c r="E20" s="14"/>
      <c r="F20" s="14"/>
      <c r="G20" s="14"/>
    </row>
    <row r="21" spans="2:7" ht="14.25">
      <c r="B21" s="14"/>
      <c r="C21" s="14"/>
      <c r="D21" s="14"/>
      <c r="E21" s="14"/>
      <c r="F21" s="14"/>
      <c r="G21" s="14"/>
    </row>
    <row r="22" spans="2:7">
      <c r="B22" s="8"/>
      <c r="C22" s="8"/>
      <c r="D22" s="8"/>
      <c r="E22" s="8"/>
      <c r="F22" s="8"/>
      <c r="G22" s="8"/>
    </row>
    <row r="23" spans="2:7" ht="15.75">
      <c r="B23" s="5"/>
      <c r="C23" s="5"/>
      <c r="D23" s="5"/>
      <c r="E23" s="5"/>
      <c r="F23" s="5"/>
      <c r="G23" s="5"/>
    </row>
    <row r="24" spans="2:7" ht="15.75">
      <c r="B24" s="5"/>
      <c r="C24" s="5"/>
      <c r="D24" s="5"/>
      <c r="E24" s="5"/>
      <c r="F24" s="5"/>
      <c r="G24" s="5"/>
    </row>
    <row r="25" spans="2:7" ht="15.75">
      <c r="B25" s="5"/>
      <c r="C25" s="5"/>
      <c r="D25" s="5"/>
      <c r="E25" s="5"/>
      <c r="F25" s="5"/>
      <c r="G25" s="5"/>
    </row>
    <row r="26" spans="2:7" ht="15">
      <c r="B26" s="6"/>
      <c r="C26" s="6"/>
      <c r="D26" s="6"/>
      <c r="E26" s="6"/>
      <c r="F26" s="7"/>
      <c r="G26" s="6"/>
    </row>
    <row r="27" spans="2:7" ht="15">
      <c r="B27" s="6"/>
      <c r="C27" s="6"/>
      <c r="D27" s="6"/>
      <c r="E27" s="6"/>
      <c r="F27" s="6"/>
      <c r="G27" s="6"/>
    </row>
    <row r="28" spans="2:7" ht="15">
      <c r="B28" s="6"/>
      <c r="C28" s="6"/>
      <c r="D28" s="6"/>
      <c r="E28" s="6"/>
      <c r="F28" s="6"/>
      <c r="G28" s="6"/>
    </row>
    <row r="29" spans="2:7" ht="15">
      <c r="B29" s="6"/>
      <c r="C29" s="6"/>
      <c r="D29" s="6"/>
      <c r="E29" s="6"/>
      <c r="F29" s="6"/>
      <c r="G29" s="6"/>
    </row>
    <row r="30" spans="2:7" ht="15">
      <c r="B30" s="6"/>
      <c r="C30" s="6"/>
      <c r="D30" s="6"/>
      <c r="E30" s="6"/>
      <c r="F30" s="6"/>
      <c r="G30" s="6"/>
    </row>
    <row r="31" spans="2:7" ht="15">
      <c r="B31" s="6"/>
      <c r="C31" s="6"/>
      <c r="D31" s="6"/>
      <c r="E31" s="6"/>
      <c r="F31" s="6"/>
      <c r="G31" s="6"/>
    </row>
    <row r="32" spans="2:7" ht="15">
      <c r="B32" s="6"/>
      <c r="C32" s="6"/>
      <c r="D32" s="6"/>
      <c r="E32" s="6"/>
      <c r="F32" s="6"/>
      <c r="G32" s="6"/>
    </row>
    <row r="33" spans="2:7" ht="15">
      <c r="B33" s="6"/>
      <c r="C33" s="6"/>
      <c r="D33" s="6"/>
      <c r="E33" s="6"/>
      <c r="F33" s="6"/>
      <c r="G33" s="6"/>
    </row>
    <row r="34" spans="2:7" ht="15">
      <c r="B34" s="6"/>
      <c r="C34" s="6"/>
      <c r="D34" s="6"/>
      <c r="E34" s="6"/>
      <c r="F34" s="6"/>
      <c r="G34" s="6"/>
    </row>
    <row r="35" spans="2:7" ht="15">
      <c r="B35" s="6"/>
      <c r="C35" s="6"/>
      <c r="D35" s="6"/>
      <c r="E35" s="6"/>
      <c r="F35" s="6"/>
      <c r="G35" s="6"/>
    </row>
    <row r="36" spans="2:7" ht="15">
      <c r="B36" s="9"/>
      <c r="C36" s="4"/>
      <c r="D36" s="4"/>
      <c r="E36" s="4"/>
      <c r="F36" s="4"/>
      <c r="G36" s="4"/>
    </row>
    <row r="37" spans="2:7" ht="15">
      <c r="B37" s="6"/>
      <c r="C37" s="6"/>
      <c r="D37" s="6"/>
      <c r="E37" s="6"/>
      <c r="F37" s="6"/>
      <c r="G37" s="6"/>
    </row>
    <row r="38" spans="2:7" ht="15">
      <c r="B38" s="6"/>
      <c r="C38" s="6"/>
      <c r="D38" s="6"/>
      <c r="E38" s="6"/>
      <c r="F38" s="6"/>
      <c r="G38" s="6"/>
    </row>
    <row r="39" spans="2:7" ht="15">
      <c r="B39" s="6"/>
      <c r="C39" s="6"/>
      <c r="D39" s="6"/>
      <c r="E39" s="6"/>
      <c r="F39" s="6"/>
      <c r="G39" s="6"/>
    </row>
    <row r="40" spans="2:7" ht="15">
      <c r="B40" s="6"/>
      <c r="C40" s="6"/>
      <c r="D40" s="6"/>
      <c r="E40" s="6"/>
      <c r="F40" s="6"/>
      <c r="G40" s="6"/>
    </row>
    <row r="41" spans="2:7">
      <c r="B41" s="10"/>
      <c r="C41" s="10"/>
      <c r="D41" s="10"/>
      <c r="E41" s="10"/>
      <c r="F41" s="10"/>
      <c r="G41" s="10"/>
    </row>
    <row r="42" spans="2:7">
      <c r="B42" s="11"/>
      <c r="C42" s="71"/>
      <c r="D42" s="71"/>
      <c r="E42" s="71"/>
      <c r="F42" s="71"/>
      <c r="G42" s="71"/>
    </row>
    <row r="43" spans="2:7">
      <c r="B43" s="13"/>
      <c r="C43" s="71"/>
      <c r="D43" s="71"/>
      <c r="E43" s="71"/>
      <c r="F43" s="71"/>
      <c r="G43" s="71"/>
    </row>
    <row r="44" spans="2:7">
      <c r="B44" s="13"/>
      <c r="C44" s="13"/>
      <c r="D44" s="13"/>
      <c r="E44" s="13"/>
      <c r="F44" s="13"/>
      <c r="G44" s="13"/>
    </row>
    <row r="45" spans="2:7" ht="15">
      <c r="B45" s="6"/>
      <c r="C45" s="6"/>
      <c r="D45" s="6"/>
      <c r="E45" s="6"/>
      <c r="F45" s="6"/>
      <c r="G45" s="6"/>
    </row>
    <row r="46" spans="2:7" ht="15">
      <c r="B46" s="4"/>
      <c r="C46" s="4"/>
      <c r="D46" s="4"/>
      <c r="E46" s="4"/>
      <c r="F46" s="4"/>
      <c r="G46" s="6"/>
    </row>
    <row r="47" spans="2:7" ht="15">
      <c r="B47" s="6"/>
      <c r="C47" s="6"/>
      <c r="D47" s="6"/>
      <c r="E47" s="6"/>
      <c r="F47" s="6"/>
      <c r="G47" s="6"/>
    </row>
    <row r="48" spans="2:7" ht="15">
      <c r="B48" s="6"/>
      <c r="C48" s="6"/>
      <c r="D48" s="6"/>
      <c r="E48" s="6"/>
      <c r="F48" s="6"/>
      <c r="G48" s="6"/>
    </row>
    <row r="49" spans="2:7" ht="15">
      <c r="B49" s="6"/>
      <c r="C49" s="6"/>
      <c r="D49" s="6"/>
      <c r="E49" s="6"/>
      <c r="F49" s="6"/>
      <c r="G49" s="6"/>
    </row>
    <row r="50" spans="2:7" ht="15">
      <c r="B50" s="6"/>
      <c r="C50" s="6"/>
      <c r="D50" s="6"/>
      <c r="E50" s="6"/>
      <c r="F50" s="6"/>
      <c r="G50" s="6"/>
    </row>
    <row r="51" spans="2:7" ht="15">
      <c r="B51" s="6"/>
      <c r="C51" s="6"/>
      <c r="D51" s="6"/>
      <c r="E51" s="6"/>
      <c r="F51" s="6"/>
      <c r="G51" s="6"/>
    </row>
    <row r="52" spans="2:7" ht="15">
      <c r="B52" s="4"/>
      <c r="C52" s="4"/>
      <c r="D52" s="4"/>
      <c r="E52" s="4"/>
      <c r="F52" s="4"/>
      <c r="G52" s="4"/>
    </row>
    <row r="53" spans="2:7" ht="15">
      <c r="B53" s="6"/>
      <c r="C53" s="6"/>
      <c r="D53" s="6"/>
      <c r="E53" s="6"/>
      <c r="F53" s="6"/>
      <c r="G53" s="6"/>
    </row>
    <row r="54" spans="2:7" ht="15">
      <c r="B54" s="6"/>
      <c r="C54" s="6"/>
      <c r="D54" s="6"/>
      <c r="E54" s="6"/>
      <c r="F54" s="6"/>
      <c r="G54" s="6"/>
    </row>
    <row r="55" spans="2:7" ht="15">
      <c r="B55" s="6"/>
      <c r="C55" s="6"/>
      <c r="D55" s="6"/>
      <c r="E55" s="6"/>
      <c r="F55" s="6"/>
      <c r="G55" s="6"/>
    </row>
    <row r="56" spans="2:7" ht="15">
      <c r="B56" s="6"/>
      <c r="C56" s="6"/>
      <c r="D56" s="6"/>
      <c r="E56" s="6"/>
      <c r="F56" s="6"/>
      <c r="G56" s="6"/>
    </row>
    <row r="57" spans="2:7" ht="15">
      <c r="B57" s="6"/>
      <c r="C57" s="6"/>
      <c r="D57" s="6"/>
      <c r="E57" s="6"/>
      <c r="F57" s="6"/>
      <c r="G57" s="6"/>
    </row>
    <row r="58" spans="2:7" ht="15">
      <c r="B58" s="6"/>
      <c r="C58" s="6"/>
      <c r="D58" s="6"/>
      <c r="E58" s="6"/>
      <c r="F58" s="6"/>
      <c r="G58" s="6"/>
    </row>
    <row r="59" spans="2:7" ht="15">
      <c r="B59" s="6"/>
      <c r="C59" s="6"/>
      <c r="D59" s="6"/>
      <c r="E59" s="6"/>
      <c r="F59" s="6"/>
      <c r="G59" s="6"/>
    </row>
    <row r="60" spans="2:7" ht="15">
      <c r="B60" s="6"/>
      <c r="C60" s="6"/>
      <c r="D60" s="6"/>
      <c r="E60" s="6"/>
      <c r="F60" s="6"/>
      <c r="G60" s="6"/>
    </row>
    <row r="61" spans="2:7" ht="15">
      <c r="B61" s="6"/>
      <c r="C61" s="6"/>
      <c r="D61" s="6"/>
      <c r="E61" s="6"/>
      <c r="F61" s="6"/>
      <c r="G61" s="6"/>
    </row>
    <row r="62" spans="2:7" ht="15">
      <c r="B62" s="6"/>
      <c r="C62" s="6"/>
      <c r="D62" s="6"/>
      <c r="E62" s="6"/>
      <c r="F62" s="6"/>
      <c r="G62" s="6"/>
    </row>
    <row r="63" spans="2:7" ht="15">
      <c r="B63" s="6"/>
      <c r="C63" s="6"/>
      <c r="D63" s="6"/>
      <c r="E63" s="6"/>
      <c r="F63" s="6"/>
      <c r="G63" s="6"/>
    </row>
    <row r="64" spans="2:7" ht="14.25">
      <c r="B64" s="14"/>
      <c r="C64" s="14"/>
      <c r="D64" s="14"/>
      <c r="E64" s="14"/>
      <c r="F64" s="14"/>
      <c r="G64" s="14"/>
    </row>
    <row r="65" spans="2:7">
      <c r="B65" s="8"/>
      <c r="C65" s="8"/>
      <c r="D65" s="8"/>
      <c r="E65" s="8"/>
      <c r="F65" s="8"/>
      <c r="G65" s="8"/>
    </row>
    <row r="66" spans="2:7">
      <c r="B66" s="8"/>
      <c r="C66" s="8"/>
      <c r="D66" s="8"/>
      <c r="E66" s="8"/>
      <c r="F66" s="8"/>
      <c r="G66" s="8"/>
    </row>
    <row r="67" spans="2:7">
      <c r="B67" s="8"/>
      <c r="C67" s="8"/>
      <c r="D67" s="8"/>
      <c r="E67" s="8"/>
      <c r="F67" s="8"/>
      <c r="G67" s="8"/>
    </row>
    <row r="68" spans="2:7">
      <c r="B68" s="8"/>
      <c r="C68" s="8"/>
      <c r="D68" s="8"/>
      <c r="E68" s="8"/>
      <c r="F68" s="8"/>
      <c r="G68" s="8"/>
    </row>
    <row r="69" spans="2:7">
      <c r="B69" s="8"/>
      <c r="C69" s="8"/>
      <c r="D69" s="8"/>
      <c r="E69" s="8"/>
      <c r="F69" s="8"/>
      <c r="G69" s="8"/>
    </row>
    <row r="70" spans="2:7">
      <c r="B70" s="8"/>
      <c r="C70" s="8"/>
      <c r="D70" s="8"/>
      <c r="E70" s="8"/>
      <c r="F70" s="8"/>
      <c r="G70" s="8"/>
    </row>
    <row r="71" spans="2:7">
      <c r="B71" s="8"/>
      <c r="C71" s="8"/>
      <c r="D71" s="8"/>
      <c r="E71" s="8"/>
      <c r="F71" s="8"/>
      <c r="G71" s="8"/>
    </row>
    <row r="72" spans="2:7" ht="15.75">
      <c r="B72" s="5"/>
      <c r="C72" s="5"/>
      <c r="D72" s="5"/>
      <c r="E72" s="5"/>
      <c r="F72" s="5"/>
      <c r="G72" s="5"/>
    </row>
    <row r="73" spans="2:7" ht="15.75">
      <c r="B73" s="5"/>
      <c r="C73" s="5"/>
      <c r="D73" s="5"/>
      <c r="E73" s="5"/>
      <c r="F73" s="5"/>
      <c r="G73" s="5"/>
    </row>
    <row r="74" spans="2:7" ht="15.75">
      <c r="B74" s="5"/>
      <c r="C74" s="5"/>
      <c r="D74" s="5"/>
      <c r="E74" s="5"/>
      <c r="F74" s="5"/>
      <c r="G74" s="5"/>
    </row>
    <row r="75" spans="2:7" ht="15">
      <c r="B75" s="6"/>
      <c r="C75" s="6"/>
      <c r="D75" s="6"/>
      <c r="E75" s="6"/>
      <c r="F75" s="7"/>
      <c r="G75" s="6"/>
    </row>
    <row r="76" spans="2:7" ht="15">
      <c r="B76" s="6"/>
      <c r="C76" s="6"/>
      <c r="D76" s="6"/>
      <c r="E76" s="6"/>
      <c r="F76" s="6"/>
      <c r="G76" s="6"/>
    </row>
    <row r="77" spans="2:7" ht="15">
      <c r="B77" s="6"/>
      <c r="C77" s="6"/>
      <c r="D77" s="6"/>
      <c r="E77" s="6"/>
      <c r="F77" s="6"/>
      <c r="G77" s="6"/>
    </row>
    <row r="78" spans="2:7" ht="15">
      <c r="B78" s="6"/>
      <c r="C78" s="6"/>
      <c r="D78" s="6"/>
      <c r="E78" s="6"/>
      <c r="F78" s="6"/>
      <c r="G78" s="6"/>
    </row>
    <row r="79" spans="2:7" ht="15">
      <c r="B79" s="6"/>
      <c r="C79" s="6"/>
      <c r="D79" s="6"/>
      <c r="E79" s="6"/>
      <c r="F79" s="6"/>
      <c r="G79" s="6"/>
    </row>
    <row r="80" spans="2:7" ht="15">
      <c r="B80" s="6"/>
      <c r="C80" s="6"/>
      <c r="D80" s="6"/>
      <c r="E80" s="6"/>
      <c r="F80" s="6"/>
      <c r="G80" s="6"/>
    </row>
    <row r="81" spans="2:7" ht="15">
      <c r="B81" s="6"/>
      <c r="C81" s="6"/>
      <c r="D81" s="6"/>
      <c r="E81" s="6"/>
      <c r="F81" s="6"/>
      <c r="G81" s="6"/>
    </row>
    <row r="82" spans="2:7" ht="15">
      <c r="B82" s="6"/>
      <c r="C82" s="6"/>
      <c r="D82" s="6"/>
      <c r="E82" s="6"/>
      <c r="F82" s="6"/>
      <c r="G82" s="6"/>
    </row>
    <row r="83" spans="2:7" ht="15">
      <c r="B83" s="6"/>
      <c r="C83" s="6"/>
      <c r="D83" s="6"/>
      <c r="E83" s="6"/>
      <c r="F83" s="6"/>
      <c r="G83" s="6"/>
    </row>
    <row r="84" spans="2:7" ht="15">
      <c r="B84" s="6"/>
      <c r="C84" s="6"/>
      <c r="D84" s="6"/>
      <c r="E84" s="6"/>
      <c r="F84" s="6"/>
      <c r="G84" s="6"/>
    </row>
    <row r="85" spans="2:7" ht="15">
      <c r="B85" s="9"/>
      <c r="C85" s="4"/>
      <c r="D85" s="4"/>
      <c r="E85" s="4"/>
      <c r="F85" s="4"/>
      <c r="G85" s="4"/>
    </row>
    <row r="86" spans="2:7" ht="15">
      <c r="B86" s="6"/>
      <c r="C86" s="6"/>
      <c r="D86" s="6"/>
      <c r="E86" s="6"/>
      <c r="F86" s="6"/>
      <c r="G86" s="6"/>
    </row>
    <row r="87" spans="2:7" ht="15">
      <c r="B87" s="6"/>
      <c r="C87" s="6"/>
      <c r="D87" s="6"/>
      <c r="E87" s="6"/>
      <c r="F87" s="6"/>
      <c r="G87" s="6"/>
    </row>
    <row r="88" spans="2:7" ht="15">
      <c r="B88" s="6"/>
      <c r="C88" s="6"/>
      <c r="D88" s="6"/>
      <c r="E88" s="6"/>
      <c r="F88" s="6"/>
      <c r="G88" s="6"/>
    </row>
    <row r="89" spans="2:7" ht="15">
      <c r="B89" s="6"/>
      <c r="C89" s="6"/>
      <c r="D89" s="6"/>
      <c r="E89" s="6"/>
      <c r="F89" s="6"/>
      <c r="G89" s="6"/>
    </row>
    <row r="90" spans="2:7">
      <c r="B90" s="10"/>
      <c r="C90" s="10"/>
      <c r="D90" s="10"/>
      <c r="E90" s="10"/>
      <c r="F90" s="10"/>
      <c r="G90" s="10"/>
    </row>
    <row r="91" spans="2:7">
      <c r="B91" s="11"/>
      <c r="C91" s="71"/>
      <c r="D91" s="71"/>
      <c r="E91" s="71"/>
      <c r="F91" s="71"/>
      <c r="G91" s="71"/>
    </row>
    <row r="92" spans="2:7">
      <c r="B92" s="13"/>
      <c r="C92" s="71"/>
      <c r="D92" s="71"/>
      <c r="E92" s="71"/>
      <c r="F92" s="71"/>
      <c r="G92" s="71"/>
    </row>
    <row r="93" spans="2:7">
      <c r="B93" s="13"/>
      <c r="C93" s="13"/>
      <c r="D93" s="13"/>
      <c r="E93" s="13"/>
      <c r="F93" s="13"/>
      <c r="G93" s="13"/>
    </row>
    <row r="94" spans="2:7" ht="15">
      <c r="B94" s="6"/>
      <c r="C94" s="6"/>
      <c r="D94" s="6"/>
      <c r="E94" s="6"/>
      <c r="F94" s="6"/>
      <c r="G94" s="6"/>
    </row>
    <row r="95" spans="2:7" ht="15">
      <c r="B95" s="4"/>
      <c r="C95" s="4"/>
      <c r="D95" s="4"/>
      <c r="E95" s="4"/>
      <c r="F95" s="4"/>
      <c r="G95" s="6"/>
    </row>
    <row r="96" spans="2:7" ht="15">
      <c r="B96" s="6"/>
      <c r="C96" s="6"/>
      <c r="D96" s="6"/>
      <c r="E96" s="6"/>
      <c r="F96" s="6"/>
      <c r="G96" s="6"/>
    </row>
    <row r="97" spans="2:7" ht="15">
      <c r="B97" s="6"/>
      <c r="C97" s="6"/>
      <c r="D97" s="6"/>
      <c r="E97" s="6"/>
      <c r="F97" s="6"/>
      <c r="G97" s="6"/>
    </row>
    <row r="98" spans="2:7" ht="15">
      <c r="B98" s="6"/>
      <c r="C98" s="6"/>
      <c r="D98" s="6"/>
      <c r="E98" s="6"/>
      <c r="F98" s="6"/>
      <c r="G98" s="6"/>
    </row>
    <row r="99" spans="2:7" ht="15">
      <c r="B99" s="6"/>
      <c r="C99" s="6"/>
      <c r="D99" s="6"/>
      <c r="E99" s="6"/>
      <c r="F99" s="6"/>
      <c r="G99" s="6"/>
    </row>
    <row r="100" spans="2:7" ht="15">
      <c r="B100" s="6"/>
      <c r="C100" s="6"/>
      <c r="D100" s="6"/>
      <c r="E100" s="6"/>
      <c r="F100" s="6"/>
      <c r="G100" s="6"/>
    </row>
    <row r="101" spans="2:7" ht="15">
      <c r="B101" s="4"/>
      <c r="C101" s="4"/>
      <c r="D101" s="4"/>
      <c r="E101" s="4"/>
      <c r="F101" s="4"/>
      <c r="G101" s="4"/>
    </row>
    <row r="102" spans="2:7" ht="15">
      <c r="B102" s="6"/>
      <c r="C102" s="6"/>
      <c r="D102" s="6"/>
      <c r="E102" s="6"/>
      <c r="F102" s="6"/>
      <c r="G102" s="6"/>
    </row>
    <row r="103" spans="2:7" ht="14.25">
      <c r="B103" s="14"/>
      <c r="C103" s="14"/>
      <c r="D103" s="14"/>
      <c r="E103" s="14"/>
      <c r="F103" s="14"/>
      <c r="G103" s="14"/>
    </row>
    <row r="104" spans="2:7">
      <c r="B104" s="8"/>
      <c r="C104" s="8"/>
      <c r="D104" s="8"/>
      <c r="E104" s="8"/>
      <c r="F104" s="8"/>
      <c r="G104" s="8"/>
    </row>
    <row r="105" spans="2:7">
      <c r="B105" s="8"/>
      <c r="C105" s="8"/>
      <c r="D105" s="8"/>
      <c r="E105" s="8"/>
      <c r="F105" s="8"/>
      <c r="G105" s="8"/>
    </row>
    <row r="106" spans="2:7">
      <c r="B106" s="8"/>
      <c r="C106" s="8"/>
      <c r="D106" s="8"/>
      <c r="E106" s="8"/>
      <c r="F106" s="8"/>
      <c r="G106" s="8"/>
    </row>
    <row r="107" spans="2:7">
      <c r="B107" s="8"/>
      <c r="C107" s="8"/>
      <c r="D107" s="8"/>
      <c r="E107" s="8"/>
      <c r="F107" s="8"/>
      <c r="G107" s="8"/>
    </row>
    <row r="108" spans="2:7">
      <c r="B108" s="8"/>
      <c r="C108" s="8"/>
      <c r="D108" s="8"/>
      <c r="E108" s="8"/>
      <c r="F108" s="8"/>
      <c r="G108" s="8"/>
    </row>
    <row r="109" spans="2:7">
      <c r="B109" s="8"/>
      <c r="C109" s="8"/>
      <c r="D109" s="8"/>
      <c r="E109" s="8"/>
      <c r="F109" s="8"/>
      <c r="G109" s="8"/>
    </row>
    <row r="110" spans="2:7">
      <c r="B110" s="8"/>
      <c r="C110" s="8"/>
      <c r="D110" s="8"/>
      <c r="E110" s="8"/>
      <c r="F110" s="8"/>
      <c r="G110" s="8"/>
    </row>
    <row r="111" spans="2:7">
      <c r="B111" s="8"/>
      <c r="C111" s="8"/>
      <c r="D111" s="8"/>
      <c r="E111" s="8"/>
      <c r="F111" s="8"/>
      <c r="G111" s="8"/>
    </row>
    <row r="112" spans="2:7" ht="15.75">
      <c r="B112" s="5"/>
      <c r="C112" s="5"/>
      <c r="D112" s="5"/>
      <c r="E112" s="5"/>
      <c r="F112" s="5"/>
      <c r="G112" s="5"/>
    </row>
    <row r="113" spans="2:7" ht="15.75">
      <c r="B113" s="5"/>
      <c r="C113" s="5"/>
      <c r="D113" s="5"/>
      <c r="E113" s="5"/>
      <c r="F113" s="5"/>
      <c r="G113" s="5"/>
    </row>
    <row r="114" spans="2:7" ht="15.75">
      <c r="B114" s="5"/>
      <c r="C114" s="5"/>
      <c r="D114" s="5"/>
      <c r="E114" s="5"/>
      <c r="F114" s="5"/>
      <c r="G114" s="5"/>
    </row>
    <row r="115" spans="2:7" ht="15">
      <c r="B115" s="6"/>
      <c r="C115" s="6"/>
      <c r="D115" s="6"/>
      <c r="E115" s="6"/>
      <c r="F115" s="7"/>
      <c r="G115" s="6"/>
    </row>
    <row r="116" spans="2:7" ht="15">
      <c r="B116" s="6"/>
      <c r="C116" s="6"/>
      <c r="D116" s="6"/>
      <c r="E116" s="6"/>
      <c r="F116" s="6"/>
      <c r="G116" s="6"/>
    </row>
    <row r="117" spans="2:7" ht="15">
      <c r="B117" s="6"/>
      <c r="C117" s="6"/>
      <c r="D117" s="6"/>
      <c r="E117" s="6"/>
      <c r="F117" s="6"/>
      <c r="G117" s="6"/>
    </row>
    <row r="118" spans="2:7" ht="15">
      <c r="B118" s="6"/>
      <c r="C118" s="6"/>
      <c r="D118" s="6"/>
      <c r="E118" s="6"/>
      <c r="F118" s="6"/>
      <c r="G118" s="6"/>
    </row>
    <row r="119" spans="2:7" ht="15">
      <c r="B119" s="6"/>
      <c r="C119" s="6"/>
      <c r="D119" s="6"/>
      <c r="E119" s="6"/>
      <c r="F119" s="6"/>
      <c r="G119" s="6"/>
    </row>
    <row r="120" spans="2:7" ht="15">
      <c r="B120" s="6"/>
      <c r="C120" s="6"/>
      <c r="D120" s="6"/>
      <c r="E120" s="6"/>
      <c r="F120" s="6"/>
      <c r="G120" s="6"/>
    </row>
    <row r="121" spans="2:7" ht="15">
      <c r="B121" s="6"/>
      <c r="C121" s="6"/>
      <c r="D121" s="6"/>
      <c r="E121" s="6"/>
      <c r="F121" s="6"/>
      <c r="G121" s="6"/>
    </row>
    <row r="122" spans="2:7" ht="15">
      <c r="B122" s="6"/>
      <c r="C122" s="6"/>
      <c r="D122" s="6"/>
      <c r="E122" s="6"/>
      <c r="F122" s="6"/>
      <c r="G122" s="6"/>
    </row>
    <row r="123" spans="2:7" ht="15">
      <c r="B123" s="6"/>
      <c r="C123" s="6"/>
      <c r="D123" s="6"/>
      <c r="E123" s="6"/>
      <c r="F123" s="6"/>
      <c r="G123" s="6"/>
    </row>
    <row r="124" spans="2:7" ht="15">
      <c r="B124" s="6"/>
      <c r="C124" s="6"/>
      <c r="D124" s="6"/>
      <c r="E124" s="6"/>
      <c r="F124" s="6"/>
      <c r="G124" s="6"/>
    </row>
    <row r="125" spans="2:7" ht="15">
      <c r="B125" s="9"/>
      <c r="C125" s="4"/>
      <c r="D125" s="4"/>
      <c r="E125" s="4"/>
      <c r="F125" s="4"/>
      <c r="G125" s="4"/>
    </row>
    <row r="126" spans="2:7" ht="15">
      <c r="B126" s="6"/>
      <c r="C126" s="6"/>
      <c r="D126" s="6"/>
      <c r="E126" s="6"/>
      <c r="F126" s="6"/>
      <c r="G126" s="6"/>
    </row>
    <row r="127" spans="2:7" ht="15">
      <c r="B127" s="6"/>
      <c r="C127" s="6"/>
      <c r="D127" s="6"/>
      <c r="E127" s="6"/>
      <c r="F127" s="6"/>
      <c r="G127" s="6"/>
    </row>
    <row r="128" spans="2:7" ht="15">
      <c r="B128" s="6"/>
      <c r="C128" s="6"/>
      <c r="D128" s="6"/>
      <c r="E128" s="6"/>
      <c r="F128" s="6"/>
      <c r="G128" s="6"/>
    </row>
    <row r="129" spans="2:7" ht="15">
      <c r="B129" s="6"/>
      <c r="C129" s="6"/>
      <c r="D129" s="6"/>
      <c r="E129" s="6"/>
      <c r="F129" s="6"/>
      <c r="G129" s="6"/>
    </row>
    <row r="130" spans="2:7">
      <c r="B130" s="10"/>
      <c r="C130" s="10"/>
      <c r="D130" s="10"/>
      <c r="E130" s="10"/>
      <c r="F130" s="10"/>
      <c r="G130" s="10"/>
    </row>
    <row r="131" spans="2:7">
      <c r="B131" s="11"/>
      <c r="C131" s="71"/>
      <c r="D131" s="71"/>
      <c r="E131" s="71"/>
      <c r="F131" s="71"/>
      <c r="G131" s="71"/>
    </row>
    <row r="132" spans="2:7">
      <c r="B132" s="13"/>
      <c r="C132" s="71"/>
      <c r="D132" s="71"/>
      <c r="E132" s="71"/>
      <c r="F132" s="71"/>
      <c r="G132" s="71"/>
    </row>
    <row r="133" spans="2:7">
      <c r="B133" s="13"/>
      <c r="C133" s="13"/>
      <c r="D133" s="13"/>
      <c r="E133" s="13"/>
      <c r="F133" s="13"/>
      <c r="G133" s="13"/>
    </row>
    <row r="134" spans="2:7" ht="15">
      <c r="B134" s="6"/>
      <c r="C134" s="6"/>
      <c r="D134" s="6"/>
      <c r="E134" s="6"/>
      <c r="F134" s="6"/>
      <c r="G134" s="6"/>
    </row>
    <row r="135" spans="2:7" ht="15">
      <c r="B135" s="4"/>
      <c r="C135" s="4"/>
      <c r="D135" s="4"/>
      <c r="E135" s="4"/>
      <c r="F135" s="4"/>
      <c r="G135" s="6"/>
    </row>
    <row r="136" spans="2:7" ht="15">
      <c r="B136" s="6"/>
      <c r="C136" s="6"/>
      <c r="D136" s="6"/>
      <c r="E136" s="6"/>
      <c r="F136" s="6"/>
      <c r="G136" s="6"/>
    </row>
    <row r="137" spans="2:7" ht="15">
      <c r="B137" s="6"/>
      <c r="C137" s="6"/>
      <c r="D137" s="6"/>
      <c r="E137" s="6"/>
      <c r="F137" s="6"/>
      <c r="G137" s="6"/>
    </row>
    <row r="138" spans="2:7" ht="15">
      <c r="B138" s="6"/>
      <c r="C138" s="6"/>
      <c r="D138" s="6"/>
      <c r="E138" s="6"/>
      <c r="F138" s="6"/>
      <c r="G138" s="6"/>
    </row>
    <row r="139" spans="2:7" ht="15">
      <c r="B139" s="6"/>
      <c r="C139" s="6"/>
      <c r="D139" s="6"/>
      <c r="E139" s="6"/>
      <c r="F139" s="6"/>
      <c r="G139" s="6"/>
    </row>
    <row r="140" spans="2:7" ht="15">
      <c r="B140" s="6"/>
      <c r="C140" s="6"/>
      <c r="D140" s="6"/>
      <c r="E140" s="6"/>
      <c r="F140" s="6"/>
      <c r="G140" s="6"/>
    </row>
    <row r="141" spans="2:7" ht="15">
      <c r="B141" s="4"/>
      <c r="C141" s="4"/>
      <c r="D141" s="4"/>
      <c r="E141" s="4"/>
      <c r="F141" s="4"/>
      <c r="G141" s="4"/>
    </row>
    <row r="142" spans="2:7" ht="15">
      <c r="B142" s="6"/>
      <c r="C142" s="6"/>
      <c r="D142" s="6"/>
      <c r="E142" s="6"/>
      <c r="F142" s="6"/>
      <c r="G142" s="6"/>
    </row>
    <row r="143" spans="2:7" ht="14.25">
      <c r="B143" s="14"/>
      <c r="C143" s="14"/>
      <c r="D143" s="14"/>
      <c r="E143" s="14"/>
      <c r="F143" s="14"/>
      <c r="G143" s="14"/>
    </row>
    <row r="144" spans="2:7">
      <c r="B144" s="8"/>
      <c r="C144" s="8"/>
      <c r="D144" s="8"/>
      <c r="E144" s="8"/>
      <c r="F144" s="8"/>
      <c r="G144" s="8"/>
    </row>
    <row r="145" spans="2:7">
      <c r="B145" s="8"/>
      <c r="C145" s="8"/>
      <c r="D145" s="8"/>
      <c r="E145" s="8"/>
      <c r="F145" s="8"/>
      <c r="G145" s="8"/>
    </row>
    <row r="146" spans="2:7" ht="15.75">
      <c r="B146" s="5"/>
      <c r="C146" s="5"/>
      <c r="D146" s="5"/>
      <c r="E146" s="5"/>
      <c r="F146" s="5"/>
      <c r="G146" s="5"/>
    </row>
    <row r="147" spans="2:7" ht="15.75">
      <c r="B147" s="5"/>
      <c r="C147" s="5"/>
      <c r="D147" s="5"/>
      <c r="E147" s="5"/>
      <c r="F147" s="5"/>
      <c r="G147" s="5"/>
    </row>
    <row r="148" spans="2:7" ht="15.75">
      <c r="B148" s="5"/>
      <c r="C148" s="5"/>
      <c r="D148" s="5"/>
      <c r="E148" s="5"/>
      <c r="F148" s="5"/>
      <c r="G148" s="5"/>
    </row>
    <row r="149" spans="2:7" ht="15">
      <c r="B149" s="6"/>
      <c r="C149" s="6"/>
      <c r="D149" s="6"/>
      <c r="E149" s="6"/>
      <c r="F149" s="7"/>
      <c r="G149" s="6"/>
    </row>
    <row r="150" spans="2:7" ht="15">
      <c r="B150" s="6"/>
      <c r="C150" s="6"/>
      <c r="D150" s="6"/>
      <c r="E150" s="6"/>
      <c r="F150" s="6"/>
      <c r="G150" s="6"/>
    </row>
    <row r="151" spans="2:7" ht="15">
      <c r="B151" s="6"/>
      <c r="C151" s="6"/>
      <c r="D151" s="6"/>
      <c r="E151" s="6"/>
      <c r="F151" s="6"/>
      <c r="G151" s="6"/>
    </row>
    <row r="152" spans="2:7" ht="15">
      <c r="B152" s="6"/>
      <c r="C152" s="6"/>
      <c r="D152" s="6"/>
      <c r="E152" s="6"/>
      <c r="F152" s="6"/>
      <c r="G152" s="6"/>
    </row>
    <row r="153" spans="2:7" ht="15">
      <c r="B153" s="6"/>
      <c r="C153" s="6"/>
      <c r="D153" s="6"/>
      <c r="E153" s="6"/>
      <c r="F153" s="6"/>
      <c r="G153" s="6"/>
    </row>
    <row r="154" spans="2:7" ht="15">
      <c r="B154" s="6"/>
      <c r="C154" s="6"/>
      <c r="D154" s="6"/>
      <c r="E154" s="6"/>
      <c r="F154" s="6"/>
      <c r="G154" s="6"/>
    </row>
    <row r="155" spans="2:7" ht="15">
      <c r="B155" s="6"/>
      <c r="C155" s="6"/>
      <c r="D155" s="6"/>
      <c r="E155" s="6"/>
      <c r="F155" s="6"/>
      <c r="G155" s="6"/>
    </row>
    <row r="156" spans="2:7" ht="15">
      <c r="B156" s="6"/>
      <c r="C156" s="6"/>
      <c r="D156" s="6"/>
      <c r="E156" s="6"/>
      <c r="F156" s="6"/>
      <c r="G156" s="6"/>
    </row>
    <row r="157" spans="2:7" ht="15">
      <c r="B157" s="6"/>
      <c r="C157" s="6"/>
      <c r="D157" s="6"/>
      <c r="E157" s="6"/>
      <c r="F157" s="6"/>
      <c r="G157" s="6"/>
    </row>
    <row r="158" spans="2:7" ht="15">
      <c r="B158" s="6"/>
      <c r="C158" s="6"/>
      <c r="D158" s="6"/>
      <c r="E158" s="6"/>
      <c r="F158" s="6"/>
      <c r="G158" s="6"/>
    </row>
    <row r="159" spans="2:7" ht="15">
      <c r="B159" s="9"/>
      <c r="C159" s="4"/>
      <c r="D159" s="4"/>
      <c r="E159" s="4"/>
      <c r="F159" s="4"/>
      <c r="G159" s="4"/>
    </row>
    <row r="160" spans="2:7" ht="15">
      <c r="B160" s="6"/>
      <c r="C160" s="6"/>
      <c r="D160" s="6"/>
      <c r="E160" s="6"/>
      <c r="F160" s="6"/>
      <c r="G160" s="6"/>
    </row>
    <row r="161" spans="2:7" ht="15">
      <c r="B161" s="6"/>
      <c r="C161" s="6"/>
      <c r="D161" s="6"/>
      <c r="E161" s="6"/>
      <c r="F161" s="6"/>
      <c r="G161" s="6"/>
    </row>
    <row r="162" spans="2:7" ht="15">
      <c r="B162" s="6"/>
      <c r="C162" s="6"/>
      <c r="D162" s="6"/>
      <c r="E162" s="6"/>
      <c r="F162" s="6"/>
      <c r="G162" s="6"/>
    </row>
    <row r="163" spans="2:7" ht="15">
      <c r="B163" s="6"/>
      <c r="C163" s="6"/>
      <c r="D163" s="6"/>
      <c r="E163" s="6"/>
      <c r="F163" s="6"/>
      <c r="G163" s="6"/>
    </row>
    <row r="164" spans="2:7">
      <c r="B164" s="10"/>
      <c r="C164" s="10"/>
      <c r="D164" s="10"/>
      <c r="E164" s="10"/>
      <c r="F164" s="10"/>
      <c r="G164" s="10"/>
    </row>
    <row r="165" spans="2:7">
      <c r="B165" s="11"/>
      <c r="C165" s="71"/>
      <c r="D165" s="71"/>
      <c r="E165" s="71"/>
      <c r="F165" s="71"/>
      <c r="G165" s="71"/>
    </row>
    <row r="166" spans="2:7">
      <c r="B166" s="13"/>
      <c r="C166" s="71"/>
      <c r="D166" s="71"/>
      <c r="E166" s="71"/>
      <c r="F166" s="71"/>
      <c r="G166" s="71"/>
    </row>
    <row r="167" spans="2:7">
      <c r="B167" s="13"/>
      <c r="C167" s="13"/>
      <c r="D167" s="13"/>
      <c r="E167" s="13"/>
      <c r="F167" s="13"/>
      <c r="G167" s="13"/>
    </row>
    <row r="168" spans="2:7" ht="15">
      <c r="B168" s="6"/>
      <c r="C168" s="6"/>
      <c r="D168" s="6"/>
      <c r="E168" s="6"/>
      <c r="F168" s="6"/>
      <c r="G168" s="6"/>
    </row>
    <row r="169" spans="2:7" ht="21" customHeight="1">
      <c r="B169" s="4"/>
      <c r="C169" s="4"/>
      <c r="D169" s="4"/>
      <c r="E169" s="4"/>
      <c r="F169" s="4"/>
      <c r="G169" s="6"/>
    </row>
    <row r="170" spans="2:7" ht="15">
      <c r="B170" s="6"/>
      <c r="C170" s="6"/>
      <c r="D170" s="6"/>
      <c r="E170" s="6"/>
      <c r="F170" s="6"/>
      <c r="G170" s="6"/>
    </row>
    <row r="171" spans="2:7" ht="15">
      <c r="B171" s="6"/>
      <c r="C171" s="6"/>
      <c r="D171" s="6"/>
      <c r="E171" s="6"/>
      <c r="F171" s="6"/>
      <c r="G171" s="6"/>
    </row>
    <row r="172" spans="2:7" ht="15">
      <c r="B172" s="6"/>
      <c r="C172" s="6"/>
      <c r="D172" s="6"/>
      <c r="E172" s="6"/>
      <c r="F172" s="6"/>
      <c r="G172" s="6"/>
    </row>
    <row r="173" spans="2:7" ht="15">
      <c r="B173" s="6"/>
      <c r="C173" s="6"/>
      <c r="D173" s="6"/>
      <c r="E173" s="6"/>
      <c r="F173" s="6"/>
      <c r="G173" s="6"/>
    </row>
    <row r="174" spans="2:7" ht="15">
      <c r="B174" s="6"/>
      <c r="C174" s="6"/>
      <c r="D174" s="6"/>
      <c r="E174" s="6"/>
      <c r="F174" s="6"/>
      <c r="G174" s="6"/>
    </row>
    <row r="175" spans="2:7" ht="15">
      <c r="B175" s="4"/>
      <c r="C175" s="4"/>
      <c r="D175" s="4"/>
      <c r="E175" s="4"/>
      <c r="F175" s="4"/>
      <c r="G175" s="4"/>
    </row>
    <row r="176" spans="2:7" ht="15">
      <c r="B176" s="6"/>
      <c r="C176" s="6"/>
      <c r="D176" s="6"/>
      <c r="E176" s="6"/>
      <c r="F176" s="6"/>
      <c r="G176" s="6"/>
    </row>
    <row r="177" spans="2:7" ht="14.25">
      <c r="B177" s="14"/>
      <c r="C177" s="14"/>
      <c r="D177" s="14"/>
      <c r="E177" s="14"/>
      <c r="F177" s="14"/>
      <c r="G177" s="14"/>
    </row>
    <row r="178" spans="2:7" ht="14.25">
      <c r="B178" s="14"/>
      <c r="C178" s="14"/>
      <c r="D178" s="14"/>
      <c r="E178" s="14"/>
      <c r="F178" s="14"/>
      <c r="G178" s="13"/>
    </row>
    <row r="179" spans="2:7" ht="14.25">
      <c r="B179" s="14"/>
      <c r="C179" s="14"/>
      <c r="D179" s="14"/>
      <c r="E179" s="14"/>
      <c r="F179" s="14"/>
      <c r="G179" s="14"/>
    </row>
    <row r="180" spans="2:7">
      <c r="B180" s="8"/>
      <c r="C180" s="8"/>
      <c r="D180" s="8"/>
      <c r="E180" s="8"/>
      <c r="F180" s="8"/>
      <c r="G180" s="8"/>
    </row>
    <row r="181" spans="2:7">
      <c r="B181" s="8"/>
      <c r="C181" s="8"/>
      <c r="D181" s="8"/>
      <c r="E181" s="8"/>
      <c r="F181" s="8"/>
      <c r="G181" s="8"/>
    </row>
    <row r="182" spans="2:7">
      <c r="B182" s="8"/>
      <c r="C182" s="8"/>
      <c r="D182" s="8"/>
      <c r="E182" s="8"/>
      <c r="F182" s="8"/>
      <c r="G182" s="8"/>
    </row>
    <row r="183" spans="2:7">
      <c r="B183" s="8"/>
      <c r="C183" s="8"/>
      <c r="D183" s="8"/>
      <c r="E183" s="8"/>
      <c r="F183" s="8"/>
      <c r="G183" s="8"/>
    </row>
    <row r="184" spans="2:7">
      <c r="B184" s="8"/>
      <c r="C184" s="8"/>
      <c r="D184" s="8"/>
      <c r="E184" s="8"/>
      <c r="F184" s="8"/>
      <c r="G184" s="8"/>
    </row>
    <row r="185" spans="2:7">
      <c r="B185" s="8"/>
      <c r="C185" s="8"/>
      <c r="D185" s="8"/>
      <c r="E185" s="8"/>
      <c r="F185" s="8"/>
      <c r="G185" s="8"/>
    </row>
    <row r="186" spans="2:7">
      <c r="B186" s="8"/>
      <c r="C186" s="8"/>
      <c r="D186" s="8"/>
      <c r="E186" s="8"/>
      <c r="F186" s="8"/>
      <c r="G186" s="8"/>
    </row>
    <row r="187" spans="2:7">
      <c r="B187" s="8"/>
      <c r="C187" s="8"/>
      <c r="D187" s="8"/>
      <c r="E187" s="8"/>
      <c r="F187" s="8"/>
      <c r="G187" s="8"/>
    </row>
    <row r="188" spans="2:7">
      <c r="B188" s="8"/>
      <c r="C188" s="8"/>
      <c r="D188" s="8"/>
      <c r="E188" s="8"/>
      <c r="F188" s="8"/>
      <c r="G188" s="8"/>
    </row>
    <row r="189" spans="2:7">
      <c r="B189" s="8"/>
      <c r="C189" s="8"/>
      <c r="D189" s="8"/>
      <c r="E189" s="8"/>
      <c r="F189" s="8"/>
      <c r="G189" s="8"/>
    </row>
    <row r="190" spans="2:7">
      <c r="B190" s="8"/>
      <c r="C190" s="8"/>
      <c r="D190" s="8"/>
      <c r="E190" s="8"/>
      <c r="F190" s="8"/>
      <c r="G190" s="8"/>
    </row>
    <row r="191" spans="2:7">
      <c r="B191" s="8"/>
      <c r="C191" s="8"/>
      <c r="D191" s="8"/>
      <c r="E191" s="8"/>
      <c r="F191" s="8"/>
      <c r="G191" s="8"/>
    </row>
    <row r="192" spans="2:7">
      <c r="B192" s="8"/>
      <c r="C192" s="8"/>
      <c r="D192" s="8"/>
      <c r="E192" s="8"/>
      <c r="F192" s="8"/>
      <c r="G192" s="8"/>
    </row>
    <row r="193" spans="2:7">
      <c r="B193" s="8"/>
      <c r="C193" s="8"/>
      <c r="D193" s="8"/>
      <c r="E193" s="8"/>
      <c r="F193" s="8"/>
      <c r="G193" s="8"/>
    </row>
    <row r="194" spans="2:7">
      <c r="B194" s="8"/>
      <c r="C194" s="8"/>
      <c r="D194" s="8"/>
      <c r="E194" s="8"/>
      <c r="F194" s="8"/>
      <c r="G194" s="8"/>
    </row>
    <row r="195" spans="2:7">
      <c r="B195" s="8"/>
      <c r="C195" s="8"/>
      <c r="D195" s="8"/>
      <c r="E195" s="8"/>
      <c r="F195" s="8"/>
      <c r="G195" s="8"/>
    </row>
    <row r="196" spans="2:7">
      <c r="B196" s="8"/>
      <c r="C196" s="8"/>
      <c r="D196" s="8"/>
      <c r="E196" s="8"/>
      <c r="F196" s="8"/>
      <c r="G196" s="8"/>
    </row>
    <row r="197" spans="2:7">
      <c r="B197" s="8"/>
      <c r="C197" s="8"/>
      <c r="D197" s="8"/>
      <c r="E197" s="8"/>
      <c r="F197" s="8"/>
      <c r="G197" s="8"/>
    </row>
    <row r="198" spans="2:7">
      <c r="B198" s="8"/>
      <c r="C198" s="8"/>
      <c r="D198" s="8"/>
      <c r="E198" s="8"/>
      <c r="F198" s="8"/>
      <c r="G198" s="8"/>
    </row>
    <row r="199" spans="2:7">
      <c r="B199" s="8"/>
      <c r="C199" s="8"/>
      <c r="D199" s="8"/>
      <c r="E199" s="8"/>
      <c r="F199" s="8"/>
      <c r="G199" s="8"/>
    </row>
    <row r="200" spans="2:7">
      <c r="B200" s="8"/>
      <c r="C200" s="8"/>
      <c r="D200" s="8"/>
      <c r="E200" s="8"/>
      <c r="F200" s="8"/>
      <c r="G200" s="8"/>
    </row>
    <row r="201" spans="2:7">
      <c r="B201" s="8"/>
      <c r="C201" s="8"/>
      <c r="D201" s="8"/>
      <c r="E201" s="8"/>
      <c r="F201" s="8"/>
      <c r="G201" s="8"/>
    </row>
    <row r="202" spans="2:7">
      <c r="B202" s="8"/>
      <c r="C202" s="8"/>
      <c r="D202" s="8"/>
      <c r="E202" s="8"/>
      <c r="F202" s="8"/>
      <c r="G202" s="8"/>
    </row>
    <row r="203" spans="2:7">
      <c r="B203" s="8"/>
      <c r="C203" s="8"/>
      <c r="D203" s="8"/>
      <c r="E203" s="8"/>
      <c r="F203" s="8"/>
      <c r="G203" s="8"/>
    </row>
    <row r="204" spans="2:7">
      <c r="B204" s="8"/>
      <c r="C204" s="8"/>
      <c r="D204" s="8"/>
      <c r="E204" s="8"/>
      <c r="F204" s="8"/>
      <c r="G204" s="8"/>
    </row>
    <row r="205" spans="2:7">
      <c r="B205" s="8"/>
      <c r="C205" s="8"/>
      <c r="D205" s="8"/>
      <c r="E205" s="8"/>
      <c r="F205" s="8"/>
      <c r="G205" s="8"/>
    </row>
    <row r="206" spans="2:7">
      <c r="B206" s="8"/>
      <c r="C206" s="8"/>
      <c r="D206" s="8"/>
      <c r="E206" s="8"/>
      <c r="F206" s="8"/>
      <c r="G206" s="8"/>
    </row>
    <row r="207" spans="2:7">
      <c r="B207" s="8"/>
      <c r="C207" s="8"/>
      <c r="D207" s="8"/>
      <c r="E207" s="8"/>
      <c r="F207" s="8"/>
      <c r="G207" s="8"/>
    </row>
    <row r="208" spans="2:7">
      <c r="B208" s="8"/>
      <c r="C208" s="8"/>
      <c r="D208" s="8"/>
      <c r="E208" s="8"/>
      <c r="F208" s="8"/>
      <c r="G208" s="8"/>
    </row>
    <row r="209" spans="2:7">
      <c r="B209" s="8"/>
      <c r="C209" s="8"/>
      <c r="D209" s="8"/>
      <c r="E209" s="8"/>
      <c r="F209" s="8"/>
      <c r="G209" s="8"/>
    </row>
    <row r="210" spans="2:7">
      <c r="B210" s="8"/>
      <c r="C210" s="8"/>
      <c r="D210" s="8"/>
      <c r="E210" s="8"/>
      <c r="F210" s="8"/>
      <c r="G210" s="8"/>
    </row>
    <row r="211" spans="2:7">
      <c r="B211" s="8"/>
      <c r="C211" s="8"/>
      <c r="D211" s="8"/>
      <c r="E211" s="8"/>
      <c r="F211" s="8"/>
      <c r="G211" s="8"/>
    </row>
    <row r="212" spans="2:7">
      <c r="B212" s="8"/>
      <c r="C212" s="8"/>
      <c r="D212" s="8"/>
      <c r="E212" s="8"/>
      <c r="F212" s="8"/>
      <c r="G212" s="8"/>
    </row>
    <row r="213" spans="2:7">
      <c r="B213" s="8"/>
      <c r="C213" s="8"/>
      <c r="D213" s="8"/>
      <c r="E213" s="8"/>
      <c r="F213" s="8"/>
      <c r="G213" s="8"/>
    </row>
    <row r="214" spans="2:7">
      <c r="B214" s="8"/>
      <c r="C214" s="8"/>
      <c r="D214" s="8"/>
      <c r="E214" s="8"/>
      <c r="F214" s="8"/>
      <c r="G214" s="8"/>
    </row>
    <row r="215" spans="2:7">
      <c r="B215" s="8"/>
      <c r="C215" s="8"/>
      <c r="D215" s="8"/>
      <c r="E215" s="8"/>
      <c r="F215" s="8"/>
      <c r="G215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1"/>
  </sheetPr>
  <dimension ref="A1:O240"/>
  <sheetViews>
    <sheetView showGridLines="0" zoomScale="110" zoomScaleNormal="110" zoomScalePageLayoutView="85" workbookViewId="0">
      <selection activeCell="K15" sqref="K15"/>
    </sheetView>
  </sheetViews>
  <sheetFormatPr defaultColWidth="9.140625" defaultRowHeight="11.25"/>
  <cols>
    <col min="1" max="1" width="7.28515625" style="16" customWidth="1"/>
    <col min="2" max="2" width="6.85546875" style="16" bestFit="1" customWidth="1"/>
    <col min="3" max="3" width="13.28515625" style="16" customWidth="1"/>
    <col min="4" max="4" width="10.7109375" style="16" customWidth="1"/>
    <col min="5" max="5" width="13.7109375" style="16" bestFit="1" customWidth="1"/>
    <col min="6" max="6" width="18.85546875" style="16" bestFit="1" customWidth="1"/>
    <col min="7" max="7" width="11.28515625" style="16" bestFit="1" customWidth="1"/>
    <col min="8" max="8" width="9.425781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40625" style="16" bestFit="1" customWidth="1"/>
    <col min="14" max="14" width="20.140625" style="16" customWidth="1"/>
    <col min="15" max="15" width="11.28515625" style="30" bestFit="1" customWidth="1"/>
    <col min="16" max="16384" width="9.140625" style="16"/>
  </cols>
  <sheetData>
    <row r="1" spans="1:15" ht="21.75" customHeight="1">
      <c r="A1" s="166" t="s">
        <v>44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5" ht="21.75" customHeight="1">
      <c r="A2" s="167">
        <v>41883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</row>
    <row r="3" spans="1:15" ht="21.75" customHeight="1" thickBot="1">
      <c r="A3" s="31"/>
      <c r="B3" s="32"/>
      <c r="C3" s="33"/>
      <c r="D3" s="34"/>
      <c r="E3" s="33"/>
      <c r="F3" s="33"/>
      <c r="G3" s="33"/>
      <c r="H3" s="33"/>
      <c r="I3" s="33"/>
      <c r="J3" s="33"/>
      <c r="K3" s="35"/>
      <c r="L3" s="34"/>
      <c r="M3" s="33"/>
      <c r="N3" s="30"/>
      <c r="O3" s="16"/>
    </row>
    <row r="4" spans="1:15" ht="21.75" customHeight="1" thickBot="1">
      <c r="A4" s="36" t="s">
        <v>26</v>
      </c>
      <c r="B4" s="37" t="s">
        <v>27</v>
      </c>
      <c r="C4" s="168" t="s">
        <v>28</v>
      </c>
      <c r="D4" s="36" t="s">
        <v>29</v>
      </c>
      <c r="E4" s="168" t="s">
        <v>30</v>
      </c>
      <c r="F4" s="36" t="s">
        <v>31</v>
      </c>
      <c r="G4" s="38"/>
      <c r="H4" s="38" t="s">
        <v>32</v>
      </c>
      <c r="I4" s="39"/>
      <c r="J4" s="38"/>
      <c r="K4" s="40"/>
      <c r="L4" s="36"/>
      <c r="M4" s="170" t="s">
        <v>33</v>
      </c>
      <c r="N4" s="30"/>
      <c r="O4" s="16"/>
    </row>
    <row r="5" spans="1:15" ht="21.75" customHeight="1" thickBot="1">
      <c r="A5" s="41" t="s">
        <v>34</v>
      </c>
      <c r="B5" s="42" t="s">
        <v>35</v>
      </c>
      <c r="C5" s="169"/>
      <c r="D5" s="41" t="s">
        <v>36</v>
      </c>
      <c r="E5" s="169"/>
      <c r="F5" s="41" t="s">
        <v>37</v>
      </c>
      <c r="G5" s="41" t="s">
        <v>38</v>
      </c>
      <c r="H5" s="41" t="s">
        <v>39</v>
      </c>
      <c r="I5" s="41" t="s">
        <v>40</v>
      </c>
      <c r="J5" s="41" t="s">
        <v>41</v>
      </c>
      <c r="K5" s="43" t="s">
        <v>42</v>
      </c>
      <c r="L5" s="41" t="s">
        <v>43</v>
      </c>
      <c r="M5" s="171"/>
      <c r="N5" s="30"/>
      <c r="O5" s="16"/>
    </row>
    <row r="6" spans="1:15" ht="21.75" customHeight="1">
      <c r="A6" s="54" t="s">
        <v>47</v>
      </c>
      <c r="B6" s="54" t="s">
        <v>46</v>
      </c>
      <c r="C6" s="129" t="s">
        <v>98</v>
      </c>
      <c r="D6" s="130">
        <v>41880</v>
      </c>
      <c r="E6" s="129" t="s">
        <v>100</v>
      </c>
      <c r="F6" s="129" t="s">
        <v>48</v>
      </c>
      <c r="G6" s="57">
        <v>949889</v>
      </c>
      <c r="H6" s="131">
        <v>949652</v>
      </c>
      <c r="I6" s="56"/>
      <c r="J6" s="56">
        <v>131501</v>
      </c>
      <c r="K6" s="132">
        <v>30.6</v>
      </c>
      <c r="L6" s="123">
        <v>41679</v>
      </c>
      <c r="M6" s="133" t="s">
        <v>99</v>
      </c>
      <c r="N6" s="30"/>
      <c r="O6" s="16"/>
    </row>
    <row r="7" spans="1:15" ht="21.75" customHeight="1">
      <c r="A7" s="54"/>
      <c r="B7" s="54"/>
      <c r="C7" s="54"/>
      <c r="D7" s="54"/>
      <c r="E7" s="54"/>
      <c r="F7" s="54"/>
      <c r="G7" s="57"/>
      <c r="H7" s="56"/>
      <c r="I7" s="56"/>
      <c r="J7" s="56"/>
      <c r="K7" s="58"/>
      <c r="L7" s="55"/>
      <c r="M7" s="54"/>
      <c r="N7" s="30"/>
      <c r="O7" s="16"/>
    </row>
    <row r="8" spans="1:15" ht="21.75" customHeight="1" thickBot="1">
      <c r="A8" s="54"/>
      <c r="B8" s="54"/>
      <c r="C8" s="54"/>
      <c r="D8" s="54"/>
      <c r="E8" s="54"/>
      <c r="F8" s="54"/>
      <c r="G8" s="57"/>
      <c r="H8" s="56"/>
      <c r="I8" s="56"/>
      <c r="J8" s="56"/>
      <c r="K8" s="58"/>
      <c r="L8" s="55"/>
      <c r="M8" s="54"/>
      <c r="N8" s="30"/>
      <c r="O8" s="16"/>
    </row>
    <row r="9" spans="1:15" ht="12.75" thickTop="1" thickBot="1">
      <c r="A9" s="165" t="s">
        <v>45</v>
      </c>
      <c r="B9" s="165"/>
      <c r="C9" s="165"/>
      <c r="D9" s="165"/>
      <c r="E9" s="165"/>
      <c r="F9" s="165"/>
      <c r="G9" s="44">
        <f>SUM(G6:G8)</f>
        <v>949889</v>
      </c>
      <c r="H9" s="44">
        <f t="shared" ref="H9:J9" si="0">SUM(H6:H8)</f>
        <v>949652</v>
      </c>
      <c r="I9" s="44">
        <f t="shared" si="0"/>
        <v>0</v>
      </c>
      <c r="J9" s="44">
        <f t="shared" si="0"/>
        <v>131501</v>
      </c>
      <c r="K9" s="44"/>
      <c r="L9" s="44"/>
      <c r="M9" s="45"/>
    </row>
    <row r="10" spans="1:15">
      <c r="A10" s="48"/>
      <c r="B10" s="48"/>
      <c r="C10" s="48"/>
      <c r="D10" s="48"/>
      <c r="E10" s="48"/>
      <c r="F10" s="48"/>
      <c r="G10" s="48"/>
      <c r="H10" s="48"/>
      <c r="I10" s="48"/>
    </row>
    <row r="11" spans="1:15">
      <c r="A11" s="49"/>
      <c r="B11" s="49"/>
      <c r="C11" s="49"/>
      <c r="D11" s="49"/>
      <c r="E11" s="49"/>
      <c r="F11" s="49"/>
      <c r="G11" s="49"/>
      <c r="H11" s="49"/>
      <c r="I11" s="49"/>
    </row>
    <row r="12" spans="1:15">
      <c r="A12" s="50"/>
      <c r="B12" s="51"/>
      <c r="C12" s="51"/>
      <c r="D12" s="51"/>
      <c r="E12" s="51"/>
      <c r="F12" s="51"/>
      <c r="G12" s="51"/>
      <c r="H12" s="51"/>
      <c r="I12" s="51"/>
    </row>
    <row r="13" spans="1:15">
      <c r="A13" s="50"/>
      <c r="B13" s="51"/>
      <c r="C13" s="51"/>
      <c r="D13" s="51"/>
      <c r="E13" s="51"/>
      <c r="F13" s="51"/>
      <c r="G13" s="51"/>
      <c r="H13" s="51"/>
      <c r="I13" s="51"/>
    </row>
    <row r="14" spans="1:15">
      <c r="A14" s="50"/>
      <c r="B14" s="51"/>
      <c r="C14" s="51"/>
      <c r="D14" s="51"/>
      <c r="E14" s="51"/>
      <c r="F14" s="51"/>
      <c r="G14" s="51"/>
      <c r="H14" s="51"/>
      <c r="I14" s="51"/>
    </row>
    <row r="15" spans="1:15">
      <c r="A15" s="50"/>
      <c r="B15" s="51"/>
      <c r="C15" s="51"/>
      <c r="D15" s="51"/>
      <c r="E15" s="51"/>
      <c r="F15" s="51"/>
      <c r="G15" s="51"/>
      <c r="H15" s="51"/>
      <c r="I15" s="51"/>
    </row>
    <row r="16" spans="1:15">
      <c r="A16" s="50"/>
      <c r="B16" s="51"/>
      <c r="C16" s="51"/>
      <c r="D16" s="51"/>
      <c r="E16" s="51"/>
      <c r="F16" s="51"/>
      <c r="G16" s="51"/>
      <c r="H16" s="51"/>
      <c r="I16" s="51"/>
    </row>
    <row r="17" spans="1:9" ht="20.25" customHeight="1">
      <c r="A17" s="50"/>
      <c r="B17" s="51"/>
      <c r="C17" s="51"/>
      <c r="D17" s="51"/>
      <c r="E17" s="51"/>
      <c r="F17" s="51"/>
      <c r="G17" s="51"/>
      <c r="H17" s="51"/>
      <c r="I17" s="51"/>
    </row>
    <row r="18" spans="1:9" ht="20.25" customHeight="1">
      <c r="A18" s="50"/>
      <c r="B18" s="51"/>
      <c r="C18" s="51"/>
      <c r="D18" s="51"/>
      <c r="E18" s="51"/>
      <c r="F18" s="51"/>
      <c r="G18" s="51"/>
      <c r="H18" s="51"/>
      <c r="I18" s="51"/>
    </row>
    <row r="19" spans="1:9" ht="20.25" customHeight="1">
      <c r="A19" s="52"/>
      <c r="B19" s="51"/>
      <c r="C19" s="51"/>
      <c r="D19" s="51"/>
      <c r="E19" s="51"/>
      <c r="F19" s="51"/>
      <c r="G19" s="51"/>
      <c r="H19" s="51"/>
      <c r="I19" s="51"/>
    </row>
    <row r="20" spans="1:9" ht="20.25" customHeight="1">
      <c r="A20" s="52"/>
      <c r="B20" s="52"/>
      <c r="C20" s="52"/>
      <c r="D20" s="52"/>
      <c r="E20" s="52"/>
      <c r="F20" s="52"/>
      <c r="G20" s="52"/>
      <c r="H20" s="52"/>
      <c r="I20" s="52"/>
    </row>
    <row r="21" spans="1:9" ht="20.25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spans="1:9">
      <c r="A22" s="47"/>
      <c r="B22" s="47"/>
      <c r="C22" s="47"/>
      <c r="D22" s="47"/>
      <c r="E22" s="47"/>
      <c r="F22" s="47"/>
      <c r="G22" s="47"/>
      <c r="H22" s="47"/>
      <c r="I22" s="48"/>
    </row>
    <row r="23" spans="1:9">
      <c r="A23" s="48"/>
      <c r="B23" s="48"/>
      <c r="C23" s="48"/>
      <c r="D23" s="48"/>
      <c r="E23" s="48"/>
      <c r="F23" s="48"/>
      <c r="G23" s="48"/>
      <c r="H23" s="48"/>
      <c r="I23" s="48"/>
    </row>
    <row r="24" spans="1:9">
      <c r="A24" s="48"/>
      <c r="B24" s="48"/>
      <c r="C24" s="48"/>
      <c r="D24" s="48"/>
      <c r="E24" s="48"/>
      <c r="F24" s="48"/>
      <c r="G24" s="48"/>
      <c r="H24" s="48"/>
      <c r="I24" s="48"/>
    </row>
    <row r="25" spans="1:9">
      <c r="A25" s="48"/>
      <c r="B25" s="48"/>
      <c r="C25" s="48"/>
      <c r="D25" s="48"/>
      <c r="E25" s="48"/>
      <c r="F25" s="48"/>
      <c r="G25" s="48"/>
      <c r="H25" s="48"/>
      <c r="I25" s="48"/>
    </row>
    <row r="26" spans="1:9">
      <c r="A26" s="48"/>
      <c r="B26" s="48"/>
      <c r="C26" s="48"/>
      <c r="D26" s="48"/>
      <c r="E26" s="48"/>
      <c r="F26" s="48"/>
      <c r="G26" s="48"/>
      <c r="H26" s="48"/>
      <c r="I26" s="48"/>
    </row>
    <row r="27" spans="1:9">
      <c r="A27" s="48"/>
      <c r="B27" s="48"/>
      <c r="C27" s="48"/>
      <c r="D27" s="48"/>
      <c r="E27" s="48"/>
      <c r="F27" s="48"/>
      <c r="G27" s="48"/>
      <c r="H27" s="48"/>
      <c r="I27" s="48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48"/>
      <c r="B29" s="48"/>
      <c r="C29" s="48"/>
      <c r="D29" s="48"/>
      <c r="E29" s="48"/>
      <c r="F29" s="48"/>
      <c r="G29" s="48"/>
      <c r="H29" s="48"/>
      <c r="I29" s="48"/>
    </row>
    <row r="30" spans="1:9">
      <c r="A30" s="29"/>
      <c r="B30" s="29"/>
      <c r="C30" s="29"/>
      <c r="D30" s="29"/>
      <c r="E30" s="29"/>
      <c r="F30" s="29"/>
      <c r="G30" s="29"/>
      <c r="H30" s="29"/>
      <c r="I30" s="29"/>
    </row>
    <row r="31" spans="1:9">
      <c r="A31" s="29"/>
      <c r="B31" s="29"/>
      <c r="C31" s="29"/>
      <c r="D31" s="29"/>
      <c r="E31" s="29"/>
      <c r="F31" s="29"/>
      <c r="G31" s="29"/>
      <c r="H31" s="29"/>
      <c r="I31" s="29"/>
    </row>
    <row r="32" spans="1:9">
      <c r="A32" s="29"/>
      <c r="B32" s="29"/>
      <c r="C32" s="29"/>
      <c r="D32" s="29"/>
      <c r="E32" s="29"/>
      <c r="F32" s="29"/>
      <c r="G32" s="29"/>
      <c r="H32" s="29"/>
      <c r="I32" s="29"/>
    </row>
    <row r="33" spans="1:9">
      <c r="A33" s="29"/>
      <c r="B33" s="29"/>
      <c r="C33" s="29"/>
      <c r="D33" s="29"/>
      <c r="E33" s="29"/>
      <c r="F33" s="29"/>
      <c r="G33" s="29"/>
      <c r="H33" s="29"/>
      <c r="I33" s="29"/>
    </row>
    <row r="34" spans="1:9">
      <c r="A34" s="29"/>
      <c r="B34" s="29"/>
      <c r="C34" s="29"/>
      <c r="D34" s="29"/>
      <c r="E34" s="29"/>
      <c r="F34" s="29"/>
      <c r="G34" s="29"/>
      <c r="H34" s="29"/>
      <c r="I34" s="29"/>
    </row>
    <row r="35" spans="1:9">
      <c r="A35" s="29"/>
      <c r="B35" s="29"/>
      <c r="C35" s="29"/>
      <c r="D35" s="29"/>
      <c r="E35" s="29"/>
      <c r="F35" s="29"/>
      <c r="G35" s="29"/>
      <c r="H35" s="29"/>
      <c r="I35" s="29"/>
    </row>
    <row r="36" spans="1:9">
      <c r="A36" s="29"/>
      <c r="B36" s="29"/>
      <c r="C36" s="29"/>
      <c r="D36" s="29"/>
      <c r="E36" s="29"/>
      <c r="F36" s="29"/>
      <c r="G36" s="29"/>
      <c r="H36" s="29"/>
      <c r="I36" s="29"/>
    </row>
    <row r="37" spans="1:9">
      <c r="A37" s="29"/>
      <c r="B37" s="29"/>
      <c r="C37" s="29"/>
      <c r="D37" s="29"/>
      <c r="E37" s="29"/>
      <c r="F37" s="29"/>
      <c r="G37" s="29"/>
      <c r="H37" s="29"/>
      <c r="I37" s="29"/>
    </row>
    <row r="38" spans="1:9">
      <c r="A38" s="29"/>
      <c r="B38" s="29"/>
      <c r="C38" s="29"/>
      <c r="D38" s="29"/>
      <c r="E38" s="29"/>
      <c r="F38" s="29"/>
      <c r="G38" s="29"/>
      <c r="H38" s="29"/>
      <c r="I38" s="29"/>
    </row>
    <row r="39" spans="1:9">
      <c r="A39" s="29"/>
      <c r="B39" s="29"/>
      <c r="C39" s="29"/>
      <c r="D39" s="29"/>
      <c r="E39" s="29"/>
      <c r="F39" s="29"/>
      <c r="G39" s="29"/>
      <c r="H39" s="29"/>
      <c r="I39" s="29"/>
    </row>
    <row r="40" spans="1:9">
      <c r="A40" s="29"/>
      <c r="B40" s="29"/>
      <c r="C40" s="29"/>
      <c r="D40" s="29"/>
      <c r="E40" s="29"/>
      <c r="F40" s="29"/>
      <c r="G40" s="29"/>
      <c r="H40" s="29"/>
      <c r="I40" s="29"/>
    </row>
    <row r="41" spans="1:9">
      <c r="A41" s="29"/>
      <c r="B41" s="29"/>
      <c r="C41" s="29"/>
      <c r="D41" s="29"/>
      <c r="E41" s="29"/>
      <c r="F41" s="29"/>
      <c r="G41" s="29"/>
      <c r="H41" s="29"/>
      <c r="I41" s="29"/>
    </row>
    <row r="42" spans="1:9">
      <c r="A42" s="29"/>
      <c r="B42" s="29"/>
      <c r="C42" s="29"/>
      <c r="D42" s="29"/>
      <c r="E42" s="29"/>
      <c r="F42" s="29"/>
      <c r="G42" s="29"/>
      <c r="H42" s="29"/>
      <c r="I42" s="29"/>
    </row>
    <row r="43" spans="1:9">
      <c r="A43" s="29"/>
      <c r="B43" s="29"/>
      <c r="C43" s="29"/>
      <c r="D43" s="29"/>
      <c r="E43" s="29"/>
      <c r="F43" s="29"/>
      <c r="G43" s="29"/>
      <c r="H43" s="29"/>
      <c r="I43" s="29"/>
    </row>
    <row r="44" spans="1:9">
      <c r="A44" s="29"/>
      <c r="B44" s="29"/>
      <c r="C44" s="29"/>
      <c r="D44" s="29"/>
      <c r="E44" s="29"/>
      <c r="F44" s="29"/>
      <c r="G44" s="29"/>
      <c r="H44" s="29"/>
      <c r="I44" s="29"/>
    </row>
    <row r="45" spans="1:9">
      <c r="A45" s="29"/>
      <c r="B45" s="29"/>
      <c r="C45" s="29"/>
      <c r="D45" s="29"/>
      <c r="E45" s="29"/>
      <c r="F45" s="29"/>
      <c r="G45" s="29"/>
      <c r="H45" s="29"/>
      <c r="I45" s="29"/>
    </row>
    <row r="46" spans="1:9">
      <c r="A46" s="29"/>
      <c r="B46" s="29"/>
      <c r="C46" s="29"/>
      <c r="D46" s="29"/>
      <c r="E46" s="29"/>
      <c r="F46" s="29"/>
      <c r="G46" s="29"/>
      <c r="H46" s="29"/>
      <c r="I46" s="29"/>
    </row>
    <row r="47" spans="1:9">
      <c r="A47" s="29"/>
      <c r="B47" s="29"/>
      <c r="C47" s="29"/>
      <c r="D47" s="29"/>
      <c r="E47" s="29"/>
      <c r="F47" s="29"/>
      <c r="G47" s="29"/>
      <c r="H47" s="29"/>
      <c r="I47" s="29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53"/>
      <c r="B50" s="53"/>
      <c r="C50" s="53"/>
      <c r="D50" s="53"/>
      <c r="E50" s="53"/>
      <c r="F50" s="53"/>
      <c r="G50" s="53"/>
      <c r="H50" s="53"/>
      <c r="I50" s="53"/>
    </row>
    <row r="51" spans="1:9">
      <c r="A51" s="48"/>
      <c r="B51" s="48"/>
      <c r="C51" s="48"/>
      <c r="D51" s="48"/>
      <c r="E51" s="48"/>
      <c r="F51" s="48"/>
      <c r="G51" s="48"/>
      <c r="H51" s="29"/>
      <c r="I51" s="48"/>
    </row>
    <row r="52" spans="1:9">
      <c r="A52" s="48"/>
      <c r="B52" s="48"/>
      <c r="C52" s="48"/>
      <c r="D52" s="48"/>
      <c r="E52" s="48"/>
      <c r="F52" s="48"/>
      <c r="G52" s="48"/>
      <c r="H52" s="48"/>
      <c r="I52" s="48"/>
    </row>
    <row r="53" spans="1:9">
      <c r="A53" s="48"/>
      <c r="B53" s="48"/>
      <c r="C53" s="48"/>
      <c r="D53" s="48"/>
      <c r="E53" s="48"/>
      <c r="F53" s="48"/>
      <c r="G53" s="48"/>
      <c r="H53" s="48"/>
      <c r="I53" s="48"/>
    </row>
    <row r="54" spans="1:9">
      <c r="A54" s="48"/>
      <c r="B54" s="48"/>
      <c r="C54" s="48"/>
      <c r="D54" s="48"/>
      <c r="E54" s="48"/>
      <c r="F54" s="48"/>
      <c r="G54" s="48"/>
      <c r="H54" s="48"/>
      <c r="I54" s="48"/>
    </row>
    <row r="55" spans="1:9">
      <c r="A55" s="48"/>
      <c r="B55" s="48"/>
      <c r="C55" s="48"/>
      <c r="D55" s="48"/>
      <c r="E55" s="48"/>
      <c r="F55" s="48"/>
      <c r="G55" s="48"/>
      <c r="H55" s="48"/>
      <c r="I55" s="48"/>
    </row>
    <row r="56" spans="1:9">
      <c r="A56" s="48"/>
      <c r="B56" s="48"/>
      <c r="C56" s="48"/>
      <c r="D56" s="48"/>
      <c r="E56" s="48"/>
      <c r="F56" s="48"/>
      <c r="G56" s="48"/>
      <c r="H56" s="48"/>
      <c r="I56" s="48"/>
    </row>
    <row r="57" spans="1:9">
      <c r="A57" s="48"/>
      <c r="B57" s="48"/>
      <c r="C57" s="48"/>
      <c r="D57" s="48"/>
      <c r="E57" s="48"/>
      <c r="F57" s="48"/>
      <c r="G57" s="48"/>
      <c r="H57" s="48"/>
      <c r="I57" s="48"/>
    </row>
    <row r="58" spans="1:9">
      <c r="A58" s="48"/>
      <c r="B58" s="48"/>
      <c r="C58" s="48"/>
      <c r="D58" s="48"/>
      <c r="E58" s="48"/>
      <c r="F58" s="48"/>
      <c r="G58" s="48"/>
      <c r="H58" s="48"/>
      <c r="I58" s="48"/>
    </row>
    <row r="59" spans="1:9">
      <c r="A59" s="48"/>
      <c r="B59" s="48"/>
      <c r="C59" s="48"/>
      <c r="D59" s="48"/>
      <c r="E59" s="48"/>
      <c r="F59" s="48"/>
      <c r="G59" s="48"/>
      <c r="H59" s="48"/>
      <c r="I59" s="48"/>
    </row>
    <row r="60" spans="1:9">
      <c r="A60" s="48"/>
      <c r="B60" s="48"/>
      <c r="C60" s="48"/>
      <c r="D60" s="48"/>
      <c r="E60" s="48"/>
      <c r="F60" s="48"/>
      <c r="G60" s="48"/>
      <c r="H60" s="48"/>
      <c r="I60" s="48"/>
    </row>
    <row r="61" spans="1:9">
      <c r="A61" s="46"/>
      <c r="B61" s="47"/>
      <c r="C61" s="47"/>
      <c r="D61" s="47"/>
      <c r="E61" s="47"/>
      <c r="F61" s="47"/>
      <c r="G61" s="47"/>
      <c r="H61" s="47"/>
      <c r="I61" s="47"/>
    </row>
    <row r="62" spans="1:9">
      <c r="A62" s="48"/>
      <c r="B62" s="48"/>
      <c r="C62" s="48"/>
      <c r="D62" s="48"/>
      <c r="E62" s="48"/>
      <c r="F62" s="48"/>
      <c r="G62" s="48"/>
      <c r="H62" s="48"/>
      <c r="I62" s="48"/>
    </row>
    <row r="63" spans="1:9">
      <c r="A63" s="48"/>
      <c r="B63" s="48"/>
      <c r="C63" s="48"/>
      <c r="D63" s="48"/>
      <c r="E63" s="48"/>
      <c r="F63" s="48"/>
      <c r="G63" s="48"/>
      <c r="H63" s="48"/>
      <c r="I63" s="48"/>
    </row>
    <row r="64" spans="1:9">
      <c r="A64" s="48"/>
      <c r="B64" s="48"/>
      <c r="C64" s="48"/>
      <c r="D64" s="48"/>
      <c r="E64" s="48"/>
      <c r="F64" s="48"/>
      <c r="G64" s="48"/>
      <c r="H64" s="48"/>
      <c r="I64" s="48"/>
    </row>
    <row r="65" spans="1:9">
      <c r="A65" s="48"/>
      <c r="B65" s="48"/>
      <c r="C65" s="48"/>
      <c r="D65" s="48"/>
      <c r="E65" s="48"/>
      <c r="F65" s="48"/>
      <c r="G65" s="48"/>
      <c r="H65" s="48"/>
      <c r="I65" s="48"/>
    </row>
    <row r="66" spans="1:9">
      <c r="A66" s="49"/>
      <c r="B66" s="49"/>
      <c r="C66" s="49"/>
      <c r="D66" s="49"/>
      <c r="E66" s="49"/>
      <c r="F66" s="49"/>
      <c r="G66" s="49"/>
      <c r="H66" s="49"/>
      <c r="I66" s="49"/>
    </row>
    <row r="67" spans="1:9">
      <c r="A67" s="50"/>
      <c r="B67" s="51"/>
      <c r="C67" s="51"/>
      <c r="D67" s="51"/>
      <c r="E67" s="51"/>
      <c r="F67" s="51"/>
      <c r="G67" s="51"/>
      <c r="H67" s="51"/>
      <c r="I67" s="51"/>
    </row>
    <row r="68" spans="1:9">
      <c r="A68" s="52"/>
      <c r="B68" s="51"/>
      <c r="C68" s="51"/>
      <c r="D68" s="51"/>
      <c r="E68" s="51"/>
      <c r="F68" s="51"/>
      <c r="G68" s="51"/>
      <c r="H68" s="51"/>
      <c r="I68" s="51"/>
    </row>
    <row r="69" spans="1:9">
      <c r="A69" s="52"/>
      <c r="B69" s="52"/>
      <c r="C69" s="52"/>
      <c r="D69" s="52"/>
      <c r="E69" s="52"/>
      <c r="F69" s="52"/>
      <c r="G69" s="52"/>
      <c r="H69" s="52"/>
      <c r="I69" s="52"/>
    </row>
    <row r="70" spans="1:9">
      <c r="A70" s="48"/>
      <c r="B70" s="48"/>
      <c r="C70" s="48"/>
      <c r="D70" s="48"/>
      <c r="E70" s="48"/>
      <c r="F70" s="48"/>
      <c r="G70" s="48"/>
      <c r="H70" s="48"/>
      <c r="I70" s="48"/>
    </row>
    <row r="71" spans="1:9">
      <c r="A71" s="47"/>
      <c r="B71" s="47"/>
      <c r="C71" s="47"/>
      <c r="D71" s="47"/>
      <c r="E71" s="47"/>
      <c r="F71" s="47"/>
      <c r="G71" s="47"/>
      <c r="H71" s="47"/>
      <c r="I71" s="48"/>
    </row>
    <row r="72" spans="1:9">
      <c r="A72" s="48"/>
      <c r="B72" s="48"/>
      <c r="C72" s="48"/>
      <c r="D72" s="48"/>
      <c r="E72" s="48"/>
      <c r="F72" s="48"/>
      <c r="G72" s="48"/>
      <c r="H72" s="48"/>
      <c r="I72" s="48"/>
    </row>
    <row r="73" spans="1:9">
      <c r="A73" s="48"/>
      <c r="B73" s="48"/>
      <c r="C73" s="48"/>
      <c r="D73" s="48"/>
      <c r="E73" s="48"/>
      <c r="F73" s="48"/>
      <c r="G73" s="48"/>
      <c r="H73" s="48"/>
      <c r="I73" s="48"/>
    </row>
    <row r="74" spans="1:9">
      <c r="A74" s="48"/>
      <c r="B74" s="48"/>
      <c r="C74" s="48"/>
      <c r="D74" s="48"/>
      <c r="E74" s="48"/>
      <c r="F74" s="48"/>
      <c r="G74" s="48"/>
      <c r="H74" s="48"/>
      <c r="I74" s="48"/>
    </row>
    <row r="75" spans="1:9">
      <c r="A75" s="48"/>
      <c r="B75" s="48"/>
      <c r="C75" s="48"/>
      <c r="D75" s="48"/>
      <c r="E75" s="48"/>
      <c r="F75" s="48"/>
      <c r="G75" s="48"/>
      <c r="H75" s="48"/>
      <c r="I75" s="48"/>
    </row>
    <row r="76" spans="1:9">
      <c r="A76" s="48"/>
      <c r="B76" s="48"/>
      <c r="C76" s="48"/>
      <c r="D76" s="48"/>
      <c r="E76" s="48"/>
      <c r="F76" s="48"/>
      <c r="G76" s="48"/>
      <c r="H76" s="48"/>
      <c r="I76" s="48"/>
    </row>
    <row r="77" spans="1:9">
      <c r="A77" s="47"/>
      <c r="B77" s="47"/>
      <c r="C77" s="47"/>
      <c r="D77" s="47"/>
      <c r="E77" s="47"/>
      <c r="F77" s="47"/>
      <c r="G77" s="47"/>
      <c r="H77" s="47"/>
      <c r="I77" s="47"/>
    </row>
    <row r="78" spans="1:9">
      <c r="A78" s="48"/>
      <c r="B78" s="48"/>
      <c r="C78" s="48"/>
      <c r="D78" s="48"/>
      <c r="E78" s="48"/>
      <c r="F78" s="48"/>
      <c r="G78" s="48"/>
      <c r="H78" s="48"/>
      <c r="I78" s="48"/>
    </row>
    <row r="79" spans="1:9">
      <c r="A79" s="48"/>
      <c r="B79" s="48"/>
      <c r="C79" s="48"/>
      <c r="D79" s="48"/>
      <c r="E79" s="48"/>
      <c r="F79" s="48"/>
      <c r="G79" s="48"/>
      <c r="H79" s="48"/>
      <c r="I79" s="48"/>
    </row>
    <row r="80" spans="1:9">
      <c r="A80" s="48"/>
      <c r="B80" s="48"/>
      <c r="C80" s="48"/>
      <c r="D80" s="48"/>
      <c r="E80" s="48"/>
      <c r="F80" s="48"/>
      <c r="G80" s="48"/>
      <c r="H80" s="48"/>
      <c r="I80" s="48"/>
    </row>
    <row r="81" spans="1:9">
      <c r="A81" s="48"/>
      <c r="B81" s="48"/>
      <c r="C81" s="48"/>
      <c r="D81" s="48"/>
      <c r="E81" s="48"/>
      <c r="F81" s="48"/>
      <c r="G81" s="48"/>
      <c r="H81" s="48"/>
      <c r="I81" s="48"/>
    </row>
    <row r="82" spans="1:9">
      <c r="A82" s="48"/>
      <c r="B82" s="48"/>
      <c r="C82" s="48"/>
      <c r="D82" s="48"/>
      <c r="E82" s="48"/>
      <c r="F82" s="48"/>
      <c r="G82" s="48"/>
      <c r="H82" s="48"/>
      <c r="I82" s="48"/>
    </row>
    <row r="83" spans="1:9">
      <c r="A83" s="48"/>
      <c r="B83" s="48"/>
      <c r="C83" s="48"/>
      <c r="D83" s="48"/>
      <c r="E83" s="48"/>
      <c r="F83" s="48"/>
      <c r="G83" s="48"/>
      <c r="H83" s="48"/>
      <c r="I83" s="48"/>
    </row>
    <row r="84" spans="1:9">
      <c r="A84" s="48"/>
      <c r="B84" s="48"/>
      <c r="C84" s="48"/>
      <c r="D84" s="48"/>
      <c r="E84" s="48"/>
      <c r="F84" s="48"/>
      <c r="G84" s="48"/>
      <c r="H84" s="48"/>
      <c r="I84" s="48"/>
    </row>
    <row r="85" spans="1:9">
      <c r="A85" s="48"/>
      <c r="B85" s="48"/>
      <c r="C85" s="48"/>
      <c r="D85" s="48"/>
      <c r="E85" s="48"/>
      <c r="F85" s="48"/>
      <c r="G85" s="48"/>
      <c r="H85" s="48"/>
      <c r="I85" s="48"/>
    </row>
    <row r="86" spans="1:9">
      <c r="A86" s="48"/>
      <c r="B86" s="48"/>
      <c r="C86" s="48"/>
      <c r="D86" s="48"/>
      <c r="E86" s="48"/>
      <c r="F86" s="48"/>
      <c r="G86" s="48"/>
      <c r="H86" s="48"/>
      <c r="I86" s="48"/>
    </row>
    <row r="87" spans="1:9">
      <c r="A87" s="48"/>
      <c r="B87" s="48"/>
      <c r="C87" s="48"/>
      <c r="D87" s="48"/>
      <c r="E87" s="48"/>
      <c r="F87" s="48"/>
      <c r="G87" s="48"/>
      <c r="H87" s="48"/>
      <c r="I87" s="48"/>
    </row>
    <row r="88" spans="1:9">
      <c r="A88" s="48"/>
      <c r="B88" s="48"/>
      <c r="C88" s="48"/>
      <c r="D88" s="48"/>
      <c r="E88" s="48"/>
      <c r="F88" s="48"/>
      <c r="G88" s="48"/>
      <c r="H88" s="48"/>
      <c r="I88" s="48"/>
    </row>
    <row r="89" spans="1:9">
      <c r="A89" s="29"/>
      <c r="B89" s="29"/>
      <c r="C89" s="29"/>
      <c r="D89" s="29"/>
      <c r="E89" s="29"/>
      <c r="F89" s="29"/>
      <c r="G89" s="29"/>
      <c r="H89" s="29"/>
      <c r="I89" s="29"/>
    </row>
    <row r="90" spans="1:9">
      <c r="A90" s="29"/>
      <c r="B90" s="29"/>
      <c r="C90" s="29"/>
      <c r="D90" s="29"/>
      <c r="E90" s="29"/>
      <c r="F90" s="29"/>
      <c r="G90" s="29"/>
      <c r="H90" s="29"/>
      <c r="I90" s="29"/>
    </row>
    <row r="91" spans="1:9">
      <c r="A91" s="29"/>
      <c r="B91" s="29"/>
      <c r="C91" s="29"/>
      <c r="D91" s="29"/>
      <c r="E91" s="29"/>
      <c r="F91" s="29"/>
      <c r="G91" s="29"/>
      <c r="H91" s="29"/>
      <c r="I91" s="29"/>
    </row>
    <row r="92" spans="1:9">
      <c r="A92" s="29"/>
      <c r="B92" s="29"/>
      <c r="C92" s="29"/>
      <c r="D92" s="29"/>
      <c r="E92" s="29"/>
      <c r="F92" s="29"/>
      <c r="G92" s="29"/>
      <c r="H92" s="29"/>
      <c r="I92" s="29"/>
    </row>
    <row r="93" spans="1:9">
      <c r="A93" s="29"/>
      <c r="B93" s="29"/>
      <c r="C93" s="29"/>
      <c r="D93" s="29"/>
      <c r="E93" s="29"/>
      <c r="F93" s="29"/>
      <c r="G93" s="29"/>
      <c r="H93" s="29"/>
      <c r="I93" s="29"/>
    </row>
    <row r="94" spans="1:9">
      <c r="A94" s="29"/>
      <c r="B94" s="29"/>
      <c r="C94" s="29"/>
      <c r="D94" s="29"/>
      <c r="E94" s="29"/>
      <c r="F94" s="29"/>
      <c r="G94" s="29"/>
      <c r="H94" s="29"/>
      <c r="I94" s="29"/>
    </row>
    <row r="95" spans="1:9">
      <c r="A95" s="29"/>
      <c r="B95" s="29"/>
      <c r="C95" s="29"/>
      <c r="D95" s="29"/>
      <c r="E95" s="29"/>
      <c r="F95" s="29"/>
      <c r="G95" s="29"/>
      <c r="H95" s="29"/>
      <c r="I95" s="29"/>
    </row>
    <row r="96" spans="1:9">
      <c r="A96" s="29"/>
      <c r="B96" s="29"/>
      <c r="C96" s="29"/>
      <c r="D96" s="29"/>
      <c r="E96" s="29"/>
      <c r="F96" s="29"/>
      <c r="G96" s="29"/>
      <c r="H96" s="29"/>
      <c r="I96" s="29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53"/>
      <c r="B99" s="53"/>
      <c r="C99" s="53"/>
      <c r="D99" s="53"/>
      <c r="E99" s="53"/>
      <c r="F99" s="53"/>
      <c r="G99" s="53"/>
      <c r="H99" s="53"/>
      <c r="I99" s="53"/>
    </row>
    <row r="100" spans="1:9">
      <c r="A100" s="48"/>
      <c r="B100" s="48"/>
      <c r="C100" s="48"/>
      <c r="D100" s="48"/>
      <c r="E100" s="48"/>
      <c r="F100" s="48"/>
      <c r="G100" s="48"/>
      <c r="H100" s="29"/>
      <c r="I100" s="48"/>
    </row>
    <row r="101" spans="1:9">
      <c r="A101" s="48"/>
      <c r="B101" s="48"/>
      <c r="C101" s="48"/>
      <c r="D101" s="48"/>
      <c r="E101" s="48"/>
      <c r="F101" s="48"/>
      <c r="G101" s="48"/>
      <c r="H101" s="48"/>
      <c r="I101" s="48"/>
    </row>
    <row r="102" spans="1:9">
      <c r="A102" s="48"/>
      <c r="B102" s="48"/>
      <c r="C102" s="48"/>
      <c r="D102" s="48"/>
      <c r="E102" s="48"/>
      <c r="F102" s="48"/>
      <c r="G102" s="48"/>
      <c r="H102" s="48"/>
      <c r="I102" s="48"/>
    </row>
    <row r="103" spans="1:9">
      <c r="A103" s="48"/>
      <c r="B103" s="48"/>
      <c r="C103" s="48"/>
      <c r="D103" s="48"/>
      <c r="E103" s="48"/>
      <c r="F103" s="48"/>
      <c r="G103" s="48"/>
      <c r="H103" s="48"/>
      <c r="I103" s="48"/>
    </row>
    <row r="104" spans="1:9">
      <c r="A104" s="48"/>
      <c r="B104" s="48"/>
      <c r="C104" s="48"/>
      <c r="D104" s="48"/>
      <c r="E104" s="48"/>
      <c r="F104" s="48"/>
      <c r="G104" s="48"/>
      <c r="H104" s="48"/>
      <c r="I104" s="48"/>
    </row>
    <row r="105" spans="1:9">
      <c r="A105" s="48"/>
      <c r="B105" s="48"/>
      <c r="C105" s="48"/>
      <c r="D105" s="48"/>
      <c r="E105" s="48"/>
      <c r="F105" s="48"/>
      <c r="G105" s="48"/>
      <c r="H105" s="48"/>
      <c r="I105" s="48"/>
    </row>
    <row r="106" spans="1:9">
      <c r="A106" s="48"/>
      <c r="B106" s="48"/>
      <c r="C106" s="48"/>
      <c r="D106" s="48"/>
      <c r="E106" s="48"/>
      <c r="F106" s="48"/>
      <c r="G106" s="48"/>
      <c r="H106" s="48"/>
      <c r="I106" s="48"/>
    </row>
    <row r="107" spans="1:9">
      <c r="A107" s="48"/>
      <c r="B107" s="48"/>
      <c r="C107" s="48"/>
      <c r="D107" s="48"/>
      <c r="E107" s="48"/>
      <c r="F107" s="48"/>
      <c r="G107" s="48"/>
      <c r="H107" s="48"/>
      <c r="I107" s="48"/>
    </row>
    <row r="108" spans="1:9">
      <c r="A108" s="48"/>
      <c r="B108" s="48"/>
      <c r="C108" s="48"/>
      <c r="D108" s="48"/>
      <c r="E108" s="48"/>
      <c r="F108" s="48"/>
      <c r="G108" s="48"/>
      <c r="H108" s="48"/>
      <c r="I108" s="48"/>
    </row>
    <row r="109" spans="1:9">
      <c r="A109" s="48"/>
      <c r="B109" s="48"/>
      <c r="C109" s="48"/>
      <c r="D109" s="48"/>
      <c r="E109" s="48"/>
      <c r="F109" s="48"/>
      <c r="G109" s="48"/>
      <c r="H109" s="48"/>
      <c r="I109" s="48"/>
    </row>
    <row r="110" spans="1:9">
      <c r="A110" s="46"/>
      <c r="B110" s="47"/>
      <c r="C110" s="47"/>
      <c r="D110" s="47"/>
      <c r="E110" s="47"/>
      <c r="F110" s="47"/>
      <c r="G110" s="47"/>
      <c r="H110" s="47"/>
      <c r="I110" s="47"/>
    </row>
    <row r="111" spans="1:9">
      <c r="A111" s="48"/>
      <c r="B111" s="48"/>
      <c r="C111" s="48"/>
      <c r="D111" s="48"/>
      <c r="E111" s="48"/>
      <c r="F111" s="48"/>
      <c r="G111" s="48"/>
      <c r="H111" s="48"/>
      <c r="I111" s="48"/>
    </row>
    <row r="112" spans="1:9">
      <c r="A112" s="48"/>
      <c r="B112" s="48"/>
      <c r="C112" s="48"/>
      <c r="D112" s="48"/>
      <c r="E112" s="48"/>
      <c r="F112" s="48"/>
      <c r="G112" s="48"/>
      <c r="H112" s="48"/>
      <c r="I112" s="48"/>
    </row>
    <row r="113" spans="1:9">
      <c r="A113" s="48"/>
      <c r="B113" s="48"/>
      <c r="C113" s="48"/>
      <c r="D113" s="48"/>
      <c r="E113" s="48"/>
      <c r="F113" s="48"/>
      <c r="G113" s="48"/>
      <c r="H113" s="48"/>
      <c r="I113" s="48"/>
    </row>
    <row r="114" spans="1:9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>
      <c r="A115" s="49"/>
      <c r="B115" s="49"/>
      <c r="C115" s="49"/>
      <c r="D115" s="49"/>
      <c r="E115" s="49"/>
      <c r="F115" s="49"/>
      <c r="G115" s="49"/>
      <c r="H115" s="49"/>
      <c r="I115" s="49"/>
    </row>
    <row r="116" spans="1:9">
      <c r="A116" s="50"/>
      <c r="B116" s="51"/>
      <c r="C116" s="51"/>
      <c r="D116" s="51"/>
      <c r="E116" s="51"/>
      <c r="F116" s="51"/>
      <c r="G116" s="51"/>
      <c r="H116" s="51"/>
      <c r="I116" s="51"/>
    </row>
    <row r="117" spans="1:9">
      <c r="A117" s="52"/>
      <c r="B117" s="51"/>
      <c r="C117" s="51"/>
      <c r="D117" s="51"/>
      <c r="E117" s="51"/>
      <c r="F117" s="51"/>
      <c r="G117" s="51"/>
      <c r="H117" s="51"/>
      <c r="I117" s="51"/>
    </row>
    <row r="118" spans="1:9">
      <c r="A118" s="52"/>
      <c r="B118" s="52"/>
      <c r="C118" s="52"/>
      <c r="D118" s="52"/>
      <c r="E118" s="52"/>
      <c r="F118" s="52"/>
      <c r="G118" s="52"/>
      <c r="H118" s="52"/>
      <c r="I118" s="52"/>
    </row>
    <row r="119" spans="1:9">
      <c r="A119" s="48"/>
      <c r="B119" s="48"/>
      <c r="C119" s="48"/>
      <c r="D119" s="48"/>
      <c r="E119" s="48"/>
      <c r="F119" s="48"/>
      <c r="G119" s="48"/>
      <c r="H119" s="48"/>
      <c r="I119" s="48"/>
    </row>
    <row r="120" spans="1:9">
      <c r="A120" s="47"/>
      <c r="B120" s="47"/>
      <c r="C120" s="47"/>
      <c r="D120" s="47"/>
      <c r="E120" s="47"/>
      <c r="F120" s="47"/>
      <c r="G120" s="47"/>
      <c r="H120" s="47"/>
      <c r="I120" s="48"/>
    </row>
    <row r="121" spans="1:9">
      <c r="A121" s="48"/>
      <c r="B121" s="48"/>
      <c r="C121" s="48"/>
      <c r="D121" s="48"/>
      <c r="E121" s="48"/>
      <c r="F121" s="48"/>
      <c r="G121" s="48"/>
      <c r="H121" s="48"/>
      <c r="I121" s="48"/>
    </row>
    <row r="122" spans="1:9">
      <c r="A122" s="48"/>
      <c r="B122" s="48"/>
      <c r="C122" s="48"/>
      <c r="D122" s="48"/>
      <c r="E122" s="48"/>
      <c r="F122" s="48"/>
      <c r="G122" s="48"/>
      <c r="H122" s="48"/>
      <c r="I122" s="48"/>
    </row>
    <row r="123" spans="1:9">
      <c r="A123" s="48"/>
      <c r="B123" s="48"/>
      <c r="C123" s="48"/>
      <c r="D123" s="48"/>
      <c r="E123" s="48"/>
      <c r="F123" s="48"/>
      <c r="G123" s="48"/>
      <c r="H123" s="48"/>
      <c r="I123" s="48"/>
    </row>
    <row r="124" spans="1:9">
      <c r="A124" s="48"/>
      <c r="B124" s="48"/>
      <c r="C124" s="48"/>
      <c r="D124" s="48"/>
      <c r="E124" s="48"/>
      <c r="F124" s="48"/>
      <c r="G124" s="48"/>
      <c r="H124" s="48"/>
      <c r="I124" s="48"/>
    </row>
    <row r="125" spans="1:9">
      <c r="A125" s="48"/>
      <c r="B125" s="48"/>
      <c r="C125" s="48"/>
      <c r="D125" s="48"/>
      <c r="E125" s="48"/>
      <c r="F125" s="48"/>
      <c r="G125" s="48"/>
      <c r="H125" s="48"/>
      <c r="I125" s="48"/>
    </row>
    <row r="126" spans="1:9">
      <c r="A126" s="47"/>
      <c r="B126" s="47"/>
      <c r="C126" s="47"/>
      <c r="D126" s="47"/>
      <c r="E126" s="47"/>
      <c r="F126" s="47"/>
      <c r="G126" s="47"/>
      <c r="H126" s="47"/>
      <c r="I126" s="47"/>
    </row>
    <row r="127" spans="1:9">
      <c r="A127" s="48"/>
      <c r="B127" s="48"/>
      <c r="C127" s="48"/>
      <c r="D127" s="48"/>
      <c r="E127" s="48"/>
      <c r="F127" s="48"/>
      <c r="G127" s="48"/>
      <c r="H127" s="48"/>
      <c r="I127" s="48"/>
    </row>
    <row r="128" spans="1:9">
      <c r="A128" s="29"/>
      <c r="B128" s="29"/>
      <c r="C128" s="29"/>
      <c r="D128" s="29"/>
      <c r="E128" s="29"/>
      <c r="F128" s="29"/>
      <c r="G128" s="29"/>
      <c r="H128" s="29"/>
      <c r="I128" s="29"/>
    </row>
    <row r="129" spans="1:9">
      <c r="A129" s="29"/>
      <c r="B129" s="29"/>
      <c r="C129" s="29"/>
      <c r="D129" s="29"/>
      <c r="E129" s="29"/>
      <c r="F129" s="29"/>
      <c r="G129" s="29"/>
      <c r="H129" s="29"/>
      <c r="I129" s="29"/>
    </row>
    <row r="130" spans="1:9">
      <c r="A130" s="29"/>
      <c r="B130" s="29"/>
      <c r="C130" s="29"/>
      <c r="D130" s="29"/>
      <c r="E130" s="29"/>
      <c r="F130" s="29"/>
      <c r="G130" s="29"/>
      <c r="H130" s="29"/>
      <c r="I130" s="29"/>
    </row>
    <row r="131" spans="1:9">
      <c r="A131" s="29"/>
      <c r="B131" s="29"/>
      <c r="C131" s="29"/>
      <c r="D131" s="29"/>
      <c r="E131" s="29"/>
      <c r="F131" s="29"/>
      <c r="G131" s="29"/>
      <c r="H131" s="29"/>
      <c r="I131" s="29"/>
    </row>
    <row r="132" spans="1:9">
      <c r="A132" s="29"/>
      <c r="B132" s="29"/>
      <c r="C132" s="29"/>
      <c r="D132" s="29"/>
      <c r="E132" s="29"/>
      <c r="F132" s="29"/>
      <c r="G132" s="29"/>
      <c r="H132" s="29"/>
      <c r="I132" s="29"/>
    </row>
    <row r="133" spans="1:9">
      <c r="A133" s="29"/>
      <c r="B133" s="29"/>
      <c r="C133" s="29"/>
      <c r="D133" s="29"/>
      <c r="E133" s="29"/>
      <c r="F133" s="29"/>
      <c r="G133" s="29"/>
      <c r="H133" s="29"/>
      <c r="I133" s="29"/>
    </row>
    <row r="134" spans="1:9">
      <c r="A134" s="29"/>
      <c r="B134" s="29"/>
      <c r="C134" s="29"/>
      <c r="D134" s="29"/>
      <c r="E134" s="29"/>
      <c r="F134" s="29"/>
      <c r="G134" s="29"/>
      <c r="H134" s="29"/>
      <c r="I134" s="29"/>
    </row>
    <row r="135" spans="1:9">
      <c r="A135" s="29"/>
      <c r="B135" s="29"/>
      <c r="C135" s="29"/>
      <c r="D135" s="29"/>
      <c r="E135" s="29"/>
      <c r="F135" s="29"/>
      <c r="G135" s="29"/>
      <c r="H135" s="29"/>
      <c r="I135" s="29"/>
    </row>
    <row r="136" spans="1:9">
      <c r="A136" s="29"/>
      <c r="B136" s="29"/>
      <c r="C136" s="29"/>
      <c r="D136" s="29"/>
      <c r="E136" s="29"/>
      <c r="F136" s="29"/>
      <c r="G136" s="29"/>
      <c r="H136" s="29"/>
      <c r="I136" s="29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>
      <c r="A140" s="48"/>
      <c r="B140" s="48"/>
      <c r="C140" s="48"/>
      <c r="D140" s="48"/>
      <c r="E140" s="48"/>
      <c r="F140" s="48"/>
      <c r="G140" s="48"/>
      <c r="H140" s="29"/>
      <c r="I140" s="48"/>
    </row>
    <row r="141" spans="1:9">
      <c r="A141" s="48"/>
      <c r="B141" s="48"/>
      <c r="C141" s="48"/>
      <c r="D141" s="48"/>
      <c r="E141" s="48"/>
      <c r="F141" s="48"/>
      <c r="G141" s="48"/>
      <c r="H141" s="48"/>
      <c r="I141" s="48"/>
    </row>
    <row r="142" spans="1:9">
      <c r="A142" s="48"/>
      <c r="B142" s="48"/>
      <c r="C142" s="48"/>
      <c r="D142" s="48"/>
      <c r="E142" s="48"/>
      <c r="F142" s="48"/>
      <c r="G142" s="48"/>
      <c r="H142" s="48"/>
      <c r="I142" s="48"/>
    </row>
    <row r="143" spans="1:9">
      <c r="A143" s="48"/>
      <c r="B143" s="48"/>
      <c r="C143" s="48"/>
      <c r="D143" s="48"/>
      <c r="E143" s="48"/>
      <c r="F143" s="48"/>
      <c r="G143" s="48"/>
      <c r="H143" s="48"/>
      <c r="I143" s="48"/>
    </row>
    <row r="144" spans="1:9">
      <c r="A144" s="48"/>
      <c r="B144" s="48"/>
      <c r="C144" s="48"/>
      <c r="D144" s="48"/>
      <c r="E144" s="48"/>
      <c r="F144" s="48"/>
      <c r="G144" s="48"/>
      <c r="H144" s="48"/>
      <c r="I144" s="48"/>
    </row>
    <row r="145" spans="1:9">
      <c r="A145" s="48"/>
      <c r="B145" s="48"/>
      <c r="C145" s="48"/>
      <c r="D145" s="48"/>
      <c r="E145" s="48"/>
      <c r="F145" s="48"/>
      <c r="G145" s="48"/>
      <c r="H145" s="48"/>
      <c r="I145" s="48"/>
    </row>
    <row r="146" spans="1:9">
      <c r="A146" s="48"/>
      <c r="B146" s="48"/>
      <c r="C146" s="48"/>
      <c r="D146" s="48"/>
      <c r="E146" s="48"/>
      <c r="F146" s="48"/>
      <c r="G146" s="48"/>
      <c r="H146" s="48"/>
      <c r="I146" s="48"/>
    </row>
    <row r="147" spans="1:9">
      <c r="A147" s="48"/>
      <c r="B147" s="48"/>
      <c r="C147" s="48"/>
      <c r="D147" s="48"/>
      <c r="E147" s="48"/>
      <c r="F147" s="48"/>
      <c r="G147" s="48"/>
      <c r="H147" s="48"/>
      <c r="I147" s="48"/>
    </row>
    <row r="148" spans="1:9">
      <c r="A148" s="48"/>
      <c r="B148" s="48"/>
      <c r="C148" s="48"/>
      <c r="D148" s="48"/>
      <c r="E148" s="48"/>
      <c r="F148" s="48"/>
      <c r="G148" s="48"/>
      <c r="H148" s="48"/>
      <c r="I148" s="48"/>
    </row>
    <row r="149" spans="1:9">
      <c r="A149" s="48"/>
      <c r="B149" s="48"/>
      <c r="C149" s="48"/>
      <c r="D149" s="48"/>
      <c r="E149" s="48"/>
      <c r="F149" s="48"/>
      <c r="G149" s="48"/>
      <c r="H149" s="48"/>
      <c r="I149" s="48"/>
    </row>
    <row r="150" spans="1:9">
      <c r="A150" s="46"/>
      <c r="B150" s="47"/>
      <c r="C150" s="47"/>
      <c r="D150" s="47"/>
      <c r="E150" s="47"/>
      <c r="F150" s="47"/>
      <c r="G150" s="47"/>
      <c r="H150" s="47"/>
      <c r="I150" s="47"/>
    </row>
    <row r="151" spans="1:9">
      <c r="A151" s="48"/>
      <c r="B151" s="48"/>
      <c r="C151" s="48"/>
      <c r="D151" s="48"/>
      <c r="E151" s="48"/>
      <c r="F151" s="48"/>
      <c r="G151" s="48"/>
      <c r="H151" s="48"/>
      <c r="I151" s="48"/>
    </row>
    <row r="152" spans="1:9">
      <c r="A152" s="48"/>
      <c r="B152" s="48"/>
      <c r="C152" s="48"/>
      <c r="D152" s="48"/>
      <c r="E152" s="48"/>
      <c r="F152" s="48"/>
      <c r="G152" s="48"/>
      <c r="H152" s="48"/>
      <c r="I152" s="48"/>
    </row>
    <row r="153" spans="1:9">
      <c r="A153" s="48"/>
      <c r="B153" s="48"/>
      <c r="C153" s="48"/>
      <c r="D153" s="48"/>
      <c r="E153" s="48"/>
      <c r="F153" s="48"/>
      <c r="G153" s="48"/>
      <c r="H153" s="48"/>
      <c r="I153" s="48"/>
    </row>
    <row r="154" spans="1:9">
      <c r="A154" s="48"/>
      <c r="B154" s="48"/>
      <c r="C154" s="48"/>
      <c r="D154" s="48"/>
      <c r="E154" s="48"/>
      <c r="F154" s="48"/>
      <c r="G154" s="48"/>
      <c r="H154" s="48"/>
      <c r="I154" s="48"/>
    </row>
    <row r="155" spans="1:9">
      <c r="A155" s="49"/>
      <c r="B155" s="49"/>
      <c r="C155" s="49"/>
      <c r="D155" s="49"/>
      <c r="E155" s="49"/>
      <c r="F155" s="49"/>
      <c r="G155" s="49"/>
      <c r="H155" s="49"/>
      <c r="I155" s="49"/>
    </row>
    <row r="156" spans="1:9">
      <c r="A156" s="50"/>
      <c r="B156" s="51"/>
      <c r="C156" s="51"/>
      <c r="D156" s="51"/>
      <c r="E156" s="51"/>
      <c r="F156" s="51"/>
      <c r="G156" s="51"/>
      <c r="H156" s="51"/>
      <c r="I156" s="51"/>
    </row>
    <row r="157" spans="1:9">
      <c r="A157" s="52"/>
      <c r="B157" s="51"/>
      <c r="C157" s="51"/>
      <c r="D157" s="51"/>
      <c r="E157" s="51"/>
      <c r="F157" s="51"/>
      <c r="G157" s="51"/>
      <c r="H157" s="51"/>
      <c r="I157" s="51"/>
    </row>
    <row r="158" spans="1:9">
      <c r="A158" s="52"/>
      <c r="B158" s="52"/>
      <c r="C158" s="52"/>
      <c r="D158" s="52"/>
      <c r="E158" s="52"/>
      <c r="F158" s="52"/>
      <c r="G158" s="52"/>
      <c r="H158" s="52"/>
      <c r="I158" s="52"/>
    </row>
    <row r="159" spans="1:9">
      <c r="A159" s="48"/>
      <c r="B159" s="48"/>
      <c r="C159" s="48"/>
      <c r="D159" s="48"/>
      <c r="E159" s="48"/>
      <c r="F159" s="48"/>
      <c r="G159" s="48"/>
      <c r="H159" s="48"/>
      <c r="I159" s="48"/>
    </row>
    <row r="160" spans="1:9">
      <c r="A160" s="47"/>
      <c r="B160" s="47"/>
      <c r="C160" s="47"/>
      <c r="D160" s="47"/>
      <c r="E160" s="47"/>
      <c r="F160" s="47"/>
      <c r="G160" s="47"/>
      <c r="H160" s="47"/>
      <c r="I160" s="48"/>
    </row>
    <row r="161" spans="1:9">
      <c r="A161" s="48"/>
      <c r="B161" s="48"/>
      <c r="C161" s="48"/>
      <c r="D161" s="48"/>
      <c r="E161" s="48"/>
      <c r="F161" s="48"/>
      <c r="G161" s="48"/>
      <c r="H161" s="48"/>
      <c r="I161" s="48"/>
    </row>
    <row r="162" spans="1:9">
      <c r="A162" s="48"/>
      <c r="B162" s="48"/>
      <c r="C162" s="48"/>
      <c r="D162" s="48"/>
      <c r="E162" s="48"/>
      <c r="F162" s="48"/>
      <c r="G162" s="48"/>
      <c r="H162" s="48"/>
      <c r="I162" s="48"/>
    </row>
    <row r="163" spans="1:9">
      <c r="A163" s="48"/>
      <c r="B163" s="48"/>
      <c r="C163" s="48"/>
      <c r="D163" s="48"/>
      <c r="E163" s="48"/>
      <c r="F163" s="48"/>
      <c r="G163" s="48"/>
      <c r="H163" s="48"/>
      <c r="I163" s="48"/>
    </row>
    <row r="164" spans="1:9">
      <c r="A164" s="48"/>
      <c r="B164" s="48"/>
      <c r="C164" s="48"/>
      <c r="D164" s="48"/>
      <c r="E164" s="48"/>
      <c r="F164" s="48"/>
      <c r="G164" s="48"/>
      <c r="H164" s="48"/>
      <c r="I164" s="48"/>
    </row>
    <row r="165" spans="1:9">
      <c r="A165" s="48"/>
      <c r="B165" s="48"/>
      <c r="C165" s="48"/>
      <c r="D165" s="48"/>
      <c r="E165" s="48"/>
      <c r="F165" s="48"/>
      <c r="G165" s="48"/>
      <c r="H165" s="48"/>
      <c r="I165" s="48"/>
    </row>
    <row r="166" spans="1:9">
      <c r="A166" s="47"/>
      <c r="B166" s="47"/>
      <c r="C166" s="47"/>
      <c r="D166" s="47"/>
      <c r="E166" s="47"/>
      <c r="F166" s="47"/>
      <c r="G166" s="47"/>
      <c r="H166" s="47"/>
      <c r="I166" s="47"/>
    </row>
    <row r="167" spans="1:9">
      <c r="A167" s="48"/>
      <c r="B167" s="48"/>
      <c r="C167" s="48"/>
      <c r="D167" s="48"/>
      <c r="E167" s="48"/>
      <c r="F167" s="48"/>
      <c r="G167" s="48"/>
      <c r="H167" s="48"/>
      <c r="I167" s="48"/>
    </row>
    <row r="168" spans="1:9">
      <c r="A168" s="29"/>
      <c r="B168" s="29"/>
      <c r="C168" s="29"/>
      <c r="D168" s="29"/>
      <c r="E168" s="29"/>
      <c r="F168" s="29"/>
      <c r="G168" s="29"/>
      <c r="H168" s="29"/>
      <c r="I168" s="29"/>
    </row>
    <row r="169" spans="1:9">
      <c r="A169" s="29"/>
      <c r="B169" s="29"/>
      <c r="C169" s="29"/>
      <c r="D169" s="29"/>
      <c r="E169" s="29"/>
      <c r="F169" s="29"/>
      <c r="G169" s="29"/>
      <c r="H169" s="29"/>
      <c r="I169" s="29"/>
    </row>
    <row r="170" spans="1:9">
      <c r="A170" s="29"/>
      <c r="B170" s="29"/>
      <c r="C170" s="29"/>
      <c r="D170" s="29"/>
      <c r="E170" s="29"/>
      <c r="F170" s="29"/>
      <c r="G170" s="29"/>
      <c r="H170" s="29"/>
      <c r="I170" s="29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53"/>
      <c r="B173" s="53"/>
      <c r="C173" s="53"/>
      <c r="D173" s="53"/>
      <c r="E173" s="53"/>
      <c r="F173" s="53"/>
      <c r="G173" s="53"/>
      <c r="H173" s="53"/>
      <c r="I173" s="53"/>
    </row>
    <row r="174" spans="1:9">
      <c r="A174" s="48"/>
      <c r="B174" s="48"/>
      <c r="C174" s="48"/>
      <c r="D174" s="48"/>
      <c r="E174" s="48"/>
      <c r="F174" s="48"/>
      <c r="G174" s="48"/>
      <c r="H174" s="29"/>
      <c r="I174" s="48"/>
    </row>
    <row r="175" spans="1:9">
      <c r="A175" s="48"/>
      <c r="B175" s="48"/>
      <c r="C175" s="48"/>
      <c r="D175" s="48"/>
      <c r="E175" s="48"/>
      <c r="F175" s="48"/>
      <c r="G175" s="48"/>
      <c r="H175" s="48"/>
      <c r="I175" s="48"/>
    </row>
    <row r="176" spans="1:9">
      <c r="A176" s="48"/>
      <c r="B176" s="48"/>
      <c r="C176" s="48"/>
      <c r="D176" s="48"/>
      <c r="E176" s="48"/>
      <c r="F176" s="48"/>
      <c r="G176" s="48"/>
      <c r="H176" s="48"/>
      <c r="I176" s="48"/>
    </row>
    <row r="177" spans="1:9">
      <c r="A177" s="48"/>
      <c r="B177" s="48"/>
      <c r="C177" s="48"/>
      <c r="D177" s="48"/>
      <c r="E177" s="48"/>
      <c r="F177" s="48"/>
      <c r="G177" s="48"/>
      <c r="H177" s="48"/>
      <c r="I177" s="48"/>
    </row>
    <row r="178" spans="1:9">
      <c r="A178" s="48"/>
      <c r="B178" s="48"/>
      <c r="C178" s="48"/>
      <c r="D178" s="48"/>
      <c r="E178" s="48"/>
      <c r="F178" s="48"/>
      <c r="G178" s="48"/>
      <c r="H178" s="48"/>
      <c r="I178" s="48"/>
    </row>
    <row r="179" spans="1:9">
      <c r="A179" s="48"/>
      <c r="B179" s="48"/>
      <c r="C179" s="48"/>
      <c r="D179" s="48"/>
      <c r="E179" s="48"/>
      <c r="F179" s="48"/>
      <c r="G179" s="48"/>
      <c r="H179" s="48"/>
      <c r="I179" s="48"/>
    </row>
    <row r="180" spans="1:9">
      <c r="A180" s="48"/>
      <c r="B180" s="48"/>
      <c r="C180" s="48"/>
      <c r="D180" s="48"/>
      <c r="E180" s="48"/>
      <c r="F180" s="48"/>
      <c r="G180" s="48"/>
      <c r="H180" s="48"/>
      <c r="I180" s="48"/>
    </row>
    <row r="181" spans="1:9">
      <c r="A181" s="48"/>
      <c r="B181" s="48"/>
      <c r="C181" s="48"/>
      <c r="D181" s="48"/>
      <c r="E181" s="48"/>
      <c r="F181" s="48"/>
      <c r="G181" s="48"/>
      <c r="H181" s="48"/>
      <c r="I181" s="48"/>
    </row>
    <row r="182" spans="1:9">
      <c r="A182" s="48"/>
      <c r="B182" s="48"/>
      <c r="C182" s="48"/>
      <c r="D182" s="48"/>
      <c r="E182" s="48"/>
      <c r="F182" s="48"/>
      <c r="G182" s="48"/>
      <c r="H182" s="48"/>
      <c r="I182" s="48"/>
    </row>
    <row r="183" spans="1:9">
      <c r="A183" s="48"/>
      <c r="B183" s="48"/>
      <c r="C183" s="48"/>
      <c r="D183" s="48"/>
      <c r="E183" s="48"/>
      <c r="F183" s="48"/>
      <c r="G183" s="48"/>
      <c r="H183" s="48"/>
      <c r="I183" s="48"/>
    </row>
    <row r="184" spans="1:9">
      <c r="A184" s="46"/>
      <c r="B184" s="47"/>
      <c r="C184" s="47"/>
      <c r="D184" s="47"/>
      <c r="E184" s="47"/>
      <c r="F184" s="47"/>
      <c r="G184" s="47"/>
      <c r="H184" s="47"/>
      <c r="I184" s="47"/>
    </row>
    <row r="185" spans="1:9">
      <c r="A185" s="48"/>
      <c r="B185" s="48"/>
      <c r="C185" s="48"/>
      <c r="D185" s="48"/>
      <c r="E185" s="48"/>
      <c r="F185" s="48"/>
      <c r="G185" s="48"/>
      <c r="H185" s="48"/>
      <c r="I185" s="48"/>
    </row>
    <row r="186" spans="1:9">
      <c r="A186" s="48"/>
      <c r="B186" s="48"/>
      <c r="C186" s="48"/>
      <c r="D186" s="48"/>
      <c r="E186" s="48"/>
      <c r="F186" s="48"/>
      <c r="G186" s="48"/>
      <c r="H186" s="48"/>
      <c r="I186" s="48"/>
    </row>
    <row r="187" spans="1:9">
      <c r="A187" s="48"/>
      <c r="B187" s="48"/>
      <c r="C187" s="48"/>
      <c r="D187" s="48"/>
      <c r="E187" s="48"/>
      <c r="F187" s="48"/>
      <c r="G187" s="48"/>
      <c r="H187" s="48"/>
      <c r="I187" s="48"/>
    </row>
    <row r="188" spans="1:9">
      <c r="A188" s="48"/>
      <c r="B188" s="48"/>
      <c r="C188" s="48"/>
      <c r="D188" s="48"/>
      <c r="E188" s="48"/>
      <c r="F188" s="48"/>
      <c r="G188" s="48"/>
      <c r="H188" s="48"/>
      <c r="I188" s="48"/>
    </row>
    <row r="189" spans="1:9">
      <c r="A189" s="49"/>
      <c r="B189" s="49"/>
      <c r="C189" s="49"/>
      <c r="D189" s="49"/>
      <c r="E189" s="49"/>
      <c r="F189" s="49"/>
      <c r="G189" s="49"/>
      <c r="H189" s="49"/>
      <c r="I189" s="49"/>
    </row>
    <row r="190" spans="1:9">
      <c r="A190" s="50"/>
      <c r="B190" s="51"/>
      <c r="C190" s="51"/>
      <c r="D190" s="51"/>
      <c r="E190" s="51"/>
      <c r="F190" s="51"/>
      <c r="G190" s="51"/>
      <c r="H190" s="51"/>
      <c r="I190" s="51"/>
    </row>
    <row r="191" spans="1:9">
      <c r="A191" s="52"/>
      <c r="B191" s="51"/>
      <c r="C191" s="51"/>
      <c r="D191" s="51"/>
      <c r="E191" s="51"/>
      <c r="F191" s="51"/>
      <c r="G191" s="51"/>
      <c r="H191" s="51"/>
      <c r="I191" s="51"/>
    </row>
    <row r="192" spans="1:9">
      <c r="A192" s="52"/>
      <c r="B192" s="52"/>
      <c r="C192" s="52"/>
      <c r="D192" s="52"/>
      <c r="E192" s="52"/>
      <c r="F192" s="52"/>
      <c r="G192" s="52"/>
      <c r="H192" s="52"/>
      <c r="I192" s="52"/>
    </row>
    <row r="193" spans="1:9">
      <c r="A193" s="48"/>
      <c r="B193" s="48"/>
      <c r="C193" s="48"/>
      <c r="D193" s="48"/>
      <c r="E193" s="48"/>
      <c r="F193" s="48"/>
      <c r="G193" s="48"/>
      <c r="H193" s="48"/>
      <c r="I193" s="48"/>
    </row>
    <row r="194" spans="1:9" ht="21" customHeight="1">
      <c r="A194" s="47"/>
      <c r="B194" s="47"/>
      <c r="C194" s="47"/>
      <c r="D194" s="47"/>
      <c r="E194" s="47"/>
      <c r="F194" s="47"/>
      <c r="G194" s="47"/>
      <c r="H194" s="47"/>
      <c r="I194" s="48"/>
    </row>
    <row r="195" spans="1:9">
      <c r="A195" s="48"/>
      <c r="B195" s="48"/>
      <c r="C195" s="48"/>
      <c r="D195" s="48"/>
      <c r="E195" s="48"/>
      <c r="F195" s="48"/>
      <c r="G195" s="48"/>
      <c r="H195" s="48"/>
      <c r="I195" s="48"/>
    </row>
    <row r="196" spans="1:9">
      <c r="A196" s="48"/>
      <c r="B196" s="48"/>
      <c r="C196" s="48"/>
      <c r="D196" s="48"/>
      <c r="E196" s="48"/>
      <c r="F196" s="48"/>
      <c r="G196" s="48"/>
      <c r="H196" s="48"/>
      <c r="I196" s="48"/>
    </row>
    <row r="197" spans="1:9">
      <c r="A197" s="48"/>
      <c r="B197" s="48"/>
      <c r="C197" s="48"/>
      <c r="D197" s="48"/>
      <c r="E197" s="48"/>
      <c r="F197" s="48"/>
      <c r="G197" s="48"/>
      <c r="H197" s="48"/>
      <c r="I197" s="48"/>
    </row>
    <row r="198" spans="1:9">
      <c r="A198" s="48"/>
      <c r="B198" s="48"/>
      <c r="C198" s="48"/>
      <c r="D198" s="48"/>
      <c r="E198" s="48"/>
      <c r="F198" s="48"/>
      <c r="G198" s="48"/>
      <c r="H198" s="48"/>
      <c r="I198" s="48"/>
    </row>
    <row r="199" spans="1:9">
      <c r="A199" s="48"/>
      <c r="B199" s="48"/>
      <c r="C199" s="48"/>
      <c r="D199" s="48"/>
      <c r="E199" s="48"/>
      <c r="F199" s="48"/>
      <c r="G199" s="48"/>
      <c r="H199" s="48"/>
      <c r="I199" s="48"/>
    </row>
    <row r="200" spans="1:9">
      <c r="A200" s="47"/>
      <c r="B200" s="47"/>
      <c r="C200" s="47"/>
      <c r="D200" s="47"/>
      <c r="E200" s="47"/>
      <c r="F200" s="47"/>
      <c r="G200" s="47"/>
      <c r="H200" s="47"/>
      <c r="I200" s="47"/>
    </row>
    <row r="201" spans="1:9">
      <c r="A201" s="48"/>
      <c r="B201" s="48"/>
      <c r="C201" s="48"/>
      <c r="D201" s="48"/>
      <c r="E201" s="48"/>
      <c r="F201" s="48"/>
      <c r="G201" s="48"/>
      <c r="H201" s="48"/>
      <c r="I201" s="48"/>
    </row>
    <row r="202" spans="1:9">
      <c r="A202" s="29"/>
      <c r="B202" s="29"/>
      <c r="C202" s="29"/>
      <c r="D202" s="29"/>
      <c r="E202" s="29"/>
      <c r="F202" s="29"/>
      <c r="G202" s="29"/>
      <c r="H202" s="29"/>
      <c r="I202" s="29"/>
    </row>
    <row r="203" spans="1:9">
      <c r="A203" s="29"/>
      <c r="B203" s="29"/>
      <c r="C203" s="29"/>
      <c r="D203" s="29"/>
      <c r="E203" s="29"/>
      <c r="F203" s="29"/>
      <c r="G203" s="29"/>
      <c r="H203" s="29"/>
      <c r="I203" s="52"/>
    </row>
    <row r="204" spans="1:9">
      <c r="A204" s="29"/>
      <c r="B204" s="29"/>
      <c r="C204" s="29"/>
      <c r="D204" s="29"/>
      <c r="E204" s="29"/>
      <c r="F204" s="29"/>
      <c r="G204" s="29"/>
      <c r="H204" s="29"/>
      <c r="I204" s="29"/>
    </row>
    <row r="205" spans="1:9">
      <c r="A205" s="29"/>
      <c r="B205" s="29"/>
      <c r="C205" s="29"/>
      <c r="D205" s="29"/>
      <c r="E205" s="29"/>
      <c r="F205" s="29"/>
      <c r="G205" s="29"/>
      <c r="H205" s="29"/>
      <c r="I205" s="29"/>
    </row>
    <row r="206" spans="1:9">
      <c r="A206" s="29"/>
      <c r="B206" s="29"/>
      <c r="C206" s="29"/>
      <c r="D206" s="29"/>
      <c r="E206" s="29"/>
      <c r="F206" s="29"/>
      <c r="G206" s="29"/>
      <c r="H206" s="29"/>
      <c r="I206" s="29"/>
    </row>
    <row r="207" spans="1:9">
      <c r="A207" s="29"/>
      <c r="B207" s="29"/>
      <c r="C207" s="29"/>
      <c r="D207" s="29"/>
      <c r="E207" s="29"/>
      <c r="F207" s="29"/>
      <c r="G207" s="29"/>
      <c r="H207" s="29"/>
      <c r="I207" s="29"/>
    </row>
    <row r="208" spans="1:9">
      <c r="A208" s="29"/>
      <c r="B208" s="29"/>
      <c r="C208" s="29"/>
      <c r="D208" s="29"/>
      <c r="E208" s="29"/>
      <c r="F208" s="29"/>
      <c r="G208" s="29"/>
      <c r="H208" s="29"/>
      <c r="I208" s="29"/>
    </row>
    <row r="209" spans="1:9">
      <c r="A209" s="29"/>
      <c r="B209" s="29"/>
      <c r="C209" s="29"/>
      <c r="D209" s="29"/>
      <c r="E209" s="29"/>
      <c r="F209" s="29"/>
      <c r="G209" s="29"/>
      <c r="H209" s="29"/>
      <c r="I209" s="29"/>
    </row>
    <row r="210" spans="1:9">
      <c r="A210" s="29"/>
      <c r="B210" s="29"/>
      <c r="C210" s="29"/>
      <c r="D210" s="29"/>
      <c r="E210" s="29"/>
      <c r="F210" s="29"/>
      <c r="G210" s="29"/>
      <c r="H210" s="29"/>
      <c r="I210" s="29"/>
    </row>
    <row r="211" spans="1:9">
      <c r="A211" s="29"/>
      <c r="B211" s="29"/>
      <c r="C211" s="29"/>
      <c r="D211" s="29"/>
      <c r="E211" s="29"/>
      <c r="F211" s="29"/>
      <c r="G211" s="29"/>
      <c r="H211" s="29"/>
      <c r="I211" s="29"/>
    </row>
    <row r="212" spans="1:9">
      <c r="A212" s="29"/>
      <c r="B212" s="29"/>
      <c r="C212" s="29"/>
      <c r="D212" s="29"/>
      <c r="E212" s="29"/>
      <c r="F212" s="29"/>
      <c r="G212" s="29"/>
      <c r="H212" s="29"/>
      <c r="I212" s="29"/>
    </row>
    <row r="213" spans="1:9">
      <c r="A213" s="29"/>
      <c r="B213" s="29"/>
      <c r="C213" s="29"/>
      <c r="D213" s="29"/>
      <c r="E213" s="29"/>
      <c r="F213" s="29"/>
      <c r="G213" s="29"/>
      <c r="H213" s="29"/>
      <c r="I213" s="29"/>
    </row>
    <row r="214" spans="1:9">
      <c r="A214" s="29"/>
      <c r="B214" s="29"/>
      <c r="C214" s="29"/>
      <c r="D214" s="29"/>
      <c r="E214" s="29"/>
      <c r="F214" s="29"/>
      <c r="G214" s="29"/>
      <c r="H214" s="29"/>
      <c r="I214" s="29"/>
    </row>
    <row r="215" spans="1:9">
      <c r="A215" s="29"/>
      <c r="B215" s="29"/>
      <c r="C215" s="29"/>
      <c r="D215" s="29"/>
      <c r="E215" s="29"/>
      <c r="F215" s="29"/>
      <c r="G215" s="29"/>
      <c r="H215" s="29"/>
      <c r="I215" s="29"/>
    </row>
    <row r="216" spans="1:9">
      <c r="A216" s="29"/>
      <c r="B216" s="29"/>
      <c r="C216" s="29"/>
      <c r="D216" s="29"/>
      <c r="E216" s="29"/>
      <c r="F216" s="29"/>
      <c r="G216" s="29"/>
      <c r="H216" s="29"/>
      <c r="I216" s="29"/>
    </row>
    <row r="217" spans="1:9">
      <c r="A217" s="29"/>
      <c r="B217" s="29"/>
      <c r="C217" s="29"/>
      <c r="D217" s="29"/>
      <c r="E217" s="29"/>
      <c r="F217" s="29"/>
      <c r="G217" s="29"/>
      <c r="H217" s="29"/>
      <c r="I217" s="29"/>
    </row>
    <row r="218" spans="1:9">
      <c r="A218" s="29"/>
      <c r="B218" s="29"/>
      <c r="C218" s="29"/>
      <c r="D218" s="29"/>
      <c r="E218" s="29"/>
      <c r="F218" s="29"/>
      <c r="G218" s="29"/>
      <c r="H218" s="29"/>
      <c r="I218" s="29"/>
    </row>
    <row r="219" spans="1:9">
      <c r="A219" s="29"/>
      <c r="B219" s="29"/>
      <c r="C219" s="29"/>
      <c r="D219" s="29"/>
      <c r="E219" s="29"/>
      <c r="F219" s="29"/>
      <c r="G219" s="29"/>
      <c r="H219" s="29"/>
      <c r="I219" s="29"/>
    </row>
    <row r="220" spans="1:9">
      <c r="A220" s="29"/>
      <c r="B220" s="29"/>
      <c r="C220" s="29"/>
      <c r="D220" s="29"/>
      <c r="E220" s="29"/>
      <c r="F220" s="29"/>
      <c r="G220" s="29"/>
      <c r="H220" s="29"/>
      <c r="I220" s="29"/>
    </row>
    <row r="221" spans="1:9">
      <c r="A221" s="29"/>
      <c r="B221" s="29"/>
      <c r="C221" s="29"/>
      <c r="D221" s="29"/>
      <c r="E221" s="29"/>
      <c r="F221" s="29"/>
      <c r="G221" s="29"/>
      <c r="H221" s="29"/>
      <c r="I221" s="29"/>
    </row>
    <row r="222" spans="1:9">
      <c r="A222" s="29"/>
      <c r="B222" s="29"/>
      <c r="C222" s="29"/>
      <c r="D222" s="29"/>
      <c r="E222" s="29"/>
      <c r="F222" s="29"/>
      <c r="G222" s="29"/>
      <c r="H222" s="29"/>
      <c r="I222" s="29"/>
    </row>
    <row r="223" spans="1:9">
      <c r="A223" s="29"/>
      <c r="B223" s="29"/>
      <c r="C223" s="29"/>
      <c r="D223" s="29"/>
      <c r="E223" s="29"/>
      <c r="F223" s="29"/>
      <c r="G223" s="29"/>
      <c r="H223" s="29"/>
      <c r="I223" s="29"/>
    </row>
    <row r="224" spans="1:9">
      <c r="A224" s="29"/>
      <c r="B224" s="29"/>
      <c r="C224" s="29"/>
      <c r="D224" s="29"/>
      <c r="E224" s="29"/>
      <c r="F224" s="29"/>
      <c r="G224" s="29"/>
      <c r="H224" s="29"/>
      <c r="I224" s="29"/>
    </row>
    <row r="225" spans="1:9">
      <c r="A225" s="29"/>
      <c r="B225" s="29"/>
      <c r="C225" s="29"/>
      <c r="D225" s="29"/>
      <c r="E225" s="29"/>
      <c r="F225" s="29"/>
      <c r="G225" s="29"/>
      <c r="H225" s="29"/>
      <c r="I225" s="29"/>
    </row>
    <row r="226" spans="1:9">
      <c r="A226" s="29"/>
      <c r="B226" s="29"/>
      <c r="C226" s="29"/>
      <c r="D226" s="29"/>
      <c r="E226" s="29"/>
      <c r="F226" s="29"/>
      <c r="G226" s="29"/>
      <c r="H226" s="29"/>
      <c r="I226" s="29"/>
    </row>
    <row r="227" spans="1:9">
      <c r="A227" s="29"/>
      <c r="B227" s="29"/>
      <c r="C227" s="29"/>
      <c r="D227" s="29"/>
      <c r="E227" s="29"/>
      <c r="F227" s="29"/>
      <c r="G227" s="29"/>
      <c r="H227" s="29"/>
      <c r="I227" s="29"/>
    </row>
    <row r="228" spans="1:9">
      <c r="A228" s="29"/>
      <c r="B228" s="29"/>
      <c r="C228" s="29"/>
      <c r="D228" s="29"/>
      <c r="E228" s="29"/>
      <c r="F228" s="29"/>
      <c r="G228" s="29"/>
      <c r="H228" s="29"/>
      <c r="I228" s="29"/>
    </row>
    <row r="229" spans="1:9">
      <c r="A229" s="29"/>
      <c r="B229" s="29"/>
      <c r="C229" s="29"/>
      <c r="D229" s="29"/>
      <c r="E229" s="29"/>
      <c r="F229" s="29"/>
      <c r="G229" s="29"/>
      <c r="H229" s="29"/>
      <c r="I229" s="29"/>
    </row>
    <row r="230" spans="1:9">
      <c r="A230" s="29"/>
      <c r="B230" s="29"/>
      <c r="C230" s="29"/>
      <c r="D230" s="29"/>
      <c r="E230" s="29"/>
      <c r="F230" s="29"/>
      <c r="G230" s="29"/>
      <c r="H230" s="29"/>
      <c r="I230" s="29"/>
    </row>
    <row r="231" spans="1:9">
      <c r="A231" s="29"/>
      <c r="B231" s="29"/>
      <c r="C231" s="29"/>
      <c r="D231" s="29"/>
      <c r="E231" s="29"/>
      <c r="F231" s="29"/>
      <c r="G231" s="29"/>
      <c r="H231" s="29"/>
      <c r="I231" s="29"/>
    </row>
    <row r="232" spans="1:9">
      <c r="A232" s="29"/>
      <c r="B232" s="29"/>
      <c r="C232" s="29"/>
      <c r="D232" s="29"/>
      <c r="E232" s="29"/>
      <c r="F232" s="29"/>
      <c r="G232" s="29"/>
      <c r="H232" s="29"/>
      <c r="I232" s="29"/>
    </row>
    <row r="233" spans="1:9">
      <c r="A233" s="29"/>
      <c r="B233" s="29"/>
      <c r="C233" s="29"/>
      <c r="D233" s="29"/>
      <c r="E233" s="29"/>
      <c r="F233" s="29"/>
      <c r="G233" s="29"/>
      <c r="H233" s="29"/>
      <c r="I233" s="29"/>
    </row>
    <row r="234" spans="1:9">
      <c r="A234" s="29"/>
      <c r="B234" s="29"/>
      <c r="C234" s="29"/>
      <c r="D234" s="29"/>
      <c r="E234" s="29"/>
      <c r="F234" s="29"/>
      <c r="G234" s="29"/>
      <c r="H234" s="29"/>
      <c r="I234" s="29"/>
    </row>
    <row r="235" spans="1:9">
      <c r="A235" s="29"/>
      <c r="B235" s="29"/>
      <c r="C235" s="29"/>
      <c r="D235" s="29"/>
      <c r="E235" s="29"/>
      <c r="F235" s="29"/>
      <c r="G235" s="29"/>
      <c r="H235" s="29"/>
      <c r="I235" s="29"/>
    </row>
    <row r="236" spans="1:9">
      <c r="A236" s="29"/>
      <c r="B236" s="29"/>
      <c r="C236" s="29"/>
      <c r="D236" s="29"/>
      <c r="E236" s="29"/>
      <c r="F236" s="29"/>
      <c r="G236" s="29"/>
      <c r="H236" s="29"/>
      <c r="I236" s="29"/>
    </row>
    <row r="237" spans="1:9">
      <c r="A237" s="29"/>
      <c r="B237" s="29"/>
      <c r="C237" s="29"/>
      <c r="D237" s="29"/>
      <c r="E237" s="29"/>
      <c r="F237" s="29"/>
      <c r="G237" s="29"/>
      <c r="H237" s="29"/>
      <c r="I237" s="29"/>
    </row>
    <row r="238" spans="1:9">
      <c r="A238" s="29"/>
      <c r="B238" s="29"/>
      <c r="C238" s="29"/>
      <c r="D238" s="29"/>
      <c r="E238" s="29"/>
      <c r="F238" s="29"/>
      <c r="G238" s="29"/>
      <c r="H238" s="29"/>
      <c r="I238" s="29"/>
    </row>
    <row r="239" spans="1:9">
      <c r="A239" s="29"/>
      <c r="B239" s="29"/>
      <c r="C239" s="29"/>
      <c r="D239" s="29"/>
      <c r="E239" s="29"/>
      <c r="F239" s="29"/>
      <c r="G239" s="29"/>
      <c r="H239" s="29"/>
      <c r="I239" s="29"/>
    </row>
    <row r="240" spans="1:9">
      <c r="A240" s="29"/>
      <c r="B240" s="29"/>
      <c r="C240" s="29"/>
      <c r="D240" s="29"/>
      <c r="E240" s="29"/>
      <c r="F240" s="29"/>
      <c r="G240" s="29"/>
      <c r="H240" s="29"/>
      <c r="I240" s="29"/>
    </row>
  </sheetData>
  <mergeCells count="6">
    <mergeCell ref="A9:F9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
Prepared by: Charles CHUKWUMA&amp;C
______________________________
Reviewed by: Peter DIRISU&amp;R
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61"/>
  </sheetPr>
  <dimension ref="A1:L211"/>
  <sheetViews>
    <sheetView showGridLines="0" view="pageLayout" zoomScale="70" zoomScaleNormal="110" zoomScalePageLayoutView="70" workbookViewId="0">
      <selection activeCell="E25" sqref="E25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5703125" bestFit="1" customWidth="1"/>
    <col min="11" max="11" width="18.42578125" bestFit="1" customWidth="1"/>
    <col min="12" max="12" width="11.28515625" style="1" bestFit="1" customWidth="1"/>
  </cols>
  <sheetData>
    <row r="1" spans="1:11" s="1" customFormat="1" ht="15.75">
      <c r="A1"/>
      <c r="B1" s="3" t="s">
        <v>53</v>
      </c>
      <c r="C1" s="2"/>
      <c r="D1" s="15"/>
      <c r="E1" s="2"/>
      <c r="F1" s="2"/>
      <c r="G1" s="2"/>
      <c r="H1" s="2"/>
      <c r="I1" s="2"/>
      <c r="J1" s="2"/>
      <c r="K1" s="2"/>
    </row>
    <row r="2" spans="1:11" s="1" customFormat="1" ht="17.25">
      <c r="A2"/>
      <c r="B2" s="162" t="s">
        <v>4</v>
      </c>
      <c r="C2" s="162"/>
      <c r="D2" s="162"/>
      <c r="E2" s="162"/>
      <c r="F2" s="162"/>
      <c r="G2" s="162"/>
      <c r="H2" s="162"/>
      <c r="I2" s="162"/>
      <c r="J2" s="162"/>
      <c r="K2" s="162"/>
    </row>
    <row r="3" spans="1:11" s="1" customFormat="1" ht="17.25">
      <c r="A3"/>
      <c r="B3" s="163"/>
      <c r="C3" s="163"/>
      <c r="D3" s="163"/>
      <c r="E3" s="163"/>
      <c r="F3" s="163"/>
      <c r="G3" s="163"/>
      <c r="H3" s="163"/>
      <c r="I3" s="163"/>
      <c r="J3" s="163"/>
      <c r="K3" s="163"/>
    </row>
    <row r="4" spans="1:11" s="1" customFormat="1" ht="15">
      <c r="A4"/>
      <c r="B4" s="17" t="s">
        <v>5</v>
      </c>
      <c r="C4" s="18" t="s">
        <v>6</v>
      </c>
      <c r="D4" s="28">
        <f ca="1">NOW()</f>
        <v>41940.317036458335</v>
      </c>
      <c r="E4" s="19"/>
      <c r="F4" s="19"/>
      <c r="G4" s="19"/>
      <c r="H4" s="19"/>
      <c r="I4" s="19"/>
      <c r="J4" s="19"/>
      <c r="K4" s="19"/>
    </row>
    <row r="5" spans="1:11" s="1" customFormat="1" ht="15">
      <c r="A5"/>
      <c r="B5" s="17" t="s">
        <v>7</v>
      </c>
      <c r="C5" s="18" t="s">
        <v>6</v>
      </c>
      <c r="D5" s="20">
        <v>41883</v>
      </c>
      <c r="E5" s="19"/>
      <c r="F5" s="19"/>
      <c r="G5" s="19"/>
      <c r="H5" s="19"/>
      <c r="I5" s="19"/>
      <c r="J5" s="19"/>
      <c r="K5" s="19"/>
    </row>
    <row r="6" spans="1:11" s="1" customFormat="1" ht="15">
      <c r="A6"/>
      <c r="B6" s="17" t="s">
        <v>8</v>
      </c>
      <c r="C6" s="18" t="s">
        <v>6</v>
      </c>
      <c r="D6" s="17" t="s">
        <v>55</v>
      </c>
      <c r="E6" s="19"/>
      <c r="F6" s="19"/>
      <c r="G6" s="19"/>
      <c r="H6" s="19"/>
      <c r="I6" s="19"/>
      <c r="J6" s="19"/>
      <c r="K6" s="19"/>
    </row>
    <row r="7" spans="1:11" s="1" customFormat="1" ht="1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1" s="1" customFormat="1" ht="15">
      <c r="A8"/>
      <c r="B8" s="17" t="s">
        <v>10</v>
      </c>
      <c r="C8" s="18" t="s">
        <v>6</v>
      </c>
      <c r="D8" s="21"/>
      <c r="E8" s="19"/>
      <c r="F8" s="19"/>
      <c r="G8" s="19"/>
      <c r="H8" s="19"/>
      <c r="I8" s="19"/>
      <c r="J8" s="19"/>
      <c r="K8" s="19"/>
    </row>
    <row r="9" spans="1:11" s="1" customFormat="1">
      <c r="A9"/>
      <c r="B9" s="22"/>
      <c r="C9" s="22"/>
      <c r="D9" s="22"/>
      <c r="E9" s="22"/>
      <c r="F9" s="22"/>
      <c r="G9" s="22"/>
      <c r="H9" s="22"/>
      <c r="I9" s="22"/>
      <c r="J9" s="23"/>
      <c r="K9" s="24"/>
    </row>
    <row r="10" spans="1:11" s="1" customFormat="1">
      <c r="A10"/>
      <c r="B10" s="128" t="s">
        <v>11</v>
      </c>
      <c r="C10" s="25"/>
      <c r="D10" s="128" t="s">
        <v>12</v>
      </c>
      <c r="E10" s="128" t="s">
        <v>13</v>
      </c>
      <c r="F10" s="128" t="s">
        <v>14</v>
      </c>
      <c r="G10" s="128" t="s">
        <v>14</v>
      </c>
      <c r="H10" s="128" t="s">
        <v>14</v>
      </c>
      <c r="I10" s="128" t="s">
        <v>15</v>
      </c>
      <c r="J10" s="164" t="s">
        <v>16</v>
      </c>
      <c r="K10" s="164"/>
    </row>
    <row r="11" spans="1:11" s="1" customFormat="1">
      <c r="A11"/>
      <c r="B11" s="26" t="s">
        <v>17</v>
      </c>
      <c r="C11" s="26" t="s">
        <v>18</v>
      </c>
      <c r="D11" s="26"/>
      <c r="E11" s="26" t="s">
        <v>19</v>
      </c>
      <c r="F11" s="26" t="s">
        <v>20</v>
      </c>
      <c r="G11" s="26" t="s">
        <v>21</v>
      </c>
      <c r="H11" s="26" t="s">
        <v>22</v>
      </c>
      <c r="I11" s="27"/>
      <c r="J11" s="26" t="s">
        <v>23</v>
      </c>
      <c r="K11" s="26" t="s">
        <v>24</v>
      </c>
    </row>
    <row r="12" spans="1:11" s="1" customFormat="1" ht="19.5" customHeight="1">
      <c r="A12"/>
      <c r="B12" s="142"/>
      <c r="C12" s="143"/>
      <c r="D12" s="144"/>
      <c r="E12" s="145"/>
      <c r="F12" s="146"/>
      <c r="G12" s="147"/>
      <c r="H12" s="148"/>
      <c r="I12" s="149"/>
      <c r="J12" s="64"/>
      <c r="K12" s="64"/>
    </row>
    <row r="13" spans="1:11" s="1" customFormat="1" ht="19.5" customHeight="1">
      <c r="A13" s="8"/>
      <c r="B13" s="59" t="s">
        <v>25</v>
      </c>
      <c r="C13" s="60"/>
      <c r="D13" s="60"/>
      <c r="E13" s="61"/>
      <c r="F13" s="62"/>
      <c r="G13" s="62"/>
      <c r="H13" s="62"/>
      <c r="I13" s="62"/>
      <c r="J13" s="62">
        <f>SUM(J12:J12)</f>
        <v>0</v>
      </c>
      <c r="K13" s="62">
        <f>SUM(K12:K12)</f>
        <v>0</v>
      </c>
    </row>
    <row r="14" spans="1:11" s="1" customFormat="1" ht="14.25">
      <c r="A14"/>
      <c r="B14" s="14"/>
      <c r="C14" s="14"/>
      <c r="D14" s="14"/>
      <c r="E14" s="14"/>
      <c r="F14" s="14"/>
      <c r="G14" s="14"/>
      <c r="H14"/>
      <c r="I14"/>
      <c r="J14"/>
      <c r="K14"/>
    </row>
    <row r="15" spans="1:11" s="1" customFormat="1" ht="14.25">
      <c r="A15"/>
      <c r="B15" s="14"/>
      <c r="C15" s="14"/>
      <c r="D15" s="14"/>
      <c r="E15" s="14"/>
      <c r="F15" s="14"/>
      <c r="G15" s="14"/>
      <c r="H15"/>
      <c r="I15"/>
      <c r="J15"/>
      <c r="K15"/>
    </row>
    <row r="16" spans="1:11" s="1" customFormat="1" ht="14.25">
      <c r="A16"/>
      <c r="B16" s="14"/>
      <c r="C16" s="14"/>
      <c r="D16" s="14"/>
      <c r="E16" s="14"/>
      <c r="F16" s="14"/>
      <c r="G16" s="14"/>
      <c r="H16"/>
      <c r="I16"/>
      <c r="J16"/>
      <c r="K16"/>
    </row>
    <row r="17" spans="1:11" s="1" customFormat="1" ht="14.25">
      <c r="A17"/>
      <c r="B17" s="14"/>
      <c r="C17" s="14"/>
      <c r="D17" s="14"/>
      <c r="E17" s="14"/>
      <c r="F17" s="14"/>
      <c r="G17" s="14"/>
      <c r="H17"/>
      <c r="I17"/>
      <c r="J17"/>
      <c r="K17"/>
    </row>
    <row r="18" spans="1:11">
      <c r="B18" s="8"/>
      <c r="C18" s="8"/>
      <c r="D18" s="8"/>
      <c r="E18" s="8"/>
      <c r="F18" s="8"/>
      <c r="G18" s="8"/>
    </row>
    <row r="19" spans="1:11" ht="15.75">
      <c r="B19" s="5"/>
      <c r="C19" s="5"/>
      <c r="D19" s="5"/>
      <c r="E19" s="5"/>
      <c r="F19" s="5"/>
      <c r="G19" s="5"/>
    </row>
    <row r="20" spans="1:11" ht="15.75">
      <c r="B20" s="5"/>
      <c r="C20" s="5"/>
      <c r="D20" s="5"/>
      <c r="E20" s="5"/>
      <c r="F20" s="5"/>
      <c r="G20" s="5"/>
    </row>
    <row r="21" spans="1:11" ht="15.75">
      <c r="B21" s="5"/>
      <c r="C21" s="5"/>
      <c r="D21" s="5"/>
      <c r="E21" s="5"/>
      <c r="F21" s="5"/>
      <c r="G21" s="5"/>
    </row>
    <row r="22" spans="1:11" ht="15">
      <c r="B22" s="6"/>
      <c r="C22" s="6"/>
      <c r="D22" s="6"/>
      <c r="E22" s="6"/>
      <c r="F22" s="7"/>
      <c r="G22" s="6"/>
    </row>
    <row r="23" spans="1:11" ht="15">
      <c r="B23" s="6"/>
      <c r="C23" s="6"/>
      <c r="D23" s="6"/>
      <c r="E23" s="6"/>
      <c r="F23" s="6"/>
      <c r="G23" s="6"/>
    </row>
    <row r="24" spans="1:11" ht="15">
      <c r="B24" s="6"/>
      <c r="C24" s="6"/>
      <c r="D24" s="6"/>
      <c r="E24" s="6"/>
      <c r="F24" s="6"/>
      <c r="G24" s="6"/>
    </row>
    <row r="25" spans="1:11" ht="15">
      <c r="B25" s="6"/>
      <c r="C25" s="6"/>
      <c r="D25" s="6"/>
      <c r="E25" s="6"/>
      <c r="F25" s="6"/>
      <c r="G25" s="6"/>
    </row>
    <row r="26" spans="1:11" ht="15">
      <c r="B26" s="6"/>
      <c r="C26" s="6"/>
      <c r="D26" s="6"/>
      <c r="E26" s="6"/>
      <c r="F26" s="6"/>
      <c r="G26" s="6"/>
    </row>
    <row r="27" spans="1:11" ht="15">
      <c r="B27" s="6"/>
      <c r="C27" s="6"/>
      <c r="D27" s="6"/>
      <c r="E27" s="6"/>
      <c r="F27" s="6"/>
      <c r="G27" s="6"/>
    </row>
    <row r="28" spans="1:11" ht="15">
      <c r="B28" s="6"/>
      <c r="C28" s="6"/>
      <c r="D28" s="6"/>
      <c r="E28" s="6"/>
      <c r="F28" s="6"/>
      <c r="G28" s="6"/>
    </row>
    <row r="29" spans="1:11" ht="15">
      <c r="B29" s="6"/>
      <c r="C29" s="6"/>
      <c r="D29" s="6"/>
      <c r="E29" s="6"/>
      <c r="F29" s="6"/>
      <c r="G29" s="6"/>
    </row>
    <row r="30" spans="1:11" ht="15">
      <c r="B30" s="6"/>
      <c r="C30" s="6"/>
      <c r="D30" s="6"/>
      <c r="E30" s="6"/>
      <c r="F30" s="6"/>
      <c r="G30" s="6"/>
    </row>
    <row r="31" spans="1:11" ht="15">
      <c r="B31" s="6"/>
      <c r="C31" s="6"/>
      <c r="D31" s="6"/>
      <c r="E31" s="6"/>
      <c r="F31" s="6"/>
      <c r="G31" s="6"/>
    </row>
    <row r="32" spans="1:11" ht="15">
      <c r="B32" s="9"/>
      <c r="C32" s="4"/>
      <c r="D32" s="4"/>
      <c r="E32" s="4"/>
      <c r="F32" s="4"/>
      <c r="G32" s="4"/>
    </row>
    <row r="33" spans="2:7" ht="15">
      <c r="B33" s="6"/>
      <c r="C33" s="6"/>
      <c r="D33" s="6"/>
      <c r="E33" s="6"/>
      <c r="F33" s="6"/>
      <c r="G33" s="6"/>
    </row>
    <row r="34" spans="2:7" ht="15">
      <c r="B34" s="6"/>
      <c r="C34" s="6"/>
      <c r="D34" s="6"/>
      <c r="E34" s="6"/>
      <c r="F34" s="6"/>
      <c r="G34" s="6"/>
    </row>
    <row r="35" spans="2:7" ht="15">
      <c r="B35" s="6"/>
      <c r="C35" s="6"/>
      <c r="D35" s="6"/>
      <c r="E35" s="6"/>
      <c r="F35" s="6"/>
      <c r="G35" s="6"/>
    </row>
    <row r="36" spans="2:7" ht="15">
      <c r="B36" s="6"/>
      <c r="C36" s="6"/>
      <c r="D36" s="6"/>
      <c r="E36" s="6"/>
      <c r="F36" s="6"/>
      <c r="G36" s="6"/>
    </row>
    <row r="37" spans="2:7">
      <c r="B37" s="10"/>
      <c r="C37" s="10"/>
      <c r="D37" s="10"/>
      <c r="E37" s="10"/>
      <c r="F37" s="10"/>
      <c r="G37" s="10"/>
    </row>
    <row r="38" spans="2:7">
      <c r="B38" s="11"/>
      <c r="C38" s="12"/>
      <c r="D38" s="12"/>
      <c r="E38" s="12"/>
      <c r="F38" s="12"/>
      <c r="G38" s="12"/>
    </row>
    <row r="39" spans="2:7">
      <c r="B39" s="13"/>
      <c r="C39" s="12"/>
      <c r="D39" s="12"/>
      <c r="E39" s="12"/>
      <c r="F39" s="12"/>
      <c r="G39" s="12"/>
    </row>
    <row r="40" spans="2:7">
      <c r="B40" s="13"/>
      <c r="C40" s="13"/>
      <c r="D40" s="13"/>
      <c r="E40" s="13"/>
      <c r="F40" s="13"/>
      <c r="G40" s="13"/>
    </row>
    <row r="41" spans="2:7" ht="15">
      <c r="B41" s="6"/>
      <c r="C41" s="6"/>
      <c r="D41" s="6"/>
      <c r="E41" s="6"/>
      <c r="F41" s="6"/>
      <c r="G41" s="6"/>
    </row>
    <row r="42" spans="2:7" ht="15">
      <c r="B42" s="4"/>
      <c r="C42" s="4"/>
      <c r="D42" s="4"/>
      <c r="E42" s="4"/>
      <c r="F42" s="4"/>
      <c r="G42" s="6"/>
    </row>
    <row r="43" spans="2:7" ht="15">
      <c r="B43" s="6"/>
      <c r="C43" s="6"/>
      <c r="D43" s="6"/>
      <c r="E43" s="6"/>
      <c r="F43" s="6"/>
      <c r="G43" s="6"/>
    </row>
    <row r="44" spans="2:7" ht="15">
      <c r="B44" s="6"/>
      <c r="C44" s="6"/>
      <c r="D44" s="6"/>
      <c r="E44" s="6"/>
      <c r="F44" s="6"/>
      <c r="G44" s="6"/>
    </row>
    <row r="45" spans="2:7" ht="15">
      <c r="B45" s="6"/>
      <c r="C45" s="6"/>
      <c r="D45" s="6"/>
      <c r="E45" s="6"/>
      <c r="F45" s="6"/>
      <c r="G45" s="6"/>
    </row>
    <row r="46" spans="2:7" ht="15">
      <c r="B46" s="6"/>
      <c r="C46" s="6"/>
      <c r="D46" s="6"/>
      <c r="E46" s="6"/>
      <c r="F46" s="6"/>
      <c r="G46" s="6"/>
    </row>
    <row r="47" spans="2:7" ht="15">
      <c r="B47" s="6"/>
      <c r="C47" s="6"/>
      <c r="D47" s="6"/>
      <c r="E47" s="6"/>
      <c r="F47" s="6"/>
      <c r="G47" s="6"/>
    </row>
    <row r="48" spans="2:7" ht="15">
      <c r="B48" s="4"/>
      <c r="C48" s="4"/>
      <c r="D48" s="4"/>
      <c r="E48" s="4"/>
      <c r="F48" s="4"/>
      <c r="G48" s="4"/>
    </row>
    <row r="49" spans="2:7" ht="15">
      <c r="B49" s="6"/>
      <c r="C49" s="6"/>
      <c r="D49" s="6"/>
      <c r="E49" s="6"/>
      <c r="F49" s="6"/>
      <c r="G49" s="6"/>
    </row>
    <row r="50" spans="2:7" ht="15">
      <c r="B50" s="6"/>
      <c r="C50" s="6"/>
      <c r="D50" s="6"/>
      <c r="E50" s="6"/>
      <c r="F50" s="6"/>
      <c r="G50" s="6"/>
    </row>
    <row r="51" spans="2:7" ht="15">
      <c r="B51" s="6"/>
      <c r="C51" s="6"/>
      <c r="D51" s="6"/>
      <c r="E51" s="6"/>
      <c r="F51" s="6"/>
      <c r="G51" s="6"/>
    </row>
    <row r="52" spans="2:7" ht="15">
      <c r="B52" s="6"/>
      <c r="C52" s="6"/>
      <c r="D52" s="6"/>
      <c r="E52" s="6"/>
      <c r="F52" s="6"/>
      <c r="G52" s="6"/>
    </row>
    <row r="53" spans="2:7" ht="15">
      <c r="B53" s="6"/>
      <c r="C53" s="6"/>
      <c r="D53" s="6"/>
      <c r="E53" s="6"/>
      <c r="F53" s="6"/>
      <c r="G53" s="6"/>
    </row>
    <row r="54" spans="2:7" ht="15">
      <c r="B54" s="6"/>
      <c r="C54" s="6"/>
      <c r="D54" s="6"/>
      <c r="E54" s="6"/>
      <c r="F54" s="6"/>
      <c r="G54" s="6"/>
    </row>
    <row r="55" spans="2:7" ht="15">
      <c r="B55" s="6"/>
      <c r="C55" s="6"/>
      <c r="D55" s="6"/>
      <c r="E55" s="6"/>
      <c r="F55" s="6"/>
      <c r="G55" s="6"/>
    </row>
    <row r="56" spans="2:7" ht="15">
      <c r="B56" s="6"/>
      <c r="C56" s="6"/>
      <c r="D56" s="6"/>
      <c r="E56" s="6"/>
      <c r="F56" s="6"/>
      <c r="G56" s="6"/>
    </row>
    <row r="57" spans="2:7" ht="15">
      <c r="B57" s="6"/>
      <c r="C57" s="6"/>
      <c r="D57" s="6"/>
      <c r="E57" s="6"/>
      <c r="F57" s="6"/>
      <c r="G57" s="6"/>
    </row>
    <row r="58" spans="2:7" ht="15">
      <c r="B58" s="6"/>
      <c r="C58" s="6"/>
      <c r="D58" s="6"/>
      <c r="E58" s="6"/>
      <c r="F58" s="6"/>
      <c r="G58" s="6"/>
    </row>
    <row r="59" spans="2:7" ht="15">
      <c r="B59" s="6"/>
      <c r="C59" s="6"/>
      <c r="D59" s="6"/>
      <c r="E59" s="6"/>
      <c r="F59" s="6"/>
      <c r="G59" s="6"/>
    </row>
    <row r="60" spans="2:7" ht="14.25">
      <c r="B60" s="14"/>
      <c r="C60" s="14"/>
      <c r="D60" s="14"/>
      <c r="E60" s="14"/>
      <c r="F60" s="14"/>
      <c r="G60" s="14"/>
    </row>
    <row r="61" spans="2:7">
      <c r="B61" s="8"/>
      <c r="C61" s="8"/>
      <c r="D61" s="8"/>
      <c r="E61" s="8"/>
      <c r="F61" s="8"/>
      <c r="G61" s="8"/>
    </row>
    <row r="62" spans="2:7">
      <c r="B62" s="8"/>
      <c r="C62" s="8"/>
      <c r="D62" s="8"/>
      <c r="E62" s="8"/>
      <c r="F62" s="8"/>
      <c r="G62" s="8"/>
    </row>
    <row r="63" spans="2:7">
      <c r="B63" s="8"/>
      <c r="C63" s="8"/>
      <c r="D63" s="8"/>
      <c r="E63" s="8"/>
      <c r="F63" s="8"/>
      <c r="G63" s="8"/>
    </row>
    <row r="64" spans="2:7">
      <c r="B64" s="8"/>
      <c r="C64" s="8"/>
      <c r="D64" s="8"/>
      <c r="E64" s="8"/>
      <c r="F64" s="8"/>
      <c r="G64" s="8"/>
    </row>
    <row r="65" spans="2:7">
      <c r="B65" s="8"/>
      <c r="C65" s="8"/>
      <c r="D65" s="8"/>
      <c r="E65" s="8"/>
      <c r="F65" s="8"/>
      <c r="G65" s="8"/>
    </row>
    <row r="66" spans="2:7">
      <c r="B66" s="8"/>
      <c r="C66" s="8"/>
      <c r="D66" s="8"/>
      <c r="E66" s="8"/>
      <c r="F66" s="8"/>
      <c r="G66" s="8"/>
    </row>
    <row r="67" spans="2:7">
      <c r="B67" s="8"/>
      <c r="C67" s="8"/>
      <c r="D67" s="8"/>
      <c r="E67" s="8"/>
      <c r="F67" s="8"/>
      <c r="G67" s="8"/>
    </row>
    <row r="68" spans="2:7" ht="15.75">
      <c r="B68" s="5"/>
      <c r="C68" s="5"/>
      <c r="D68" s="5"/>
      <c r="E68" s="5"/>
      <c r="F68" s="5"/>
      <c r="G68" s="5"/>
    </row>
    <row r="69" spans="2:7" ht="15.75">
      <c r="B69" s="5"/>
      <c r="C69" s="5"/>
      <c r="D69" s="5"/>
      <c r="E69" s="5"/>
      <c r="F69" s="5"/>
      <c r="G69" s="5"/>
    </row>
    <row r="70" spans="2:7" ht="15.75">
      <c r="B70" s="5"/>
      <c r="C70" s="5"/>
      <c r="D70" s="5"/>
      <c r="E70" s="5"/>
      <c r="F70" s="5"/>
      <c r="G70" s="5"/>
    </row>
    <row r="71" spans="2:7" ht="15">
      <c r="B71" s="6"/>
      <c r="C71" s="6"/>
      <c r="D71" s="6"/>
      <c r="E71" s="6"/>
      <c r="F71" s="7"/>
      <c r="G71" s="6"/>
    </row>
    <row r="72" spans="2:7" ht="15">
      <c r="B72" s="6"/>
      <c r="C72" s="6"/>
      <c r="D72" s="6"/>
      <c r="E72" s="6"/>
      <c r="F72" s="6"/>
      <c r="G72" s="6"/>
    </row>
    <row r="73" spans="2:7" ht="15">
      <c r="B73" s="6"/>
      <c r="C73" s="6"/>
      <c r="D73" s="6"/>
      <c r="E73" s="6"/>
      <c r="F73" s="6"/>
      <c r="G73" s="6"/>
    </row>
    <row r="74" spans="2:7" ht="15">
      <c r="B74" s="6"/>
      <c r="C74" s="6"/>
      <c r="D74" s="6"/>
      <c r="E74" s="6"/>
      <c r="F74" s="6"/>
      <c r="G74" s="6"/>
    </row>
    <row r="75" spans="2:7" ht="15">
      <c r="B75" s="6"/>
      <c r="C75" s="6"/>
      <c r="D75" s="6"/>
      <c r="E75" s="6"/>
      <c r="F75" s="6"/>
      <c r="G75" s="6"/>
    </row>
    <row r="76" spans="2:7" ht="15">
      <c r="B76" s="6"/>
      <c r="C76" s="6"/>
      <c r="D76" s="6"/>
      <c r="E76" s="6"/>
      <c r="F76" s="6"/>
      <c r="G76" s="6"/>
    </row>
    <row r="77" spans="2:7" ht="15">
      <c r="B77" s="6"/>
      <c r="C77" s="6"/>
      <c r="D77" s="6"/>
      <c r="E77" s="6"/>
      <c r="F77" s="6"/>
      <c r="G77" s="6"/>
    </row>
    <row r="78" spans="2:7" ht="15">
      <c r="B78" s="6"/>
      <c r="C78" s="6"/>
      <c r="D78" s="6"/>
      <c r="E78" s="6"/>
      <c r="F78" s="6"/>
      <c r="G78" s="6"/>
    </row>
    <row r="79" spans="2:7" ht="15">
      <c r="B79" s="6"/>
      <c r="C79" s="6"/>
      <c r="D79" s="6"/>
      <c r="E79" s="6"/>
      <c r="F79" s="6"/>
      <c r="G79" s="6"/>
    </row>
    <row r="80" spans="2:7" ht="15">
      <c r="B80" s="6"/>
      <c r="C80" s="6"/>
      <c r="D80" s="6"/>
      <c r="E80" s="6"/>
      <c r="F80" s="6"/>
      <c r="G80" s="6"/>
    </row>
    <row r="81" spans="2:7" ht="15">
      <c r="B81" s="9"/>
      <c r="C81" s="4"/>
      <c r="D81" s="4"/>
      <c r="E81" s="4"/>
      <c r="F81" s="4"/>
      <c r="G81" s="4"/>
    </row>
    <row r="82" spans="2:7" ht="15">
      <c r="B82" s="6"/>
      <c r="C82" s="6"/>
      <c r="D82" s="6"/>
      <c r="E82" s="6"/>
      <c r="F82" s="6"/>
      <c r="G82" s="6"/>
    </row>
    <row r="83" spans="2:7" ht="15">
      <c r="B83" s="6"/>
      <c r="C83" s="6"/>
      <c r="D83" s="6"/>
      <c r="E83" s="6"/>
      <c r="F83" s="6"/>
      <c r="G83" s="6"/>
    </row>
    <row r="84" spans="2:7" ht="15">
      <c r="B84" s="6"/>
      <c r="C84" s="6"/>
      <c r="D84" s="6"/>
      <c r="E84" s="6"/>
      <c r="F84" s="6"/>
      <c r="G84" s="6"/>
    </row>
    <row r="85" spans="2:7" ht="15">
      <c r="B85" s="6"/>
      <c r="C85" s="6"/>
      <c r="D85" s="6"/>
      <c r="E85" s="6"/>
      <c r="F85" s="6"/>
      <c r="G85" s="6"/>
    </row>
    <row r="86" spans="2:7">
      <c r="B86" s="10"/>
      <c r="C86" s="10"/>
      <c r="D86" s="10"/>
      <c r="E86" s="10"/>
      <c r="F86" s="10"/>
      <c r="G86" s="10"/>
    </row>
    <row r="87" spans="2:7">
      <c r="B87" s="11"/>
      <c r="C87" s="12"/>
      <c r="D87" s="12"/>
      <c r="E87" s="12"/>
      <c r="F87" s="12"/>
      <c r="G87" s="12"/>
    </row>
    <row r="88" spans="2:7">
      <c r="B88" s="13"/>
      <c r="C88" s="12"/>
      <c r="D88" s="12"/>
      <c r="E88" s="12"/>
      <c r="F88" s="12"/>
      <c r="G88" s="12"/>
    </row>
    <row r="89" spans="2:7">
      <c r="B89" s="13"/>
      <c r="C89" s="13"/>
      <c r="D89" s="13"/>
      <c r="E89" s="13"/>
      <c r="F89" s="13"/>
      <c r="G89" s="13"/>
    </row>
    <row r="90" spans="2:7" ht="15">
      <c r="B90" s="6"/>
      <c r="C90" s="6"/>
      <c r="D90" s="6"/>
      <c r="E90" s="6"/>
      <c r="F90" s="6"/>
      <c r="G90" s="6"/>
    </row>
    <row r="91" spans="2:7" ht="15">
      <c r="B91" s="4"/>
      <c r="C91" s="4"/>
      <c r="D91" s="4"/>
      <c r="E91" s="4"/>
      <c r="F91" s="4"/>
      <c r="G91" s="6"/>
    </row>
    <row r="92" spans="2:7" ht="15">
      <c r="B92" s="6"/>
      <c r="C92" s="6"/>
      <c r="D92" s="6"/>
      <c r="E92" s="6"/>
      <c r="F92" s="6"/>
      <c r="G92" s="6"/>
    </row>
    <row r="93" spans="2:7" ht="15">
      <c r="B93" s="6"/>
      <c r="C93" s="6"/>
      <c r="D93" s="6"/>
      <c r="E93" s="6"/>
      <c r="F93" s="6"/>
      <c r="G93" s="6"/>
    </row>
    <row r="94" spans="2:7" ht="15">
      <c r="B94" s="6"/>
      <c r="C94" s="6"/>
      <c r="D94" s="6"/>
      <c r="E94" s="6"/>
      <c r="F94" s="6"/>
      <c r="G94" s="6"/>
    </row>
    <row r="95" spans="2:7" ht="15">
      <c r="B95" s="6"/>
      <c r="C95" s="6"/>
      <c r="D95" s="6"/>
      <c r="E95" s="6"/>
      <c r="F95" s="6"/>
      <c r="G95" s="6"/>
    </row>
    <row r="96" spans="2:7" ht="15">
      <c r="B96" s="6"/>
      <c r="C96" s="6"/>
      <c r="D96" s="6"/>
      <c r="E96" s="6"/>
      <c r="F96" s="6"/>
      <c r="G96" s="6"/>
    </row>
    <row r="97" spans="2:7" ht="15">
      <c r="B97" s="4"/>
      <c r="C97" s="4"/>
      <c r="D97" s="4"/>
      <c r="E97" s="4"/>
      <c r="F97" s="4"/>
      <c r="G97" s="4"/>
    </row>
    <row r="98" spans="2:7" ht="15">
      <c r="B98" s="6"/>
      <c r="C98" s="6"/>
      <c r="D98" s="6"/>
      <c r="E98" s="6"/>
      <c r="F98" s="6"/>
      <c r="G98" s="6"/>
    </row>
    <row r="99" spans="2:7" ht="14.25">
      <c r="B99" s="14"/>
      <c r="C99" s="14"/>
      <c r="D99" s="14"/>
      <c r="E99" s="14"/>
      <c r="F99" s="14"/>
      <c r="G99" s="14"/>
    </row>
    <row r="100" spans="2:7">
      <c r="B100" s="8"/>
      <c r="C100" s="8"/>
      <c r="D100" s="8"/>
      <c r="E100" s="8"/>
      <c r="F100" s="8"/>
      <c r="G100" s="8"/>
    </row>
    <row r="101" spans="2:7">
      <c r="B101" s="8"/>
      <c r="C101" s="8"/>
      <c r="D101" s="8"/>
      <c r="E101" s="8"/>
      <c r="F101" s="8"/>
      <c r="G101" s="8"/>
    </row>
    <row r="102" spans="2:7">
      <c r="B102" s="8"/>
      <c r="C102" s="8"/>
      <c r="D102" s="8"/>
      <c r="E102" s="8"/>
      <c r="F102" s="8"/>
      <c r="G102" s="8"/>
    </row>
    <row r="103" spans="2:7">
      <c r="B103" s="8"/>
      <c r="C103" s="8"/>
      <c r="D103" s="8"/>
      <c r="E103" s="8"/>
      <c r="F103" s="8"/>
      <c r="G103" s="8"/>
    </row>
    <row r="104" spans="2:7">
      <c r="B104" s="8"/>
      <c r="C104" s="8"/>
      <c r="D104" s="8"/>
      <c r="E104" s="8"/>
      <c r="F104" s="8"/>
      <c r="G104" s="8"/>
    </row>
    <row r="105" spans="2:7">
      <c r="B105" s="8"/>
      <c r="C105" s="8"/>
      <c r="D105" s="8"/>
      <c r="E105" s="8"/>
      <c r="F105" s="8"/>
      <c r="G105" s="8"/>
    </row>
    <row r="106" spans="2:7">
      <c r="B106" s="8"/>
      <c r="C106" s="8"/>
      <c r="D106" s="8"/>
      <c r="E106" s="8"/>
      <c r="F106" s="8"/>
      <c r="G106" s="8"/>
    </row>
    <row r="107" spans="2:7">
      <c r="B107" s="8"/>
      <c r="C107" s="8"/>
      <c r="D107" s="8"/>
      <c r="E107" s="8"/>
      <c r="F107" s="8"/>
      <c r="G107" s="8"/>
    </row>
    <row r="108" spans="2:7" ht="15.75">
      <c r="B108" s="5"/>
      <c r="C108" s="5"/>
      <c r="D108" s="5"/>
      <c r="E108" s="5"/>
      <c r="F108" s="5"/>
      <c r="G108" s="5"/>
    </row>
    <row r="109" spans="2:7" ht="15.75">
      <c r="B109" s="5"/>
      <c r="C109" s="5"/>
      <c r="D109" s="5"/>
      <c r="E109" s="5"/>
      <c r="F109" s="5"/>
      <c r="G109" s="5"/>
    </row>
    <row r="110" spans="2:7" ht="15.75">
      <c r="B110" s="5"/>
      <c r="C110" s="5"/>
      <c r="D110" s="5"/>
      <c r="E110" s="5"/>
      <c r="F110" s="5"/>
      <c r="G110" s="5"/>
    </row>
    <row r="111" spans="2:7" ht="15">
      <c r="B111" s="6"/>
      <c r="C111" s="6"/>
      <c r="D111" s="6"/>
      <c r="E111" s="6"/>
      <c r="F111" s="7"/>
      <c r="G111" s="6"/>
    </row>
    <row r="112" spans="2:7" ht="15">
      <c r="B112" s="6"/>
      <c r="C112" s="6"/>
      <c r="D112" s="6"/>
      <c r="E112" s="6"/>
      <c r="F112" s="6"/>
      <c r="G112" s="6"/>
    </row>
    <row r="113" spans="2:7" ht="15">
      <c r="B113" s="6"/>
      <c r="C113" s="6"/>
      <c r="D113" s="6"/>
      <c r="E113" s="6"/>
      <c r="F113" s="6"/>
      <c r="G113" s="6"/>
    </row>
    <row r="114" spans="2:7" ht="15">
      <c r="B114" s="6"/>
      <c r="C114" s="6"/>
      <c r="D114" s="6"/>
      <c r="E114" s="6"/>
      <c r="F114" s="6"/>
      <c r="G114" s="6"/>
    </row>
    <row r="115" spans="2:7" ht="15">
      <c r="B115" s="6"/>
      <c r="C115" s="6"/>
      <c r="D115" s="6"/>
      <c r="E115" s="6"/>
      <c r="F115" s="6"/>
      <c r="G115" s="6"/>
    </row>
    <row r="116" spans="2:7" ht="15">
      <c r="B116" s="6"/>
      <c r="C116" s="6"/>
      <c r="D116" s="6"/>
      <c r="E116" s="6"/>
      <c r="F116" s="6"/>
      <c r="G116" s="6"/>
    </row>
    <row r="117" spans="2:7" ht="15">
      <c r="B117" s="6"/>
      <c r="C117" s="6"/>
      <c r="D117" s="6"/>
      <c r="E117" s="6"/>
      <c r="F117" s="6"/>
      <c r="G117" s="6"/>
    </row>
    <row r="118" spans="2:7" ht="15">
      <c r="B118" s="6"/>
      <c r="C118" s="6"/>
      <c r="D118" s="6"/>
      <c r="E118" s="6"/>
      <c r="F118" s="6"/>
      <c r="G118" s="6"/>
    </row>
    <row r="119" spans="2:7" ht="15">
      <c r="B119" s="6"/>
      <c r="C119" s="6"/>
      <c r="D119" s="6"/>
      <c r="E119" s="6"/>
      <c r="F119" s="6"/>
      <c r="G119" s="6"/>
    </row>
    <row r="120" spans="2:7" ht="15">
      <c r="B120" s="6"/>
      <c r="C120" s="6"/>
      <c r="D120" s="6"/>
      <c r="E120" s="6"/>
      <c r="F120" s="6"/>
      <c r="G120" s="6"/>
    </row>
    <row r="121" spans="2:7" ht="15">
      <c r="B121" s="9"/>
      <c r="C121" s="4"/>
      <c r="D121" s="4"/>
      <c r="E121" s="4"/>
      <c r="F121" s="4"/>
      <c r="G121" s="4"/>
    </row>
    <row r="122" spans="2:7" ht="15">
      <c r="B122" s="6"/>
      <c r="C122" s="6"/>
      <c r="D122" s="6"/>
      <c r="E122" s="6"/>
      <c r="F122" s="6"/>
      <c r="G122" s="6"/>
    </row>
    <row r="123" spans="2:7" ht="15">
      <c r="B123" s="6"/>
      <c r="C123" s="6"/>
      <c r="D123" s="6"/>
      <c r="E123" s="6"/>
      <c r="F123" s="6"/>
      <c r="G123" s="6"/>
    </row>
    <row r="124" spans="2:7" ht="15">
      <c r="B124" s="6"/>
      <c r="C124" s="6"/>
      <c r="D124" s="6"/>
      <c r="E124" s="6"/>
      <c r="F124" s="6"/>
      <c r="G124" s="6"/>
    </row>
    <row r="125" spans="2:7" ht="15">
      <c r="B125" s="6"/>
      <c r="C125" s="6"/>
      <c r="D125" s="6"/>
      <c r="E125" s="6"/>
      <c r="F125" s="6"/>
      <c r="G125" s="6"/>
    </row>
    <row r="126" spans="2:7">
      <c r="B126" s="10"/>
      <c r="C126" s="10"/>
      <c r="D126" s="10"/>
      <c r="E126" s="10"/>
      <c r="F126" s="10"/>
      <c r="G126" s="10"/>
    </row>
    <row r="127" spans="2:7">
      <c r="B127" s="11"/>
      <c r="C127" s="12"/>
      <c r="D127" s="12"/>
      <c r="E127" s="12"/>
      <c r="F127" s="12"/>
      <c r="G127" s="12"/>
    </row>
    <row r="128" spans="2:7">
      <c r="B128" s="13"/>
      <c r="C128" s="12"/>
      <c r="D128" s="12"/>
      <c r="E128" s="12"/>
      <c r="F128" s="12"/>
      <c r="G128" s="12"/>
    </row>
    <row r="129" spans="2:7">
      <c r="B129" s="13"/>
      <c r="C129" s="13"/>
      <c r="D129" s="13"/>
      <c r="E129" s="13"/>
      <c r="F129" s="13"/>
      <c r="G129" s="13"/>
    </row>
    <row r="130" spans="2:7" ht="15">
      <c r="B130" s="6"/>
      <c r="C130" s="6"/>
      <c r="D130" s="6"/>
      <c r="E130" s="6"/>
      <c r="F130" s="6"/>
      <c r="G130" s="6"/>
    </row>
    <row r="131" spans="2:7" ht="15">
      <c r="B131" s="4"/>
      <c r="C131" s="4"/>
      <c r="D131" s="4"/>
      <c r="E131" s="4"/>
      <c r="F131" s="4"/>
      <c r="G131" s="6"/>
    </row>
    <row r="132" spans="2:7" ht="15">
      <c r="B132" s="6"/>
      <c r="C132" s="6"/>
      <c r="D132" s="6"/>
      <c r="E132" s="6"/>
      <c r="F132" s="6"/>
      <c r="G132" s="6"/>
    </row>
    <row r="133" spans="2:7" ht="15">
      <c r="B133" s="6"/>
      <c r="C133" s="6"/>
      <c r="D133" s="6"/>
      <c r="E133" s="6"/>
      <c r="F133" s="6"/>
      <c r="G133" s="6"/>
    </row>
    <row r="134" spans="2:7" ht="15">
      <c r="B134" s="6"/>
      <c r="C134" s="6"/>
      <c r="D134" s="6"/>
      <c r="E134" s="6"/>
      <c r="F134" s="6"/>
      <c r="G134" s="6"/>
    </row>
    <row r="135" spans="2:7" ht="15">
      <c r="B135" s="6"/>
      <c r="C135" s="6"/>
      <c r="D135" s="6"/>
      <c r="E135" s="6"/>
      <c r="F135" s="6"/>
      <c r="G135" s="6"/>
    </row>
    <row r="136" spans="2:7" ht="15">
      <c r="B136" s="6"/>
      <c r="C136" s="6"/>
      <c r="D136" s="6"/>
      <c r="E136" s="6"/>
      <c r="F136" s="6"/>
      <c r="G136" s="6"/>
    </row>
    <row r="137" spans="2:7" ht="15">
      <c r="B137" s="4"/>
      <c r="C137" s="4"/>
      <c r="D137" s="4"/>
      <c r="E137" s="4"/>
      <c r="F137" s="4"/>
      <c r="G137" s="4"/>
    </row>
    <row r="138" spans="2:7" ht="15">
      <c r="B138" s="6"/>
      <c r="C138" s="6"/>
      <c r="D138" s="6"/>
      <c r="E138" s="6"/>
      <c r="F138" s="6"/>
      <c r="G138" s="6"/>
    </row>
    <row r="139" spans="2:7" ht="14.25">
      <c r="B139" s="14"/>
      <c r="C139" s="14"/>
      <c r="D139" s="14"/>
      <c r="E139" s="14"/>
      <c r="F139" s="14"/>
      <c r="G139" s="14"/>
    </row>
    <row r="140" spans="2:7">
      <c r="B140" s="8"/>
      <c r="C140" s="8"/>
      <c r="D140" s="8"/>
      <c r="E140" s="8"/>
      <c r="F140" s="8"/>
      <c r="G140" s="8"/>
    </row>
    <row r="141" spans="2:7">
      <c r="B141" s="8"/>
      <c r="C141" s="8"/>
      <c r="D141" s="8"/>
      <c r="E141" s="8"/>
      <c r="F141" s="8"/>
      <c r="G141" s="8"/>
    </row>
    <row r="142" spans="2:7" ht="15.75">
      <c r="B142" s="5"/>
      <c r="C142" s="5"/>
      <c r="D142" s="5"/>
      <c r="E142" s="5"/>
      <c r="F142" s="5"/>
      <c r="G142" s="5"/>
    </row>
    <row r="143" spans="2:7" ht="15.75">
      <c r="B143" s="5"/>
      <c r="C143" s="5"/>
      <c r="D143" s="5"/>
      <c r="E143" s="5"/>
      <c r="F143" s="5"/>
      <c r="G143" s="5"/>
    </row>
    <row r="144" spans="2:7" ht="15.75">
      <c r="B144" s="5"/>
      <c r="C144" s="5"/>
      <c r="D144" s="5"/>
      <c r="E144" s="5"/>
      <c r="F144" s="5"/>
      <c r="G144" s="5"/>
    </row>
    <row r="145" spans="2:7" ht="15">
      <c r="B145" s="6"/>
      <c r="C145" s="6"/>
      <c r="D145" s="6"/>
      <c r="E145" s="6"/>
      <c r="F145" s="7"/>
      <c r="G145" s="6"/>
    </row>
    <row r="146" spans="2:7" ht="15">
      <c r="B146" s="6"/>
      <c r="C146" s="6"/>
      <c r="D146" s="6"/>
      <c r="E146" s="6"/>
      <c r="F146" s="6"/>
      <c r="G146" s="6"/>
    </row>
    <row r="147" spans="2:7" ht="15">
      <c r="B147" s="6"/>
      <c r="C147" s="6"/>
      <c r="D147" s="6"/>
      <c r="E147" s="6"/>
      <c r="F147" s="6"/>
      <c r="G147" s="6"/>
    </row>
    <row r="148" spans="2:7" ht="15">
      <c r="B148" s="6"/>
      <c r="C148" s="6"/>
      <c r="D148" s="6"/>
      <c r="E148" s="6"/>
      <c r="F148" s="6"/>
      <c r="G148" s="6"/>
    </row>
    <row r="149" spans="2:7" ht="15">
      <c r="B149" s="6"/>
      <c r="C149" s="6"/>
      <c r="D149" s="6"/>
      <c r="E149" s="6"/>
      <c r="F149" s="6"/>
      <c r="G149" s="6"/>
    </row>
    <row r="150" spans="2:7" ht="15">
      <c r="B150" s="6"/>
      <c r="C150" s="6"/>
      <c r="D150" s="6"/>
      <c r="E150" s="6"/>
      <c r="F150" s="6"/>
      <c r="G150" s="6"/>
    </row>
    <row r="151" spans="2:7" ht="15">
      <c r="B151" s="6"/>
      <c r="C151" s="6"/>
      <c r="D151" s="6"/>
      <c r="E151" s="6"/>
      <c r="F151" s="6"/>
      <c r="G151" s="6"/>
    </row>
    <row r="152" spans="2:7" ht="15">
      <c r="B152" s="6"/>
      <c r="C152" s="6"/>
      <c r="D152" s="6"/>
      <c r="E152" s="6"/>
      <c r="F152" s="6"/>
      <c r="G152" s="6"/>
    </row>
    <row r="153" spans="2:7" ht="15">
      <c r="B153" s="6"/>
      <c r="C153" s="6"/>
      <c r="D153" s="6"/>
      <c r="E153" s="6"/>
      <c r="F153" s="6"/>
      <c r="G153" s="6"/>
    </row>
    <row r="154" spans="2:7" ht="15">
      <c r="B154" s="6"/>
      <c r="C154" s="6"/>
      <c r="D154" s="6"/>
      <c r="E154" s="6"/>
      <c r="F154" s="6"/>
      <c r="G154" s="6"/>
    </row>
    <row r="155" spans="2:7" ht="15">
      <c r="B155" s="9"/>
      <c r="C155" s="4"/>
      <c r="D155" s="4"/>
      <c r="E155" s="4"/>
      <c r="F155" s="4"/>
      <c r="G155" s="4"/>
    </row>
    <row r="156" spans="2:7" ht="15">
      <c r="B156" s="6"/>
      <c r="C156" s="6"/>
      <c r="D156" s="6"/>
      <c r="E156" s="6"/>
      <c r="F156" s="6"/>
      <c r="G156" s="6"/>
    </row>
    <row r="157" spans="2:7" ht="15">
      <c r="B157" s="6"/>
      <c r="C157" s="6"/>
      <c r="D157" s="6"/>
      <c r="E157" s="6"/>
      <c r="F157" s="6"/>
      <c r="G157" s="6"/>
    </row>
    <row r="158" spans="2:7" ht="15">
      <c r="B158" s="6"/>
      <c r="C158" s="6"/>
      <c r="D158" s="6"/>
      <c r="E158" s="6"/>
      <c r="F158" s="6"/>
      <c r="G158" s="6"/>
    </row>
    <row r="159" spans="2:7" ht="15">
      <c r="B159" s="6"/>
      <c r="C159" s="6"/>
      <c r="D159" s="6"/>
      <c r="E159" s="6"/>
      <c r="F159" s="6"/>
      <c r="G159" s="6"/>
    </row>
    <row r="160" spans="2:7">
      <c r="B160" s="10"/>
      <c r="C160" s="10"/>
      <c r="D160" s="10"/>
      <c r="E160" s="10"/>
      <c r="F160" s="10"/>
      <c r="G160" s="10"/>
    </row>
    <row r="161" spans="2:7">
      <c r="B161" s="11"/>
      <c r="C161" s="12"/>
      <c r="D161" s="12"/>
      <c r="E161" s="12"/>
      <c r="F161" s="12"/>
      <c r="G161" s="12"/>
    </row>
    <row r="162" spans="2:7">
      <c r="B162" s="13"/>
      <c r="C162" s="12"/>
      <c r="D162" s="12"/>
      <c r="E162" s="12"/>
      <c r="F162" s="12"/>
      <c r="G162" s="12"/>
    </row>
    <row r="163" spans="2:7">
      <c r="B163" s="13"/>
      <c r="C163" s="13"/>
      <c r="D163" s="13"/>
      <c r="E163" s="13"/>
      <c r="F163" s="13"/>
      <c r="G163" s="13"/>
    </row>
    <row r="164" spans="2:7" ht="15">
      <c r="B164" s="6"/>
      <c r="C164" s="6"/>
      <c r="D164" s="6"/>
      <c r="E164" s="6"/>
      <c r="F164" s="6"/>
      <c r="G164" s="6"/>
    </row>
    <row r="165" spans="2:7" ht="21" customHeight="1">
      <c r="B165" s="4"/>
      <c r="C165" s="4"/>
      <c r="D165" s="4"/>
      <c r="E165" s="4"/>
      <c r="F165" s="4"/>
      <c r="G165" s="6"/>
    </row>
    <row r="166" spans="2:7" ht="15">
      <c r="B166" s="6"/>
      <c r="C166" s="6"/>
      <c r="D166" s="6"/>
      <c r="E166" s="6"/>
      <c r="F166" s="6"/>
      <c r="G166" s="6"/>
    </row>
    <row r="167" spans="2:7" ht="15">
      <c r="B167" s="6"/>
      <c r="C167" s="6"/>
      <c r="D167" s="6"/>
      <c r="E167" s="6"/>
      <c r="F167" s="6"/>
      <c r="G167" s="6"/>
    </row>
    <row r="168" spans="2:7" ht="15">
      <c r="B168" s="6"/>
      <c r="C168" s="6"/>
      <c r="D168" s="6"/>
      <c r="E168" s="6"/>
      <c r="F168" s="6"/>
      <c r="G168" s="6"/>
    </row>
    <row r="169" spans="2:7" ht="15">
      <c r="B169" s="6"/>
      <c r="C169" s="6"/>
      <c r="D169" s="6"/>
      <c r="E169" s="6"/>
      <c r="F169" s="6"/>
      <c r="G169" s="6"/>
    </row>
    <row r="170" spans="2:7" ht="15">
      <c r="B170" s="6"/>
      <c r="C170" s="6"/>
      <c r="D170" s="6"/>
      <c r="E170" s="6"/>
      <c r="F170" s="6"/>
      <c r="G170" s="6"/>
    </row>
    <row r="171" spans="2:7" ht="15">
      <c r="B171" s="4"/>
      <c r="C171" s="4"/>
      <c r="D171" s="4"/>
      <c r="E171" s="4"/>
      <c r="F171" s="4"/>
      <c r="G171" s="4"/>
    </row>
    <row r="172" spans="2:7" ht="15">
      <c r="B172" s="6"/>
      <c r="C172" s="6"/>
      <c r="D172" s="6"/>
      <c r="E172" s="6"/>
      <c r="F172" s="6"/>
      <c r="G172" s="6"/>
    </row>
    <row r="173" spans="2:7" ht="14.25">
      <c r="B173" s="14"/>
      <c r="C173" s="14"/>
      <c r="D173" s="14"/>
      <c r="E173" s="14"/>
      <c r="F173" s="14"/>
      <c r="G173" s="14"/>
    </row>
    <row r="174" spans="2:7" ht="14.25">
      <c r="B174" s="14"/>
      <c r="C174" s="14"/>
      <c r="D174" s="14"/>
      <c r="E174" s="14"/>
      <c r="F174" s="14"/>
      <c r="G174" s="13"/>
    </row>
    <row r="175" spans="2:7" ht="14.25">
      <c r="B175" s="14"/>
      <c r="C175" s="14"/>
      <c r="D175" s="14"/>
      <c r="E175" s="14"/>
      <c r="F175" s="14"/>
      <c r="G175" s="14"/>
    </row>
    <row r="176" spans="2:7">
      <c r="B176" s="8"/>
      <c r="C176" s="8"/>
      <c r="D176" s="8"/>
      <c r="E176" s="8"/>
      <c r="F176" s="8"/>
      <c r="G176" s="8"/>
    </row>
    <row r="177" spans="2:7">
      <c r="B177" s="8"/>
      <c r="C177" s="8"/>
      <c r="D177" s="8"/>
      <c r="E177" s="8"/>
      <c r="F177" s="8"/>
      <c r="G177" s="8"/>
    </row>
    <row r="178" spans="2:7">
      <c r="B178" s="8"/>
      <c r="C178" s="8"/>
      <c r="D178" s="8"/>
      <c r="E178" s="8"/>
      <c r="F178" s="8"/>
      <c r="G178" s="8"/>
    </row>
    <row r="179" spans="2:7">
      <c r="B179" s="8"/>
      <c r="C179" s="8"/>
      <c r="D179" s="8"/>
      <c r="E179" s="8"/>
      <c r="F179" s="8"/>
      <c r="G179" s="8"/>
    </row>
    <row r="180" spans="2:7">
      <c r="B180" s="8"/>
      <c r="C180" s="8"/>
      <c r="D180" s="8"/>
      <c r="E180" s="8"/>
      <c r="F180" s="8"/>
      <c r="G180" s="8"/>
    </row>
    <row r="181" spans="2:7">
      <c r="B181" s="8"/>
      <c r="C181" s="8"/>
      <c r="D181" s="8"/>
      <c r="E181" s="8"/>
      <c r="F181" s="8"/>
      <c r="G181" s="8"/>
    </row>
    <row r="182" spans="2:7">
      <c r="B182" s="8"/>
      <c r="C182" s="8"/>
      <c r="D182" s="8"/>
      <c r="E182" s="8"/>
      <c r="F182" s="8"/>
      <c r="G182" s="8"/>
    </row>
    <row r="183" spans="2:7">
      <c r="B183" s="8"/>
      <c r="C183" s="8"/>
      <c r="D183" s="8"/>
      <c r="E183" s="8"/>
      <c r="F183" s="8"/>
      <c r="G183" s="8"/>
    </row>
    <row r="184" spans="2:7">
      <c r="B184" s="8"/>
      <c r="C184" s="8"/>
      <c r="D184" s="8"/>
      <c r="E184" s="8"/>
      <c r="F184" s="8"/>
      <c r="G184" s="8"/>
    </row>
    <row r="185" spans="2:7">
      <c r="B185" s="8"/>
      <c r="C185" s="8"/>
      <c r="D185" s="8"/>
      <c r="E185" s="8"/>
      <c r="F185" s="8"/>
      <c r="G185" s="8"/>
    </row>
    <row r="186" spans="2:7">
      <c r="B186" s="8"/>
      <c r="C186" s="8"/>
      <c r="D186" s="8"/>
      <c r="E186" s="8"/>
      <c r="F186" s="8"/>
      <c r="G186" s="8"/>
    </row>
    <row r="187" spans="2:7">
      <c r="B187" s="8"/>
      <c r="C187" s="8"/>
      <c r="D187" s="8"/>
      <c r="E187" s="8"/>
      <c r="F187" s="8"/>
      <c r="G187" s="8"/>
    </row>
    <row r="188" spans="2:7">
      <c r="B188" s="8"/>
      <c r="C188" s="8"/>
      <c r="D188" s="8"/>
      <c r="E188" s="8"/>
      <c r="F188" s="8"/>
      <c r="G188" s="8"/>
    </row>
    <row r="189" spans="2:7">
      <c r="B189" s="8"/>
      <c r="C189" s="8"/>
      <c r="D189" s="8"/>
      <c r="E189" s="8"/>
      <c r="F189" s="8"/>
      <c r="G189" s="8"/>
    </row>
    <row r="190" spans="2:7">
      <c r="B190" s="8"/>
      <c r="C190" s="8"/>
      <c r="D190" s="8"/>
      <c r="E190" s="8"/>
      <c r="F190" s="8"/>
      <c r="G190" s="8"/>
    </row>
    <row r="191" spans="2:7">
      <c r="B191" s="8"/>
      <c r="C191" s="8"/>
      <c r="D191" s="8"/>
      <c r="E191" s="8"/>
      <c r="F191" s="8"/>
      <c r="G191" s="8"/>
    </row>
    <row r="192" spans="2:7">
      <c r="B192" s="8"/>
      <c r="C192" s="8"/>
      <c r="D192" s="8"/>
      <c r="E192" s="8"/>
      <c r="F192" s="8"/>
      <c r="G192" s="8"/>
    </row>
    <row r="193" spans="2:7">
      <c r="B193" s="8"/>
      <c r="C193" s="8"/>
      <c r="D193" s="8"/>
      <c r="E193" s="8"/>
      <c r="F193" s="8"/>
      <c r="G193" s="8"/>
    </row>
    <row r="194" spans="2:7">
      <c r="B194" s="8"/>
      <c r="C194" s="8"/>
      <c r="D194" s="8"/>
      <c r="E194" s="8"/>
      <c r="F194" s="8"/>
      <c r="G194" s="8"/>
    </row>
    <row r="195" spans="2:7">
      <c r="B195" s="8"/>
      <c r="C195" s="8"/>
      <c r="D195" s="8"/>
      <c r="E195" s="8"/>
      <c r="F195" s="8"/>
      <c r="G195" s="8"/>
    </row>
    <row r="196" spans="2:7">
      <c r="B196" s="8"/>
      <c r="C196" s="8"/>
      <c r="D196" s="8"/>
      <c r="E196" s="8"/>
      <c r="F196" s="8"/>
      <c r="G196" s="8"/>
    </row>
    <row r="197" spans="2:7">
      <c r="B197" s="8"/>
      <c r="C197" s="8"/>
      <c r="D197" s="8"/>
      <c r="E197" s="8"/>
      <c r="F197" s="8"/>
      <c r="G197" s="8"/>
    </row>
    <row r="198" spans="2:7">
      <c r="B198" s="8"/>
      <c r="C198" s="8"/>
      <c r="D198" s="8"/>
      <c r="E198" s="8"/>
      <c r="F198" s="8"/>
      <c r="G198" s="8"/>
    </row>
    <row r="199" spans="2:7">
      <c r="B199" s="8"/>
      <c r="C199" s="8"/>
      <c r="D199" s="8"/>
      <c r="E199" s="8"/>
      <c r="F199" s="8"/>
      <c r="G199" s="8"/>
    </row>
    <row r="200" spans="2:7">
      <c r="B200" s="8"/>
      <c r="C200" s="8"/>
      <c r="D200" s="8"/>
      <c r="E200" s="8"/>
      <c r="F200" s="8"/>
      <c r="G200" s="8"/>
    </row>
    <row r="201" spans="2:7">
      <c r="B201" s="8"/>
      <c r="C201" s="8"/>
      <c r="D201" s="8"/>
      <c r="E201" s="8"/>
      <c r="F201" s="8"/>
      <c r="G201" s="8"/>
    </row>
    <row r="202" spans="2:7">
      <c r="B202" s="8"/>
      <c r="C202" s="8"/>
      <c r="D202" s="8"/>
      <c r="E202" s="8"/>
      <c r="F202" s="8"/>
      <c r="G202" s="8"/>
    </row>
    <row r="203" spans="2:7">
      <c r="B203" s="8"/>
      <c r="C203" s="8"/>
      <c r="D203" s="8"/>
      <c r="E203" s="8"/>
      <c r="F203" s="8"/>
      <c r="G203" s="8"/>
    </row>
    <row r="204" spans="2:7">
      <c r="B204" s="8"/>
      <c r="C204" s="8"/>
      <c r="D204" s="8"/>
      <c r="E204" s="8"/>
      <c r="F204" s="8"/>
      <c r="G204" s="8"/>
    </row>
    <row r="205" spans="2:7">
      <c r="B205" s="8"/>
      <c r="C205" s="8"/>
      <c r="D205" s="8"/>
      <c r="E205" s="8"/>
      <c r="F205" s="8"/>
      <c r="G205" s="8"/>
    </row>
    <row r="206" spans="2:7">
      <c r="B206" s="8"/>
      <c r="C206" s="8"/>
      <c r="D206" s="8"/>
      <c r="E206" s="8"/>
      <c r="F206" s="8"/>
      <c r="G206" s="8"/>
    </row>
    <row r="207" spans="2:7">
      <c r="B207" s="8"/>
      <c r="C207" s="8"/>
      <c r="D207" s="8"/>
      <c r="E207" s="8"/>
      <c r="F207" s="8"/>
      <c r="G207" s="8"/>
    </row>
    <row r="208" spans="2:7">
      <c r="B208" s="8"/>
      <c r="C208" s="8"/>
      <c r="D208" s="8"/>
      <c r="E208" s="8"/>
      <c r="F208" s="8"/>
      <c r="G208" s="8"/>
    </row>
    <row r="209" spans="2:7">
      <c r="B209" s="8"/>
      <c r="C209" s="8"/>
      <c r="D209" s="8"/>
      <c r="E209" s="8"/>
      <c r="F209" s="8"/>
      <c r="G209" s="8"/>
    </row>
    <row r="210" spans="2:7">
      <c r="B210" s="8"/>
      <c r="C210" s="8"/>
      <c r="D210" s="8"/>
      <c r="E210" s="8"/>
      <c r="F210" s="8"/>
      <c r="G210" s="8"/>
    </row>
    <row r="211" spans="2:7">
      <c r="B211" s="8"/>
      <c r="C211" s="8"/>
      <c r="D211" s="8"/>
      <c r="E211" s="8"/>
      <c r="F211" s="8"/>
      <c r="G211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61"/>
  </sheetPr>
  <dimension ref="A1:O239"/>
  <sheetViews>
    <sheetView showGridLines="0" view="pageLayout" zoomScaleNormal="110" workbookViewId="0">
      <selection activeCell="J16" sqref="J16:K16"/>
    </sheetView>
  </sheetViews>
  <sheetFormatPr defaultColWidth="9.140625" defaultRowHeight="11.25"/>
  <cols>
    <col min="1" max="1" width="7.28515625" style="16" customWidth="1"/>
    <col min="2" max="2" width="6.85546875" style="16" bestFit="1" customWidth="1"/>
    <col min="3" max="3" width="13.28515625" style="16" customWidth="1"/>
    <col min="4" max="4" width="10.7109375" style="16" customWidth="1"/>
    <col min="5" max="5" width="20" style="16" customWidth="1"/>
    <col min="6" max="6" width="11.7109375" style="16" customWidth="1"/>
    <col min="7" max="7" width="11.28515625" style="16" bestFit="1" customWidth="1"/>
    <col min="8" max="8" width="9.425781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40625" style="16" bestFit="1" customWidth="1"/>
    <col min="14" max="14" width="20.140625" style="16" customWidth="1"/>
    <col min="15" max="15" width="11.28515625" style="30" bestFit="1" customWidth="1"/>
    <col min="16" max="16384" width="9.140625" style="16"/>
  </cols>
  <sheetData>
    <row r="1" spans="1:15" ht="21.75" customHeight="1">
      <c r="A1" s="166" t="s">
        <v>52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5" ht="21.75" customHeight="1">
      <c r="A2" s="167">
        <v>41883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</row>
    <row r="3" spans="1:15" ht="21.75" customHeight="1" thickBot="1">
      <c r="A3" s="31"/>
      <c r="B3" s="32"/>
      <c r="C3" s="33"/>
      <c r="D3" s="34"/>
      <c r="E3" s="33"/>
      <c r="F3" s="33"/>
      <c r="G3" s="33"/>
      <c r="H3" s="33"/>
      <c r="I3" s="33"/>
      <c r="J3" s="33"/>
      <c r="K3" s="35"/>
      <c r="L3" s="34"/>
      <c r="M3" s="33"/>
      <c r="N3" s="30"/>
      <c r="O3" s="16"/>
    </row>
    <row r="4" spans="1:15" ht="21.75" customHeight="1" thickBot="1">
      <c r="A4" s="36" t="s">
        <v>26</v>
      </c>
      <c r="B4" s="37" t="s">
        <v>27</v>
      </c>
      <c r="C4" s="168" t="s">
        <v>28</v>
      </c>
      <c r="D4" s="36" t="s">
        <v>29</v>
      </c>
      <c r="E4" s="168" t="s">
        <v>30</v>
      </c>
      <c r="F4" s="36" t="s">
        <v>31</v>
      </c>
      <c r="G4" s="38"/>
      <c r="H4" s="38" t="s">
        <v>32</v>
      </c>
      <c r="I4" s="39"/>
      <c r="J4" s="38"/>
      <c r="K4" s="40"/>
      <c r="L4" s="36"/>
      <c r="M4" s="170" t="s">
        <v>33</v>
      </c>
      <c r="N4" s="30"/>
      <c r="O4" s="16"/>
    </row>
    <row r="5" spans="1:15" ht="21.75" customHeight="1" thickBot="1">
      <c r="A5" s="41" t="s">
        <v>34</v>
      </c>
      <c r="B5" s="42" t="s">
        <v>35</v>
      </c>
      <c r="C5" s="169"/>
      <c r="D5" s="41" t="s">
        <v>36</v>
      </c>
      <c r="E5" s="169"/>
      <c r="F5" s="41" t="s">
        <v>37</v>
      </c>
      <c r="G5" s="41" t="s">
        <v>38</v>
      </c>
      <c r="H5" s="41" t="s">
        <v>39</v>
      </c>
      <c r="I5" s="41" t="s">
        <v>40</v>
      </c>
      <c r="J5" s="41" t="s">
        <v>41</v>
      </c>
      <c r="K5" s="43" t="s">
        <v>42</v>
      </c>
      <c r="L5" s="41" t="s">
        <v>43</v>
      </c>
      <c r="M5" s="171"/>
      <c r="N5" s="30"/>
      <c r="O5" s="16"/>
    </row>
    <row r="6" spans="1:15" ht="21.75" customHeight="1" thickBot="1">
      <c r="A6" s="54" t="s">
        <v>51</v>
      </c>
      <c r="B6" s="54" t="s">
        <v>46</v>
      </c>
      <c r="C6" s="134"/>
      <c r="D6" s="135"/>
      <c r="E6" s="134"/>
      <c r="F6" s="134"/>
      <c r="G6" s="136"/>
      <c r="H6" s="137"/>
      <c r="I6" s="56"/>
      <c r="J6" s="138"/>
      <c r="K6" s="139"/>
      <c r="L6" s="140"/>
      <c r="M6" s="141"/>
      <c r="N6" s="30"/>
      <c r="O6" s="16"/>
    </row>
    <row r="7" spans="1:15" ht="23.25" customHeight="1" thickTop="1" thickBot="1">
      <c r="A7" s="165" t="s">
        <v>54</v>
      </c>
      <c r="B7" s="165"/>
      <c r="C7" s="165"/>
      <c r="D7" s="165"/>
      <c r="E7" s="165"/>
      <c r="F7" s="165"/>
      <c r="G7" s="44">
        <f>SUM(G6:G6)</f>
        <v>0</v>
      </c>
      <c r="H7" s="44">
        <f>SUM(H6:H6)</f>
        <v>0</v>
      </c>
      <c r="I7" s="44">
        <f>SUM(I6:I6)</f>
        <v>0</v>
      </c>
      <c r="J7" s="44">
        <f>SUM(J6:J6)</f>
        <v>0</v>
      </c>
      <c r="K7" s="44"/>
      <c r="L7" s="44"/>
      <c r="M7" s="45"/>
    </row>
    <row r="9" spans="1:15">
      <c r="A9" s="48"/>
      <c r="B9" s="48"/>
      <c r="C9" s="48"/>
      <c r="D9" s="48"/>
      <c r="E9" s="48"/>
      <c r="F9" s="48"/>
      <c r="G9" s="48"/>
      <c r="H9" s="48"/>
      <c r="I9" s="48"/>
    </row>
    <row r="10" spans="1:15">
      <c r="A10" s="49"/>
      <c r="B10" s="49"/>
      <c r="C10" s="49"/>
      <c r="D10" s="49"/>
      <c r="E10" s="49"/>
      <c r="F10" s="49"/>
      <c r="G10" s="49"/>
      <c r="H10" s="49"/>
      <c r="I10" s="49"/>
    </row>
    <row r="11" spans="1:15">
      <c r="A11" s="50"/>
      <c r="B11" s="51"/>
      <c r="C11" s="51"/>
      <c r="D11" s="51"/>
      <c r="E11" s="51"/>
      <c r="F11" s="51"/>
      <c r="G11" s="51"/>
      <c r="H11" s="51"/>
      <c r="I11" s="51"/>
    </row>
    <row r="12" spans="1:15">
      <c r="A12" s="50"/>
      <c r="B12" s="51"/>
      <c r="C12" s="51"/>
      <c r="D12" s="51"/>
      <c r="E12" s="51"/>
      <c r="F12" s="51"/>
      <c r="G12" s="51"/>
      <c r="H12" s="51"/>
      <c r="I12" s="51"/>
    </row>
    <row r="13" spans="1:15">
      <c r="A13" s="50"/>
      <c r="B13" s="51"/>
      <c r="C13" s="51"/>
      <c r="D13" s="51"/>
      <c r="E13" s="51"/>
      <c r="F13" s="51"/>
      <c r="G13" s="51"/>
      <c r="H13" s="51"/>
      <c r="I13" s="51"/>
    </row>
    <row r="14" spans="1:15">
      <c r="A14" s="50"/>
      <c r="B14" s="51"/>
      <c r="C14" s="51"/>
      <c r="D14" s="51"/>
      <c r="E14" s="51"/>
      <c r="F14" s="51"/>
      <c r="G14" s="51"/>
      <c r="H14" s="51"/>
      <c r="I14" s="51"/>
    </row>
    <row r="15" spans="1:15">
      <c r="A15" s="50"/>
      <c r="B15" s="51"/>
      <c r="C15" s="51"/>
      <c r="D15" s="51"/>
      <c r="E15" s="51"/>
      <c r="F15" s="51"/>
      <c r="G15" s="51"/>
      <c r="H15" s="51"/>
      <c r="I15" s="51"/>
    </row>
    <row r="16" spans="1:15" ht="20.25" customHeight="1">
      <c r="A16" s="50"/>
      <c r="B16" s="51"/>
      <c r="C16" s="51"/>
      <c r="D16" s="51"/>
      <c r="E16" s="51"/>
      <c r="F16" s="51"/>
      <c r="G16" s="51"/>
      <c r="H16" s="51"/>
      <c r="I16" s="51"/>
    </row>
    <row r="17" spans="1:9" ht="20.25" customHeight="1">
      <c r="A17" s="50"/>
      <c r="B17" s="51"/>
      <c r="C17" s="51"/>
      <c r="D17" s="51"/>
      <c r="E17" s="51"/>
      <c r="F17" s="51"/>
      <c r="G17" s="51"/>
      <c r="H17" s="51"/>
      <c r="I17" s="51"/>
    </row>
    <row r="18" spans="1:9" ht="20.25" customHeight="1">
      <c r="A18" s="52"/>
      <c r="B18" s="51"/>
      <c r="C18" s="51"/>
      <c r="D18" s="51"/>
      <c r="E18" s="51"/>
      <c r="F18" s="51"/>
      <c r="G18" s="51"/>
      <c r="H18" s="51"/>
      <c r="I18" s="51"/>
    </row>
    <row r="19" spans="1:9" ht="20.25" customHeight="1">
      <c r="A19" s="52"/>
      <c r="B19" s="52"/>
      <c r="C19" s="52"/>
      <c r="D19" s="52"/>
      <c r="E19" s="52"/>
      <c r="F19" s="52"/>
      <c r="G19" s="52"/>
      <c r="H19" s="52"/>
      <c r="I19" s="52"/>
    </row>
    <row r="20" spans="1:9" ht="20.25" customHeight="1">
      <c r="A20" s="48"/>
      <c r="B20" s="48"/>
      <c r="C20" s="48"/>
      <c r="D20" s="48"/>
      <c r="E20" s="48"/>
      <c r="F20" s="48"/>
      <c r="G20" s="48"/>
      <c r="H20" s="48"/>
      <c r="I20" s="48"/>
    </row>
    <row r="21" spans="1:9">
      <c r="A21" s="47"/>
      <c r="B21" s="47"/>
      <c r="C21" s="47"/>
      <c r="D21" s="47"/>
      <c r="E21" s="47"/>
      <c r="F21" s="47"/>
      <c r="G21" s="47"/>
      <c r="H21" s="47"/>
      <c r="I21" s="48"/>
    </row>
    <row r="22" spans="1:9">
      <c r="A22" s="48"/>
      <c r="B22" s="48"/>
      <c r="C22" s="48"/>
      <c r="D22" s="48"/>
      <c r="E22" s="48"/>
      <c r="F22" s="48"/>
      <c r="G22" s="48"/>
      <c r="H22" s="48"/>
      <c r="I22" s="48"/>
    </row>
    <row r="23" spans="1:9">
      <c r="A23" s="48"/>
      <c r="B23" s="48"/>
      <c r="C23" s="48"/>
      <c r="D23" s="48"/>
      <c r="E23" s="48"/>
      <c r="F23" s="48"/>
      <c r="G23" s="48"/>
      <c r="H23" s="48"/>
      <c r="I23" s="48"/>
    </row>
    <row r="24" spans="1:9">
      <c r="A24" s="48"/>
      <c r="B24" s="48"/>
      <c r="C24" s="48"/>
      <c r="D24" s="48"/>
      <c r="E24" s="48"/>
      <c r="F24" s="48"/>
      <c r="G24" s="48"/>
      <c r="H24" s="48"/>
      <c r="I24" s="48"/>
    </row>
    <row r="25" spans="1:9">
      <c r="A25" s="48"/>
      <c r="B25" s="48"/>
      <c r="C25" s="48"/>
      <c r="D25" s="48"/>
      <c r="E25" s="48"/>
      <c r="F25" s="48"/>
      <c r="G25" s="48"/>
      <c r="H25" s="48"/>
      <c r="I25" s="48"/>
    </row>
    <row r="26" spans="1:9">
      <c r="A26" s="48"/>
      <c r="B26" s="48"/>
      <c r="C26" s="48"/>
      <c r="D26" s="48"/>
      <c r="E26" s="48"/>
      <c r="F26" s="48"/>
      <c r="G26" s="48"/>
      <c r="H26" s="48"/>
      <c r="I26" s="48"/>
    </row>
    <row r="27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s="48"/>
      <c r="B28" s="48"/>
      <c r="C28" s="48"/>
      <c r="D28" s="48"/>
      <c r="E28" s="48"/>
      <c r="F28" s="48"/>
      <c r="G28" s="48"/>
      <c r="H28" s="48"/>
      <c r="I28" s="48"/>
    </row>
    <row r="29" spans="1:9">
      <c r="A29" s="29"/>
      <c r="B29" s="29"/>
      <c r="C29" s="29"/>
      <c r="D29" s="29"/>
      <c r="E29" s="29"/>
      <c r="F29" s="29"/>
      <c r="G29" s="29"/>
      <c r="H29" s="29"/>
      <c r="I29" s="29"/>
    </row>
    <row r="30" spans="1:9">
      <c r="A30" s="29"/>
      <c r="B30" s="29"/>
      <c r="C30" s="29"/>
      <c r="D30" s="29"/>
      <c r="E30" s="29"/>
      <c r="F30" s="29"/>
      <c r="G30" s="29"/>
      <c r="H30" s="29"/>
      <c r="I30" s="29"/>
    </row>
    <row r="31" spans="1:9">
      <c r="A31" s="29"/>
      <c r="B31" s="29"/>
      <c r="C31" s="29"/>
      <c r="D31" s="29"/>
      <c r="E31" s="29"/>
      <c r="F31" s="29"/>
      <c r="G31" s="29"/>
      <c r="H31" s="29"/>
      <c r="I31" s="29"/>
    </row>
    <row r="32" spans="1:9">
      <c r="A32" s="29"/>
      <c r="B32" s="29"/>
      <c r="C32" s="29"/>
      <c r="D32" s="29"/>
      <c r="E32" s="29"/>
      <c r="F32" s="29"/>
      <c r="G32" s="29"/>
      <c r="H32" s="29"/>
      <c r="I32" s="29"/>
    </row>
    <row r="33" spans="1:9">
      <c r="A33" s="29"/>
      <c r="B33" s="29"/>
      <c r="C33" s="29"/>
      <c r="D33" s="29"/>
      <c r="E33" s="29"/>
      <c r="F33" s="29"/>
      <c r="G33" s="29"/>
      <c r="H33" s="29"/>
      <c r="I33" s="29"/>
    </row>
    <row r="34" spans="1:9">
      <c r="A34" s="29"/>
      <c r="B34" s="29"/>
      <c r="C34" s="29"/>
      <c r="D34" s="29"/>
      <c r="E34" s="29"/>
      <c r="F34" s="29"/>
      <c r="G34" s="29"/>
      <c r="H34" s="29"/>
      <c r="I34" s="29"/>
    </row>
    <row r="35" spans="1:9">
      <c r="A35" s="29"/>
      <c r="B35" s="29"/>
      <c r="C35" s="29"/>
      <c r="D35" s="29"/>
      <c r="E35" s="29"/>
      <c r="F35" s="29"/>
      <c r="G35" s="29"/>
      <c r="H35" s="29"/>
      <c r="I35" s="29"/>
    </row>
    <row r="36" spans="1:9">
      <c r="A36" s="29"/>
      <c r="B36" s="29"/>
      <c r="C36" s="29"/>
      <c r="D36" s="29"/>
      <c r="E36" s="29"/>
      <c r="F36" s="29"/>
      <c r="G36" s="29"/>
      <c r="H36" s="29"/>
      <c r="I36" s="29"/>
    </row>
    <row r="37" spans="1:9">
      <c r="A37" s="29"/>
      <c r="B37" s="29"/>
      <c r="C37" s="29"/>
      <c r="D37" s="29"/>
      <c r="E37" s="29"/>
      <c r="F37" s="29"/>
      <c r="G37" s="29"/>
      <c r="H37" s="29"/>
      <c r="I37" s="29"/>
    </row>
    <row r="38" spans="1:9">
      <c r="A38" s="29"/>
      <c r="B38" s="29"/>
      <c r="C38" s="29"/>
      <c r="D38" s="29"/>
      <c r="E38" s="29"/>
      <c r="F38" s="29"/>
      <c r="G38" s="29"/>
      <c r="H38" s="29"/>
      <c r="I38" s="29"/>
    </row>
    <row r="39" spans="1:9">
      <c r="A39" s="29"/>
      <c r="B39" s="29"/>
      <c r="C39" s="29"/>
      <c r="D39" s="29"/>
      <c r="E39" s="29"/>
      <c r="F39" s="29"/>
      <c r="G39" s="29"/>
      <c r="H39" s="29"/>
      <c r="I39" s="29"/>
    </row>
    <row r="40" spans="1:9">
      <c r="A40" s="29"/>
      <c r="B40" s="29"/>
      <c r="C40" s="29"/>
      <c r="D40" s="29"/>
      <c r="E40" s="29"/>
      <c r="F40" s="29"/>
      <c r="G40" s="29"/>
      <c r="H40" s="29"/>
      <c r="I40" s="29"/>
    </row>
    <row r="41" spans="1:9">
      <c r="A41" s="29"/>
      <c r="B41" s="29"/>
      <c r="C41" s="29"/>
      <c r="D41" s="29"/>
      <c r="E41" s="29"/>
      <c r="F41" s="29"/>
      <c r="G41" s="29"/>
      <c r="H41" s="29"/>
      <c r="I41" s="29"/>
    </row>
    <row r="42" spans="1:9">
      <c r="A42" s="29"/>
      <c r="B42" s="29"/>
      <c r="C42" s="29"/>
      <c r="D42" s="29"/>
      <c r="E42" s="29"/>
      <c r="F42" s="29"/>
      <c r="G42" s="29"/>
      <c r="H42" s="29"/>
      <c r="I42" s="29"/>
    </row>
    <row r="43" spans="1:9">
      <c r="A43" s="29"/>
      <c r="B43" s="29"/>
      <c r="C43" s="29"/>
      <c r="D43" s="29"/>
      <c r="E43" s="29"/>
      <c r="F43" s="29"/>
      <c r="G43" s="29"/>
      <c r="H43" s="29"/>
      <c r="I43" s="29"/>
    </row>
    <row r="44" spans="1:9">
      <c r="A44" s="29"/>
      <c r="B44" s="29"/>
      <c r="C44" s="29"/>
      <c r="D44" s="29"/>
      <c r="E44" s="29"/>
      <c r="F44" s="29"/>
      <c r="G44" s="29"/>
      <c r="H44" s="29"/>
      <c r="I44" s="29"/>
    </row>
    <row r="45" spans="1:9">
      <c r="A45" s="29"/>
      <c r="B45" s="29"/>
      <c r="C45" s="29"/>
      <c r="D45" s="29"/>
      <c r="E45" s="29"/>
      <c r="F45" s="29"/>
      <c r="G45" s="29"/>
      <c r="H45" s="29"/>
      <c r="I45" s="29"/>
    </row>
    <row r="46" spans="1:9">
      <c r="A46" s="29"/>
      <c r="B46" s="29"/>
      <c r="C46" s="29"/>
      <c r="D46" s="29"/>
      <c r="E46" s="29"/>
      <c r="F46" s="29"/>
      <c r="G46" s="29"/>
      <c r="H46" s="29"/>
      <c r="I46" s="29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48"/>
      <c r="B50" s="48"/>
      <c r="C50" s="48"/>
      <c r="D50" s="48"/>
      <c r="E50" s="48"/>
      <c r="F50" s="48"/>
      <c r="G50" s="48"/>
      <c r="H50" s="29"/>
      <c r="I50" s="48"/>
    </row>
    <row r="51" spans="1:9">
      <c r="A51" s="48"/>
      <c r="B51" s="48"/>
      <c r="C51" s="48"/>
      <c r="D51" s="48"/>
      <c r="E51" s="48"/>
      <c r="F51" s="48"/>
      <c r="G51" s="48"/>
      <c r="H51" s="48"/>
      <c r="I51" s="48"/>
    </row>
    <row r="52" spans="1:9">
      <c r="A52" s="48"/>
      <c r="B52" s="48"/>
      <c r="C52" s="48"/>
      <c r="D52" s="48"/>
      <c r="E52" s="48"/>
      <c r="F52" s="48"/>
      <c r="G52" s="48"/>
      <c r="H52" s="48"/>
      <c r="I52" s="48"/>
    </row>
    <row r="53" spans="1:9">
      <c r="A53" s="48"/>
      <c r="B53" s="48"/>
      <c r="C53" s="48"/>
      <c r="D53" s="48"/>
      <c r="E53" s="48"/>
      <c r="F53" s="48"/>
      <c r="G53" s="48"/>
      <c r="H53" s="48"/>
      <c r="I53" s="48"/>
    </row>
    <row r="54" spans="1:9">
      <c r="A54" s="48"/>
      <c r="B54" s="48"/>
      <c r="C54" s="48"/>
      <c r="D54" s="48"/>
      <c r="E54" s="48"/>
      <c r="F54" s="48"/>
      <c r="G54" s="48"/>
      <c r="H54" s="48"/>
      <c r="I54" s="48"/>
    </row>
    <row r="55" spans="1:9">
      <c r="A55" s="48"/>
      <c r="B55" s="48"/>
      <c r="C55" s="48"/>
      <c r="D55" s="48"/>
      <c r="E55" s="48"/>
      <c r="F55" s="48"/>
      <c r="G55" s="48"/>
      <c r="H55" s="48"/>
      <c r="I55" s="48"/>
    </row>
    <row r="56" spans="1:9">
      <c r="A56" s="48"/>
      <c r="B56" s="48"/>
      <c r="C56" s="48"/>
      <c r="D56" s="48"/>
      <c r="E56" s="48"/>
      <c r="F56" s="48"/>
      <c r="G56" s="48"/>
      <c r="H56" s="48"/>
      <c r="I56" s="48"/>
    </row>
    <row r="57" spans="1:9">
      <c r="A57" s="48"/>
      <c r="B57" s="48"/>
      <c r="C57" s="48"/>
      <c r="D57" s="48"/>
      <c r="E57" s="48"/>
      <c r="F57" s="48"/>
      <c r="G57" s="48"/>
      <c r="H57" s="48"/>
      <c r="I57" s="48"/>
    </row>
    <row r="58" spans="1:9">
      <c r="A58" s="48"/>
      <c r="B58" s="48"/>
      <c r="C58" s="48"/>
      <c r="D58" s="48"/>
      <c r="E58" s="48"/>
      <c r="F58" s="48"/>
      <c r="G58" s="48"/>
      <c r="H58" s="48"/>
      <c r="I58" s="48"/>
    </row>
    <row r="59" spans="1:9">
      <c r="A59" s="48"/>
      <c r="B59" s="48"/>
      <c r="C59" s="48"/>
      <c r="D59" s="48"/>
      <c r="E59" s="48"/>
      <c r="F59" s="48"/>
      <c r="G59" s="48"/>
      <c r="H59" s="48"/>
      <c r="I59" s="48"/>
    </row>
    <row r="60" spans="1:9">
      <c r="A60" s="46"/>
      <c r="B60" s="47"/>
      <c r="C60" s="47"/>
      <c r="D60" s="47"/>
      <c r="E60" s="47"/>
      <c r="F60" s="47"/>
      <c r="G60" s="47"/>
      <c r="H60" s="47"/>
      <c r="I60" s="47"/>
    </row>
    <row r="61" spans="1:9">
      <c r="A61" s="48"/>
      <c r="B61" s="48"/>
      <c r="C61" s="48"/>
      <c r="D61" s="48"/>
      <c r="E61" s="48"/>
      <c r="F61" s="48"/>
      <c r="G61" s="48"/>
      <c r="H61" s="48"/>
      <c r="I61" s="48"/>
    </row>
    <row r="62" spans="1:9">
      <c r="A62" s="48"/>
      <c r="B62" s="48"/>
      <c r="C62" s="48"/>
      <c r="D62" s="48"/>
      <c r="E62" s="48"/>
      <c r="F62" s="48"/>
      <c r="G62" s="48"/>
      <c r="H62" s="48"/>
      <c r="I62" s="48"/>
    </row>
    <row r="63" spans="1:9">
      <c r="A63" s="48"/>
      <c r="B63" s="48"/>
      <c r="C63" s="48"/>
      <c r="D63" s="48"/>
      <c r="E63" s="48"/>
      <c r="F63" s="48"/>
      <c r="G63" s="48"/>
      <c r="H63" s="48"/>
      <c r="I63" s="48"/>
    </row>
    <row r="64" spans="1:9">
      <c r="A64" s="48"/>
      <c r="B64" s="48"/>
      <c r="C64" s="48"/>
      <c r="D64" s="48"/>
      <c r="E64" s="48"/>
      <c r="F64" s="48"/>
      <c r="G64" s="48"/>
      <c r="H64" s="48"/>
      <c r="I64" s="48"/>
    </row>
    <row r="65" spans="1:9">
      <c r="A65" s="49"/>
      <c r="B65" s="49"/>
      <c r="C65" s="49"/>
      <c r="D65" s="49"/>
      <c r="E65" s="49"/>
      <c r="F65" s="49"/>
      <c r="G65" s="49"/>
      <c r="H65" s="49"/>
      <c r="I65" s="49"/>
    </row>
    <row r="66" spans="1:9">
      <c r="A66" s="50"/>
      <c r="B66" s="51"/>
      <c r="C66" s="51"/>
      <c r="D66" s="51"/>
      <c r="E66" s="51"/>
      <c r="F66" s="51"/>
      <c r="G66" s="51"/>
      <c r="H66" s="51"/>
      <c r="I66" s="51"/>
    </row>
    <row r="67" spans="1:9">
      <c r="A67" s="52"/>
      <c r="B67" s="51"/>
      <c r="C67" s="51"/>
      <c r="D67" s="51"/>
      <c r="E67" s="51"/>
      <c r="F67" s="51"/>
      <c r="G67" s="51"/>
      <c r="H67" s="51"/>
      <c r="I67" s="51"/>
    </row>
    <row r="68" spans="1:9">
      <c r="A68" s="52"/>
      <c r="B68" s="52"/>
      <c r="C68" s="52"/>
      <c r="D68" s="52"/>
      <c r="E68" s="52"/>
      <c r="F68" s="52"/>
      <c r="G68" s="52"/>
      <c r="H68" s="52"/>
      <c r="I68" s="52"/>
    </row>
    <row r="69" spans="1:9">
      <c r="A69" s="48"/>
      <c r="B69" s="48"/>
      <c r="C69" s="48"/>
      <c r="D69" s="48"/>
      <c r="E69" s="48"/>
      <c r="F69" s="48"/>
      <c r="G69" s="48"/>
      <c r="H69" s="48"/>
      <c r="I69" s="48"/>
    </row>
    <row r="70" spans="1:9">
      <c r="A70" s="47"/>
      <c r="B70" s="47"/>
      <c r="C70" s="47"/>
      <c r="D70" s="47"/>
      <c r="E70" s="47"/>
      <c r="F70" s="47"/>
      <c r="G70" s="47"/>
      <c r="H70" s="47"/>
      <c r="I70" s="48"/>
    </row>
    <row r="71" spans="1:9">
      <c r="A71" s="48"/>
      <c r="B71" s="48"/>
      <c r="C71" s="48"/>
      <c r="D71" s="48"/>
      <c r="E71" s="48"/>
      <c r="F71" s="48"/>
      <c r="G71" s="48"/>
      <c r="H71" s="48"/>
      <c r="I71" s="48"/>
    </row>
    <row r="72" spans="1:9">
      <c r="A72" s="48"/>
      <c r="B72" s="48"/>
      <c r="C72" s="48"/>
      <c r="D72" s="48"/>
      <c r="E72" s="48"/>
      <c r="F72" s="48"/>
      <c r="G72" s="48"/>
      <c r="H72" s="48"/>
      <c r="I72" s="48"/>
    </row>
    <row r="73" spans="1:9">
      <c r="A73" s="48"/>
      <c r="B73" s="48"/>
      <c r="C73" s="48"/>
      <c r="D73" s="48"/>
      <c r="E73" s="48"/>
      <c r="F73" s="48"/>
      <c r="G73" s="48"/>
      <c r="H73" s="48"/>
      <c r="I73" s="48"/>
    </row>
    <row r="74" spans="1:9">
      <c r="A74" s="48"/>
      <c r="B74" s="48"/>
      <c r="C74" s="48"/>
      <c r="D74" s="48"/>
      <c r="E74" s="48"/>
      <c r="F74" s="48"/>
      <c r="G74" s="48"/>
      <c r="H74" s="48"/>
      <c r="I74" s="48"/>
    </row>
    <row r="75" spans="1:9">
      <c r="A75" s="48"/>
      <c r="B75" s="48"/>
      <c r="C75" s="48"/>
      <c r="D75" s="48"/>
      <c r="E75" s="48"/>
      <c r="F75" s="48"/>
      <c r="G75" s="48"/>
      <c r="H75" s="48"/>
      <c r="I75" s="48"/>
    </row>
    <row r="76" spans="1:9">
      <c r="A76" s="47"/>
      <c r="B76" s="47"/>
      <c r="C76" s="47"/>
      <c r="D76" s="47"/>
      <c r="E76" s="47"/>
      <c r="F76" s="47"/>
      <c r="G76" s="47"/>
      <c r="H76" s="47"/>
      <c r="I76" s="47"/>
    </row>
    <row r="77" spans="1:9">
      <c r="A77" s="48"/>
      <c r="B77" s="48"/>
      <c r="C77" s="48"/>
      <c r="D77" s="48"/>
      <c r="E77" s="48"/>
      <c r="F77" s="48"/>
      <c r="G77" s="48"/>
      <c r="H77" s="48"/>
      <c r="I77" s="48"/>
    </row>
    <row r="78" spans="1:9">
      <c r="A78" s="48"/>
      <c r="B78" s="48"/>
      <c r="C78" s="48"/>
      <c r="D78" s="48"/>
      <c r="E78" s="48"/>
      <c r="F78" s="48"/>
      <c r="G78" s="48"/>
      <c r="H78" s="48"/>
      <c r="I78" s="48"/>
    </row>
    <row r="79" spans="1:9">
      <c r="A79" s="48"/>
      <c r="B79" s="48"/>
      <c r="C79" s="48"/>
      <c r="D79" s="48"/>
      <c r="E79" s="48"/>
      <c r="F79" s="48"/>
      <c r="G79" s="48"/>
      <c r="H79" s="48"/>
      <c r="I79" s="48"/>
    </row>
    <row r="80" spans="1:9">
      <c r="A80" s="48"/>
      <c r="B80" s="48"/>
      <c r="C80" s="48"/>
      <c r="D80" s="48"/>
      <c r="E80" s="48"/>
      <c r="F80" s="48"/>
      <c r="G80" s="48"/>
      <c r="H80" s="48"/>
      <c r="I80" s="48"/>
    </row>
    <row r="81" spans="1:9">
      <c r="A81" s="48"/>
      <c r="B81" s="48"/>
      <c r="C81" s="48"/>
      <c r="D81" s="48"/>
      <c r="E81" s="48"/>
      <c r="F81" s="48"/>
      <c r="G81" s="48"/>
      <c r="H81" s="48"/>
      <c r="I81" s="48"/>
    </row>
    <row r="82" spans="1:9">
      <c r="A82" s="48"/>
      <c r="B82" s="48"/>
      <c r="C82" s="48"/>
      <c r="D82" s="48"/>
      <c r="E82" s="48"/>
      <c r="F82" s="48"/>
      <c r="G82" s="48"/>
      <c r="H82" s="48"/>
      <c r="I82" s="48"/>
    </row>
    <row r="83" spans="1:9">
      <c r="A83" s="48"/>
      <c r="B83" s="48"/>
      <c r="C83" s="48"/>
      <c r="D83" s="48"/>
      <c r="E83" s="48"/>
      <c r="F83" s="48"/>
      <c r="G83" s="48"/>
      <c r="H83" s="48"/>
      <c r="I83" s="48"/>
    </row>
    <row r="84" spans="1:9">
      <c r="A84" s="48"/>
      <c r="B84" s="48"/>
      <c r="C84" s="48"/>
      <c r="D84" s="48"/>
      <c r="E84" s="48"/>
      <c r="F84" s="48"/>
      <c r="G84" s="48"/>
      <c r="H84" s="48"/>
      <c r="I84" s="48"/>
    </row>
    <row r="85" spans="1:9">
      <c r="A85" s="48"/>
      <c r="B85" s="48"/>
      <c r="C85" s="48"/>
      <c r="D85" s="48"/>
      <c r="E85" s="48"/>
      <c r="F85" s="48"/>
      <c r="G85" s="48"/>
      <c r="H85" s="48"/>
      <c r="I85" s="48"/>
    </row>
    <row r="86" spans="1:9">
      <c r="A86" s="48"/>
      <c r="B86" s="48"/>
      <c r="C86" s="48"/>
      <c r="D86" s="48"/>
      <c r="E86" s="48"/>
      <c r="F86" s="48"/>
      <c r="G86" s="48"/>
      <c r="H86" s="48"/>
      <c r="I86" s="48"/>
    </row>
    <row r="87" spans="1:9">
      <c r="A87" s="48"/>
      <c r="B87" s="48"/>
      <c r="C87" s="48"/>
      <c r="D87" s="48"/>
      <c r="E87" s="48"/>
      <c r="F87" s="48"/>
      <c r="G87" s="48"/>
      <c r="H87" s="48"/>
      <c r="I87" s="48"/>
    </row>
    <row r="88" spans="1:9">
      <c r="A88" s="29"/>
      <c r="B88" s="29"/>
      <c r="C88" s="29"/>
      <c r="D88" s="29"/>
      <c r="E88" s="29"/>
      <c r="F88" s="29"/>
      <c r="G88" s="29"/>
      <c r="H88" s="29"/>
      <c r="I88" s="29"/>
    </row>
    <row r="89" spans="1:9">
      <c r="A89" s="29"/>
      <c r="B89" s="29"/>
      <c r="C89" s="29"/>
      <c r="D89" s="29"/>
      <c r="E89" s="29"/>
      <c r="F89" s="29"/>
      <c r="G89" s="29"/>
      <c r="H89" s="29"/>
      <c r="I89" s="29"/>
    </row>
    <row r="90" spans="1:9">
      <c r="A90" s="29"/>
      <c r="B90" s="29"/>
      <c r="C90" s="29"/>
      <c r="D90" s="29"/>
      <c r="E90" s="29"/>
      <c r="F90" s="29"/>
      <c r="G90" s="29"/>
      <c r="H90" s="29"/>
      <c r="I90" s="29"/>
    </row>
    <row r="91" spans="1:9">
      <c r="A91" s="29"/>
      <c r="B91" s="29"/>
      <c r="C91" s="29"/>
      <c r="D91" s="29"/>
      <c r="E91" s="29"/>
      <c r="F91" s="29"/>
      <c r="G91" s="29"/>
      <c r="H91" s="29"/>
      <c r="I91" s="29"/>
    </row>
    <row r="92" spans="1:9">
      <c r="A92" s="29"/>
      <c r="B92" s="29"/>
      <c r="C92" s="29"/>
      <c r="D92" s="29"/>
      <c r="E92" s="29"/>
      <c r="F92" s="29"/>
      <c r="G92" s="29"/>
      <c r="H92" s="29"/>
      <c r="I92" s="29"/>
    </row>
    <row r="93" spans="1:9">
      <c r="A93" s="29"/>
      <c r="B93" s="29"/>
      <c r="C93" s="29"/>
      <c r="D93" s="29"/>
      <c r="E93" s="29"/>
      <c r="F93" s="29"/>
      <c r="G93" s="29"/>
      <c r="H93" s="29"/>
      <c r="I93" s="29"/>
    </row>
    <row r="94" spans="1:9">
      <c r="A94" s="29"/>
      <c r="B94" s="29"/>
      <c r="C94" s="29"/>
      <c r="D94" s="29"/>
      <c r="E94" s="29"/>
      <c r="F94" s="29"/>
      <c r="G94" s="29"/>
      <c r="H94" s="29"/>
      <c r="I94" s="29"/>
    </row>
    <row r="95" spans="1:9">
      <c r="A95" s="29"/>
      <c r="B95" s="29"/>
      <c r="C95" s="29"/>
      <c r="D95" s="29"/>
      <c r="E95" s="29"/>
      <c r="F95" s="29"/>
      <c r="G95" s="29"/>
      <c r="H95" s="29"/>
      <c r="I95" s="29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48"/>
      <c r="B99" s="48"/>
      <c r="C99" s="48"/>
      <c r="D99" s="48"/>
      <c r="E99" s="48"/>
      <c r="F99" s="48"/>
      <c r="G99" s="48"/>
      <c r="H99" s="29"/>
      <c r="I99" s="48"/>
    </row>
    <row r="100" spans="1:9">
      <c r="A100" s="48"/>
      <c r="B100" s="48"/>
      <c r="C100" s="48"/>
      <c r="D100" s="48"/>
      <c r="E100" s="48"/>
      <c r="F100" s="48"/>
      <c r="G100" s="48"/>
      <c r="H100" s="48"/>
      <c r="I100" s="48"/>
    </row>
    <row r="101" spans="1:9">
      <c r="A101" s="48"/>
      <c r="B101" s="48"/>
      <c r="C101" s="48"/>
      <c r="D101" s="48"/>
      <c r="E101" s="48"/>
      <c r="F101" s="48"/>
      <c r="G101" s="48"/>
      <c r="H101" s="48"/>
      <c r="I101" s="48"/>
    </row>
    <row r="102" spans="1:9">
      <c r="A102" s="48"/>
      <c r="B102" s="48"/>
      <c r="C102" s="48"/>
      <c r="D102" s="48"/>
      <c r="E102" s="48"/>
      <c r="F102" s="48"/>
      <c r="G102" s="48"/>
      <c r="H102" s="48"/>
      <c r="I102" s="48"/>
    </row>
    <row r="103" spans="1:9">
      <c r="A103" s="48"/>
      <c r="B103" s="48"/>
      <c r="C103" s="48"/>
      <c r="D103" s="48"/>
      <c r="E103" s="48"/>
      <c r="F103" s="48"/>
      <c r="G103" s="48"/>
      <c r="H103" s="48"/>
      <c r="I103" s="48"/>
    </row>
    <row r="104" spans="1:9">
      <c r="A104" s="48"/>
      <c r="B104" s="48"/>
      <c r="C104" s="48"/>
      <c r="D104" s="48"/>
      <c r="E104" s="48"/>
      <c r="F104" s="48"/>
      <c r="G104" s="48"/>
      <c r="H104" s="48"/>
      <c r="I104" s="48"/>
    </row>
    <row r="105" spans="1:9">
      <c r="A105" s="48"/>
      <c r="B105" s="48"/>
      <c r="C105" s="48"/>
      <c r="D105" s="48"/>
      <c r="E105" s="48"/>
      <c r="F105" s="48"/>
      <c r="G105" s="48"/>
      <c r="H105" s="48"/>
      <c r="I105" s="48"/>
    </row>
    <row r="106" spans="1:9">
      <c r="A106" s="48"/>
      <c r="B106" s="48"/>
      <c r="C106" s="48"/>
      <c r="D106" s="48"/>
      <c r="E106" s="48"/>
      <c r="F106" s="48"/>
      <c r="G106" s="48"/>
      <c r="H106" s="48"/>
      <c r="I106" s="48"/>
    </row>
    <row r="107" spans="1:9">
      <c r="A107" s="48"/>
      <c r="B107" s="48"/>
      <c r="C107" s="48"/>
      <c r="D107" s="48"/>
      <c r="E107" s="48"/>
      <c r="F107" s="48"/>
      <c r="G107" s="48"/>
      <c r="H107" s="48"/>
      <c r="I107" s="48"/>
    </row>
    <row r="108" spans="1:9">
      <c r="A108" s="48"/>
      <c r="B108" s="48"/>
      <c r="C108" s="48"/>
      <c r="D108" s="48"/>
      <c r="E108" s="48"/>
      <c r="F108" s="48"/>
      <c r="G108" s="48"/>
      <c r="H108" s="48"/>
      <c r="I108" s="48"/>
    </row>
    <row r="109" spans="1:9">
      <c r="A109" s="46"/>
      <c r="B109" s="47"/>
      <c r="C109" s="47"/>
      <c r="D109" s="47"/>
      <c r="E109" s="47"/>
      <c r="F109" s="47"/>
      <c r="G109" s="47"/>
      <c r="H109" s="47"/>
      <c r="I109" s="47"/>
    </row>
    <row r="110" spans="1:9">
      <c r="A110" s="48"/>
      <c r="B110" s="48"/>
      <c r="C110" s="48"/>
      <c r="D110" s="48"/>
      <c r="E110" s="48"/>
      <c r="F110" s="48"/>
      <c r="G110" s="48"/>
      <c r="H110" s="48"/>
      <c r="I110" s="48"/>
    </row>
    <row r="111" spans="1:9">
      <c r="A111" s="48"/>
      <c r="B111" s="48"/>
      <c r="C111" s="48"/>
      <c r="D111" s="48"/>
      <c r="E111" s="48"/>
      <c r="F111" s="48"/>
      <c r="G111" s="48"/>
      <c r="H111" s="48"/>
      <c r="I111" s="48"/>
    </row>
    <row r="112" spans="1:9">
      <c r="A112" s="48"/>
      <c r="B112" s="48"/>
      <c r="C112" s="48"/>
      <c r="D112" s="48"/>
      <c r="E112" s="48"/>
      <c r="F112" s="48"/>
      <c r="G112" s="48"/>
      <c r="H112" s="48"/>
      <c r="I112" s="48"/>
    </row>
    <row r="113" spans="1:9">
      <c r="A113" s="48"/>
      <c r="B113" s="48"/>
      <c r="C113" s="48"/>
      <c r="D113" s="48"/>
      <c r="E113" s="48"/>
      <c r="F113" s="48"/>
      <c r="G113" s="48"/>
      <c r="H113" s="48"/>
      <c r="I113" s="48"/>
    </row>
    <row r="114" spans="1:9">
      <c r="A114" s="49"/>
      <c r="B114" s="49"/>
      <c r="C114" s="49"/>
      <c r="D114" s="49"/>
      <c r="E114" s="49"/>
      <c r="F114" s="49"/>
      <c r="G114" s="49"/>
      <c r="H114" s="49"/>
      <c r="I114" s="49"/>
    </row>
    <row r="115" spans="1:9">
      <c r="A115" s="50"/>
      <c r="B115" s="51"/>
      <c r="C115" s="51"/>
      <c r="D115" s="51"/>
      <c r="E115" s="51"/>
      <c r="F115" s="51"/>
      <c r="G115" s="51"/>
      <c r="H115" s="51"/>
      <c r="I115" s="51"/>
    </row>
    <row r="116" spans="1:9">
      <c r="A116" s="52"/>
      <c r="B116" s="51"/>
      <c r="C116" s="51"/>
      <c r="D116" s="51"/>
      <c r="E116" s="51"/>
      <c r="F116" s="51"/>
      <c r="G116" s="51"/>
      <c r="H116" s="51"/>
      <c r="I116" s="51"/>
    </row>
    <row r="117" spans="1:9">
      <c r="A117" s="52"/>
      <c r="B117" s="52"/>
      <c r="C117" s="52"/>
      <c r="D117" s="52"/>
      <c r="E117" s="52"/>
      <c r="F117" s="52"/>
      <c r="G117" s="52"/>
      <c r="H117" s="52"/>
      <c r="I117" s="52"/>
    </row>
    <row r="118" spans="1:9">
      <c r="A118" s="48"/>
      <c r="B118" s="48"/>
      <c r="C118" s="48"/>
      <c r="D118" s="48"/>
      <c r="E118" s="48"/>
      <c r="F118" s="48"/>
      <c r="G118" s="48"/>
      <c r="H118" s="48"/>
      <c r="I118" s="48"/>
    </row>
    <row r="119" spans="1:9">
      <c r="A119" s="47"/>
      <c r="B119" s="47"/>
      <c r="C119" s="47"/>
      <c r="D119" s="47"/>
      <c r="E119" s="47"/>
      <c r="F119" s="47"/>
      <c r="G119" s="47"/>
      <c r="H119" s="47"/>
      <c r="I119" s="48"/>
    </row>
    <row r="120" spans="1:9">
      <c r="A120" s="48"/>
      <c r="B120" s="48"/>
      <c r="C120" s="48"/>
      <c r="D120" s="48"/>
      <c r="E120" s="48"/>
      <c r="F120" s="48"/>
      <c r="G120" s="48"/>
      <c r="H120" s="48"/>
      <c r="I120" s="48"/>
    </row>
    <row r="121" spans="1:9">
      <c r="A121" s="48"/>
      <c r="B121" s="48"/>
      <c r="C121" s="48"/>
      <c r="D121" s="48"/>
      <c r="E121" s="48"/>
      <c r="F121" s="48"/>
      <c r="G121" s="48"/>
      <c r="H121" s="48"/>
      <c r="I121" s="48"/>
    </row>
    <row r="122" spans="1:9">
      <c r="A122" s="48"/>
      <c r="B122" s="48"/>
      <c r="C122" s="48"/>
      <c r="D122" s="48"/>
      <c r="E122" s="48"/>
      <c r="F122" s="48"/>
      <c r="G122" s="48"/>
      <c r="H122" s="48"/>
      <c r="I122" s="48"/>
    </row>
    <row r="123" spans="1:9">
      <c r="A123" s="48"/>
      <c r="B123" s="48"/>
      <c r="C123" s="48"/>
      <c r="D123" s="48"/>
      <c r="E123" s="48"/>
      <c r="F123" s="48"/>
      <c r="G123" s="48"/>
      <c r="H123" s="48"/>
      <c r="I123" s="48"/>
    </row>
    <row r="124" spans="1:9">
      <c r="A124" s="48"/>
      <c r="B124" s="48"/>
      <c r="C124" s="48"/>
      <c r="D124" s="48"/>
      <c r="E124" s="48"/>
      <c r="F124" s="48"/>
      <c r="G124" s="48"/>
      <c r="H124" s="48"/>
      <c r="I124" s="48"/>
    </row>
    <row r="125" spans="1:9">
      <c r="A125" s="47"/>
      <c r="B125" s="47"/>
      <c r="C125" s="47"/>
      <c r="D125" s="47"/>
      <c r="E125" s="47"/>
      <c r="F125" s="47"/>
      <c r="G125" s="47"/>
      <c r="H125" s="47"/>
      <c r="I125" s="47"/>
    </row>
    <row r="126" spans="1:9">
      <c r="A126" s="48"/>
      <c r="B126" s="48"/>
      <c r="C126" s="48"/>
      <c r="D126" s="48"/>
      <c r="E126" s="48"/>
      <c r="F126" s="48"/>
      <c r="G126" s="48"/>
      <c r="H126" s="48"/>
      <c r="I126" s="48"/>
    </row>
    <row r="127" spans="1:9">
      <c r="A127" s="29"/>
      <c r="B127" s="29"/>
      <c r="C127" s="29"/>
      <c r="D127" s="29"/>
      <c r="E127" s="29"/>
      <c r="F127" s="29"/>
      <c r="G127" s="29"/>
      <c r="H127" s="29"/>
      <c r="I127" s="29"/>
    </row>
    <row r="128" spans="1:9">
      <c r="A128" s="29"/>
      <c r="B128" s="29"/>
      <c r="C128" s="29"/>
      <c r="D128" s="29"/>
      <c r="E128" s="29"/>
      <c r="F128" s="29"/>
      <c r="G128" s="29"/>
      <c r="H128" s="29"/>
      <c r="I128" s="29"/>
    </row>
    <row r="129" spans="1:9">
      <c r="A129" s="29"/>
      <c r="B129" s="29"/>
      <c r="C129" s="29"/>
      <c r="D129" s="29"/>
      <c r="E129" s="29"/>
      <c r="F129" s="29"/>
      <c r="G129" s="29"/>
      <c r="H129" s="29"/>
      <c r="I129" s="29"/>
    </row>
    <row r="130" spans="1:9">
      <c r="A130" s="29"/>
      <c r="B130" s="29"/>
      <c r="C130" s="29"/>
      <c r="D130" s="29"/>
      <c r="E130" s="29"/>
      <c r="F130" s="29"/>
      <c r="G130" s="29"/>
      <c r="H130" s="29"/>
      <c r="I130" s="29"/>
    </row>
    <row r="131" spans="1:9">
      <c r="A131" s="29"/>
      <c r="B131" s="29"/>
      <c r="C131" s="29"/>
      <c r="D131" s="29"/>
      <c r="E131" s="29"/>
      <c r="F131" s="29"/>
      <c r="G131" s="29"/>
      <c r="H131" s="29"/>
      <c r="I131" s="29"/>
    </row>
    <row r="132" spans="1:9">
      <c r="A132" s="29"/>
      <c r="B132" s="29"/>
      <c r="C132" s="29"/>
      <c r="D132" s="29"/>
      <c r="E132" s="29"/>
      <c r="F132" s="29"/>
      <c r="G132" s="29"/>
      <c r="H132" s="29"/>
      <c r="I132" s="29"/>
    </row>
    <row r="133" spans="1:9">
      <c r="A133" s="29"/>
      <c r="B133" s="29"/>
      <c r="C133" s="29"/>
      <c r="D133" s="29"/>
      <c r="E133" s="29"/>
      <c r="F133" s="29"/>
      <c r="G133" s="29"/>
      <c r="H133" s="29"/>
      <c r="I133" s="29"/>
    </row>
    <row r="134" spans="1:9">
      <c r="A134" s="29"/>
      <c r="B134" s="29"/>
      <c r="C134" s="29"/>
      <c r="D134" s="29"/>
      <c r="E134" s="29"/>
      <c r="F134" s="29"/>
      <c r="G134" s="29"/>
      <c r="H134" s="29"/>
      <c r="I134" s="29"/>
    </row>
    <row r="135" spans="1:9">
      <c r="A135" s="29"/>
      <c r="B135" s="29"/>
      <c r="C135" s="29"/>
      <c r="D135" s="29"/>
      <c r="E135" s="29"/>
      <c r="F135" s="29"/>
      <c r="G135" s="29"/>
      <c r="H135" s="29"/>
      <c r="I135" s="29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48"/>
      <c r="B139" s="48"/>
      <c r="C139" s="48"/>
      <c r="D139" s="48"/>
      <c r="E139" s="48"/>
      <c r="F139" s="48"/>
      <c r="G139" s="48"/>
      <c r="H139" s="29"/>
      <c r="I139" s="48"/>
    </row>
    <row r="140" spans="1:9">
      <c r="A140" s="48"/>
      <c r="B140" s="48"/>
      <c r="C140" s="48"/>
      <c r="D140" s="48"/>
      <c r="E140" s="48"/>
      <c r="F140" s="48"/>
      <c r="G140" s="48"/>
      <c r="H140" s="48"/>
      <c r="I140" s="48"/>
    </row>
    <row r="141" spans="1:9">
      <c r="A141" s="48"/>
      <c r="B141" s="48"/>
      <c r="C141" s="48"/>
      <c r="D141" s="48"/>
      <c r="E141" s="48"/>
      <c r="F141" s="48"/>
      <c r="G141" s="48"/>
      <c r="H141" s="48"/>
      <c r="I141" s="48"/>
    </row>
    <row r="142" spans="1:9">
      <c r="A142" s="48"/>
      <c r="B142" s="48"/>
      <c r="C142" s="48"/>
      <c r="D142" s="48"/>
      <c r="E142" s="48"/>
      <c r="F142" s="48"/>
      <c r="G142" s="48"/>
      <c r="H142" s="48"/>
      <c r="I142" s="48"/>
    </row>
    <row r="143" spans="1:9">
      <c r="A143" s="48"/>
      <c r="B143" s="48"/>
      <c r="C143" s="48"/>
      <c r="D143" s="48"/>
      <c r="E143" s="48"/>
      <c r="F143" s="48"/>
      <c r="G143" s="48"/>
      <c r="H143" s="48"/>
      <c r="I143" s="48"/>
    </row>
    <row r="144" spans="1:9">
      <c r="A144" s="48"/>
      <c r="B144" s="48"/>
      <c r="C144" s="48"/>
      <c r="D144" s="48"/>
      <c r="E144" s="48"/>
      <c r="F144" s="48"/>
      <c r="G144" s="48"/>
      <c r="H144" s="48"/>
      <c r="I144" s="48"/>
    </row>
    <row r="145" spans="1:9">
      <c r="A145" s="48"/>
      <c r="B145" s="48"/>
      <c r="C145" s="48"/>
      <c r="D145" s="48"/>
      <c r="E145" s="48"/>
      <c r="F145" s="48"/>
      <c r="G145" s="48"/>
      <c r="H145" s="48"/>
      <c r="I145" s="48"/>
    </row>
    <row r="146" spans="1:9">
      <c r="A146" s="48"/>
      <c r="B146" s="48"/>
      <c r="C146" s="48"/>
      <c r="D146" s="48"/>
      <c r="E146" s="48"/>
      <c r="F146" s="48"/>
      <c r="G146" s="48"/>
      <c r="H146" s="48"/>
      <c r="I146" s="48"/>
    </row>
    <row r="147" spans="1:9">
      <c r="A147" s="48"/>
      <c r="B147" s="48"/>
      <c r="C147" s="48"/>
      <c r="D147" s="48"/>
      <c r="E147" s="48"/>
      <c r="F147" s="48"/>
      <c r="G147" s="48"/>
      <c r="H147" s="48"/>
      <c r="I147" s="48"/>
    </row>
    <row r="148" spans="1:9">
      <c r="A148" s="48"/>
      <c r="B148" s="48"/>
      <c r="C148" s="48"/>
      <c r="D148" s="48"/>
      <c r="E148" s="48"/>
      <c r="F148" s="48"/>
      <c r="G148" s="48"/>
      <c r="H148" s="48"/>
      <c r="I148" s="48"/>
    </row>
    <row r="149" spans="1:9">
      <c r="A149" s="46"/>
      <c r="B149" s="47"/>
      <c r="C149" s="47"/>
      <c r="D149" s="47"/>
      <c r="E149" s="47"/>
      <c r="F149" s="47"/>
      <c r="G149" s="47"/>
      <c r="H149" s="47"/>
      <c r="I149" s="47"/>
    </row>
    <row r="150" spans="1:9">
      <c r="A150" s="48"/>
      <c r="B150" s="48"/>
      <c r="C150" s="48"/>
      <c r="D150" s="48"/>
      <c r="E150" s="48"/>
      <c r="F150" s="48"/>
      <c r="G150" s="48"/>
      <c r="H150" s="48"/>
      <c r="I150" s="48"/>
    </row>
    <row r="151" spans="1:9">
      <c r="A151" s="48"/>
      <c r="B151" s="48"/>
      <c r="C151" s="48"/>
      <c r="D151" s="48"/>
      <c r="E151" s="48"/>
      <c r="F151" s="48"/>
      <c r="G151" s="48"/>
      <c r="H151" s="48"/>
      <c r="I151" s="48"/>
    </row>
    <row r="152" spans="1:9">
      <c r="A152" s="48"/>
      <c r="B152" s="48"/>
      <c r="C152" s="48"/>
      <c r="D152" s="48"/>
      <c r="E152" s="48"/>
      <c r="F152" s="48"/>
      <c r="G152" s="48"/>
      <c r="H152" s="48"/>
      <c r="I152" s="48"/>
    </row>
    <row r="153" spans="1:9">
      <c r="A153" s="48"/>
      <c r="B153" s="48"/>
      <c r="C153" s="48"/>
      <c r="D153" s="48"/>
      <c r="E153" s="48"/>
      <c r="F153" s="48"/>
      <c r="G153" s="48"/>
      <c r="H153" s="48"/>
      <c r="I153" s="48"/>
    </row>
    <row r="154" spans="1:9">
      <c r="A154" s="49"/>
      <c r="B154" s="49"/>
      <c r="C154" s="49"/>
      <c r="D154" s="49"/>
      <c r="E154" s="49"/>
      <c r="F154" s="49"/>
      <c r="G154" s="49"/>
      <c r="H154" s="49"/>
      <c r="I154" s="49"/>
    </row>
    <row r="155" spans="1:9">
      <c r="A155" s="50"/>
      <c r="B155" s="51"/>
      <c r="C155" s="51"/>
      <c r="D155" s="51"/>
      <c r="E155" s="51"/>
      <c r="F155" s="51"/>
      <c r="G155" s="51"/>
      <c r="H155" s="51"/>
      <c r="I155" s="51"/>
    </row>
    <row r="156" spans="1:9">
      <c r="A156" s="52"/>
      <c r="B156" s="51"/>
      <c r="C156" s="51"/>
      <c r="D156" s="51"/>
      <c r="E156" s="51"/>
      <c r="F156" s="51"/>
      <c r="G156" s="51"/>
      <c r="H156" s="51"/>
      <c r="I156" s="51"/>
    </row>
    <row r="157" spans="1:9">
      <c r="A157" s="52"/>
      <c r="B157" s="52"/>
      <c r="C157" s="52"/>
      <c r="D157" s="52"/>
      <c r="E157" s="52"/>
      <c r="F157" s="52"/>
      <c r="G157" s="52"/>
      <c r="H157" s="52"/>
      <c r="I157" s="52"/>
    </row>
    <row r="158" spans="1:9">
      <c r="A158" s="48"/>
      <c r="B158" s="48"/>
      <c r="C158" s="48"/>
      <c r="D158" s="48"/>
      <c r="E158" s="48"/>
      <c r="F158" s="48"/>
      <c r="G158" s="48"/>
      <c r="H158" s="48"/>
      <c r="I158" s="48"/>
    </row>
    <row r="159" spans="1:9">
      <c r="A159" s="47"/>
      <c r="B159" s="47"/>
      <c r="C159" s="47"/>
      <c r="D159" s="47"/>
      <c r="E159" s="47"/>
      <c r="F159" s="47"/>
      <c r="G159" s="47"/>
      <c r="H159" s="47"/>
      <c r="I159" s="48"/>
    </row>
    <row r="160" spans="1:9">
      <c r="A160" s="48"/>
      <c r="B160" s="48"/>
      <c r="C160" s="48"/>
      <c r="D160" s="48"/>
      <c r="E160" s="48"/>
      <c r="F160" s="48"/>
      <c r="G160" s="48"/>
      <c r="H160" s="48"/>
      <c r="I160" s="48"/>
    </row>
    <row r="161" spans="1:9">
      <c r="A161" s="48"/>
      <c r="B161" s="48"/>
      <c r="C161" s="48"/>
      <c r="D161" s="48"/>
      <c r="E161" s="48"/>
      <c r="F161" s="48"/>
      <c r="G161" s="48"/>
      <c r="H161" s="48"/>
      <c r="I161" s="48"/>
    </row>
    <row r="162" spans="1:9">
      <c r="A162" s="48"/>
      <c r="B162" s="48"/>
      <c r="C162" s="48"/>
      <c r="D162" s="48"/>
      <c r="E162" s="48"/>
      <c r="F162" s="48"/>
      <c r="G162" s="48"/>
      <c r="H162" s="48"/>
      <c r="I162" s="48"/>
    </row>
    <row r="163" spans="1:9">
      <c r="A163" s="48"/>
      <c r="B163" s="48"/>
      <c r="C163" s="48"/>
      <c r="D163" s="48"/>
      <c r="E163" s="48"/>
      <c r="F163" s="48"/>
      <c r="G163" s="48"/>
      <c r="H163" s="48"/>
      <c r="I163" s="48"/>
    </row>
    <row r="164" spans="1:9">
      <c r="A164" s="48"/>
      <c r="B164" s="48"/>
      <c r="C164" s="48"/>
      <c r="D164" s="48"/>
      <c r="E164" s="48"/>
      <c r="F164" s="48"/>
      <c r="G164" s="48"/>
      <c r="H164" s="48"/>
      <c r="I164" s="48"/>
    </row>
    <row r="165" spans="1:9">
      <c r="A165" s="47"/>
      <c r="B165" s="47"/>
      <c r="C165" s="47"/>
      <c r="D165" s="47"/>
      <c r="E165" s="47"/>
      <c r="F165" s="47"/>
      <c r="G165" s="47"/>
      <c r="H165" s="47"/>
      <c r="I165" s="47"/>
    </row>
    <row r="166" spans="1:9">
      <c r="A166" s="48"/>
      <c r="B166" s="48"/>
      <c r="C166" s="48"/>
      <c r="D166" s="48"/>
      <c r="E166" s="48"/>
      <c r="F166" s="48"/>
      <c r="G166" s="48"/>
      <c r="H166" s="48"/>
      <c r="I166" s="48"/>
    </row>
    <row r="167" spans="1:9">
      <c r="A167" s="29"/>
      <c r="B167" s="29"/>
      <c r="C167" s="29"/>
      <c r="D167" s="29"/>
      <c r="E167" s="29"/>
      <c r="F167" s="29"/>
      <c r="G167" s="29"/>
      <c r="H167" s="29"/>
      <c r="I167" s="29"/>
    </row>
    <row r="168" spans="1:9">
      <c r="A168" s="29"/>
      <c r="B168" s="29"/>
      <c r="C168" s="29"/>
      <c r="D168" s="29"/>
      <c r="E168" s="29"/>
      <c r="F168" s="29"/>
      <c r="G168" s="29"/>
      <c r="H168" s="29"/>
      <c r="I168" s="29"/>
    </row>
    <row r="169" spans="1:9">
      <c r="A169" s="29"/>
      <c r="B169" s="29"/>
      <c r="C169" s="29"/>
      <c r="D169" s="29"/>
      <c r="E169" s="29"/>
      <c r="F169" s="29"/>
      <c r="G169" s="29"/>
      <c r="H169" s="29"/>
      <c r="I169" s="29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48"/>
      <c r="B173" s="48"/>
      <c r="C173" s="48"/>
      <c r="D173" s="48"/>
      <c r="E173" s="48"/>
      <c r="F173" s="48"/>
      <c r="G173" s="48"/>
      <c r="H173" s="29"/>
      <c r="I173" s="48"/>
    </row>
    <row r="174" spans="1:9">
      <c r="A174" s="48"/>
      <c r="B174" s="48"/>
      <c r="C174" s="48"/>
      <c r="D174" s="48"/>
      <c r="E174" s="48"/>
      <c r="F174" s="48"/>
      <c r="G174" s="48"/>
      <c r="H174" s="48"/>
      <c r="I174" s="48"/>
    </row>
    <row r="175" spans="1:9">
      <c r="A175" s="48"/>
      <c r="B175" s="48"/>
      <c r="C175" s="48"/>
      <c r="D175" s="48"/>
      <c r="E175" s="48"/>
      <c r="F175" s="48"/>
      <c r="G175" s="48"/>
      <c r="H175" s="48"/>
      <c r="I175" s="48"/>
    </row>
    <row r="176" spans="1:9">
      <c r="A176" s="48"/>
      <c r="B176" s="48"/>
      <c r="C176" s="48"/>
      <c r="D176" s="48"/>
      <c r="E176" s="48"/>
      <c r="F176" s="48"/>
      <c r="G176" s="48"/>
      <c r="H176" s="48"/>
      <c r="I176" s="48"/>
    </row>
    <row r="177" spans="1:9">
      <c r="A177" s="48"/>
      <c r="B177" s="48"/>
      <c r="C177" s="48"/>
      <c r="D177" s="48"/>
      <c r="E177" s="48"/>
      <c r="F177" s="48"/>
      <c r="G177" s="48"/>
      <c r="H177" s="48"/>
      <c r="I177" s="48"/>
    </row>
    <row r="178" spans="1:9">
      <c r="A178" s="48"/>
      <c r="B178" s="48"/>
      <c r="C178" s="48"/>
      <c r="D178" s="48"/>
      <c r="E178" s="48"/>
      <c r="F178" s="48"/>
      <c r="G178" s="48"/>
      <c r="H178" s="48"/>
      <c r="I178" s="48"/>
    </row>
    <row r="179" spans="1:9">
      <c r="A179" s="48"/>
      <c r="B179" s="48"/>
      <c r="C179" s="48"/>
      <c r="D179" s="48"/>
      <c r="E179" s="48"/>
      <c r="F179" s="48"/>
      <c r="G179" s="48"/>
      <c r="H179" s="48"/>
      <c r="I179" s="48"/>
    </row>
    <row r="180" spans="1:9">
      <c r="A180" s="48"/>
      <c r="B180" s="48"/>
      <c r="C180" s="48"/>
      <c r="D180" s="48"/>
      <c r="E180" s="48"/>
      <c r="F180" s="48"/>
      <c r="G180" s="48"/>
      <c r="H180" s="48"/>
      <c r="I180" s="48"/>
    </row>
    <row r="181" spans="1:9">
      <c r="A181" s="48"/>
      <c r="B181" s="48"/>
      <c r="C181" s="48"/>
      <c r="D181" s="48"/>
      <c r="E181" s="48"/>
      <c r="F181" s="48"/>
      <c r="G181" s="48"/>
      <c r="H181" s="48"/>
      <c r="I181" s="48"/>
    </row>
    <row r="182" spans="1:9">
      <c r="A182" s="48"/>
      <c r="B182" s="48"/>
      <c r="C182" s="48"/>
      <c r="D182" s="48"/>
      <c r="E182" s="48"/>
      <c r="F182" s="48"/>
      <c r="G182" s="48"/>
      <c r="H182" s="48"/>
      <c r="I182" s="48"/>
    </row>
    <row r="183" spans="1:9">
      <c r="A183" s="46"/>
      <c r="B183" s="47"/>
      <c r="C183" s="47"/>
      <c r="D183" s="47"/>
      <c r="E183" s="47"/>
      <c r="F183" s="47"/>
      <c r="G183" s="47"/>
      <c r="H183" s="47"/>
      <c r="I183" s="47"/>
    </row>
    <row r="184" spans="1:9">
      <c r="A184" s="48"/>
      <c r="B184" s="48"/>
      <c r="C184" s="48"/>
      <c r="D184" s="48"/>
      <c r="E184" s="48"/>
      <c r="F184" s="48"/>
      <c r="G184" s="48"/>
      <c r="H184" s="48"/>
      <c r="I184" s="48"/>
    </row>
    <row r="185" spans="1:9">
      <c r="A185" s="48"/>
      <c r="B185" s="48"/>
      <c r="C185" s="48"/>
      <c r="D185" s="48"/>
      <c r="E185" s="48"/>
      <c r="F185" s="48"/>
      <c r="G185" s="48"/>
      <c r="H185" s="48"/>
      <c r="I185" s="48"/>
    </row>
    <row r="186" spans="1:9">
      <c r="A186" s="48"/>
      <c r="B186" s="48"/>
      <c r="C186" s="48"/>
      <c r="D186" s="48"/>
      <c r="E186" s="48"/>
      <c r="F186" s="48"/>
      <c r="G186" s="48"/>
      <c r="H186" s="48"/>
      <c r="I186" s="48"/>
    </row>
    <row r="187" spans="1:9">
      <c r="A187" s="48"/>
      <c r="B187" s="48"/>
      <c r="C187" s="48"/>
      <c r="D187" s="48"/>
      <c r="E187" s="48"/>
      <c r="F187" s="48"/>
      <c r="G187" s="48"/>
      <c r="H187" s="48"/>
      <c r="I187" s="48"/>
    </row>
    <row r="188" spans="1:9">
      <c r="A188" s="49"/>
      <c r="B188" s="49"/>
      <c r="C188" s="49"/>
      <c r="D188" s="49"/>
      <c r="E188" s="49"/>
      <c r="F188" s="49"/>
      <c r="G188" s="49"/>
      <c r="H188" s="49"/>
      <c r="I188" s="49"/>
    </row>
    <row r="189" spans="1:9">
      <c r="A189" s="50"/>
      <c r="B189" s="51"/>
      <c r="C189" s="51"/>
      <c r="D189" s="51"/>
      <c r="E189" s="51"/>
      <c r="F189" s="51"/>
      <c r="G189" s="51"/>
      <c r="H189" s="51"/>
      <c r="I189" s="51"/>
    </row>
    <row r="190" spans="1:9">
      <c r="A190" s="52"/>
      <c r="B190" s="51"/>
      <c r="C190" s="51"/>
      <c r="D190" s="51"/>
      <c r="E190" s="51"/>
      <c r="F190" s="51"/>
      <c r="G190" s="51"/>
      <c r="H190" s="51"/>
      <c r="I190" s="51"/>
    </row>
    <row r="191" spans="1:9">
      <c r="A191" s="52"/>
      <c r="B191" s="52"/>
      <c r="C191" s="52"/>
      <c r="D191" s="52"/>
      <c r="E191" s="52"/>
      <c r="F191" s="52"/>
      <c r="G191" s="52"/>
      <c r="H191" s="52"/>
      <c r="I191" s="52"/>
    </row>
    <row r="192" spans="1:9">
      <c r="A192" s="48"/>
      <c r="B192" s="48"/>
      <c r="C192" s="48"/>
      <c r="D192" s="48"/>
      <c r="E192" s="48"/>
      <c r="F192" s="48"/>
      <c r="G192" s="48"/>
      <c r="H192" s="48"/>
      <c r="I192" s="48"/>
    </row>
    <row r="193" spans="1:9" ht="21" customHeight="1">
      <c r="A193" s="47"/>
      <c r="B193" s="47"/>
      <c r="C193" s="47"/>
      <c r="D193" s="47"/>
      <c r="E193" s="47"/>
      <c r="F193" s="47"/>
      <c r="G193" s="47"/>
      <c r="H193" s="47"/>
      <c r="I193" s="48"/>
    </row>
    <row r="194" spans="1:9">
      <c r="A194" s="48"/>
      <c r="B194" s="48"/>
      <c r="C194" s="48"/>
      <c r="D194" s="48"/>
      <c r="E194" s="48"/>
      <c r="F194" s="48"/>
      <c r="G194" s="48"/>
      <c r="H194" s="48"/>
      <c r="I194" s="48"/>
    </row>
    <row r="195" spans="1:9">
      <c r="A195" s="48"/>
      <c r="B195" s="48"/>
      <c r="C195" s="48"/>
      <c r="D195" s="48"/>
      <c r="E195" s="48"/>
      <c r="F195" s="48"/>
      <c r="G195" s="48"/>
      <c r="H195" s="48"/>
      <c r="I195" s="48"/>
    </row>
    <row r="196" spans="1:9">
      <c r="A196" s="48"/>
      <c r="B196" s="48"/>
      <c r="C196" s="48"/>
      <c r="D196" s="48"/>
      <c r="E196" s="48"/>
      <c r="F196" s="48"/>
      <c r="G196" s="48"/>
      <c r="H196" s="48"/>
      <c r="I196" s="48"/>
    </row>
    <row r="197" spans="1:9">
      <c r="A197" s="48"/>
      <c r="B197" s="48"/>
      <c r="C197" s="48"/>
      <c r="D197" s="48"/>
      <c r="E197" s="48"/>
      <c r="F197" s="48"/>
      <c r="G197" s="48"/>
      <c r="H197" s="48"/>
      <c r="I197" s="48"/>
    </row>
    <row r="198" spans="1:9">
      <c r="A198" s="48"/>
      <c r="B198" s="48"/>
      <c r="C198" s="48"/>
      <c r="D198" s="48"/>
      <c r="E198" s="48"/>
      <c r="F198" s="48"/>
      <c r="G198" s="48"/>
      <c r="H198" s="48"/>
      <c r="I198" s="48"/>
    </row>
    <row r="199" spans="1:9">
      <c r="A199" s="47"/>
      <c r="B199" s="47"/>
      <c r="C199" s="47"/>
      <c r="D199" s="47"/>
      <c r="E199" s="47"/>
      <c r="F199" s="47"/>
      <c r="G199" s="47"/>
      <c r="H199" s="47"/>
      <c r="I199" s="47"/>
    </row>
    <row r="200" spans="1:9">
      <c r="A200" s="48"/>
      <c r="B200" s="48"/>
      <c r="C200" s="48"/>
      <c r="D200" s="48"/>
      <c r="E200" s="48"/>
      <c r="F200" s="48"/>
      <c r="G200" s="48"/>
      <c r="H200" s="48"/>
      <c r="I200" s="48"/>
    </row>
    <row r="201" spans="1:9">
      <c r="A201" s="29"/>
      <c r="B201" s="29"/>
      <c r="C201" s="29"/>
      <c r="D201" s="29"/>
      <c r="E201" s="29"/>
      <c r="F201" s="29"/>
      <c r="G201" s="29"/>
      <c r="H201" s="29"/>
      <c r="I201" s="29"/>
    </row>
    <row r="202" spans="1:9">
      <c r="A202" s="29"/>
      <c r="B202" s="29"/>
      <c r="C202" s="29"/>
      <c r="D202" s="29"/>
      <c r="E202" s="29"/>
      <c r="F202" s="29"/>
      <c r="G202" s="29"/>
      <c r="H202" s="29"/>
      <c r="I202" s="52"/>
    </row>
    <row r="203" spans="1:9">
      <c r="A203" s="29"/>
      <c r="B203" s="29"/>
      <c r="C203" s="29"/>
      <c r="D203" s="29"/>
      <c r="E203" s="29"/>
      <c r="F203" s="29"/>
      <c r="G203" s="29"/>
      <c r="H203" s="29"/>
      <c r="I203" s="29"/>
    </row>
    <row r="204" spans="1:9">
      <c r="A204" s="29"/>
      <c r="B204" s="29"/>
      <c r="C204" s="29"/>
      <c r="D204" s="29"/>
      <c r="E204" s="29"/>
      <c r="F204" s="29"/>
      <c r="G204" s="29"/>
      <c r="H204" s="29"/>
      <c r="I204" s="29"/>
    </row>
    <row r="205" spans="1:9">
      <c r="A205" s="29"/>
      <c r="B205" s="29"/>
      <c r="C205" s="29"/>
      <c r="D205" s="29"/>
      <c r="E205" s="29"/>
      <c r="F205" s="29"/>
      <c r="G205" s="29"/>
      <c r="H205" s="29"/>
      <c r="I205" s="29"/>
    </row>
    <row r="206" spans="1:9">
      <c r="A206" s="29"/>
      <c r="B206" s="29"/>
      <c r="C206" s="29"/>
      <c r="D206" s="29"/>
      <c r="E206" s="29"/>
      <c r="F206" s="29"/>
      <c r="G206" s="29"/>
      <c r="H206" s="29"/>
      <c r="I206" s="29"/>
    </row>
    <row r="207" spans="1:9">
      <c r="A207" s="29"/>
      <c r="B207" s="29"/>
      <c r="C207" s="29"/>
      <c r="D207" s="29"/>
      <c r="E207" s="29"/>
      <c r="F207" s="29"/>
      <c r="G207" s="29"/>
      <c r="H207" s="29"/>
      <c r="I207" s="29"/>
    </row>
    <row r="208" spans="1:9">
      <c r="A208" s="29"/>
      <c r="B208" s="29"/>
      <c r="C208" s="29"/>
      <c r="D208" s="29"/>
      <c r="E208" s="29"/>
      <c r="F208" s="29"/>
      <c r="G208" s="29"/>
      <c r="H208" s="29"/>
      <c r="I208" s="29"/>
    </row>
    <row r="209" spans="1:9">
      <c r="A209" s="29"/>
      <c r="B209" s="29"/>
      <c r="C209" s="29"/>
      <c r="D209" s="29"/>
      <c r="E209" s="29"/>
      <c r="F209" s="29"/>
      <c r="G209" s="29"/>
      <c r="H209" s="29"/>
      <c r="I209" s="29"/>
    </row>
    <row r="210" spans="1:9">
      <c r="A210" s="29"/>
      <c r="B210" s="29"/>
      <c r="C210" s="29"/>
      <c r="D210" s="29"/>
      <c r="E210" s="29"/>
      <c r="F210" s="29"/>
      <c r="G210" s="29"/>
      <c r="H210" s="29"/>
      <c r="I210" s="29"/>
    </row>
    <row r="211" spans="1:9">
      <c r="A211" s="29"/>
      <c r="B211" s="29"/>
      <c r="C211" s="29"/>
      <c r="D211" s="29"/>
      <c r="E211" s="29"/>
      <c r="F211" s="29"/>
      <c r="G211" s="29"/>
      <c r="H211" s="29"/>
      <c r="I211" s="29"/>
    </row>
    <row r="212" spans="1:9">
      <c r="A212" s="29"/>
      <c r="B212" s="29"/>
      <c r="C212" s="29"/>
      <c r="D212" s="29"/>
      <c r="E212" s="29"/>
      <c r="F212" s="29"/>
      <c r="G212" s="29"/>
      <c r="H212" s="29"/>
      <c r="I212" s="29"/>
    </row>
    <row r="213" spans="1:9">
      <c r="A213" s="29"/>
      <c r="B213" s="29"/>
      <c r="C213" s="29"/>
      <c r="D213" s="29"/>
      <c r="E213" s="29"/>
      <c r="F213" s="29"/>
      <c r="G213" s="29"/>
      <c r="H213" s="29"/>
      <c r="I213" s="29"/>
    </row>
    <row r="214" spans="1:9">
      <c r="A214" s="29"/>
      <c r="B214" s="29"/>
      <c r="C214" s="29"/>
      <c r="D214" s="29"/>
      <c r="E214" s="29"/>
      <c r="F214" s="29"/>
      <c r="G214" s="29"/>
      <c r="H214" s="29"/>
      <c r="I214" s="29"/>
    </row>
    <row r="215" spans="1:9">
      <c r="A215" s="29"/>
      <c r="B215" s="29"/>
      <c r="C215" s="29"/>
      <c r="D215" s="29"/>
      <c r="E215" s="29"/>
      <c r="F215" s="29"/>
      <c r="G215" s="29"/>
      <c r="H215" s="29"/>
      <c r="I215" s="29"/>
    </row>
    <row r="216" spans="1:9">
      <c r="A216" s="29"/>
      <c r="B216" s="29"/>
      <c r="C216" s="29"/>
      <c r="D216" s="29"/>
      <c r="E216" s="29"/>
      <c r="F216" s="29"/>
      <c r="G216" s="29"/>
      <c r="H216" s="29"/>
      <c r="I216" s="29"/>
    </row>
    <row r="217" spans="1:9">
      <c r="A217" s="29"/>
      <c r="B217" s="29"/>
      <c r="C217" s="29"/>
      <c r="D217" s="29"/>
      <c r="E217" s="29"/>
      <c r="F217" s="29"/>
      <c r="G217" s="29"/>
      <c r="H217" s="29"/>
      <c r="I217" s="29"/>
    </row>
    <row r="218" spans="1:9">
      <c r="A218" s="29"/>
      <c r="B218" s="29"/>
      <c r="C218" s="29"/>
      <c r="D218" s="29"/>
      <c r="E218" s="29"/>
      <c r="F218" s="29"/>
      <c r="G218" s="29"/>
      <c r="H218" s="29"/>
      <c r="I218" s="29"/>
    </row>
    <row r="219" spans="1:9">
      <c r="A219" s="29"/>
      <c r="B219" s="29"/>
      <c r="C219" s="29"/>
      <c r="D219" s="29"/>
      <c r="E219" s="29"/>
      <c r="F219" s="29"/>
      <c r="G219" s="29"/>
      <c r="H219" s="29"/>
      <c r="I219" s="29"/>
    </row>
    <row r="220" spans="1:9">
      <c r="A220" s="29"/>
      <c r="B220" s="29"/>
      <c r="C220" s="29"/>
      <c r="D220" s="29"/>
      <c r="E220" s="29"/>
      <c r="F220" s="29"/>
      <c r="G220" s="29"/>
      <c r="H220" s="29"/>
      <c r="I220" s="29"/>
    </row>
    <row r="221" spans="1:9">
      <c r="A221" s="29"/>
      <c r="B221" s="29"/>
      <c r="C221" s="29"/>
      <c r="D221" s="29"/>
      <c r="E221" s="29"/>
      <c r="F221" s="29"/>
      <c r="G221" s="29"/>
      <c r="H221" s="29"/>
      <c r="I221" s="29"/>
    </row>
    <row r="222" spans="1:9">
      <c r="A222" s="29"/>
      <c r="B222" s="29"/>
      <c r="C222" s="29"/>
      <c r="D222" s="29"/>
      <c r="E222" s="29"/>
      <c r="F222" s="29"/>
      <c r="G222" s="29"/>
      <c r="H222" s="29"/>
      <c r="I222" s="29"/>
    </row>
    <row r="223" spans="1:9">
      <c r="A223" s="29"/>
      <c r="B223" s="29"/>
      <c r="C223" s="29"/>
      <c r="D223" s="29"/>
      <c r="E223" s="29"/>
      <c r="F223" s="29"/>
      <c r="G223" s="29"/>
      <c r="H223" s="29"/>
      <c r="I223" s="29"/>
    </row>
    <row r="224" spans="1:9">
      <c r="A224" s="29"/>
      <c r="B224" s="29"/>
      <c r="C224" s="29"/>
      <c r="D224" s="29"/>
      <c r="E224" s="29"/>
      <c r="F224" s="29"/>
      <c r="G224" s="29"/>
      <c r="H224" s="29"/>
      <c r="I224" s="29"/>
    </row>
    <row r="225" spans="1:9">
      <c r="A225" s="29"/>
      <c r="B225" s="29"/>
      <c r="C225" s="29"/>
      <c r="D225" s="29"/>
      <c r="E225" s="29"/>
      <c r="F225" s="29"/>
      <c r="G225" s="29"/>
      <c r="H225" s="29"/>
      <c r="I225" s="29"/>
    </row>
    <row r="226" spans="1:9">
      <c r="A226" s="29"/>
      <c r="B226" s="29"/>
      <c r="C226" s="29"/>
      <c r="D226" s="29"/>
      <c r="E226" s="29"/>
      <c r="F226" s="29"/>
      <c r="G226" s="29"/>
      <c r="H226" s="29"/>
      <c r="I226" s="29"/>
    </row>
    <row r="227" spans="1:9">
      <c r="A227" s="29"/>
      <c r="B227" s="29"/>
      <c r="C227" s="29"/>
      <c r="D227" s="29"/>
      <c r="E227" s="29"/>
      <c r="F227" s="29"/>
      <c r="G227" s="29"/>
      <c r="H227" s="29"/>
      <c r="I227" s="29"/>
    </row>
    <row r="228" spans="1:9">
      <c r="A228" s="29"/>
      <c r="B228" s="29"/>
      <c r="C228" s="29"/>
      <c r="D228" s="29"/>
      <c r="E228" s="29"/>
      <c r="F228" s="29"/>
      <c r="G228" s="29"/>
      <c r="H228" s="29"/>
      <c r="I228" s="29"/>
    </row>
    <row r="229" spans="1:9">
      <c r="A229" s="29"/>
      <c r="B229" s="29"/>
      <c r="C229" s="29"/>
      <c r="D229" s="29"/>
      <c r="E229" s="29"/>
      <c r="F229" s="29"/>
      <c r="G229" s="29"/>
      <c r="H229" s="29"/>
      <c r="I229" s="29"/>
    </row>
    <row r="230" spans="1:9">
      <c r="A230" s="29"/>
      <c r="B230" s="29"/>
      <c r="C230" s="29"/>
      <c r="D230" s="29"/>
      <c r="E230" s="29"/>
      <c r="F230" s="29"/>
      <c r="G230" s="29"/>
      <c r="H230" s="29"/>
      <c r="I230" s="29"/>
    </row>
    <row r="231" spans="1:9">
      <c r="A231" s="29"/>
      <c r="B231" s="29"/>
      <c r="C231" s="29"/>
      <c r="D231" s="29"/>
      <c r="E231" s="29"/>
      <c r="F231" s="29"/>
      <c r="G231" s="29"/>
      <c r="H231" s="29"/>
      <c r="I231" s="29"/>
    </row>
    <row r="232" spans="1:9">
      <c r="A232" s="29"/>
      <c r="B232" s="29"/>
      <c r="C232" s="29"/>
      <c r="D232" s="29"/>
      <c r="E232" s="29"/>
      <c r="F232" s="29"/>
      <c r="G232" s="29"/>
      <c r="H232" s="29"/>
      <c r="I232" s="29"/>
    </row>
    <row r="233" spans="1:9">
      <c r="A233" s="29"/>
      <c r="B233" s="29"/>
      <c r="C233" s="29"/>
      <c r="D233" s="29"/>
      <c r="E233" s="29"/>
      <c r="F233" s="29"/>
      <c r="G233" s="29"/>
      <c r="H233" s="29"/>
      <c r="I233" s="29"/>
    </row>
    <row r="234" spans="1:9">
      <c r="A234" s="29"/>
      <c r="B234" s="29"/>
      <c r="C234" s="29"/>
      <c r="D234" s="29"/>
      <c r="E234" s="29"/>
      <c r="F234" s="29"/>
      <c r="G234" s="29"/>
      <c r="H234" s="29"/>
      <c r="I234" s="29"/>
    </row>
    <row r="235" spans="1:9">
      <c r="A235" s="29"/>
      <c r="B235" s="29"/>
      <c r="C235" s="29"/>
      <c r="D235" s="29"/>
      <c r="E235" s="29"/>
      <c r="F235" s="29"/>
      <c r="G235" s="29"/>
      <c r="H235" s="29"/>
      <c r="I235" s="29"/>
    </row>
    <row r="236" spans="1:9">
      <c r="A236" s="29"/>
      <c r="B236" s="29"/>
      <c r="C236" s="29"/>
      <c r="D236" s="29"/>
      <c r="E236" s="29"/>
      <c r="F236" s="29"/>
      <c r="G236" s="29"/>
      <c r="H236" s="29"/>
      <c r="I236" s="29"/>
    </row>
    <row r="237" spans="1:9">
      <c r="A237" s="29"/>
      <c r="B237" s="29"/>
      <c r="C237" s="29"/>
      <c r="D237" s="29"/>
      <c r="E237" s="29"/>
      <c r="F237" s="29"/>
      <c r="G237" s="29"/>
      <c r="H237" s="29"/>
      <c r="I237" s="29"/>
    </row>
    <row r="238" spans="1:9">
      <c r="A238" s="29"/>
      <c r="B238" s="29"/>
      <c r="C238" s="29"/>
      <c r="D238" s="29"/>
      <c r="E238" s="29"/>
      <c r="F238" s="29"/>
      <c r="G238" s="29"/>
      <c r="H238" s="29"/>
      <c r="I238" s="29"/>
    </row>
    <row r="239" spans="1:9">
      <c r="A239" s="29"/>
      <c r="B239" s="29"/>
      <c r="C239" s="29"/>
      <c r="D239" s="29"/>
      <c r="E239" s="29"/>
      <c r="F239" s="29"/>
      <c r="G239" s="29"/>
      <c r="H239" s="29"/>
      <c r="I239" s="29"/>
    </row>
  </sheetData>
  <mergeCells count="6">
    <mergeCell ref="A7:F7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Template - Q1_Returns</vt:lpstr>
      <vt:lpstr>Template - Q2_Returns</vt:lpstr>
      <vt:lpstr>Template - Q3_Returns</vt:lpstr>
      <vt:lpstr>TEMPLATE - Proceeds Bonga</vt:lpstr>
      <vt:lpstr>TEMPLATE - Lifting Bonga</vt:lpstr>
      <vt:lpstr>TEMPLATE - Proceeds Erha</vt:lpstr>
      <vt:lpstr>TEMPLATE - Lifting Erha</vt:lpstr>
      <vt:lpstr>'Template - Q2_Returns'!cst_oil</vt:lpstr>
      <vt:lpstr>'Template - Q3_Returns'!cst_oil</vt:lpstr>
      <vt:lpstr>cst_oil</vt:lpstr>
      <vt:lpstr>'Template - Q2_Returns'!pf_oil_splt_cont</vt:lpstr>
      <vt:lpstr>'Template - Q3_Returns'!pf_oil_splt_cont</vt:lpstr>
      <vt:lpstr>pf_oil_splt_cont</vt:lpstr>
      <vt:lpstr>'Template - Q1_Returns'!Print_Area</vt:lpstr>
      <vt:lpstr>'Template - Q2_Returns'!Print_Area</vt:lpstr>
      <vt:lpstr>'Template - Q3_Returns'!Print_Area</vt:lpstr>
      <vt:lpstr>'Template - Q1_Returns'!Print_Titles</vt:lpstr>
      <vt:lpstr>'Template - Q2_Returns'!Print_Titles</vt:lpstr>
      <vt:lpstr>'Template - Q3_Returns'!Print_Titles</vt:lpstr>
    </vt:vector>
  </TitlesOfParts>
  <Company>Total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Peter.Dirisu</cp:lastModifiedBy>
  <cp:lastPrinted>2014-10-17T13:33:49Z</cp:lastPrinted>
  <dcterms:created xsi:type="dcterms:W3CDTF">2010-03-05T08:19:24Z</dcterms:created>
  <dcterms:modified xsi:type="dcterms:W3CDTF">2014-10-28T06:37:20Z</dcterms:modified>
</cp:coreProperties>
</file>