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960" yWindow="930" windowWidth="19335" windowHeight="7080"/>
  </bookViews>
  <sheets>
    <sheet name="COMPREHENSIVE (1ST QTR'14)" sheetId="1" r:id="rId1"/>
    <sheet name="COMPLIANT (1ST QTR'14)" sheetId="2" r:id="rId2"/>
    <sheet name="NON-COMPLIANT (1ST QTR'14)" sheetId="3" r:id="rId3"/>
  </sheets>
  <calcPr calcId="125725"/>
</workbook>
</file>

<file path=xl/calcChain.xml><?xml version="1.0" encoding="utf-8"?>
<calcChain xmlns="http://schemas.openxmlformats.org/spreadsheetml/2006/main">
  <c r="P71" i="2"/>
  <c r="T70"/>
  <c r="Q70"/>
  <c r="V70" s="1"/>
  <c r="X70" s="1"/>
  <c r="Y70" s="1"/>
  <c r="T69"/>
  <c r="Q69"/>
  <c r="V69" s="1"/>
  <c r="X69" s="1"/>
  <c r="Y69" s="1"/>
  <c r="T68"/>
  <c r="Q68"/>
  <c r="V68" s="1"/>
  <c r="X68" s="1"/>
  <c r="Y68" s="1"/>
  <c r="T67"/>
  <c r="Q67"/>
  <c r="V67" s="1"/>
  <c r="X67" s="1"/>
  <c r="Y67" s="1"/>
  <c r="T66"/>
  <c r="Q66"/>
  <c r="V66" s="1"/>
  <c r="X66" s="1"/>
  <c r="Y66" s="1"/>
  <c r="Y32" i="3"/>
  <c r="P32"/>
  <c r="T31"/>
  <c r="Q31"/>
  <c r="V31" s="1"/>
  <c r="X31" s="1"/>
  <c r="T30"/>
  <c r="Q30"/>
  <c r="V30" s="1"/>
  <c r="X30" s="1"/>
  <c r="T29"/>
  <c r="Q29"/>
  <c r="V29" s="1"/>
  <c r="X29" s="1"/>
  <c r="T28"/>
  <c r="Q28"/>
  <c r="V28" s="1"/>
  <c r="X28" s="1"/>
  <c r="T27"/>
  <c r="Q27"/>
  <c r="V27" s="1"/>
  <c r="X27" s="1"/>
  <c r="T26"/>
  <c r="Q26"/>
  <c r="V26" s="1"/>
  <c r="X26" s="1"/>
  <c r="T25"/>
  <c r="Q25"/>
  <c r="V25" s="1"/>
  <c r="X25" s="1"/>
  <c r="T24"/>
  <c r="Q24"/>
  <c r="V24" s="1"/>
  <c r="X24" s="1"/>
  <c r="T23"/>
  <c r="Q23"/>
  <c r="V23" s="1"/>
  <c r="X23" s="1"/>
  <c r="T22"/>
  <c r="Q22"/>
  <c r="V22" s="1"/>
  <c r="X22" s="1"/>
  <c r="P61" i="1"/>
  <c r="Q60"/>
  <c r="Q59"/>
  <c r="Q58"/>
  <c r="Q57"/>
  <c r="Q56"/>
  <c r="Q55"/>
  <c r="Q54"/>
  <c r="Q53"/>
  <c r="Q52"/>
  <c r="Q51"/>
  <c r="Q50"/>
  <c r="Q49"/>
  <c r="Q48"/>
  <c r="Q47"/>
  <c r="Q46"/>
  <c r="T60"/>
  <c r="T59"/>
  <c r="T58"/>
  <c r="T57"/>
  <c r="T56"/>
  <c r="T55"/>
  <c r="T54"/>
  <c r="T53"/>
  <c r="T52"/>
  <c r="T51"/>
  <c r="T50"/>
  <c r="T49"/>
  <c r="T48"/>
  <c r="T47"/>
  <c r="T46"/>
  <c r="V60"/>
  <c r="X60" s="1"/>
  <c r="V59"/>
  <c r="V58"/>
  <c r="X58" s="1"/>
  <c r="V57"/>
  <c r="V56"/>
  <c r="X56" s="1"/>
  <c r="V55"/>
  <c r="V54"/>
  <c r="X54" s="1"/>
  <c r="V53"/>
  <c r="V52"/>
  <c r="X52" s="1"/>
  <c r="Y52" s="1"/>
  <c r="V51"/>
  <c r="V50"/>
  <c r="X50" s="1"/>
  <c r="Y50" s="1"/>
  <c r="V49"/>
  <c r="V48"/>
  <c r="X48" s="1"/>
  <c r="V47"/>
  <c r="V46"/>
  <c r="X46" s="1"/>
  <c r="X59"/>
  <c r="X57"/>
  <c r="Y57" s="1"/>
  <c r="X55"/>
  <c r="Y55" s="1"/>
  <c r="X53"/>
  <c r="X51"/>
  <c r="Y51" s="1"/>
  <c r="X49"/>
  <c r="X47"/>
  <c r="T65" i="2" l="1"/>
  <c r="Q65"/>
  <c r="V65" s="1"/>
  <c r="X65" s="1"/>
  <c r="T62"/>
  <c r="Q62"/>
  <c r="V62" s="1"/>
  <c r="X62" s="1"/>
  <c r="T63"/>
  <c r="Q63"/>
  <c r="V63" s="1"/>
  <c r="X63" s="1"/>
  <c r="T64"/>
  <c r="Q64"/>
  <c r="V64" s="1"/>
  <c r="X64" s="1"/>
  <c r="T58" l="1"/>
  <c r="Q58"/>
  <c r="V58" s="1"/>
  <c r="X58" s="1"/>
  <c r="T57"/>
  <c r="Q57"/>
  <c r="V57" s="1"/>
  <c r="X57" s="1"/>
  <c r="T56" l="1"/>
  <c r="Q56"/>
  <c r="V56" s="1"/>
  <c r="X56" s="1"/>
  <c r="T55"/>
  <c r="Q55"/>
  <c r="V55" s="1"/>
  <c r="X55" s="1"/>
  <c r="T54"/>
  <c r="Q54"/>
  <c r="V54" s="1"/>
  <c r="X54" s="1"/>
  <c r="T53" l="1"/>
  <c r="Q53"/>
  <c r="V53" s="1"/>
  <c r="X53" s="1"/>
  <c r="T52"/>
  <c r="Q52"/>
  <c r="V52" s="1"/>
  <c r="X52" s="1"/>
  <c r="T51"/>
  <c r="Q51"/>
  <c r="V51" s="1"/>
  <c r="X51" s="1"/>
  <c r="T50" l="1"/>
  <c r="Q50"/>
  <c r="V50" s="1"/>
  <c r="X50" s="1"/>
  <c r="T49"/>
  <c r="Q49"/>
  <c r="V49" s="1"/>
  <c r="X49" s="1"/>
  <c r="T48"/>
  <c r="Q48"/>
  <c r="V48" s="1"/>
  <c r="X48" s="1"/>
  <c r="T47"/>
  <c r="Q47"/>
  <c r="V47" s="1"/>
  <c r="X47" s="1"/>
  <c r="T46"/>
  <c r="Q46"/>
  <c r="V46" s="1"/>
  <c r="X46" s="1"/>
  <c r="T16" i="1"/>
  <c r="Q16"/>
  <c r="V16" s="1"/>
  <c r="X16" s="1"/>
  <c r="T45" i="2"/>
  <c r="Q45"/>
  <c r="V45" s="1"/>
  <c r="X45" s="1"/>
  <c r="Y45" s="1"/>
  <c r="T44"/>
  <c r="Q44"/>
  <c r="V44" s="1"/>
  <c r="X44" s="1"/>
  <c r="Y44" s="1"/>
  <c r="T43"/>
  <c r="Q43"/>
  <c r="V43" s="1"/>
  <c r="X43" s="1"/>
  <c r="Y43" s="1"/>
  <c r="T42"/>
  <c r="Q42"/>
  <c r="V42" s="1"/>
  <c r="X42" s="1"/>
  <c r="T41"/>
  <c r="Q41"/>
  <c r="V41" s="1"/>
  <c r="X41" s="1"/>
  <c r="Y41" s="1"/>
  <c r="T40"/>
  <c r="Q40"/>
  <c r="V40" s="1"/>
  <c r="X40" s="1"/>
  <c r="Y40" s="1"/>
  <c r="T39"/>
  <c r="Q39"/>
  <c r="V39" s="1"/>
  <c r="X39" s="1"/>
  <c r="T21" i="3"/>
  <c r="Q21"/>
  <c r="V21" s="1"/>
  <c r="X21" s="1"/>
  <c r="T20"/>
  <c r="Q20"/>
  <c r="V20" s="1"/>
  <c r="X20" s="1"/>
  <c r="T19"/>
  <c r="Q19"/>
  <c r="V19" s="1"/>
  <c r="X19" s="1"/>
  <c r="T18"/>
  <c r="Q18"/>
  <c r="V18" s="1"/>
  <c r="X18" s="1"/>
  <c r="T17"/>
  <c r="Q17"/>
  <c r="V17" s="1"/>
  <c r="X17" s="1"/>
  <c r="T16"/>
  <c r="Q16"/>
  <c r="V16" s="1"/>
  <c r="X16" s="1"/>
  <c r="T15"/>
  <c r="Q15"/>
  <c r="V15" s="1"/>
  <c r="X15" s="1"/>
  <c r="T14"/>
  <c r="Q14"/>
  <c r="V14" s="1"/>
  <c r="X14" s="1"/>
  <c r="T13"/>
  <c r="Q13"/>
  <c r="V13" s="1"/>
  <c r="X13" s="1"/>
  <c r="T12"/>
  <c r="Q12"/>
  <c r="V12" s="1"/>
  <c r="X12" s="1"/>
  <c r="T11"/>
  <c r="Q11"/>
  <c r="V11" s="1"/>
  <c r="X11" s="1"/>
  <c r="T10"/>
  <c r="Q10"/>
  <c r="V10" s="1"/>
  <c r="X10" s="1"/>
  <c r="T9"/>
  <c r="Q9"/>
  <c r="V9" s="1"/>
  <c r="X9" s="1"/>
  <c r="T45" i="1"/>
  <c r="Q45"/>
  <c r="V45" s="1"/>
  <c r="X45" s="1"/>
  <c r="Y45" s="1"/>
  <c r="T39"/>
  <c r="Q39"/>
  <c r="V39" s="1"/>
  <c r="X39" s="1"/>
  <c r="T38"/>
  <c r="Q38"/>
  <c r="V38" s="1"/>
  <c r="X38" s="1"/>
  <c r="T37"/>
  <c r="Q37"/>
  <c r="V37" s="1"/>
  <c r="X37" s="1"/>
  <c r="T36"/>
  <c r="Q36"/>
  <c r="V36" s="1"/>
  <c r="X36" s="1"/>
  <c r="T35"/>
  <c r="Q35"/>
  <c r="V35" s="1"/>
  <c r="X35" s="1"/>
  <c r="T34"/>
  <c r="Q34"/>
  <c r="V34" s="1"/>
  <c r="X34" s="1"/>
  <c r="T33"/>
  <c r="Q33"/>
  <c r="V33" s="1"/>
  <c r="X33" s="1"/>
  <c r="Y33" s="1"/>
  <c r="T32"/>
  <c r="Q32"/>
  <c r="V32" s="1"/>
  <c r="X32" s="1"/>
  <c r="Y32" s="1"/>
  <c r="T31"/>
  <c r="Q31"/>
  <c r="V31" s="1"/>
  <c r="X31" s="1"/>
  <c r="T30"/>
  <c r="Q30"/>
  <c r="V30" s="1"/>
  <c r="X30" s="1"/>
  <c r="T29"/>
  <c r="Q29"/>
  <c r="V29" s="1"/>
  <c r="X29" s="1"/>
  <c r="Y29" s="1"/>
  <c r="T28"/>
  <c r="Q28"/>
  <c r="V28" s="1"/>
  <c r="X28" s="1"/>
  <c r="Y28" s="1"/>
  <c r="T27"/>
  <c r="Q27"/>
  <c r="V27" s="1"/>
  <c r="X27" s="1"/>
  <c r="T26"/>
  <c r="Q26"/>
  <c r="V26" s="1"/>
  <c r="X26" s="1"/>
  <c r="T25"/>
  <c r="Q25"/>
  <c r="V25" s="1"/>
  <c r="X25" s="1"/>
  <c r="T24"/>
  <c r="Q24"/>
  <c r="V24" s="1"/>
  <c r="X24" s="1"/>
  <c r="T23"/>
  <c r="Q23"/>
  <c r="V23" s="1"/>
  <c r="X23" s="1"/>
  <c r="T22"/>
  <c r="Q22"/>
  <c r="V22" s="1"/>
  <c r="X22" s="1"/>
  <c r="T21"/>
  <c r="Q21"/>
  <c r="V21" s="1"/>
  <c r="X21" s="1"/>
  <c r="T38" i="2" l="1"/>
  <c r="Q38"/>
  <c r="V38" s="1"/>
  <c r="X38" s="1"/>
  <c r="T37"/>
  <c r="Q37"/>
  <c r="V37" s="1"/>
  <c r="X37" s="1"/>
  <c r="T36"/>
  <c r="Q36"/>
  <c r="V36" s="1"/>
  <c r="X36" s="1"/>
  <c r="T35"/>
  <c r="Q35"/>
  <c r="V35" s="1"/>
  <c r="X35" s="1"/>
  <c r="T34"/>
  <c r="Q34"/>
  <c r="V34" s="1"/>
  <c r="X34" s="1"/>
  <c r="T30"/>
  <c r="Q30"/>
  <c r="V30" s="1"/>
  <c r="X30" s="1"/>
  <c r="T29"/>
  <c r="Q29"/>
  <c r="V29" s="1"/>
  <c r="X29" s="1"/>
  <c r="T28"/>
  <c r="Q28"/>
  <c r="V28" s="1"/>
  <c r="X28" s="1"/>
  <c r="T27"/>
  <c r="Q27"/>
  <c r="V27" s="1"/>
  <c r="X27" s="1"/>
  <c r="T26"/>
  <c r="Q26"/>
  <c r="V26" s="1"/>
  <c r="X26" s="1"/>
  <c r="T25"/>
  <c r="Q25"/>
  <c r="V25" s="1"/>
  <c r="X25" s="1"/>
  <c r="T24"/>
  <c r="Q24"/>
  <c r="V24" s="1"/>
  <c r="X24" s="1"/>
  <c r="T23"/>
  <c r="Q23"/>
  <c r="V23" s="1"/>
  <c r="X23" s="1"/>
  <c r="T22"/>
  <c r="Q22"/>
  <c r="V22" s="1"/>
  <c r="X22" s="1"/>
  <c r="T21"/>
  <c r="Q21"/>
  <c r="V21" s="1"/>
  <c r="X21" s="1"/>
  <c r="T20"/>
  <c r="Q20"/>
  <c r="V20" s="1"/>
  <c r="X20" s="1"/>
  <c r="T19"/>
  <c r="Q19"/>
  <c r="V19" s="1"/>
  <c r="X19" s="1"/>
  <c r="T18"/>
  <c r="Q18"/>
  <c r="V18" s="1"/>
  <c r="X18" s="1"/>
  <c r="T17"/>
  <c r="Q17"/>
  <c r="V17" s="1"/>
  <c r="X17" s="1"/>
  <c r="T17" i="1"/>
  <c r="Q17"/>
  <c r="V17" s="1"/>
  <c r="X17" s="1"/>
  <c r="T8" i="3" l="1"/>
  <c r="Q8"/>
  <c r="V8" s="1"/>
  <c r="X8" s="1"/>
  <c r="T7"/>
  <c r="Q7"/>
  <c r="V7" s="1"/>
  <c r="X7" s="1"/>
  <c r="T6"/>
  <c r="Q6"/>
  <c r="V6" s="1"/>
  <c r="X6" s="1"/>
  <c r="T5"/>
  <c r="Q5"/>
  <c r="T16" i="2"/>
  <c r="Q16"/>
  <c r="V16" s="1"/>
  <c r="X16" s="1"/>
  <c r="Y16" s="1"/>
  <c r="T15"/>
  <c r="Q15"/>
  <c r="V15" s="1"/>
  <c r="X15" s="1"/>
  <c r="Y15" s="1"/>
  <c r="T14"/>
  <c r="Q14"/>
  <c r="V14" s="1"/>
  <c r="X14" s="1"/>
  <c r="Y14" s="1"/>
  <c r="T13"/>
  <c r="Q13"/>
  <c r="V13" s="1"/>
  <c r="X13" s="1"/>
  <c r="Y13" s="1"/>
  <c r="T12"/>
  <c r="Q12"/>
  <c r="V12" s="1"/>
  <c r="X12" s="1"/>
  <c r="Y12" s="1"/>
  <c r="Y71" s="1"/>
  <c r="V5" i="3" l="1"/>
  <c r="Q32"/>
  <c r="T20" i="1"/>
  <c r="T19"/>
  <c r="T18"/>
  <c r="T15"/>
  <c r="T14"/>
  <c r="T13"/>
  <c r="T12"/>
  <c r="T11"/>
  <c r="T10"/>
  <c r="T9"/>
  <c r="T8"/>
  <c r="T7"/>
  <c r="T6"/>
  <c r="T5"/>
  <c r="Q20"/>
  <c r="V20" s="1"/>
  <c r="X20" s="1"/>
  <c r="Q19"/>
  <c r="V19" s="1"/>
  <c r="X19" s="1"/>
  <c r="Y19" s="1"/>
  <c r="Q18"/>
  <c r="V18" s="1"/>
  <c r="X18" s="1"/>
  <c r="Q15"/>
  <c r="V15" s="1"/>
  <c r="X15" s="1"/>
  <c r="Y15" s="1"/>
  <c r="Q14"/>
  <c r="V14" s="1"/>
  <c r="X14" s="1"/>
  <c r="Q13"/>
  <c r="V13" s="1"/>
  <c r="X13" s="1"/>
  <c r="Q12"/>
  <c r="V12" s="1"/>
  <c r="X12" s="1"/>
  <c r="Q11"/>
  <c r="V11" s="1"/>
  <c r="X11" s="1"/>
  <c r="Q10"/>
  <c r="V10" s="1"/>
  <c r="X10" s="1"/>
  <c r="Q9"/>
  <c r="V9" s="1"/>
  <c r="X9" s="1"/>
  <c r="Q8"/>
  <c r="V8" s="1"/>
  <c r="X8" s="1"/>
  <c r="Y8" s="1"/>
  <c r="Q7"/>
  <c r="V7" s="1"/>
  <c r="X7" s="1"/>
  <c r="Y7" s="1"/>
  <c r="Q6"/>
  <c r="V6" s="1"/>
  <c r="X6" s="1"/>
  <c r="Y6" s="1"/>
  <c r="Q5"/>
  <c r="Y61" l="1"/>
  <c r="X5" i="3"/>
  <c r="X32" s="1"/>
  <c r="V32"/>
  <c r="V5" i="1"/>
  <c r="Q61"/>
  <c r="T11" i="2"/>
  <c r="Q11"/>
  <c r="V11" s="1"/>
  <c r="X11" s="1"/>
  <c r="X5" i="1" l="1"/>
  <c r="X61" s="1"/>
  <c r="V61"/>
  <c r="T8" i="2"/>
  <c r="Q8"/>
  <c r="V8" s="1"/>
  <c r="X8" s="1"/>
  <c r="T10"/>
  <c r="Q10"/>
  <c r="V10" s="1"/>
  <c r="X10" s="1"/>
  <c r="T9"/>
  <c r="Q9"/>
  <c r="V9" s="1"/>
  <c r="X9" s="1"/>
  <c r="T7" l="1"/>
  <c r="Q7"/>
  <c r="V7" s="1"/>
  <c r="X7" s="1"/>
  <c r="T6" l="1"/>
  <c r="Q6"/>
  <c r="V6" s="1"/>
  <c r="X6" s="1"/>
  <c r="T5"/>
  <c r="Q5"/>
  <c r="V5" l="1"/>
  <c r="Q71"/>
  <c r="X5" l="1"/>
  <c r="X71" s="1"/>
  <c r="V71"/>
  <c r="B6" l="1"/>
  <c r="B7" s="1"/>
  <c r="B8" l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4" s="1"/>
  <c r="B35" s="1"/>
  <c r="B36" s="1"/>
  <c r="B37" s="1"/>
  <c r="B38" l="1"/>
  <c r="B39" s="1"/>
  <c r="B40" s="1"/>
  <c r="B41" s="1"/>
  <c r="B42" s="1"/>
  <c r="B43" s="1"/>
  <c r="B44" s="1"/>
  <c r="B45" s="1"/>
  <c r="B46" s="1"/>
  <c r="B47" s="1"/>
  <c r="B48" s="1"/>
  <c r="B49" s="1"/>
  <c r="B50" s="1"/>
  <c r="B51" s="1"/>
  <c r="B52" s="1"/>
  <c r="B53" s="1"/>
  <c r="B54" s="1"/>
  <c r="B55" s="1"/>
  <c r="B56" s="1"/>
  <c r="B57" s="1"/>
  <c r="B58" s="1"/>
  <c r="B6" i="3"/>
  <c r="B7" s="1"/>
  <c r="B8" s="1"/>
  <c r="B62" i="2" l="1"/>
  <c r="B63" s="1"/>
  <c r="B64" s="1"/>
  <c r="B65" s="1"/>
  <c r="B66" s="1"/>
  <c r="B67" s="1"/>
  <c r="B68" s="1"/>
  <c r="B69" s="1"/>
  <c r="B70" s="1"/>
  <c r="B6" i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9" i="3" l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20" i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B36" s="1"/>
  <c r="B37" s="1"/>
  <c r="B38" s="1"/>
  <c r="B39" s="1"/>
  <c r="B45" s="1"/>
  <c r="B46" s="1"/>
  <c r="B47" s="1"/>
  <c r="B48" s="1"/>
  <c r="B49" s="1"/>
  <c r="B50" s="1"/>
  <c r="B51" s="1"/>
  <c r="B52" s="1"/>
  <c r="B53" s="1"/>
  <c r="B54" s="1"/>
  <c r="B55" s="1"/>
  <c r="B56" s="1"/>
  <c r="B57" s="1"/>
  <c r="B58" s="1"/>
  <c r="B59" s="1"/>
  <c r="B60" s="1"/>
</calcChain>
</file>

<file path=xl/sharedStrings.xml><?xml version="1.0" encoding="utf-8"?>
<sst xmlns="http://schemas.openxmlformats.org/spreadsheetml/2006/main" count="1811" uniqueCount="401">
  <si>
    <t>ROBINSON INTERNATIONAL ENERGY LIMITED</t>
  </si>
  <si>
    <t>S/N</t>
  </si>
  <si>
    <t>REF NO</t>
  </si>
  <si>
    <t>CCI NO.</t>
  </si>
  <si>
    <t>CCI DATE</t>
  </si>
  <si>
    <t>NXP NO</t>
  </si>
  <si>
    <t>NXP ISSUING BANK</t>
  </si>
  <si>
    <t>EXPORTER NAME</t>
  </si>
  <si>
    <t>CRUDE OIL TYPE</t>
  </si>
  <si>
    <t>HS CODE</t>
  </si>
  <si>
    <t>BILL OF LADING DATE</t>
  </si>
  <si>
    <t>VESSEL</t>
  </si>
  <si>
    <t>TERMINAL</t>
  </si>
  <si>
    <t>DESTINATION</t>
  </si>
  <si>
    <t>POINT OF EXIT</t>
  </si>
  <si>
    <t>QUANTITY IN BARREL</t>
  </si>
  <si>
    <t>FOB Value ($)</t>
  </si>
  <si>
    <t>FOB CURRENCY (CCY)</t>
  </si>
  <si>
    <t>PRICE PER BARREL</t>
  </si>
  <si>
    <t>REPATRIATION DUE DATE</t>
  </si>
  <si>
    <t>DESIGNATED BANK</t>
  </si>
  <si>
    <t>NESS FEE PAYABLE  ($)</t>
  </si>
  <si>
    <t>EXCHANGE RATE APPLIED BY PIA</t>
  </si>
  <si>
    <t>NESS FEE PAYABLE (NAIRA)</t>
  </si>
  <si>
    <t>NESS FEE PAID (NAIRA)</t>
  </si>
  <si>
    <t>RECEIPT DATE</t>
  </si>
  <si>
    <t>RECEIPT NO</t>
  </si>
  <si>
    <t>CITI BANK</t>
  </si>
  <si>
    <t>ADDAX PETROLEUM</t>
  </si>
  <si>
    <t>ANTAN BLEND CRUDE OIL</t>
  </si>
  <si>
    <t>ANTAN</t>
  </si>
  <si>
    <t>SOUTH AFRICA</t>
  </si>
  <si>
    <t>C182</t>
  </si>
  <si>
    <t>MOBIL PRODUCING</t>
  </si>
  <si>
    <t>YOHO BLEND CRUDE OIL</t>
  </si>
  <si>
    <t>YOHO</t>
  </si>
  <si>
    <t>USA</t>
  </si>
  <si>
    <t>UBA</t>
  </si>
  <si>
    <t>SKYE BANK</t>
  </si>
  <si>
    <t>GERMANY</t>
  </si>
  <si>
    <t>WILHELMSHAVEN</t>
  </si>
  <si>
    <t>CBN</t>
  </si>
  <si>
    <t>NNPC</t>
  </si>
  <si>
    <t>OKONO BLEND CRUDE OIL</t>
  </si>
  <si>
    <t>OKONO</t>
  </si>
  <si>
    <t>AGIP ENERGY</t>
  </si>
  <si>
    <t>BRASS LIGHT CRUDE OIL</t>
  </si>
  <si>
    <t>BRASS</t>
  </si>
  <si>
    <t>NETHERLANDS</t>
  </si>
  <si>
    <t>ROTTERDAM</t>
  </si>
  <si>
    <t>ZENITH BANK</t>
  </si>
  <si>
    <t>NIGERIAN AGIP</t>
  </si>
  <si>
    <t>PORTUGAL</t>
  </si>
  <si>
    <t>LEIXOES</t>
  </si>
  <si>
    <t>CAP LIMBOH</t>
  </si>
  <si>
    <t>OYO BLEND CRUDE OIL</t>
  </si>
  <si>
    <t>OYO</t>
  </si>
  <si>
    <t>ITALY</t>
  </si>
  <si>
    <t>GENOVA</t>
  </si>
  <si>
    <t>DELTA HARMONY</t>
  </si>
  <si>
    <t>SEAPACIS</t>
  </si>
  <si>
    <t>TRIESTE</t>
  </si>
  <si>
    <t>PHILLIPS OIL</t>
  </si>
  <si>
    <t>PHILADELPHIA</t>
  </si>
  <si>
    <t>INDIA</t>
  </si>
  <si>
    <t>ONE OR MORE SAFE PORTS, INDIA</t>
  </si>
  <si>
    <t>NOT YET ISSUED</t>
  </si>
  <si>
    <t>SPAIN</t>
  </si>
  <si>
    <t>GHANA</t>
  </si>
  <si>
    <t>FRANCE</t>
  </si>
  <si>
    <t>SEAVOYAGER</t>
  </si>
  <si>
    <t>UNITED KINGDOM</t>
  </si>
  <si>
    <t>TAIWAN</t>
  </si>
  <si>
    <t>ALLIED ENERGY</t>
  </si>
  <si>
    <t>FIRST BANK</t>
  </si>
  <si>
    <t>ARIADNI</t>
  </si>
  <si>
    <t>MIDWESTERN OIL</t>
  </si>
  <si>
    <t>ADDAX PET.</t>
  </si>
  <si>
    <t>FINNART</t>
  </si>
  <si>
    <t>NIPPON PRINCESS</t>
  </si>
  <si>
    <t>PLATFORM PETROLEUM</t>
  </si>
  <si>
    <t>MIDWESTERN OIL &amp; GAS</t>
  </si>
  <si>
    <t>ONE OR MORE SAFE PORT(S), THAILAND</t>
  </si>
  <si>
    <t>STAVANGER BLOSSOM</t>
  </si>
  <si>
    <t>HUELVA</t>
  </si>
  <si>
    <t>SKS SINNI</t>
  </si>
  <si>
    <t>DURBAN FOR ORDERS</t>
  </si>
  <si>
    <t>LE HAVRE</t>
  </si>
  <si>
    <t>GEORGE S</t>
  </si>
  <si>
    <t>SINGAPORE</t>
  </si>
  <si>
    <t>SINGAPORE FOR ORDERS</t>
  </si>
  <si>
    <t>DENMARK</t>
  </si>
  <si>
    <t>KALUNDBORG</t>
  </si>
  <si>
    <t>CENTRAL BANK OF NIGERIA</t>
  </si>
  <si>
    <t>REEF</t>
  </si>
  <si>
    <t>CITI BANK OF NIG</t>
  </si>
  <si>
    <t>MONTESPERANZA</t>
  </si>
  <si>
    <t>BRASS 257</t>
  </si>
  <si>
    <t>CAMEROUN</t>
  </si>
  <si>
    <t>BRASS 266</t>
  </si>
  <si>
    <t>TIANLONG SPIRIT</t>
  </si>
  <si>
    <t>PINK</t>
  </si>
  <si>
    <t>GUARANTY TRUST BANK</t>
  </si>
  <si>
    <t>FOS</t>
  </si>
  <si>
    <t>MARE AEGEUM</t>
  </si>
  <si>
    <t>BRASS BLEND CRUDE OIL</t>
  </si>
  <si>
    <t xml:space="preserve">BRASS </t>
  </si>
  <si>
    <t>BRASS 302</t>
  </si>
  <si>
    <t>201302050001</t>
  </si>
  <si>
    <t>THAILAND</t>
  </si>
  <si>
    <t>GTB</t>
  </si>
  <si>
    <t>TEMA</t>
  </si>
  <si>
    <t>ELENI</t>
  </si>
  <si>
    <t>BRASS 340</t>
  </si>
  <si>
    <t>STANBIC IBTC</t>
  </si>
  <si>
    <t>ATLANTIC ENERGY</t>
  </si>
  <si>
    <t>BRASS 352</t>
  </si>
  <si>
    <t xml:space="preserve">STENA PRESIDENT </t>
  </si>
  <si>
    <t xml:space="preserve">STANDARD CHARTERED BANK </t>
  </si>
  <si>
    <t xml:space="preserve">ORIENTAL ENERGY </t>
  </si>
  <si>
    <t>EBOK BLEND CRUDE OIL</t>
  </si>
  <si>
    <t>EBOK</t>
  </si>
  <si>
    <t>GENOA</t>
  </si>
  <si>
    <t>STANDARD CHARTERED</t>
  </si>
  <si>
    <t>TETNEY</t>
  </si>
  <si>
    <t>TOLEDO SPIRIT</t>
  </si>
  <si>
    <t>INTENTION KALUNDBORG</t>
  </si>
  <si>
    <t>YOHO 086</t>
  </si>
  <si>
    <t>201301010039</t>
  </si>
  <si>
    <t>201301010040</t>
  </si>
  <si>
    <t>201301010041</t>
  </si>
  <si>
    <t>201300010319</t>
  </si>
  <si>
    <t>201300010320</t>
  </si>
  <si>
    <t>201300020021</t>
  </si>
  <si>
    <t>STERLING BANK</t>
  </si>
  <si>
    <t>FOUR SMILE</t>
  </si>
  <si>
    <t>MARAN CAPRICORN</t>
  </si>
  <si>
    <t>PATROCLUS</t>
  </si>
  <si>
    <t>SONANGOL CABINDA</t>
  </si>
  <si>
    <t>TURKEY</t>
  </si>
  <si>
    <t>IZMIT/TUTUNCIFTLIK REFINERY</t>
  </si>
  <si>
    <t>ONE OR MORE SAFE PORTS, TAIWAN</t>
  </si>
  <si>
    <t>ONE OR MORE SAFE PORTS, HUELVA</t>
  </si>
  <si>
    <t>QUILIANO (ITALY) FOR ORDERS</t>
  </si>
  <si>
    <t xml:space="preserve">KALUNDBORG </t>
  </si>
  <si>
    <t>BRASS 400</t>
  </si>
  <si>
    <t>BRASS 401</t>
  </si>
  <si>
    <t>BRASS 402</t>
  </si>
  <si>
    <t>BRASS 403</t>
  </si>
  <si>
    <t>BRASS 404</t>
  </si>
  <si>
    <t>BRASS 405</t>
  </si>
  <si>
    <t>BRASS 409</t>
  </si>
  <si>
    <t>BRASS 410</t>
  </si>
  <si>
    <t>BRASS 411</t>
  </si>
  <si>
    <t>BRASS 412</t>
  </si>
  <si>
    <t>BRASS 413</t>
  </si>
  <si>
    <t>ANTAN 088</t>
  </si>
  <si>
    <t>YOHO 089</t>
  </si>
  <si>
    <t>201300010493</t>
  </si>
  <si>
    <t>201300010531</t>
  </si>
  <si>
    <t>201300010349</t>
  </si>
  <si>
    <t>201300010350</t>
  </si>
  <si>
    <t>201301010045</t>
  </si>
  <si>
    <t>201301010046</t>
  </si>
  <si>
    <t>20139030002</t>
  </si>
  <si>
    <t>00201300010370</t>
  </si>
  <si>
    <t>00201300010398</t>
  </si>
  <si>
    <t>201300010399</t>
  </si>
  <si>
    <t>201300010400</t>
  </si>
  <si>
    <t>ITHAKI</t>
  </si>
  <si>
    <t>CAP ROMUALD</t>
  </si>
  <si>
    <t>COSMIC JEWEL</t>
  </si>
  <si>
    <t>ASTRO ARCTURUS</t>
  </si>
  <si>
    <t>EXPLORER</t>
  </si>
  <si>
    <t>MAP TA PHUT</t>
  </si>
  <si>
    <t>ONE OR MORE SAFE PORT(S), US GULF COAST</t>
  </si>
  <si>
    <t>BRASS 415</t>
  </si>
  <si>
    <t>BRASS 416</t>
  </si>
  <si>
    <t>BRASS 417</t>
  </si>
  <si>
    <t>BRASS 418</t>
  </si>
  <si>
    <t>BRASS 419</t>
  </si>
  <si>
    <t>BRASS 420</t>
  </si>
  <si>
    <t>BRASS 422</t>
  </si>
  <si>
    <t>BRASS 423</t>
  </si>
  <si>
    <t>BRASS 424</t>
  </si>
  <si>
    <t>BRASS 426</t>
  </si>
  <si>
    <t>OKONO 067</t>
  </si>
  <si>
    <t>YOHO 091</t>
  </si>
  <si>
    <t>EBOK 010</t>
  </si>
  <si>
    <t>EBOK 011</t>
  </si>
  <si>
    <t>EBOK 012</t>
  </si>
  <si>
    <t>ANTAN 089</t>
  </si>
  <si>
    <t>ADDAX ANTAN 031</t>
  </si>
  <si>
    <t>ADDAX ANTAN 030</t>
  </si>
  <si>
    <t>201400010022</t>
  </si>
  <si>
    <t>ORIENTAL EBOK 010</t>
  </si>
  <si>
    <t>201400010033</t>
  </si>
  <si>
    <t>201400010034</t>
  </si>
  <si>
    <t>MOBIL YOHO 035</t>
  </si>
  <si>
    <t>ORIENTAL EBOK 011</t>
  </si>
  <si>
    <t>ORIENTAL EBOK 012</t>
  </si>
  <si>
    <t>201400010031</t>
  </si>
  <si>
    <t>MOBIL YOHO 036</t>
  </si>
  <si>
    <t>NNPC YOHO 056</t>
  </si>
  <si>
    <t>NNPC ANTAN 041</t>
  </si>
  <si>
    <t>NNPC ANTAN 042</t>
  </si>
  <si>
    <t>NNPC OKONO 054</t>
  </si>
  <si>
    <t>NNPC BRASS 140</t>
  </si>
  <si>
    <t>201300010582</t>
  </si>
  <si>
    <t>40412109C48/226</t>
  </si>
  <si>
    <t>40412111C19/16A</t>
  </si>
  <si>
    <t>40412111C19/16B</t>
  </si>
  <si>
    <t>201400020001</t>
  </si>
  <si>
    <t>201401010048</t>
  </si>
  <si>
    <t>201401010049</t>
  </si>
  <si>
    <t>201409030001</t>
  </si>
  <si>
    <t>201400010003</t>
  </si>
  <si>
    <t>YET RECEIVED A</t>
  </si>
  <si>
    <t>40412115C38/62</t>
  </si>
  <si>
    <t>201400010008</t>
  </si>
  <si>
    <t>40412105C13/53</t>
  </si>
  <si>
    <t>201400020002</t>
  </si>
  <si>
    <t>CENTRAL BANK</t>
  </si>
  <si>
    <t>ORIENTAL ENERGY</t>
  </si>
  <si>
    <t>PRISCO MIZAR</t>
  </si>
  <si>
    <t>PRINCIMAR LOYALTY</t>
  </si>
  <si>
    <t>AFRODITI</t>
  </si>
  <si>
    <t>SC SARA</t>
  </si>
  <si>
    <t>GRENA</t>
  </si>
  <si>
    <t>EAGLE SAN DIEGO</t>
  </si>
  <si>
    <t>DEMARK</t>
  </si>
  <si>
    <t>SWEDEN</t>
  </si>
  <si>
    <t>RELIANCE TERMINAL, SIKKA PORT</t>
  </si>
  <si>
    <t>DONGES</t>
  </si>
  <si>
    <t>GOTHENBURG</t>
  </si>
  <si>
    <t>ONE OR MORE SAFE PORT(S)</t>
  </si>
  <si>
    <t>BRASS 429</t>
  </si>
  <si>
    <t>BRASS 430</t>
  </si>
  <si>
    <t>BRASS 431</t>
  </si>
  <si>
    <t>BRASS 432</t>
  </si>
  <si>
    <t>BRASS 433</t>
  </si>
  <si>
    <t>BRASS 434</t>
  </si>
  <si>
    <t>BRASS 435</t>
  </si>
  <si>
    <t>BRASS 436</t>
  </si>
  <si>
    <t>YOHO 093</t>
  </si>
  <si>
    <t>YOHO 094</t>
  </si>
  <si>
    <t>ANTAN 091</t>
  </si>
  <si>
    <t>ANTAN 092</t>
  </si>
  <si>
    <t>OKONO 069</t>
  </si>
  <si>
    <t>OYO 012</t>
  </si>
  <si>
    <t>EBOK 013</t>
  </si>
  <si>
    <t>ANTAN 093</t>
  </si>
  <si>
    <t>201400010066</t>
  </si>
  <si>
    <t>40412116C54/4D</t>
  </si>
  <si>
    <t>ENERGY BRASS 028</t>
  </si>
  <si>
    <t>PLATFORM BRASS 083</t>
  </si>
  <si>
    <t>PLATFORM BRASS 084</t>
  </si>
  <si>
    <t>PLATFORM BRASS 085</t>
  </si>
  <si>
    <t>PLATFORM BRASS 086</t>
  </si>
  <si>
    <t>PLATFORM BRASS 087</t>
  </si>
  <si>
    <t>PLATFORM BRASS 088</t>
  </si>
  <si>
    <t>AGIP BRASS 060</t>
  </si>
  <si>
    <t>ENERGY BRASS 033</t>
  </si>
  <si>
    <t>PLATFORM BRASS 089</t>
  </si>
  <si>
    <t>PLATFORM BRASS 090</t>
  </si>
  <si>
    <t>PLATFORM BRASS 091</t>
  </si>
  <si>
    <t>AGIP BRASS 062</t>
  </si>
  <si>
    <t>AGIP BRASS 063</t>
  </si>
  <si>
    <t>ENERGY OKONO 008</t>
  </si>
  <si>
    <t>AGIP BRASS 064</t>
  </si>
  <si>
    <t>AGIP BRASS 065</t>
  </si>
  <si>
    <t>ENERGY BRASS 034</t>
  </si>
  <si>
    <t>ORIENTAL EBOK 013</t>
  </si>
  <si>
    <t>NNPC BRASS 122</t>
  </si>
  <si>
    <t>201400010064</t>
  </si>
  <si>
    <t>201302050516</t>
  </si>
  <si>
    <t>201302050515</t>
  </si>
  <si>
    <t>BRASS 437</t>
  </si>
  <si>
    <t>201400010025</t>
  </si>
  <si>
    <t>AFRA HAWTHORN</t>
  </si>
  <si>
    <t>PORTLAND, MAINE</t>
  </si>
  <si>
    <t>BRASS 438</t>
  </si>
  <si>
    <t>201401010058</t>
  </si>
  <si>
    <t>BRASS 439</t>
  </si>
  <si>
    <t>201401010059</t>
  </si>
  <si>
    <t>BRASS 440</t>
  </si>
  <si>
    <t>20149030002</t>
  </si>
  <si>
    <t>BRASS 441</t>
  </si>
  <si>
    <t>YET RECEIVED 1A</t>
  </si>
  <si>
    <t>BRASS 442</t>
  </si>
  <si>
    <t>BRASS 443</t>
  </si>
  <si>
    <t>OKONO 070</t>
  </si>
  <si>
    <t>NNPC OKONO 055</t>
  </si>
  <si>
    <t>41301115C40/34</t>
  </si>
  <si>
    <t>MAERSK HEIWA</t>
  </si>
  <si>
    <t>YOHO 095</t>
  </si>
  <si>
    <t>NNPC YOHO 057</t>
  </si>
  <si>
    <t>41301109C48/240</t>
  </si>
  <si>
    <t>PHOENIX VANGUARD</t>
  </si>
  <si>
    <t>EBOK 014</t>
  </si>
  <si>
    <t>ORIENTAL EBOK 014</t>
  </si>
  <si>
    <t>201400010091</t>
  </si>
  <si>
    <t>PHOENIX STRENGTH</t>
  </si>
  <si>
    <t>CORPUS CHRISTI</t>
  </si>
  <si>
    <t>BRASS 444</t>
  </si>
  <si>
    <t>YET RECEIVED 7A</t>
  </si>
  <si>
    <t>HS MEDEA</t>
  </si>
  <si>
    <t>ANTAN 094</t>
  </si>
  <si>
    <t>NNPC ANTAN 043</t>
  </si>
  <si>
    <t>41301111C39/12A</t>
  </si>
  <si>
    <t>DELTA TOLMI</t>
  </si>
  <si>
    <t>ANTAN 095</t>
  </si>
  <si>
    <t>NNPC ANTAN 044</t>
  </si>
  <si>
    <t>41301111C39/12B</t>
  </si>
  <si>
    <t>BRASS 445</t>
  </si>
  <si>
    <t>YET RECEIVED 8A</t>
  </si>
  <si>
    <t>BRASS 446</t>
  </si>
  <si>
    <t>YET RECEIVED 2A</t>
  </si>
  <si>
    <t>NORDIC ZENITH</t>
  </si>
  <si>
    <t>LAVERA</t>
  </si>
  <si>
    <t>BRASS 447</t>
  </si>
  <si>
    <t>YET RECEIVED 3A</t>
  </si>
  <si>
    <t>BRASS 448</t>
  </si>
  <si>
    <t>YET RECEIVED 4A</t>
  </si>
  <si>
    <t>YOHO 096</t>
  </si>
  <si>
    <t>YET RECEIVED 5A</t>
  </si>
  <si>
    <t>FRONT KATHRINE</t>
  </si>
  <si>
    <t>EBOK 015</t>
  </si>
  <si>
    <t>OKONO 071</t>
  </si>
  <si>
    <t>NNPC OKONO 056</t>
  </si>
  <si>
    <t>41301115C38/65</t>
  </si>
  <si>
    <t>NORDIC APOLLO</t>
  </si>
  <si>
    <t>FOS, LAVERA</t>
  </si>
  <si>
    <t>201400010132</t>
  </si>
  <si>
    <t>AGIP BRASS 061</t>
  </si>
  <si>
    <t>Originally submitted as NXP no:201300010377 but was revised to NXP no:201300010327 by Citi Bank PLC</t>
  </si>
  <si>
    <t>MIDWESTERN BRASS 035</t>
  </si>
  <si>
    <t>MIDWESTERN BRASS 036</t>
  </si>
  <si>
    <t>ALLIED OYO 010</t>
  </si>
  <si>
    <t>ORIENTAL EBOK 015</t>
  </si>
  <si>
    <t>ADDAX ANTAN 032</t>
  </si>
  <si>
    <t>ADDAX BRASS 010</t>
  </si>
  <si>
    <t>ADDAX ANTAN 033</t>
  </si>
  <si>
    <t>PLATFORM BRASS 092</t>
  </si>
  <si>
    <t>PLATFORM BRASS 093</t>
  </si>
  <si>
    <t>PLATFORM BRASS 094</t>
  </si>
  <si>
    <t>201302050472</t>
  </si>
  <si>
    <t>201302050473</t>
  </si>
  <si>
    <t>MIDWESTERN BRASS 033</t>
  </si>
  <si>
    <t>MIDWESTERN BRASS 034</t>
  </si>
  <si>
    <t>MIDWESTERN BRASS 021</t>
  </si>
  <si>
    <t>MIDWESTERN BRASS 022</t>
  </si>
  <si>
    <t>MIDWESTERN BRASS 026</t>
  </si>
  <si>
    <t>MOBIL YOHO 037</t>
  </si>
  <si>
    <t>NNPC ANTAN 045</t>
  </si>
  <si>
    <t>NNPC ANTAN 046</t>
  </si>
  <si>
    <t>NNPC YOHO 058</t>
  </si>
  <si>
    <t>NNPC OKONO 057</t>
  </si>
  <si>
    <t>NNPC YOHO 059</t>
  </si>
  <si>
    <t>201400020004</t>
  </si>
  <si>
    <t>201400010057</t>
  </si>
  <si>
    <t>00201400010064</t>
  </si>
  <si>
    <t>201400010071</t>
  </si>
  <si>
    <t>42002111C60/14A</t>
  </si>
  <si>
    <t>42002111C60/14B</t>
  </si>
  <si>
    <t>42002109C53/6</t>
  </si>
  <si>
    <t>201400010138</t>
  </si>
  <si>
    <t>201400010184</t>
  </si>
  <si>
    <t>42002115C5/10</t>
  </si>
  <si>
    <t>201400020006</t>
  </si>
  <si>
    <t>42002109C48/253</t>
  </si>
  <si>
    <t>201400010088</t>
  </si>
  <si>
    <t>AWAITING 001</t>
  </si>
  <si>
    <t>AWAITING 002</t>
  </si>
  <si>
    <t>ISKMATI SPIRIT</t>
  </si>
  <si>
    <t>CAPE BATA</t>
  </si>
  <si>
    <t>PRINCIMAR PRIDE</t>
  </si>
  <si>
    <t>FLEVES</t>
  </si>
  <si>
    <t>ONE OR MORE SAFE PORTS, THAILAND</t>
  </si>
  <si>
    <t>ALGECIRAS FOR ORDERS</t>
  </si>
  <si>
    <t>OMSP, INDIA</t>
  </si>
  <si>
    <t>BRASS 449</t>
  </si>
  <si>
    <t>BRASS 450</t>
  </si>
  <si>
    <t>BRASS 451</t>
  </si>
  <si>
    <t>BRASS 452</t>
  </si>
  <si>
    <t>BRASS 453</t>
  </si>
  <si>
    <t>BRASS 454</t>
  </si>
  <si>
    <t>BRASS 455</t>
  </si>
  <si>
    <t>BRASS 456</t>
  </si>
  <si>
    <t>ANTAN 096</t>
  </si>
  <si>
    <t>ANTAN 097</t>
  </si>
  <si>
    <t>ANTAN 098</t>
  </si>
  <si>
    <t>YOHO 097</t>
  </si>
  <si>
    <t>EBOK 016</t>
  </si>
  <si>
    <t>OKONO 072</t>
  </si>
  <si>
    <t>YOHO 098</t>
  </si>
  <si>
    <t>NEFT STATEMENT</t>
  </si>
  <si>
    <t>COMPREHENSIVE INSPECTION REPORT FOR THE PERIOD OF JANUARY 2014 TO MARCH 2014</t>
  </si>
  <si>
    <t>COMPLIANT INSPECTION REPORT FOR THE PERIOD OF JANUARY 2014 TO MARCH 2014</t>
  </si>
  <si>
    <t>NON-COMPLIANT INSPECTION REPORT FOR THE PERIOD OF JANUARY 2014 TO MARCH 2014</t>
  </si>
  <si>
    <t>REMARK</t>
  </si>
</sst>
</file>

<file path=xl/styles.xml><?xml version="1.0" encoding="utf-8"?>
<styleSheet xmlns="http://schemas.openxmlformats.org/spreadsheetml/2006/main">
  <numFmts count="7">
    <numFmt numFmtId="43" formatCode="_(* #,##0.00_);_(* \(#,##0.00\);_(* &quot;-&quot;??_);_(@_)"/>
    <numFmt numFmtId="164" formatCode="0.0000"/>
    <numFmt numFmtId="165" formatCode="#,##0.0000"/>
    <numFmt numFmtId="166" formatCode="0000000"/>
    <numFmt numFmtId="167" formatCode="00000000000000"/>
    <numFmt numFmtId="168" formatCode="000000"/>
    <numFmt numFmtId="169" formatCode="_-* #,##0_-;\-* #,##0_-;_-* &quot;-&quot;??_-;_-@_-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6"/>
      <color theme="1"/>
      <name val="Calibri"/>
      <family val="2"/>
      <scheme val="minor"/>
    </font>
    <font>
      <sz val="6"/>
      <name val="Calibri"/>
      <family val="2"/>
      <scheme val="minor"/>
    </font>
    <font>
      <b/>
      <sz val="6"/>
      <name val="Calibri"/>
      <family val="2"/>
      <scheme val="minor"/>
    </font>
    <font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5A5A5"/>
      </patternFill>
    </fill>
  </fills>
  <borders count="11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3">
    <xf numFmtId="0" fontId="0" fillId="0" borderId="0"/>
    <xf numFmtId="43" fontId="1" fillId="0" borderId="0" applyFont="0" applyFill="0" applyBorder="0" applyAlignment="0" applyProtection="0"/>
    <xf numFmtId="0" fontId="2" fillId="2" borderId="1" applyNumberFormat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31">
    <xf numFmtId="0" fontId="0" fillId="0" borderId="0" xfId="0"/>
    <xf numFmtId="0" fontId="0" fillId="0" borderId="0" xfId="0" applyAlignment="1">
      <alignment horizontal="left"/>
    </xf>
    <xf numFmtId="0" fontId="3" fillId="0" borderId="0" xfId="0" applyFont="1"/>
    <xf numFmtId="0" fontId="0" fillId="0" borderId="0" xfId="0" applyAlignment="1">
      <alignment horizontal="center"/>
    </xf>
    <xf numFmtId="0" fontId="4" fillId="0" borderId="0" xfId="0" applyFont="1" applyAlignment="1">
      <alignment horizontal="left"/>
    </xf>
    <xf numFmtId="0" fontId="0" fillId="0" borderId="0" xfId="0" applyAlignment="1">
      <alignment horizontal="center" wrapText="1"/>
    </xf>
    <xf numFmtId="0" fontId="5" fillId="0" borderId="0" xfId="0" applyFont="1" applyAlignment="1">
      <alignment horizontal="center" wrapText="1"/>
    </xf>
    <xf numFmtId="164" fontId="6" fillId="0" borderId="6" xfId="0" applyNumberFormat="1" applyFont="1" applyFill="1" applyBorder="1" applyAlignment="1">
      <alignment horizontal="center"/>
    </xf>
    <xf numFmtId="164" fontId="6" fillId="0" borderId="5" xfId="0" applyNumberFormat="1" applyFont="1" applyFill="1" applyBorder="1" applyAlignment="1">
      <alignment horizontal="center"/>
    </xf>
    <xf numFmtId="164" fontId="0" fillId="0" borderId="0" xfId="0" applyNumberFormat="1" applyAlignment="1">
      <alignment horizontal="center"/>
    </xf>
    <xf numFmtId="164" fontId="6" fillId="0" borderId="5" xfId="0" applyNumberFormat="1" applyFont="1" applyFill="1" applyBorder="1" applyAlignment="1">
      <alignment horizontal="center" vertical="center"/>
    </xf>
    <xf numFmtId="167" fontId="6" fillId="0" borderId="6" xfId="0" applyNumberFormat="1" applyFont="1" applyFill="1" applyBorder="1" applyAlignment="1">
      <alignment horizontal="center"/>
    </xf>
    <xf numFmtId="1" fontId="6" fillId="0" borderId="6" xfId="0" applyNumberFormat="1" applyFont="1" applyFill="1" applyBorder="1" applyAlignment="1">
      <alignment horizontal="center" wrapText="1"/>
    </xf>
    <xf numFmtId="0" fontId="6" fillId="0" borderId="6" xfId="0" applyFont="1" applyFill="1" applyBorder="1" applyAlignment="1">
      <alignment horizontal="center" vertical="center" wrapText="1"/>
    </xf>
    <xf numFmtId="14" fontId="6" fillId="0" borderId="6" xfId="0" applyNumberFormat="1" applyFont="1" applyFill="1" applyBorder="1" applyAlignment="1">
      <alignment horizontal="center" wrapText="1"/>
    </xf>
    <xf numFmtId="0" fontId="6" fillId="0" borderId="6" xfId="0" applyFont="1" applyFill="1" applyBorder="1" applyAlignment="1">
      <alignment horizontal="center" wrapText="1"/>
    </xf>
    <xf numFmtId="3" fontId="6" fillId="0" borderId="6" xfId="0" applyNumberFormat="1" applyFont="1" applyFill="1" applyBorder="1"/>
    <xf numFmtId="0" fontId="7" fillId="0" borderId="2" xfId="2" applyFont="1" applyFill="1" applyBorder="1" applyAlignment="1">
      <alignment horizontal="center" vertical="center" wrapText="1"/>
    </xf>
    <xf numFmtId="0" fontId="7" fillId="0" borderId="3" xfId="2" applyFont="1" applyFill="1" applyBorder="1" applyAlignment="1">
      <alignment horizontal="center" vertical="center" wrapText="1"/>
    </xf>
    <xf numFmtId="49" fontId="7" fillId="0" borderId="3" xfId="2" applyNumberFormat="1" applyFont="1" applyFill="1" applyBorder="1" applyAlignment="1">
      <alignment horizontal="center" vertical="center"/>
    </xf>
    <xf numFmtId="49" fontId="7" fillId="0" borderId="3" xfId="2" applyNumberFormat="1" applyFont="1" applyFill="1" applyBorder="1" applyAlignment="1">
      <alignment horizontal="center" vertical="center" wrapText="1"/>
    </xf>
    <xf numFmtId="164" fontId="7" fillId="0" borderId="3" xfId="2" applyNumberFormat="1" applyFont="1" applyFill="1" applyBorder="1" applyAlignment="1">
      <alignment horizontal="center" vertical="center" wrapText="1"/>
    </xf>
    <xf numFmtId="0" fontId="7" fillId="0" borderId="4" xfId="2" applyFont="1" applyFill="1" applyBorder="1" applyAlignment="1">
      <alignment horizontal="center" vertical="center" wrapText="1"/>
    </xf>
    <xf numFmtId="0" fontId="6" fillId="0" borderId="6" xfId="0" applyFont="1" applyFill="1" applyBorder="1"/>
    <xf numFmtId="0" fontId="6" fillId="0" borderId="6" xfId="0" applyFont="1" applyFill="1" applyBorder="1" applyAlignment="1">
      <alignment horizontal="center"/>
    </xf>
    <xf numFmtId="49" fontId="6" fillId="0" borderId="6" xfId="0" applyNumberFormat="1" applyFont="1" applyFill="1" applyBorder="1" applyAlignment="1">
      <alignment horizontal="center" wrapText="1"/>
    </xf>
    <xf numFmtId="164" fontId="6" fillId="0" borderId="6" xfId="0" applyNumberFormat="1" applyFont="1" applyFill="1" applyBorder="1" applyAlignment="1">
      <alignment horizontal="center" wrapText="1"/>
    </xf>
    <xf numFmtId="4" fontId="6" fillId="0" borderId="6" xfId="0" applyNumberFormat="1" applyFont="1" applyFill="1" applyBorder="1" applyAlignment="1">
      <alignment horizontal="right"/>
    </xf>
    <xf numFmtId="4" fontId="6" fillId="0" borderId="6" xfId="0" applyNumberFormat="1" applyFont="1" applyFill="1" applyBorder="1" applyAlignment="1">
      <alignment horizontal="center"/>
    </xf>
    <xf numFmtId="14" fontId="6" fillId="0" borderId="6" xfId="0" applyNumberFormat="1" applyFont="1" applyFill="1" applyBorder="1" applyAlignment="1">
      <alignment horizontal="center"/>
    </xf>
    <xf numFmtId="4" fontId="6" fillId="0" borderId="6" xfId="0" applyNumberFormat="1" applyFont="1" applyFill="1" applyBorder="1"/>
    <xf numFmtId="2" fontId="6" fillId="0" borderId="6" xfId="0" applyNumberFormat="1" applyFont="1" applyFill="1" applyBorder="1"/>
    <xf numFmtId="14" fontId="6" fillId="0" borderId="6" xfId="0" applyNumberFormat="1" applyFont="1" applyFill="1" applyBorder="1" applyAlignment="1">
      <alignment horizontal="center" vertical="center" wrapText="1"/>
    </xf>
    <xf numFmtId="43" fontId="6" fillId="0" borderId="6" xfId="1" applyFont="1" applyFill="1" applyBorder="1"/>
    <xf numFmtId="14" fontId="6" fillId="0" borderId="5" xfId="0" applyNumberFormat="1" applyFont="1" applyFill="1" applyBorder="1" applyAlignment="1">
      <alignment horizontal="center" wrapText="1"/>
    </xf>
    <xf numFmtId="168" fontId="6" fillId="0" borderId="6" xfId="0" applyNumberFormat="1" applyFont="1" applyFill="1" applyBorder="1" applyAlignment="1">
      <alignment horizontal="center"/>
    </xf>
    <xf numFmtId="4" fontId="6" fillId="0" borderId="6" xfId="0" applyNumberFormat="1" applyFont="1" applyFill="1" applyBorder="1" applyAlignment="1">
      <alignment horizontal="center" wrapText="1"/>
    </xf>
    <xf numFmtId="166" fontId="6" fillId="0" borderId="6" xfId="0" applyNumberFormat="1" applyFont="1" applyFill="1" applyBorder="1" applyAlignment="1">
      <alignment horizontal="center"/>
    </xf>
    <xf numFmtId="164" fontId="6" fillId="0" borderId="6" xfId="4" applyNumberFormat="1" applyFont="1" applyFill="1" applyBorder="1" applyAlignment="1">
      <alignment horizontal="center"/>
    </xf>
    <xf numFmtId="49" fontId="6" fillId="0" borderId="5" xfId="0" applyNumberFormat="1" applyFont="1" applyFill="1" applyBorder="1" applyAlignment="1">
      <alignment horizontal="center" wrapText="1"/>
    </xf>
    <xf numFmtId="0" fontId="6" fillId="0" borderId="8" xfId="0" applyFont="1" applyFill="1" applyBorder="1" applyAlignment="1">
      <alignment horizontal="center" wrapText="1"/>
    </xf>
    <xf numFmtId="0" fontId="6" fillId="0" borderId="5" xfId="0" applyFont="1" applyFill="1" applyBorder="1" applyAlignment="1">
      <alignment horizontal="center" wrapText="1"/>
    </xf>
    <xf numFmtId="169" fontId="6" fillId="0" borderId="7" xfId="5" applyNumberFormat="1" applyFont="1" applyFill="1" applyBorder="1"/>
    <xf numFmtId="4" fontId="6" fillId="0" borderId="7" xfId="0" applyNumberFormat="1" applyFont="1" applyFill="1" applyBorder="1" applyAlignment="1">
      <alignment horizontal="right"/>
    </xf>
    <xf numFmtId="4" fontId="6" fillId="0" borderId="7" xfId="0" applyNumberFormat="1" applyFont="1" applyFill="1" applyBorder="1"/>
    <xf numFmtId="4" fontId="6" fillId="0" borderId="6" xfId="0" applyNumberFormat="1" applyFont="1" applyFill="1" applyBorder="1" applyAlignment="1">
      <alignment horizontal="center" vertical="center" wrapText="1"/>
    </xf>
    <xf numFmtId="169" fontId="6" fillId="0" borderId="6" xfId="5" applyNumberFormat="1" applyFont="1" applyFill="1" applyBorder="1"/>
    <xf numFmtId="3" fontId="6" fillId="0" borderId="5" xfId="0" applyNumberFormat="1" applyFont="1" applyFill="1" applyBorder="1"/>
    <xf numFmtId="3" fontId="6" fillId="0" borderId="6" xfId="0" applyNumberFormat="1" applyFont="1" applyFill="1" applyBorder="1" applyAlignment="1" applyProtection="1">
      <protection locked="0"/>
    </xf>
    <xf numFmtId="3" fontId="6" fillId="0" borderId="7" xfId="0" applyNumberFormat="1" applyFont="1" applyFill="1" applyBorder="1" applyAlignment="1" applyProtection="1">
      <protection locked="0"/>
    </xf>
    <xf numFmtId="2" fontId="6" fillId="0" borderId="7" xfId="0" applyNumberFormat="1" applyFont="1" applyFill="1" applyBorder="1"/>
    <xf numFmtId="0" fontId="8" fillId="0" borderId="0" xfId="0" applyFont="1" applyFill="1"/>
    <xf numFmtId="0" fontId="8" fillId="0" borderId="0" xfId="0" applyFont="1" applyFill="1" applyAlignment="1">
      <alignment horizontal="center"/>
    </xf>
    <xf numFmtId="0" fontId="8" fillId="0" borderId="0" xfId="0" applyFont="1" applyFill="1" applyAlignment="1">
      <alignment horizontal="left"/>
    </xf>
    <xf numFmtId="0" fontId="8" fillId="0" borderId="0" xfId="0" applyFont="1" applyFill="1" applyAlignment="1">
      <alignment horizontal="center" wrapText="1"/>
    </xf>
    <xf numFmtId="0" fontId="6" fillId="0" borderId="0" xfId="0" applyFont="1" applyFill="1" applyAlignment="1">
      <alignment horizontal="center" wrapText="1"/>
    </xf>
    <xf numFmtId="3" fontId="7" fillId="0" borderId="10" xfId="0" applyNumberFormat="1" applyFont="1" applyFill="1" applyBorder="1"/>
    <xf numFmtId="4" fontId="7" fillId="0" borderId="10" xfId="0" applyNumberFormat="1" applyFont="1" applyFill="1" applyBorder="1"/>
    <xf numFmtId="164" fontId="8" fillId="0" borderId="0" xfId="0" applyNumberFormat="1" applyFont="1" applyFill="1" applyAlignment="1">
      <alignment horizontal="center"/>
    </xf>
    <xf numFmtId="43" fontId="7" fillId="0" borderId="10" xfId="0" applyNumberFormat="1" applyFont="1" applyFill="1" applyBorder="1"/>
    <xf numFmtId="0" fontId="9" fillId="0" borderId="0" xfId="0" applyFont="1" applyFill="1" applyAlignment="1">
      <alignment horizontal="left"/>
    </xf>
    <xf numFmtId="0" fontId="10" fillId="0" borderId="0" xfId="0" applyFont="1" applyFill="1"/>
    <xf numFmtId="0" fontId="8" fillId="0" borderId="6" xfId="0" applyFont="1" applyFill="1" applyBorder="1"/>
    <xf numFmtId="43" fontId="6" fillId="0" borderId="7" xfId="1" applyFont="1" applyFill="1" applyBorder="1"/>
    <xf numFmtId="14" fontId="6" fillId="0" borderId="5" xfId="0" applyNumberFormat="1" applyFont="1" applyFill="1" applyBorder="1" applyAlignment="1">
      <alignment horizontal="center" vertical="center" wrapText="1"/>
    </xf>
    <xf numFmtId="164" fontId="6" fillId="0" borderId="6" xfId="0" applyNumberFormat="1" applyFont="1" applyFill="1" applyBorder="1" applyAlignment="1">
      <alignment horizontal="center" vertical="center" wrapText="1"/>
    </xf>
    <xf numFmtId="0" fontId="6" fillId="0" borderId="6" xfId="0" applyFont="1" applyFill="1" applyBorder="1" applyAlignment="1">
      <alignment horizontal="center" vertical="center"/>
    </xf>
    <xf numFmtId="3" fontId="6" fillId="0" borderId="7" xfId="0" applyNumberFormat="1" applyFont="1" applyFill="1" applyBorder="1"/>
    <xf numFmtId="2" fontId="6" fillId="0" borderId="6" xfId="0" applyNumberFormat="1" applyFont="1" applyFill="1" applyBorder="1" applyAlignment="1">
      <alignment horizontal="center"/>
    </xf>
    <xf numFmtId="0" fontId="6" fillId="0" borderId="7" xfId="0" applyFont="1" applyFill="1" applyBorder="1" applyAlignment="1">
      <alignment horizontal="center"/>
    </xf>
    <xf numFmtId="0" fontId="10" fillId="0" borderId="6" xfId="0" applyFont="1" applyFill="1" applyBorder="1"/>
    <xf numFmtId="1" fontId="6" fillId="0" borderId="6" xfId="0" applyNumberFormat="1" applyFont="1" applyFill="1" applyBorder="1" applyAlignment="1">
      <alignment horizontal="center"/>
    </xf>
    <xf numFmtId="164" fontId="6" fillId="0" borderId="5" xfId="4" applyNumberFormat="1" applyFont="1" applyFill="1" applyBorder="1" applyAlignment="1">
      <alignment horizontal="center"/>
    </xf>
    <xf numFmtId="0" fontId="7" fillId="0" borderId="6" xfId="0" applyFont="1" applyFill="1" applyBorder="1"/>
    <xf numFmtId="0" fontId="7" fillId="0" borderId="0" xfId="0" applyFont="1" applyFill="1"/>
    <xf numFmtId="169" fontId="6" fillId="0" borderId="6" xfId="5" applyNumberFormat="1" applyFont="1" applyFill="1" applyBorder="1" applyAlignment="1"/>
    <xf numFmtId="4" fontId="6" fillId="0" borderId="6" xfId="0" applyNumberFormat="1" applyFont="1" applyFill="1" applyBorder="1" applyAlignment="1"/>
    <xf numFmtId="43" fontId="6" fillId="0" borderId="6" xfId="1" applyFont="1" applyFill="1" applyBorder="1" applyAlignment="1"/>
    <xf numFmtId="0" fontId="8" fillId="0" borderId="0" xfId="0" applyFont="1" applyFill="1" applyAlignment="1"/>
    <xf numFmtId="3" fontId="6" fillId="0" borderId="6" xfId="0" applyNumberFormat="1" applyFont="1" applyFill="1" applyBorder="1" applyAlignment="1">
      <alignment horizontal="center" vertical="center" wrapText="1"/>
    </xf>
    <xf numFmtId="0" fontId="6" fillId="0" borderId="7" xfId="0" applyFont="1" applyFill="1" applyBorder="1"/>
    <xf numFmtId="3" fontId="6" fillId="0" borderId="6" xfId="0" applyNumberFormat="1" applyFont="1" applyFill="1" applyBorder="1" applyAlignment="1">
      <alignment horizontal="center" wrapText="1"/>
    </xf>
    <xf numFmtId="1" fontId="6" fillId="0" borderId="7" xfId="0" applyNumberFormat="1" applyFont="1" applyFill="1" applyBorder="1" applyAlignment="1">
      <alignment horizontal="center"/>
    </xf>
    <xf numFmtId="0" fontId="6" fillId="0" borderId="7" xfId="0" applyFont="1" applyFill="1" applyBorder="1" applyAlignment="1">
      <alignment horizontal="center" wrapText="1"/>
    </xf>
    <xf numFmtId="164" fontId="6" fillId="0" borderId="7" xfId="0" applyNumberFormat="1" applyFont="1" applyFill="1" applyBorder="1" applyAlignment="1">
      <alignment horizontal="center" wrapText="1"/>
    </xf>
    <xf numFmtId="3" fontId="6" fillId="0" borderId="6" xfId="0" applyNumberFormat="1" applyFont="1" applyFill="1" applyBorder="1" applyAlignment="1">
      <alignment horizontal="right"/>
    </xf>
    <xf numFmtId="4" fontId="6" fillId="0" borderId="7" xfId="0" applyNumberFormat="1" applyFont="1" applyFill="1" applyBorder="1" applyAlignment="1">
      <alignment horizontal="center"/>
    </xf>
    <xf numFmtId="165" fontId="6" fillId="0" borderId="6" xfId="0" applyNumberFormat="1" applyFont="1" applyFill="1" applyBorder="1" applyAlignment="1">
      <alignment horizontal="center"/>
    </xf>
    <xf numFmtId="2" fontId="6" fillId="0" borderId="9" xfId="0" applyNumberFormat="1" applyFont="1" applyFill="1" applyBorder="1" applyAlignment="1">
      <alignment horizontal="center"/>
    </xf>
    <xf numFmtId="14" fontId="6" fillId="0" borderId="7" xfId="0" applyNumberFormat="1" applyFont="1" applyFill="1" applyBorder="1" applyAlignment="1">
      <alignment horizontal="center"/>
    </xf>
    <xf numFmtId="12" fontId="6" fillId="0" borderId="6" xfId="0" applyNumberFormat="1" applyFont="1" applyFill="1" applyBorder="1" applyAlignment="1">
      <alignment horizontal="center"/>
    </xf>
    <xf numFmtId="14" fontId="6" fillId="0" borderId="7" xfId="0" applyNumberFormat="1" applyFont="1" applyFill="1" applyBorder="1" applyAlignment="1">
      <alignment horizontal="center" wrapText="1"/>
    </xf>
    <xf numFmtId="49" fontId="6" fillId="0" borderId="7" xfId="0" applyNumberFormat="1" applyFont="1" applyFill="1" applyBorder="1" applyAlignment="1">
      <alignment horizontal="center" wrapText="1"/>
    </xf>
    <xf numFmtId="164" fontId="6" fillId="0" borderId="7" xfId="4" applyNumberFormat="1" applyFont="1" applyFill="1" applyBorder="1" applyAlignment="1">
      <alignment horizontal="center"/>
    </xf>
    <xf numFmtId="166" fontId="6" fillId="0" borderId="7" xfId="0" applyNumberFormat="1" applyFont="1" applyFill="1" applyBorder="1" applyAlignment="1">
      <alignment horizontal="center"/>
    </xf>
    <xf numFmtId="0" fontId="8" fillId="0" borderId="0" xfId="0" applyFont="1" applyFill="1" applyBorder="1"/>
    <xf numFmtId="164" fontId="7" fillId="0" borderId="0" xfId="0" applyNumberFormat="1" applyFont="1" applyFill="1" applyAlignment="1">
      <alignment horizontal="center"/>
    </xf>
    <xf numFmtId="0" fontId="7" fillId="0" borderId="0" xfId="0" applyFont="1" applyFill="1" applyAlignment="1">
      <alignment horizontal="left"/>
    </xf>
    <xf numFmtId="0" fontId="7" fillId="0" borderId="0" xfId="0" applyFont="1" applyFill="1" applyAlignment="1">
      <alignment horizontal="center"/>
    </xf>
    <xf numFmtId="0" fontId="7" fillId="0" borderId="0" xfId="0" applyFont="1" applyFill="1" applyAlignment="1">
      <alignment horizontal="center" wrapText="1"/>
    </xf>
    <xf numFmtId="0" fontId="6" fillId="0" borderId="5" xfId="0" applyFont="1" applyFill="1" applyBorder="1"/>
    <xf numFmtId="14" fontId="6" fillId="0" borderId="5" xfId="0" applyNumberFormat="1" applyFont="1" applyFill="1" applyBorder="1" applyAlignment="1">
      <alignment horizontal="center"/>
    </xf>
    <xf numFmtId="0" fontId="6" fillId="0" borderId="5" xfId="0" applyFont="1" applyFill="1" applyBorder="1" applyAlignment="1">
      <alignment horizontal="center" vertical="center" wrapText="1"/>
    </xf>
    <xf numFmtId="164" fontId="6" fillId="0" borderId="5" xfId="0" applyNumberFormat="1" applyFont="1" applyFill="1" applyBorder="1" applyAlignment="1">
      <alignment horizontal="center" wrapText="1"/>
    </xf>
    <xf numFmtId="4" fontId="6" fillId="0" borderId="5" xfId="0" applyNumberFormat="1" applyFont="1" applyFill="1" applyBorder="1" applyAlignment="1">
      <alignment horizontal="right"/>
    </xf>
    <xf numFmtId="4" fontId="6" fillId="0" borderId="5" xfId="0" applyNumberFormat="1" applyFont="1" applyFill="1" applyBorder="1" applyAlignment="1">
      <alignment horizontal="center"/>
    </xf>
    <xf numFmtId="0" fontId="6" fillId="0" borderId="5" xfId="0" applyFont="1" applyFill="1" applyBorder="1" applyAlignment="1">
      <alignment horizontal="center"/>
    </xf>
    <xf numFmtId="43" fontId="6" fillId="0" borderId="5" xfId="1" applyFont="1" applyFill="1" applyBorder="1"/>
    <xf numFmtId="166" fontId="6" fillId="0" borderId="5" xfId="0" applyNumberFormat="1" applyFont="1" applyFill="1" applyBorder="1" applyAlignment="1">
      <alignment horizontal="center"/>
    </xf>
    <xf numFmtId="0" fontId="6" fillId="0" borderId="0" xfId="0" applyFont="1" applyFill="1" applyBorder="1"/>
    <xf numFmtId="0" fontId="6" fillId="0" borderId="0" xfId="0" applyFont="1" applyFill="1" applyBorder="1" applyAlignment="1">
      <alignment horizontal="center" wrapText="1"/>
    </xf>
    <xf numFmtId="14" fontId="6" fillId="0" borderId="0" xfId="0" applyNumberFormat="1" applyFont="1" applyFill="1" applyBorder="1" applyAlignment="1">
      <alignment horizontal="center" vertical="center" wrapText="1"/>
    </xf>
    <xf numFmtId="14" fontId="6" fillId="0" borderId="0" xfId="0" applyNumberFormat="1" applyFont="1" applyFill="1" applyBorder="1" applyAlignment="1">
      <alignment horizontal="center"/>
    </xf>
    <xf numFmtId="49" fontId="6" fillId="0" borderId="0" xfId="0" applyNumberFormat="1" applyFont="1" applyFill="1" applyBorder="1" applyAlignment="1">
      <alignment horizontal="center" wrapText="1"/>
    </xf>
    <xf numFmtId="0" fontId="6" fillId="0" borderId="0" xfId="0" applyFont="1" applyFill="1" applyBorder="1" applyAlignment="1">
      <alignment horizontal="center" vertical="center" wrapText="1"/>
    </xf>
    <xf numFmtId="164" fontId="6" fillId="0" borderId="0" xfId="0" applyNumberFormat="1" applyFont="1" applyFill="1" applyBorder="1" applyAlignment="1">
      <alignment horizontal="center" wrapText="1"/>
    </xf>
    <xf numFmtId="14" fontId="6" fillId="0" borderId="0" xfId="0" applyNumberFormat="1" applyFont="1" applyFill="1" applyBorder="1" applyAlignment="1">
      <alignment horizontal="center" wrapText="1"/>
    </xf>
    <xf numFmtId="3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 applyAlignment="1">
      <alignment horizontal="center"/>
    </xf>
    <xf numFmtId="164" fontId="6" fillId="0" borderId="0" xfId="4" applyNumberFormat="1" applyFont="1" applyFill="1" applyBorder="1" applyAlignment="1">
      <alignment horizontal="center"/>
    </xf>
    <xf numFmtId="4" fontId="6" fillId="0" borderId="0" xfId="0" applyNumberFormat="1" applyFont="1" applyFill="1" applyBorder="1"/>
    <xf numFmtId="0" fontId="6" fillId="0" borderId="0" xfId="0" applyFont="1" applyFill="1" applyBorder="1" applyAlignment="1">
      <alignment horizontal="center"/>
    </xf>
    <xf numFmtId="43" fontId="6" fillId="0" borderId="0" xfId="1" applyFont="1" applyFill="1" applyBorder="1"/>
    <xf numFmtId="166" fontId="6" fillId="0" borderId="0" xfId="0" applyNumberFormat="1" applyFont="1" applyFill="1" applyBorder="1" applyAlignment="1">
      <alignment horizontal="center"/>
    </xf>
    <xf numFmtId="4" fontId="6" fillId="0" borderId="5" xfId="0" applyNumberFormat="1" applyFont="1" applyFill="1" applyBorder="1"/>
    <xf numFmtId="0" fontId="8" fillId="0" borderId="5" xfId="0" applyFont="1" applyFill="1" applyBorder="1"/>
    <xf numFmtId="164" fontId="6" fillId="0" borderId="0" xfId="0" applyNumberFormat="1" applyFont="1" applyFill="1" applyBorder="1" applyAlignment="1">
      <alignment horizontal="center"/>
    </xf>
    <xf numFmtId="2" fontId="6" fillId="0" borderId="0" xfId="0" applyNumberFormat="1" applyFont="1" applyFill="1" applyBorder="1" applyAlignment="1">
      <alignment horizontal="center"/>
    </xf>
    <xf numFmtId="3" fontId="6" fillId="0" borderId="0" xfId="0" applyNumberFormat="1" applyFont="1" applyFill="1" applyBorder="1" applyAlignment="1">
      <alignment horizontal="center" vertical="center" wrapText="1"/>
    </xf>
    <xf numFmtId="169" fontId="6" fillId="0" borderId="0" xfId="5" applyNumberFormat="1" applyFont="1" applyFill="1" applyBorder="1"/>
  </cellXfs>
  <cellStyles count="13">
    <cellStyle name="Check Cell" xfId="2" builtinId="23"/>
    <cellStyle name="Comma" xfId="1" builtinId="3"/>
    <cellStyle name="Comma 11" xfId="3"/>
    <cellStyle name="Comma 13" xfId="6"/>
    <cellStyle name="Comma 14" xfId="7"/>
    <cellStyle name="Comma 15" xfId="8"/>
    <cellStyle name="Comma 2" xfId="4"/>
    <cellStyle name="Comma 2 2" xfId="9"/>
    <cellStyle name="Comma 2 3" xfId="5"/>
    <cellStyle name="Comma 6" xfId="10"/>
    <cellStyle name="Comma 7" xfId="11"/>
    <cellStyle name="Comma 8" xfId="12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0</xdr:row>
      <xdr:rowOff>114299</xdr:rowOff>
    </xdr:from>
    <xdr:to>
      <xdr:col>3</xdr:col>
      <xdr:colOff>485775</xdr:colOff>
      <xdr:row>2</xdr:row>
      <xdr:rowOff>123825</xdr:rowOff>
    </xdr:to>
    <xdr:pic>
      <xdr:nvPicPr>
        <xdr:cNvPr id="2" name="Picture 1" descr="C:\Documents and Settings\Administrator.MASTER\Desktop\rilogo.jp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38200" y="114299"/>
          <a:ext cx="447675" cy="40005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41</xdr:row>
      <xdr:rowOff>76200</xdr:rowOff>
    </xdr:from>
    <xdr:to>
      <xdr:col>3</xdr:col>
      <xdr:colOff>447675</xdr:colOff>
      <xdr:row>42</xdr:row>
      <xdr:rowOff>209551</xdr:rowOff>
    </xdr:to>
    <xdr:pic>
      <xdr:nvPicPr>
        <xdr:cNvPr id="3" name="Picture 2" descr="C:\Documents and Settings\Administrator.MASTER\Desktop\rilogo.jp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952500" y="10953750"/>
          <a:ext cx="447675" cy="40005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0</xdr:row>
      <xdr:rowOff>142874</xdr:rowOff>
    </xdr:from>
    <xdr:to>
      <xdr:col>4</xdr:col>
      <xdr:colOff>9525</xdr:colOff>
      <xdr:row>2</xdr:row>
      <xdr:rowOff>133350</xdr:rowOff>
    </xdr:to>
    <xdr:pic>
      <xdr:nvPicPr>
        <xdr:cNvPr id="2" name="Picture 1" descr="C:\Documents and Settings\Administrator.MASTER\Desktop\rilogo.jp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38200" y="142874"/>
          <a:ext cx="466725" cy="3810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19051</xdr:colOff>
      <xdr:row>31</xdr:row>
      <xdr:rowOff>76201</xdr:rowOff>
    </xdr:from>
    <xdr:to>
      <xdr:col>3</xdr:col>
      <xdr:colOff>419101</xdr:colOff>
      <xdr:row>31</xdr:row>
      <xdr:rowOff>361951</xdr:rowOff>
    </xdr:to>
    <xdr:pic>
      <xdr:nvPicPr>
        <xdr:cNvPr id="3" name="Picture 2" descr="C:\Documents and Settings\Administrator.MASTER\Desktop\rilogo.jp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09651" y="10934701"/>
          <a:ext cx="400050" cy="285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19050</xdr:colOff>
      <xdr:row>59</xdr:row>
      <xdr:rowOff>133350</xdr:rowOff>
    </xdr:from>
    <xdr:to>
      <xdr:col>3</xdr:col>
      <xdr:colOff>419100</xdr:colOff>
      <xdr:row>59</xdr:row>
      <xdr:rowOff>419100</xdr:rowOff>
    </xdr:to>
    <xdr:pic>
      <xdr:nvPicPr>
        <xdr:cNvPr id="4" name="Picture 3" descr="C:\Documents and Settings\Administrator.MASTER\Desktop\rilogo.jp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09650" y="21869400"/>
          <a:ext cx="400050" cy="285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142875</xdr:colOff>
      <xdr:row>0</xdr:row>
      <xdr:rowOff>171450</xdr:rowOff>
    </xdr:from>
    <xdr:to>
      <xdr:col>3</xdr:col>
      <xdr:colOff>533400</xdr:colOff>
      <xdr:row>2</xdr:row>
      <xdr:rowOff>171451</xdr:rowOff>
    </xdr:to>
    <xdr:pic>
      <xdr:nvPicPr>
        <xdr:cNvPr id="2" name="Picture 1" descr="C:\Documents and Settings\Administrator.MASTER\Desktop\rilogo.jp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33475" y="171450"/>
          <a:ext cx="390525" cy="3905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AA61"/>
  <sheetViews>
    <sheetView tabSelected="1" workbookViewId="0">
      <selection activeCell="G3" sqref="G3"/>
    </sheetView>
  </sheetViews>
  <sheetFormatPr defaultRowHeight="15"/>
  <cols>
    <col min="1" max="1" width="4.7109375" customWidth="1"/>
    <col min="2" max="2" width="4.140625" customWidth="1"/>
    <col min="3" max="3" width="5.42578125" style="3" customWidth="1"/>
    <col min="4" max="4" width="8" style="3" customWidth="1"/>
    <col min="5" max="5" width="6" style="3" customWidth="1"/>
    <col min="6" max="6" width="10.85546875" style="3" customWidth="1"/>
    <col min="7" max="7" width="9.5703125" style="3" customWidth="1"/>
    <col min="8" max="8" width="9" style="3" customWidth="1"/>
    <col min="9" max="9" width="10.140625" style="3" customWidth="1"/>
    <col min="10" max="10" width="6.28515625" customWidth="1"/>
    <col min="11" max="11" width="6.5703125" style="1" customWidth="1"/>
    <col min="12" max="12" width="9.85546875" style="3" customWidth="1"/>
    <col min="13" max="13" width="6" style="3" customWidth="1"/>
    <col min="14" max="14" width="7.28515625" style="5" customWidth="1"/>
    <col min="15" max="15" width="9.85546875" style="6" customWidth="1"/>
    <col min="16" max="16" width="8.5703125" customWidth="1"/>
    <col min="17" max="17" width="12.28515625" customWidth="1"/>
    <col min="18" max="18" width="5.140625" customWidth="1"/>
    <col min="19" max="19" width="6.28515625" style="9" customWidth="1"/>
    <col min="20" max="20" width="5.7109375" style="1" customWidth="1"/>
    <col min="21" max="21" width="10.28515625" style="3" customWidth="1"/>
    <col min="22" max="22" width="9" customWidth="1"/>
    <col min="23" max="23" width="5.42578125" customWidth="1"/>
    <col min="24" max="24" width="11.28515625" customWidth="1"/>
    <col min="25" max="25" width="11.7109375" customWidth="1"/>
    <col min="26" max="26" width="5.85546875" customWidth="1"/>
    <col min="27" max="27" width="6.28515625" customWidth="1"/>
  </cols>
  <sheetData>
    <row r="2" spans="2:27" ht="15.75">
      <c r="L2" s="4" t="s">
        <v>0</v>
      </c>
    </row>
    <row r="3" spans="2:27" ht="17.25" customHeight="1" thickBot="1">
      <c r="L3" s="4" t="s">
        <v>397</v>
      </c>
      <c r="P3" s="2"/>
    </row>
    <row r="4" spans="2:27" s="3" customFormat="1" ht="42.6" customHeight="1" thickBot="1">
      <c r="B4" s="17" t="s">
        <v>1</v>
      </c>
      <c r="C4" s="18" t="s">
        <v>2</v>
      </c>
      <c r="D4" s="18" t="s">
        <v>3</v>
      </c>
      <c r="E4" s="18" t="s">
        <v>4</v>
      </c>
      <c r="F4" s="19" t="s">
        <v>5</v>
      </c>
      <c r="G4" s="20" t="s">
        <v>6</v>
      </c>
      <c r="H4" s="18" t="s">
        <v>7</v>
      </c>
      <c r="I4" s="18" t="s">
        <v>8</v>
      </c>
      <c r="J4" s="18" t="s">
        <v>9</v>
      </c>
      <c r="K4" s="18" t="s">
        <v>10</v>
      </c>
      <c r="L4" s="18" t="s">
        <v>11</v>
      </c>
      <c r="M4" s="18" t="s">
        <v>12</v>
      </c>
      <c r="N4" s="18" t="s">
        <v>13</v>
      </c>
      <c r="O4" s="18" t="s">
        <v>14</v>
      </c>
      <c r="P4" s="18" t="s">
        <v>15</v>
      </c>
      <c r="Q4" s="18" t="s">
        <v>16</v>
      </c>
      <c r="R4" s="18" t="s">
        <v>17</v>
      </c>
      <c r="S4" s="21" t="s">
        <v>18</v>
      </c>
      <c r="T4" s="18" t="s">
        <v>19</v>
      </c>
      <c r="U4" s="18" t="s">
        <v>20</v>
      </c>
      <c r="V4" s="18" t="s">
        <v>21</v>
      </c>
      <c r="W4" s="18" t="s">
        <v>22</v>
      </c>
      <c r="X4" s="18" t="s">
        <v>23</v>
      </c>
      <c r="Y4" s="18" t="s">
        <v>24</v>
      </c>
      <c r="Z4" s="18" t="s">
        <v>25</v>
      </c>
      <c r="AA4" s="22" t="s">
        <v>26</v>
      </c>
    </row>
    <row r="5" spans="2:27" ht="24.75">
      <c r="B5" s="23">
        <v>1</v>
      </c>
      <c r="C5" s="15" t="s">
        <v>236</v>
      </c>
      <c r="D5" s="14" t="s">
        <v>66</v>
      </c>
      <c r="E5" s="14"/>
      <c r="F5" s="25" t="s">
        <v>208</v>
      </c>
      <c r="G5" s="15" t="s">
        <v>114</v>
      </c>
      <c r="H5" s="15" t="s">
        <v>115</v>
      </c>
      <c r="I5" s="15" t="s">
        <v>105</v>
      </c>
      <c r="J5" s="26">
        <v>801.22</v>
      </c>
      <c r="K5" s="14">
        <v>41645</v>
      </c>
      <c r="L5" s="15" t="s">
        <v>135</v>
      </c>
      <c r="M5" s="15" t="s">
        <v>47</v>
      </c>
      <c r="N5" s="15" t="s">
        <v>64</v>
      </c>
      <c r="O5" s="13" t="s">
        <v>232</v>
      </c>
      <c r="P5" s="16">
        <v>950057</v>
      </c>
      <c r="Q5" s="27">
        <f t="shared" ref="Q5:Q52" si="0">SUM(P5*S5)</f>
        <v>102945326.34899999</v>
      </c>
      <c r="R5" s="28" t="s">
        <v>32</v>
      </c>
      <c r="S5" s="7">
        <v>108.357</v>
      </c>
      <c r="T5" s="29">
        <f t="shared" ref="T5:T8" si="1">SUM(K5)+89</f>
        <v>41734</v>
      </c>
      <c r="U5" s="15" t="s">
        <v>123</v>
      </c>
      <c r="V5" s="30">
        <f t="shared" ref="V5:V20" si="2">SUM(Q5*0.12%)</f>
        <v>123534.39161879999</v>
      </c>
      <c r="W5" s="24">
        <v>155.75</v>
      </c>
      <c r="X5" s="27">
        <f t="shared" ref="X5:X22" si="3">SUM(V5*W5)</f>
        <v>19240481.494628098</v>
      </c>
      <c r="Y5" s="31">
        <v>0</v>
      </c>
      <c r="Z5" s="24"/>
      <c r="AA5" s="24"/>
    </row>
    <row r="6" spans="2:27" ht="20.25" customHeight="1">
      <c r="B6" s="23">
        <f t="shared" ref="B6:B8" si="4">B5+1</f>
        <v>2</v>
      </c>
      <c r="C6" s="15" t="s">
        <v>244</v>
      </c>
      <c r="D6" s="32" t="s">
        <v>203</v>
      </c>
      <c r="E6" s="29">
        <v>41670</v>
      </c>
      <c r="F6" s="25" t="s">
        <v>209</v>
      </c>
      <c r="G6" s="15" t="s">
        <v>222</v>
      </c>
      <c r="H6" s="15" t="s">
        <v>42</v>
      </c>
      <c r="I6" s="15" t="s">
        <v>34</v>
      </c>
      <c r="J6" s="26">
        <v>801.22</v>
      </c>
      <c r="K6" s="14">
        <v>41650</v>
      </c>
      <c r="L6" s="15" t="s">
        <v>224</v>
      </c>
      <c r="M6" s="24" t="s">
        <v>35</v>
      </c>
      <c r="N6" s="15" t="s">
        <v>69</v>
      </c>
      <c r="O6" s="13" t="s">
        <v>233</v>
      </c>
      <c r="P6" s="16">
        <v>949520</v>
      </c>
      <c r="Q6" s="27">
        <f t="shared" si="0"/>
        <v>103951550.55999999</v>
      </c>
      <c r="R6" s="28" t="s">
        <v>32</v>
      </c>
      <c r="S6" s="7">
        <v>109.47799999999999</v>
      </c>
      <c r="T6" s="29">
        <f t="shared" si="1"/>
        <v>41739</v>
      </c>
      <c r="U6" s="15" t="s">
        <v>222</v>
      </c>
      <c r="V6" s="30">
        <f t="shared" si="2"/>
        <v>124741.86067199998</v>
      </c>
      <c r="W6" s="24">
        <v>155.75</v>
      </c>
      <c r="X6" s="27">
        <f t="shared" si="3"/>
        <v>19428544.799663998</v>
      </c>
      <c r="Y6" s="33">
        <f t="shared" ref="Y6:Y8" si="5">X6</f>
        <v>19428544.799663998</v>
      </c>
      <c r="Z6" s="24"/>
      <c r="AA6" s="24"/>
    </row>
    <row r="7" spans="2:27" ht="20.25" customHeight="1">
      <c r="B7" s="23">
        <f t="shared" si="4"/>
        <v>3</v>
      </c>
      <c r="C7" s="15" t="s">
        <v>246</v>
      </c>
      <c r="D7" s="32" t="s">
        <v>204</v>
      </c>
      <c r="E7" s="29">
        <v>41670</v>
      </c>
      <c r="F7" s="25" t="s">
        <v>210</v>
      </c>
      <c r="G7" s="15" t="s">
        <v>222</v>
      </c>
      <c r="H7" s="15" t="s">
        <v>42</v>
      </c>
      <c r="I7" s="15" t="s">
        <v>29</v>
      </c>
      <c r="J7" s="26">
        <v>801.22</v>
      </c>
      <c r="K7" s="14">
        <v>41653</v>
      </c>
      <c r="L7" s="15" t="s">
        <v>101</v>
      </c>
      <c r="M7" s="15" t="s">
        <v>30</v>
      </c>
      <c r="N7" s="15" t="s">
        <v>230</v>
      </c>
      <c r="O7" s="13" t="s">
        <v>92</v>
      </c>
      <c r="P7" s="16">
        <v>548568</v>
      </c>
      <c r="Q7" s="27">
        <f t="shared" si="0"/>
        <v>59455994.112000003</v>
      </c>
      <c r="R7" s="28" t="s">
        <v>32</v>
      </c>
      <c r="S7" s="7">
        <v>108.384</v>
      </c>
      <c r="T7" s="29">
        <f t="shared" si="1"/>
        <v>41742</v>
      </c>
      <c r="U7" s="15" t="s">
        <v>222</v>
      </c>
      <c r="V7" s="30">
        <f t="shared" si="2"/>
        <v>71347.192934399995</v>
      </c>
      <c r="W7" s="24">
        <v>155.75</v>
      </c>
      <c r="X7" s="27">
        <f t="shared" si="3"/>
        <v>11112325.299532799</v>
      </c>
      <c r="Y7" s="33">
        <f t="shared" si="5"/>
        <v>11112325.299532799</v>
      </c>
      <c r="Z7" s="24"/>
      <c r="AA7" s="24"/>
    </row>
    <row r="8" spans="2:27" ht="20.25" customHeight="1">
      <c r="B8" s="23">
        <f t="shared" si="4"/>
        <v>4</v>
      </c>
      <c r="C8" s="15" t="s">
        <v>247</v>
      </c>
      <c r="D8" s="32" t="s">
        <v>205</v>
      </c>
      <c r="E8" s="29">
        <v>41670</v>
      </c>
      <c r="F8" s="25" t="s">
        <v>211</v>
      </c>
      <c r="G8" s="15" t="s">
        <v>222</v>
      </c>
      <c r="H8" s="15" t="s">
        <v>42</v>
      </c>
      <c r="I8" s="15" t="s">
        <v>29</v>
      </c>
      <c r="J8" s="26">
        <v>801.22</v>
      </c>
      <c r="K8" s="14">
        <v>41653</v>
      </c>
      <c r="L8" s="15" t="s">
        <v>101</v>
      </c>
      <c r="M8" s="15" t="s">
        <v>30</v>
      </c>
      <c r="N8" s="15" t="s">
        <v>230</v>
      </c>
      <c r="O8" s="13" t="s">
        <v>92</v>
      </c>
      <c r="P8" s="16">
        <v>400000</v>
      </c>
      <c r="Q8" s="27">
        <f t="shared" si="0"/>
        <v>43353600</v>
      </c>
      <c r="R8" s="28" t="s">
        <v>32</v>
      </c>
      <c r="S8" s="7">
        <v>108.384</v>
      </c>
      <c r="T8" s="29">
        <f t="shared" si="1"/>
        <v>41742</v>
      </c>
      <c r="U8" s="15" t="s">
        <v>222</v>
      </c>
      <c r="V8" s="30">
        <f t="shared" si="2"/>
        <v>52024.319999999992</v>
      </c>
      <c r="W8" s="24">
        <v>155.75</v>
      </c>
      <c r="X8" s="27">
        <f t="shared" si="3"/>
        <v>8102787.8399999989</v>
      </c>
      <c r="Y8" s="33">
        <f t="shared" si="5"/>
        <v>8102787.8399999989</v>
      </c>
      <c r="Z8" s="24"/>
      <c r="AA8" s="24"/>
    </row>
    <row r="9" spans="2:27" ht="20.25" customHeight="1">
      <c r="B9" s="23">
        <f t="shared" ref="B9:B60" si="6">B8+1</f>
        <v>5</v>
      </c>
      <c r="C9" s="15" t="s">
        <v>237</v>
      </c>
      <c r="D9" s="32" t="s">
        <v>341</v>
      </c>
      <c r="E9" s="34">
        <v>41715</v>
      </c>
      <c r="F9" s="25" t="s">
        <v>212</v>
      </c>
      <c r="G9" s="15" t="s">
        <v>95</v>
      </c>
      <c r="H9" s="15" t="s">
        <v>28</v>
      </c>
      <c r="I9" s="15" t="s">
        <v>105</v>
      </c>
      <c r="J9" s="26">
        <v>801.22</v>
      </c>
      <c r="K9" s="14">
        <v>41655</v>
      </c>
      <c r="L9" s="15" t="s">
        <v>225</v>
      </c>
      <c r="M9" s="15" t="s">
        <v>47</v>
      </c>
      <c r="N9" s="15" t="s">
        <v>31</v>
      </c>
      <c r="O9" s="13" t="s">
        <v>86</v>
      </c>
      <c r="P9" s="16">
        <v>500000</v>
      </c>
      <c r="Q9" s="27">
        <f t="shared" si="0"/>
        <v>55469000</v>
      </c>
      <c r="R9" s="28" t="s">
        <v>32</v>
      </c>
      <c r="S9" s="8">
        <v>110.938</v>
      </c>
      <c r="T9" s="29">
        <f t="shared" ref="T9:T60" si="7">SUM(K9)+89</f>
        <v>41744</v>
      </c>
      <c r="U9" s="15" t="s">
        <v>95</v>
      </c>
      <c r="V9" s="30">
        <f t="shared" si="2"/>
        <v>66562.799999999988</v>
      </c>
      <c r="W9" s="24">
        <v>155.75</v>
      </c>
      <c r="X9" s="27">
        <f t="shared" si="3"/>
        <v>10367156.099999998</v>
      </c>
      <c r="Y9" s="33">
        <v>10367156.1</v>
      </c>
      <c r="Z9" s="29">
        <v>41710</v>
      </c>
      <c r="AA9" s="35">
        <v>1308</v>
      </c>
    </row>
    <row r="10" spans="2:27" ht="20.25" customHeight="1">
      <c r="B10" s="23">
        <f t="shared" si="6"/>
        <v>6</v>
      </c>
      <c r="C10" s="15" t="s">
        <v>238</v>
      </c>
      <c r="D10" s="15" t="s">
        <v>343</v>
      </c>
      <c r="E10" s="34">
        <v>41717</v>
      </c>
      <c r="F10" s="25" t="s">
        <v>213</v>
      </c>
      <c r="G10" s="36" t="s">
        <v>38</v>
      </c>
      <c r="H10" s="15" t="s">
        <v>80</v>
      </c>
      <c r="I10" s="15" t="s">
        <v>105</v>
      </c>
      <c r="J10" s="26">
        <v>801.22</v>
      </c>
      <c r="K10" s="14">
        <v>41655</v>
      </c>
      <c r="L10" s="15" t="s">
        <v>225</v>
      </c>
      <c r="M10" s="15" t="s">
        <v>47</v>
      </c>
      <c r="N10" s="15" t="s">
        <v>31</v>
      </c>
      <c r="O10" s="13" t="s">
        <v>86</v>
      </c>
      <c r="P10" s="16">
        <v>60000</v>
      </c>
      <c r="Q10" s="27">
        <f t="shared" si="0"/>
        <v>6561300</v>
      </c>
      <c r="R10" s="28" t="s">
        <v>32</v>
      </c>
      <c r="S10" s="8">
        <v>109.355</v>
      </c>
      <c r="T10" s="29">
        <f t="shared" si="7"/>
        <v>41744</v>
      </c>
      <c r="U10" s="15" t="s">
        <v>38</v>
      </c>
      <c r="V10" s="30">
        <f t="shared" si="2"/>
        <v>7873.5599999999995</v>
      </c>
      <c r="W10" s="24">
        <v>155.75</v>
      </c>
      <c r="X10" s="27">
        <f t="shared" si="3"/>
        <v>1226306.97</v>
      </c>
      <c r="Y10" s="33">
        <v>1226306.97</v>
      </c>
      <c r="Z10" s="29">
        <v>41715</v>
      </c>
      <c r="AA10" s="37">
        <v>3580</v>
      </c>
    </row>
    <row r="11" spans="2:27" ht="20.25" customHeight="1">
      <c r="B11" s="23">
        <f t="shared" si="6"/>
        <v>7</v>
      </c>
      <c r="C11" s="15" t="s">
        <v>239</v>
      </c>
      <c r="D11" s="15" t="s">
        <v>344</v>
      </c>
      <c r="E11" s="34">
        <v>41717</v>
      </c>
      <c r="F11" s="25" t="s">
        <v>214</v>
      </c>
      <c r="G11" s="36" t="s">
        <v>38</v>
      </c>
      <c r="H11" s="15" t="s">
        <v>80</v>
      </c>
      <c r="I11" s="15" t="s">
        <v>105</v>
      </c>
      <c r="J11" s="26">
        <v>801.22</v>
      </c>
      <c r="K11" s="14">
        <v>41655</v>
      </c>
      <c r="L11" s="15" t="s">
        <v>225</v>
      </c>
      <c r="M11" s="15" t="s">
        <v>47</v>
      </c>
      <c r="N11" s="15" t="s">
        <v>31</v>
      </c>
      <c r="O11" s="13" t="s">
        <v>86</v>
      </c>
      <c r="P11" s="16">
        <v>29500</v>
      </c>
      <c r="Q11" s="27">
        <f t="shared" si="0"/>
        <v>3225972.5</v>
      </c>
      <c r="R11" s="28" t="s">
        <v>32</v>
      </c>
      <c r="S11" s="8">
        <v>109.355</v>
      </c>
      <c r="T11" s="29">
        <f t="shared" si="7"/>
        <v>41744</v>
      </c>
      <c r="U11" s="15" t="s">
        <v>38</v>
      </c>
      <c r="V11" s="30">
        <f t="shared" si="2"/>
        <v>3871.1669999999995</v>
      </c>
      <c r="W11" s="24">
        <v>155.75</v>
      </c>
      <c r="X11" s="27">
        <f t="shared" si="3"/>
        <v>602934.26024999993</v>
      </c>
      <c r="Y11" s="33">
        <v>602934.18000000005</v>
      </c>
      <c r="Z11" s="29">
        <v>41715</v>
      </c>
      <c r="AA11" s="37">
        <v>3581</v>
      </c>
    </row>
    <row r="12" spans="2:27" ht="20.25" customHeight="1">
      <c r="B12" s="23">
        <f t="shared" si="6"/>
        <v>8</v>
      </c>
      <c r="C12" s="15" t="s">
        <v>240</v>
      </c>
      <c r="D12" s="15" t="s">
        <v>345</v>
      </c>
      <c r="E12" s="34">
        <v>41717</v>
      </c>
      <c r="F12" s="25" t="s">
        <v>215</v>
      </c>
      <c r="G12" s="15" t="s">
        <v>134</v>
      </c>
      <c r="H12" s="15" t="s">
        <v>80</v>
      </c>
      <c r="I12" s="15" t="s">
        <v>105</v>
      </c>
      <c r="J12" s="26">
        <v>801.22</v>
      </c>
      <c r="K12" s="14">
        <v>41655</v>
      </c>
      <c r="L12" s="15" t="s">
        <v>225</v>
      </c>
      <c r="M12" s="15" t="s">
        <v>47</v>
      </c>
      <c r="N12" s="15" t="s">
        <v>31</v>
      </c>
      <c r="O12" s="13" t="s">
        <v>86</v>
      </c>
      <c r="P12" s="16">
        <v>24000</v>
      </c>
      <c r="Q12" s="27">
        <f t="shared" si="0"/>
        <v>2624520</v>
      </c>
      <c r="R12" s="28" t="s">
        <v>32</v>
      </c>
      <c r="S12" s="8">
        <v>109.355</v>
      </c>
      <c r="T12" s="29">
        <f t="shared" si="7"/>
        <v>41744</v>
      </c>
      <c r="U12" s="15" t="s">
        <v>38</v>
      </c>
      <c r="V12" s="30">
        <f t="shared" si="2"/>
        <v>3149.4239999999995</v>
      </c>
      <c r="W12" s="24">
        <v>155.75</v>
      </c>
      <c r="X12" s="27">
        <f t="shared" si="3"/>
        <v>490522.78799999994</v>
      </c>
      <c r="Y12" s="33">
        <v>490522.79</v>
      </c>
      <c r="Z12" s="29">
        <v>41715</v>
      </c>
      <c r="AA12" s="37">
        <v>3582</v>
      </c>
    </row>
    <row r="13" spans="2:27" ht="20.25" customHeight="1">
      <c r="B13" s="23">
        <f t="shared" si="6"/>
        <v>9</v>
      </c>
      <c r="C13" s="15" t="s">
        <v>241</v>
      </c>
      <c r="D13" s="14" t="s">
        <v>66</v>
      </c>
      <c r="E13" s="14"/>
      <c r="F13" s="25" t="s">
        <v>216</v>
      </c>
      <c r="G13" s="15" t="s">
        <v>95</v>
      </c>
      <c r="H13" s="15" t="s">
        <v>51</v>
      </c>
      <c r="I13" s="15" t="s">
        <v>105</v>
      </c>
      <c r="J13" s="26">
        <v>801.22</v>
      </c>
      <c r="K13" s="14">
        <v>41655</v>
      </c>
      <c r="L13" s="15" t="s">
        <v>225</v>
      </c>
      <c r="M13" s="15" t="s">
        <v>47</v>
      </c>
      <c r="N13" s="15" t="s">
        <v>31</v>
      </c>
      <c r="O13" s="13" t="s">
        <v>86</v>
      </c>
      <c r="P13" s="16">
        <v>120284</v>
      </c>
      <c r="Q13" s="27">
        <f t="shared" si="0"/>
        <v>13183366.968</v>
      </c>
      <c r="R13" s="28" t="s">
        <v>32</v>
      </c>
      <c r="S13" s="7">
        <v>109.602</v>
      </c>
      <c r="T13" s="29">
        <f t="shared" si="7"/>
        <v>41744</v>
      </c>
      <c r="U13" s="15" t="s">
        <v>37</v>
      </c>
      <c r="V13" s="30">
        <f t="shared" si="2"/>
        <v>15820.040361599999</v>
      </c>
      <c r="W13" s="24">
        <v>155.75</v>
      </c>
      <c r="X13" s="27">
        <f t="shared" si="3"/>
        <v>2463971.2863191999</v>
      </c>
      <c r="Y13" s="31">
        <v>0</v>
      </c>
      <c r="Z13" s="24"/>
      <c r="AA13" s="24"/>
    </row>
    <row r="14" spans="2:27" ht="20.25" customHeight="1">
      <c r="B14" s="23">
        <f t="shared" si="6"/>
        <v>10</v>
      </c>
      <c r="C14" s="15" t="s">
        <v>242</v>
      </c>
      <c r="D14" s="14" t="s">
        <v>66</v>
      </c>
      <c r="E14" s="14"/>
      <c r="F14" s="25" t="s">
        <v>217</v>
      </c>
      <c r="G14" s="15" t="s">
        <v>102</v>
      </c>
      <c r="H14" s="15" t="s">
        <v>76</v>
      </c>
      <c r="I14" s="15" t="s">
        <v>105</v>
      </c>
      <c r="J14" s="26">
        <v>801.22</v>
      </c>
      <c r="K14" s="14">
        <v>41655</v>
      </c>
      <c r="L14" s="15" t="s">
        <v>225</v>
      </c>
      <c r="M14" s="15" t="s">
        <v>47</v>
      </c>
      <c r="N14" s="15" t="s">
        <v>31</v>
      </c>
      <c r="O14" s="13" t="s">
        <v>86</v>
      </c>
      <c r="P14" s="16">
        <v>216000</v>
      </c>
      <c r="Q14" s="27">
        <f t="shared" si="0"/>
        <v>23674032</v>
      </c>
      <c r="R14" s="28" t="s">
        <v>32</v>
      </c>
      <c r="S14" s="7">
        <v>109.602</v>
      </c>
      <c r="T14" s="29">
        <f t="shared" si="7"/>
        <v>41744</v>
      </c>
      <c r="U14" s="15" t="s">
        <v>102</v>
      </c>
      <c r="V14" s="30">
        <f t="shared" si="2"/>
        <v>28408.838399999997</v>
      </c>
      <c r="W14" s="24">
        <v>155.75</v>
      </c>
      <c r="X14" s="27">
        <f t="shared" si="3"/>
        <v>4424676.5807999996</v>
      </c>
      <c r="Y14" s="31">
        <v>0</v>
      </c>
      <c r="Z14" s="24"/>
      <c r="AA14" s="24"/>
    </row>
    <row r="15" spans="2:27" ht="20.25" customHeight="1">
      <c r="B15" s="23">
        <f t="shared" si="6"/>
        <v>11</v>
      </c>
      <c r="C15" s="15" t="s">
        <v>248</v>
      </c>
      <c r="D15" s="32" t="s">
        <v>206</v>
      </c>
      <c r="E15" s="29">
        <v>41670</v>
      </c>
      <c r="F15" s="25" t="s">
        <v>218</v>
      </c>
      <c r="G15" s="15" t="s">
        <v>222</v>
      </c>
      <c r="H15" s="15" t="s">
        <v>42</v>
      </c>
      <c r="I15" s="15" t="s">
        <v>43</v>
      </c>
      <c r="J15" s="26">
        <v>801.22</v>
      </c>
      <c r="K15" s="14">
        <v>41659</v>
      </c>
      <c r="L15" s="15" t="s">
        <v>226</v>
      </c>
      <c r="M15" s="15" t="s">
        <v>44</v>
      </c>
      <c r="N15" s="15" t="s">
        <v>71</v>
      </c>
      <c r="O15" s="13" t="s">
        <v>78</v>
      </c>
      <c r="P15" s="16">
        <v>899812</v>
      </c>
      <c r="Q15" s="27">
        <f t="shared" si="0"/>
        <v>100006005.492</v>
      </c>
      <c r="R15" s="28" t="s">
        <v>32</v>
      </c>
      <c r="S15" s="38">
        <v>111.14100000000001</v>
      </c>
      <c r="T15" s="29">
        <f t="shared" si="7"/>
        <v>41748</v>
      </c>
      <c r="U15" s="15" t="s">
        <v>222</v>
      </c>
      <c r="V15" s="30">
        <f t="shared" si="2"/>
        <v>120007.20659039999</v>
      </c>
      <c r="W15" s="24">
        <v>155.75</v>
      </c>
      <c r="X15" s="27">
        <f t="shared" si="3"/>
        <v>18691122.426454797</v>
      </c>
      <c r="Y15" s="33">
        <f>X15</f>
        <v>18691122.426454797</v>
      </c>
      <c r="Z15" s="24"/>
      <c r="AA15" s="24"/>
    </row>
    <row r="16" spans="2:27" ht="20.25" customHeight="1">
      <c r="B16" s="23">
        <f t="shared" si="6"/>
        <v>12</v>
      </c>
      <c r="C16" s="15" t="s">
        <v>249</v>
      </c>
      <c r="D16" s="13" t="s">
        <v>338</v>
      </c>
      <c r="E16" s="14">
        <v>41710</v>
      </c>
      <c r="F16" s="25" t="s">
        <v>219</v>
      </c>
      <c r="G16" s="15" t="s">
        <v>50</v>
      </c>
      <c r="H16" s="15" t="s">
        <v>73</v>
      </c>
      <c r="I16" s="15" t="s">
        <v>55</v>
      </c>
      <c r="J16" s="26">
        <v>801.22</v>
      </c>
      <c r="K16" s="14">
        <v>41663</v>
      </c>
      <c r="L16" s="15" t="s">
        <v>70</v>
      </c>
      <c r="M16" s="15" t="s">
        <v>56</v>
      </c>
      <c r="N16" s="15" t="s">
        <v>69</v>
      </c>
      <c r="O16" s="13" t="s">
        <v>87</v>
      </c>
      <c r="P16" s="16">
        <v>207196</v>
      </c>
      <c r="Q16" s="27">
        <f t="shared" si="0"/>
        <v>22917327.971999999</v>
      </c>
      <c r="R16" s="28" t="s">
        <v>32</v>
      </c>
      <c r="S16" s="38">
        <v>110.607</v>
      </c>
      <c r="T16" s="29">
        <f t="shared" si="7"/>
        <v>41752</v>
      </c>
      <c r="U16" s="15" t="s">
        <v>50</v>
      </c>
      <c r="V16" s="30">
        <f t="shared" si="2"/>
        <v>27500.793566399996</v>
      </c>
      <c r="W16" s="24">
        <v>155.75</v>
      </c>
      <c r="X16" s="27">
        <f t="shared" si="3"/>
        <v>4283248.5979667995</v>
      </c>
      <c r="Y16" s="33">
        <v>4283248.5999999996</v>
      </c>
      <c r="Z16" s="29">
        <v>41709</v>
      </c>
      <c r="AA16" s="35">
        <v>15383</v>
      </c>
    </row>
    <row r="17" spans="2:27" ht="20.25" customHeight="1">
      <c r="B17" s="23">
        <f t="shared" si="6"/>
        <v>13</v>
      </c>
      <c r="C17" s="15" t="s">
        <v>250</v>
      </c>
      <c r="D17" s="32" t="s">
        <v>272</v>
      </c>
      <c r="E17" s="34">
        <v>41688</v>
      </c>
      <c r="F17" s="39" t="s">
        <v>252</v>
      </c>
      <c r="G17" s="15" t="s">
        <v>114</v>
      </c>
      <c r="H17" s="15" t="s">
        <v>223</v>
      </c>
      <c r="I17" s="15" t="s">
        <v>120</v>
      </c>
      <c r="J17" s="26">
        <v>801.22</v>
      </c>
      <c r="K17" s="14">
        <v>41664</v>
      </c>
      <c r="L17" s="15" t="s">
        <v>227</v>
      </c>
      <c r="M17" s="15" t="s">
        <v>121</v>
      </c>
      <c r="N17" s="15" t="s">
        <v>57</v>
      </c>
      <c r="O17" s="13" t="s">
        <v>122</v>
      </c>
      <c r="P17" s="16">
        <v>628846</v>
      </c>
      <c r="Q17" s="27">
        <f t="shared" si="0"/>
        <v>66161516.505999997</v>
      </c>
      <c r="R17" s="28" t="s">
        <v>32</v>
      </c>
      <c r="S17" s="38">
        <v>105.211</v>
      </c>
      <c r="T17" s="29">
        <f t="shared" ref="T17" si="8">SUM(K17)+89</f>
        <v>41753</v>
      </c>
      <c r="U17" s="15" t="s">
        <v>123</v>
      </c>
      <c r="V17" s="30">
        <f t="shared" ref="V17" si="9">SUM(Q17*0.12%)</f>
        <v>79393.819807199994</v>
      </c>
      <c r="W17" s="24">
        <v>155.75</v>
      </c>
      <c r="X17" s="27">
        <f t="shared" si="3"/>
        <v>12365587.4349714</v>
      </c>
      <c r="Y17" s="33">
        <v>12365587.470000001</v>
      </c>
      <c r="Z17" s="29">
        <v>41677</v>
      </c>
      <c r="AA17" s="37">
        <v>3850</v>
      </c>
    </row>
    <row r="18" spans="2:27" ht="20.25" customHeight="1">
      <c r="B18" s="23">
        <f t="shared" si="6"/>
        <v>14</v>
      </c>
      <c r="C18" s="15" t="s">
        <v>245</v>
      </c>
      <c r="D18" s="14" t="s">
        <v>66</v>
      </c>
      <c r="E18" s="14"/>
      <c r="F18" s="39" t="s">
        <v>274</v>
      </c>
      <c r="G18" s="15" t="s">
        <v>123</v>
      </c>
      <c r="H18" s="15" t="s">
        <v>33</v>
      </c>
      <c r="I18" s="15" t="s">
        <v>34</v>
      </c>
      <c r="J18" s="26">
        <v>801.22</v>
      </c>
      <c r="K18" s="14">
        <v>41665</v>
      </c>
      <c r="L18" s="15" t="s">
        <v>88</v>
      </c>
      <c r="M18" s="15" t="s">
        <v>35</v>
      </c>
      <c r="N18" s="15" t="s">
        <v>67</v>
      </c>
      <c r="O18" s="13" t="s">
        <v>84</v>
      </c>
      <c r="P18" s="16">
        <v>950131</v>
      </c>
      <c r="Q18" s="27">
        <f t="shared" si="0"/>
        <v>104211888.2896</v>
      </c>
      <c r="R18" s="28" t="s">
        <v>32</v>
      </c>
      <c r="S18" s="38">
        <v>109.6816</v>
      </c>
      <c r="T18" s="29">
        <f t="shared" si="7"/>
        <v>41754</v>
      </c>
      <c r="U18" s="15" t="s">
        <v>37</v>
      </c>
      <c r="V18" s="30">
        <f t="shared" si="2"/>
        <v>125054.26594751999</v>
      </c>
      <c r="W18" s="24">
        <v>155.75</v>
      </c>
      <c r="X18" s="27">
        <f t="shared" si="3"/>
        <v>19477201.921326239</v>
      </c>
      <c r="Y18" s="31">
        <v>0</v>
      </c>
      <c r="Z18" s="24"/>
      <c r="AA18" s="24"/>
    </row>
    <row r="19" spans="2:27" ht="20.25" customHeight="1">
      <c r="B19" s="23">
        <f t="shared" si="6"/>
        <v>15</v>
      </c>
      <c r="C19" s="15" t="s">
        <v>243</v>
      </c>
      <c r="D19" s="32" t="s">
        <v>207</v>
      </c>
      <c r="E19" s="29">
        <v>41670</v>
      </c>
      <c r="F19" s="25" t="s">
        <v>220</v>
      </c>
      <c r="G19" s="15" t="s">
        <v>222</v>
      </c>
      <c r="H19" s="15" t="s">
        <v>42</v>
      </c>
      <c r="I19" s="15" t="s">
        <v>105</v>
      </c>
      <c r="J19" s="26">
        <v>801.22</v>
      </c>
      <c r="K19" s="14">
        <v>41667</v>
      </c>
      <c r="L19" s="15" t="s">
        <v>228</v>
      </c>
      <c r="M19" s="15" t="s">
        <v>47</v>
      </c>
      <c r="N19" s="15" t="s">
        <v>231</v>
      </c>
      <c r="O19" s="13" t="s">
        <v>234</v>
      </c>
      <c r="P19" s="16">
        <v>949725</v>
      </c>
      <c r="Q19" s="27">
        <f t="shared" si="0"/>
        <v>104909472.675</v>
      </c>
      <c r="R19" s="28" t="s">
        <v>32</v>
      </c>
      <c r="S19" s="38">
        <v>110.46299999999999</v>
      </c>
      <c r="T19" s="29">
        <f t="shared" si="7"/>
        <v>41756</v>
      </c>
      <c r="U19" s="15" t="s">
        <v>222</v>
      </c>
      <c r="V19" s="30">
        <f t="shared" si="2"/>
        <v>125891.36720999998</v>
      </c>
      <c r="W19" s="24">
        <v>155.75</v>
      </c>
      <c r="X19" s="27">
        <f t="shared" si="3"/>
        <v>19607580.442957498</v>
      </c>
      <c r="Y19" s="33">
        <f>X19</f>
        <v>19607580.442957498</v>
      </c>
      <c r="Z19" s="24"/>
      <c r="AA19" s="24"/>
    </row>
    <row r="20" spans="2:27" ht="20.25" customHeight="1">
      <c r="B20" s="23">
        <f t="shared" si="6"/>
        <v>16</v>
      </c>
      <c r="C20" s="15" t="s">
        <v>251</v>
      </c>
      <c r="D20" s="32" t="s">
        <v>342</v>
      </c>
      <c r="E20" s="34">
        <v>41715</v>
      </c>
      <c r="F20" s="39" t="s">
        <v>221</v>
      </c>
      <c r="G20" s="15" t="s">
        <v>95</v>
      </c>
      <c r="H20" s="15" t="s">
        <v>28</v>
      </c>
      <c r="I20" s="40" t="s">
        <v>29</v>
      </c>
      <c r="J20" s="26">
        <v>801.22</v>
      </c>
      <c r="K20" s="34">
        <v>41669</v>
      </c>
      <c r="L20" s="41" t="s">
        <v>229</v>
      </c>
      <c r="M20" s="41" t="s">
        <v>30</v>
      </c>
      <c r="N20" s="41" t="s">
        <v>109</v>
      </c>
      <c r="O20" s="13" t="s">
        <v>235</v>
      </c>
      <c r="P20" s="42">
        <v>948817</v>
      </c>
      <c r="Q20" s="43">
        <f t="shared" si="0"/>
        <v>102309039.476</v>
      </c>
      <c r="R20" s="28" t="s">
        <v>32</v>
      </c>
      <c r="S20" s="38">
        <v>107.828</v>
      </c>
      <c r="T20" s="29">
        <f t="shared" si="7"/>
        <v>41758</v>
      </c>
      <c r="U20" s="15" t="s">
        <v>95</v>
      </c>
      <c r="V20" s="44">
        <f t="shared" si="2"/>
        <v>122770.84737119998</v>
      </c>
      <c r="W20" s="24">
        <v>155.75</v>
      </c>
      <c r="X20" s="43">
        <f t="shared" si="3"/>
        <v>19121559.478064399</v>
      </c>
      <c r="Y20" s="33">
        <v>19121559.890000001</v>
      </c>
      <c r="Z20" s="29">
        <v>41710</v>
      </c>
      <c r="AA20" s="35">
        <v>1309</v>
      </c>
    </row>
    <row r="21" spans="2:27" s="2" customFormat="1" ht="20.25" customHeight="1">
      <c r="B21" s="23">
        <f t="shared" si="6"/>
        <v>17</v>
      </c>
      <c r="C21" s="15" t="s">
        <v>277</v>
      </c>
      <c r="D21" s="32" t="s">
        <v>66</v>
      </c>
      <c r="E21" s="14"/>
      <c r="F21" s="25" t="s">
        <v>278</v>
      </c>
      <c r="G21" s="13" t="s">
        <v>123</v>
      </c>
      <c r="H21" s="13" t="s">
        <v>62</v>
      </c>
      <c r="I21" s="13" t="s">
        <v>105</v>
      </c>
      <c r="J21" s="26">
        <v>801.22</v>
      </c>
      <c r="K21" s="14">
        <v>41677</v>
      </c>
      <c r="L21" s="15" t="s">
        <v>279</v>
      </c>
      <c r="M21" s="15" t="s">
        <v>47</v>
      </c>
      <c r="N21" s="15" t="s">
        <v>36</v>
      </c>
      <c r="O21" s="15" t="s">
        <v>280</v>
      </c>
      <c r="P21" s="16">
        <v>255000</v>
      </c>
      <c r="Q21" s="27">
        <f t="shared" si="0"/>
        <v>28191270</v>
      </c>
      <c r="R21" s="28" t="s">
        <v>32</v>
      </c>
      <c r="S21" s="7">
        <v>110.554</v>
      </c>
      <c r="T21" s="29">
        <f t="shared" si="7"/>
        <v>41766</v>
      </c>
      <c r="U21" s="13" t="s">
        <v>37</v>
      </c>
      <c r="V21" s="30">
        <f t="shared" ref="V21:V60" si="10">SUM(Q21*0.12%)</f>
        <v>33829.523999999998</v>
      </c>
      <c r="W21" s="24">
        <v>155.75</v>
      </c>
      <c r="X21" s="27">
        <f t="shared" si="3"/>
        <v>5268948.3629999999</v>
      </c>
      <c r="Y21" s="31">
        <v>0</v>
      </c>
      <c r="Z21" s="24"/>
      <c r="AA21" s="24"/>
    </row>
    <row r="22" spans="2:27" ht="20.25" customHeight="1">
      <c r="B22" s="23">
        <f t="shared" si="6"/>
        <v>18</v>
      </c>
      <c r="C22" s="15" t="s">
        <v>281</v>
      </c>
      <c r="D22" s="32" t="s">
        <v>66</v>
      </c>
      <c r="E22" s="14"/>
      <c r="F22" s="25" t="s">
        <v>282</v>
      </c>
      <c r="G22" s="45" t="s">
        <v>38</v>
      </c>
      <c r="H22" s="13" t="s">
        <v>80</v>
      </c>
      <c r="I22" s="13" t="s">
        <v>105</v>
      </c>
      <c r="J22" s="26">
        <v>801.22</v>
      </c>
      <c r="K22" s="14">
        <v>41677</v>
      </c>
      <c r="L22" s="15" t="s">
        <v>279</v>
      </c>
      <c r="M22" s="15" t="s">
        <v>47</v>
      </c>
      <c r="N22" s="15" t="s">
        <v>36</v>
      </c>
      <c r="O22" s="15" t="s">
        <v>280</v>
      </c>
      <c r="P22" s="16">
        <v>24000</v>
      </c>
      <c r="Q22" s="27">
        <f t="shared" si="0"/>
        <v>2640696</v>
      </c>
      <c r="R22" s="28" t="s">
        <v>32</v>
      </c>
      <c r="S22" s="10">
        <v>110.029</v>
      </c>
      <c r="T22" s="29">
        <f t="shared" si="7"/>
        <v>41766</v>
      </c>
      <c r="U22" s="13" t="s">
        <v>38</v>
      </c>
      <c r="V22" s="30">
        <f t="shared" si="10"/>
        <v>3168.8351999999995</v>
      </c>
      <c r="W22" s="24">
        <v>155.75</v>
      </c>
      <c r="X22" s="27">
        <f t="shared" si="3"/>
        <v>493546.08239999996</v>
      </c>
      <c r="Y22" s="31">
        <v>0</v>
      </c>
      <c r="Z22" s="24"/>
      <c r="AA22" s="24"/>
    </row>
    <row r="23" spans="2:27" ht="20.25" customHeight="1">
      <c r="B23" s="23">
        <f t="shared" si="6"/>
        <v>19</v>
      </c>
      <c r="C23" s="15" t="s">
        <v>283</v>
      </c>
      <c r="D23" s="32" t="s">
        <v>66</v>
      </c>
      <c r="E23" s="14"/>
      <c r="F23" s="25" t="s">
        <v>284</v>
      </c>
      <c r="G23" s="45" t="s">
        <v>38</v>
      </c>
      <c r="H23" s="13" t="s">
        <v>80</v>
      </c>
      <c r="I23" s="13" t="s">
        <v>105</v>
      </c>
      <c r="J23" s="26">
        <v>801.22</v>
      </c>
      <c r="K23" s="14">
        <v>41677</v>
      </c>
      <c r="L23" s="15" t="s">
        <v>279</v>
      </c>
      <c r="M23" s="15" t="s">
        <v>47</v>
      </c>
      <c r="N23" s="15" t="s">
        <v>36</v>
      </c>
      <c r="O23" s="15" t="s">
        <v>280</v>
      </c>
      <c r="P23" s="16">
        <v>36000</v>
      </c>
      <c r="Q23" s="27">
        <f t="shared" si="0"/>
        <v>3961044</v>
      </c>
      <c r="R23" s="28" t="s">
        <v>32</v>
      </c>
      <c r="S23" s="10">
        <v>110.029</v>
      </c>
      <c r="T23" s="29">
        <f t="shared" si="7"/>
        <v>41766</v>
      </c>
      <c r="U23" s="13" t="s">
        <v>38</v>
      </c>
      <c r="V23" s="30">
        <f t="shared" si="10"/>
        <v>4753.2527999999993</v>
      </c>
      <c r="W23" s="24">
        <v>155.75</v>
      </c>
      <c r="X23" s="27">
        <f t="shared" ref="X23:X60" si="11">SUM(V23*W23)</f>
        <v>740319.12359999993</v>
      </c>
      <c r="Y23" s="31">
        <v>0</v>
      </c>
      <c r="Z23" s="24"/>
      <c r="AA23" s="24"/>
    </row>
    <row r="24" spans="2:27" ht="20.25" customHeight="1">
      <c r="B24" s="23">
        <f t="shared" si="6"/>
        <v>20</v>
      </c>
      <c r="C24" s="15" t="s">
        <v>285</v>
      </c>
      <c r="D24" s="32" t="s">
        <v>66</v>
      </c>
      <c r="E24" s="14"/>
      <c r="F24" s="25" t="s">
        <v>286</v>
      </c>
      <c r="G24" s="13" t="s">
        <v>134</v>
      </c>
      <c r="H24" s="13" t="s">
        <v>80</v>
      </c>
      <c r="I24" s="13" t="s">
        <v>105</v>
      </c>
      <c r="J24" s="26">
        <v>801.22</v>
      </c>
      <c r="K24" s="14">
        <v>41677</v>
      </c>
      <c r="L24" s="15" t="s">
        <v>279</v>
      </c>
      <c r="M24" s="15" t="s">
        <v>47</v>
      </c>
      <c r="N24" s="15" t="s">
        <v>36</v>
      </c>
      <c r="O24" s="15" t="s">
        <v>280</v>
      </c>
      <c r="P24" s="16">
        <v>30000</v>
      </c>
      <c r="Q24" s="27">
        <f t="shared" si="0"/>
        <v>3300870</v>
      </c>
      <c r="R24" s="28" t="s">
        <v>32</v>
      </c>
      <c r="S24" s="10">
        <v>110.029</v>
      </c>
      <c r="T24" s="29">
        <f t="shared" si="7"/>
        <v>41766</v>
      </c>
      <c r="U24" s="13" t="s">
        <v>38</v>
      </c>
      <c r="V24" s="30">
        <f t="shared" si="10"/>
        <v>3961.0439999999999</v>
      </c>
      <c r="W24" s="24">
        <v>155.75</v>
      </c>
      <c r="X24" s="27">
        <f t="shared" si="11"/>
        <v>616932.603</v>
      </c>
      <c r="Y24" s="31">
        <v>0</v>
      </c>
      <c r="Z24" s="24"/>
      <c r="AA24" s="24"/>
    </row>
    <row r="25" spans="2:27" ht="20.25" customHeight="1">
      <c r="B25" s="23">
        <f t="shared" si="6"/>
        <v>21</v>
      </c>
      <c r="C25" s="15" t="s">
        <v>287</v>
      </c>
      <c r="D25" s="32" t="s">
        <v>66</v>
      </c>
      <c r="E25" s="14"/>
      <c r="F25" s="25" t="s">
        <v>288</v>
      </c>
      <c r="G25" s="13" t="s">
        <v>102</v>
      </c>
      <c r="H25" s="13" t="s">
        <v>76</v>
      </c>
      <c r="I25" s="13" t="s">
        <v>105</v>
      </c>
      <c r="J25" s="26">
        <v>801.22</v>
      </c>
      <c r="K25" s="14">
        <v>41677</v>
      </c>
      <c r="L25" s="15" t="s">
        <v>279</v>
      </c>
      <c r="M25" s="15" t="s">
        <v>47</v>
      </c>
      <c r="N25" s="15" t="s">
        <v>36</v>
      </c>
      <c r="O25" s="15" t="s">
        <v>280</v>
      </c>
      <c r="P25" s="16">
        <v>110000</v>
      </c>
      <c r="Q25" s="27">
        <f t="shared" si="0"/>
        <v>12115180</v>
      </c>
      <c r="R25" s="28" t="s">
        <v>32</v>
      </c>
      <c r="S25" s="7">
        <v>110.13800000000001</v>
      </c>
      <c r="T25" s="29">
        <f t="shared" si="7"/>
        <v>41766</v>
      </c>
      <c r="U25" s="13" t="s">
        <v>102</v>
      </c>
      <c r="V25" s="30">
        <f t="shared" si="10"/>
        <v>14538.215999999999</v>
      </c>
      <c r="W25" s="24">
        <v>155.75</v>
      </c>
      <c r="X25" s="27">
        <f t="shared" si="11"/>
        <v>2264327.142</v>
      </c>
      <c r="Y25" s="31">
        <v>0</v>
      </c>
      <c r="Z25" s="24"/>
      <c r="AA25" s="24"/>
    </row>
    <row r="26" spans="2:27" ht="20.25" customHeight="1">
      <c r="B26" s="23">
        <f t="shared" si="6"/>
        <v>22</v>
      </c>
      <c r="C26" s="15" t="s">
        <v>289</v>
      </c>
      <c r="D26" s="32" t="s">
        <v>66</v>
      </c>
      <c r="E26" s="14"/>
      <c r="F26" s="11">
        <v>201400010025</v>
      </c>
      <c r="G26" s="13" t="s">
        <v>95</v>
      </c>
      <c r="H26" s="13" t="s">
        <v>45</v>
      </c>
      <c r="I26" s="13" t="s">
        <v>105</v>
      </c>
      <c r="J26" s="26">
        <v>801.22</v>
      </c>
      <c r="K26" s="14">
        <v>41677</v>
      </c>
      <c r="L26" s="15" t="s">
        <v>279</v>
      </c>
      <c r="M26" s="15" t="s">
        <v>47</v>
      </c>
      <c r="N26" s="15" t="s">
        <v>36</v>
      </c>
      <c r="O26" s="15" t="s">
        <v>280</v>
      </c>
      <c r="P26" s="16">
        <v>90000</v>
      </c>
      <c r="Q26" s="27">
        <f t="shared" si="0"/>
        <v>9912420</v>
      </c>
      <c r="R26" s="28" t="s">
        <v>32</v>
      </c>
      <c r="S26" s="7">
        <v>110.13800000000001</v>
      </c>
      <c r="T26" s="29">
        <f t="shared" si="7"/>
        <v>41766</v>
      </c>
      <c r="U26" s="13" t="s">
        <v>37</v>
      </c>
      <c r="V26" s="30">
        <f t="shared" si="10"/>
        <v>11894.903999999999</v>
      </c>
      <c r="W26" s="24">
        <v>155.75</v>
      </c>
      <c r="X26" s="27">
        <f t="shared" si="11"/>
        <v>1852631.2979999997</v>
      </c>
      <c r="Y26" s="31">
        <v>0</v>
      </c>
      <c r="Z26" s="24"/>
      <c r="AA26" s="24"/>
    </row>
    <row r="27" spans="2:27" ht="20.25" customHeight="1">
      <c r="B27" s="23">
        <f t="shared" si="6"/>
        <v>23</v>
      </c>
      <c r="C27" s="15" t="s">
        <v>290</v>
      </c>
      <c r="D27" s="32" t="s">
        <v>66</v>
      </c>
      <c r="E27" s="14"/>
      <c r="F27" s="12">
        <v>201400010026</v>
      </c>
      <c r="G27" s="13" t="s">
        <v>95</v>
      </c>
      <c r="H27" s="13" t="s">
        <v>51</v>
      </c>
      <c r="I27" s="13" t="s">
        <v>105</v>
      </c>
      <c r="J27" s="26">
        <v>801.22</v>
      </c>
      <c r="K27" s="14">
        <v>41677</v>
      </c>
      <c r="L27" s="15" t="s">
        <v>279</v>
      </c>
      <c r="M27" s="15" t="s">
        <v>47</v>
      </c>
      <c r="N27" s="15" t="s">
        <v>36</v>
      </c>
      <c r="O27" s="15" t="s">
        <v>280</v>
      </c>
      <c r="P27" s="16">
        <v>104779</v>
      </c>
      <c r="Q27" s="27">
        <f t="shared" si="0"/>
        <v>11540149.502</v>
      </c>
      <c r="R27" s="28" t="s">
        <v>32</v>
      </c>
      <c r="S27" s="7">
        <v>110.13800000000001</v>
      </c>
      <c r="T27" s="29">
        <f t="shared" si="7"/>
        <v>41766</v>
      </c>
      <c r="U27" s="13" t="s">
        <v>37</v>
      </c>
      <c r="V27" s="30">
        <f t="shared" si="10"/>
        <v>13848.179402399999</v>
      </c>
      <c r="W27" s="24">
        <v>155.75</v>
      </c>
      <c r="X27" s="27">
        <f t="shared" si="11"/>
        <v>2156853.9419237999</v>
      </c>
      <c r="Y27" s="31">
        <v>0</v>
      </c>
      <c r="Z27" s="24"/>
      <c r="AA27" s="24"/>
    </row>
    <row r="28" spans="2:27" ht="20.25" customHeight="1">
      <c r="B28" s="23">
        <f t="shared" si="6"/>
        <v>24</v>
      </c>
      <c r="C28" s="15" t="s">
        <v>291</v>
      </c>
      <c r="D28" s="32" t="s">
        <v>292</v>
      </c>
      <c r="E28" s="14">
        <v>41698</v>
      </c>
      <c r="F28" s="25" t="s">
        <v>293</v>
      </c>
      <c r="G28" s="13" t="s">
        <v>222</v>
      </c>
      <c r="H28" s="13" t="s">
        <v>42</v>
      </c>
      <c r="I28" s="13" t="s">
        <v>43</v>
      </c>
      <c r="J28" s="26">
        <v>801.22</v>
      </c>
      <c r="K28" s="14">
        <v>41679</v>
      </c>
      <c r="L28" s="15" t="s">
        <v>294</v>
      </c>
      <c r="M28" s="15" t="s">
        <v>44</v>
      </c>
      <c r="N28" s="15" t="s">
        <v>89</v>
      </c>
      <c r="O28" s="13" t="s">
        <v>90</v>
      </c>
      <c r="P28" s="16">
        <v>855919</v>
      </c>
      <c r="Q28" s="27">
        <f t="shared" si="0"/>
        <v>95472628.936000004</v>
      </c>
      <c r="R28" s="28" t="s">
        <v>32</v>
      </c>
      <c r="S28" s="7">
        <v>111.544</v>
      </c>
      <c r="T28" s="29">
        <f t="shared" si="7"/>
        <v>41768</v>
      </c>
      <c r="U28" s="13" t="s">
        <v>222</v>
      </c>
      <c r="V28" s="30">
        <f t="shared" si="10"/>
        <v>114567.1547232</v>
      </c>
      <c r="W28" s="24">
        <v>155.75</v>
      </c>
      <c r="X28" s="27">
        <f t="shared" si="11"/>
        <v>17843834.348138399</v>
      </c>
      <c r="Y28" s="33">
        <f t="shared" ref="Y28:Y29" si="12">X28</f>
        <v>17843834.348138399</v>
      </c>
      <c r="Z28" s="24"/>
      <c r="AA28" s="24"/>
    </row>
    <row r="29" spans="2:27" ht="20.25" customHeight="1">
      <c r="B29" s="23">
        <f t="shared" si="6"/>
        <v>25</v>
      </c>
      <c r="C29" s="15" t="s">
        <v>295</v>
      </c>
      <c r="D29" s="32" t="s">
        <v>296</v>
      </c>
      <c r="E29" s="14">
        <v>41698</v>
      </c>
      <c r="F29" s="25" t="s">
        <v>297</v>
      </c>
      <c r="G29" s="13" t="s">
        <v>222</v>
      </c>
      <c r="H29" s="13" t="s">
        <v>42</v>
      </c>
      <c r="I29" s="13" t="s">
        <v>34</v>
      </c>
      <c r="J29" s="26">
        <v>801.22</v>
      </c>
      <c r="K29" s="14">
        <v>41680</v>
      </c>
      <c r="L29" s="13" t="s">
        <v>298</v>
      </c>
      <c r="M29" s="15" t="s">
        <v>35</v>
      </c>
      <c r="N29" s="15" t="s">
        <v>48</v>
      </c>
      <c r="O29" s="15" t="s">
        <v>49</v>
      </c>
      <c r="P29" s="16">
        <v>953126</v>
      </c>
      <c r="Q29" s="27">
        <f t="shared" si="0"/>
        <v>106299283.402</v>
      </c>
      <c r="R29" s="28" t="s">
        <v>32</v>
      </c>
      <c r="S29" s="7">
        <v>111.527</v>
      </c>
      <c r="T29" s="29">
        <f t="shared" si="7"/>
        <v>41769</v>
      </c>
      <c r="U29" s="13" t="s">
        <v>222</v>
      </c>
      <c r="V29" s="30">
        <f t="shared" si="10"/>
        <v>127559.14008239999</v>
      </c>
      <c r="W29" s="24">
        <v>155.75</v>
      </c>
      <c r="X29" s="27">
        <f t="shared" si="11"/>
        <v>19867336.067833796</v>
      </c>
      <c r="Y29" s="33">
        <f t="shared" si="12"/>
        <v>19867336.067833796</v>
      </c>
      <c r="Z29" s="24"/>
      <c r="AA29" s="24"/>
    </row>
    <row r="30" spans="2:27" ht="20.25" customHeight="1">
      <c r="B30" s="23">
        <f t="shared" si="6"/>
        <v>26</v>
      </c>
      <c r="C30" s="15" t="s">
        <v>299</v>
      </c>
      <c r="D30" s="32" t="s">
        <v>300</v>
      </c>
      <c r="E30" s="14">
        <v>41698</v>
      </c>
      <c r="F30" s="25" t="s">
        <v>301</v>
      </c>
      <c r="G30" s="13" t="s">
        <v>114</v>
      </c>
      <c r="H30" s="13" t="s">
        <v>223</v>
      </c>
      <c r="I30" s="13" t="s">
        <v>120</v>
      </c>
      <c r="J30" s="26">
        <v>801.22</v>
      </c>
      <c r="K30" s="14">
        <v>41681</v>
      </c>
      <c r="L30" s="13" t="s">
        <v>302</v>
      </c>
      <c r="M30" s="15" t="s">
        <v>121</v>
      </c>
      <c r="N30" s="15" t="s">
        <v>36</v>
      </c>
      <c r="O30" s="15" t="s">
        <v>303</v>
      </c>
      <c r="P30" s="16">
        <v>499379</v>
      </c>
      <c r="Q30" s="27">
        <f t="shared" si="0"/>
        <v>51896963.817000002</v>
      </c>
      <c r="R30" s="28" t="s">
        <v>32</v>
      </c>
      <c r="S30" s="38">
        <v>103.923</v>
      </c>
      <c r="T30" s="29">
        <f t="shared" si="7"/>
        <v>41770</v>
      </c>
      <c r="U30" s="13" t="s">
        <v>123</v>
      </c>
      <c r="V30" s="30">
        <f t="shared" si="10"/>
        <v>62276.356580399995</v>
      </c>
      <c r="W30" s="24">
        <v>155.75</v>
      </c>
      <c r="X30" s="27">
        <f t="shared" si="11"/>
        <v>9699542.537397299</v>
      </c>
      <c r="Y30" s="33">
        <v>9699543.0700000003</v>
      </c>
      <c r="Z30" s="29">
        <v>41697</v>
      </c>
      <c r="AA30" s="37">
        <v>4608</v>
      </c>
    </row>
    <row r="31" spans="2:27" ht="22.5" customHeight="1">
      <c r="B31" s="23">
        <f t="shared" si="6"/>
        <v>27</v>
      </c>
      <c r="C31" s="15" t="s">
        <v>304</v>
      </c>
      <c r="D31" s="32" t="s">
        <v>66</v>
      </c>
      <c r="E31" s="14"/>
      <c r="F31" s="25" t="s">
        <v>305</v>
      </c>
      <c r="G31" s="13" t="s">
        <v>222</v>
      </c>
      <c r="H31" s="13" t="s">
        <v>42</v>
      </c>
      <c r="I31" s="13" t="s">
        <v>105</v>
      </c>
      <c r="J31" s="26">
        <v>801.22</v>
      </c>
      <c r="K31" s="14">
        <v>41690</v>
      </c>
      <c r="L31" s="15" t="s">
        <v>306</v>
      </c>
      <c r="M31" s="15" t="s">
        <v>47</v>
      </c>
      <c r="N31" s="15" t="s">
        <v>68</v>
      </c>
      <c r="O31" s="15" t="s">
        <v>111</v>
      </c>
      <c r="P31" s="16">
        <v>499863</v>
      </c>
      <c r="Q31" s="27">
        <f t="shared" si="0"/>
        <v>55397316.975000001</v>
      </c>
      <c r="R31" s="28" t="s">
        <v>32</v>
      </c>
      <c r="S31" s="38">
        <v>110.825</v>
      </c>
      <c r="T31" s="29">
        <f t="shared" si="7"/>
        <v>41779</v>
      </c>
      <c r="U31" s="13" t="s">
        <v>222</v>
      </c>
      <c r="V31" s="30">
        <f t="shared" si="10"/>
        <v>66476.780369999993</v>
      </c>
      <c r="W31" s="24">
        <v>155.75</v>
      </c>
      <c r="X31" s="27">
        <f t="shared" si="11"/>
        <v>10353758.542627499</v>
      </c>
      <c r="Y31" s="31">
        <v>0</v>
      </c>
      <c r="Z31" s="24"/>
      <c r="AA31" s="24"/>
    </row>
    <row r="32" spans="2:27" ht="22.5" customHeight="1">
      <c r="B32" s="23">
        <f t="shared" si="6"/>
        <v>28</v>
      </c>
      <c r="C32" s="15" t="s">
        <v>307</v>
      </c>
      <c r="D32" s="32" t="s">
        <v>308</v>
      </c>
      <c r="E32" s="14">
        <v>41698</v>
      </c>
      <c r="F32" s="25" t="s">
        <v>309</v>
      </c>
      <c r="G32" s="13" t="s">
        <v>222</v>
      </c>
      <c r="H32" s="13" t="s">
        <v>42</v>
      </c>
      <c r="I32" s="13" t="s">
        <v>29</v>
      </c>
      <c r="J32" s="26">
        <v>801.22</v>
      </c>
      <c r="K32" s="14">
        <v>41693</v>
      </c>
      <c r="L32" s="15" t="s">
        <v>310</v>
      </c>
      <c r="M32" s="15" t="s">
        <v>30</v>
      </c>
      <c r="N32" s="15" t="s">
        <v>52</v>
      </c>
      <c r="O32" s="15" t="s">
        <v>53</v>
      </c>
      <c r="P32" s="16">
        <v>548044</v>
      </c>
      <c r="Q32" s="27">
        <f t="shared" si="0"/>
        <v>59980675.579999998</v>
      </c>
      <c r="R32" s="28" t="s">
        <v>32</v>
      </c>
      <c r="S32" s="38">
        <v>109.44499999999999</v>
      </c>
      <c r="T32" s="29">
        <f t="shared" si="7"/>
        <v>41782</v>
      </c>
      <c r="U32" s="13" t="s">
        <v>222</v>
      </c>
      <c r="V32" s="30">
        <f t="shared" si="10"/>
        <v>71976.810695999986</v>
      </c>
      <c r="W32" s="24">
        <v>155.75</v>
      </c>
      <c r="X32" s="27">
        <f t="shared" si="11"/>
        <v>11210388.265901998</v>
      </c>
      <c r="Y32" s="33">
        <f t="shared" ref="Y32:Y33" si="13">X32</f>
        <v>11210388.265901998</v>
      </c>
      <c r="Z32" s="24"/>
      <c r="AA32" s="24"/>
    </row>
    <row r="33" spans="2:27" ht="22.5" customHeight="1">
      <c r="B33" s="23">
        <f t="shared" si="6"/>
        <v>29</v>
      </c>
      <c r="C33" s="15" t="s">
        <v>311</v>
      </c>
      <c r="D33" s="32" t="s">
        <v>312</v>
      </c>
      <c r="E33" s="14">
        <v>41698</v>
      </c>
      <c r="F33" s="25" t="s">
        <v>313</v>
      </c>
      <c r="G33" s="13" t="s">
        <v>222</v>
      </c>
      <c r="H33" s="13" t="s">
        <v>42</v>
      </c>
      <c r="I33" s="13" t="s">
        <v>29</v>
      </c>
      <c r="J33" s="26">
        <v>801.22</v>
      </c>
      <c r="K33" s="14">
        <v>41693</v>
      </c>
      <c r="L33" s="15" t="s">
        <v>310</v>
      </c>
      <c r="M33" s="15" t="s">
        <v>30</v>
      </c>
      <c r="N33" s="15" t="s">
        <v>52</v>
      </c>
      <c r="O33" s="15" t="s">
        <v>53</v>
      </c>
      <c r="P33" s="16">
        <v>400000</v>
      </c>
      <c r="Q33" s="27">
        <f t="shared" si="0"/>
        <v>43778000</v>
      </c>
      <c r="R33" s="28" t="s">
        <v>32</v>
      </c>
      <c r="S33" s="38">
        <v>109.44499999999999</v>
      </c>
      <c r="T33" s="29">
        <f t="shared" si="7"/>
        <v>41782</v>
      </c>
      <c r="U33" s="13" t="s">
        <v>222</v>
      </c>
      <c r="V33" s="30">
        <f t="shared" si="10"/>
        <v>52533.599999999999</v>
      </c>
      <c r="W33" s="24">
        <v>155.75</v>
      </c>
      <c r="X33" s="27">
        <f t="shared" si="11"/>
        <v>8182108.2000000002</v>
      </c>
      <c r="Y33" s="33">
        <f t="shared" si="13"/>
        <v>8182108.2000000002</v>
      </c>
      <c r="Z33" s="24"/>
      <c r="AA33" s="24"/>
    </row>
    <row r="34" spans="2:27" ht="21" customHeight="1">
      <c r="B34" s="23">
        <f t="shared" si="6"/>
        <v>30</v>
      </c>
      <c r="C34" s="15" t="s">
        <v>314</v>
      </c>
      <c r="D34" s="32" t="s">
        <v>66</v>
      </c>
      <c r="E34" s="14"/>
      <c r="F34" s="25" t="s">
        <v>315</v>
      </c>
      <c r="G34" s="13" t="s">
        <v>222</v>
      </c>
      <c r="H34" s="13" t="s">
        <v>42</v>
      </c>
      <c r="I34" s="13" t="s">
        <v>105</v>
      </c>
      <c r="J34" s="26">
        <v>801.22</v>
      </c>
      <c r="K34" s="14">
        <v>41693</v>
      </c>
      <c r="L34" s="15" t="s">
        <v>79</v>
      </c>
      <c r="M34" s="15" t="s">
        <v>47</v>
      </c>
      <c r="N34" s="15" t="s">
        <v>68</v>
      </c>
      <c r="O34" s="15" t="s">
        <v>111</v>
      </c>
      <c r="P34" s="16">
        <v>421023</v>
      </c>
      <c r="Q34" s="27">
        <f t="shared" si="0"/>
        <v>46563038.685000002</v>
      </c>
      <c r="R34" s="28" t="s">
        <v>32</v>
      </c>
      <c r="S34" s="7">
        <v>110.595</v>
      </c>
      <c r="T34" s="29">
        <f t="shared" si="7"/>
        <v>41782</v>
      </c>
      <c r="U34" s="13" t="s">
        <v>222</v>
      </c>
      <c r="V34" s="30">
        <f t="shared" si="10"/>
        <v>55875.646421999998</v>
      </c>
      <c r="W34" s="24">
        <v>155.75</v>
      </c>
      <c r="X34" s="27">
        <f t="shared" si="11"/>
        <v>8702631.9302264992</v>
      </c>
      <c r="Y34" s="31">
        <v>0</v>
      </c>
      <c r="Z34" s="24"/>
      <c r="AA34" s="24"/>
    </row>
    <row r="35" spans="2:27" ht="21" customHeight="1">
      <c r="B35" s="23">
        <f t="shared" si="6"/>
        <v>31</v>
      </c>
      <c r="C35" s="15" t="s">
        <v>316</v>
      </c>
      <c r="D35" s="32" t="s">
        <v>66</v>
      </c>
      <c r="E35" s="14"/>
      <c r="F35" s="25" t="s">
        <v>317</v>
      </c>
      <c r="G35" s="13" t="s">
        <v>222</v>
      </c>
      <c r="H35" s="13" t="s">
        <v>42</v>
      </c>
      <c r="I35" s="13" t="s">
        <v>105</v>
      </c>
      <c r="J35" s="26">
        <v>801.22</v>
      </c>
      <c r="K35" s="14">
        <v>41695</v>
      </c>
      <c r="L35" s="15" t="s">
        <v>318</v>
      </c>
      <c r="M35" s="15" t="s">
        <v>47</v>
      </c>
      <c r="N35" s="15" t="s">
        <v>69</v>
      </c>
      <c r="O35" s="15" t="s">
        <v>319</v>
      </c>
      <c r="P35" s="16">
        <v>63000</v>
      </c>
      <c r="Q35" s="27">
        <f t="shared" si="0"/>
        <v>6969564</v>
      </c>
      <c r="R35" s="28" t="s">
        <v>32</v>
      </c>
      <c r="S35" s="38">
        <v>110.628</v>
      </c>
      <c r="T35" s="29">
        <f t="shared" si="7"/>
        <v>41784</v>
      </c>
      <c r="U35" s="13" t="s">
        <v>222</v>
      </c>
      <c r="V35" s="30">
        <f t="shared" si="10"/>
        <v>8363.4767999999985</v>
      </c>
      <c r="W35" s="24">
        <v>155.75</v>
      </c>
      <c r="X35" s="27">
        <f t="shared" si="11"/>
        <v>1302611.5115999999</v>
      </c>
      <c r="Y35" s="31">
        <v>0</v>
      </c>
      <c r="Z35" s="24"/>
      <c r="AA35" s="24"/>
    </row>
    <row r="36" spans="2:27" ht="21" customHeight="1">
      <c r="B36" s="23">
        <f t="shared" si="6"/>
        <v>32</v>
      </c>
      <c r="C36" s="15" t="s">
        <v>320</v>
      </c>
      <c r="D36" s="32" t="s">
        <v>66</v>
      </c>
      <c r="E36" s="14"/>
      <c r="F36" s="25" t="s">
        <v>321</v>
      </c>
      <c r="G36" s="13" t="s">
        <v>222</v>
      </c>
      <c r="H36" s="13" t="s">
        <v>42</v>
      </c>
      <c r="I36" s="13" t="s">
        <v>105</v>
      </c>
      <c r="J36" s="26">
        <v>801.22</v>
      </c>
      <c r="K36" s="14">
        <v>41695</v>
      </c>
      <c r="L36" s="15" t="s">
        <v>318</v>
      </c>
      <c r="M36" s="15" t="s">
        <v>47</v>
      </c>
      <c r="N36" s="15" t="s">
        <v>69</v>
      </c>
      <c r="O36" s="15" t="s">
        <v>319</v>
      </c>
      <c r="P36" s="16">
        <v>42000</v>
      </c>
      <c r="Q36" s="27">
        <f t="shared" si="0"/>
        <v>4646376</v>
      </c>
      <c r="R36" s="28" t="s">
        <v>32</v>
      </c>
      <c r="S36" s="38">
        <v>110.628</v>
      </c>
      <c r="T36" s="29">
        <f t="shared" si="7"/>
        <v>41784</v>
      </c>
      <c r="U36" s="13" t="s">
        <v>222</v>
      </c>
      <c r="V36" s="30">
        <f t="shared" si="10"/>
        <v>5575.6511999999993</v>
      </c>
      <c r="W36" s="24">
        <v>155.75</v>
      </c>
      <c r="X36" s="27">
        <f t="shared" si="11"/>
        <v>868407.6743999999</v>
      </c>
      <c r="Y36" s="31">
        <v>0</v>
      </c>
      <c r="Z36" s="24"/>
      <c r="AA36" s="24"/>
    </row>
    <row r="37" spans="2:27" ht="21" customHeight="1">
      <c r="B37" s="23">
        <f t="shared" si="6"/>
        <v>33</v>
      </c>
      <c r="C37" s="15" t="s">
        <v>322</v>
      </c>
      <c r="D37" s="32" t="s">
        <v>66</v>
      </c>
      <c r="E37" s="14"/>
      <c r="F37" s="25" t="s">
        <v>323</v>
      </c>
      <c r="G37" s="13" t="s">
        <v>222</v>
      </c>
      <c r="H37" s="13" t="s">
        <v>42</v>
      </c>
      <c r="I37" s="13" t="s">
        <v>105</v>
      </c>
      <c r="J37" s="26">
        <v>801.22</v>
      </c>
      <c r="K37" s="14">
        <v>41695</v>
      </c>
      <c r="L37" s="15" t="s">
        <v>318</v>
      </c>
      <c r="M37" s="15" t="s">
        <v>47</v>
      </c>
      <c r="N37" s="15" t="s">
        <v>69</v>
      </c>
      <c r="O37" s="15" t="s">
        <v>319</v>
      </c>
      <c r="P37" s="16">
        <v>144472</v>
      </c>
      <c r="Q37" s="27">
        <f t="shared" si="0"/>
        <v>15982648.415999999</v>
      </c>
      <c r="R37" s="28" t="s">
        <v>32</v>
      </c>
      <c r="S37" s="38">
        <v>110.628</v>
      </c>
      <c r="T37" s="29">
        <f t="shared" si="7"/>
        <v>41784</v>
      </c>
      <c r="U37" s="13" t="s">
        <v>222</v>
      </c>
      <c r="V37" s="30">
        <f t="shared" si="10"/>
        <v>19179.178099199999</v>
      </c>
      <c r="W37" s="24">
        <v>155.75</v>
      </c>
      <c r="X37" s="27">
        <f t="shared" si="11"/>
        <v>2987156.9889503997</v>
      </c>
      <c r="Y37" s="31">
        <v>0</v>
      </c>
      <c r="Z37" s="24"/>
      <c r="AA37" s="24"/>
    </row>
    <row r="38" spans="2:27" ht="21" customHeight="1">
      <c r="B38" s="23">
        <f t="shared" si="6"/>
        <v>34</v>
      </c>
      <c r="C38" s="15" t="s">
        <v>324</v>
      </c>
      <c r="D38" s="32" t="s">
        <v>66</v>
      </c>
      <c r="E38" s="14"/>
      <c r="F38" s="25" t="s">
        <v>325</v>
      </c>
      <c r="G38" s="13" t="s">
        <v>123</v>
      </c>
      <c r="H38" s="13" t="s">
        <v>33</v>
      </c>
      <c r="I38" s="13" t="s">
        <v>34</v>
      </c>
      <c r="J38" s="26">
        <v>801.22</v>
      </c>
      <c r="K38" s="14">
        <v>41696</v>
      </c>
      <c r="L38" s="15" t="s">
        <v>326</v>
      </c>
      <c r="M38" s="15" t="s">
        <v>35</v>
      </c>
      <c r="N38" s="15" t="s">
        <v>48</v>
      </c>
      <c r="O38" s="15" t="s">
        <v>49</v>
      </c>
      <c r="P38" s="16">
        <v>945742</v>
      </c>
      <c r="Q38" s="27">
        <f t="shared" si="0"/>
        <v>104995331.098</v>
      </c>
      <c r="R38" s="28" t="s">
        <v>32</v>
      </c>
      <c r="S38" s="38">
        <v>111.01900000000001</v>
      </c>
      <c r="T38" s="29">
        <f t="shared" si="7"/>
        <v>41785</v>
      </c>
      <c r="U38" s="13" t="s">
        <v>37</v>
      </c>
      <c r="V38" s="30">
        <f t="shared" si="10"/>
        <v>125994.3973176</v>
      </c>
      <c r="W38" s="24">
        <v>155.75</v>
      </c>
      <c r="X38" s="27">
        <f t="shared" si="11"/>
        <v>19623627.3822162</v>
      </c>
      <c r="Y38" s="31">
        <v>0</v>
      </c>
      <c r="Z38" s="24"/>
      <c r="AA38" s="24"/>
    </row>
    <row r="39" spans="2:27" ht="21" customHeight="1">
      <c r="B39" s="23">
        <f t="shared" si="6"/>
        <v>35</v>
      </c>
      <c r="C39" s="15" t="s">
        <v>327</v>
      </c>
      <c r="D39" s="32" t="s">
        <v>339</v>
      </c>
      <c r="E39" s="29">
        <v>41711</v>
      </c>
      <c r="F39" s="25" t="s">
        <v>333</v>
      </c>
      <c r="G39" s="13" t="s">
        <v>114</v>
      </c>
      <c r="H39" s="13" t="s">
        <v>223</v>
      </c>
      <c r="I39" s="13" t="s">
        <v>120</v>
      </c>
      <c r="J39" s="26">
        <v>801.22</v>
      </c>
      <c r="K39" s="14">
        <v>41697</v>
      </c>
      <c r="L39" s="15" t="s">
        <v>59</v>
      </c>
      <c r="M39" s="15" t="s">
        <v>121</v>
      </c>
      <c r="N39" s="13" t="s">
        <v>71</v>
      </c>
      <c r="O39" s="15" t="s">
        <v>124</v>
      </c>
      <c r="P39" s="16">
        <v>698289</v>
      </c>
      <c r="Q39" s="27">
        <f t="shared" si="0"/>
        <v>73198842.714000002</v>
      </c>
      <c r="R39" s="28" t="s">
        <v>32</v>
      </c>
      <c r="S39" s="38">
        <v>104.82599999999999</v>
      </c>
      <c r="T39" s="29">
        <f t="shared" si="7"/>
        <v>41786</v>
      </c>
      <c r="U39" s="13" t="s">
        <v>123</v>
      </c>
      <c r="V39" s="30">
        <f t="shared" si="10"/>
        <v>87838.611256799995</v>
      </c>
      <c r="W39" s="24">
        <v>155.75</v>
      </c>
      <c r="X39" s="27">
        <f t="shared" si="11"/>
        <v>13680863.703246599</v>
      </c>
      <c r="Y39" s="33">
        <v>13680863.51</v>
      </c>
      <c r="Z39" s="29">
        <v>41709</v>
      </c>
      <c r="AA39" s="37">
        <v>4617</v>
      </c>
    </row>
    <row r="40" spans="2:27" ht="21" customHeight="1">
      <c r="B40" s="109"/>
      <c r="C40" s="110"/>
      <c r="D40" s="111"/>
      <c r="E40" s="112"/>
      <c r="F40" s="113"/>
      <c r="G40" s="114"/>
      <c r="H40" s="114"/>
      <c r="I40" s="114"/>
      <c r="J40" s="115"/>
      <c r="K40" s="116"/>
      <c r="L40" s="110"/>
      <c r="M40" s="110"/>
      <c r="N40" s="114"/>
      <c r="O40" s="110"/>
      <c r="P40" s="117"/>
      <c r="Q40" s="118"/>
      <c r="R40" s="119"/>
      <c r="S40" s="120"/>
      <c r="T40" s="112"/>
      <c r="U40" s="114"/>
      <c r="V40" s="121"/>
      <c r="W40" s="122"/>
      <c r="X40" s="118"/>
      <c r="Y40" s="123"/>
      <c r="Z40" s="112"/>
      <c r="AA40" s="124"/>
    </row>
    <row r="41" spans="2:27" ht="21" customHeight="1">
      <c r="B41" s="109"/>
      <c r="C41" s="110"/>
      <c r="D41" s="111"/>
      <c r="E41" s="112"/>
      <c r="F41" s="113"/>
      <c r="G41" s="114"/>
      <c r="H41" s="114"/>
      <c r="I41" s="114"/>
      <c r="J41" s="115"/>
      <c r="K41" s="116"/>
      <c r="L41" s="110"/>
      <c r="M41" s="110"/>
      <c r="N41" s="114"/>
      <c r="O41" s="110"/>
      <c r="P41" s="117"/>
      <c r="Q41" s="118"/>
      <c r="R41" s="119"/>
      <c r="S41" s="120"/>
      <c r="T41" s="112"/>
      <c r="U41" s="114"/>
      <c r="V41" s="121"/>
      <c r="W41" s="122"/>
      <c r="X41" s="118"/>
      <c r="Y41" s="123"/>
      <c r="Z41" s="112"/>
      <c r="AA41" s="124"/>
    </row>
    <row r="42" spans="2:27" ht="21" customHeight="1">
      <c r="B42" s="109"/>
      <c r="C42" s="110"/>
      <c r="D42" s="111"/>
      <c r="E42" s="112"/>
      <c r="F42" s="113"/>
      <c r="G42" s="114"/>
      <c r="H42" s="114"/>
      <c r="I42" s="114"/>
      <c r="J42" s="115"/>
      <c r="K42" s="116"/>
      <c r="L42" s="110"/>
      <c r="M42" s="110"/>
      <c r="N42" s="114"/>
      <c r="O42" s="110"/>
      <c r="P42" s="117"/>
      <c r="Q42" s="118"/>
      <c r="R42" s="119"/>
      <c r="S42" s="120"/>
      <c r="T42" s="112"/>
      <c r="U42" s="114"/>
      <c r="V42" s="121"/>
      <c r="W42" s="122"/>
      <c r="X42" s="118"/>
      <c r="Y42" s="123"/>
      <c r="Z42" s="112"/>
      <c r="AA42" s="124"/>
    </row>
    <row r="43" spans="2:27" ht="21" customHeight="1" thickBot="1">
      <c r="B43" s="109"/>
      <c r="C43" s="110"/>
      <c r="D43" s="111"/>
      <c r="E43" s="112"/>
      <c r="F43" s="113"/>
      <c r="G43" s="114"/>
      <c r="H43" s="114"/>
      <c r="I43" s="114"/>
      <c r="J43" s="115"/>
      <c r="K43" s="116"/>
      <c r="L43" s="110"/>
      <c r="M43" s="110"/>
      <c r="N43" s="114"/>
      <c r="O43" s="110"/>
      <c r="P43" s="117"/>
      <c r="Q43" s="118"/>
      <c r="R43" s="119"/>
      <c r="S43" s="120"/>
      <c r="T43" s="112"/>
      <c r="U43" s="114"/>
      <c r="V43" s="121"/>
      <c r="W43" s="122"/>
      <c r="X43" s="118"/>
      <c r="Y43" s="123"/>
      <c r="Z43" s="112"/>
      <c r="AA43" s="124"/>
    </row>
    <row r="44" spans="2:27" ht="48" customHeight="1" thickBot="1">
      <c r="B44" s="17" t="s">
        <v>1</v>
      </c>
      <c r="C44" s="18" t="s">
        <v>2</v>
      </c>
      <c r="D44" s="18" t="s">
        <v>3</v>
      </c>
      <c r="E44" s="18" t="s">
        <v>4</v>
      </c>
      <c r="F44" s="19" t="s">
        <v>5</v>
      </c>
      <c r="G44" s="20" t="s">
        <v>6</v>
      </c>
      <c r="H44" s="18" t="s">
        <v>7</v>
      </c>
      <c r="I44" s="18" t="s">
        <v>8</v>
      </c>
      <c r="J44" s="18" t="s">
        <v>9</v>
      </c>
      <c r="K44" s="18" t="s">
        <v>10</v>
      </c>
      <c r="L44" s="18" t="s">
        <v>11</v>
      </c>
      <c r="M44" s="18" t="s">
        <v>12</v>
      </c>
      <c r="N44" s="18" t="s">
        <v>13</v>
      </c>
      <c r="O44" s="18" t="s">
        <v>14</v>
      </c>
      <c r="P44" s="18" t="s">
        <v>15</v>
      </c>
      <c r="Q44" s="18" t="s">
        <v>16</v>
      </c>
      <c r="R44" s="18" t="s">
        <v>17</v>
      </c>
      <c r="S44" s="21" t="s">
        <v>18</v>
      </c>
      <c r="T44" s="18" t="s">
        <v>19</v>
      </c>
      <c r="U44" s="18" t="s">
        <v>20</v>
      </c>
      <c r="V44" s="18" t="s">
        <v>21</v>
      </c>
      <c r="W44" s="18" t="s">
        <v>22</v>
      </c>
      <c r="X44" s="18" t="s">
        <v>23</v>
      </c>
      <c r="Y44" s="18" t="s">
        <v>24</v>
      </c>
      <c r="Z44" s="18" t="s">
        <v>25</v>
      </c>
      <c r="AA44" s="22" t="s">
        <v>26</v>
      </c>
    </row>
    <row r="45" spans="2:27" ht="21" customHeight="1">
      <c r="B45" s="23">
        <f>B39+1</f>
        <v>36</v>
      </c>
      <c r="C45" s="15" t="s">
        <v>328</v>
      </c>
      <c r="D45" s="32" t="s">
        <v>329</v>
      </c>
      <c r="E45" s="14">
        <v>41698</v>
      </c>
      <c r="F45" s="25" t="s">
        <v>330</v>
      </c>
      <c r="G45" s="13" t="s">
        <v>222</v>
      </c>
      <c r="H45" s="13" t="s">
        <v>42</v>
      </c>
      <c r="I45" s="13" t="s">
        <v>43</v>
      </c>
      <c r="J45" s="26">
        <v>801.22</v>
      </c>
      <c r="K45" s="14">
        <v>41698</v>
      </c>
      <c r="L45" s="15" t="s">
        <v>331</v>
      </c>
      <c r="M45" s="15" t="s">
        <v>44</v>
      </c>
      <c r="N45" s="15" t="s">
        <v>69</v>
      </c>
      <c r="O45" s="15" t="s">
        <v>332</v>
      </c>
      <c r="P45" s="46">
        <v>899814</v>
      </c>
      <c r="Q45" s="27">
        <f t="shared" si="0"/>
        <v>100105207.31400001</v>
      </c>
      <c r="R45" s="28" t="s">
        <v>32</v>
      </c>
      <c r="S45" s="38">
        <v>111.251</v>
      </c>
      <c r="T45" s="29">
        <f t="shared" si="7"/>
        <v>41787</v>
      </c>
      <c r="U45" s="13" t="s">
        <v>222</v>
      </c>
      <c r="V45" s="44">
        <f t="shared" si="10"/>
        <v>120126.2487768</v>
      </c>
      <c r="W45" s="24">
        <v>155.75</v>
      </c>
      <c r="X45" s="43">
        <f t="shared" si="11"/>
        <v>18709663.246986602</v>
      </c>
      <c r="Y45" s="33">
        <f t="shared" ref="Y45" si="14">X45</f>
        <v>18709663.246986602</v>
      </c>
      <c r="Z45" s="24"/>
      <c r="AA45" s="24"/>
    </row>
    <row r="46" spans="2:27" s="2" customFormat="1" ht="21.75" customHeight="1">
      <c r="B46" s="23">
        <f t="shared" si="6"/>
        <v>37</v>
      </c>
      <c r="C46" s="15" t="s">
        <v>381</v>
      </c>
      <c r="D46" s="32" t="s">
        <v>66</v>
      </c>
      <c r="E46" s="14"/>
      <c r="F46" s="39" t="s">
        <v>359</v>
      </c>
      <c r="G46" s="15" t="s">
        <v>95</v>
      </c>
      <c r="H46" s="15" t="s">
        <v>28</v>
      </c>
      <c r="I46" s="15" t="s">
        <v>105</v>
      </c>
      <c r="J46" s="26">
        <v>801.22</v>
      </c>
      <c r="K46" s="14">
        <v>41703</v>
      </c>
      <c r="L46" s="15" t="s">
        <v>85</v>
      </c>
      <c r="M46" s="15" t="s">
        <v>47</v>
      </c>
      <c r="N46" s="15" t="s">
        <v>39</v>
      </c>
      <c r="O46" s="13" t="s">
        <v>40</v>
      </c>
      <c r="P46" s="16">
        <v>180000</v>
      </c>
      <c r="Q46" s="27">
        <f t="shared" si="0"/>
        <v>19922400</v>
      </c>
      <c r="R46" s="28" t="s">
        <v>32</v>
      </c>
      <c r="S46" s="8">
        <v>110.68</v>
      </c>
      <c r="T46" s="29">
        <f t="shared" si="7"/>
        <v>41792</v>
      </c>
      <c r="U46" s="15" t="s">
        <v>27</v>
      </c>
      <c r="V46" s="44">
        <f t="shared" si="10"/>
        <v>23906.879999999997</v>
      </c>
      <c r="W46" s="24">
        <v>155.74</v>
      </c>
      <c r="X46" s="43">
        <f t="shared" si="11"/>
        <v>3723257.4911999996</v>
      </c>
      <c r="Y46" s="31">
        <v>0</v>
      </c>
      <c r="Z46" s="24"/>
      <c r="AA46" s="24"/>
    </row>
    <row r="47" spans="2:27" ht="21.75" customHeight="1">
      <c r="B47" s="23">
        <f t="shared" si="6"/>
        <v>38</v>
      </c>
      <c r="C47" s="15" t="s">
        <v>382</v>
      </c>
      <c r="D47" s="32" t="s">
        <v>66</v>
      </c>
      <c r="E47" s="14"/>
      <c r="F47" s="39" t="s">
        <v>360</v>
      </c>
      <c r="G47" s="15" t="s">
        <v>123</v>
      </c>
      <c r="H47" s="15" t="s">
        <v>62</v>
      </c>
      <c r="I47" s="15" t="s">
        <v>105</v>
      </c>
      <c r="J47" s="26">
        <v>801.22</v>
      </c>
      <c r="K47" s="34">
        <v>41703</v>
      </c>
      <c r="L47" s="41" t="s">
        <v>85</v>
      </c>
      <c r="M47" s="41" t="s">
        <v>47</v>
      </c>
      <c r="N47" s="15" t="s">
        <v>39</v>
      </c>
      <c r="O47" s="13" t="s">
        <v>40</v>
      </c>
      <c r="P47" s="47">
        <v>349000</v>
      </c>
      <c r="Q47" s="43">
        <f t="shared" si="0"/>
        <v>38627320</v>
      </c>
      <c r="R47" s="28" t="s">
        <v>32</v>
      </c>
      <c r="S47" s="8">
        <v>110.68</v>
      </c>
      <c r="T47" s="29">
        <f t="shared" si="7"/>
        <v>41792</v>
      </c>
      <c r="U47" s="13" t="s">
        <v>37</v>
      </c>
      <c r="V47" s="44">
        <f t="shared" si="10"/>
        <v>46352.783999999992</v>
      </c>
      <c r="W47" s="24">
        <v>155.74</v>
      </c>
      <c r="X47" s="43">
        <f t="shared" si="11"/>
        <v>7218982.5801599994</v>
      </c>
      <c r="Y47" s="31">
        <v>0</v>
      </c>
      <c r="Z47" s="24"/>
      <c r="AA47" s="24"/>
    </row>
    <row r="48" spans="2:27" ht="21.75" customHeight="1">
      <c r="B48" s="23">
        <f t="shared" si="6"/>
        <v>39</v>
      </c>
      <c r="C48" s="15" t="s">
        <v>383</v>
      </c>
      <c r="D48" s="32" t="s">
        <v>66</v>
      </c>
      <c r="E48" s="14"/>
      <c r="F48" s="39" t="s">
        <v>361</v>
      </c>
      <c r="G48" s="15" t="s">
        <v>95</v>
      </c>
      <c r="H48" s="15" t="s">
        <v>45</v>
      </c>
      <c r="I48" s="15" t="s">
        <v>105</v>
      </c>
      <c r="J48" s="26">
        <v>801.22</v>
      </c>
      <c r="K48" s="34">
        <v>41703</v>
      </c>
      <c r="L48" s="41" t="s">
        <v>85</v>
      </c>
      <c r="M48" s="41" t="s">
        <v>47</v>
      </c>
      <c r="N48" s="15" t="s">
        <v>39</v>
      </c>
      <c r="O48" s="13" t="s">
        <v>40</v>
      </c>
      <c r="P48" s="47">
        <v>80000</v>
      </c>
      <c r="Q48" s="43">
        <f t="shared" si="0"/>
        <v>8854400</v>
      </c>
      <c r="R48" s="28" t="s">
        <v>32</v>
      </c>
      <c r="S48" s="8">
        <v>110.68</v>
      </c>
      <c r="T48" s="29">
        <f t="shared" si="7"/>
        <v>41792</v>
      </c>
      <c r="U48" s="13" t="s">
        <v>37</v>
      </c>
      <c r="V48" s="44">
        <f t="shared" si="10"/>
        <v>10625.279999999999</v>
      </c>
      <c r="W48" s="24">
        <v>155.74</v>
      </c>
      <c r="X48" s="43">
        <f t="shared" si="11"/>
        <v>1654781.1072</v>
      </c>
      <c r="Y48" s="31">
        <v>0</v>
      </c>
      <c r="Z48" s="24"/>
      <c r="AA48" s="24"/>
    </row>
    <row r="49" spans="2:27" ht="21.75" customHeight="1">
      <c r="B49" s="23">
        <f t="shared" si="6"/>
        <v>40</v>
      </c>
      <c r="C49" s="15" t="s">
        <v>384</v>
      </c>
      <c r="D49" s="32" t="s">
        <v>66</v>
      </c>
      <c r="E49" s="14"/>
      <c r="F49" s="25" t="s">
        <v>362</v>
      </c>
      <c r="G49" s="15" t="s">
        <v>95</v>
      </c>
      <c r="H49" s="15" t="s">
        <v>51</v>
      </c>
      <c r="I49" s="15" t="s">
        <v>105</v>
      </c>
      <c r="J49" s="26">
        <v>801.22</v>
      </c>
      <c r="K49" s="14">
        <v>41703</v>
      </c>
      <c r="L49" s="15" t="s">
        <v>85</v>
      </c>
      <c r="M49" s="15" t="s">
        <v>47</v>
      </c>
      <c r="N49" s="15" t="s">
        <v>39</v>
      </c>
      <c r="O49" s="13" t="s">
        <v>40</v>
      </c>
      <c r="P49" s="16">
        <v>377938</v>
      </c>
      <c r="Q49" s="27">
        <f t="shared" si="0"/>
        <v>41830177.840000004</v>
      </c>
      <c r="R49" s="28" t="s">
        <v>32</v>
      </c>
      <c r="S49" s="7">
        <v>110.68</v>
      </c>
      <c r="T49" s="29">
        <f t="shared" si="7"/>
        <v>41792</v>
      </c>
      <c r="U49" s="13" t="s">
        <v>37</v>
      </c>
      <c r="V49" s="30">
        <f t="shared" si="10"/>
        <v>50196.213408000003</v>
      </c>
      <c r="W49" s="24">
        <v>155.74</v>
      </c>
      <c r="X49" s="27">
        <f t="shared" si="11"/>
        <v>7817558.2761619212</v>
      </c>
      <c r="Y49" s="31">
        <v>0</v>
      </c>
      <c r="Z49" s="24"/>
      <c r="AA49" s="24"/>
    </row>
    <row r="50" spans="2:27" ht="21.75" customHeight="1">
      <c r="B50" s="23">
        <f t="shared" si="6"/>
        <v>41</v>
      </c>
      <c r="C50" s="15" t="s">
        <v>389</v>
      </c>
      <c r="D50" s="32" t="s">
        <v>354</v>
      </c>
      <c r="E50" s="14">
        <v>41729</v>
      </c>
      <c r="F50" s="25" t="s">
        <v>363</v>
      </c>
      <c r="G50" s="15" t="s">
        <v>222</v>
      </c>
      <c r="H50" s="15" t="s">
        <v>42</v>
      </c>
      <c r="I50" s="15" t="s">
        <v>29</v>
      </c>
      <c r="J50" s="26">
        <v>801.22</v>
      </c>
      <c r="K50" s="14">
        <v>41708</v>
      </c>
      <c r="L50" s="15" t="s">
        <v>374</v>
      </c>
      <c r="M50" s="15" t="s">
        <v>30</v>
      </c>
      <c r="N50" s="15" t="s">
        <v>36</v>
      </c>
      <c r="O50" s="13" t="s">
        <v>63</v>
      </c>
      <c r="P50" s="16">
        <v>400000</v>
      </c>
      <c r="Q50" s="27">
        <f t="shared" si="0"/>
        <v>43323600</v>
      </c>
      <c r="R50" s="28" t="s">
        <v>32</v>
      </c>
      <c r="S50" s="7">
        <v>108.309</v>
      </c>
      <c r="T50" s="29">
        <f t="shared" si="7"/>
        <v>41797</v>
      </c>
      <c r="U50" s="15" t="s">
        <v>222</v>
      </c>
      <c r="V50" s="30">
        <f t="shared" si="10"/>
        <v>51988.319999999992</v>
      </c>
      <c r="W50" s="24">
        <v>155.74</v>
      </c>
      <c r="X50" s="27">
        <f t="shared" si="11"/>
        <v>8096660.9567999989</v>
      </c>
      <c r="Y50" s="33">
        <f t="shared" ref="Y50:Y52" si="15">X50</f>
        <v>8096660.9567999989</v>
      </c>
      <c r="Z50" s="24"/>
      <c r="AA50" s="24"/>
    </row>
    <row r="51" spans="2:27" ht="21.75" customHeight="1">
      <c r="B51" s="23">
        <f t="shared" si="6"/>
        <v>42</v>
      </c>
      <c r="C51" s="15" t="s">
        <v>390</v>
      </c>
      <c r="D51" s="32" t="s">
        <v>355</v>
      </c>
      <c r="E51" s="14">
        <v>41729</v>
      </c>
      <c r="F51" s="25" t="s">
        <v>364</v>
      </c>
      <c r="G51" s="15" t="s">
        <v>222</v>
      </c>
      <c r="H51" s="15" t="s">
        <v>42</v>
      </c>
      <c r="I51" s="15" t="s">
        <v>29</v>
      </c>
      <c r="J51" s="26">
        <v>801.22</v>
      </c>
      <c r="K51" s="14">
        <v>41708</v>
      </c>
      <c r="L51" s="15" t="s">
        <v>374</v>
      </c>
      <c r="M51" s="15" t="s">
        <v>30</v>
      </c>
      <c r="N51" s="15" t="s">
        <v>36</v>
      </c>
      <c r="O51" s="13" t="s">
        <v>63</v>
      </c>
      <c r="P51" s="16">
        <v>548515</v>
      </c>
      <c r="Q51" s="27">
        <f t="shared" si="0"/>
        <v>59409111.134999998</v>
      </c>
      <c r="R51" s="28" t="s">
        <v>32</v>
      </c>
      <c r="S51" s="7">
        <v>108.309</v>
      </c>
      <c r="T51" s="29">
        <f t="shared" si="7"/>
        <v>41797</v>
      </c>
      <c r="U51" s="15" t="s">
        <v>222</v>
      </c>
      <c r="V51" s="30">
        <f t="shared" si="10"/>
        <v>71290.933361999996</v>
      </c>
      <c r="W51" s="24">
        <v>155.74</v>
      </c>
      <c r="X51" s="27">
        <f t="shared" si="11"/>
        <v>11102849.96179788</v>
      </c>
      <c r="Y51" s="33">
        <f t="shared" si="15"/>
        <v>11102849.96179788</v>
      </c>
      <c r="Z51" s="24"/>
      <c r="AA51" s="24"/>
    </row>
    <row r="52" spans="2:27" ht="21.75" customHeight="1">
      <c r="B52" s="23">
        <f t="shared" si="6"/>
        <v>43</v>
      </c>
      <c r="C52" s="15" t="s">
        <v>392</v>
      </c>
      <c r="D52" s="32" t="s">
        <v>356</v>
      </c>
      <c r="E52" s="14">
        <v>41729</v>
      </c>
      <c r="F52" s="12" t="s">
        <v>365</v>
      </c>
      <c r="G52" s="15" t="s">
        <v>222</v>
      </c>
      <c r="H52" s="15" t="s">
        <v>42</v>
      </c>
      <c r="I52" s="15" t="s">
        <v>34</v>
      </c>
      <c r="J52" s="26">
        <v>801.22</v>
      </c>
      <c r="K52" s="14">
        <v>41714</v>
      </c>
      <c r="L52" s="15" t="s">
        <v>96</v>
      </c>
      <c r="M52" s="15" t="s">
        <v>35</v>
      </c>
      <c r="N52" s="15" t="s">
        <v>69</v>
      </c>
      <c r="O52" s="13" t="s">
        <v>103</v>
      </c>
      <c r="P52" s="16">
        <v>950034</v>
      </c>
      <c r="Q52" s="27">
        <f t="shared" si="0"/>
        <v>103989771.60600001</v>
      </c>
      <c r="R52" s="28" t="s">
        <v>32</v>
      </c>
      <c r="S52" s="7">
        <v>109.459</v>
      </c>
      <c r="T52" s="29">
        <f t="shared" si="7"/>
        <v>41803</v>
      </c>
      <c r="U52" s="15" t="s">
        <v>222</v>
      </c>
      <c r="V52" s="30">
        <f t="shared" si="10"/>
        <v>124787.72592719999</v>
      </c>
      <c r="W52" s="24">
        <v>155.74</v>
      </c>
      <c r="X52" s="27">
        <f t="shared" si="11"/>
        <v>19434440.43590213</v>
      </c>
      <c r="Y52" s="33">
        <f t="shared" si="15"/>
        <v>19434440.43590213</v>
      </c>
      <c r="Z52" s="24"/>
      <c r="AA52" s="24"/>
    </row>
    <row r="53" spans="2:27" ht="30" customHeight="1">
      <c r="B53" s="23">
        <f t="shared" si="6"/>
        <v>44</v>
      </c>
      <c r="C53" s="15" t="s">
        <v>385</v>
      </c>
      <c r="D53" s="32" t="s">
        <v>66</v>
      </c>
      <c r="E53" s="14"/>
      <c r="F53" s="25" t="s">
        <v>366</v>
      </c>
      <c r="G53" s="15" t="s">
        <v>114</v>
      </c>
      <c r="H53" s="15" t="s">
        <v>115</v>
      </c>
      <c r="I53" s="15" t="s">
        <v>105</v>
      </c>
      <c r="J53" s="26">
        <v>801.22</v>
      </c>
      <c r="K53" s="14">
        <v>41717</v>
      </c>
      <c r="L53" s="15" t="s">
        <v>94</v>
      </c>
      <c r="M53" s="15" t="s">
        <v>47</v>
      </c>
      <c r="N53" s="15" t="s">
        <v>109</v>
      </c>
      <c r="O53" s="13" t="s">
        <v>378</v>
      </c>
      <c r="P53" s="16">
        <v>949583</v>
      </c>
      <c r="Q53" s="27">
        <f t="shared" ref="Q53:Q60" si="16">SUM(P53*S53)</f>
        <v>102586300.23900001</v>
      </c>
      <c r="R53" s="28" t="s">
        <v>32</v>
      </c>
      <c r="S53" s="7">
        <v>108.033</v>
      </c>
      <c r="T53" s="29">
        <f t="shared" si="7"/>
        <v>41806</v>
      </c>
      <c r="U53" s="15" t="s">
        <v>123</v>
      </c>
      <c r="V53" s="30">
        <f t="shared" si="10"/>
        <v>123103.5602868</v>
      </c>
      <c r="W53" s="24">
        <v>155.74</v>
      </c>
      <c r="X53" s="27">
        <f t="shared" si="11"/>
        <v>19172148.479066234</v>
      </c>
      <c r="Y53" s="31">
        <v>0</v>
      </c>
      <c r="Z53" s="24"/>
      <c r="AA53" s="24"/>
    </row>
    <row r="54" spans="2:27" ht="21.75" customHeight="1">
      <c r="B54" s="23">
        <f t="shared" si="6"/>
        <v>45</v>
      </c>
      <c r="C54" s="15" t="s">
        <v>393</v>
      </c>
      <c r="D54" s="32" t="s">
        <v>66</v>
      </c>
      <c r="E54" s="14"/>
      <c r="F54" s="25" t="s">
        <v>367</v>
      </c>
      <c r="G54" s="15" t="s">
        <v>114</v>
      </c>
      <c r="H54" s="15" t="s">
        <v>223</v>
      </c>
      <c r="I54" s="15" t="s">
        <v>120</v>
      </c>
      <c r="J54" s="26">
        <v>801.22</v>
      </c>
      <c r="K54" s="14">
        <v>41718</v>
      </c>
      <c r="L54" s="15" t="s">
        <v>375</v>
      </c>
      <c r="M54" s="15" t="s">
        <v>121</v>
      </c>
      <c r="N54" s="15" t="s">
        <v>71</v>
      </c>
      <c r="O54" s="13" t="s">
        <v>124</v>
      </c>
      <c r="P54" s="16">
        <v>629594</v>
      </c>
      <c r="Q54" s="27">
        <f t="shared" si="16"/>
        <v>64634120.039999999</v>
      </c>
      <c r="R54" s="28" t="s">
        <v>32</v>
      </c>
      <c r="S54" s="7">
        <v>102.66</v>
      </c>
      <c r="T54" s="29">
        <f t="shared" si="7"/>
        <v>41807</v>
      </c>
      <c r="U54" s="15" t="s">
        <v>123</v>
      </c>
      <c r="V54" s="30">
        <f t="shared" si="10"/>
        <v>77560.94404799999</v>
      </c>
      <c r="W54" s="24">
        <v>155.74</v>
      </c>
      <c r="X54" s="27">
        <f t="shared" si="11"/>
        <v>12079341.42603552</v>
      </c>
      <c r="Y54" s="31">
        <v>0</v>
      </c>
      <c r="Z54" s="24"/>
      <c r="AA54" s="24"/>
    </row>
    <row r="55" spans="2:27" ht="21.75" customHeight="1">
      <c r="B55" s="23">
        <f t="shared" si="6"/>
        <v>46</v>
      </c>
      <c r="C55" s="15" t="s">
        <v>394</v>
      </c>
      <c r="D55" s="32" t="s">
        <v>357</v>
      </c>
      <c r="E55" s="14">
        <v>41729</v>
      </c>
      <c r="F55" s="25" t="s">
        <v>368</v>
      </c>
      <c r="G55" s="15" t="s">
        <v>222</v>
      </c>
      <c r="H55" s="15" t="s">
        <v>42</v>
      </c>
      <c r="I55" s="15" t="s">
        <v>43</v>
      </c>
      <c r="J55" s="26">
        <v>801.22</v>
      </c>
      <c r="K55" s="14">
        <v>41719</v>
      </c>
      <c r="L55" s="15" t="s">
        <v>125</v>
      </c>
      <c r="M55" s="15" t="s">
        <v>44</v>
      </c>
      <c r="N55" s="15" t="s">
        <v>67</v>
      </c>
      <c r="O55" s="13" t="s">
        <v>379</v>
      </c>
      <c r="P55" s="16">
        <v>899927</v>
      </c>
      <c r="Q55" s="27">
        <f t="shared" si="16"/>
        <v>97662777.820999995</v>
      </c>
      <c r="R55" s="28" t="s">
        <v>32</v>
      </c>
      <c r="S55" s="38">
        <v>108.523</v>
      </c>
      <c r="T55" s="29">
        <f t="shared" si="7"/>
        <v>41808</v>
      </c>
      <c r="U55" s="15" t="s">
        <v>222</v>
      </c>
      <c r="V55" s="30">
        <f t="shared" si="10"/>
        <v>117195.33338519998</v>
      </c>
      <c r="W55" s="24">
        <v>155.74</v>
      </c>
      <c r="X55" s="27">
        <f t="shared" si="11"/>
        <v>18252001.221411046</v>
      </c>
      <c r="Y55" s="33">
        <f t="shared" ref="Y55" si="17">X55</f>
        <v>18252001.221411046</v>
      </c>
      <c r="Z55" s="24"/>
      <c r="AA55" s="24"/>
    </row>
    <row r="56" spans="2:27" ht="21.75" customHeight="1">
      <c r="B56" s="23">
        <f t="shared" si="6"/>
        <v>47</v>
      </c>
      <c r="C56" s="15" t="s">
        <v>391</v>
      </c>
      <c r="D56" s="32" t="s">
        <v>66</v>
      </c>
      <c r="E56" s="14"/>
      <c r="F56" s="25" t="s">
        <v>369</v>
      </c>
      <c r="G56" s="15" t="s">
        <v>95</v>
      </c>
      <c r="H56" s="15" t="s">
        <v>28</v>
      </c>
      <c r="I56" s="15" t="s">
        <v>29</v>
      </c>
      <c r="J56" s="26">
        <v>801.22</v>
      </c>
      <c r="K56" s="14">
        <v>41727</v>
      </c>
      <c r="L56" s="15" t="s">
        <v>70</v>
      </c>
      <c r="M56" s="15" t="s">
        <v>30</v>
      </c>
      <c r="N56" s="15" t="s">
        <v>91</v>
      </c>
      <c r="O56" s="13" t="s">
        <v>126</v>
      </c>
      <c r="P56" s="16">
        <v>947026</v>
      </c>
      <c r="Q56" s="27">
        <f t="shared" si="16"/>
        <v>100604466.03200001</v>
      </c>
      <c r="R56" s="28" t="s">
        <v>32</v>
      </c>
      <c r="S56" s="38">
        <v>106.232</v>
      </c>
      <c r="T56" s="29">
        <f t="shared" si="7"/>
        <v>41816</v>
      </c>
      <c r="U56" s="15" t="s">
        <v>27</v>
      </c>
      <c r="V56" s="30">
        <f t="shared" si="10"/>
        <v>120725.35923839999</v>
      </c>
      <c r="W56" s="24">
        <v>155.74</v>
      </c>
      <c r="X56" s="27">
        <f t="shared" si="11"/>
        <v>18801767.447788417</v>
      </c>
      <c r="Y56" s="31">
        <v>0</v>
      </c>
      <c r="Z56" s="24"/>
      <c r="AA56" s="24"/>
    </row>
    <row r="57" spans="2:27" ht="21.75" customHeight="1">
      <c r="B57" s="23">
        <f t="shared" si="6"/>
        <v>48</v>
      </c>
      <c r="C57" s="15" t="s">
        <v>395</v>
      </c>
      <c r="D57" s="32" t="s">
        <v>358</v>
      </c>
      <c r="E57" s="14">
        <v>41729</v>
      </c>
      <c r="F57" s="25" t="s">
        <v>370</v>
      </c>
      <c r="G57" s="15" t="s">
        <v>222</v>
      </c>
      <c r="H57" s="15" t="s">
        <v>42</v>
      </c>
      <c r="I57" s="15" t="s">
        <v>34</v>
      </c>
      <c r="J57" s="26">
        <v>801.22</v>
      </c>
      <c r="K57" s="14">
        <v>41729</v>
      </c>
      <c r="L57" s="15" t="s">
        <v>376</v>
      </c>
      <c r="M57" s="15" t="s">
        <v>35</v>
      </c>
      <c r="N57" s="15" t="s">
        <v>67</v>
      </c>
      <c r="O57" s="13" t="s">
        <v>84</v>
      </c>
      <c r="P57" s="16">
        <v>950149</v>
      </c>
      <c r="Q57" s="27">
        <f t="shared" si="16"/>
        <v>102156219.884</v>
      </c>
      <c r="R57" s="28" t="s">
        <v>32</v>
      </c>
      <c r="S57" s="38">
        <v>107.51600000000001</v>
      </c>
      <c r="T57" s="29">
        <f t="shared" si="7"/>
        <v>41818</v>
      </c>
      <c r="U57" s="15" t="s">
        <v>222</v>
      </c>
      <c r="V57" s="30">
        <f t="shared" si="10"/>
        <v>122587.4638608</v>
      </c>
      <c r="W57" s="24">
        <v>155.74</v>
      </c>
      <c r="X57" s="27">
        <f t="shared" si="11"/>
        <v>19091771.621680994</v>
      </c>
      <c r="Y57" s="33">
        <f t="shared" ref="Y57" si="18">X57</f>
        <v>19091771.621680994</v>
      </c>
      <c r="Z57" s="24"/>
      <c r="AA57" s="24"/>
    </row>
    <row r="58" spans="2:27" ht="21.75" customHeight="1">
      <c r="B58" s="23">
        <f t="shared" si="6"/>
        <v>49</v>
      </c>
      <c r="C58" s="15" t="s">
        <v>386</v>
      </c>
      <c r="D58" s="32" t="s">
        <v>66</v>
      </c>
      <c r="E58" s="14"/>
      <c r="F58" s="25" t="s">
        <v>371</v>
      </c>
      <c r="G58" s="15" t="s">
        <v>123</v>
      </c>
      <c r="H58" s="15" t="s">
        <v>62</v>
      </c>
      <c r="I58" s="15" t="s">
        <v>105</v>
      </c>
      <c r="J58" s="26">
        <v>801.22</v>
      </c>
      <c r="K58" s="14">
        <v>41729</v>
      </c>
      <c r="L58" s="15" t="s">
        <v>377</v>
      </c>
      <c r="M58" s="15" t="s">
        <v>47</v>
      </c>
      <c r="N58" s="15" t="s">
        <v>64</v>
      </c>
      <c r="O58" s="13" t="s">
        <v>380</v>
      </c>
      <c r="P58" s="16">
        <v>355000</v>
      </c>
      <c r="Q58" s="27">
        <f t="shared" si="16"/>
        <v>37972930</v>
      </c>
      <c r="R58" s="28" t="s">
        <v>32</v>
      </c>
      <c r="S58" s="38">
        <v>106.96599999999999</v>
      </c>
      <c r="T58" s="29">
        <f t="shared" si="7"/>
        <v>41818</v>
      </c>
      <c r="U58" s="15" t="s">
        <v>37</v>
      </c>
      <c r="V58" s="30">
        <f t="shared" si="10"/>
        <v>45567.515999999996</v>
      </c>
      <c r="W58" s="24">
        <v>155.74</v>
      </c>
      <c r="X58" s="27">
        <f t="shared" si="11"/>
        <v>7096684.9418399995</v>
      </c>
      <c r="Y58" s="31">
        <v>0</v>
      </c>
      <c r="Z58" s="24"/>
      <c r="AA58" s="24"/>
    </row>
    <row r="59" spans="2:27" ht="24.75" customHeight="1">
      <c r="B59" s="23">
        <f t="shared" si="6"/>
        <v>50</v>
      </c>
      <c r="C59" s="15" t="s">
        <v>387</v>
      </c>
      <c r="D59" s="32" t="s">
        <v>66</v>
      </c>
      <c r="E59" s="14"/>
      <c r="F59" s="25" t="s">
        <v>372</v>
      </c>
      <c r="G59" s="15" t="s">
        <v>95</v>
      </c>
      <c r="H59" s="15" t="s">
        <v>45</v>
      </c>
      <c r="I59" s="15" t="s">
        <v>105</v>
      </c>
      <c r="J59" s="26">
        <v>801.22</v>
      </c>
      <c r="K59" s="14">
        <v>41729</v>
      </c>
      <c r="L59" s="15" t="s">
        <v>377</v>
      </c>
      <c r="M59" s="15" t="s">
        <v>47</v>
      </c>
      <c r="N59" s="15" t="s">
        <v>64</v>
      </c>
      <c r="O59" s="13" t="s">
        <v>380</v>
      </c>
      <c r="P59" s="48">
        <v>90000</v>
      </c>
      <c r="Q59" s="27">
        <f t="shared" si="16"/>
        <v>9626940</v>
      </c>
      <c r="R59" s="28" t="s">
        <v>32</v>
      </c>
      <c r="S59" s="38">
        <v>106.96599999999999</v>
      </c>
      <c r="T59" s="29">
        <f t="shared" si="7"/>
        <v>41818</v>
      </c>
      <c r="U59" s="15" t="s">
        <v>37</v>
      </c>
      <c r="V59" s="30">
        <f t="shared" si="10"/>
        <v>11552.328</v>
      </c>
      <c r="W59" s="24">
        <v>155.74</v>
      </c>
      <c r="X59" s="27">
        <f t="shared" si="11"/>
        <v>1799159.56272</v>
      </c>
      <c r="Y59" s="31">
        <v>0</v>
      </c>
      <c r="Z59" s="24"/>
      <c r="AA59" s="24"/>
    </row>
    <row r="60" spans="2:27" ht="24.75" customHeight="1" thickBot="1">
      <c r="B60" s="23">
        <f t="shared" si="6"/>
        <v>51</v>
      </c>
      <c r="C60" s="15" t="s">
        <v>388</v>
      </c>
      <c r="D60" s="32" t="s">
        <v>66</v>
      </c>
      <c r="E60" s="14"/>
      <c r="F60" s="25" t="s">
        <v>373</v>
      </c>
      <c r="G60" s="15" t="s">
        <v>95</v>
      </c>
      <c r="H60" s="15" t="s">
        <v>51</v>
      </c>
      <c r="I60" s="15" t="s">
        <v>105</v>
      </c>
      <c r="J60" s="26">
        <v>801.22</v>
      </c>
      <c r="K60" s="14">
        <v>41729</v>
      </c>
      <c r="L60" s="15" t="s">
        <v>377</v>
      </c>
      <c r="M60" s="15" t="s">
        <v>47</v>
      </c>
      <c r="N60" s="15" t="s">
        <v>64</v>
      </c>
      <c r="O60" s="13" t="s">
        <v>380</v>
      </c>
      <c r="P60" s="49">
        <v>125030</v>
      </c>
      <c r="Q60" s="43">
        <f t="shared" si="16"/>
        <v>13373958.979999999</v>
      </c>
      <c r="R60" s="28" t="s">
        <v>32</v>
      </c>
      <c r="S60" s="38">
        <v>106.96599999999999</v>
      </c>
      <c r="T60" s="29">
        <f t="shared" si="7"/>
        <v>41818</v>
      </c>
      <c r="U60" s="15" t="s">
        <v>37</v>
      </c>
      <c r="V60" s="44">
        <f t="shared" si="10"/>
        <v>16048.750775999997</v>
      </c>
      <c r="W60" s="24">
        <v>155.74</v>
      </c>
      <c r="X60" s="43">
        <f t="shared" si="11"/>
        <v>2499432.4458542396</v>
      </c>
      <c r="Y60" s="50">
        <v>0</v>
      </c>
      <c r="Z60" s="24"/>
      <c r="AA60" s="24"/>
    </row>
    <row r="61" spans="2:27" ht="15.75" thickBot="1">
      <c r="B61" s="51"/>
      <c r="C61" s="52"/>
      <c r="D61" s="52"/>
      <c r="E61" s="52"/>
      <c r="F61" s="52"/>
      <c r="G61" s="52"/>
      <c r="H61" s="52"/>
      <c r="I61" s="52"/>
      <c r="J61" s="51"/>
      <c r="K61" s="53"/>
      <c r="L61" s="52"/>
      <c r="M61" s="52"/>
      <c r="N61" s="54"/>
      <c r="O61" s="55"/>
      <c r="P61" s="56">
        <f>SUM(P5:P60)</f>
        <v>23834702</v>
      </c>
      <c r="Q61" s="57">
        <f>SUM(Q5:Q60)</f>
        <v>2596481912.9155993</v>
      </c>
      <c r="R61" s="51"/>
      <c r="S61" s="58"/>
      <c r="T61" s="53"/>
      <c r="U61" s="52"/>
      <c r="V61" s="57">
        <f>SUM(V5:V60)</f>
        <v>3115778.295498719</v>
      </c>
      <c r="W61" s="51"/>
      <c r="X61" s="57">
        <f>SUM(X5:X60)</f>
        <v>485272334.63000262</v>
      </c>
      <c r="Y61" s="59">
        <f>SUM(Y5:Y60)</f>
        <v>300571137.7150619</v>
      </c>
      <c r="Z61" s="51"/>
      <c r="AA61" s="51"/>
    </row>
  </sheetData>
  <pageMargins left="0" right="0" top="0" bottom="0" header="0.31496062992125984" footer="0"/>
  <pageSetup paperSize="8" orientation="landscape" r:id="rId1"/>
  <ignoredErrors>
    <ignoredError sqref="F16:F31 F39 F5:F15 F53:F60 F46:F49" numberStoredAsText="1"/>
    <ignoredError sqref="T17:V17" formula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B2:AB71"/>
  <sheetViews>
    <sheetView workbookViewId="0">
      <selection activeCell="F60" sqref="F60"/>
    </sheetView>
  </sheetViews>
  <sheetFormatPr defaultRowHeight="15"/>
  <cols>
    <col min="1" max="1" width="4.85546875" style="51" customWidth="1"/>
    <col min="2" max="2" width="4.140625" style="51" customWidth="1"/>
    <col min="3" max="3" width="5.85546875" style="51" customWidth="1"/>
    <col min="4" max="4" width="7.42578125" style="52" customWidth="1"/>
    <col min="5" max="5" width="5.7109375" style="52" customWidth="1"/>
    <col min="6" max="6" width="11.42578125" style="52" customWidth="1"/>
    <col min="7" max="7" width="8.28515625" style="52" customWidth="1"/>
    <col min="8" max="8" width="7.140625" style="52" customWidth="1"/>
    <col min="9" max="9" width="7.5703125" style="52" customWidth="1"/>
    <col min="10" max="10" width="6" style="51" customWidth="1"/>
    <col min="11" max="11" width="6" style="53" customWidth="1"/>
    <col min="12" max="12" width="7.42578125" style="52" customWidth="1"/>
    <col min="13" max="13" width="6.140625" style="53" customWidth="1"/>
    <col min="14" max="14" width="7.42578125" style="54" customWidth="1"/>
    <col min="15" max="15" width="9.42578125" style="55" customWidth="1"/>
    <col min="16" max="16" width="8.5703125" style="51" customWidth="1"/>
    <col min="17" max="17" width="12.7109375" style="51" customWidth="1"/>
    <col min="18" max="18" width="6.28515625" style="51" customWidth="1"/>
    <col min="19" max="19" width="5.85546875" style="58" customWidth="1"/>
    <col min="20" max="20" width="6.28515625" style="53" customWidth="1"/>
    <col min="21" max="21" width="7.5703125" style="52" customWidth="1"/>
    <col min="22" max="22" width="9.85546875" style="51" customWidth="1"/>
    <col min="23" max="23" width="4.85546875" style="51" customWidth="1"/>
    <col min="24" max="24" width="11.28515625" style="51" customWidth="1"/>
    <col min="25" max="25" width="11.85546875" style="51" customWidth="1"/>
    <col min="26" max="26" width="6.28515625" style="51" customWidth="1"/>
    <col min="27" max="27" width="6.5703125" style="51" customWidth="1"/>
    <col min="28" max="16384" width="9.140625" style="51"/>
  </cols>
  <sheetData>
    <row r="2" spans="2:28" ht="15.75">
      <c r="L2" s="60" t="s">
        <v>0</v>
      </c>
    </row>
    <row r="3" spans="2:28" ht="23.25" customHeight="1" thickBot="1">
      <c r="L3" s="60" t="s">
        <v>398</v>
      </c>
      <c r="P3" s="61"/>
    </row>
    <row r="4" spans="2:28" s="52" customFormat="1" ht="42.6" customHeight="1" thickBot="1">
      <c r="B4" s="17" t="s">
        <v>1</v>
      </c>
      <c r="C4" s="18" t="s">
        <v>2</v>
      </c>
      <c r="D4" s="18" t="s">
        <v>3</v>
      </c>
      <c r="E4" s="18" t="s">
        <v>4</v>
      </c>
      <c r="F4" s="19" t="s">
        <v>5</v>
      </c>
      <c r="G4" s="20" t="s">
        <v>6</v>
      </c>
      <c r="H4" s="18" t="s">
        <v>7</v>
      </c>
      <c r="I4" s="18" t="s">
        <v>8</v>
      </c>
      <c r="J4" s="18" t="s">
        <v>9</v>
      </c>
      <c r="K4" s="18" t="s">
        <v>10</v>
      </c>
      <c r="L4" s="18" t="s">
        <v>11</v>
      </c>
      <c r="M4" s="18" t="s">
        <v>12</v>
      </c>
      <c r="N4" s="18" t="s">
        <v>13</v>
      </c>
      <c r="O4" s="18" t="s">
        <v>14</v>
      </c>
      <c r="P4" s="18" t="s">
        <v>15</v>
      </c>
      <c r="Q4" s="18" t="s">
        <v>16</v>
      </c>
      <c r="R4" s="18" t="s">
        <v>17</v>
      </c>
      <c r="S4" s="21" t="s">
        <v>18</v>
      </c>
      <c r="T4" s="18" t="s">
        <v>19</v>
      </c>
      <c r="U4" s="18" t="s">
        <v>20</v>
      </c>
      <c r="V4" s="18" t="s">
        <v>21</v>
      </c>
      <c r="W4" s="18" t="s">
        <v>22</v>
      </c>
      <c r="X4" s="18" t="s">
        <v>23</v>
      </c>
      <c r="Y4" s="18" t="s">
        <v>24</v>
      </c>
      <c r="Z4" s="18" t="s">
        <v>25</v>
      </c>
      <c r="AA4" s="22" t="s">
        <v>26</v>
      </c>
      <c r="AB4" s="22" t="s">
        <v>400</v>
      </c>
    </row>
    <row r="5" spans="2:28" ht="27.75" customHeight="1">
      <c r="B5" s="100">
        <v>1</v>
      </c>
      <c r="C5" s="41" t="s">
        <v>156</v>
      </c>
      <c r="D5" s="102" t="s">
        <v>193</v>
      </c>
      <c r="E5" s="34">
        <v>41655</v>
      </c>
      <c r="F5" s="39" t="s">
        <v>133</v>
      </c>
      <c r="G5" s="41" t="s">
        <v>95</v>
      </c>
      <c r="H5" s="41" t="s">
        <v>77</v>
      </c>
      <c r="I5" s="41" t="s">
        <v>29</v>
      </c>
      <c r="J5" s="103">
        <v>801.22</v>
      </c>
      <c r="K5" s="34">
        <v>41593</v>
      </c>
      <c r="L5" s="41" t="s">
        <v>136</v>
      </c>
      <c r="M5" s="41" t="s">
        <v>30</v>
      </c>
      <c r="N5" s="41" t="s">
        <v>72</v>
      </c>
      <c r="O5" s="102" t="s">
        <v>141</v>
      </c>
      <c r="P5" s="47">
        <v>947844</v>
      </c>
      <c r="Q5" s="104">
        <f t="shared" ref="Q5:Q7" si="0">SUM(P5*S5)</f>
        <v>104224926.23999999</v>
      </c>
      <c r="R5" s="105" t="s">
        <v>32</v>
      </c>
      <c r="S5" s="72">
        <v>109.96</v>
      </c>
      <c r="T5" s="101">
        <f t="shared" ref="T5:T6" si="1">SUM(K5)+89</f>
        <v>41682</v>
      </c>
      <c r="U5" s="106" t="s">
        <v>27</v>
      </c>
      <c r="V5" s="125">
        <f t="shared" ref="V5:V16" si="2">SUM(Q5*0.12%)</f>
        <v>125069.91148799998</v>
      </c>
      <c r="W5" s="106">
        <v>155.72</v>
      </c>
      <c r="X5" s="104">
        <f t="shared" ref="X5:X6" si="3">SUM(V5*W5)</f>
        <v>19475886.616911355</v>
      </c>
      <c r="Y5" s="107">
        <v>19475886.390000001</v>
      </c>
      <c r="Z5" s="101">
        <v>41647</v>
      </c>
      <c r="AA5" s="108">
        <v>1230</v>
      </c>
      <c r="AB5" s="126"/>
    </row>
    <row r="6" spans="2:28" ht="27.75" customHeight="1">
      <c r="B6" s="23">
        <f t="shared" ref="B6:B8" si="4">B5+1</f>
        <v>2</v>
      </c>
      <c r="C6" s="15" t="s">
        <v>156</v>
      </c>
      <c r="D6" s="13" t="s">
        <v>192</v>
      </c>
      <c r="E6" s="14">
        <v>41655</v>
      </c>
      <c r="F6" s="12">
        <v>201300020022</v>
      </c>
      <c r="G6" s="15" t="s">
        <v>95</v>
      </c>
      <c r="H6" s="15" t="s">
        <v>77</v>
      </c>
      <c r="I6" s="15" t="s">
        <v>29</v>
      </c>
      <c r="J6" s="26">
        <v>801.22</v>
      </c>
      <c r="K6" s="29">
        <v>41608</v>
      </c>
      <c r="L6" s="15" t="s">
        <v>138</v>
      </c>
      <c r="M6" s="24" t="s">
        <v>30</v>
      </c>
      <c r="N6" s="15" t="s">
        <v>91</v>
      </c>
      <c r="O6" s="13" t="s">
        <v>144</v>
      </c>
      <c r="P6" s="42">
        <v>947973</v>
      </c>
      <c r="Q6" s="43">
        <f t="shared" si="0"/>
        <v>107188255.083</v>
      </c>
      <c r="R6" s="28" t="s">
        <v>32</v>
      </c>
      <c r="S6" s="7">
        <v>113.071</v>
      </c>
      <c r="T6" s="29">
        <f t="shared" si="1"/>
        <v>41697</v>
      </c>
      <c r="U6" s="24" t="s">
        <v>27</v>
      </c>
      <c r="V6" s="44">
        <f t="shared" si="2"/>
        <v>128625.90609959999</v>
      </c>
      <c r="W6" s="24">
        <v>155.72</v>
      </c>
      <c r="X6" s="43">
        <f t="shared" si="3"/>
        <v>20029626.097829711</v>
      </c>
      <c r="Y6" s="63">
        <v>20029626.710000001</v>
      </c>
      <c r="Z6" s="29">
        <v>41647</v>
      </c>
      <c r="AA6" s="37">
        <v>1231</v>
      </c>
      <c r="AB6" s="62"/>
    </row>
    <row r="7" spans="2:28" ht="27.75" customHeight="1">
      <c r="B7" s="23">
        <f t="shared" si="4"/>
        <v>3</v>
      </c>
      <c r="C7" s="15" t="s">
        <v>188</v>
      </c>
      <c r="D7" s="32" t="s">
        <v>195</v>
      </c>
      <c r="E7" s="64">
        <v>41669</v>
      </c>
      <c r="F7" s="39" t="s">
        <v>194</v>
      </c>
      <c r="G7" s="15" t="s">
        <v>114</v>
      </c>
      <c r="H7" s="13" t="s">
        <v>119</v>
      </c>
      <c r="I7" s="13" t="s">
        <v>120</v>
      </c>
      <c r="J7" s="65">
        <v>801.22</v>
      </c>
      <c r="K7" s="32">
        <v>41626</v>
      </c>
      <c r="L7" s="13" t="s">
        <v>172</v>
      </c>
      <c r="M7" s="66" t="s">
        <v>121</v>
      </c>
      <c r="N7" s="13" t="s">
        <v>71</v>
      </c>
      <c r="O7" s="13" t="s">
        <v>124</v>
      </c>
      <c r="P7" s="67">
        <v>600250</v>
      </c>
      <c r="Q7" s="43">
        <f t="shared" si="0"/>
        <v>62822165</v>
      </c>
      <c r="R7" s="28" t="s">
        <v>32</v>
      </c>
      <c r="S7" s="38">
        <v>104.66</v>
      </c>
      <c r="T7" s="29">
        <f t="shared" ref="T7" si="5">SUM(K7)+89</f>
        <v>41715</v>
      </c>
      <c r="U7" s="15" t="s">
        <v>123</v>
      </c>
      <c r="V7" s="44">
        <f t="shared" si="2"/>
        <v>75386.597999999998</v>
      </c>
      <c r="W7" s="68">
        <v>155.69999999999999</v>
      </c>
      <c r="X7" s="43">
        <f t="shared" ref="X7" si="6">SUM(V7*W7)</f>
        <v>11737693.308599999</v>
      </c>
      <c r="Y7" s="63">
        <v>11739201.35</v>
      </c>
      <c r="Z7" s="29">
        <v>41652</v>
      </c>
      <c r="AA7" s="37">
        <v>3814</v>
      </c>
      <c r="AB7" s="62"/>
    </row>
    <row r="8" spans="2:28" ht="27.75" customHeight="1">
      <c r="B8" s="23">
        <f t="shared" si="4"/>
        <v>4</v>
      </c>
      <c r="C8" s="15" t="s">
        <v>127</v>
      </c>
      <c r="D8" s="14" t="s">
        <v>198</v>
      </c>
      <c r="E8" s="64">
        <v>41669</v>
      </c>
      <c r="F8" s="25" t="s">
        <v>158</v>
      </c>
      <c r="G8" s="36" t="s">
        <v>118</v>
      </c>
      <c r="H8" s="15" t="s">
        <v>33</v>
      </c>
      <c r="I8" s="15" t="s">
        <v>34</v>
      </c>
      <c r="J8" s="26">
        <v>801.22</v>
      </c>
      <c r="K8" s="14">
        <v>41554</v>
      </c>
      <c r="L8" s="15" t="s">
        <v>100</v>
      </c>
      <c r="M8" s="15" t="s">
        <v>35</v>
      </c>
      <c r="N8" s="15" t="s">
        <v>64</v>
      </c>
      <c r="O8" s="13" t="s">
        <v>65</v>
      </c>
      <c r="P8" s="67">
        <v>995611</v>
      </c>
      <c r="Q8" s="43">
        <f t="shared" ref="Q8" si="7">SUM(P8*S8)</f>
        <v>110516305.63850001</v>
      </c>
      <c r="R8" s="28" t="s">
        <v>32</v>
      </c>
      <c r="S8" s="7">
        <v>111.0035</v>
      </c>
      <c r="T8" s="29">
        <f>SUM(K8)+89</f>
        <v>41643</v>
      </c>
      <c r="U8" s="24" t="s">
        <v>37</v>
      </c>
      <c r="V8" s="44">
        <f>SUM(Q8*0.12%)</f>
        <v>132619.56676620001</v>
      </c>
      <c r="W8" s="68">
        <v>155.80000000000001</v>
      </c>
      <c r="X8" s="43">
        <f t="shared" ref="X8" si="8">SUM(V8*W8)</f>
        <v>20662128.502173964</v>
      </c>
      <c r="Y8" s="63">
        <v>20862052.5</v>
      </c>
      <c r="Z8" s="29">
        <v>41635</v>
      </c>
      <c r="AA8" s="37">
        <v>10971</v>
      </c>
      <c r="AB8" s="62"/>
    </row>
    <row r="9" spans="2:28" s="61" customFormat="1" ht="31.5" customHeight="1">
      <c r="B9" s="23">
        <f t="shared" ref="B9" si="9">B8+1</f>
        <v>5</v>
      </c>
      <c r="C9" s="83" t="s">
        <v>189</v>
      </c>
      <c r="D9" s="32" t="s">
        <v>199</v>
      </c>
      <c r="E9" s="34">
        <v>41670</v>
      </c>
      <c r="F9" s="39" t="s">
        <v>196</v>
      </c>
      <c r="G9" s="15" t="s">
        <v>114</v>
      </c>
      <c r="H9" s="15" t="s">
        <v>119</v>
      </c>
      <c r="I9" s="15" t="s">
        <v>120</v>
      </c>
      <c r="J9" s="26">
        <v>801.22</v>
      </c>
      <c r="K9" s="29">
        <v>41634</v>
      </c>
      <c r="L9" s="15" t="s">
        <v>104</v>
      </c>
      <c r="M9" s="24" t="s">
        <v>121</v>
      </c>
      <c r="N9" s="15" t="s">
        <v>36</v>
      </c>
      <c r="O9" s="13" t="s">
        <v>175</v>
      </c>
      <c r="P9" s="46">
        <v>349806</v>
      </c>
      <c r="Q9" s="27">
        <f t="shared" ref="Q9:Q10" si="10">SUM(P9*S9)</f>
        <v>37340741.082000002</v>
      </c>
      <c r="R9" s="28" t="s">
        <v>32</v>
      </c>
      <c r="S9" s="38">
        <v>106.747</v>
      </c>
      <c r="T9" s="29">
        <f t="shared" ref="T9:T10" si="11">SUM(K9)+89</f>
        <v>41723</v>
      </c>
      <c r="U9" s="15" t="s">
        <v>123</v>
      </c>
      <c r="V9" s="30">
        <f t="shared" si="2"/>
        <v>44808.889298399998</v>
      </c>
      <c r="W9" s="68">
        <v>155.69999999999999</v>
      </c>
      <c r="X9" s="27">
        <f t="shared" ref="X9:X10" si="12">SUM(V9*W9)</f>
        <v>6976744.0637608794</v>
      </c>
      <c r="Y9" s="33">
        <v>6978536.5300000003</v>
      </c>
      <c r="Z9" s="29">
        <v>41660</v>
      </c>
      <c r="AA9" s="35">
        <v>3828</v>
      </c>
      <c r="AB9" s="70"/>
    </row>
    <row r="10" spans="2:28" ht="33.75" customHeight="1">
      <c r="B10" s="23">
        <f t="shared" ref="B10:B18" si="13">B9+1</f>
        <v>6</v>
      </c>
      <c r="C10" s="15" t="s">
        <v>190</v>
      </c>
      <c r="D10" s="32" t="s">
        <v>200</v>
      </c>
      <c r="E10" s="34">
        <v>41670</v>
      </c>
      <c r="F10" s="39" t="s">
        <v>197</v>
      </c>
      <c r="G10" s="15" t="s">
        <v>114</v>
      </c>
      <c r="H10" s="15" t="s">
        <v>119</v>
      </c>
      <c r="I10" s="15" t="s">
        <v>120</v>
      </c>
      <c r="J10" s="26">
        <v>801.22</v>
      </c>
      <c r="K10" s="29">
        <v>41639</v>
      </c>
      <c r="L10" s="15" t="s">
        <v>104</v>
      </c>
      <c r="M10" s="24" t="s">
        <v>121</v>
      </c>
      <c r="N10" s="15" t="s">
        <v>36</v>
      </c>
      <c r="O10" s="13" t="s">
        <v>175</v>
      </c>
      <c r="P10" s="42">
        <v>183435</v>
      </c>
      <c r="Q10" s="43">
        <f t="shared" si="10"/>
        <v>19653409.335000001</v>
      </c>
      <c r="R10" s="28" t="s">
        <v>32</v>
      </c>
      <c r="S10" s="7">
        <v>107.14100000000001</v>
      </c>
      <c r="T10" s="29">
        <f t="shared" si="11"/>
        <v>41728</v>
      </c>
      <c r="U10" s="15" t="s">
        <v>123</v>
      </c>
      <c r="V10" s="44">
        <f t="shared" si="2"/>
        <v>23584.091202</v>
      </c>
      <c r="W10" s="68">
        <v>155.69999999999999</v>
      </c>
      <c r="X10" s="43">
        <f t="shared" si="12"/>
        <v>3672043.0001513995</v>
      </c>
      <c r="Y10" s="33">
        <v>3672986.36</v>
      </c>
      <c r="Z10" s="29">
        <v>41660</v>
      </c>
      <c r="AA10" s="35">
        <v>3828</v>
      </c>
      <c r="AB10" s="62"/>
    </row>
    <row r="11" spans="2:28" ht="27.75" customHeight="1">
      <c r="B11" s="23">
        <f t="shared" si="13"/>
        <v>7</v>
      </c>
      <c r="C11" s="15" t="s">
        <v>157</v>
      </c>
      <c r="D11" s="13" t="s">
        <v>202</v>
      </c>
      <c r="E11" s="34">
        <v>41670</v>
      </c>
      <c r="F11" s="39" t="s">
        <v>159</v>
      </c>
      <c r="G11" s="15" t="s">
        <v>123</v>
      </c>
      <c r="H11" s="15" t="s">
        <v>33</v>
      </c>
      <c r="I11" s="15" t="s">
        <v>34</v>
      </c>
      <c r="J11" s="26">
        <v>801.22</v>
      </c>
      <c r="K11" s="14">
        <v>41594</v>
      </c>
      <c r="L11" s="15" t="s">
        <v>137</v>
      </c>
      <c r="M11" s="15" t="s">
        <v>35</v>
      </c>
      <c r="N11" s="15" t="s">
        <v>67</v>
      </c>
      <c r="O11" s="13" t="s">
        <v>142</v>
      </c>
      <c r="P11" s="16">
        <v>950395</v>
      </c>
      <c r="Q11" s="27">
        <f t="shared" ref="Q11:Q16" si="14">SUM(P11*S11)</f>
        <v>103794823.8585</v>
      </c>
      <c r="R11" s="28" t="s">
        <v>32</v>
      </c>
      <c r="S11" s="38">
        <v>109.2123</v>
      </c>
      <c r="T11" s="29">
        <f t="shared" ref="T11" si="15">SUM(K11)+89</f>
        <v>41683</v>
      </c>
      <c r="U11" s="24" t="s">
        <v>37</v>
      </c>
      <c r="V11" s="30">
        <f t="shared" si="2"/>
        <v>124553.7886302</v>
      </c>
      <c r="W11" s="24">
        <v>155.72</v>
      </c>
      <c r="X11" s="27">
        <f t="shared" ref="X11" si="16">SUM(V11*W11)</f>
        <v>19395515.965494744</v>
      </c>
      <c r="Y11" s="33">
        <v>19599535.07</v>
      </c>
      <c r="Z11" s="29">
        <v>41670</v>
      </c>
      <c r="AA11" s="37">
        <v>10526</v>
      </c>
      <c r="AB11" s="62"/>
    </row>
    <row r="12" spans="2:28" ht="27.75" customHeight="1">
      <c r="B12" s="23">
        <f t="shared" si="13"/>
        <v>8</v>
      </c>
      <c r="C12" s="15" t="s">
        <v>244</v>
      </c>
      <c r="D12" s="32" t="s">
        <v>203</v>
      </c>
      <c r="E12" s="29">
        <v>41670</v>
      </c>
      <c r="F12" s="25" t="s">
        <v>209</v>
      </c>
      <c r="G12" s="15" t="s">
        <v>222</v>
      </c>
      <c r="H12" s="15" t="s">
        <v>42</v>
      </c>
      <c r="I12" s="15" t="s">
        <v>34</v>
      </c>
      <c r="J12" s="26">
        <v>801.22</v>
      </c>
      <c r="K12" s="14">
        <v>41650</v>
      </c>
      <c r="L12" s="15" t="s">
        <v>224</v>
      </c>
      <c r="M12" s="24" t="s">
        <v>35</v>
      </c>
      <c r="N12" s="15" t="s">
        <v>69</v>
      </c>
      <c r="O12" s="13" t="s">
        <v>233</v>
      </c>
      <c r="P12" s="16">
        <v>949520</v>
      </c>
      <c r="Q12" s="27">
        <f t="shared" si="14"/>
        <v>103951550.55999999</v>
      </c>
      <c r="R12" s="28" t="s">
        <v>32</v>
      </c>
      <c r="S12" s="7">
        <v>109.47799999999999</v>
      </c>
      <c r="T12" s="29">
        <f t="shared" ref="T12:T38" si="17">SUM(K12)+89</f>
        <v>41739</v>
      </c>
      <c r="U12" s="15" t="s">
        <v>222</v>
      </c>
      <c r="V12" s="30">
        <f t="shared" si="2"/>
        <v>124741.86067199998</v>
      </c>
      <c r="W12" s="24">
        <v>155.75</v>
      </c>
      <c r="X12" s="27">
        <f t="shared" ref="X12:X16" si="18">SUM(V12*W12)</f>
        <v>19428544.799663998</v>
      </c>
      <c r="Y12" s="33">
        <f t="shared" ref="Y12:Y14" si="19">X12</f>
        <v>19428544.799663998</v>
      </c>
      <c r="Z12" s="24"/>
      <c r="AA12" s="24"/>
      <c r="AB12" s="62"/>
    </row>
    <row r="13" spans="2:28" ht="27.75" customHeight="1">
      <c r="B13" s="23">
        <f t="shared" si="13"/>
        <v>9</v>
      </c>
      <c r="C13" s="15" t="s">
        <v>246</v>
      </c>
      <c r="D13" s="32" t="s">
        <v>204</v>
      </c>
      <c r="E13" s="29">
        <v>41670</v>
      </c>
      <c r="F13" s="25" t="s">
        <v>210</v>
      </c>
      <c r="G13" s="15" t="s">
        <v>222</v>
      </c>
      <c r="H13" s="15" t="s">
        <v>42</v>
      </c>
      <c r="I13" s="15" t="s">
        <v>29</v>
      </c>
      <c r="J13" s="26">
        <v>801.22</v>
      </c>
      <c r="K13" s="14">
        <v>41653</v>
      </c>
      <c r="L13" s="15" t="s">
        <v>101</v>
      </c>
      <c r="M13" s="15" t="s">
        <v>30</v>
      </c>
      <c r="N13" s="15" t="s">
        <v>230</v>
      </c>
      <c r="O13" s="13" t="s">
        <v>92</v>
      </c>
      <c r="P13" s="16">
        <v>548568</v>
      </c>
      <c r="Q13" s="27">
        <f t="shared" si="14"/>
        <v>59455994.112000003</v>
      </c>
      <c r="R13" s="28" t="s">
        <v>32</v>
      </c>
      <c r="S13" s="7">
        <v>108.384</v>
      </c>
      <c r="T13" s="29">
        <f t="shared" si="17"/>
        <v>41742</v>
      </c>
      <c r="U13" s="15" t="s">
        <v>222</v>
      </c>
      <c r="V13" s="30">
        <f t="shared" si="2"/>
        <v>71347.192934399995</v>
      </c>
      <c r="W13" s="24">
        <v>155.75</v>
      </c>
      <c r="X13" s="27">
        <f t="shared" si="18"/>
        <v>11112325.299532799</v>
      </c>
      <c r="Y13" s="33">
        <f t="shared" si="19"/>
        <v>11112325.299532799</v>
      </c>
      <c r="Z13" s="24"/>
      <c r="AA13" s="24"/>
      <c r="AB13" s="62"/>
    </row>
    <row r="14" spans="2:28" ht="27.75" customHeight="1">
      <c r="B14" s="23">
        <f t="shared" si="13"/>
        <v>10</v>
      </c>
      <c r="C14" s="15" t="s">
        <v>247</v>
      </c>
      <c r="D14" s="32" t="s">
        <v>205</v>
      </c>
      <c r="E14" s="29">
        <v>41670</v>
      </c>
      <c r="F14" s="25" t="s">
        <v>211</v>
      </c>
      <c r="G14" s="15" t="s">
        <v>222</v>
      </c>
      <c r="H14" s="15" t="s">
        <v>42</v>
      </c>
      <c r="I14" s="15" t="s">
        <v>29</v>
      </c>
      <c r="J14" s="26">
        <v>801.22</v>
      </c>
      <c r="K14" s="14">
        <v>41653</v>
      </c>
      <c r="L14" s="15" t="s">
        <v>101</v>
      </c>
      <c r="M14" s="15" t="s">
        <v>30</v>
      </c>
      <c r="N14" s="15" t="s">
        <v>230</v>
      </c>
      <c r="O14" s="13" t="s">
        <v>92</v>
      </c>
      <c r="P14" s="16">
        <v>400000</v>
      </c>
      <c r="Q14" s="27">
        <f t="shared" si="14"/>
        <v>43353600</v>
      </c>
      <c r="R14" s="28" t="s">
        <v>32</v>
      </c>
      <c r="S14" s="7">
        <v>108.384</v>
      </c>
      <c r="T14" s="29">
        <f t="shared" si="17"/>
        <v>41742</v>
      </c>
      <c r="U14" s="15" t="s">
        <v>222</v>
      </c>
      <c r="V14" s="30">
        <f t="shared" si="2"/>
        <v>52024.319999999992</v>
      </c>
      <c r="W14" s="24">
        <v>155.75</v>
      </c>
      <c r="X14" s="27">
        <f t="shared" si="18"/>
        <v>8102787.8399999989</v>
      </c>
      <c r="Y14" s="33">
        <f t="shared" si="19"/>
        <v>8102787.8399999989</v>
      </c>
      <c r="Z14" s="24"/>
      <c r="AA14" s="24"/>
      <c r="AB14" s="62"/>
    </row>
    <row r="15" spans="2:28" ht="27.75" customHeight="1">
      <c r="B15" s="23">
        <f t="shared" si="13"/>
        <v>11</v>
      </c>
      <c r="C15" s="15" t="s">
        <v>248</v>
      </c>
      <c r="D15" s="32" t="s">
        <v>206</v>
      </c>
      <c r="E15" s="29">
        <v>41670</v>
      </c>
      <c r="F15" s="25" t="s">
        <v>218</v>
      </c>
      <c r="G15" s="15" t="s">
        <v>222</v>
      </c>
      <c r="H15" s="15" t="s">
        <v>42</v>
      </c>
      <c r="I15" s="15" t="s">
        <v>43</v>
      </c>
      <c r="J15" s="26">
        <v>801.22</v>
      </c>
      <c r="K15" s="14">
        <v>41659</v>
      </c>
      <c r="L15" s="15" t="s">
        <v>226</v>
      </c>
      <c r="M15" s="15" t="s">
        <v>44</v>
      </c>
      <c r="N15" s="15" t="s">
        <v>71</v>
      </c>
      <c r="O15" s="13" t="s">
        <v>78</v>
      </c>
      <c r="P15" s="16">
        <v>899812</v>
      </c>
      <c r="Q15" s="27">
        <f t="shared" si="14"/>
        <v>100006005.492</v>
      </c>
      <c r="R15" s="28" t="s">
        <v>32</v>
      </c>
      <c r="S15" s="38">
        <v>111.14100000000001</v>
      </c>
      <c r="T15" s="29">
        <f t="shared" si="17"/>
        <v>41748</v>
      </c>
      <c r="U15" s="15" t="s">
        <v>222</v>
      </c>
      <c r="V15" s="30">
        <f t="shared" si="2"/>
        <v>120007.20659039999</v>
      </c>
      <c r="W15" s="24">
        <v>155.75</v>
      </c>
      <c r="X15" s="27">
        <f t="shared" si="18"/>
        <v>18691122.426454797</v>
      </c>
      <c r="Y15" s="33">
        <f>X15</f>
        <v>18691122.426454797</v>
      </c>
      <c r="Z15" s="24"/>
      <c r="AA15" s="24"/>
      <c r="AB15" s="62"/>
    </row>
    <row r="16" spans="2:28" ht="27.75" customHeight="1">
      <c r="B16" s="23">
        <f t="shared" si="13"/>
        <v>12</v>
      </c>
      <c r="C16" s="15" t="s">
        <v>243</v>
      </c>
      <c r="D16" s="32" t="s">
        <v>207</v>
      </c>
      <c r="E16" s="29">
        <v>41670</v>
      </c>
      <c r="F16" s="25" t="s">
        <v>220</v>
      </c>
      <c r="G16" s="15" t="s">
        <v>222</v>
      </c>
      <c r="H16" s="15" t="s">
        <v>42</v>
      </c>
      <c r="I16" s="15" t="s">
        <v>105</v>
      </c>
      <c r="J16" s="26">
        <v>801.22</v>
      </c>
      <c r="K16" s="14">
        <v>41667</v>
      </c>
      <c r="L16" s="15" t="s">
        <v>228</v>
      </c>
      <c r="M16" s="15" t="s">
        <v>47</v>
      </c>
      <c r="N16" s="15" t="s">
        <v>231</v>
      </c>
      <c r="O16" s="13" t="s">
        <v>234</v>
      </c>
      <c r="P16" s="16">
        <v>949725</v>
      </c>
      <c r="Q16" s="27">
        <f t="shared" si="14"/>
        <v>104909472.675</v>
      </c>
      <c r="R16" s="28" t="s">
        <v>32</v>
      </c>
      <c r="S16" s="38">
        <v>110.46299999999999</v>
      </c>
      <c r="T16" s="29">
        <f t="shared" si="17"/>
        <v>41756</v>
      </c>
      <c r="U16" s="15" t="s">
        <v>222</v>
      </c>
      <c r="V16" s="30">
        <f t="shared" si="2"/>
        <v>125891.36720999998</v>
      </c>
      <c r="W16" s="24">
        <v>155.75</v>
      </c>
      <c r="X16" s="27">
        <f t="shared" si="18"/>
        <v>19607580.442957498</v>
      </c>
      <c r="Y16" s="33">
        <f>X16</f>
        <v>19607580.442957498</v>
      </c>
      <c r="Z16" s="24"/>
      <c r="AA16" s="24"/>
      <c r="AB16" s="62"/>
    </row>
    <row r="17" spans="2:28" ht="27.75" customHeight="1">
      <c r="B17" s="23">
        <f t="shared" si="13"/>
        <v>13</v>
      </c>
      <c r="C17" s="15" t="s">
        <v>113</v>
      </c>
      <c r="D17" s="15" t="s">
        <v>254</v>
      </c>
      <c r="E17" s="34">
        <v>41688</v>
      </c>
      <c r="F17" s="71">
        <v>201300010143</v>
      </c>
      <c r="G17" s="15" t="s">
        <v>95</v>
      </c>
      <c r="H17" s="15" t="s">
        <v>45</v>
      </c>
      <c r="I17" s="15" t="s">
        <v>105</v>
      </c>
      <c r="J17" s="26">
        <v>801.22</v>
      </c>
      <c r="K17" s="14">
        <v>41402</v>
      </c>
      <c r="L17" s="15" t="s">
        <v>112</v>
      </c>
      <c r="M17" s="15" t="s">
        <v>47</v>
      </c>
      <c r="N17" s="15" t="s">
        <v>57</v>
      </c>
      <c r="O17" s="15" t="s">
        <v>61</v>
      </c>
      <c r="P17" s="16">
        <v>130000</v>
      </c>
      <c r="Q17" s="27">
        <f t="shared" ref="Q17" si="20">SUM(P17*S17)</f>
        <v>13713960</v>
      </c>
      <c r="R17" s="28" t="s">
        <v>32</v>
      </c>
      <c r="S17" s="72">
        <v>105.492</v>
      </c>
      <c r="T17" s="29">
        <f t="shared" si="17"/>
        <v>41491</v>
      </c>
      <c r="U17" s="36" t="s">
        <v>37</v>
      </c>
      <c r="V17" s="30">
        <f t="shared" ref="V17:V38" si="21">SUM(Q17*0.12%)</f>
        <v>16456.751999999997</v>
      </c>
      <c r="W17" s="24">
        <v>155.74</v>
      </c>
      <c r="X17" s="27">
        <f t="shared" ref="X17:X70" si="22">SUM(V17*W17)</f>
        <v>2562974.5564799998</v>
      </c>
      <c r="Y17" s="33">
        <v>2563138.81</v>
      </c>
      <c r="Z17" s="29">
        <v>41472</v>
      </c>
      <c r="AA17" s="37">
        <v>9205</v>
      </c>
      <c r="AB17" s="62"/>
    </row>
    <row r="18" spans="2:28" ht="27.75" customHeight="1">
      <c r="B18" s="23">
        <f t="shared" si="13"/>
        <v>14</v>
      </c>
      <c r="C18" s="15" t="s">
        <v>145</v>
      </c>
      <c r="D18" s="13" t="s">
        <v>255</v>
      </c>
      <c r="E18" s="34">
        <v>41688</v>
      </c>
      <c r="F18" s="25" t="s">
        <v>128</v>
      </c>
      <c r="G18" s="36" t="s">
        <v>38</v>
      </c>
      <c r="H18" s="15" t="s">
        <v>80</v>
      </c>
      <c r="I18" s="15" t="s">
        <v>105</v>
      </c>
      <c r="J18" s="26">
        <v>801.22</v>
      </c>
      <c r="K18" s="14">
        <v>41584</v>
      </c>
      <c r="L18" s="15" t="s">
        <v>135</v>
      </c>
      <c r="M18" s="15" t="s">
        <v>47</v>
      </c>
      <c r="N18" s="15" t="s">
        <v>139</v>
      </c>
      <c r="O18" s="13" t="s">
        <v>140</v>
      </c>
      <c r="P18" s="16">
        <v>28000</v>
      </c>
      <c r="Q18" s="27">
        <f t="shared" ref="Q18:Q39" si="23">SUM(P18*S18)</f>
        <v>3078348</v>
      </c>
      <c r="R18" s="28" t="s">
        <v>32</v>
      </c>
      <c r="S18" s="38">
        <v>109.941</v>
      </c>
      <c r="T18" s="29">
        <f t="shared" si="17"/>
        <v>41673</v>
      </c>
      <c r="U18" s="24" t="s">
        <v>38</v>
      </c>
      <c r="V18" s="30">
        <f t="shared" si="21"/>
        <v>3694.0175999999997</v>
      </c>
      <c r="W18" s="24">
        <v>155.72</v>
      </c>
      <c r="X18" s="27">
        <f t="shared" si="22"/>
        <v>575232.42067199992</v>
      </c>
      <c r="Y18" s="33">
        <v>575232.42000000004</v>
      </c>
      <c r="Z18" s="29">
        <v>41683</v>
      </c>
      <c r="AA18" s="37">
        <v>3574</v>
      </c>
      <c r="AB18" s="62"/>
    </row>
    <row r="19" spans="2:28" ht="27.75" customHeight="1">
      <c r="B19" s="23">
        <f t="shared" ref="B19:B47" si="24">B18+1</f>
        <v>15</v>
      </c>
      <c r="C19" s="15" t="s">
        <v>146</v>
      </c>
      <c r="D19" s="13" t="s">
        <v>256</v>
      </c>
      <c r="E19" s="34">
        <v>41688</v>
      </c>
      <c r="F19" s="25" t="s">
        <v>129</v>
      </c>
      <c r="G19" s="36" t="s">
        <v>38</v>
      </c>
      <c r="H19" s="15" t="s">
        <v>80</v>
      </c>
      <c r="I19" s="15" t="s">
        <v>105</v>
      </c>
      <c r="J19" s="26">
        <v>801.22</v>
      </c>
      <c r="K19" s="14">
        <v>41584</v>
      </c>
      <c r="L19" s="15" t="s">
        <v>135</v>
      </c>
      <c r="M19" s="15" t="s">
        <v>47</v>
      </c>
      <c r="N19" s="15" t="s">
        <v>139</v>
      </c>
      <c r="O19" s="13" t="s">
        <v>140</v>
      </c>
      <c r="P19" s="16">
        <v>75000</v>
      </c>
      <c r="Q19" s="27">
        <f t="shared" si="23"/>
        <v>8245575</v>
      </c>
      <c r="R19" s="28" t="s">
        <v>32</v>
      </c>
      <c r="S19" s="38">
        <v>109.941</v>
      </c>
      <c r="T19" s="29">
        <f t="shared" si="17"/>
        <v>41673</v>
      </c>
      <c r="U19" s="24" t="s">
        <v>38</v>
      </c>
      <c r="V19" s="30">
        <f t="shared" si="21"/>
        <v>9894.6899999999987</v>
      </c>
      <c r="W19" s="24">
        <v>155.72</v>
      </c>
      <c r="X19" s="27">
        <f t="shared" si="22"/>
        <v>1540801.1267999997</v>
      </c>
      <c r="Y19" s="33">
        <v>1540801.13</v>
      </c>
      <c r="Z19" s="29">
        <v>41683</v>
      </c>
      <c r="AA19" s="37">
        <v>3569</v>
      </c>
      <c r="AB19" s="62"/>
    </row>
    <row r="20" spans="2:28" ht="27.75" customHeight="1">
      <c r="B20" s="23">
        <f t="shared" si="24"/>
        <v>16</v>
      </c>
      <c r="C20" s="15" t="s">
        <v>147</v>
      </c>
      <c r="D20" s="13" t="s">
        <v>257</v>
      </c>
      <c r="E20" s="34">
        <v>41688</v>
      </c>
      <c r="F20" s="25" t="s">
        <v>130</v>
      </c>
      <c r="G20" s="36" t="s">
        <v>38</v>
      </c>
      <c r="H20" s="15" t="s">
        <v>80</v>
      </c>
      <c r="I20" s="15" t="s">
        <v>105</v>
      </c>
      <c r="J20" s="26">
        <v>801.22</v>
      </c>
      <c r="K20" s="14">
        <v>41584</v>
      </c>
      <c r="L20" s="15" t="s">
        <v>135</v>
      </c>
      <c r="M20" s="15" t="s">
        <v>47</v>
      </c>
      <c r="N20" s="15" t="s">
        <v>139</v>
      </c>
      <c r="O20" s="13" t="s">
        <v>140</v>
      </c>
      <c r="P20" s="16">
        <v>31000</v>
      </c>
      <c r="Q20" s="27">
        <f t="shared" si="23"/>
        <v>3408171</v>
      </c>
      <c r="R20" s="28" t="s">
        <v>32</v>
      </c>
      <c r="S20" s="38">
        <v>109.941</v>
      </c>
      <c r="T20" s="29">
        <f t="shared" si="17"/>
        <v>41673</v>
      </c>
      <c r="U20" s="24" t="s">
        <v>38</v>
      </c>
      <c r="V20" s="30">
        <f t="shared" si="21"/>
        <v>4089.8051999999998</v>
      </c>
      <c r="W20" s="24">
        <v>155.72</v>
      </c>
      <c r="X20" s="27">
        <f t="shared" si="22"/>
        <v>636864.46574399993</v>
      </c>
      <c r="Y20" s="33">
        <v>636864.47</v>
      </c>
      <c r="Z20" s="29">
        <v>41683</v>
      </c>
      <c r="AA20" s="37">
        <v>3570</v>
      </c>
      <c r="AB20" s="62"/>
    </row>
    <row r="21" spans="2:28" ht="27.75" customHeight="1">
      <c r="B21" s="23">
        <f t="shared" si="24"/>
        <v>17</v>
      </c>
      <c r="C21" s="15" t="s">
        <v>153</v>
      </c>
      <c r="D21" s="13" t="s">
        <v>258</v>
      </c>
      <c r="E21" s="34">
        <v>41688</v>
      </c>
      <c r="F21" s="71">
        <v>201301010043</v>
      </c>
      <c r="G21" s="36" t="s">
        <v>38</v>
      </c>
      <c r="H21" s="15" t="s">
        <v>80</v>
      </c>
      <c r="I21" s="15" t="s">
        <v>105</v>
      </c>
      <c r="J21" s="26">
        <v>801.22</v>
      </c>
      <c r="K21" s="29">
        <v>41594</v>
      </c>
      <c r="L21" s="15" t="s">
        <v>112</v>
      </c>
      <c r="M21" s="24" t="s">
        <v>47</v>
      </c>
      <c r="N21" s="15" t="s">
        <v>57</v>
      </c>
      <c r="O21" s="13" t="s">
        <v>143</v>
      </c>
      <c r="P21" s="46">
        <v>9000</v>
      </c>
      <c r="Q21" s="27">
        <f t="shared" si="23"/>
        <v>989469</v>
      </c>
      <c r="R21" s="28" t="s">
        <v>32</v>
      </c>
      <c r="S21" s="38">
        <v>109.941</v>
      </c>
      <c r="T21" s="29">
        <f t="shared" si="17"/>
        <v>41683</v>
      </c>
      <c r="U21" s="24" t="s">
        <v>38</v>
      </c>
      <c r="V21" s="30">
        <f t="shared" si="21"/>
        <v>1187.3627999999999</v>
      </c>
      <c r="W21" s="24">
        <v>155.72</v>
      </c>
      <c r="X21" s="27">
        <f t="shared" si="22"/>
        <v>184896.13521599997</v>
      </c>
      <c r="Y21" s="33">
        <v>184896.14</v>
      </c>
      <c r="Z21" s="29">
        <v>41683</v>
      </c>
      <c r="AA21" s="37">
        <v>3565</v>
      </c>
      <c r="AB21" s="62"/>
    </row>
    <row r="22" spans="2:28" ht="27.75" customHeight="1">
      <c r="B22" s="23">
        <f t="shared" si="24"/>
        <v>18</v>
      </c>
      <c r="C22" s="15" t="s">
        <v>154</v>
      </c>
      <c r="D22" s="13" t="s">
        <v>259</v>
      </c>
      <c r="E22" s="34">
        <v>41688</v>
      </c>
      <c r="F22" s="71">
        <v>201301010044</v>
      </c>
      <c r="G22" s="36" t="s">
        <v>38</v>
      </c>
      <c r="H22" s="15" t="s">
        <v>80</v>
      </c>
      <c r="I22" s="15" t="s">
        <v>105</v>
      </c>
      <c r="J22" s="26">
        <v>801.22</v>
      </c>
      <c r="K22" s="29">
        <v>41594</v>
      </c>
      <c r="L22" s="15" t="s">
        <v>112</v>
      </c>
      <c r="M22" s="24" t="s">
        <v>47</v>
      </c>
      <c r="N22" s="15" t="s">
        <v>57</v>
      </c>
      <c r="O22" s="13" t="s">
        <v>143</v>
      </c>
      <c r="P22" s="46">
        <v>19000</v>
      </c>
      <c r="Q22" s="27">
        <f t="shared" si="23"/>
        <v>2088879</v>
      </c>
      <c r="R22" s="28" t="s">
        <v>32</v>
      </c>
      <c r="S22" s="38">
        <v>109.941</v>
      </c>
      <c r="T22" s="29">
        <f t="shared" si="17"/>
        <v>41683</v>
      </c>
      <c r="U22" s="24" t="s">
        <v>38</v>
      </c>
      <c r="V22" s="30">
        <f t="shared" si="21"/>
        <v>2506.6547999999998</v>
      </c>
      <c r="W22" s="24">
        <v>155.72</v>
      </c>
      <c r="X22" s="27">
        <f t="shared" si="22"/>
        <v>390336.28545599995</v>
      </c>
      <c r="Y22" s="33">
        <v>390336.29</v>
      </c>
      <c r="Z22" s="29">
        <v>41683</v>
      </c>
      <c r="AA22" s="37">
        <v>3566</v>
      </c>
      <c r="AB22" s="62"/>
    </row>
    <row r="23" spans="2:28" ht="27.75" customHeight="1">
      <c r="B23" s="23">
        <f t="shared" si="24"/>
        <v>19</v>
      </c>
      <c r="C23" s="15" t="s">
        <v>155</v>
      </c>
      <c r="D23" s="13" t="s">
        <v>260</v>
      </c>
      <c r="E23" s="34">
        <v>41688</v>
      </c>
      <c r="F23" s="71">
        <v>201309030001</v>
      </c>
      <c r="G23" s="15" t="s">
        <v>134</v>
      </c>
      <c r="H23" s="15" t="s">
        <v>80</v>
      </c>
      <c r="I23" s="15" t="s">
        <v>105</v>
      </c>
      <c r="J23" s="26">
        <v>801.22</v>
      </c>
      <c r="K23" s="29">
        <v>41594</v>
      </c>
      <c r="L23" s="15" t="s">
        <v>112</v>
      </c>
      <c r="M23" s="24" t="s">
        <v>47</v>
      </c>
      <c r="N23" s="15" t="s">
        <v>57</v>
      </c>
      <c r="O23" s="13" t="s">
        <v>143</v>
      </c>
      <c r="P23" s="46">
        <v>53000</v>
      </c>
      <c r="Q23" s="27">
        <f t="shared" si="23"/>
        <v>5826873</v>
      </c>
      <c r="R23" s="28" t="s">
        <v>32</v>
      </c>
      <c r="S23" s="38">
        <v>109.941</v>
      </c>
      <c r="T23" s="29">
        <f t="shared" si="17"/>
        <v>41683</v>
      </c>
      <c r="U23" s="24" t="s">
        <v>38</v>
      </c>
      <c r="V23" s="30">
        <f t="shared" si="21"/>
        <v>6992.2475999999997</v>
      </c>
      <c r="W23" s="24">
        <v>155.72</v>
      </c>
      <c r="X23" s="27">
        <f t="shared" si="22"/>
        <v>1088832.7962719998</v>
      </c>
      <c r="Y23" s="33">
        <v>1088832.8</v>
      </c>
      <c r="Z23" s="29">
        <v>41683</v>
      </c>
      <c r="AA23" s="37">
        <v>3567</v>
      </c>
      <c r="AB23" s="62"/>
    </row>
    <row r="24" spans="2:28" ht="27.75" customHeight="1">
      <c r="B24" s="23">
        <f t="shared" si="24"/>
        <v>20</v>
      </c>
      <c r="C24" s="15" t="s">
        <v>149</v>
      </c>
      <c r="D24" s="13" t="s">
        <v>261</v>
      </c>
      <c r="E24" s="34">
        <v>41688</v>
      </c>
      <c r="F24" s="25" t="s">
        <v>131</v>
      </c>
      <c r="G24" s="15" t="s">
        <v>95</v>
      </c>
      <c r="H24" s="15" t="s">
        <v>51</v>
      </c>
      <c r="I24" s="15" t="s">
        <v>105</v>
      </c>
      <c r="J24" s="26">
        <v>801.22</v>
      </c>
      <c r="K24" s="14">
        <v>41584</v>
      </c>
      <c r="L24" s="15" t="s">
        <v>135</v>
      </c>
      <c r="M24" s="15" t="s">
        <v>47</v>
      </c>
      <c r="N24" s="15" t="s">
        <v>139</v>
      </c>
      <c r="O24" s="13" t="s">
        <v>140</v>
      </c>
      <c r="P24" s="16">
        <v>40652</v>
      </c>
      <c r="Q24" s="27">
        <f t="shared" si="23"/>
        <v>4440942.3708000006</v>
      </c>
      <c r="R24" s="28" t="s">
        <v>32</v>
      </c>
      <c r="S24" s="38">
        <v>109.24290000000001</v>
      </c>
      <c r="T24" s="29">
        <f t="shared" si="17"/>
        <v>41673</v>
      </c>
      <c r="U24" s="24" t="s">
        <v>37</v>
      </c>
      <c r="V24" s="30">
        <f t="shared" si="21"/>
        <v>5329.1308449600001</v>
      </c>
      <c r="W24" s="24">
        <v>155.72</v>
      </c>
      <c r="X24" s="27">
        <f t="shared" si="22"/>
        <v>829852.2551771712</v>
      </c>
      <c r="Y24" s="33">
        <v>824949.32</v>
      </c>
      <c r="Z24" s="29">
        <v>41677</v>
      </c>
      <c r="AA24" s="37">
        <v>9319</v>
      </c>
      <c r="AB24" s="62"/>
    </row>
    <row r="25" spans="2:28" ht="27.75" customHeight="1">
      <c r="B25" s="23">
        <f t="shared" si="24"/>
        <v>21</v>
      </c>
      <c r="C25" s="15" t="s">
        <v>150</v>
      </c>
      <c r="D25" s="13" t="s">
        <v>262</v>
      </c>
      <c r="E25" s="34">
        <v>41688</v>
      </c>
      <c r="F25" s="25" t="s">
        <v>132</v>
      </c>
      <c r="G25" s="15" t="s">
        <v>95</v>
      </c>
      <c r="H25" s="15" t="s">
        <v>45</v>
      </c>
      <c r="I25" s="15" t="s">
        <v>105</v>
      </c>
      <c r="J25" s="26">
        <v>801.22</v>
      </c>
      <c r="K25" s="14">
        <v>41584</v>
      </c>
      <c r="L25" s="15" t="s">
        <v>135</v>
      </c>
      <c r="M25" s="15" t="s">
        <v>47</v>
      </c>
      <c r="N25" s="15" t="s">
        <v>139</v>
      </c>
      <c r="O25" s="13" t="s">
        <v>140</v>
      </c>
      <c r="P25" s="16">
        <v>80000</v>
      </c>
      <c r="Q25" s="27">
        <f t="shared" si="23"/>
        <v>8821680</v>
      </c>
      <c r="R25" s="28" t="s">
        <v>32</v>
      </c>
      <c r="S25" s="38">
        <v>110.271</v>
      </c>
      <c r="T25" s="29">
        <f t="shared" si="17"/>
        <v>41673</v>
      </c>
      <c r="U25" s="24" t="s">
        <v>37</v>
      </c>
      <c r="V25" s="30">
        <f t="shared" si="21"/>
        <v>10586.016</v>
      </c>
      <c r="W25" s="24">
        <v>155.72</v>
      </c>
      <c r="X25" s="27">
        <f t="shared" si="22"/>
        <v>1648454.4115199998</v>
      </c>
      <c r="Y25" s="33">
        <v>1638715.9</v>
      </c>
      <c r="Z25" s="29">
        <v>41677</v>
      </c>
      <c r="AA25" s="37">
        <v>9322</v>
      </c>
      <c r="AB25" s="62"/>
    </row>
    <row r="26" spans="2:28" ht="27.75" customHeight="1">
      <c r="B26" s="23">
        <f t="shared" si="24"/>
        <v>22</v>
      </c>
      <c r="C26" s="15" t="s">
        <v>178</v>
      </c>
      <c r="D26" s="13" t="s">
        <v>263</v>
      </c>
      <c r="E26" s="34">
        <v>41688</v>
      </c>
      <c r="F26" s="25" t="s">
        <v>162</v>
      </c>
      <c r="G26" s="36" t="s">
        <v>38</v>
      </c>
      <c r="H26" s="15" t="s">
        <v>80</v>
      </c>
      <c r="I26" s="15" t="s">
        <v>105</v>
      </c>
      <c r="J26" s="26">
        <v>801.22</v>
      </c>
      <c r="K26" s="14">
        <v>41615</v>
      </c>
      <c r="L26" s="15" t="s">
        <v>169</v>
      </c>
      <c r="M26" s="15" t="s">
        <v>47</v>
      </c>
      <c r="N26" s="15" t="s">
        <v>64</v>
      </c>
      <c r="O26" s="13" t="s">
        <v>65</v>
      </c>
      <c r="P26" s="16">
        <v>42000</v>
      </c>
      <c r="Q26" s="27">
        <f t="shared" si="23"/>
        <v>4708452</v>
      </c>
      <c r="R26" s="28" t="s">
        <v>32</v>
      </c>
      <c r="S26" s="7">
        <v>112.10599999999999</v>
      </c>
      <c r="T26" s="29">
        <f t="shared" si="17"/>
        <v>41704</v>
      </c>
      <c r="U26" s="24" t="s">
        <v>38</v>
      </c>
      <c r="V26" s="30">
        <f t="shared" si="21"/>
        <v>5650.1423999999997</v>
      </c>
      <c r="W26" s="68">
        <v>155.69999999999999</v>
      </c>
      <c r="X26" s="27">
        <f t="shared" si="22"/>
        <v>879727.17167999991</v>
      </c>
      <c r="Y26" s="33">
        <v>879727.17</v>
      </c>
      <c r="Z26" s="29">
        <v>41683</v>
      </c>
      <c r="AA26" s="37">
        <v>3573</v>
      </c>
      <c r="AB26" s="62"/>
    </row>
    <row r="27" spans="2:28" ht="27.75" customHeight="1">
      <c r="B27" s="23">
        <f t="shared" si="24"/>
        <v>23</v>
      </c>
      <c r="C27" s="15" t="s">
        <v>179</v>
      </c>
      <c r="D27" s="13" t="s">
        <v>264</v>
      </c>
      <c r="E27" s="34">
        <v>41688</v>
      </c>
      <c r="F27" s="25" t="s">
        <v>163</v>
      </c>
      <c r="G27" s="36" t="s">
        <v>38</v>
      </c>
      <c r="H27" s="15" t="s">
        <v>80</v>
      </c>
      <c r="I27" s="15" t="s">
        <v>105</v>
      </c>
      <c r="J27" s="26">
        <v>801.22</v>
      </c>
      <c r="K27" s="14">
        <v>41615</v>
      </c>
      <c r="L27" s="15" t="s">
        <v>169</v>
      </c>
      <c r="M27" s="15" t="s">
        <v>47</v>
      </c>
      <c r="N27" s="15" t="s">
        <v>64</v>
      </c>
      <c r="O27" s="13" t="s">
        <v>65</v>
      </c>
      <c r="P27" s="16">
        <v>26000</v>
      </c>
      <c r="Q27" s="27">
        <f t="shared" si="23"/>
        <v>2914756</v>
      </c>
      <c r="R27" s="28" t="s">
        <v>32</v>
      </c>
      <c r="S27" s="7">
        <v>112.10599999999999</v>
      </c>
      <c r="T27" s="29">
        <f t="shared" si="17"/>
        <v>41704</v>
      </c>
      <c r="U27" s="24" t="s">
        <v>38</v>
      </c>
      <c r="V27" s="30">
        <f t="shared" si="21"/>
        <v>3497.7071999999998</v>
      </c>
      <c r="W27" s="68">
        <v>155.69999999999999</v>
      </c>
      <c r="X27" s="27">
        <f t="shared" si="22"/>
        <v>544593.0110399999</v>
      </c>
      <c r="Y27" s="33">
        <v>544593.01</v>
      </c>
      <c r="Z27" s="29">
        <v>41683</v>
      </c>
      <c r="AA27" s="37">
        <v>3572</v>
      </c>
      <c r="AB27" s="62"/>
    </row>
    <row r="28" spans="2:28" ht="27.75" customHeight="1">
      <c r="B28" s="23">
        <f t="shared" si="24"/>
        <v>24</v>
      </c>
      <c r="C28" s="15" t="s">
        <v>180</v>
      </c>
      <c r="D28" s="13" t="s">
        <v>265</v>
      </c>
      <c r="E28" s="34">
        <v>41688</v>
      </c>
      <c r="F28" s="25" t="s">
        <v>164</v>
      </c>
      <c r="G28" s="15" t="s">
        <v>134</v>
      </c>
      <c r="H28" s="15" t="s">
        <v>80</v>
      </c>
      <c r="I28" s="15" t="s">
        <v>105</v>
      </c>
      <c r="J28" s="26">
        <v>801.22</v>
      </c>
      <c r="K28" s="14">
        <v>41615</v>
      </c>
      <c r="L28" s="15" t="s">
        <v>169</v>
      </c>
      <c r="M28" s="15" t="s">
        <v>47</v>
      </c>
      <c r="N28" s="15" t="s">
        <v>64</v>
      </c>
      <c r="O28" s="13" t="s">
        <v>65</v>
      </c>
      <c r="P28" s="16">
        <v>84000</v>
      </c>
      <c r="Q28" s="27">
        <f t="shared" si="23"/>
        <v>9416904</v>
      </c>
      <c r="R28" s="28" t="s">
        <v>32</v>
      </c>
      <c r="S28" s="7">
        <v>112.10599999999999</v>
      </c>
      <c r="T28" s="29">
        <f t="shared" si="17"/>
        <v>41704</v>
      </c>
      <c r="U28" s="24" t="s">
        <v>38</v>
      </c>
      <c r="V28" s="30">
        <f t="shared" si="21"/>
        <v>11300.284799999999</v>
      </c>
      <c r="W28" s="68">
        <v>155.69999999999999</v>
      </c>
      <c r="X28" s="27">
        <f t="shared" si="22"/>
        <v>1759454.3433599998</v>
      </c>
      <c r="Y28" s="33">
        <v>1759454.34</v>
      </c>
      <c r="Z28" s="29">
        <v>41683</v>
      </c>
      <c r="AA28" s="37">
        <v>3571</v>
      </c>
      <c r="AB28" s="62"/>
    </row>
    <row r="29" spans="2:28" s="74" customFormat="1" ht="27.75" customHeight="1">
      <c r="B29" s="23">
        <f t="shared" si="24"/>
        <v>25</v>
      </c>
      <c r="C29" s="15" t="s">
        <v>176</v>
      </c>
      <c r="D29" s="13" t="s">
        <v>266</v>
      </c>
      <c r="E29" s="34">
        <v>41688</v>
      </c>
      <c r="F29" s="25" t="s">
        <v>160</v>
      </c>
      <c r="G29" s="15" t="s">
        <v>95</v>
      </c>
      <c r="H29" s="15" t="s">
        <v>51</v>
      </c>
      <c r="I29" s="15" t="s">
        <v>105</v>
      </c>
      <c r="J29" s="26">
        <v>801.22</v>
      </c>
      <c r="K29" s="14">
        <v>41615</v>
      </c>
      <c r="L29" s="15" t="s">
        <v>169</v>
      </c>
      <c r="M29" s="15" t="s">
        <v>47</v>
      </c>
      <c r="N29" s="15" t="s">
        <v>64</v>
      </c>
      <c r="O29" s="13" t="s">
        <v>65</v>
      </c>
      <c r="P29" s="16">
        <v>50000</v>
      </c>
      <c r="Q29" s="27">
        <f t="shared" si="23"/>
        <v>5600150</v>
      </c>
      <c r="R29" s="28" t="s">
        <v>32</v>
      </c>
      <c r="S29" s="8">
        <v>112.003</v>
      </c>
      <c r="T29" s="29">
        <f t="shared" si="17"/>
        <v>41704</v>
      </c>
      <c r="U29" s="24" t="s">
        <v>37</v>
      </c>
      <c r="V29" s="30">
        <f t="shared" si="21"/>
        <v>6720.1799999999994</v>
      </c>
      <c r="W29" s="68">
        <v>155.69999999999999</v>
      </c>
      <c r="X29" s="27">
        <f t="shared" si="22"/>
        <v>1046332.0259999998</v>
      </c>
      <c r="Y29" s="33">
        <v>1039813.45</v>
      </c>
      <c r="Z29" s="29">
        <v>41677</v>
      </c>
      <c r="AA29" s="37">
        <v>9325</v>
      </c>
      <c r="AB29" s="73"/>
    </row>
    <row r="30" spans="2:28" ht="27.75" customHeight="1">
      <c r="B30" s="23">
        <f t="shared" si="24"/>
        <v>26</v>
      </c>
      <c r="C30" s="15" t="s">
        <v>177</v>
      </c>
      <c r="D30" s="13" t="s">
        <v>267</v>
      </c>
      <c r="E30" s="14">
        <v>41688</v>
      </c>
      <c r="F30" s="25" t="s">
        <v>161</v>
      </c>
      <c r="G30" s="15" t="s">
        <v>95</v>
      </c>
      <c r="H30" s="15" t="s">
        <v>51</v>
      </c>
      <c r="I30" s="15" t="s">
        <v>105</v>
      </c>
      <c r="J30" s="26">
        <v>801.22</v>
      </c>
      <c r="K30" s="14">
        <v>41615</v>
      </c>
      <c r="L30" s="15" t="s">
        <v>169</v>
      </c>
      <c r="M30" s="15" t="s">
        <v>47</v>
      </c>
      <c r="N30" s="15" t="s">
        <v>64</v>
      </c>
      <c r="O30" s="13" t="s">
        <v>65</v>
      </c>
      <c r="P30" s="16">
        <v>125698</v>
      </c>
      <c r="Q30" s="27">
        <f t="shared" si="23"/>
        <v>14078553.094000001</v>
      </c>
      <c r="R30" s="28" t="s">
        <v>32</v>
      </c>
      <c r="S30" s="7">
        <v>112.003</v>
      </c>
      <c r="T30" s="29">
        <f t="shared" si="17"/>
        <v>41704</v>
      </c>
      <c r="U30" s="24" t="s">
        <v>37</v>
      </c>
      <c r="V30" s="30">
        <f t="shared" si="21"/>
        <v>16894.263712799999</v>
      </c>
      <c r="W30" s="68">
        <v>155.69999999999999</v>
      </c>
      <c r="X30" s="27">
        <f t="shared" si="22"/>
        <v>2630436.8600829598</v>
      </c>
      <c r="Y30" s="33">
        <v>2614048.85</v>
      </c>
      <c r="Z30" s="29">
        <v>41677</v>
      </c>
      <c r="AA30" s="37">
        <v>9323</v>
      </c>
      <c r="AB30" s="62"/>
    </row>
    <row r="31" spans="2:28" ht="27.75" customHeight="1">
      <c r="B31" s="109"/>
      <c r="C31" s="110"/>
      <c r="D31" s="114"/>
      <c r="E31" s="116"/>
      <c r="F31" s="113"/>
      <c r="G31" s="110"/>
      <c r="H31" s="110"/>
      <c r="I31" s="110"/>
      <c r="J31" s="115"/>
      <c r="K31" s="116"/>
      <c r="L31" s="110"/>
      <c r="M31" s="110"/>
      <c r="N31" s="110"/>
      <c r="O31" s="114"/>
      <c r="P31" s="117"/>
      <c r="Q31" s="118"/>
      <c r="R31" s="119"/>
      <c r="S31" s="127"/>
      <c r="T31" s="112"/>
      <c r="U31" s="122"/>
      <c r="V31" s="121"/>
      <c r="W31" s="128"/>
      <c r="X31" s="118"/>
      <c r="Y31" s="123"/>
      <c r="Z31" s="112"/>
      <c r="AA31" s="124"/>
      <c r="AB31" s="95"/>
    </row>
    <row r="32" spans="2:28" ht="32.25" customHeight="1" thickBot="1">
      <c r="B32" s="109"/>
      <c r="C32" s="110"/>
      <c r="D32" s="114"/>
      <c r="E32" s="116"/>
      <c r="F32" s="113"/>
      <c r="G32" s="110"/>
      <c r="H32" s="110"/>
      <c r="I32" s="110"/>
      <c r="J32" s="115"/>
      <c r="K32" s="116"/>
      <c r="L32" s="110"/>
      <c r="M32" s="110"/>
      <c r="N32" s="110"/>
      <c r="O32" s="114"/>
      <c r="P32" s="117"/>
      <c r="Q32" s="118"/>
      <c r="R32" s="119"/>
      <c r="S32" s="127"/>
      <c r="T32" s="112"/>
      <c r="U32" s="122"/>
      <c r="V32" s="121"/>
      <c r="W32" s="128"/>
      <c r="X32" s="118"/>
      <c r="Y32" s="123"/>
      <c r="Z32" s="112"/>
      <c r="AA32" s="124"/>
      <c r="AB32" s="95"/>
    </row>
    <row r="33" spans="2:28" ht="51.75" customHeight="1" thickBot="1">
      <c r="B33" s="17" t="s">
        <v>1</v>
      </c>
      <c r="C33" s="18" t="s">
        <v>2</v>
      </c>
      <c r="D33" s="18" t="s">
        <v>3</v>
      </c>
      <c r="E33" s="18" t="s">
        <v>4</v>
      </c>
      <c r="F33" s="19" t="s">
        <v>5</v>
      </c>
      <c r="G33" s="20" t="s">
        <v>6</v>
      </c>
      <c r="H33" s="18" t="s">
        <v>7</v>
      </c>
      <c r="I33" s="18" t="s">
        <v>8</v>
      </c>
      <c r="J33" s="18" t="s">
        <v>9</v>
      </c>
      <c r="K33" s="18" t="s">
        <v>10</v>
      </c>
      <c r="L33" s="18" t="s">
        <v>11</v>
      </c>
      <c r="M33" s="18" t="s">
        <v>12</v>
      </c>
      <c r="N33" s="18" t="s">
        <v>13</v>
      </c>
      <c r="O33" s="18" t="s">
        <v>14</v>
      </c>
      <c r="P33" s="18" t="s">
        <v>15</v>
      </c>
      <c r="Q33" s="18" t="s">
        <v>16</v>
      </c>
      <c r="R33" s="18" t="s">
        <v>17</v>
      </c>
      <c r="S33" s="21" t="s">
        <v>18</v>
      </c>
      <c r="T33" s="18" t="s">
        <v>19</v>
      </c>
      <c r="U33" s="18" t="s">
        <v>20</v>
      </c>
      <c r="V33" s="18" t="s">
        <v>21</v>
      </c>
      <c r="W33" s="18" t="s">
        <v>22</v>
      </c>
      <c r="X33" s="18" t="s">
        <v>23</v>
      </c>
      <c r="Y33" s="18" t="s">
        <v>24</v>
      </c>
      <c r="Z33" s="18" t="s">
        <v>25</v>
      </c>
      <c r="AA33" s="22" t="s">
        <v>26</v>
      </c>
      <c r="AB33" s="22" t="s">
        <v>400</v>
      </c>
    </row>
    <row r="34" spans="2:28" ht="27.75" customHeight="1">
      <c r="B34" s="23">
        <f>B30+1</f>
        <v>27</v>
      </c>
      <c r="C34" s="15" t="s">
        <v>186</v>
      </c>
      <c r="D34" s="13" t="s">
        <v>268</v>
      </c>
      <c r="E34" s="34">
        <v>41688</v>
      </c>
      <c r="F34" s="25" t="s">
        <v>165</v>
      </c>
      <c r="G34" s="15" t="s">
        <v>95</v>
      </c>
      <c r="H34" s="15" t="s">
        <v>45</v>
      </c>
      <c r="I34" s="15" t="s">
        <v>43</v>
      </c>
      <c r="J34" s="26">
        <v>801.22</v>
      </c>
      <c r="K34" s="14">
        <v>41619</v>
      </c>
      <c r="L34" s="15" t="s">
        <v>170</v>
      </c>
      <c r="M34" s="15" t="s">
        <v>44</v>
      </c>
      <c r="N34" s="15" t="s">
        <v>67</v>
      </c>
      <c r="O34" s="13" t="s">
        <v>84</v>
      </c>
      <c r="P34" s="16">
        <v>799862</v>
      </c>
      <c r="Q34" s="27">
        <f t="shared" si="23"/>
        <v>89111025.695999995</v>
      </c>
      <c r="R34" s="28" t="s">
        <v>32</v>
      </c>
      <c r="S34" s="38">
        <v>111.408</v>
      </c>
      <c r="T34" s="29">
        <f t="shared" si="17"/>
        <v>41708</v>
      </c>
      <c r="U34" s="24" t="s">
        <v>37</v>
      </c>
      <c r="V34" s="30">
        <f t="shared" si="21"/>
        <v>106933.23083519998</v>
      </c>
      <c r="W34" s="68">
        <v>155.69999999999999</v>
      </c>
      <c r="X34" s="27">
        <f t="shared" si="22"/>
        <v>16649504.041040637</v>
      </c>
      <c r="Y34" s="33">
        <v>16545778.68</v>
      </c>
      <c r="Z34" s="29">
        <v>41677</v>
      </c>
      <c r="AA34" s="37">
        <v>9331</v>
      </c>
      <c r="AB34" s="62"/>
    </row>
    <row r="35" spans="2:28" ht="27.75" customHeight="1">
      <c r="B35" s="23">
        <f t="shared" si="24"/>
        <v>28</v>
      </c>
      <c r="C35" s="15" t="s">
        <v>182</v>
      </c>
      <c r="D35" s="13" t="s">
        <v>269</v>
      </c>
      <c r="E35" s="34">
        <v>41688</v>
      </c>
      <c r="F35" s="25" t="s">
        <v>166</v>
      </c>
      <c r="G35" s="15" t="s">
        <v>95</v>
      </c>
      <c r="H35" s="15" t="s">
        <v>51</v>
      </c>
      <c r="I35" s="15" t="s">
        <v>105</v>
      </c>
      <c r="J35" s="26">
        <v>801.22</v>
      </c>
      <c r="K35" s="14">
        <v>41628</v>
      </c>
      <c r="L35" s="15" t="s">
        <v>173</v>
      </c>
      <c r="M35" s="15" t="s">
        <v>47</v>
      </c>
      <c r="N35" s="15" t="s">
        <v>109</v>
      </c>
      <c r="O35" s="13" t="s">
        <v>82</v>
      </c>
      <c r="P35" s="16">
        <v>100000</v>
      </c>
      <c r="Q35" s="27">
        <f t="shared" si="23"/>
        <v>11199550</v>
      </c>
      <c r="R35" s="28" t="s">
        <v>32</v>
      </c>
      <c r="S35" s="38">
        <v>111.99550000000001</v>
      </c>
      <c r="T35" s="29">
        <f t="shared" si="17"/>
        <v>41717</v>
      </c>
      <c r="U35" s="24" t="s">
        <v>37</v>
      </c>
      <c r="V35" s="30">
        <f t="shared" si="21"/>
        <v>13439.46</v>
      </c>
      <c r="W35" s="68">
        <v>155.69999999999999</v>
      </c>
      <c r="X35" s="27">
        <f t="shared" si="22"/>
        <v>2092523.9219999998</v>
      </c>
      <c r="Y35" s="33">
        <v>2079084.46</v>
      </c>
      <c r="Z35" s="29">
        <v>41677</v>
      </c>
      <c r="AA35" s="37">
        <v>9326</v>
      </c>
      <c r="AB35" s="62"/>
    </row>
    <row r="36" spans="2:28" ht="27.75" customHeight="1">
      <c r="B36" s="23">
        <f t="shared" si="24"/>
        <v>29</v>
      </c>
      <c r="C36" s="15" t="s">
        <v>183</v>
      </c>
      <c r="D36" s="13" t="s">
        <v>270</v>
      </c>
      <c r="E36" s="34">
        <v>41688</v>
      </c>
      <c r="F36" s="25" t="s">
        <v>167</v>
      </c>
      <c r="G36" s="15" t="s">
        <v>95</v>
      </c>
      <c r="H36" s="15" t="s">
        <v>51</v>
      </c>
      <c r="I36" s="15" t="s">
        <v>105</v>
      </c>
      <c r="J36" s="26">
        <v>801.22</v>
      </c>
      <c r="K36" s="14">
        <v>41628</v>
      </c>
      <c r="L36" s="15" t="s">
        <v>173</v>
      </c>
      <c r="M36" s="15" t="s">
        <v>47</v>
      </c>
      <c r="N36" s="15" t="s">
        <v>109</v>
      </c>
      <c r="O36" s="13" t="s">
        <v>82</v>
      </c>
      <c r="P36" s="16">
        <v>319607</v>
      </c>
      <c r="Q36" s="27">
        <f t="shared" si="23"/>
        <v>35794545.7685</v>
      </c>
      <c r="R36" s="28" t="s">
        <v>32</v>
      </c>
      <c r="S36" s="38">
        <v>111.99550000000001</v>
      </c>
      <c r="T36" s="29">
        <f t="shared" si="17"/>
        <v>41717</v>
      </c>
      <c r="U36" s="24" t="s">
        <v>37</v>
      </c>
      <c r="V36" s="30">
        <f t="shared" si="21"/>
        <v>42953.454922199999</v>
      </c>
      <c r="W36" s="68">
        <v>155.69999999999999</v>
      </c>
      <c r="X36" s="27">
        <f t="shared" si="22"/>
        <v>6687852.9313865397</v>
      </c>
      <c r="Y36" s="33">
        <v>6644898.7199999997</v>
      </c>
      <c r="Z36" s="29">
        <v>41677</v>
      </c>
      <c r="AA36" s="37">
        <v>9324</v>
      </c>
      <c r="AB36" s="62"/>
    </row>
    <row r="37" spans="2:28" ht="27.75" customHeight="1">
      <c r="B37" s="23">
        <f t="shared" si="24"/>
        <v>30</v>
      </c>
      <c r="C37" s="15" t="s">
        <v>184</v>
      </c>
      <c r="D37" s="15" t="s">
        <v>271</v>
      </c>
      <c r="E37" s="34">
        <v>41688</v>
      </c>
      <c r="F37" s="25" t="s">
        <v>168</v>
      </c>
      <c r="G37" s="15" t="s">
        <v>95</v>
      </c>
      <c r="H37" s="15" t="s">
        <v>45</v>
      </c>
      <c r="I37" s="15" t="s">
        <v>105</v>
      </c>
      <c r="J37" s="26">
        <v>801.22</v>
      </c>
      <c r="K37" s="14">
        <v>41628</v>
      </c>
      <c r="L37" s="15" t="s">
        <v>173</v>
      </c>
      <c r="M37" s="15" t="s">
        <v>47</v>
      </c>
      <c r="N37" s="15" t="s">
        <v>109</v>
      </c>
      <c r="O37" s="13" t="s">
        <v>82</v>
      </c>
      <c r="P37" s="16">
        <v>90000</v>
      </c>
      <c r="Q37" s="27">
        <f t="shared" si="23"/>
        <v>10122030</v>
      </c>
      <c r="R37" s="28" t="s">
        <v>32</v>
      </c>
      <c r="S37" s="38">
        <v>112.467</v>
      </c>
      <c r="T37" s="29">
        <f t="shared" si="17"/>
        <v>41717</v>
      </c>
      <c r="U37" s="24" t="s">
        <v>37</v>
      </c>
      <c r="V37" s="30">
        <f t="shared" si="21"/>
        <v>12146.436</v>
      </c>
      <c r="W37" s="68">
        <v>155.69999999999999</v>
      </c>
      <c r="X37" s="27">
        <f t="shared" si="22"/>
        <v>1891200.0851999999</v>
      </c>
      <c r="Y37" s="33">
        <v>1879054.27</v>
      </c>
      <c r="Z37" s="29">
        <v>41677</v>
      </c>
      <c r="AA37" s="37">
        <v>9330</v>
      </c>
      <c r="AB37" s="62"/>
    </row>
    <row r="38" spans="2:28" ht="27.75" customHeight="1">
      <c r="B38" s="23">
        <f t="shared" si="24"/>
        <v>31</v>
      </c>
      <c r="C38" s="15" t="s">
        <v>250</v>
      </c>
      <c r="D38" s="32" t="s">
        <v>272</v>
      </c>
      <c r="E38" s="34">
        <v>41688</v>
      </c>
      <c r="F38" s="39" t="s">
        <v>252</v>
      </c>
      <c r="G38" s="15" t="s">
        <v>114</v>
      </c>
      <c r="H38" s="15" t="s">
        <v>223</v>
      </c>
      <c r="I38" s="15" t="s">
        <v>120</v>
      </c>
      <c r="J38" s="26">
        <v>801.22</v>
      </c>
      <c r="K38" s="14">
        <v>41664</v>
      </c>
      <c r="L38" s="15" t="s">
        <v>227</v>
      </c>
      <c r="M38" s="15" t="s">
        <v>121</v>
      </c>
      <c r="N38" s="15" t="s">
        <v>57</v>
      </c>
      <c r="O38" s="13" t="s">
        <v>122</v>
      </c>
      <c r="P38" s="16">
        <v>628846</v>
      </c>
      <c r="Q38" s="27">
        <f t="shared" si="23"/>
        <v>66161516.505999997</v>
      </c>
      <c r="R38" s="28" t="s">
        <v>32</v>
      </c>
      <c r="S38" s="38">
        <v>105.211</v>
      </c>
      <c r="T38" s="29">
        <f t="shared" si="17"/>
        <v>41753</v>
      </c>
      <c r="U38" s="15" t="s">
        <v>123</v>
      </c>
      <c r="V38" s="30">
        <f t="shared" si="21"/>
        <v>79393.819807199994</v>
      </c>
      <c r="W38" s="24">
        <v>155.75</v>
      </c>
      <c r="X38" s="27">
        <f t="shared" si="22"/>
        <v>12365587.4349714</v>
      </c>
      <c r="Y38" s="33">
        <v>12365587.470000001</v>
      </c>
      <c r="Z38" s="29">
        <v>41677</v>
      </c>
      <c r="AA38" s="37">
        <v>3850</v>
      </c>
      <c r="AB38" s="62"/>
    </row>
    <row r="39" spans="2:28" ht="27.75" customHeight="1">
      <c r="B39" s="23">
        <f t="shared" si="24"/>
        <v>32</v>
      </c>
      <c r="C39" s="15" t="s">
        <v>116</v>
      </c>
      <c r="D39" s="32" t="s">
        <v>273</v>
      </c>
      <c r="E39" s="14">
        <v>41698</v>
      </c>
      <c r="F39" s="25" t="s">
        <v>253</v>
      </c>
      <c r="G39" s="15" t="s">
        <v>93</v>
      </c>
      <c r="H39" s="15" t="s">
        <v>42</v>
      </c>
      <c r="I39" s="15" t="s">
        <v>105</v>
      </c>
      <c r="J39" s="26">
        <v>801.22</v>
      </c>
      <c r="K39" s="29">
        <v>41447</v>
      </c>
      <c r="L39" s="15" t="s">
        <v>117</v>
      </c>
      <c r="M39" s="24" t="s">
        <v>47</v>
      </c>
      <c r="N39" s="15" t="s">
        <v>68</v>
      </c>
      <c r="O39" s="15" t="s">
        <v>111</v>
      </c>
      <c r="P39" s="16">
        <v>59642</v>
      </c>
      <c r="Q39" s="27">
        <f t="shared" si="23"/>
        <v>6175451.9639999997</v>
      </c>
      <c r="R39" s="28" t="s">
        <v>32</v>
      </c>
      <c r="S39" s="38">
        <v>103.542</v>
      </c>
      <c r="T39" s="29">
        <f t="shared" ref="T39" si="25">SUM(K39)+89</f>
        <v>41536</v>
      </c>
      <c r="U39" s="24" t="s">
        <v>41</v>
      </c>
      <c r="V39" s="30">
        <f t="shared" ref="V39:V58" si="26">SUM(Q39*0.12%)</f>
        <v>7410.5423567999987</v>
      </c>
      <c r="W39" s="24">
        <v>155.75</v>
      </c>
      <c r="X39" s="27">
        <f t="shared" si="22"/>
        <v>1154191.9720715999</v>
      </c>
      <c r="Y39" s="33">
        <v>1154191.97</v>
      </c>
      <c r="Z39" s="24"/>
      <c r="AA39" s="24"/>
      <c r="AB39" s="62"/>
    </row>
    <row r="40" spans="2:28" ht="27.75" customHeight="1">
      <c r="B40" s="23">
        <f t="shared" si="24"/>
        <v>33</v>
      </c>
      <c r="C40" s="15" t="s">
        <v>291</v>
      </c>
      <c r="D40" s="32" t="s">
        <v>292</v>
      </c>
      <c r="E40" s="14">
        <v>41698</v>
      </c>
      <c r="F40" s="25" t="s">
        <v>293</v>
      </c>
      <c r="G40" s="13" t="s">
        <v>222</v>
      </c>
      <c r="H40" s="13" t="s">
        <v>42</v>
      </c>
      <c r="I40" s="13" t="s">
        <v>43</v>
      </c>
      <c r="J40" s="26">
        <v>801.22</v>
      </c>
      <c r="K40" s="14">
        <v>41679</v>
      </c>
      <c r="L40" s="15" t="s">
        <v>294</v>
      </c>
      <c r="M40" s="15" t="s">
        <v>44</v>
      </c>
      <c r="N40" s="15" t="s">
        <v>89</v>
      </c>
      <c r="O40" s="13" t="s">
        <v>90</v>
      </c>
      <c r="P40" s="16">
        <v>855919</v>
      </c>
      <c r="Q40" s="27">
        <f t="shared" ref="Q40:Q58" si="27">SUM(P40*S40)</f>
        <v>95472628.936000004</v>
      </c>
      <c r="R40" s="28" t="s">
        <v>32</v>
      </c>
      <c r="S40" s="7">
        <v>111.544</v>
      </c>
      <c r="T40" s="29">
        <f t="shared" ref="T40:T45" si="28">SUM(K40)+89</f>
        <v>41768</v>
      </c>
      <c r="U40" s="13" t="s">
        <v>222</v>
      </c>
      <c r="V40" s="30">
        <f t="shared" si="26"/>
        <v>114567.1547232</v>
      </c>
      <c r="W40" s="24">
        <v>155.75</v>
      </c>
      <c r="X40" s="27">
        <f t="shared" si="22"/>
        <v>17843834.348138399</v>
      </c>
      <c r="Y40" s="33">
        <f t="shared" ref="Y40:Y41" si="29">X40</f>
        <v>17843834.348138399</v>
      </c>
      <c r="Z40" s="24"/>
      <c r="AA40" s="24"/>
      <c r="AB40" s="62"/>
    </row>
    <row r="41" spans="2:28" ht="27.75" customHeight="1">
      <c r="B41" s="23">
        <f t="shared" si="24"/>
        <v>34</v>
      </c>
      <c r="C41" s="15" t="s">
        <v>295</v>
      </c>
      <c r="D41" s="32" t="s">
        <v>296</v>
      </c>
      <c r="E41" s="14">
        <v>41698</v>
      </c>
      <c r="F41" s="25" t="s">
        <v>297</v>
      </c>
      <c r="G41" s="13" t="s">
        <v>222</v>
      </c>
      <c r="H41" s="13" t="s">
        <v>42</v>
      </c>
      <c r="I41" s="13" t="s">
        <v>34</v>
      </c>
      <c r="J41" s="26">
        <v>801.22</v>
      </c>
      <c r="K41" s="14">
        <v>41680</v>
      </c>
      <c r="L41" s="13" t="s">
        <v>298</v>
      </c>
      <c r="M41" s="15" t="s">
        <v>35</v>
      </c>
      <c r="N41" s="15" t="s">
        <v>48</v>
      </c>
      <c r="O41" s="15" t="s">
        <v>49</v>
      </c>
      <c r="P41" s="16">
        <v>953126</v>
      </c>
      <c r="Q41" s="27">
        <f t="shared" si="27"/>
        <v>106299283.402</v>
      </c>
      <c r="R41" s="28" t="s">
        <v>32</v>
      </c>
      <c r="S41" s="7">
        <v>111.527</v>
      </c>
      <c r="T41" s="29">
        <f t="shared" si="28"/>
        <v>41769</v>
      </c>
      <c r="U41" s="13" t="s">
        <v>222</v>
      </c>
      <c r="V41" s="30">
        <f t="shared" si="26"/>
        <v>127559.14008239999</v>
      </c>
      <c r="W41" s="24">
        <v>155.75</v>
      </c>
      <c r="X41" s="27">
        <f t="shared" si="22"/>
        <v>19867336.067833796</v>
      </c>
      <c r="Y41" s="33">
        <f t="shared" si="29"/>
        <v>19867336.067833796</v>
      </c>
      <c r="Z41" s="24"/>
      <c r="AA41" s="24"/>
      <c r="AB41" s="62"/>
    </row>
    <row r="42" spans="2:28" ht="27.75" customHeight="1">
      <c r="B42" s="23">
        <f t="shared" si="24"/>
        <v>35</v>
      </c>
      <c r="C42" s="15" t="s">
        <v>299</v>
      </c>
      <c r="D42" s="32" t="s">
        <v>300</v>
      </c>
      <c r="E42" s="14">
        <v>41698</v>
      </c>
      <c r="F42" s="25" t="s">
        <v>301</v>
      </c>
      <c r="G42" s="13" t="s">
        <v>114</v>
      </c>
      <c r="H42" s="13" t="s">
        <v>223</v>
      </c>
      <c r="I42" s="13" t="s">
        <v>120</v>
      </c>
      <c r="J42" s="26">
        <v>801.22</v>
      </c>
      <c r="K42" s="14">
        <v>41681</v>
      </c>
      <c r="L42" s="13" t="s">
        <v>302</v>
      </c>
      <c r="M42" s="15" t="s">
        <v>121</v>
      </c>
      <c r="N42" s="15" t="s">
        <v>36</v>
      </c>
      <c r="O42" s="15" t="s">
        <v>303</v>
      </c>
      <c r="P42" s="16">
        <v>499379</v>
      </c>
      <c r="Q42" s="27">
        <f t="shared" si="27"/>
        <v>51896963.817000002</v>
      </c>
      <c r="R42" s="28" t="s">
        <v>32</v>
      </c>
      <c r="S42" s="38">
        <v>103.923</v>
      </c>
      <c r="T42" s="29">
        <f t="shared" si="28"/>
        <v>41770</v>
      </c>
      <c r="U42" s="13" t="s">
        <v>123</v>
      </c>
      <c r="V42" s="30">
        <f t="shared" si="26"/>
        <v>62276.356580399995</v>
      </c>
      <c r="W42" s="24">
        <v>155.75</v>
      </c>
      <c r="X42" s="27">
        <f t="shared" si="22"/>
        <v>9699542.537397299</v>
      </c>
      <c r="Y42" s="33">
        <v>9699543.0700000003</v>
      </c>
      <c r="Z42" s="29">
        <v>41697</v>
      </c>
      <c r="AA42" s="37">
        <v>4608</v>
      </c>
      <c r="AB42" s="62"/>
    </row>
    <row r="43" spans="2:28" ht="27.75" customHeight="1">
      <c r="B43" s="23">
        <f t="shared" si="24"/>
        <v>36</v>
      </c>
      <c r="C43" s="15" t="s">
        <v>307</v>
      </c>
      <c r="D43" s="32" t="s">
        <v>308</v>
      </c>
      <c r="E43" s="14">
        <v>41698</v>
      </c>
      <c r="F43" s="25" t="s">
        <v>309</v>
      </c>
      <c r="G43" s="13" t="s">
        <v>222</v>
      </c>
      <c r="H43" s="13" t="s">
        <v>42</v>
      </c>
      <c r="I43" s="13" t="s">
        <v>29</v>
      </c>
      <c r="J43" s="26">
        <v>801.22</v>
      </c>
      <c r="K43" s="14">
        <v>41693</v>
      </c>
      <c r="L43" s="15" t="s">
        <v>310</v>
      </c>
      <c r="M43" s="15" t="s">
        <v>30</v>
      </c>
      <c r="N43" s="15" t="s">
        <v>52</v>
      </c>
      <c r="O43" s="15" t="s">
        <v>53</v>
      </c>
      <c r="P43" s="16">
        <v>548044</v>
      </c>
      <c r="Q43" s="27">
        <f t="shared" si="27"/>
        <v>59980675.579999998</v>
      </c>
      <c r="R43" s="28" t="s">
        <v>32</v>
      </c>
      <c r="S43" s="38">
        <v>109.44499999999999</v>
      </c>
      <c r="T43" s="29">
        <f t="shared" si="28"/>
        <v>41782</v>
      </c>
      <c r="U43" s="13" t="s">
        <v>222</v>
      </c>
      <c r="V43" s="30">
        <f t="shared" si="26"/>
        <v>71976.810695999986</v>
      </c>
      <c r="W43" s="24">
        <v>155.75</v>
      </c>
      <c r="X43" s="27">
        <f t="shared" si="22"/>
        <v>11210388.265901998</v>
      </c>
      <c r="Y43" s="33">
        <f t="shared" ref="Y43:Y45" si="30">X43</f>
        <v>11210388.265901998</v>
      </c>
      <c r="Z43" s="24"/>
      <c r="AA43" s="24"/>
      <c r="AB43" s="62"/>
    </row>
    <row r="44" spans="2:28" ht="27.75" customHeight="1">
      <c r="B44" s="23">
        <f t="shared" si="24"/>
        <v>37</v>
      </c>
      <c r="C44" s="15" t="s">
        <v>311</v>
      </c>
      <c r="D44" s="32" t="s">
        <v>312</v>
      </c>
      <c r="E44" s="14">
        <v>41698</v>
      </c>
      <c r="F44" s="25" t="s">
        <v>313</v>
      </c>
      <c r="G44" s="13" t="s">
        <v>222</v>
      </c>
      <c r="H44" s="13" t="s">
        <v>42</v>
      </c>
      <c r="I44" s="13" t="s">
        <v>29</v>
      </c>
      <c r="J44" s="26">
        <v>801.22</v>
      </c>
      <c r="K44" s="14">
        <v>41693</v>
      </c>
      <c r="L44" s="15" t="s">
        <v>310</v>
      </c>
      <c r="M44" s="15" t="s">
        <v>30</v>
      </c>
      <c r="N44" s="15" t="s">
        <v>52</v>
      </c>
      <c r="O44" s="15" t="s">
        <v>53</v>
      </c>
      <c r="P44" s="16">
        <v>400000</v>
      </c>
      <c r="Q44" s="27">
        <f t="shared" si="27"/>
        <v>43778000</v>
      </c>
      <c r="R44" s="28" t="s">
        <v>32</v>
      </c>
      <c r="S44" s="38">
        <v>109.44499999999999</v>
      </c>
      <c r="T44" s="29">
        <f t="shared" si="28"/>
        <v>41782</v>
      </c>
      <c r="U44" s="13" t="s">
        <v>222</v>
      </c>
      <c r="V44" s="30">
        <f t="shared" si="26"/>
        <v>52533.599999999999</v>
      </c>
      <c r="W44" s="24">
        <v>155.75</v>
      </c>
      <c r="X44" s="27">
        <f t="shared" si="22"/>
        <v>8182108.2000000002</v>
      </c>
      <c r="Y44" s="33">
        <f t="shared" si="30"/>
        <v>8182108.2000000002</v>
      </c>
      <c r="Z44" s="24"/>
      <c r="AA44" s="24"/>
      <c r="AB44" s="62"/>
    </row>
    <row r="45" spans="2:28" ht="27.75" customHeight="1">
      <c r="B45" s="23">
        <f t="shared" si="24"/>
        <v>38</v>
      </c>
      <c r="C45" s="15" t="s">
        <v>328</v>
      </c>
      <c r="D45" s="32" t="s">
        <v>329</v>
      </c>
      <c r="E45" s="14">
        <v>41698</v>
      </c>
      <c r="F45" s="25" t="s">
        <v>330</v>
      </c>
      <c r="G45" s="13" t="s">
        <v>222</v>
      </c>
      <c r="H45" s="13" t="s">
        <v>42</v>
      </c>
      <c r="I45" s="13" t="s">
        <v>43</v>
      </c>
      <c r="J45" s="26">
        <v>801.22</v>
      </c>
      <c r="K45" s="14">
        <v>41698</v>
      </c>
      <c r="L45" s="15" t="s">
        <v>331</v>
      </c>
      <c r="M45" s="15" t="s">
        <v>44</v>
      </c>
      <c r="N45" s="15" t="s">
        <v>69</v>
      </c>
      <c r="O45" s="15" t="s">
        <v>332</v>
      </c>
      <c r="P45" s="42">
        <v>899814</v>
      </c>
      <c r="Q45" s="43">
        <f t="shared" si="27"/>
        <v>100105207.31400001</v>
      </c>
      <c r="R45" s="28" t="s">
        <v>32</v>
      </c>
      <c r="S45" s="38">
        <v>111.251</v>
      </c>
      <c r="T45" s="29">
        <f t="shared" si="28"/>
        <v>41787</v>
      </c>
      <c r="U45" s="13" t="s">
        <v>222</v>
      </c>
      <c r="V45" s="44">
        <f t="shared" si="26"/>
        <v>120126.2487768</v>
      </c>
      <c r="W45" s="24">
        <v>155.75</v>
      </c>
      <c r="X45" s="43">
        <f t="shared" si="22"/>
        <v>18709663.246986602</v>
      </c>
      <c r="Y45" s="33">
        <f t="shared" si="30"/>
        <v>18709663.246986602</v>
      </c>
      <c r="Z45" s="24"/>
      <c r="AA45" s="24"/>
      <c r="AB45" s="62"/>
    </row>
    <row r="46" spans="2:28" s="78" customFormat="1" ht="78.75" customHeight="1">
      <c r="B46" s="23">
        <f t="shared" si="24"/>
        <v>39</v>
      </c>
      <c r="C46" s="15" t="s">
        <v>151</v>
      </c>
      <c r="D46" s="15" t="s">
        <v>334</v>
      </c>
      <c r="E46" s="34">
        <v>41710</v>
      </c>
      <c r="F46" s="71">
        <v>201300010327</v>
      </c>
      <c r="G46" s="15" t="s">
        <v>95</v>
      </c>
      <c r="H46" s="15" t="s">
        <v>51</v>
      </c>
      <c r="I46" s="15" t="s">
        <v>105</v>
      </c>
      <c r="J46" s="26">
        <v>801.22</v>
      </c>
      <c r="K46" s="29">
        <v>41594</v>
      </c>
      <c r="L46" s="15" t="s">
        <v>112</v>
      </c>
      <c r="M46" s="24" t="s">
        <v>47</v>
      </c>
      <c r="N46" s="15" t="s">
        <v>57</v>
      </c>
      <c r="O46" s="15" t="s">
        <v>143</v>
      </c>
      <c r="P46" s="75">
        <v>383790</v>
      </c>
      <c r="Q46" s="27">
        <f t="shared" si="27"/>
        <v>41928289.920000002</v>
      </c>
      <c r="R46" s="28" t="s">
        <v>32</v>
      </c>
      <c r="S46" s="38">
        <v>109.248</v>
      </c>
      <c r="T46" s="29">
        <f t="shared" ref="T46:T48" si="31">SUM(K46)+89</f>
        <v>41683</v>
      </c>
      <c r="U46" s="24" t="s">
        <v>37</v>
      </c>
      <c r="V46" s="76">
        <f t="shared" si="26"/>
        <v>50313.947904000001</v>
      </c>
      <c r="W46" s="24">
        <v>155.72</v>
      </c>
      <c r="X46" s="27">
        <f t="shared" si="22"/>
        <v>7834887.9676108798</v>
      </c>
      <c r="Y46" s="77">
        <v>7783568.0700000003</v>
      </c>
      <c r="Z46" s="29">
        <v>41677</v>
      </c>
      <c r="AA46" s="37">
        <v>9318</v>
      </c>
      <c r="AB46" s="15" t="s">
        <v>335</v>
      </c>
    </row>
    <row r="47" spans="2:28" ht="27.75" customHeight="1">
      <c r="B47" s="23">
        <f t="shared" si="24"/>
        <v>40</v>
      </c>
      <c r="C47" s="15" t="s">
        <v>181</v>
      </c>
      <c r="D47" s="79" t="s">
        <v>336</v>
      </c>
      <c r="E47" s="34">
        <v>41710</v>
      </c>
      <c r="F47" s="39" t="s">
        <v>275</v>
      </c>
      <c r="G47" s="15" t="s">
        <v>102</v>
      </c>
      <c r="H47" s="15" t="s">
        <v>81</v>
      </c>
      <c r="I47" s="15" t="s">
        <v>105</v>
      </c>
      <c r="J47" s="26">
        <v>801.22</v>
      </c>
      <c r="K47" s="14">
        <v>41615</v>
      </c>
      <c r="L47" s="15" t="s">
        <v>169</v>
      </c>
      <c r="M47" s="15" t="s">
        <v>47</v>
      </c>
      <c r="N47" s="15" t="s">
        <v>64</v>
      </c>
      <c r="O47" s="13" t="s">
        <v>65</v>
      </c>
      <c r="P47" s="16">
        <v>113000</v>
      </c>
      <c r="Q47" s="27">
        <f t="shared" si="27"/>
        <v>12690578</v>
      </c>
      <c r="R47" s="28" t="s">
        <v>32</v>
      </c>
      <c r="S47" s="8">
        <v>112.306</v>
      </c>
      <c r="T47" s="29">
        <f t="shared" si="31"/>
        <v>41704</v>
      </c>
      <c r="U47" s="24" t="s">
        <v>110</v>
      </c>
      <c r="V47" s="30">
        <f t="shared" si="26"/>
        <v>15228.693599999999</v>
      </c>
      <c r="W47" s="68">
        <v>155.69999999999999</v>
      </c>
      <c r="X47" s="27">
        <f t="shared" si="22"/>
        <v>2371107.5935199996</v>
      </c>
      <c r="Y47" s="33">
        <v>2371107.59</v>
      </c>
      <c r="Z47" s="29">
        <v>41698</v>
      </c>
      <c r="AA47" s="37">
        <v>46368</v>
      </c>
      <c r="AB47" s="62"/>
    </row>
    <row r="48" spans="2:28" ht="27.75" customHeight="1">
      <c r="B48" s="23">
        <f t="shared" ref="B48:B70" si="32">B47+1</f>
        <v>41</v>
      </c>
      <c r="C48" s="15" t="s">
        <v>185</v>
      </c>
      <c r="D48" s="79" t="s">
        <v>337</v>
      </c>
      <c r="E48" s="34">
        <v>41710</v>
      </c>
      <c r="F48" s="39" t="s">
        <v>276</v>
      </c>
      <c r="G48" s="15" t="s">
        <v>102</v>
      </c>
      <c r="H48" s="15" t="s">
        <v>81</v>
      </c>
      <c r="I48" s="15" t="s">
        <v>105</v>
      </c>
      <c r="J48" s="26">
        <v>801.22</v>
      </c>
      <c r="K48" s="14">
        <v>41628</v>
      </c>
      <c r="L48" s="15" t="s">
        <v>173</v>
      </c>
      <c r="M48" s="15" t="s">
        <v>47</v>
      </c>
      <c r="N48" s="15" t="s">
        <v>109</v>
      </c>
      <c r="O48" s="13" t="s">
        <v>82</v>
      </c>
      <c r="P48" s="46">
        <v>120000</v>
      </c>
      <c r="Q48" s="27">
        <f t="shared" si="27"/>
        <v>13476720</v>
      </c>
      <c r="R48" s="28" t="s">
        <v>32</v>
      </c>
      <c r="S48" s="8">
        <v>112.306</v>
      </c>
      <c r="T48" s="29">
        <f t="shared" si="31"/>
        <v>41717</v>
      </c>
      <c r="U48" s="24" t="s">
        <v>110</v>
      </c>
      <c r="V48" s="30">
        <f t="shared" si="26"/>
        <v>16172.063999999998</v>
      </c>
      <c r="W48" s="68">
        <v>155.69999999999999</v>
      </c>
      <c r="X48" s="27">
        <f t="shared" si="22"/>
        <v>2517990.3647999996</v>
      </c>
      <c r="Y48" s="33">
        <v>2517990.37</v>
      </c>
      <c r="Z48" s="29">
        <v>41698</v>
      </c>
      <c r="AA48" s="37">
        <v>46367</v>
      </c>
      <c r="AB48" s="62"/>
    </row>
    <row r="49" spans="2:28" ht="27.75" customHeight="1">
      <c r="B49" s="23">
        <f t="shared" si="32"/>
        <v>42</v>
      </c>
      <c r="C49" s="15" t="s">
        <v>249</v>
      </c>
      <c r="D49" s="13" t="s">
        <v>338</v>
      </c>
      <c r="E49" s="14">
        <v>41710</v>
      </c>
      <c r="F49" s="25" t="s">
        <v>219</v>
      </c>
      <c r="G49" s="15" t="s">
        <v>50</v>
      </c>
      <c r="H49" s="15" t="s">
        <v>73</v>
      </c>
      <c r="I49" s="15" t="s">
        <v>55</v>
      </c>
      <c r="J49" s="26">
        <v>801.22</v>
      </c>
      <c r="K49" s="14">
        <v>41663</v>
      </c>
      <c r="L49" s="15" t="s">
        <v>70</v>
      </c>
      <c r="M49" s="15" t="s">
        <v>56</v>
      </c>
      <c r="N49" s="15" t="s">
        <v>69</v>
      </c>
      <c r="O49" s="13" t="s">
        <v>87</v>
      </c>
      <c r="P49" s="16">
        <v>207196</v>
      </c>
      <c r="Q49" s="27">
        <f t="shared" si="27"/>
        <v>22917327.971999999</v>
      </c>
      <c r="R49" s="28" t="s">
        <v>32</v>
      </c>
      <c r="S49" s="38">
        <v>110.607</v>
      </c>
      <c r="T49" s="29">
        <f t="shared" ref="T49" si="33">SUM(K49)+89</f>
        <v>41752</v>
      </c>
      <c r="U49" s="15" t="s">
        <v>50</v>
      </c>
      <c r="V49" s="30">
        <f t="shared" si="26"/>
        <v>27500.793566399996</v>
      </c>
      <c r="W49" s="24">
        <v>155.75</v>
      </c>
      <c r="X49" s="27">
        <f t="shared" si="22"/>
        <v>4283248.5979667995</v>
      </c>
      <c r="Y49" s="33">
        <v>4283248.5999999996</v>
      </c>
      <c r="Z49" s="29">
        <v>41709</v>
      </c>
      <c r="AA49" s="35">
        <v>15383</v>
      </c>
      <c r="AB49" s="62"/>
    </row>
    <row r="50" spans="2:28" ht="27.75" customHeight="1">
      <c r="B50" s="23">
        <f t="shared" si="32"/>
        <v>43</v>
      </c>
      <c r="C50" s="15" t="s">
        <v>327</v>
      </c>
      <c r="D50" s="32" t="s">
        <v>339</v>
      </c>
      <c r="E50" s="29">
        <v>41711</v>
      </c>
      <c r="F50" s="39" t="s">
        <v>333</v>
      </c>
      <c r="G50" s="13" t="s">
        <v>114</v>
      </c>
      <c r="H50" s="13" t="s">
        <v>223</v>
      </c>
      <c r="I50" s="13" t="s">
        <v>120</v>
      </c>
      <c r="J50" s="26">
        <v>801.22</v>
      </c>
      <c r="K50" s="14">
        <v>41697</v>
      </c>
      <c r="L50" s="15" t="s">
        <v>59</v>
      </c>
      <c r="M50" s="15" t="s">
        <v>121</v>
      </c>
      <c r="N50" s="13" t="s">
        <v>71</v>
      </c>
      <c r="O50" s="15" t="s">
        <v>124</v>
      </c>
      <c r="P50" s="16">
        <v>698289</v>
      </c>
      <c r="Q50" s="27">
        <f t="shared" si="27"/>
        <v>73198842.714000002</v>
      </c>
      <c r="R50" s="28" t="s">
        <v>32</v>
      </c>
      <c r="S50" s="38">
        <v>104.82599999999999</v>
      </c>
      <c r="T50" s="29">
        <f t="shared" ref="T50" si="34">SUM(K50)+89</f>
        <v>41786</v>
      </c>
      <c r="U50" s="13" t="s">
        <v>123</v>
      </c>
      <c r="V50" s="30">
        <f t="shared" si="26"/>
        <v>87838.611256799995</v>
      </c>
      <c r="W50" s="24">
        <v>155.75</v>
      </c>
      <c r="X50" s="27">
        <f t="shared" si="22"/>
        <v>13680863.703246599</v>
      </c>
      <c r="Y50" s="33">
        <v>13680863.51</v>
      </c>
      <c r="Z50" s="29">
        <v>41709</v>
      </c>
      <c r="AA50" s="37">
        <v>4617</v>
      </c>
      <c r="AB50" s="62"/>
    </row>
    <row r="51" spans="2:28" ht="27.75" customHeight="1">
      <c r="B51" s="23">
        <f t="shared" si="32"/>
        <v>44</v>
      </c>
      <c r="C51" s="15" t="s">
        <v>191</v>
      </c>
      <c r="D51" s="13" t="s">
        <v>340</v>
      </c>
      <c r="E51" s="34">
        <v>41715</v>
      </c>
      <c r="F51" s="71">
        <v>201300020023</v>
      </c>
      <c r="G51" s="15" t="s">
        <v>95</v>
      </c>
      <c r="H51" s="15" t="s">
        <v>77</v>
      </c>
      <c r="I51" s="15" t="s">
        <v>29</v>
      </c>
      <c r="J51" s="26">
        <v>801.22</v>
      </c>
      <c r="K51" s="29">
        <v>41630</v>
      </c>
      <c r="L51" s="15" t="s">
        <v>59</v>
      </c>
      <c r="M51" s="24" t="s">
        <v>30</v>
      </c>
      <c r="N51" s="15" t="s">
        <v>109</v>
      </c>
      <c r="O51" s="13" t="s">
        <v>174</v>
      </c>
      <c r="P51" s="46">
        <v>948424</v>
      </c>
      <c r="Q51" s="27">
        <f t="shared" si="27"/>
        <v>105986382</v>
      </c>
      <c r="R51" s="28" t="s">
        <v>32</v>
      </c>
      <c r="S51" s="38">
        <v>111.75</v>
      </c>
      <c r="T51" s="29">
        <f t="shared" ref="T51" si="35">SUM(K51)+89</f>
        <v>41719</v>
      </c>
      <c r="U51" s="24" t="s">
        <v>27</v>
      </c>
      <c r="V51" s="30">
        <f t="shared" si="26"/>
        <v>127183.65839999999</v>
      </c>
      <c r="W51" s="68">
        <v>155.69999999999999</v>
      </c>
      <c r="X51" s="27">
        <f t="shared" si="22"/>
        <v>19802495.612879995</v>
      </c>
      <c r="Y51" s="33">
        <v>19802495.859999999</v>
      </c>
      <c r="Z51" s="29">
        <v>41710</v>
      </c>
      <c r="AA51" s="35">
        <v>1307</v>
      </c>
      <c r="AB51" s="62"/>
    </row>
    <row r="52" spans="2:28" ht="27.75" customHeight="1">
      <c r="B52" s="23">
        <f t="shared" si="32"/>
        <v>45</v>
      </c>
      <c r="C52" s="15" t="s">
        <v>237</v>
      </c>
      <c r="D52" s="32" t="s">
        <v>341</v>
      </c>
      <c r="E52" s="34">
        <v>41715</v>
      </c>
      <c r="F52" s="25" t="s">
        <v>212</v>
      </c>
      <c r="G52" s="15" t="s">
        <v>95</v>
      </c>
      <c r="H52" s="15" t="s">
        <v>28</v>
      </c>
      <c r="I52" s="15" t="s">
        <v>105</v>
      </c>
      <c r="J52" s="26">
        <v>801.22</v>
      </c>
      <c r="K52" s="14">
        <v>41655</v>
      </c>
      <c r="L52" s="15" t="s">
        <v>225</v>
      </c>
      <c r="M52" s="15" t="s">
        <v>47</v>
      </c>
      <c r="N52" s="15" t="s">
        <v>31</v>
      </c>
      <c r="O52" s="13" t="s">
        <v>86</v>
      </c>
      <c r="P52" s="16">
        <v>500000</v>
      </c>
      <c r="Q52" s="27">
        <f t="shared" si="27"/>
        <v>55469000</v>
      </c>
      <c r="R52" s="28" t="s">
        <v>32</v>
      </c>
      <c r="S52" s="8">
        <v>110.938</v>
      </c>
      <c r="T52" s="29">
        <f t="shared" ref="T52:T53" si="36">SUM(K52)+89</f>
        <v>41744</v>
      </c>
      <c r="U52" s="15" t="s">
        <v>95</v>
      </c>
      <c r="V52" s="30">
        <f t="shared" si="26"/>
        <v>66562.799999999988</v>
      </c>
      <c r="W52" s="24">
        <v>155.75</v>
      </c>
      <c r="X52" s="27">
        <f t="shared" si="22"/>
        <v>10367156.099999998</v>
      </c>
      <c r="Y52" s="33">
        <v>10367156.1</v>
      </c>
      <c r="Z52" s="29">
        <v>41710</v>
      </c>
      <c r="AA52" s="35">
        <v>1308</v>
      </c>
      <c r="AB52" s="62"/>
    </row>
    <row r="53" spans="2:28" ht="27.75" customHeight="1">
      <c r="B53" s="23">
        <f t="shared" si="32"/>
        <v>46</v>
      </c>
      <c r="C53" s="15" t="s">
        <v>251</v>
      </c>
      <c r="D53" s="32" t="s">
        <v>342</v>
      </c>
      <c r="E53" s="34">
        <v>41715</v>
      </c>
      <c r="F53" s="39" t="s">
        <v>221</v>
      </c>
      <c r="G53" s="15" t="s">
        <v>95</v>
      </c>
      <c r="H53" s="15" t="s">
        <v>28</v>
      </c>
      <c r="I53" s="40" t="s">
        <v>29</v>
      </c>
      <c r="J53" s="26">
        <v>801.22</v>
      </c>
      <c r="K53" s="34">
        <v>41669</v>
      </c>
      <c r="L53" s="41" t="s">
        <v>229</v>
      </c>
      <c r="M53" s="41" t="s">
        <v>30</v>
      </c>
      <c r="N53" s="41" t="s">
        <v>109</v>
      </c>
      <c r="O53" s="13" t="s">
        <v>235</v>
      </c>
      <c r="P53" s="42">
        <v>948817</v>
      </c>
      <c r="Q53" s="43">
        <f t="shared" si="27"/>
        <v>102309039.476</v>
      </c>
      <c r="R53" s="28" t="s">
        <v>32</v>
      </c>
      <c r="S53" s="38">
        <v>107.828</v>
      </c>
      <c r="T53" s="29">
        <f t="shared" si="36"/>
        <v>41758</v>
      </c>
      <c r="U53" s="15" t="s">
        <v>95</v>
      </c>
      <c r="V53" s="44">
        <f t="shared" si="26"/>
        <v>122770.84737119998</v>
      </c>
      <c r="W53" s="24">
        <v>155.75</v>
      </c>
      <c r="X53" s="43">
        <f t="shared" si="22"/>
        <v>19121559.478064399</v>
      </c>
      <c r="Y53" s="33">
        <v>19121559.890000001</v>
      </c>
      <c r="Z53" s="29">
        <v>41710</v>
      </c>
      <c r="AA53" s="35">
        <v>1309</v>
      </c>
      <c r="AB53" s="62"/>
    </row>
    <row r="54" spans="2:28" ht="27.75" customHeight="1">
      <c r="B54" s="23">
        <f t="shared" si="32"/>
        <v>47</v>
      </c>
      <c r="C54" s="15" t="s">
        <v>238</v>
      </c>
      <c r="D54" s="15" t="s">
        <v>343</v>
      </c>
      <c r="E54" s="34">
        <v>41717</v>
      </c>
      <c r="F54" s="25" t="s">
        <v>213</v>
      </c>
      <c r="G54" s="36" t="s">
        <v>38</v>
      </c>
      <c r="H54" s="15" t="s">
        <v>80</v>
      </c>
      <c r="I54" s="15" t="s">
        <v>105</v>
      </c>
      <c r="J54" s="26">
        <v>801.22</v>
      </c>
      <c r="K54" s="14">
        <v>41655</v>
      </c>
      <c r="L54" s="15" t="s">
        <v>225</v>
      </c>
      <c r="M54" s="15" t="s">
        <v>47</v>
      </c>
      <c r="N54" s="15" t="s">
        <v>31</v>
      </c>
      <c r="O54" s="13" t="s">
        <v>86</v>
      </c>
      <c r="P54" s="16">
        <v>60000</v>
      </c>
      <c r="Q54" s="27">
        <f t="shared" si="27"/>
        <v>6561300</v>
      </c>
      <c r="R54" s="28" t="s">
        <v>32</v>
      </c>
      <c r="S54" s="8">
        <v>109.355</v>
      </c>
      <c r="T54" s="29">
        <f t="shared" ref="T54:T56" si="37">SUM(K54)+89</f>
        <v>41744</v>
      </c>
      <c r="U54" s="15" t="s">
        <v>38</v>
      </c>
      <c r="V54" s="30">
        <f t="shared" si="26"/>
        <v>7873.5599999999995</v>
      </c>
      <c r="W54" s="24">
        <v>155.75</v>
      </c>
      <c r="X54" s="27">
        <f t="shared" si="22"/>
        <v>1226306.97</v>
      </c>
      <c r="Y54" s="33">
        <v>1226306.97</v>
      </c>
      <c r="Z54" s="29">
        <v>41715</v>
      </c>
      <c r="AA54" s="37">
        <v>3580</v>
      </c>
      <c r="AB54" s="62"/>
    </row>
    <row r="55" spans="2:28" ht="27.75" customHeight="1">
      <c r="B55" s="23">
        <f t="shared" si="32"/>
        <v>48</v>
      </c>
      <c r="C55" s="15" t="s">
        <v>239</v>
      </c>
      <c r="D55" s="15" t="s">
        <v>344</v>
      </c>
      <c r="E55" s="34">
        <v>41717</v>
      </c>
      <c r="F55" s="25" t="s">
        <v>214</v>
      </c>
      <c r="G55" s="36" t="s">
        <v>38</v>
      </c>
      <c r="H55" s="15" t="s">
        <v>80</v>
      </c>
      <c r="I55" s="15" t="s">
        <v>105</v>
      </c>
      <c r="J55" s="26">
        <v>801.22</v>
      </c>
      <c r="K55" s="14">
        <v>41655</v>
      </c>
      <c r="L55" s="15" t="s">
        <v>225</v>
      </c>
      <c r="M55" s="15" t="s">
        <v>47</v>
      </c>
      <c r="N55" s="15" t="s">
        <v>31</v>
      </c>
      <c r="O55" s="13" t="s">
        <v>86</v>
      </c>
      <c r="P55" s="16">
        <v>29500</v>
      </c>
      <c r="Q55" s="27">
        <f t="shared" si="27"/>
        <v>3225972.5</v>
      </c>
      <c r="R55" s="28" t="s">
        <v>32</v>
      </c>
      <c r="S55" s="8">
        <v>109.355</v>
      </c>
      <c r="T55" s="29">
        <f t="shared" si="37"/>
        <v>41744</v>
      </c>
      <c r="U55" s="15" t="s">
        <v>38</v>
      </c>
      <c r="V55" s="30">
        <f t="shared" si="26"/>
        <v>3871.1669999999995</v>
      </c>
      <c r="W55" s="24">
        <v>155.75</v>
      </c>
      <c r="X55" s="27">
        <f t="shared" si="22"/>
        <v>602934.26024999993</v>
      </c>
      <c r="Y55" s="33">
        <v>602934.18000000005</v>
      </c>
      <c r="Z55" s="29">
        <v>41715</v>
      </c>
      <c r="AA55" s="37">
        <v>3581</v>
      </c>
      <c r="AB55" s="62"/>
    </row>
    <row r="56" spans="2:28" ht="27.75" customHeight="1">
      <c r="B56" s="23">
        <f t="shared" si="32"/>
        <v>49</v>
      </c>
      <c r="C56" s="15" t="s">
        <v>240</v>
      </c>
      <c r="D56" s="15" t="s">
        <v>345</v>
      </c>
      <c r="E56" s="34">
        <v>41717</v>
      </c>
      <c r="F56" s="25" t="s">
        <v>215</v>
      </c>
      <c r="G56" s="15" t="s">
        <v>134</v>
      </c>
      <c r="H56" s="15" t="s">
        <v>80</v>
      </c>
      <c r="I56" s="15" t="s">
        <v>105</v>
      </c>
      <c r="J56" s="26">
        <v>801.22</v>
      </c>
      <c r="K56" s="14">
        <v>41655</v>
      </c>
      <c r="L56" s="15" t="s">
        <v>225</v>
      </c>
      <c r="M56" s="15" t="s">
        <v>47</v>
      </c>
      <c r="N56" s="15" t="s">
        <v>31</v>
      </c>
      <c r="O56" s="13" t="s">
        <v>86</v>
      </c>
      <c r="P56" s="16">
        <v>24000</v>
      </c>
      <c r="Q56" s="27">
        <f t="shared" si="27"/>
        <v>2624520</v>
      </c>
      <c r="R56" s="28" t="s">
        <v>32</v>
      </c>
      <c r="S56" s="8">
        <v>109.355</v>
      </c>
      <c r="T56" s="29">
        <f t="shared" si="37"/>
        <v>41744</v>
      </c>
      <c r="U56" s="15" t="s">
        <v>38</v>
      </c>
      <c r="V56" s="30">
        <f t="shared" si="26"/>
        <v>3149.4239999999995</v>
      </c>
      <c r="W56" s="24">
        <v>155.75</v>
      </c>
      <c r="X56" s="27">
        <f t="shared" si="22"/>
        <v>490522.78799999994</v>
      </c>
      <c r="Y56" s="33">
        <v>490522.79</v>
      </c>
      <c r="Z56" s="29">
        <v>41715</v>
      </c>
      <c r="AA56" s="37">
        <v>3582</v>
      </c>
      <c r="AB56" s="62"/>
    </row>
    <row r="57" spans="2:28" ht="27.75" customHeight="1">
      <c r="B57" s="23">
        <f t="shared" si="32"/>
        <v>50</v>
      </c>
      <c r="C57" s="15" t="s">
        <v>148</v>
      </c>
      <c r="D57" s="79" t="s">
        <v>348</v>
      </c>
      <c r="E57" s="29">
        <v>41724</v>
      </c>
      <c r="F57" s="39" t="s">
        <v>346</v>
      </c>
      <c r="G57" s="15" t="s">
        <v>102</v>
      </c>
      <c r="H57" s="15" t="s">
        <v>81</v>
      </c>
      <c r="I57" s="15" t="s">
        <v>105</v>
      </c>
      <c r="J57" s="26">
        <v>801.22</v>
      </c>
      <c r="K57" s="14">
        <v>41584</v>
      </c>
      <c r="L57" s="15" t="s">
        <v>135</v>
      </c>
      <c r="M57" s="15" t="s">
        <v>47</v>
      </c>
      <c r="N57" s="15" t="s">
        <v>139</v>
      </c>
      <c r="O57" s="13" t="s">
        <v>140</v>
      </c>
      <c r="P57" s="16">
        <v>300000</v>
      </c>
      <c r="Q57" s="27">
        <f t="shared" si="27"/>
        <v>33042300</v>
      </c>
      <c r="R57" s="28" t="s">
        <v>32</v>
      </c>
      <c r="S57" s="38">
        <v>110.14100000000001</v>
      </c>
      <c r="T57" s="29">
        <f t="shared" ref="T57:T58" si="38">SUM(K57)+89</f>
        <v>41673</v>
      </c>
      <c r="U57" s="24" t="s">
        <v>110</v>
      </c>
      <c r="V57" s="30">
        <f t="shared" si="26"/>
        <v>39650.759999999995</v>
      </c>
      <c r="W57" s="24">
        <v>155.72</v>
      </c>
      <c r="X57" s="27">
        <f t="shared" si="22"/>
        <v>6174416.3471999988</v>
      </c>
      <c r="Y57" s="33">
        <v>6174416.3499999996</v>
      </c>
      <c r="Z57" s="29">
        <v>41719</v>
      </c>
      <c r="AA57" s="37">
        <v>32218</v>
      </c>
      <c r="AB57" s="62"/>
    </row>
    <row r="58" spans="2:28" ht="27.75" customHeight="1">
      <c r="B58" s="23">
        <f t="shared" si="32"/>
        <v>51</v>
      </c>
      <c r="C58" s="15" t="s">
        <v>152</v>
      </c>
      <c r="D58" s="79" t="s">
        <v>349</v>
      </c>
      <c r="E58" s="29">
        <v>41724</v>
      </c>
      <c r="F58" s="25" t="s">
        <v>347</v>
      </c>
      <c r="G58" s="15" t="s">
        <v>102</v>
      </c>
      <c r="H58" s="15" t="s">
        <v>81</v>
      </c>
      <c r="I58" s="15" t="s">
        <v>105</v>
      </c>
      <c r="J58" s="26">
        <v>801.22</v>
      </c>
      <c r="K58" s="29">
        <v>41594</v>
      </c>
      <c r="L58" s="15" t="s">
        <v>112</v>
      </c>
      <c r="M58" s="24" t="s">
        <v>47</v>
      </c>
      <c r="N58" s="15" t="s">
        <v>57</v>
      </c>
      <c r="O58" s="13" t="s">
        <v>143</v>
      </c>
      <c r="P58" s="46">
        <v>45000</v>
      </c>
      <c r="Q58" s="27">
        <f t="shared" si="27"/>
        <v>4956345</v>
      </c>
      <c r="R58" s="28" t="s">
        <v>32</v>
      </c>
      <c r="S58" s="38">
        <v>110.14100000000001</v>
      </c>
      <c r="T58" s="29">
        <f t="shared" si="38"/>
        <v>41683</v>
      </c>
      <c r="U58" s="24" t="s">
        <v>110</v>
      </c>
      <c r="V58" s="30">
        <f t="shared" si="26"/>
        <v>5947.6139999999996</v>
      </c>
      <c r="W58" s="24">
        <v>155.72</v>
      </c>
      <c r="X58" s="27">
        <f t="shared" si="22"/>
        <v>926162.45207999996</v>
      </c>
      <c r="Y58" s="33">
        <v>926162.45</v>
      </c>
      <c r="Z58" s="29">
        <v>41719</v>
      </c>
      <c r="AA58" s="37">
        <v>32219</v>
      </c>
      <c r="AB58" s="62"/>
    </row>
    <row r="59" spans="2:28" ht="27.75" customHeight="1">
      <c r="B59" s="109"/>
      <c r="C59" s="110"/>
      <c r="D59" s="129"/>
      <c r="E59" s="112"/>
      <c r="F59" s="113"/>
      <c r="G59" s="110"/>
      <c r="H59" s="110"/>
      <c r="I59" s="110"/>
      <c r="J59" s="115"/>
      <c r="K59" s="112"/>
      <c r="L59" s="110"/>
      <c r="M59" s="122"/>
      <c r="N59" s="110"/>
      <c r="O59" s="114"/>
      <c r="P59" s="130"/>
      <c r="Q59" s="118"/>
      <c r="R59" s="119"/>
      <c r="S59" s="120"/>
      <c r="T59" s="112"/>
      <c r="U59" s="122"/>
      <c r="V59" s="121"/>
      <c r="W59" s="122"/>
      <c r="X59" s="118"/>
      <c r="Y59" s="123"/>
      <c r="Z59" s="112"/>
      <c r="AA59" s="124"/>
      <c r="AB59" s="95"/>
    </row>
    <row r="60" spans="2:28" ht="36.75" customHeight="1" thickBot="1">
      <c r="B60" s="109"/>
      <c r="C60" s="110"/>
      <c r="D60" s="129"/>
      <c r="E60" s="112"/>
      <c r="F60" s="113"/>
      <c r="G60" s="110"/>
      <c r="H60" s="110"/>
      <c r="I60" s="110"/>
      <c r="J60" s="115"/>
      <c r="K60" s="112"/>
      <c r="L60" s="110"/>
      <c r="M60" s="122"/>
      <c r="N60" s="110"/>
      <c r="O60" s="114"/>
      <c r="P60" s="130"/>
      <c r="Q60" s="118"/>
      <c r="R60" s="119"/>
      <c r="S60" s="120"/>
      <c r="T60" s="112"/>
      <c r="U60" s="122"/>
      <c r="V60" s="121"/>
      <c r="W60" s="122"/>
      <c r="X60" s="118"/>
      <c r="Y60" s="123"/>
      <c r="Z60" s="112"/>
      <c r="AA60" s="124"/>
      <c r="AB60" s="95"/>
    </row>
    <row r="61" spans="2:28" ht="57" customHeight="1" thickBot="1">
      <c r="B61" s="17" t="s">
        <v>1</v>
      </c>
      <c r="C61" s="18" t="s">
        <v>2</v>
      </c>
      <c r="D61" s="18" t="s">
        <v>3</v>
      </c>
      <c r="E61" s="18" t="s">
        <v>4</v>
      </c>
      <c r="F61" s="19" t="s">
        <v>5</v>
      </c>
      <c r="G61" s="20" t="s">
        <v>6</v>
      </c>
      <c r="H61" s="18" t="s">
        <v>7</v>
      </c>
      <c r="I61" s="18" t="s">
        <v>8</v>
      </c>
      <c r="J61" s="18" t="s">
        <v>9</v>
      </c>
      <c r="K61" s="18" t="s">
        <v>10</v>
      </c>
      <c r="L61" s="18" t="s">
        <v>11</v>
      </c>
      <c r="M61" s="18" t="s">
        <v>12</v>
      </c>
      <c r="N61" s="18" t="s">
        <v>13</v>
      </c>
      <c r="O61" s="18" t="s">
        <v>14</v>
      </c>
      <c r="P61" s="18" t="s">
        <v>15</v>
      </c>
      <c r="Q61" s="18" t="s">
        <v>16</v>
      </c>
      <c r="R61" s="18" t="s">
        <v>17</v>
      </c>
      <c r="S61" s="21" t="s">
        <v>18</v>
      </c>
      <c r="T61" s="18" t="s">
        <v>19</v>
      </c>
      <c r="U61" s="18" t="s">
        <v>20</v>
      </c>
      <c r="V61" s="18" t="s">
        <v>21</v>
      </c>
      <c r="W61" s="18" t="s">
        <v>22</v>
      </c>
      <c r="X61" s="18" t="s">
        <v>23</v>
      </c>
      <c r="Y61" s="18" t="s">
        <v>24</v>
      </c>
      <c r="Z61" s="18" t="s">
        <v>25</v>
      </c>
      <c r="AA61" s="22" t="s">
        <v>26</v>
      </c>
      <c r="AB61" s="22" t="s">
        <v>400</v>
      </c>
    </row>
    <row r="62" spans="2:28" ht="27.75" customHeight="1">
      <c r="B62" s="80">
        <f>B58+1</f>
        <v>52</v>
      </c>
      <c r="C62" s="83" t="s">
        <v>97</v>
      </c>
      <c r="D62" s="81" t="s">
        <v>350</v>
      </c>
      <c r="E62" s="29">
        <v>41725</v>
      </c>
      <c r="F62" s="82">
        <v>201202300029</v>
      </c>
      <c r="G62" s="83" t="s">
        <v>74</v>
      </c>
      <c r="H62" s="83" t="s">
        <v>81</v>
      </c>
      <c r="I62" s="83" t="s">
        <v>46</v>
      </c>
      <c r="J62" s="84">
        <v>801.22</v>
      </c>
      <c r="K62" s="29">
        <v>41152</v>
      </c>
      <c r="L62" s="69" t="s">
        <v>75</v>
      </c>
      <c r="M62" s="69" t="s">
        <v>47</v>
      </c>
      <c r="N62" s="83" t="s">
        <v>57</v>
      </c>
      <c r="O62" s="15" t="s">
        <v>58</v>
      </c>
      <c r="P62" s="85">
        <v>269766</v>
      </c>
      <c r="Q62" s="43">
        <f t="shared" ref="Q62" si="39">SUM(P62*S62)</f>
        <v>30765463.469999999</v>
      </c>
      <c r="R62" s="86" t="s">
        <v>32</v>
      </c>
      <c r="S62" s="87">
        <v>114.045</v>
      </c>
      <c r="T62" s="29">
        <f t="shared" ref="T62" si="40">SUM(K62)+89</f>
        <v>41241</v>
      </c>
      <c r="U62" s="69" t="s">
        <v>74</v>
      </c>
      <c r="V62" s="44">
        <f t="shared" ref="V62" si="41">SUM(Q62*0.12%)</f>
        <v>36918.556163999994</v>
      </c>
      <c r="W62" s="88">
        <v>155.80000000000001</v>
      </c>
      <c r="X62" s="43">
        <f t="shared" si="22"/>
        <v>5751911.0503511997</v>
      </c>
      <c r="Y62" s="63">
        <v>5751911.0499999998</v>
      </c>
      <c r="Z62" s="89">
        <v>41199</v>
      </c>
      <c r="AA62" s="83" t="s">
        <v>396</v>
      </c>
      <c r="AB62" s="62"/>
    </row>
    <row r="63" spans="2:28" ht="27.75" customHeight="1">
      <c r="B63" s="80">
        <f t="shared" si="32"/>
        <v>53</v>
      </c>
      <c r="C63" s="15" t="s">
        <v>99</v>
      </c>
      <c r="D63" s="81" t="s">
        <v>351</v>
      </c>
      <c r="E63" s="29">
        <v>41725</v>
      </c>
      <c r="F63" s="90">
        <v>201202300032</v>
      </c>
      <c r="G63" s="83" t="s">
        <v>74</v>
      </c>
      <c r="H63" s="15" t="s">
        <v>81</v>
      </c>
      <c r="I63" s="15" t="s">
        <v>46</v>
      </c>
      <c r="J63" s="84">
        <v>801.22</v>
      </c>
      <c r="K63" s="29">
        <v>41167</v>
      </c>
      <c r="L63" s="15" t="s">
        <v>83</v>
      </c>
      <c r="M63" s="24" t="s">
        <v>47</v>
      </c>
      <c r="N63" s="24" t="s">
        <v>98</v>
      </c>
      <c r="O63" s="24" t="s">
        <v>54</v>
      </c>
      <c r="P63" s="85">
        <v>99786</v>
      </c>
      <c r="Q63" s="43">
        <f t="shared" ref="Q63:Q64" si="42">SUM(P63*S63)</f>
        <v>11331299.015999999</v>
      </c>
      <c r="R63" s="86" t="s">
        <v>32</v>
      </c>
      <c r="S63" s="87">
        <v>113.556</v>
      </c>
      <c r="T63" s="29">
        <f t="shared" ref="T63" si="43">SUM(K63)+89</f>
        <v>41256</v>
      </c>
      <c r="U63" s="24" t="s">
        <v>74</v>
      </c>
      <c r="V63" s="44">
        <f t="shared" ref="V63:V70" si="44">SUM(Q63*0.12%)</f>
        <v>13597.558819199998</v>
      </c>
      <c r="W63" s="24">
        <v>155.78</v>
      </c>
      <c r="X63" s="43">
        <f t="shared" si="22"/>
        <v>2118227.7128549758</v>
      </c>
      <c r="Y63" s="33">
        <v>2118227.71</v>
      </c>
      <c r="Z63" s="29">
        <v>41215</v>
      </c>
      <c r="AA63" s="83" t="s">
        <v>396</v>
      </c>
      <c r="AB63" s="62"/>
    </row>
    <row r="64" spans="2:28" ht="27.75" customHeight="1">
      <c r="B64" s="80">
        <f t="shared" si="32"/>
        <v>54</v>
      </c>
      <c r="C64" s="83" t="s">
        <v>107</v>
      </c>
      <c r="D64" s="91" t="s">
        <v>352</v>
      </c>
      <c r="E64" s="89">
        <v>41725</v>
      </c>
      <c r="F64" s="92" t="s">
        <v>108</v>
      </c>
      <c r="G64" s="83" t="s">
        <v>102</v>
      </c>
      <c r="H64" s="83" t="s">
        <v>81</v>
      </c>
      <c r="I64" s="83" t="s">
        <v>105</v>
      </c>
      <c r="J64" s="84">
        <v>801.22</v>
      </c>
      <c r="K64" s="89">
        <v>41274</v>
      </c>
      <c r="L64" s="83" t="s">
        <v>60</v>
      </c>
      <c r="M64" s="69" t="s">
        <v>106</v>
      </c>
      <c r="N64" s="83" t="s">
        <v>57</v>
      </c>
      <c r="O64" s="83" t="s">
        <v>61</v>
      </c>
      <c r="P64" s="67">
        <v>280000</v>
      </c>
      <c r="Q64" s="43">
        <f t="shared" si="42"/>
        <v>31029599.999999996</v>
      </c>
      <c r="R64" s="86" t="s">
        <v>32</v>
      </c>
      <c r="S64" s="93">
        <v>110.82</v>
      </c>
      <c r="T64" s="89">
        <f t="shared" ref="T64" si="45">SUM(K64)+89</f>
        <v>41363</v>
      </c>
      <c r="U64" s="83" t="s">
        <v>102</v>
      </c>
      <c r="V64" s="44">
        <f t="shared" si="44"/>
        <v>37235.51999999999</v>
      </c>
      <c r="W64" s="69">
        <v>155.77000000000001</v>
      </c>
      <c r="X64" s="43">
        <f t="shared" si="22"/>
        <v>5800176.9503999986</v>
      </c>
      <c r="Y64" s="63">
        <v>5800176.9500000002</v>
      </c>
      <c r="Z64" s="89">
        <v>41381</v>
      </c>
      <c r="AA64" s="94">
        <v>26920</v>
      </c>
      <c r="AB64" s="62"/>
    </row>
    <row r="65" spans="2:28" s="95" customFormat="1" ht="27.75" customHeight="1">
      <c r="B65" s="23">
        <f t="shared" si="32"/>
        <v>55</v>
      </c>
      <c r="C65" s="15" t="s">
        <v>187</v>
      </c>
      <c r="D65" s="32" t="s">
        <v>353</v>
      </c>
      <c r="E65" s="14">
        <v>41725</v>
      </c>
      <c r="F65" s="25" t="s">
        <v>201</v>
      </c>
      <c r="G65" s="15" t="s">
        <v>123</v>
      </c>
      <c r="H65" s="15" t="s">
        <v>33</v>
      </c>
      <c r="I65" s="15" t="s">
        <v>34</v>
      </c>
      <c r="J65" s="26">
        <v>801.22</v>
      </c>
      <c r="K65" s="14">
        <v>41625</v>
      </c>
      <c r="L65" s="15" t="s">
        <v>171</v>
      </c>
      <c r="M65" s="15" t="s">
        <v>35</v>
      </c>
      <c r="N65" s="15" t="s">
        <v>64</v>
      </c>
      <c r="O65" s="13" t="s">
        <v>65</v>
      </c>
      <c r="P65" s="67">
        <v>997315</v>
      </c>
      <c r="Q65" s="43">
        <f t="shared" ref="Q65:Q70" si="46">SUM(P65*S65)</f>
        <v>111689606.04450001</v>
      </c>
      <c r="R65" s="28" t="s">
        <v>32</v>
      </c>
      <c r="S65" s="38">
        <v>111.9903</v>
      </c>
      <c r="T65" s="29">
        <f t="shared" ref="T65" si="47">SUM(K65)+89</f>
        <v>41714</v>
      </c>
      <c r="U65" s="24" t="s">
        <v>37</v>
      </c>
      <c r="V65" s="44">
        <f t="shared" si="44"/>
        <v>134027.52725340001</v>
      </c>
      <c r="W65" s="68">
        <v>155.69999999999999</v>
      </c>
      <c r="X65" s="43">
        <f t="shared" si="22"/>
        <v>20868085.99335438</v>
      </c>
      <c r="Y65" s="63">
        <v>21079474.210000001</v>
      </c>
      <c r="Z65" s="29">
        <v>41698</v>
      </c>
      <c r="AA65" s="37">
        <v>9338</v>
      </c>
      <c r="AB65" s="62"/>
    </row>
    <row r="66" spans="2:28" ht="27.75" customHeight="1">
      <c r="B66" s="23">
        <f t="shared" si="32"/>
        <v>56</v>
      </c>
      <c r="C66" s="15" t="s">
        <v>389</v>
      </c>
      <c r="D66" s="32" t="s">
        <v>354</v>
      </c>
      <c r="E66" s="14">
        <v>41729</v>
      </c>
      <c r="F66" s="25" t="s">
        <v>363</v>
      </c>
      <c r="G66" s="15" t="s">
        <v>222</v>
      </c>
      <c r="H66" s="15" t="s">
        <v>42</v>
      </c>
      <c r="I66" s="15" t="s">
        <v>29</v>
      </c>
      <c r="J66" s="26">
        <v>801.22</v>
      </c>
      <c r="K66" s="14">
        <v>41708</v>
      </c>
      <c r="L66" s="15" t="s">
        <v>374</v>
      </c>
      <c r="M66" s="15" t="s">
        <v>30</v>
      </c>
      <c r="N66" s="15" t="s">
        <v>36</v>
      </c>
      <c r="O66" s="13" t="s">
        <v>63</v>
      </c>
      <c r="P66" s="16">
        <v>400000</v>
      </c>
      <c r="Q66" s="27">
        <f t="shared" si="46"/>
        <v>43323600</v>
      </c>
      <c r="R66" s="28" t="s">
        <v>32</v>
      </c>
      <c r="S66" s="7">
        <v>108.309</v>
      </c>
      <c r="T66" s="29">
        <f t="shared" ref="T66:T70" si="48">SUM(K66)+89</f>
        <v>41797</v>
      </c>
      <c r="U66" s="15" t="s">
        <v>222</v>
      </c>
      <c r="V66" s="30">
        <f t="shared" si="44"/>
        <v>51988.319999999992</v>
      </c>
      <c r="W66" s="24">
        <v>155.74</v>
      </c>
      <c r="X66" s="27">
        <f t="shared" si="22"/>
        <v>8096660.9567999989</v>
      </c>
      <c r="Y66" s="33">
        <f t="shared" ref="Y66:Y68" si="49">X66</f>
        <v>8096660.9567999989</v>
      </c>
      <c r="Z66" s="24"/>
      <c r="AA66" s="24"/>
      <c r="AB66" s="62"/>
    </row>
    <row r="67" spans="2:28" ht="27.75" customHeight="1">
      <c r="B67" s="23">
        <f t="shared" si="32"/>
        <v>57</v>
      </c>
      <c r="C67" s="15" t="s">
        <v>390</v>
      </c>
      <c r="D67" s="32" t="s">
        <v>355</v>
      </c>
      <c r="E67" s="14">
        <v>41729</v>
      </c>
      <c r="F67" s="25" t="s">
        <v>364</v>
      </c>
      <c r="G67" s="15" t="s">
        <v>222</v>
      </c>
      <c r="H67" s="15" t="s">
        <v>42</v>
      </c>
      <c r="I67" s="15" t="s">
        <v>29</v>
      </c>
      <c r="J67" s="26">
        <v>801.22</v>
      </c>
      <c r="K67" s="14">
        <v>41708</v>
      </c>
      <c r="L67" s="15" t="s">
        <v>374</v>
      </c>
      <c r="M67" s="15" t="s">
        <v>30</v>
      </c>
      <c r="N67" s="15" t="s">
        <v>36</v>
      </c>
      <c r="O67" s="13" t="s">
        <v>63</v>
      </c>
      <c r="P67" s="16">
        <v>548515</v>
      </c>
      <c r="Q67" s="27">
        <f t="shared" si="46"/>
        <v>59409111.134999998</v>
      </c>
      <c r="R67" s="28" t="s">
        <v>32</v>
      </c>
      <c r="S67" s="7">
        <v>108.309</v>
      </c>
      <c r="T67" s="29">
        <f t="shared" si="48"/>
        <v>41797</v>
      </c>
      <c r="U67" s="15" t="s">
        <v>222</v>
      </c>
      <c r="V67" s="30">
        <f t="shared" si="44"/>
        <v>71290.933361999996</v>
      </c>
      <c r="W67" s="24">
        <v>155.74</v>
      </c>
      <c r="X67" s="27">
        <f t="shared" si="22"/>
        <v>11102849.96179788</v>
      </c>
      <c r="Y67" s="33">
        <f t="shared" si="49"/>
        <v>11102849.96179788</v>
      </c>
      <c r="Z67" s="24"/>
      <c r="AA67" s="24"/>
      <c r="AB67" s="62"/>
    </row>
    <row r="68" spans="2:28" ht="27.75" customHeight="1">
      <c r="B68" s="23">
        <f t="shared" si="32"/>
        <v>58</v>
      </c>
      <c r="C68" s="15" t="s">
        <v>392</v>
      </c>
      <c r="D68" s="32" t="s">
        <v>356</v>
      </c>
      <c r="E68" s="14">
        <v>41729</v>
      </c>
      <c r="F68" s="12" t="s">
        <v>365</v>
      </c>
      <c r="G68" s="15" t="s">
        <v>222</v>
      </c>
      <c r="H68" s="15" t="s">
        <v>42</v>
      </c>
      <c r="I68" s="15" t="s">
        <v>34</v>
      </c>
      <c r="J68" s="26">
        <v>801.22</v>
      </c>
      <c r="K68" s="14">
        <v>41714</v>
      </c>
      <c r="L68" s="15" t="s">
        <v>96</v>
      </c>
      <c r="M68" s="15" t="s">
        <v>35</v>
      </c>
      <c r="N68" s="15" t="s">
        <v>69</v>
      </c>
      <c r="O68" s="13" t="s">
        <v>103</v>
      </c>
      <c r="P68" s="16">
        <v>950034</v>
      </c>
      <c r="Q68" s="27">
        <f t="shared" si="46"/>
        <v>103989771.60600001</v>
      </c>
      <c r="R68" s="28" t="s">
        <v>32</v>
      </c>
      <c r="S68" s="7">
        <v>109.459</v>
      </c>
      <c r="T68" s="29">
        <f t="shared" si="48"/>
        <v>41803</v>
      </c>
      <c r="U68" s="15" t="s">
        <v>222</v>
      </c>
      <c r="V68" s="30">
        <f t="shared" si="44"/>
        <v>124787.72592719999</v>
      </c>
      <c r="W68" s="24">
        <v>155.74</v>
      </c>
      <c r="X68" s="27">
        <f t="shared" si="22"/>
        <v>19434440.43590213</v>
      </c>
      <c r="Y68" s="33">
        <f t="shared" si="49"/>
        <v>19434440.43590213</v>
      </c>
      <c r="Z68" s="24"/>
      <c r="AA68" s="24"/>
      <c r="AB68" s="62"/>
    </row>
    <row r="69" spans="2:28" ht="27.75" customHeight="1">
      <c r="B69" s="23">
        <f t="shared" si="32"/>
        <v>59</v>
      </c>
      <c r="C69" s="15" t="s">
        <v>394</v>
      </c>
      <c r="D69" s="32" t="s">
        <v>357</v>
      </c>
      <c r="E69" s="14">
        <v>41729</v>
      </c>
      <c r="F69" s="25" t="s">
        <v>368</v>
      </c>
      <c r="G69" s="15" t="s">
        <v>222</v>
      </c>
      <c r="H69" s="15" t="s">
        <v>42</v>
      </c>
      <c r="I69" s="15" t="s">
        <v>43</v>
      </c>
      <c r="J69" s="26">
        <v>801.22</v>
      </c>
      <c r="K69" s="14">
        <v>41719</v>
      </c>
      <c r="L69" s="15" t="s">
        <v>125</v>
      </c>
      <c r="M69" s="15" t="s">
        <v>44</v>
      </c>
      <c r="N69" s="15" t="s">
        <v>67</v>
      </c>
      <c r="O69" s="13" t="s">
        <v>379</v>
      </c>
      <c r="P69" s="16">
        <v>899927</v>
      </c>
      <c r="Q69" s="27">
        <f t="shared" si="46"/>
        <v>97662777.820999995</v>
      </c>
      <c r="R69" s="28" t="s">
        <v>32</v>
      </c>
      <c r="S69" s="38">
        <v>108.523</v>
      </c>
      <c r="T69" s="29">
        <f t="shared" si="48"/>
        <v>41808</v>
      </c>
      <c r="U69" s="15" t="s">
        <v>222</v>
      </c>
      <c r="V69" s="30">
        <f t="shared" si="44"/>
        <v>117195.33338519998</v>
      </c>
      <c r="W69" s="24">
        <v>155.74</v>
      </c>
      <c r="X69" s="27">
        <f t="shared" si="22"/>
        <v>18252001.221411046</v>
      </c>
      <c r="Y69" s="33">
        <f t="shared" ref="Y69" si="50">X69</f>
        <v>18252001.221411046</v>
      </c>
      <c r="Z69" s="24"/>
      <c r="AA69" s="24"/>
      <c r="AB69" s="62"/>
    </row>
    <row r="70" spans="2:28" ht="30.75" customHeight="1" thickBot="1">
      <c r="B70" s="23">
        <f t="shared" si="32"/>
        <v>60</v>
      </c>
      <c r="C70" s="15" t="s">
        <v>395</v>
      </c>
      <c r="D70" s="32" t="s">
        <v>358</v>
      </c>
      <c r="E70" s="14">
        <v>41729</v>
      </c>
      <c r="F70" s="25" t="s">
        <v>370</v>
      </c>
      <c r="G70" s="15" t="s">
        <v>222</v>
      </c>
      <c r="H70" s="15" t="s">
        <v>42</v>
      </c>
      <c r="I70" s="15" t="s">
        <v>34</v>
      </c>
      <c r="J70" s="26">
        <v>801.22</v>
      </c>
      <c r="K70" s="14">
        <v>41729</v>
      </c>
      <c r="L70" s="15" t="s">
        <v>376</v>
      </c>
      <c r="M70" s="15" t="s">
        <v>35</v>
      </c>
      <c r="N70" s="15" t="s">
        <v>67</v>
      </c>
      <c r="O70" s="13" t="s">
        <v>84</v>
      </c>
      <c r="P70" s="16">
        <v>950149</v>
      </c>
      <c r="Q70" s="27">
        <f t="shared" si="46"/>
        <v>102156219.884</v>
      </c>
      <c r="R70" s="28" t="s">
        <v>32</v>
      </c>
      <c r="S70" s="38">
        <v>107.51600000000001</v>
      </c>
      <c r="T70" s="29">
        <f t="shared" si="48"/>
        <v>41818</v>
      </c>
      <c r="U70" s="15" t="s">
        <v>222</v>
      </c>
      <c r="V70" s="30">
        <f t="shared" si="44"/>
        <v>122587.4638608</v>
      </c>
      <c r="W70" s="24">
        <v>155.74</v>
      </c>
      <c r="X70" s="27">
        <f t="shared" si="22"/>
        <v>19091771.621680994</v>
      </c>
      <c r="Y70" s="33">
        <f t="shared" ref="Y70" si="51">X70</f>
        <v>19091771.621680994</v>
      </c>
      <c r="Z70" s="24"/>
      <c r="AA70" s="24"/>
      <c r="AB70" s="62"/>
    </row>
    <row r="71" spans="2:28" ht="15.75" thickBot="1">
      <c r="P71" s="56">
        <f>SUM(P5:P70)</f>
        <v>25444036</v>
      </c>
      <c r="Q71" s="57">
        <f>SUM(Q5:Q70)</f>
        <v>2790390907.0827994</v>
      </c>
      <c r="R71" s="74"/>
      <c r="S71" s="96"/>
      <c r="T71" s="97"/>
      <c r="U71" s="98"/>
      <c r="V71" s="57">
        <f>SUM(V5:V70)</f>
        <v>3348469.0884993598</v>
      </c>
      <c r="W71" s="74"/>
      <c r="X71" s="57">
        <f>SUM(X5:X70)</f>
        <v>521480297.42213076</v>
      </c>
      <c r="Y71" s="57">
        <f>SUM(Y5:Y70)</f>
        <v>521838905.43506187</v>
      </c>
    </row>
  </sheetData>
  <pageMargins left="0" right="0" top="0" bottom="0" header="0.31496062992125984" footer="0"/>
  <pageSetup paperSize="8" orientation="landscape" r:id="rId1"/>
  <ignoredErrors>
    <ignoredError sqref="F5 F7:F11 F34:F38 F42 F47:F50 F52:F58 F64:F65 F18:F30" numberStoredAsText="1"/>
    <ignoredError sqref="X7:X8 T39 Q62 T64 T7" formula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B2:AA32"/>
  <sheetViews>
    <sheetView workbookViewId="0">
      <selection activeCell="E2" sqref="E2"/>
    </sheetView>
  </sheetViews>
  <sheetFormatPr defaultRowHeight="15"/>
  <cols>
    <col min="1" max="1" width="4.7109375" customWidth="1"/>
    <col min="2" max="2" width="4.140625" customWidth="1"/>
    <col min="3" max="3" width="6" customWidth="1"/>
    <col min="4" max="4" width="8.85546875" customWidth="1"/>
    <col min="5" max="5" width="5" style="1" customWidth="1"/>
    <col min="6" max="6" width="11.42578125" style="3" customWidth="1"/>
    <col min="7" max="7" width="10.42578125" style="3" customWidth="1"/>
    <col min="8" max="8" width="9" style="3" customWidth="1"/>
    <col min="9" max="9" width="10.140625" style="3" customWidth="1"/>
    <col min="10" max="10" width="6.140625" customWidth="1"/>
    <col min="11" max="11" width="6.5703125" style="1" customWidth="1"/>
    <col min="12" max="12" width="11.5703125" style="3" customWidth="1"/>
    <col min="13" max="13" width="6.85546875" style="3" customWidth="1"/>
    <col min="14" max="14" width="8.7109375" style="5" customWidth="1"/>
    <col min="15" max="15" width="10.28515625" style="6" customWidth="1"/>
    <col min="16" max="16" width="8" customWidth="1"/>
    <col min="17" max="17" width="11.140625" customWidth="1"/>
    <col min="18" max="18" width="6.42578125" customWidth="1"/>
    <col min="19" max="19" width="6.42578125" style="3" customWidth="1"/>
    <col min="20" max="20" width="6.42578125" style="1" customWidth="1"/>
    <col min="21" max="21" width="8.5703125" style="3" customWidth="1"/>
    <col min="22" max="22" width="9" customWidth="1"/>
    <col min="23" max="23" width="5.42578125" customWidth="1"/>
    <col min="24" max="24" width="11" customWidth="1"/>
    <col min="25" max="25" width="7" customWidth="1"/>
    <col min="26" max="27" width="6.85546875" customWidth="1"/>
  </cols>
  <sheetData>
    <row r="2" spans="2:27" ht="15.75">
      <c r="L2" s="4" t="s">
        <v>0</v>
      </c>
    </row>
    <row r="3" spans="2:27" ht="22.5" customHeight="1" thickBot="1">
      <c r="L3" s="4" t="s">
        <v>399</v>
      </c>
      <c r="P3" s="2"/>
    </row>
    <row r="4" spans="2:27" s="3" customFormat="1" ht="42.6" customHeight="1" thickBot="1">
      <c r="B4" s="17" t="s">
        <v>1</v>
      </c>
      <c r="C4" s="18" t="s">
        <v>2</v>
      </c>
      <c r="D4" s="18" t="s">
        <v>3</v>
      </c>
      <c r="E4" s="18" t="s">
        <v>4</v>
      </c>
      <c r="F4" s="19" t="s">
        <v>5</v>
      </c>
      <c r="G4" s="20" t="s">
        <v>6</v>
      </c>
      <c r="H4" s="18" t="s">
        <v>7</v>
      </c>
      <c r="I4" s="18" t="s">
        <v>8</v>
      </c>
      <c r="J4" s="18" t="s">
        <v>9</v>
      </c>
      <c r="K4" s="18" t="s">
        <v>10</v>
      </c>
      <c r="L4" s="18" t="s">
        <v>11</v>
      </c>
      <c r="M4" s="18" t="s">
        <v>12</v>
      </c>
      <c r="N4" s="18" t="s">
        <v>13</v>
      </c>
      <c r="O4" s="18" t="s">
        <v>14</v>
      </c>
      <c r="P4" s="18" t="s">
        <v>15</v>
      </c>
      <c r="Q4" s="18" t="s">
        <v>16</v>
      </c>
      <c r="R4" s="18" t="s">
        <v>17</v>
      </c>
      <c r="S4" s="18" t="s">
        <v>18</v>
      </c>
      <c r="T4" s="18" t="s">
        <v>19</v>
      </c>
      <c r="U4" s="18" t="s">
        <v>20</v>
      </c>
      <c r="V4" s="18" t="s">
        <v>21</v>
      </c>
      <c r="W4" s="18" t="s">
        <v>22</v>
      </c>
      <c r="X4" s="18" t="s">
        <v>23</v>
      </c>
      <c r="Y4" s="18" t="s">
        <v>24</v>
      </c>
      <c r="Z4" s="18" t="s">
        <v>25</v>
      </c>
      <c r="AA4" s="22" t="s">
        <v>26</v>
      </c>
    </row>
    <row r="5" spans="2:27" ht="24.75">
      <c r="B5" s="23">
        <v>1</v>
      </c>
      <c r="C5" s="15" t="s">
        <v>236</v>
      </c>
      <c r="D5" s="14" t="s">
        <v>66</v>
      </c>
      <c r="E5" s="14"/>
      <c r="F5" s="25" t="s">
        <v>208</v>
      </c>
      <c r="G5" s="15" t="s">
        <v>114</v>
      </c>
      <c r="H5" s="15" t="s">
        <v>115</v>
      </c>
      <c r="I5" s="15" t="s">
        <v>105</v>
      </c>
      <c r="J5" s="26">
        <v>801.22</v>
      </c>
      <c r="K5" s="14">
        <v>41645</v>
      </c>
      <c r="L5" s="15" t="s">
        <v>135</v>
      </c>
      <c r="M5" s="15" t="s">
        <v>47</v>
      </c>
      <c r="N5" s="15" t="s">
        <v>64</v>
      </c>
      <c r="O5" s="13" t="s">
        <v>232</v>
      </c>
      <c r="P5" s="16">
        <v>950057</v>
      </c>
      <c r="Q5" s="27">
        <f t="shared" ref="Q5:Q8" si="0">SUM(P5*S5)</f>
        <v>102945326.34899999</v>
      </c>
      <c r="R5" s="28" t="s">
        <v>32</v>
      </c>
      <c r="S5" s="7">
        <v>108.357</v>
      </c>
      <c r="T5" s="29">
        <f t="shared" ref="T5:T8" si="1">SUM(K5)+89</f>
        <v>41734</v>
      </c>
      <c r="U5" s="15" t="s">
        <v>123</v>
      </c>
      <c r="V5" s="30">
        <f t="shared" ref="V5:V8" si="2">SUM(Q5*0.12%)</f>
        <v>123534.39161879999</v>
      </c>
      <c r="W5" s="24">
        <v>155.75</v>
      </c>
      <c r="X5" s="27">
        <f t="shared" ref="X5:X31" si="3">SUM(V5*W5)</f>
        <v>19240481.494628098</v>
      </c>
      <c r="Y5" s="31">
        <v>0</v>
      </c>
      <c r="Z5" s="24"/>
      <c r="AA5" s="24"/>
    </row>
    <row r="6" spans="2:27" ht="20.25" customHeight="1">
      <c r="B6" s="23">
        <f t="shared" ref="B6:B31" si="4">B5+1</f>
        <v>2</v>
      </c>
      <c r="C6" s="15" t="s">
        <v>241</v>
      </c>
      <c r="D6" s="14" t="s">
        <v>66</v>
      </c>
      <c r="E6" s="14"/>
      <c r="F6" s="25" t="s">
        <v>216</v>
      </c>
      <c r="G6" s="15" t="s">
        <v>95</v>
      </c>
      <c r="H6" s="15" t="s">
        <v>51</v>
      </c>
      <c r="I6" s="15" t="s">
        <v>105</v>
      </c>
      <c r="J6" s="26">
        <v>801.22</v>
      </c>
      <c r="K6" s="14">
        <v>41655</v>
      </c>
      <c r="L6" s="15" t="s">
        <v>225</v>
      </c>
      <c r="M6" s="15" t="s">
        <v>47</v>
      </c>
      <c r="N6" s="15" t="s">
        <v>31</v>
      </c>
      <c r="O6" s="13" t="s">
        <v>86</v>
      </c>
      <c r="P6" s="16">
        <v>120284</v>
      </c>
      <c r="Q6" s="27">
        <f t="shared" si="0"/>
        <v>13183366.968</v>
      </c>
      <c r="R6" s="28" t="s">
        <v>32</v>
      </c>
      <c r="S6" s="7">
        <v>109.602</v>
      </c>
      <c r="T6" s="29">
        <f t="shared" si="1"/>
        <v>41744</v>
      </c>
      <c r="U6" s="15" t="s">
        <v>37</v>
      </c>
      <c r="V6" s="30">
        <f t="shared" si="2"/>
        <v>15820.040361599999</v>
      </c>
      <c r="W6" s="24">
        <v>155.75</v>
      </c>
      <c r="X6" s="27">
        <f t="shared" si="3"/>
        <v>2463971.2863191999</v>
      </c>
      <c r="Y6" s="31">
        <v>0</v>
      </c>
      <c r="Z6" s="24"/>
      <c r="AA6" s="24"/>
    </row>
    <row r="7" spans="2:27" ht="20.25" customHeight="1">
      <c r="B7" s="23">
        <f t="shared" si="4"/>
        <v>3</v>
      </c>
      <c r="C7" s="15" t="s">
        <v>242</v>
      </c>
      <c r="D7" s="14" t="s">
        <v>66</v>
      </c>
      <c r="E7" s="14"/>
      <c r="F7" s="25" t="s">
        <v>217</v>
      </c>
      <c r="G7" s="15" t="s">
        <v>102</v>
      </c>
      <c r="H7" s="15" t="s">
        <v>76</v>
      </c>
      <c r="I7" s="15" t="s">
        <v>105</v>
      </c>
      <c r="J7" s="26">
        <v>801.22</v>
      </c>
      <c r="K7" s="14">
        <v>41655</v>
      </c>
      <c r="L7" s="15" t="s">
        <v>225</v>
      </c>
      <c r="M7" s="15" t="s">
        <v>47</v>
      </c>
      <c r="N7" s="15" t="s">
        <v>31</v>
      </c>
      <c r="O7" s="13" t="s">
        <v>86</v>
      </c>
      <c r="P7" s="16">
        <v>216000</v>
      </c>
      <c r="Q7" s="27">
        <f t="shared" si="0"/>
        <v>23674032</v>
      </c>
      <c r="R7" s="28" t="s">
        <v>32</v>
      </c>
      <c r="S7" s="7">
        <v>109.602</v>
      </c>
      <c r="T7" s="29">
        <f t="shared" si="1"/>
        <v>41744</v>
      </c>
      <c r="U7" s="15" t="s">
        <v>102</v>
      </c>
      <c r="V7" s="30">
        <f t="shared" si="2"/>
        <v>28408.838399999997</v>
      </c>
      <c r="W7" s="24">
        <v>155.75</v>
      </c>
      <c r="X7" s="27">
        <f t="shared" si="3"/>
        <v>4424676.5807999996</v>
      </c>
      <c r="Y7" s="31">
        <v>0</v>
      </c>
      <c r="Z7" s="24"/>
      <c r="AA7" s="24"/>
    </row>
    <row r="8" spans="2:27" ht="20.25" customHeight="1">
      <c r="B8" s="23">
        <f t="shared" si="4"/>
        <v>4</v>
      </c>
      <c r="C8" s="15" t="s">
        <v>245</v>
      </c>
      <c r="D8" s="14" t="s">
        <v>66</v>
      </c>
      <c r="E8" s="14"/>
      <c r="F8" s="39" t="s">
        <v>274</v>
      </c>
      <c r="G8" s="15" t="s">
        <v>123</v>
      </c>
      <c r="H8" s="15" t="s">
        <v>33</v>
      </c>
      <c r="I8" s="15" t="s">
        <v>34</v>
      </c>
      <c r="J8" s="26">
        <v>801.22</v>
      </c>
      <c r="K8" s="14">
        <v>41665</v>
      </c>
      <c r="L8" s="15" t="s">
        <v>88</v>
      </c>
      <c r="M8" s="15" t="s">
        <v>35</v>
      </c>
      <c r="N8" s="15" t="s">
        <v>67</v>
      </c>
      <c r="O8" s="13" t="s">
        <v>84</v>
      </c>
      <c r="P8" s="16">
        <v>950131</v>
      </c>
      <c r="Q8" s="27">
        <f t="shared" si="0"/>
        <v>104211888.2896</v>
      </c>
      <c r="R8" s="28" t="s">
        <v>32</v>
      </c>
      <c r="S8" s="38">
        <v>109.6816</v>
      </c>
      <c r="T8" s="29">
        <f t="shared" si="1"/>
        <v>41754</v>
      </c>
      <c r="U8" s="15" t="s">
        <v>37</v>
      </c>
      <c r="V8" s="30">
        <f t="shared" si="2"/>
        <v>125054.26594751999</v>
      </c>
      <c r="W8" s="24">
        <v>155.75</v>
      </c>
      <c r="X8" s="27">
        <f t="shared" si="3"/>
        <v>19477201.921326239</v>
      </c>
      <c r="Y8" s="31">
        <v>0</v>
      </c>
      <c r="Z8" s="24"/>
      <c r="AA8" s="24"/>
    </row>
    <row r="9" spans="2:27" s="2" customFormat="1" ht="20.25" customHeight="1">
      <c r="B9" s="23">
        <f t="shared" si="4"/>
        <v>5</v>
      </c>
      <c r="C9" s="15" t="s">
        <v>277</v>
      </c>
      <c r="D9" s="32" t="s">
        <v>66</v>
      </c>
      <c r="E9" s="14"/>
      <c r="F9" s="25" t="s">
        <v>278</v>
      </c>
      <c r="G9" s="13" t="s">
        <v>123</v>
      </c>
      <c r="H9" s="13" t="s">
        <v>62</v>
      </c>
      <c r="I9" s="13" t="s">
        <v>105</v>
      </c>
      <c r="J9" s="26">
        <v>801.22</v>
      </c>
      <c r="K9" s="14">
        <v>41677</v>
      </c>
      <c r="L9" s="15" t="s">
        <v>279</v>
      </c>
      <c r="M9" s="15" t="s">
        <v>47</v>
      </c>
      <c r="N9" s="15" t="s">
        <v>36</v>
      </c>
      <c r="O9" s="15" t="s">
        <v>280</v>
      </c>
      <c r="P9" s="16">
        <v>255000</v>
      </c>
      <c r="Q9" s="27">
        <f t="shared" ref="Q9:Q21" si="5">SUM(P9*S9)</f>
        <v>28191270</v>
      </c>
      <c r="R9" s="28" t="s">
        <v>32</v>
      </c>
      <c r="S9" s="7">
        <v>110.554</v>
      </c>
      <c r="T9" s="29">
        <f t="shared" ref="T9:T21" si="6">SUM(K9)+89</f>
        <v>41766</v>
      </c>
      <c r="U9" s="13" t="s">
        <v>37</v>
      </c>
      <c r="V9" s="30">
        <f t="shared" ref="V9:V31" si="7">SUM(Q9*0.12%)</f>
        <v>33829.523999999998</v>
      </c>
      <c r="W9" s="24">
        <v>155.75</v>
      </c>
      <c r="X9" s="27">
        <f t="shared" si="3"/>
        <v>5268948.3629999999</v>
      </c>
      <c r="Y9" s="31">
        <v>0</v>
      </c>
      <c r="Z9" s="24"/>
      <c r="AA9" s="24"/>
    </row>
    <row r="10" spans="2:27" ht="20.25" customHeight="1">
      <c r="B10" s="23">
        <f t="shared" si="4"/>
        <v>6</v>
      </c>
      <c r="C10" s="15" t="s">
        <v>281</v>
      </c>
      <c r="D10" s="32" t="s">
        <v>66</v>
      </c>
      <c r="E10" s="14"/>
      <c r="F10" s="25" t="s">
        <v>282</v>
      </c>
      <c r="G10" s="45" t="s">
        <v>38</v>
      </c>
      <c r="H10" s="13" t="s">
        <v>80</v>
      </c>
      <c r="I10" s="13" t="s">
        <v>105</v>
      </c>
      <c r="J10" s="26">
        <v>801.22</v>
      </c>
      <c r="K10" s="14">
        <v>41677</v>
      </c>
      <c r="L10" s="15" t="s">
        <v>279</v>
      </c>
      <c r="M10" s="15" t="s">
        <v>47</v>
      </c>
      <c r="N10" s="15" t="s">
        <v>36</v>
      </c>
      <c r="O10" s="15" t="s">
        <v>280</v>
      </c>
      <c r="P10" s="16">
        <v>24000</v>
      </c>
      <c r="Q10" s="27">
        <f t="shared" si="5"/>
        <v>2640696</v>
      </c>
      <c r="R10" s="28" t="s">
        <v>32</v>
      </c>
      <c r="S10" s="10">
        <v>110.029</v>
      </c>
      <c r="T10" s="29">
        <f t="shared" si="6"/>
        <v>41766</v>
      </c>
      <c r="U10" s="13" t="s">
        <v>38</v>
      </c>
      <c r="V10" s="30">
        <f t="shared" si="7"/>
        <v>3168.8351999999995</v>
      </c>
      <c r="W10" s="24">
        <v>155.75</v>
      </c>
      <c r="X10" s="27">
        <f t="shared" si="3"/>
        <v>493546.08239999996</v>
      </c>
      <c r="Y10" s="31">
        <v>0</v>
      </c>
      <c r="Z10" s="24"/>
      <c r="AA10" s="24"/>
    </row>
    <row r="11" spans="2:27" ht="20.25" customHeight="1">
      <c r="B11" s="23">
        <f t="shared" si="4"/>
        <v>7</v>
      </c>
      <c r="C11" s="15" t="s">
        <v>283</v>
      </c>
      <c r="D11" s="32" t="s">
        <v>66</v>
      </c>
      <c r="E11" s="14"/>
      <c r="F11" s="25" t="s">
        <v>284</v>
      </c>
      <c r="G11" s="45" t="s">
        <v>38</v>
      </c>
      <c r="H11" s="13" t="s">
        <v>80</v>
      </c>
      <c r="I11" s="13" t="s">
        <v>105</v>
      </c>
      <c r="J11" s="26">
        <v>801.22</v>
      </c>
      <c r="K11" s="14">
        <v>41677</v>
      </c>
      <c r="L11" s="15" t="s">
        <v>279</v>
      </c>
      <c r="M11" s="15" t="s">
        <v>47</v>
      </c>
      <c r="N11" s="15" t="s">
        <v>36</v>
      </c>
      <c r="O11" s="15" t="s">
        <v>280</v>
      </c>
      <c r="P11" s="16">
        <v>36000</v>
      </c>
      <c r="Q11" s="27">
        <f t="shared" si="5"/>
        <v>3961044</v>
      </c>
      <c r="R11" s="28" t="s">
        <v>32</v>
      </c>
      <c r="S11" s="10">
        <v>110.029</v>
      </c>
      <c r="T11" s="29">
        <f t="shared" si="6"/>
        <v>41766</v>
      </c>
      <c r="U11" s="13" t="s">
        <v>38</v>
      </c>
      <c r="V11" s="30">
        <f t="shared" si="7"/>
        <v>4753.2527999999993</v>
      </c>
      <c r="W11" s="24">
        <v>155.75</v>
      </c>
      <c r="X11" s="27">
        <f t="shared" si="3"/>
        <v>740319.12359999993</v>
      </c>
      <c r="Y11" s="31">
        <v>0</v>
      </c>
      <c r="Z11" s="24"/>
      <c r="AA11" s="24"/>
    </row>
    <row r="12" spans="2:27" ht="20.25" customHeight="1">
      <c r="B12" s="23">
        <f t="shared" si="4"/>
        <v>8</v>
      </c>
      <c r="C12" s="15" t="s">
        <v>285</v>
      </c>
      <c r="D12" s="32" t="s">
        <v>66</v>
      </c>
      <c r="E12" s="14"/>
      <c r="F12" s="25" t="s">
        <v>286</v>
      </c>
      <c r="G12" s="13" t="s">
        <v>134</v>
      </c>
      <c r="H12" s="13" t="s">
        <v>80</v>
      </c>
      <c r="I12" s="13" t="s">
        <v>105</v>
      </c>
      <c r="J12" s="26">
        <v>801.22</v>
      </c>
      <c r="K12" s="14">
        <v>41677</v>
      </c>
      <c r="L12" s="15" t="s">
        <v>279</v>
      </c>
      <c r="M12" s="15" t="s">
        <v>47</v>
      </c>
      <c r="N12" s="15" t="s">
        <v>36</v>
      </c>
      <c r="O12" s="15" t="s">
        <v>280</v>
      </c>
      <c r="P12" s="16">
        <v>30000</v>
      </c>
      <c r="Q12" s="27">
        <f t="shared" si="5"/>
        <v>3300870</v>
      </c>
      <c r="R12" s="28" t="s">
        <v>32</v>
      </c>
      <c r="S12" s="10">
        <v>110.029</v>
      </c>
      <c r="T12" s="29">
        <f t="shared" si="6"/>
        <v>41766</v>
      </c>
      <c r="U12" s="13" t="s">
        <v>38</v>
      </c>
      <c r="V12" s="30">
        <f t="shared" si="7"/>
        <v>3961.0439999999999</v>
      </c>
      <c r="W12" s="24">
        <v>155.75</v>
      </c>
      <c r="X12" s="27">
        <f t="shared" si="3"/>
        <v>616932.603</v>
      </c>
      <c r="Y12" s="31">
        <v>0</v>
      </c>
      <c r="Z12" s="24"/>
      <c r="AA12" s="24"/>
    </row>
    <row r="13" spans="2:27" ht="20.25" customHeight="1">
      <c r="B13" s="23">
        <f t="shared" si="4"/>
        <v>9</v>
      </c>
      <c r="C13" s="15" t="s">
        <v>287</v>
      </c>
      <c r="D13" s="32" t="s">
        <v>66</v>
      </c>
      <c r="E13" s="14"/>
      <c r="F13" s="25" t="s">
        <v>288</v>
      </c>
      <c r="G13" s="13" t="s">
        <v>102</v>
      </c>
      <c r="H13" s="13" t="s">
        <v>76</v>
      </c>
      <c r="I13" s="13" t="s">
        <v>105</v>
      </c>
      <c r="J13" s="26">
        <v>801.22</v>
      </c>
      <c r="K13" s="14">
        <v>41677</v>
      </c>
      <c r="L13" s="15" t="s">
        <v>279</v>
      </c>
      <c r="M13" s="15" t="s">
        <v>47</v>
      </c>
      <c r="N13" s="15" t="s">
        <v>36</v>
      </c>
      <c r="O13" s="15" t="s">
        <v>280</v>
      </c>
      <c r="P13" s="16">
        <v>110000</v>
      </c>
      <c r="Q13" s="27">
        <f t="shared" si="5"/>
        <v>12115180</v>
      </c>
      <c r="R13" s="28" t="s">
        <v>32</v>
      </c>
      <c r="S13" s="7">
        <v>110.13800000000001</v>
      </c>
      <c r="T13" s="29">
        <f t="shared" si="6"/>
        <v>41766</v>
      </c>
      <c r="U13" s="13" t="s">
        <v>102</v>
      </c>
      <c r="V13" s="30">
        <f t="shared" si="7"/>
        <v>14538.215999999999</v>
      </c>
      <c r="W13" s="24">
        <v>155.75</v>
      </c>
      <c r="X13" s="27">
        <f t="shared" si="3"/>
        <v>2264327.142</v>
      </c>
      <c r="Y13" s="31">
        <v>0</v>
      </c>
      <c r="Z13" s="24"/>
      <c r="AA13" s="24"/>
    </row>
    <row r="14" spans="2:27" ht="20.25" customHeight="1">
      <c r="B14" s="23">
        <f t="shared" si="4"/>
        <v>10</v>
      </c>
      <c r="C14" s="15" t="s">
        <v>289</v>
      </c>
      <c r="D14" s="32" t="s">
        <v>66</v>
      </c>
      <c r="E14" s="14"/>
      <c r="F14" s="11">
        <v>201400010025</v>
      </c>
      <c r="G14" s="13" t="s">
        <v>95</v>
      </c>
      <c r="H14" s="13" t="s">
        <v>45</v>
      </c>
      <c r="I14" s="13" t="s">
        <v>105</v>
      </c>
      <c r="J14" s="26">
        <v>801.22</v>
      </c>
      <c r="K14" s="14">
        <v>41677</v>
      </c>
      <c r="L14" s="15" t="s">
        <v>279</v>
      </c>
      <c r="M14" s="15" t="s">
        <v>47</v>
      </c>
      <c r="N14" s="15" t="s">
        <v>36</v>
      </c>
      <c r="O14" s="15" t="s">
        <v>280</v>
      </c>
      <c r="P14" s="16">
        <v>90000</v>
      </c>
      <c r="Q14" s="27">
        <f t="shared" si="5"/>
        <v>9912420</v>
      </c>
      <c r="R14" s="28" t="s">
        <v>32</v>
      </c>
      <c r="S14" s="7">
        <v>110.13800000000001</v>
      </c>
      <c r="T14" s="29">
        <f t="shared" si="6"/>
        <v>41766</v>
      </c>
      <c r="U14" s="13" t="s">
        <v>37</v>
      </c>
      <c r="V14" s="30">
        <f t="shared" si="7"/>
        <v>11894.903999999999</v>
      </c>
      <c r="W14" s="24">
        <v>155.75</v>
      </c>
      <c r="X14" s="27">
        <f t="shared" si="3"/>
        <v>1852631.2979999997</v>
      </c>
      <c r="Y14" s="31">
        <v>0</v>
      </c>
      <c r="Z14" s="24"/>
      <c r="AA14" s="24"/>
    </row>
    <row r="15" spans="2:27" ht="20.25" customHeight="1">
      <c r="B15" s="23">
        <f t="shared" si="4"/>
        <v>11</v>
      </c>
      <c r="C15" s="15" t="s">
        <v>290</v>
      </c>
      <c r="D15" s="32" t="s">
        <v>66</v>
      </c>
      <c r="E15" s="14"/>
      <c r="F15" s="12">
        <v>201400010026</v>
      </c>
      <c r="G15" s="13" t="s">
        <v>95</v>
      </c>
      <c r="H15" s="13" t="s">
        <v>51</v>
      </c>
      <c r="I15" s="13" t="s">
        <v>105</v>
      </c>
      <c r="J15" s="26">
        <v>801.22</v>
      </c>
      <c r="K15" s="14">
        <v>41677</v>
      </c>
      <c r="L15" s="15" t="s">
        <v>279</v>
      </c>
      <c r="M15" s="15" t="s">
        <v>47</v>
      </c>
      <c r="N15" s="15" t="s">
        <v>36</v>
      </c>
      <c r="O15" s="15" t="s">
        <v>280</v>
      </c>
      <c r="P15" s="16">
        <v>104779</v>
      </c>
      <c r="Q15" s="27">
        <f t="shared" si="5"/>
        <v>11540149.502</v>
      </c>
      <c r="R15" s="28" t="s">
        <v>32</v>
      </c>
      <c r="S15" s="7">
        <v>110.13800000000001</v>
      </c>
      <c r="T15" s="29">
        <f t="shared" si="6"/>
        <v>41766</v>
      </c>
      <c r="U15" s="13" t="s">
        <v>37</v>
      </c>
      <c r="V15" s="30">
        <f t="shared" si="7"/>
        <v>13848.179402399999</v>
      </c>
      <c r="W15" s="24">
        <v>155.75</v>
      </c>
      <c r="X15" s="27">
        <f t="shared" si="3"/>
        <v>2156853.9419237999</v>
      </c>
      <c r="Y15" s="31">
        <v>0</v>
      </c>
      <c r="Z15" s="24"/>
      <c r="AA15" s="24"/>
    </row>
    <row r="16" spans="2:27" ht="19.5" customHeight="1">
      <c r="B16" s="23">
        <f t="shared" si="4"/>
        <v>12</v>
      </c>
      <c r="C16" s="15" t="s">
        <v>304</v>
      </c>
      <c r="D16" s="32" t="s">
        <v>66</v>
      </c>
      <c r="E16" s="14"/>
      <c r="F16" s="25" t="s">
        <v>305</v>
      </c>
      <c r="G16" s="13" t="s">
        <v>222</v>
      </c>
      <c r="H16" s="13" t="s">
        <v>42</v>
      </c>
      <c r="I16" s="13" t="s">
        <v>105</v>
      </c>
      <c r="J16" s="26">
        <v>801.22</v>
      </c>
      <c r="K16" s="14">
        <v>41690</v>
      </c>
      <c r="L16" s="15" t="s">
        <v>306</v>
      </c>
      <c r="M16" s="15" t="s">
        <v>47</v>
      </c>
      <c r="N16" s="15" t="s">
        <v>68</v>
      </c>
      <c r="O16" s="15" t="s">
        <v>111</v>
      </c>
      <c r="P16" s="16">
        <v>499863</v>
      </c>
      <c r="Q16" s="27">
        <f t="shared" si="5"/>
        <v>55397316.975000001</v>
      </c>
      <c r="R16" s="28" t="s">
        <v>32</v>
      </c>
      <c r="S16" s="38">
        <v>110.825</v>
      </c>
      <c r="T16" s="29">
        <f t="shared" si="6"/>
        <v>41779</v>
      </c>
      <c r="U16" s="13" t="s">
        <v>222</v>
      </c>
      <c r="V16" s="30">
        <f t="shared" si="7"/>
        <v>66476.780369999993</v>
      </c>
      <c r="W16" s="24">
        <v>155.75</v>
      </c>
      <c r="X16" s="27">
        <f t="shared" si="3"/>
        <v>10353758.542627499</v>
      </c>
      <c r="Y16" s="31">
        <v>0</v>
      </c>
      <c r="Z16" s="24"/>
      <c r="AA16" s="24"/>
    </row>
    <row r="17" spans="2:27" ht="19.5" customHeight="1">
      <c r="B17" s="23">
        <f t="shared" si="4"/>
        <v>13</v>
      </c>
      <c r="C17" s="15" t="s">
        <v>314</v>
      </c>
      <c r="D17" s="32" t="s">
        <v>66</v>
      </c>
      <c r="E17" s="14"/>
      <c r="F17" s="25" t="s">
        <v>315</v>
      </c>
      <c r="G17" s="13" t="s">
        <v>222</v>
      </c>
      <c r="H17" s="13" t="s">
        <v>42</v>
      </c>
      <c r="I17" s="13" t="s">
        <v>105</v>
      </c>
      <c r="J17" s="26">
        <v>801.22</v>
      </c>
      <c r="K17" s="14">
        <v>41693</v>
      </c>
      <c r="L17" s="15" t="s">
        <v>79</v>
      </c>
      <c r="M17" s="15" t="s">
        <v>47</v>
      </c>
      <c r="N17" s="15" t="s">
        <v>68</v>
      </c>
      <c r="O17" s="15" t="s">
        <v>111</v>
      </c>
      <c r="P17" s="16">
        <v>421023</v>
      </c>
      <c r="Q17" s="27">
        <f t="shared" si="5"/>
        <v>46563038.685000002</v>
      </c>
      <c r="R17" s="28" t="s">
        <v>32</v>
      </c>
      <c r="S17" s="7">
        <v>110.595</v>
      </c>
      <c r="T17" s="29">
        <f t="shared" si="6"/>
        <v>41782</v>
      </c>
      <c r="U17" s="13" t="s">
        <v>222</v>
      </c>
      <c r="V17" s="30">
        <f t="shared" si="7"/>
        <v>55875.646421999998</v>
      </c>
      <c r="W17" s="24">
        <v>155.75</v>
      </c>
      <c r="X17" s="27">
        <f t="shared" si="3"/>
        <v>8702631.9302264992</v>
      </c>
      <c r="Y17" s="31">
        <v>0</v>
      </c>
      <c r="Z17" s="24"/>
      <c r="AA17" s="24"/>
    </row>
    <row r="18" spans="2:27" ht="19.5" customHeight="1">
      <c r="B18" s="23">
        <f t="shared" si="4"/>
        <v>14</v>
      </c>
      <c r="C18" s="15" t="s">
        <v>316</v>
      </c>
      <c r="D18" s="32" t="s">
        <v>66</v>
      </c>
      <c r="E18" s="14"/>
      <c r="F18" s="25" t="s">
        <v>317</v>
      </c>
      <c r="G18" s="13" t="s">
        <v>222</v>
      </c>
      <c r="H18" s="13" t="s">
        <v>42</v>
      </c>
      <c r="I18" s="13" t="s">
        <v>105</v>
      </c>
      <c r="J18" s="26">
        <v>801.22</v>
      </c>
      <c r="K18" s="14">
        <v>41695</v>
      </c>
      <c r="L18" s="15" t="s">
        <v>318</v>
      </c>
      <c r="M18" s="15" t="s">
        <v>47</v>
      </c>
      <c r="N18" s="15" t="s">
        <v>69</v>
      </c>
      <c r="O18" s="15" t="s">
        <v>319</v>
      </c>
      <c r="P18" s="16">
        <v>63000</v>
      </c>
      <c r="Q18" s="27">
        <f t="shared" si="5"/>
        <v>6969564</v>
      </c>
      <c r="R18" s="28" t="s">
        <v>32</v>
      </c>
      <c r="S18" s="38">
        <v>110.628</v>
      </c>
      <c r="T18" s="29">
        <f t="shared" si="6"/>
        <v>41784</v>
      </c>
      <c r="U18" s="13" t="s">
        <v>222</v>
      </c>
      <c r="V18" s="30">
        <f t="shared" si="7"/>
        <v>8363.4767999999985</v>
      </c>
      <c r="W18" s="24">
        <v>155.75</v>
      </c>
      <c r="X18" s="27">
        <f t="shared" si="3"/>
        <v>1302611.5115999999</v>
      </c>
      <c r="Y18" s="31">
        <v>0</v>
      </c>
      <c r="Z18" s="24"/>
      <c r="AA18" s="24"/>
    </row>
    <row r="19" spans="2:27" ht="19.5" customHeight="1">
      <c r="B19" s="23">
        <f t="shared" si="4"/>
        <v>15</v>
      </c>
      <c r="C19" s="15" t="s">
        <v>320</v>
      </c>
      <c r="D19" s="32" t="s">
        <v>66</v>
      </c>
      <c r="E19" s="14"/>
      <c r="F19" s="25" t="s">
        <v>321</v>
      </c>
      <c r="G19" s="13" t="s">
        <v>222</v>
      </c>
      <c r="H19" s="13" t="s">
        <v>42</v>
      </c>
      <c r="I19" s="13" t="s">
        <v>105</v>
      </c>
      <c r="J19" s="26">
        <v>801.22</v>
      </c>
      <c r="K19" s="14">
        <v>41695</v>
      </c>
      <c r="L19" s="15" t="s">
        <v>318</v>
      </c>
      <c r="M19" s="15" t="s">
        <v>47</v>
      </c>
      <c r="N19" s="15" t="s">
        <v>69</v>
      </c>
      <c r="O19" s="15" t="s">
        <v>319</v>
      </c>
      <c r="P19" s="16">
        <v>42000</v>
      </c>
      <c r="Q19" s="27">
        <f t="shared" si="5"/>
        <v>4646376</v>
      </c>
      <c r="R19" s="28" t="s">
        <v>32</v>
      </c>
      <c r="S19" s="38">
        <v>110.628</v>
      </c>
      <c r="T19" s="29">
        <f t="shared" si="6"/>
        <v>41784</v>
      </c>
      <c r="U19" s="13" t="s">
        <v>222</v>
      </c>
      <c r="V19" s="30">
        <f t="shared" si="7"/>
        <v>5575.6511999999993</v>
      </c>
      <c r="W19" s="24">
        <v>155.75</v>
      </c>
      <c r="X19" s="27">
        <f t="shared" si="3"/>
        <v>868407.6743999999</v>
      </c>
      <c r="Y19" s="31">
        <v>0</v>
      </c>
      <c r="Z19" s="24"/>
      <c r="AA19" s="24"/>
    </row>
    <row r="20" spans="2:27" ht="19.5" customHeight="1">
      <c r="B20" s="23">
        <f t="shared" si="4"/>
        <v>16</v>
      </c>
      <c r="C20" s="15" t="s">
        <v>322</v>
      </c>
      <c r="D20" s="32" t="s">
        <v>66</v>
      </c>
      <c r="E20" s="14"/>
      <c r="F20" s="25" t="s">
        <v>323</v>
      </c>
      <c r="G20" s="13" t="s">
        <v>222</v>
      </c>
      <c r="H20" s="13" t="s">
        <v>42</v>
      </c>
      <c r="I20" s="13" t="s">
        <v>105</v>
      </c>
      <c r="J20" s="26">
        <v>801.22</v>
      </c>
      <c r="K20" s="14">
        <v>41695</v>
      </c>
      <c r="L20" s="15" t="s">
        <v>318</v>
      </c>
      <c r="M20" s="15" t="s">
        <v>47</v>
      </c>
      <c r="N20" s="15" t="s">
        <v>69</v>
      </c>
      <c r="O20" s="15" t="s">
        <v>319</v>
      </c>
      <c r="P20" s="16">
        <v>144472</v>
      </c>
      <c r="Q20" s="27">
        <f t="shared" si="5"/>
        <v>15982648.415999999</v>
      </c>
      <c r="R20" s="28" t="s">
        <v>32</v>
      </c>
      <c r="S20" s="38">
        <v>110.628</v>
      </c>
      <c r="T20" s="29">
        <f t="shared" si="6"/>
        <v>41784</v>
      </c>
      <c r="U20" s="13" t="s">
        <v>222</v>
      </c>
      <c r="V20" s="30">
        <f t="shared" si="7"/>
        <v>19179.178099199999</v>
      </c>
      <c r="W20" s="24">
        <v>155.75</v>
      </c>
      <c r="X20" s="27">
        <f t="shared" si="3"/>
        <v>2987156.9889503997</v>
      </c>
      <c r="Y20" s="31">
        <v>0</v>
      </c>
      <c r="Z20" s="24"/>
      <c r="AA20" s="24"/>
    </row>
    <row r="21" spans="2:27" ht="21" customHeight="1">
      <c r="B21" s="23">
        <f t="shared" si="4"/>
        <v>17</v>
      </c>
      <c r="C21" s="15" t="s">
        <v>324</v>
      </c>
      <c r="D21" s="32" t="s">
        <v>66</v>
      </c>
      <c r="E21" s="14"/>
      <c r="F21" s="25" t="s">
        <v>325</v>
      </c>
      <c r="G21" s="13" t="s">
        <v>123</v>
      </c>
      <c r="H21" s="13" t="s">
        <v>33</v>
      </c>
      <c r="I21" s="13" t="s">
        <v>34</v>
      </c>
      <c r="J21" s="26">
        <v>801.22</v>
      </c>
      <c r="K21" s="14">
        <v>41696</v>
      </c>
      <c r="L21" s="15" t="s">
        <v>326</v>
      </c>
      <c r="M21" s="15" t="s">
        <v>35</v>
      </c>
      <c r="N21" s="15" t="s">
        <v>48</v>
      </c>
      <c r="O21" s="15" t="s">
        <v>49</v>
      </c>
      <c r="P21" s="16">
        <v>945742</v>
      </c>
      <c r="Q21" s="27">
        <f t="shared" si="5"/>
        <v>104995331.098</v>
      </c>
      <c r="R21" s="28" t="s">
        <v>32</v>
      </c>
      <c r="S21" s="38">
        <v>111.01900000000001</v>
      </c>
      <c r="T21" s="29">
        <f t="shared" si="6"/>
        <v>41785</v>
      </c>
      <c r="U21" s="13" t="s">
        <v>37</v>
      </c>
      <c r="V21" s="30">
        <f t="shared" si="7"/>
        <v>125994.3973176</v>
      </c>
      <c r="W21" s="24">
        <v>155.75</v>
      </c>
      <c r="X21" s="27">
        <f t="shared" si="3"/>
        <v>19623627.3822162</v>
      </c>
      <c r="Y21" s="31">
        <v>0</v>
      </c>
      <c r="Z21" s="24"/>
      <c r="AA21" s="24"/>
    </row>
    <row r="22" spans="2:27" s="2" customFormat="1" ht="18.75" customHeight="1">
      <c r="B22" s="23">
        <f t="shared" si="4"/>
        <v>18</v>
      </c>
      <c r="C22" s="15" t="s">
        <v>381</v>
      </c>
      <c r="D22" s="32" t="s">
        <v>66</v>
      </c>
      <c r="E22" s="14"/>
      <c r="F22" s="39" t="s">
        <v>359</v>
      </c>
      <c r="G22" s="15" t="s">
        <v>95</v>
      </c>
      <c r="H22" s="15" t="s">
        <v>28</v>
      </c>
      <c r="I22" s="15" t="s">
        <v>105</v>
      </c>
      <c r="J22" s="26">
        <v>801.22</v>
      </c>
      <c r="K22" s="34">
        <v>41703</v>
      </c>
      <c r="L22" s="41" t="s">
        <v>85</v>
      </c>
      <c r="M22" s="41" t="s">
        <v>47</v>
      </c>
      <c r="N22" s="15" t="s">
        <v>39</v>
      </c>
      <c r="O22" s="13" t="s">
        <v>40</v>
      </c>
      <c r="P22" s="47">
        <v>180000</v>
      </c>
      <c r="Q22" s="43">
        <f t="shared" ref="Q22:Q31" si="8">SUM(P22*S22)</f>
        <v>19922400</v>
      </c>
      <c r="R22" s="28" t="s">
        <v>32</v>
      </c>
      <c r="S22" s="8">
        <v>110.68</v>
      </c>
      <c r="T22" s="29">
        <f t="shared" ref="T22:T31" si="9">SUM(K22)+89</f>
        <v>41792</v>
      </c>
      <c r="U22" s="15" t="s">
        <v>27</v>
      </c>
      <c r="V22" s="44">
        <f t="shared" si="7"/>
        <v>23906.879999999997</v>
      </c>
      <c r="W22" s="24">
        <v>155.74</v>
      </c>
      <c r="X22" s="43">
        <f t="shared" si="3"/>
        <v>3723257.4911999996</v>
      </c>
      <c r="Y22" s="31">
        <v>0</v>
      </c>
      <c r="Z22" s="24"/>
      <c r="AA22" s="24"/>
    </row>
    <row r="23" spans="2:27" ht="18.75" customHeight="1">
      <c r="B23" s="23">
        <f t="shared" si="4"/>
        <v>19</v>
      </c>
      <c r="C23" s="15" t="s">
        <v>382</v>
      </c>
      <c r="D23" s="32" t="s">
        <v>66</v>
      </c>
      <c r="E23" s="14"/>
      <c r="F23" s="39" t="s">
        <v>360</v>
      </c>
      <c r="G23" s="15" t="s">
        <v>123</v>
      </c>
      <c r="H23" s="15" t="s">
        <v>62</v>
      </c>
      <c r="I23" s="15" t="s">
        <v>105</v>
      </c>
      <c r="J23" s="26">
        <v>801.22</v>
      </c>
      <c r="K23" s="34">
        <v>41703</v>
      </c>
      <c r="L23" s="41" t="s">
        <v>85</v>
      </c>
      <c r="M23" s="41" t="s">
        <v>47</v>
      </c>
      <c r="N23" s="15" t="s">
        <v>39</v>
      </c>
      <c r="O23" s="13" t="s">
        <v>40</v>
      </c>
      <c r="P23" s="47">
        <v>349000</v>
      </c>
      <c r="Q23" s="43">
        <f t="shared" si="8"/>
        <v>38627320</v>
      </c>
      <c r="R23" s="28" t="s">
        <v>32</v>
      </c>
      <c r="S23" s="8">
        <v>110.68</v>
      </c>
      <c r="T23" s="29">
        <f t="shared" si="9"/>
        <v>41792</v>
      </c>
      <c r="U23" s="13" t="s">
        <v>37</v>
      </c>
      <c r="V23" s="44">
        <f t="shared" si="7"/>
        <v>46352.783999999992</v>
      </c>
      <c r="W23" s="24">
        <v>155.74</v>
      </c>
      <c r="X23" s="43">
        <f t="shared" si="3"/>
        <v>7218982.5801599994</v>
      </c>
      <c r="Y23" s="31">
        <v>0</v>
      </c>
      <c r="Z23" s="24"/>
      <c r="AA23" s="24"/>
    </row>
    <row r="24" spans="2:27" ht="18.75" customHeight="1">
      <c r="B24" s="23">
        <f t="shared" si="4"/>
        <v>20</v>
      </c>
      <c r="C24" s="15" t="s">
        <v>383</v>
      </c>
      <c r="D24" s="32" t="s">
        <v>66</v>
      </c>
      <c r="E24" s="14"/>
      <c r="F24" s="39" t="s">
        <v>361</v>
      </c>
      <c r="G24" s="15" t="s">
        <v>95</v>
      </c>
      <c r="H24" s="15" t="s">
        <v>45</v>
      </c>
      <c r="I24" s="15" t="s">
        <v>105</v>
      </c>
      <c r="J24" s="26">
        <v>801.22</v>
      </c>
      <c r="K24" s="34">
        <v>41703</v>
      </c>
      <c r="L24" s="41" t="s">
        <v>85</v>
      </c>
      <c r="M24" s="41" t="s">
        <v>47</v>
      </c>
      <c r="N24" s="15" t="s">
        <v>39</v>
      </c>
      <c r="O24" s="13" t="s">
        <v>40</v>
      </c>
      <c r="P24" s="47">
        <v>80000</v>
      </c>
      <c r="Q24" s="43">
        <f t="shared" si="8"/>
        <v>8854400</v>
      </c>
      <c r="R24" s="28" t="s">
        <v>32</v>
      </c>
      <c r="S24" s="8">
        <v>110.68</v>
      </c>
      <c r="T24" s="29">
        <f t="shared" si="9"/>
        <v>41792</v>
      </c>
      <c r="U24" s="13" t="s">
        <v>37</v>
      </c>
      <c r="V24" s="44">
        <f t="shared" si="7"/>
        <v>10625.279999999999</v>
      </c>
      <c r="W24" s="24">
        <v>155.74</v>
      </c>
      <c r="X24" s="43">
        <f t="shared" si="3"/>
        <v>1654781.1072</v>
      </c>
      <c r="Y24" s="31">
        <v>0</v>
      </c>
      <c r="Z24" s="24"/>
      <c r="AA24" s="24"/>
    </row>
    <row r="25" spans="2:27" ht="18.75" customHeight="1">
      <c r="B25" s="23">
        <f t="shared" si="4"/>
        <v>21</v>
      </c>
      <c r="C25" s="15" t="s">
        <v>384</v>
      </c>
      <c r="D25" s="32" t="s">
        <v>66</v>
      </c>
      <c r="E25" s="14"/>
      <c r="F25" s="25" t="s">
        <v>362</v>
      </c>
      <c r="G25" s="15" t="s">
        <v>95</v>
      </c>
      <c r="H25" s="15" t="s">
        <v>51</v>
      </c>
      <c r="I25" s="15" t="s">
        <v>105</v>
      </c>
      <c r="J25" s="26">
        <v>801.22</v>
      </c>
      <c r="K25" s="14">
        <v>41703</v>
      </c>
      <c r="L25" s="15" t="s">
        <v>85</v>
      </c>
      <c r="M25" s="15" t="s">
        <v>47</v>
      </c>
      <c r="N25" s="15" t="s">
        <v>39</v>
      </c>
      <c r="O25" s="13" t="s">
        <v>40</v>
      </c>
      <c r="P25" s="16">
        <v>377938</v>
      </c>
      <c r="Q25" s="27">
        <f t="shared" si="8"/>
        <v>41830177.840000004</v>
      </c>
      <c r="R25" s="28" t="s">
        <v>32</v>
      </c>
      <c r="S25" s="7">
        <v>110.68</v>
      </c>
      <c r="T25" s="29">
        <f t="shared" si="9"/>
        <v>41792</v>
      </c>
      <c r="U25" s="13" t="s">
        <v>37</v>
      </c>
      <c r="V25" s="30">
        <f t="shared" si="7"/>
        <v>50196.213408000003</v>
      </c>
      <c r="W25" s="24">
        <v>155.74</v>
      </c>
      <c r="X25" s="27">
        <f t="shared" si="3"/>
        <v>7817558.2761619212</v>
      </c>
      <c r="Y25" s="31">
        <v>0</v>
      </c>
      <c r="Z25" s="24"/>
      <c r="AA25" s="24"/>
    </row>
    <row r="26" spans="2:27" ht="18.75" customHeight="1">
      <c r="B26" s="23">
        <f t="shared" si="4"/>
        <v>22</v>
      </c>
      <c r="C26" s="15" t="s">
        <v>385</v>
      </c>
      <c r="D26" s="32" t="s">
        <v>66</v>
      </c>
      <c r="E26" s="14"/>
      <c r="F26" s="25" t="s">
        <v>366</v>
      </c>
      <c r="G26" s="15" t="s">
        <v>114</v>
      </c>
      <c r="H26" s="15" t="s">
        <v>115</v>
      </c>
      <c r="I26" s="15" t="s">
        <v>105</v>
      </c>
      <c r="J26" s="26">
        <v>801.22</v>
      </c>
      <c r="K26" s="14">
        <v>41717</v>
      </c>
      <c r="L26" s="15" t="s">
        <v>94</v>
      </c>
      <c r="M26" s="15" t="s">
        <v>47</v>
      </c>
      <c r="N26" s="15" t="s">
        <v>109</v>
      </c>
      <c r="O26" s="13" t="s">
        <v>378</v>
      </c>
      <c r="P26" s="16">
        <v>949583</v>
      </c>
      <c r="Q26" s="27">
        <f t="shared" si="8"/>
        <v>102586300.23900001</v>
      </c>
      <c r="R26" s="28" t="s">
        <v>32</v>
      </c>
      <c r="S26" s="7">
        <v>108.033</v>
      </c>
      <c r="T26" s="29">
        <f t="shared" si="9"/>
        <v>41806</v>
      </c>
      <c r="U26" s="15" t="s">
        <v>123</v>
      </c>
      <c r="V26" s="30">
        <f t="shared" si="7"/>
        <v>123103.5602868</v>
      </c>
      <c r="W26" s="24">
        <v>155.74</v>
      </c>
      <c r="X26" s="27">
        <f t="shared" si="3"/>
        <v>19172148.479066234</v>
      </c>
      <c r="Y26" s="31">
        <v>0</v>
      </c>
      <c r="Z26" s="24"/>
      <c r="AA26" s="24"/>
    </row>
    <row r="27" spans="2:27" ht="18.75" customHeight="1">
      <c r="B27" s="23">
        <f t="shared" si="4"/>
        <v>23</v>
      </c>
      <c r="C27" s="15" t="s">
        <v>393</v>
      </c>
      <c r="D27" s="32" t="s">
        <v>66</v>
      </c>
      <c r="E27" s="14"/>
      <c r="F27" s="25" t="s">
        <v>367</v>
      </c>
      <c r="G27" s="15" t="s">
        <v>114</v>
      </c>
      <c r="H27" s="15" t="s">
        <v>223</v>
      </c>
      <c r="I27" s="15" t="s">
        <v>120</v>
      </c>
      <c r="J27" s="26">
        <v>801.22</v>
      </c>
      <c r="K27" s="14">
        <v>41718</v>
      </c>
      <c r="L27" s="15" t="s">
        <v>375</v>
      </c>
      <c r="M27" s="15" t="s">
        <v>121</v>
      </c>
      <c r="N27" s="15" t="s">
        <v>71</v>
      </c>
      <c r="O27" s="13" t="s">
        <v>124</v>
      </c>
      <c r="P27" s="16">
        <v>629594</v>
      </c>
      <c r="Q27" s="27">
        <f t="shared" si="8"/>
        <v>64634120.039999999</v>
      </c>
      <c r="R27" s="28" t="s">
        <v>32</v>
      </c>
      <c r="S27" s="7">
        <v>102.66</v>
      </c>
      <c r="T27" s="29">
        <f t="shared" si="9"/>
        <v>41807</v>
      </c>
      <c r="U27" s="15" t="s">
        <v>123</v>
      </c>
      <c r="V27" s="30">
        <f t="shared" si="7"/>
        <v>77560.94404799999</v>
      </c>
      <c r="W27" s="24">
        <v>155.74</v>
      </c>
      <c r="X27" s="27">
        <f t="shared" si="3"/>
        <v>12079341.42603552</v>
      </c>
      <c r="Y27" s="31">
        <v>0</v>
      </c>
      <c r="Z27" s="24"/>
      <c r="AA27" s="24"/>
    </row>
    <row r="28" spans="2:27" ht="18.75" customHeight="1">
      <c r="B28" s="23">
        <f t="shared" si="4"/>
        <v>24</v>
      </c>
      <c r="C28" s="15" t="s">
        <v>391</v>
      </c>
      <c r="D28" s="32" t="s">
        <v>66</v>
      </c>
      <c r="E28" s="14"/>
      <c r="F28" s="25" t="s">
        <v>369</v>
      </c>
      <c r="G28" s="15" t="s">
        <v>95</v>
      </c>
      <c r="H28" s="15" t="s">
        <v>28</v>
      </c>
      <c r="I28" s="15" t="s">
        <v>29</v>
      </c>
      <c r="J28" s="26">
        <v>801.22</v>
      </c>
      <c r="K28" s="14">
        <v>41727</v>
      </c>
      <c r="L28" s="15" t="s">
        <v>70</v>
      </c>
      <c r="M28" s="15" t="s">
        <v>30</v>
      </c>
      <c r="N28" s="15" t="s">
        <v>91</v>
      </c>
      <c r="O28" s="13" t="s">
        <v>126</v>
      </c>
      <c r="P28" s="16">
        <v>947026</v>
      </c>
      <c r="Q28" s="27">
        <f t="shared" si="8"/>
        <v>100604466.03200001</v>
      </c>
      <c r="R28" s="28" t="s">
        <v>32</v>
      </c>
      <c r="S28" s="38">
        <v>106.232</v>
      </c>
      <c r="T28" s="29">
        <f t="shared" si="9"/>
        <v>41816</v>
      </c>
      <c r="U28" s="15" t="s">
        <v>27</v>
      </c>
      <c r="V28" s="30">
        <f t="shared" si="7"/>
        <v>120725.35923839999</v>
      </c>
      <c r="W28" s="24">
        <v>155.74</v>
      </c>
      <c r="X28" s="27">
        <f t="shared" si="3"/>
        <v>18801767.447788417</v>
      </c>
      <c r="Y28" s="31">
        <v>0</v>
      </c>
      <c r="Z28" s="24"/>
      <c r="AA28" s="24"/>
    </row>
    <row r="29" spans="2:27" ht="18.75" customHeight="1">
      <c r="B29" s="23">
        <f t="shared" si="4"/>
        <v>25</v>
      </c>
      <c r="C29" s="15" t="s">
        <v>386</v>
      </c>
      <c r="D29" s="32" t="s">
        <v>66</v>
      </c>
      <c r="E29" s="14"/>
      <c r="F29" s="25" t="s">
        <v>371</v>
      </c>
      <c r="G29" s="15" t="s">
        <v>123</v>
      </c>
      <c r="H29" s="15" t="s">
        <v>62</v>
      </c>
      <c r="I29" s="15" t="s">
        <v>105</v>
      </c>
      <c r="J29" s="26">
        <v>801.22</v>
      </c>
      <c r="K29" s="14">
        <v>41729</v>
      </c>
      <c r="L29" s="15" t="s">
        <v>377</v>
      </c>
      <c r="M29" s="15" t="s">
        <v>47</v>
      </c>
      <c r="N29" s="15" t="s">
        <v>64</v>
      </c>
      <c r="O29" s="13" t="s">
        <v>380</v>
      </c>
      <c r="P29" s="16">
        <v>355000</v>
      </c>
      <c r="Q29" s="27">
        <f t="shared" si="8"/>
        <v>37972930</v>
      </c>
      <c r="R29" s="28" t="s">
        <v>32</v>
      </c>
      <c r="S29" s="38">
        <v>106.96599999999999</v>
      </c>
      <c r="T29" s="29">
        <f t="shared" si="9"/>
        <v>41818</v>
      </c>
      <c r="U29" s="15" t="s">
        <v>37</v>
      </c>
      <c r="V29" s="30">
        <f t="shared" si="7"/>
        <v>45567.515999999996</v>
      </c>
      <c r="W29" s="24">
        <v>155.74</v>
      </c>
      <c r="X29" s="27">
        <f t="shared" si="3"/>
        <v>7096684.9418399995</v>
      </c>
      <c r="Y29" s="31">
        <v>0</v>
      </c>
      <c r="Z29" s="24"/>
      <c r="AA29" s="24"/>
    </row>
    <row r="30" spans="2:27" ht="18.75" customHeight="1">
      <c r="B30" s="23">
        <f t="shared" si="4"/>
        <v>26</v>
      </c>
      <c r="C30" s="15" t="s">
        <v>387</v>
      </c>
      <c r="D30" s="32" t="s">
        <v>66</v>
      </c>
      <c r="E30" s="14"/>
      <c r="F30" s="25" t="s">
        <v>372</v>
      </c>
      <c r="G30" s="15" t="s">
        <v>95</v>
      </c>
      <c r="H30" s="15" t="s">
        <v>45</v>
      </c>
      <c r="I30" s="15" t="s">
        <v>105</v>
      </c>
      <c r="J30" s="26">
        <v>801.22</v>
      </c>
      <c r="K30" s="14">
        <v>41729</v>
      </c>
      <c r="L30" s="15" t="s">
        <v>377</v>
      </c>
      <c r="M30" s="15" t="s">
        <v>47</v>
      </c>
      <c r="N30" s="15" t="s">
        <v>64</v>
      </c>
      <c r="O30" s="13" t="s">
        <v>380</v>
      </c>
      <c r="P30" s="48">
        <v>90000</v>
      </c>
      <c r="Q30" s="27">
        <f t="shared" si="8"/>
        <v>9626940</v>
      </c>
      <c r="R30" s="28" t="s">
        <v>32</v>
      </c>
      <c r="S30" s="38">
        <v>106.96599999999999</v>
      </c>
      <c r="T30" s="29">
        <f t="shared" si="9"/>
        <v>41818</v>
      </c>
      <c r="U30" s="15" t="s">
        <v>37</v>
      </c>
      <c r="V30" s="30">
        <f t="shared" si="7"/>
        <v>11552.328</v>
      </c>
      <c r="W30" s="24">
        <v>155.74</v>
      </c>
      <c r="X30" s="27">
        <f t="shared" si="3"/>
        <v>1799159.56272</v>
      </c>
      <c r="Y30" s="31">
        <v>0</v>
      </c>
      <c r="Z30" s="24"/>
      <c r="AA30" s="24"/>
    </row>
    <row r="31" spans="2:27" ht="20.25" customHeight="1" thickBot="1">
      <c r="B31" s="23">
        <f t="shared" si="4"/>
        <v>27</v>
      </c>
      <c r="C31" s="15" t="s">
        <v>388</v>
      </c>
      <c r="D31" s="32" t="s">
        <v>66</v>
      </c>
      <c r="E31" s="14"/>
      <c r="F31" s="25" t="s">
        <v>373</v>
      </c>
      <c r="G31" s="15" t="s">
        <v>95</v>
      </c>
      <c r="H31" s="15" t="s">
        <v>51</v>
      </c>
      <c r="I31" s="15" t="s">
        <v>105</v>
      </c>
      <c r="J31" s="26">
        <v>801.22</v>
      </c>
      <c r="K31" s="14">
        <v>41729</v>
      </c>
      <c r="L31" s="15" t="s">
        <v>377</v>
      </c>
      <c r="M31" s="15" t="s">
        <v>47</v>
      </c>
      <c r="N31" s="15" t="s">
        <v>64</v>
      </c>
      <c r="O31" s="13" t="s">
        <v>380</v>
      </c>
      <c r="P31" s="49">
        <v>125030</v>
      </c>
      <c r="Q31" s="43">
        <f t="shared" si="8"/>
        <v>13373958.979999999</v>
      </c>
      <c r="R31" s="28" t="s">
        <v>32</v>
      </c>
      <c r="S31" s="38">
        <v>106.96599999999999</v>
      </c>
      <c r="T31" s="29">
        <f t="shared" si="9"/>
        <v>41818</v>
      </c>
      <c r="U31" s="15" t="s">
        <v>37</v>
      </c>
      <c r="V31" s="44">
        <f t="shared" si="7"/>
        <v>16048.750775999997</v>
      </c>
      <c r="W31" s="24">
        <v>155.74</v>
      </c>
      <c r="X31" s="43">
        <f t="shared" si="3"/>
        <v>2499432.4458542396</v>
      </c>
      <c r="Y31" s="50">
        <v>0</v>
      </c>
      <c r="Z31" s="24"/>
      <c r="AA31" s="24"/>
    </row>
    <row r="32" spans="2:27" ht="15.75" thickBot="1">
      <c r="B32" s="74"/>
      <c r="C32" s="74"/>
      <c r="D32" s="74"/>
      <c r="E32" s="97"/>
      <c r="F32" s="98"/>
      <c r="G32" s="98"/>
      <c r="H32" s="98"/>
      <c r="I32" s="98"/>
      <c r="J32" s="74"/>
      <c r="K32" s="97"/>
      <c r="L32" s="98"/>
      <c r="M32" s="98"/>
      <c r="N32" s="99"/>
      <c r="O32" s="99"/>
      <c r="P32" s="56">
        <f>SUM(P5:P31)</f>
        <v>9085522</v>
      </c>
      <c r="Q32" s="57">
        <f>SUM(Q5:Q31)</f>
        <v>988263531.41359997</v>
      </c>
      <c r="R32" s="74"/>
      <c r="S32" s="98"/>
      <c r="T32" s="97"/>
      <c r="U32" s="98"/>
      <c r="V32" s="57">
        <f>SUM(V5:V31)</f>
        <v>1185916.2376963201</v>
      </c>
      <c r="W32" s="74"/>
      <c r="X32" s="57">
        <f>SUM(X5:X31)</f>
        <v>184701197.62504429</v>
      </c>
      <c r="Y32" s="57">
        <f>SUM(Y5:Y31)</f>
        <v>0</v>
      </c>
      <c r="Z32" s="74"/>
      <c r="AA32" s="74"/>
    </row>
  </sheetData>
  <pageMargins left="0" right="0" top="0" bottom="0" header="0.31496062992125984" footer="0"/>
  <pageSetup paperSize="8" orientation="landscape" r:id="rId1"/>
  <ignoredErrors>
    <ignoredError sqref="F5 F9:F12 F8 F6:F7 F22:F29" numberStoredAsText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COMPREHENSIVE (1ST QTR'14)</vt:lpstr>
      <vt:lpstr>COMPLIANT (1ST QTR'14)</vt:lpstr>
      <vt:lpstr>NON-COMPLIANT (1ST QTR'14)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2014-04-11T10:16:02Z</cp:lastPrinted>
  <dcterms:created xsi:type="dcterms:W3CDTF">2013-10-09T11:18:50Z</dcterms:created>
  <dcterms:modified xsi:type="dcterms:W3CDTF">2014-04-11T10:23:37Z</dcterms:modified>
</cp:coreProperties>
</file>