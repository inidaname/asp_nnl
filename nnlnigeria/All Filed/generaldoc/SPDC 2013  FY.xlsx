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505" yWindow="-15" windowWidth="14340" windowHeight="14220" tabRatio="813" firstSheet="9" activeTab="11"/>
  </bookViews>
  <sheets>
    <sheet name="Template - Q1_Returns" sheetId="15" r:id="rId1"/>
    <sheet name="Template - Q2_Returns" sheetId="14" r:id="rId2"/>
    <sheet name="Template - Q3_Returns" sheetId="13" r:id="rId3"/>
    <sheet name="Template - Q4_Returns" sheetId="18" r:id="rId4"/>
    <sheet name="TEMPLATE - Proceeds Bonny" sheetId="2" r:id="rId5"/>
    <sheet name="TEMPLATE - Lifting Bonny" sheetId="5" r:id="rId6"/>
    <sheet name="TEMPLATE - Proceeds Forcados" sheetId="8" r:id="rId7"/>
    <sheet name="TEMPLATE - Lifting Forcados" sheetId="9" r:id="rId8"/>
    <sheet name="TEMPLATE - Proceeds EA" sheetId="10" r:id="rId9"/>
    <sheet name="TEMPLATE - Lifting EA" sheetId="11" r:id="rId10"/>
    <sheet name="TEMPLATE - Proceeds BRASS" sheetId="16" r:id="rId11"/>
    <sheet name="TEMPLATE - Lifting BRASS" sheetId="17" r:id="rId12"/>
  </sheets>
  <definedNames>
    <definedName name="_xlnm.Print_Area" localSheetId="5">'TEMPLATE - Lifting Bonny'!#REF!</definedName>
    <definedName name="_xlnm.Print_Area" localSheetId="11">'TEMPLATE - Lifting BRASS'!#REF!</definedName>
    <definedName name="_xlnm.Print_Area" localSheetId="9">'TEMPLATE - Lifting EA'!#REF!</definedName>
    <definedName name="_xlnm.Print_Area" localSheetId="7">'TEMPLATE - Lifting Forcados'!#REF!</definedName>
    <definedName name="_xlnm.Print_Area" localSheetId="4">'TEMPLATE - Proceeds Bonny'!#REF!</definedName>
    <definedName name="_xlnm.Print_Area" localSheetId="10">'TEMPLATE - Proceeds BRASS'!#REF!</definedName>
    <definedName name="_xlnm.Print_Area" localSheetId="8">'TEMPLATE - Proceeds EA'!#REF!</definedName>
    <definedName name="_xlnm.Print_Area" localSheetId="6">'TEMPLATE - Proceeds Forcados'!#REF!</definedName>
    <definedName name="_xlnm.Print_Area" localSheetId="0">'Template - Q1_Returns'!$B$1:$T$11</definedName>
    <definedName name="_xlnm.Print_Area" localSheetId="1">'Template - Q2_Returns'!$B$1:$T$11</definedName>
    <definedName name="_xlnm.Print_Area" localSheetId="2">'Template - Q3_Returns'!$B$1:$T$11</definedName>
    <definedName name="_xlnm.Print_Area" localSheetId="3">'Template - Q4_Returns'!$B$1:$T$11</definedName>
    <definedName name="_xlnm.Print_Titles" localSheetId="5">'TEMPLATE - Lifting Bonny'!#REF!</definedName>
    <definedName name="_xlnm.Print_Titles" localSheetId="11">'TEMPLATE - Lifting BRASS'!#REF!</definedName>
    <definedName name="_xlnm.Print_Titles" localSheetId="9">'TEMPLATE - Lifting EA'!#REF!</definedName>
    <definedName name="_xlnm.Print_Titles" localSheetId="7">'TEMPLATE - Lifting Forcados'!#REF!</definedName>
    <definedName name="_xlnm.Print_Titles" localSheetId="4">'TEMPLATE - Proceeds Bonny'!#REF!</definedName>
    <definedName name="_xlnm.Print_Titles" localSheetId="10">'TEMPLATE - Proceeds BRASS'!#REF!</definedName>
    <definedName name="_xlnm.Print_Titles" localSheetId="8">'TEMPLATE - Proceeds EA'!#REF!</definedName>
    <definedName name="_xlnm.Print_Titles" localSheetId="6">'TEMPLATE - Proceeds Forcados'!#REF!</definedName>
    <definedName name="_xlnm.Print_Titles" localSheetId="0">'Template - Q1_Returns'!$39:$39</definedName>
    <definedName name="_xlnm.Print_Titles" localSheetId="1">'Template - Q2_Returns'!$39:$39</definedName>
    <definedName name="_xlnm.Print_Titles" localSheetId="2">'Template - Q3_Returns'!$39:$39</definedName>
    <definedName name="_xlnm.Print_Titles" localSheetId="3">'Template - Q4_Returns'!$39:$39</definedName>
  </definedNames>
  <calcPr calcId="125725"/>
</workbook>
</file>

<file path=xl/calcChain.xml><?xml version="1.0" encoding="utf-8"?>
<calcChain xmlns="http://schemas.openxmlformats.org/spreadsheetml/2006/main">
  <c r="K13" i="10"/>
  <c r="K14"/>
  <c r="K15"/>
  <c r="K16"/>
  <c r="K12"/>
  <c r="H48" i="9"/>
  <c r="I48"/>
  <c r="J48"/>
  <c r="G48"/>
  <c r="K11" i="8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10"/>
  <c r="J51"/>
  <c r="J39" i="2"/>
  <c r="H34" i="5"/>
  <c r="I34"/>
  <c r="J34"/>
  <c r="G34"/>
  <c r="P9" i="18"/>
  <c r="P8"/>
  <c r="P7"/>
  <c r="P6"/>
  <c r="L9"/>
  <c r="L8"/>
  <c r="L7"/>
  <c r="L6"/>
  <c r="T8"/>
  <c r="M9"/>
  <c r="I9"/>
  <c r="E9"/>
  <c r="M8"/>
  <c r="M7"/>
  <c r="M6"/>
  <c r="I8"/>
  <c r="I7"/>
  <c r="I6"/>
  <c r="E8"/>
  <c r="E7"/>
  <c r="E6"/>
  <c r="K51" i="8" l="1"/>
  <c r="G20" i="11" l="1"/>
  <c r="H9" i="18"/>
  <c r="H8"/>
  <c r="H7"/>
  <c r="H6"/>
  <c r="T9" l="1"/>
  <c r="S9"/>
  <c r="V9" s="1"/>
  <c r="Q9"/>
  <c r="N9"/>
  <c r="J9"/>
  <c r="F9"/>
  <c r="D9"/>
  <c r="S8"/>
  <c r="V8" s="1"/>
  <c r="Q8"/>
  <c r="N8"/>
  <c r="J8"/>
  <c r="F8"/>
  <c r="D8"/>
  <c r="T7"/>
  <c r="S7"/>
  <c r="V7" s="1"/>
  <c r="Q7"/>
  <c r="N7"/>
  <c r="J7"/>
  <c r="F7"/>
  <c r="D7"/>
  <c r="T6"/>
  <c r="S6"/>
  <c r="V6" s="1"/>
  <c r="Q6"/>
  <c r="N6"/>
  <c r="J6"/>
  <c r="F6"/>
  <c r="D6"/>
  <c r="R7" l="1"/>
  <c r="R8"/>
  <c r="R9"/>
  <c r="R6"/>
  <c r="J20" i="17" l="1"/>
  <c r="I20"/>
  <c r="H20"/>
  <c r="G20"/>
  <c r="K21" i="16"/>
  <c r="J21"/>
  <c r="K12"/>
  <c r="D4"/>
  <c r="S9" i="15"/>
  <c r="V9" s="1"/>
  <c r="Q9"/>
  <c r="N9"/>
  <c r="T9"/>
  <c r="J9"/>
  <c r="F9"/>
  <c r="D9"/>
  <c r="T8"/>
  <c r="S8"/>
  <c r="V8" s="1"/>
  <c r="Q8"/>
  <c r="N8"/>
  <c r="J8"/>
  <c r="F8"/>
  <c r="T7"/>
  <c r="S7"/>
  <c r="V7" s="1"/>
  <c r="Q7"/>
  <c r="N7"/>
  <c r="J7"/>
  <c r="F7"/>
  <c r="D7"/>
  <c r="T6"/>
  <c r="S6"/>
  <c r="V6" s="1"/>
  <c r="Q6"/>
  <c r="N6"/>
  <c r="J6"/>
  <c r="F6"/>
  <c r="D6"/>
  <c r="S9" i="14"/>
  <c r="V9" s="1"/>
  <c r="Q9"/>
  <c r="N9"/>
  <c r="T9"/>
  <c r="J9"/>
  <c r="F9"/>
  <c r="D9"/>
  <c r="T8"/>
  <c r="S8"/>
  <c r="V8" s="1"/>
  <c r="Q8"/>
  <c r="N8"/>
  <c r="J8"/>
  <c r="F8"/>
  <c r="T7"/>
  <c r="S7"/>
  <c r="V7" s="1"/>
  <c r="Q7"/>
  <c r="N7"/>
  <c r="J7"/>
  <c r="F7"/>
  <c r="R7" s="1"/>
  <c r="D7"/>
  <c r="T6"/>
  <c r="S6"/>
  <c r="V6" s="1"/>
  <c r="Q6"/>
  <c r="N6"/>
  <c r="J6"/>
  <c r="F6"/>
  <c r="D6"/>
  <c r="J21" i="10"/>
  <c r="H20" i="11"/>
  <c r="I20"/>
  <c r="J20"/>
  <c r="R8" i="14" l="1"/>
  <c r="R6"/>
  <c r="R9"/>
  <c r="R9" i="15"/>
  <c r="R8"/>
  <c r="R7"/>
  <c r="R6"/>
  <c r="D8"/>
  <c r="D8" i="14"/>
  <c r="F9" i="13" l="1"/>
  <c r="F8"/>
  <c r="F7"/>
  <c r="F6"/>
  <c r="D9"/>
  <c r="D8"/>
  <c r="D7"/>
  <c r="D6"/>
  <c r="N9"/>
  <c r="N8"/>
  <c r="N7"/>
  <c r="N6"/>
  <c r="J9"/>
  <c r="J8"/>
  <c r="J7"/>
  <c r="R7" s="1"/>
  <c r="J6"/>
  <c r="T9"/>
  <c r="T8"/>
  <c r="T7"/>
  <c r="Q9"/>
  <c r="Q8"/>
  <c r="Q7"/>
  <c r="S9"/>
  <c r="S8"/>
  <c r="S7"/>
  <c r="R8" l="1"/>
  <c r="R9"/>
  <c r="T6" l="1"/>
  <c r="S6"/>
  <c r="V6" s="1"/>
  <c r="R6"/>
  <c r="Q6"/>
  <c r="V9"/>
  <c r="V8"/>
  <c r="V7"/>
  <c r="C8"/>
  <c r="K12" i="2" l="1"/>
  <c r="K13"/>
  <c r="K14"/>
  <c r="K15"/>
  <c r="K16"/>
  <c r="K17"/>
  <c r="K18"/>
  <c r="K19"/>
  <c r="K20"/>
  <c r="K21"/>
  <c r="K22"/>
  <c r="K23"/>
  <c r="K24"/>
  <c r="K25"/>
  <c r="K26"/>
  <c r="K27"/>
  <c r="K39" l="1"/>
  <c r="K21" i="10" l="1"/>
  <c r="D4"/>
  <c r="D3" i="8"/>
  <c r="D4" i="2" l="1"/>
</calcChain>
</file>

<file path=xl/sharedStrings.xml><?xml version="1.0" encoding="utf-8"?>
<sst xmlns="http://schemas.openxmlformats.org/spreadsheetml/2006/main" count="1125" uniqueCount="249">
  <si>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</si>
  <si>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</si>
  <si>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</si>
  <si>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</si>
  <si>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</si>
  <si>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</si>
  <si>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</si>
  <si>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</si>
  <si>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</si>
  <si>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</si>
  <si>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</si>
  <si>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</si>
  <si>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</si>
  <si>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</si>
  <si>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</si>
  <si>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</si>
  <si>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</si>
  <si>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</si>
  <si>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</si>
  <si>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</si>
  <si>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</si>
  <si>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</si>
  <si>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</si>
  <si>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</si>
  <si>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</si>
  <si>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</si>
  <si>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</si>
  <si>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</si>
  <si>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</si>
  <si>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</si>
  <si>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</si>
  <si>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</si>
  <si>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</si>
  <si>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</si>
  <si>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</si>
  <si>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</si>
  <si>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</si>
  <si>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</si>
  <si>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</si>
  <si>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</si>
  <si>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</si>
  <si>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</si>
  <si>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</si>
  <si>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</si>
  <si>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</si>
  <si>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</si>
  <si>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</si>
  <si>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</si>
  <si>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</si>
  <si>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</si>
  <si>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</si>
  <si>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</si>
  <si>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</si>
  <si>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</si>
  <si>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</si>
  <si>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</si>
  <si>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</si>
  <si>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</si>
  <si>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</si>
  <si>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</si>
  <si>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</si>
  <si>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</si>
  <si>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INTERTEK</t>
  </si>
  <si>
    <t>OMSP(S) INDIA</t>
  </si>
  <si>
    <t>BONNY LIGHT</t>
  </si>
  <si>
    <t>FORCADOS</t>
  </si>
  <si>
    <t>BRASS</t>
  </si>
  <si>
    <t>EA</t>
  </si>
  <si>
    <t>SCF KHIBINY</t>
  </si>
  <si>
    <t>WILHELMSHAVEN FOR ORDERS</t>
  </si>
  <si>
    <t>02/01/13 E</t>
  </si>
  <si>
    <t>30/01/13 E</t>
  </si>
  <si>
    <t>02/02/13 E</t>
  </si>
  <si>
    <t>01/03/13 E</t>
  </si>
  <si>
    <t>30/03/13 E</t>
  </si>
  <si>
    <t>Q1 2013 EXPORT  PERMIT VOLUMES</t>
  </si>
  <si>
    <t>SPDC Q1 2013 PRODUCTION AND EXPORT SUMMARY</t>
  </si>
  <si>
    <t>JANUARY</t>
  </si>
  <si>
    <t>FEBRUARY</t>
  </si>
  <si>
    <t>MARCH</t>
  </si>
  <si>
    <t>COMPANY Name:  SPDC (BONNY)</t>
  </si>
  <si>
    <t>SPDC (BONNY)</t>
  </si>
  <si>
    <t>SPDC</t>
  </si>
  <si>
    <t>RED</t>
  </si>
  <si>
    <t>TIANLONG SPIRIT</t>
  </si>
  <si>
    <t>HOUSTON</t>
  </si>
  <si>
    <t>NATICINA</t>
  </si>
  <si>
    <t>OLIVER JACOB</t>
  </si>
  <si>
    <t>GLORYCROWN</t>
  </si>
  <si>
    <t>EVRIDIKI</t>
  </si>
  <si>
    <t>ABIDJAN FOR ORDERS</t>
  </si>
  <si>
    <t>SALDANHA BAY, SOUTH AFRICA</t>
  </si>
  <si>
    <t>TUTUNCIFLIC FOR ORDERS</t>
  </si>
  <si>
    <t>ROTTERDAM FOR ORDERS</t>
  </si>
  <si>
    <t>JOSE IGNACIO,URUGUAY</t>
  </si>
  <si>
    <t>TRIESTE FOR ORDERS</t>
  </si>
  <si>
    <t>CRUDE OIL LIFTING STATISTICS  -  SPDC (BONNY)</t>
  </si>
  <si>
    <t>06/01/13 E</t>
  </si>
  <si>
    <t>09/01/13 E</t>
  </si>
  <si>
    <t>26/01/13 E</t>
  </si>
  <si>
    <t>13/02/13 E</t>
  </si>
  <si>
    <t>21/02/13 E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</si>
  <si>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</si>
  <si>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</si>
  <si>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</si>
  <si>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</si>
  <si>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</si>
  <si>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ALEKSEY KOSYGIN</t>
  </si>
  <si>
    <t>ARIADNI</t>
  </si>
  <si>
    <t>FRONT ODIN</t>
  </si>
  <si>
    <t>IZKI</t>
  </si>
  <si>
    <t>MINDANAO</t>
  </si>
  <si>
    <t>ABIDJAN, COTE D'IVOIRE</t>
  </si>
  <si>
    <t>OMISALJ FOR ORDERS</t>
  </si>
  <si>
    <t>MILAZZO FOR ORDERS</t>
  </si>
  <si>
    <t>12/01/13 E</t>
  </si>
  <si>
    <t>01/02/13 E</t>
  </si>
  <si>
    <t>03/02/13 E</t>
  </si>
  <si>
    <t>07/02/13 E</t>
  </si>
  <si>
    <t>04/03/13 E</t>
  </si>
  <si>
    <t>09/03/13 E</t>
  </si>
  <si>
    <t>COMPANY Name:  SPDC (SEA EAGLE)</t>
  </si>
  <si>
    <t>SPDC (SEA EAGLE)</t>
  </si>
  <si>
    <t>CRUDE OIL LIFTING STATISTICS  -  SPDC (SEA EAGLE)</t>
  </si>
  <si>
    <t>EA BLEND</t>
  </si>
  <si>
    <t>FORCADOS BLEND</t>
  </si>
  <si>
    <t>BW LION</t>
  </si>
  <si>
    <t xml:space="preserve">NOTE: </t>
  </si>
  <si>
    <t>SPDC Q2 2013 PRODUCTION AND EXPORT SUMMARY</t>
  </si>
  <si>
    <t>Q2 2013 EXPORT  PERMIT VOLUMES</t>
  </si>
  <si>
    <t>APRIL</t>
  </si>
  <si>
    <t>MAY</t>
  </si>
  <si>
    <t>JUNE</t>
  </si>
  <si>
    <t>ASTRA</t>
  </si>
  <si>
    <t>AIAS</t>
  </si>
  <si>
    <t>TAJIMARE</t>
  </si>
  <si>
    <t>PERTAMINA RU-V, BALIKPAPAN, INDONESIA</t>
  </si>
  <si>
    <t>ER</t>
  </si>
  <si>
    <t>Proceeds @ REALISABLE PRICE</t>
  </si>
  <si>
    <t>06/04/13 E</t>
  </si>
  <si>
    <t>29/04/13 E</t>
  </si>
  <si>
    <t>18/05/13 E</t>
  </si>
  <si>
    <t>02/06/13 E</t>
  </si>
  <si>
    <t>10/06/13 E</t>
  </si>
  <si>
    <t>SKS SKEENA</t>
  </si>
  <si>
    <t>NIPPON PRINCESS</t>
  </si>
  <si>
    <t>PLUTO GLORY</t>
  </si>
  <si>
    <t>GRAND LADY</t>
  </si>
  <si>
    <t>ARTEMIS GLORY</t>
  </si>
  <si>
    <t>NORDIC PASSAT</t>
  </si>
  <si>
    <t>TEMA, GHANA</t>
  </si>
  <si>
    <t>OMSP(S) USGC</t>
  </si>
  <si>
    <t>BROFJORDEN, SWEDEN</t>
  </si>
  <si>
    <t>INCHCAPE SHIPPING SERVICES NIG LTD</t>
  </si>
  <si>
    <t>HULL BLYTH</t>
  </si>
  <si>
    <t>DADDO MARITIME</t>
  </si>
  <si>
    <t>01/04/13 E</t>
  </si>
  <si>
    <t>03/04/13 E</t>
  </si>
  <si>
    <t>17/04/13 E</t>
  </si>
  <si>
    <t>09/05/13 E</t>
  </si>
  <si>
    <t>08/06/13 E</t>
  </si>
  <si>
    <t>BLUE SKY</t>
  </si>
  <si>
    <t>CAP LIMBOH, CAMEROUN</t>
  </si>
  <si>
    <t>TOTAL SPDC (SEA EAGLE) LIFTINGS</t>
  </si>
  <si>
    <t>Production shown above is Shell exclusive which is 30% of the total SPDC JV production as obtained in the month's field by field report.</t>
  </si>
  <si>
    <t>SPDC Q3 2013 PRODUCTION AND EXPORT SUMMARY</t>
  </si>
  <si>
    <t>JULY</t>
  </si>
  <si>
    <t>AUGUST</t>
  </si>
  <si>
    <t>SEPTEMBER</t>
  </si>
  <si>
    <t>Q3 2013 EXPORT  PERMIT VOLUMES</t>
  </si>
  <si>
    <t>HEALTH CHECK</t>
  </si>
  <si>
    <t>PRODUCTION VOLUMES</t>
  </si>
  <si>
    <t>EXPORT VOLUMES</t>
  </si>
  <si>
    <t>Q3 2013 SUMMARY</t>
  </si>
  <si>
    <t>NET BBLS</t>
  </si>
  <si>
    <t>NET MT</t>
  </si>
  <si>
    <t>Conversion rate from net barrels to net metric tonnes used on production volumes was 0.133774139</t>
  </si>
  <si>
    <t>COSGRACE LAKE</t>
  </si>
  <si>
    <t>PRINCIMAR TRUTH</t>
  </si>
  <si>
    <t>FRONT SYMPHONY</t>
  </si>
  <si>
    <t>12/07/13 E</t>
  </si>
  <si>
    <t>08/08/13 E</t>
  </si>
  <si>
    <t>12/09/13 E</t>
  </si>
  <si>
    <t>PERTAMINA RU - IV CILACAP, INDONESIA</t>
  </si>
  <si>
    <t>BLUE GARNET</t>
  </si>
  <si>
    <t>PRINCIMAR JOY</t>
  </si>
  <si>
    <t>DS CHIEF</t>
  </si>
  <si>
    <t>DA MING HU</t>
  </si>
  <si>
    <t>10/07/13 E</t>
  </si>
  <si>
    <t>11/07/13 E</t>
  </si>
  <si>
    <t>23/07/13 E</t>
  </si>
  <si>
    <t>30/08/13 E</t>
  </si>
  <si>
    <t>13/09/13 E</t>
  </si>
  <si>
    <t>ROTTERDAM</t>
  </si>
  <si>
    <t>ONE OR MORE SAFE BERTHS, TRIESTE</t>
  </si>
  <si>
    <t>ONE OR MORE SAFE BERTHS,  ABIDJAN</t>
  </si>
  <si>
    <t>CAP LIMBOH</t>
  </si>
  <si>
    <t>01/07/13 E</t>
  </si>
  <si>
    <t>ALEGRIA I</t>
  </si>
  <si>
    <t>Q1 2013 SUMMARY</t>
  </si>
  <si>
    <t>Q2 2013 SUMMARY</t>
  </si>
  <si>
    <t>CRUDE OIL LIFTING STATISTICS  -  SPDC (BRASS)</t>
  </si>
  <si>
    <t>COMPANY Name:  SPDC (BRASS)</t>
  </si>
  <si>
    <t>CAPE BRINDISI</t>
  </si>
  <si>
    <t>HOUSTON, TEXAS</t>
  </si>
  <si>
    <t>SPDC (BRASS)</t>
  </si>
  <si>
    <t>BRASS BLEND</t>
  </si>
  <si>
    <t>24/08/13 E</t>
  </si>
  <si>
    <r>
      <rPr>
        <b/>
        <sz val="8"/>
        <rFont val="Arial"/>
        <family val="2"/>
      </rPr>
      <t xml:space="preserve">  </t>
    </r>
    <r>
      <rPr>
        <b/>
        <u/>
        <sz val="8"/>
        <rFont val="Arial"/>
        <family val="2"/>
      </rPr>
      <t>JANUARY - DECEMBER 2013</t>
    </r>
  </si>
  <si>
    <t>OCTOBER</t>
  </si>
  <si>
    <t>NOVEMBER</t>
  </si>
  <si>
    <t>DECEMBER</t>
  </si>
  <si>
    <t>Q4 2013 SUMMARY</t>
  </si>
  <si>
    <t>DA YUAN HU</t>
  </si>
  <si>
    <t>KIMOLOS</t>
  </si>
  <si>
    <t>ALMI SUN</t>
  </si>
  <si>
    <t>PROFIT</t>
  </si>
  <si>
    <t>IZMIT REFINERY, TURKEY</t>
  </si>
  <si>
    <t>IZMIR REFINERY, TURKEY</t>
  </si>
  <si>
    <t>MILFORD HAVEN FOR ORDERS</t>
  </si>
  <si>
    <t>JANUARY - DECEMBER 2013</t>
  </si>
  <si>
    <t>AFRITRAMP LAGOS</t>
  </si>
  <si>
    <t>29/11/13 E</t>
  </si>
  <si>
    <t>18/10/13 E</t>
  </si>
  <si>
    <t>30/12/13 E</t>
  </si>
  <si>
    <t>09/10/13 E</t>
  </si>
  <si>
    <t>06/11/13 E</t>
  </si>
  <si>
    <t>PRINCIMAR PRIDE</t>
  </si>
  <si>
    <t>SUEZ VASILIS</t>
  </si>
  <si>
    <t>NORDIC FREEDOM</t>
  </si>
  <si>
    <t>ZOUZOU N.</t>
  </si>
  <si>
    <t>PHAETHON</t>
  </si>
  <si>
    <t>GENMAR ORION</t>
  </si>
  <si>
    <t>GEORGIOS</t>
  </si>
  <si>
    <t>ABIDJAN, IVORY COAST</t>
  </si>
  <si>
    <t>TRIESTE, ITALY/SIOT-TAL TERMINAL</t>
  </si>
  <si>
    <t>DURBAN, SOUTH AFRICA</t>
  </si>
  <si>
    <t>06/10/13 E</t>
  </si>
  <si>
    <t>04/12/13 E</t>
  </si>
  <si>
    <t>01/11/13 E</t>
  </si>
  <si>
    <t>26/12/13 E</t>
  </si>
  <si>
    <t>01/10/13 E</t>
  </si>
  <si>
    <t>I.S.S.</t>
  </si>
  <si>
    <t>INTEGRATED SHIPPING SERVICES</t>
  </si>
  <si>
    <t>EVGENIA I</t>
  </si>
  <si>
    <t>04/11/13 E</t>
  </si>
  <si>
    <t>SPDC Q4 2013 PRODUCTION AND EXPORT SUMMARY</t>
  </si>
  <si>
    <t>Q4 2013 EXPORT  PERMIT VOLUMES</t>
  </si>
  <si>
    <t>BLUESEAS MARITIME SERVICES NIG. LTD</t>
  </si>
</sst>
</file>

<file path=xl/styles.xml><?xml version="1.0" encoding="utf-8"?>
<styleSheet xmlns="http://schemas.openxmlformats.org/spreadsheetml/2006/main">
  <numFmts count="7">
    <numFmt numFmtId="43" formatCode="_-* #,##0.00_-;\-* #,##0.00_-;_-* &quot;-&quot;??_-;_-@_-"/>
    <numFmt numFmtId="164" formatCode="_-* #,##0_-;\-* #,##0_-;_-* &quot;-&quot;??_-;_-@_-"/>
    <numFmt numFmtId="165" formatCode="dd\-mmm\-yyyy"/>
    <numFmt numFmtId="166" formatCode="\$0.0000"/>
    <numFmt numFmtId="167" formatCode="_(* #,##0.00_);_(* \(#,##0.00\);_(* &quot;-&quot;??_);_(@_)"/>
    <numFmt numFmtId="168" formatCode="_(* #,##0_);_(* \(#,##0\);_(* &quot;-&quot;??_);_(@_)"/>
    <numFmt numFmtId="169" formatCode="_-* #,##0.00000_-;\-* #,##0.00000_-;_-* &quot;-&quot;??_-;_-@_-"/>
  </numFmts>
  <fonts count="31">
    <font>
      <sz val="10"/>
      <name val="Arial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1" fillId="0" borderId="0"/>
  </cellStyleXfs>
  <cellXfs count="143">
    <xf numFmtId="0" fontId="0" fillId="0" borderId="0" xfId="0"/>
    <xf numFmtId="43" fontId="1" fillId="0" borderId="0" xfId="1"/>
    <xf numFmtId="0" fontId="5" fillId="0" borderId="0" xfId="0" applyFont="1"/>
    <xf numFmtId="43" fontId="5" fillId="0" borderId="0" xfId="1" applyFont="1"/>
    <xf numFmtId="0" fontId="6" fillId="0" borderId="0" xfId="0" applyFont="1"/>
    <xf numFmtId="0" fontId="4" fillId="0" borderId="0" xfId="0" applyFont="1"/>
    <xf numFmtId="0" fontId="3" fillId="0" borderId="0" xfId="0" applyFont="1"/>
    <xf numFmtId="0" fontId="8" fillId="0" borderId="0" xfId="0" applyFont="1" applyBorder="1"/>
    <xf numFmtId="0" fontId="9" fillId="0" borderId="0" xfId="0" applyFont="1"/>
    <xf numFmtId="0" fontId="0" fillId="0" borderId="0" xfId="0" applyAlignment="1">
      <alignment vertical="center" wrapText="1"/>
    </xf>
    <xf numFmtId="43" fontId="1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5" fontId="13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8" fillId="0" borderId="0" xfId="0" applyFont="1"/>
    <xf numFmtId="0" fontId="2" fillId="0" borderId="0" xfId="0" applyFont="1" applyBorder="1"/>
    <xf numFmtId="0" fontId="6" fillId="0" borderId="0" xfId="0" applyFont="1" applyBorder="1"/>
    <xf numFmtId="0" fontId="3" fillId="0" borderId="0" xfId="0" applyFont="1" applyBorder="1"/>
    <xf numFmtId="0" fontId="0" fillId="0" borderId="0" xfId="0" applyBorder="1"/>
    <xf numFmtId="0" fontId="15" fillId="0" borderId="0" xfId="0" applyFont="1" applyBorder="1"/>
    <xf numFmtId="3" fontId="14" fillId="0" borderId="0" xfId="0" applyNumberFormat="1" applyFont="1" applyFill="1" applyBorder="1" applyAlignment="1">
      <alignment horizontal="center"/>
    </xf>
    <xf numFmtId="14" fontId="1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/>
    </xf>
    <xf numFmtId="3" fontId="14" fillId="0" borderId="0" xfId="0" applyNumberFormat="1" applyFont="1" applyBorder="1" applyAlignment="1">
      <alignment horizontal="center"/>
    </xf>
    <xf numFmtId="0" fontId="9" fillId="0" borderId="0" xfId="0" applyFont="1" applyBorder="1"/>
    <xf numFmtId="0" fontId="13" fillId="0" borderId="0" xfId="0" applyFont="1" applyAlignment="1">
      <alignment vertical="center"/>
    </xf>
    <xf numFmtId="3" fontId="13" fillId="0" borderId="0" xfId="0" applyNumberFormat="1" applyFont="1" applyBorder="1" applyAlignment="1">
      <alignment horizontal="center" vertical="center"/>
    </xf>
    <xf numFmtId="3" fontId="18" fillId="0" borderId="0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1" fillId="0" borderId="0" xfId="0" applyFont="1"/>
    <xf numFmtId="17" fontId="9" fillId="0" borderId="0" xfId="0" applyNumberFormat="1" applyFont="1" applyAlignment="1">
      <alignment horizontal="left" vertical="center"/>
    </xf>
    <xf numFmtId="17" fontId="9" fillId="0" borderId="0" xfId="0" applyNumberFormat="1" applyFont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7" fontId="20" fillId="0" borderId="0" xfId="0" applyNumberFormat="1" applyFont="1" applyAlignment="1">
      <alignment horizontal="left" vertical="center"/>
    </xf>
    <xf numFmtId="166" fontId="9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vertical="center"/>
    </xf>
    <xf numFmtId="2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5" fillId="0" borderId="0" xfId="2" applyFont="1"/>
    <xf numFmtId="0" fontId="5" fillId="0" borderId="0" xfId="2" applyFont="1" applyFill="1" applyAlignment="1">
      <alignment horizontal="left"/>
    </xf>
    <xf numFmtId="0" fontId="5" fillId="0" borderId="0" xfId="2" applyFont="1" applyAlignment="1">
      <alignment horizontal="center"/>
    </xf>
    <xf numFmtId="3" fontId="5" fillId="0" borderId="0" xfId="2" applyNumberFormat="1" applyFont="1"/>
    <xf numFmtId="2" fontId="5" fillId="0" borderId="0" xfId="2" applyNumberFormat="1" applyFont="1"/>
    <xf numFmtId="0" fontId="7" fillId="3" borderId="0" xfId="0" applyFont="1" applyFill="1" applyAlignment="1">
      <alignment horizontal="left"/>
    </xf>
    <xf numFmtId="0" fontId="8" fillId="3" borderId="0" xfId="0" applyFont="1" applyFill="1" applyBorder="1"/>
    <xf numFmtId="165" fontId="9" fillId="0" borderId="0" xfId="0" applyNumberFormat="1" applyFont="1" applyAlignment="1">
      <alignment horizontal="left" vertical="center"/>
    </xf>
    <xf numFmtId="0" fontId="11" fillId="0" borderId="0" xfId="0" applyFont="1" applyBorder="1"/>
    <xf numFmtId="43" fontId="11" fillId="0" borderId="0" xfId="1" applyFont="1"/>
    <xf numFmtId="0" fontId="11" fillId="0" borderId="0" xfId="2" applyFont="1" applyAlignment="1">
      <alignment horizontal="left"/>
    </xf>
    <xf numFmtId="0" fontId="11" fillId="0" borderId="0" xfId="2" applyFont="1" applyFill="1" applyAlignment="1">
      <alignment horizontal="center"/>
    </xf>
    <xf numFmtId="0" fontId="11" fillId="0" borderId="0" xfId="2" applyFont="1"/>
    <xf numFmtId="0" fontId="11" fillId="0" borderId="0" xfId="2" applyFont="1" applyAlignment="1">
      <alignment horizontal="center"/>
    </xf>
    <xf numFmtId="2" fontId="11" fillId="0" borderId="0" xfId="2" applyNumberFormat="1" applyFont="1"/>
    <xf numFmtId="0" fontId="10" fillId="0" borderId="5" xfId="2" applyFont="1" applyBorder="1" applyAlignment="1">
      <alignment horizontal="center"/>
    </xf>
    <xf numFmtId="0" fontId="10" fillId="0" borderId="5" xfId="2" applyFont="1" applyFill="1" applyBorder="1" applyAlignment="1">
      <alignment horizontal="center"/>
    </xf>
    <xf numFmtId="0" fontId="10" fillId="0" borderId="6" xfId="2" applyFont="1" applyBorder="1" applyAlignment="1">
      <alignment horizontal="center"/>
    </xf>
    <xf numFmtId="0" fontId="10" fillId="0" borderId="6" xfId="2" applyFont="1" applyBorder="1" applyAlignment="1">
      <alignment horizontal="right"/>
    </xf>
    <xf numFmtId="2" fontId="10" fillId="0" borderId="5" xfId="2" applyNumberFormat="1" applyFont="1" applyBorder="1" applyAlignment="1">
      <alignment horizontal="center"/>
    </xf>
    <xf numFmtId="0" fontId="10" fillId="0" borderId="8" xfId="2" applyFont="1" applyBorder="1" applyAlignment="1">
      <alignment horizontal="center"/>
    </xf>
    <xf numFmtId="0" fontId="10" fillId="0" borderId="8" xfId="2" applyFont="1" applyFill="1" applyBorder="1" applyAlignment="1">
      <alignment horizontal="center"/>
    </xf>
    <xf numFmtId="2" fontId="10" fillId="0" borderId="8" xfId="2" applyNumberFormat="1" applyFont="1" applyBorder="1" applyAlignment="1">
      <alignment horizontal="center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vertical="center" wrapText="1"/>
    </xf>
    <xf numFmtId="0" fontId="23" fillId="0" borderId="0" xfId="0" applyFont="1" applyBorder="1"/>
    <xf numFmtId="0" fontId="24" fillId="0" borderId="0" xfId="0" applyFont="1" applyBorder="1"/>
    <xf numFmtId="0" fontId="25" fillId="0" borderId="0" xfId="0" applyFont="1" applyBorder="1"/>
    <xf numFmtId="3" fontId="24" fillId="0" borderId="0" xfId="0" applyNumberFormat="1" applyFont="1" applyFill="1" applyBorder="1" applyAlignment="1">
      <alignment horizontal="center"/>
    </xf>
    <xf numFmtId="14" fontId="26" fillId="0" borderId="0" xfId="0" applyNumberFormat="1" applyFont="1" applyBorder="1" applyAlignment="1">
      <alignment horizontal="center"/>
    </xf>
    <xf numFmtId="3" fontId="26" fillId="0" borderId="0" xfId="0" applyNumberFormat="1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0" fontId="27" fillId="0" borderId="0" xfId="0" applyFont="1" applyBorder="1"/>
    <xf numFmtId="0" fontId="28" fillId="0" borderId="0" xfId="0" applyFont="1"/>
    <xf numFmtId="14" fontId="28" fillId="0" borderId="0" xfId="0" applyNumberFormat="1" applyFont="1" applyAlignment="1">
      <alignment horizontal="left"/>
    </xf>
    <xf numFmtId="164" fontId="11" fillId="0" borderId="0" xfId="1" applyNumberFormat="1" applyFont="1" applyBorder="1" applyAlignment="1">
      <alignment horizontal="center"/>
    </xf>
    <xf numFmtId="43" fontId="11" fillId="0" borderId="0" xfId="1" applyNumberFormat="1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4" fontId="18" fillId="0" borderId="12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164" fontId="13" fillId="0" borderId="0" xfId="1" applyNumberFormat="1" applyFont="1" applyBorder="1" applyAlignment="1">
      <alignment horizontal="center" vertical="center"/>
    </xf>
    <xf numFmtId="15" fontId="18" fillId="0" borderId="0" xfId="0" applyNumberFormat="1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168" fontId="28" fillId="0" borderId="0" xfId="1" applyNumberFormat="1" applyFont="1" applyFill="1" applyAlignment="1">
      <alignment horizontal="center"/>
    </xf>
    <xf numFmtId="168" fontId="28" fillId="0" borderId="0" xfId="1" applyNumberFormat="1" applyFont="1"/>
    <xf numFmtId="0" fontId="28" fillId="0" borderId="0" xfId="0" applyFont="1" applyAlignment="1"/>
    <xf numFmtId="168" fontId="28" fillId="0" borderId="0" xfId="1" applyNumberFormat="1" applyFont="1" applyAlignment="1"/>
    <xf numFmtId="167" fontId="28" fillId="0" borderId="0" xfId="1" applyNumberFormat="1" applyFont="1" applyFill="1" applyAlignment="1">
      <alignment horizontal="center"/>
    </xf>
    <xf numFmtId="167" fontId="28" fillId="0" borderId="0" xfId="1" applyNumberFormat="1" applyFont="1"/>
    <xf numFmtId="168" fontId="28" fillId="0" borderId="0" xfId="1" applyNumberFormat="1" applyFont="1" applyAlignment="1">
      <alignment horizontal="right"/>
    </xf>
    <xf numFmtId="43" fontId="30" fillId="0" borderId="0" xfId="1" applyFont="1"/>
    <xf numFmtId="0" fontId="30" fillId="0" borderId="0" xfId="0" applyFont="1"/>
    <xf numFmtId="43" fontId="30" fillId="0" borderId="0" xfId="1" applyFont="1" applyAlignment="1">
      <alignment horizontal="center"/>
    </xf>
    <xf numFmtId="3" fontId="18" fillId="0" borderId="12" xfId="0" applyNumberFormat="1" applyFont="1" applyBorder="1" applyAlignment="1">
      <alignment horizontal="right" vertical="center"/>
    </xf>
    <xf numFmtId="164" fontId="28" fillId="0" borderId="0" xfId="1" applyNumberFormat="1" applyFont="1" applyAlignment="1"/>
    <xf numFmtId="164" fontId="0" fillId="4" borderId="0" xfId="1" applyNumberFormat="1" applyFont="1" applyFill="1"/>
    <xf numFmtId="164" fontId="0" fillId="5" borderId="0" xfId="1" applyNumberFormat="1" applyFont="1" applyFill="1"/>
    <xf numFmtId="3" fontId="5" fillId="6" borderId="0" xfId="0" applyNumberFormat="1" applyFont="1" applyFill="1" applyAlignment="1">
      <alignment vertical="center"/>
    </xf>
    <xf numFmtId="3" fontId="12" fillId="6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18" fillId="0" borderId="13" xfId="0" applyFont="1" applyFill="1" applyBorder="1" applyAlignment="1">
      <alignment horizontal="center" vertical="center" wrapText="1"/>
    </xf>
    <xf numFmtId="3" fontId="5" fillId="0" borderId="0" xfId="0" applyNumberFormat="1" applyFont="1" applyFill="1" applyAlignment="1">
      <alignment vertical="center"/>
    </xf>
    <xf numFmtId="3" fontId="12" fillId="0" borderId="0" xfId="0" applyNumberFormat="1" applyFont="1" applyFill="1" applyAlignment="1">
      <alignment vertical="center"/>
    </xf>
    <xf numFmtId="15" fontId="18" fillId="0" borderId="1" xfId="0" applyNumberFormat="1" applyFont="1" applyBorder="1" applyAlignment="1">
      <alignment horizontal="left" vertical="center"/>
    </xf>
    <xf numFmtId="15" fontId="18" fillId="0" borderId="15" xfId="0" applyNumberFormat="1" applyFont="1" applyBorder="1" applyAlignment="1">
      <alignment horizontal="left" vertical="center"/>
    </xf>
    <xf numFmtId="0" fontId="3" fillId="0" borderId="16" xfId="0" applyFont="1" applyBorder="1" applyAlignment="1">
      <alignment horizontal="centerContinuous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3" fontId="13" fillId="0" borderId="19" xfId="0" applyNumberFormat="1" applyFont="1" applyBorder="1" applyAlignment="1">
      <alignment horizontal="right" vertical="center"/>
    </xf>
    <xf numFmtId="3" fontId="13" fillId="0" borderId="20" xfId="0" applyNumberFormat="1" applyFont="1" applyBorder="1" applyAlignment="1">
      <alignment horizontal="right" vertical="center"/>
    </xf>
    <xf numFmtId="3" fontId="13" fillId="0" borderId="21" xfId="0" applyNumberFormat="1" applyFont="1" applyBorder="1" applyAlignment="1">
      <alignment horizontal="right" vertical="center"/>
    </xf>
    <xf numFmtId="3" fontId="13" fillId="0" borderId="22" xfId="0" applyNumberFormat="1" applyFont="1" applyBorder="1" applyAlignment="1">
      <alignment horizontal="right" vertical="center"/>
    </xf>
    <xf numFmtId="169" fontId="5" fillId="0" borderId="0" xfId="1" applyNumberFormat="1" applyFont="1" applyAlignment="1">
      <alignment vertical="center"/>
    </xf>
    <xf numFmtId="3" fontId="13" fillId="0" borderId="21" xfId="0" applyNumberFormat="1" applyFont="1" applyFill="1" applyBorder="1" applyAlignment="1">
      <alignment horizontal="right" vertical="center"/>
    </xf>
    <xf numFmtId="3" fontId="13" fillId="0" borderId="22" xfId="0" applyNumberFormat="1" applyFont="1" applyFill="1" applyBorder="1" applyAlignment="1">
      <alignment horizontal="right" vertical="center"/>
    </xf>
    <xf numFmtId="0" fontId="13" fillId="0" borderId="0" xfId="0" applyFont="1" applyBorder="1" applyAlignment="1">
      <alignment horizontal="center" vertical="center"/>
    </xf>
    <xf numFmtId="43" fontId="13" fillId="0" borderId="0" xfId="1" applyFont="1" applyFill="1" applyBorder="1" applyAlignment="1">
      <alignment horizontal="center" vertical="center"/>
    </xf>
    <xf numFmtId="164" fontId="0" fillId="0" borderId="0" xfId="1" applyNumberFormat="1" applyFont="1"/>
    <xf numFmtId="0" fontId="18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22" fillId="3" borderId="0" xfId="2" applyFont="1" applyFill="1" applyAlignment="1">
      <alignment horizontal="center"/>
    </xf>
    <xf numFmtId="17" fontId="22" fillId="3" borderId="0" xfId="2" applyNumberFormat="1" applyFont="1" applyFill="1" applyAlignment="1">
      <alignment horizontal="center"/>
    </xf>
    <xf numFmtId="0" fontId="10" fillId="0" borderId="5" xfId="2" applyFont="1" applyBorder="1" applyAlignment="1">
      <alignment horizontal="center" vertical="center"/>
    </xf>
    <xf numFmtId="0" fontId="10" fillId="0" borderId="8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view="pageLayout" zoomScale="85" zoomScaleNormal="100" zoomScalePageLayoutView="85" workbookViewId="0">
      <selection activeCell="V11" sqref="V11:V15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8.85546875" customWidth="1"/>
    <col min="6" max="6" width="7.5703125" customWidth="1"/>
    <col min="7" max="7" width="9.140625" customWidth="1"/>
    <col min="8" max="8" width="7.5703125" customWidth="1"/>
    <col min="9" max="9" width="9" customWidth="1"/>
    <col min="10" max="10" width="7.42578125" customWidth="1"/>
    <col min="11" max="11" width="8.42578125" customWidth="1"/>
    <col min="12" max="12" width="7.8554687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29" t="s">
        <v>76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6" ht="15.75" thickBot="1">
      <c r="E2" s="112" t="s">
        <v>77</v>
      </c>
      <c r="F2" s="112"/>
      <c r="G2" s="112"/>
      <c r="H2" s="112"/>
      <c r="I2" s="112" t="s">
        <v>78</v>
      </c>
      <c r="J2" s="112"/>
      <c r="K2" s="112"/>
      <c r="L2" s="112"/>
      <c r="M2" s="112" t="s">
        <v>79</v>
      </c>
      <c r="N2" s="112"/>
      <c r="O2" s="112"/>
      <c r="P2" s="112"/>
      <c r="Q2" s="130" t="s">
        <v>199</v>
      </c>
      <c r="R2" s="130"/>
      <c r="S2" s="130"/>
      <c r="T2" s="130"/>
    </row>
    <row r="3" spans="1:26" s="13" customFormat="1" ht="27.95" customHeight="1">
      <c r="B3" s="131" t="s">
        <v>6</v>
      </c>
      <c r="C3" s="125" t="s">
        <v>75</v>
      </c>
      <c r="D3" s="126"/>
      <c r="E3" s="125" t="s">
        <v>171</v>
      </c>
      <c r="F3" s="126"/>
      <c r="G3" s="125" t="s">
        <v>172</v>
      </c>
      <c r="H3" s="126"/>
      <c r="I3" s="125" t="s">
        <v>171</v>
      </c>
      <c r="J3" s="126"/>
      <c r="K3" s="125" t="s">
        <v>172</v>
      </c>
      <c r="L3" s="126"/>
      <c r="M3" s="125" t="s">
        <v>171</v>
      </c>
      <c r="N3" s="126"/>
      <c r="O3" s="125" t="s">
        <v>172</v>
      </c>
      <c r="P3" s="126"/>
      <c r="Q3" s="125" t="s">
        <v>171</v>
      </c>
      <c r="R3" s="126"/>
      <c r="S3" s="125" t="s">
        <v>172</v>
      </c>
      <c r="T3" s="126"/>
      <c r="U3" s="12"/>
      <c r="V3" s="104"/>
      <c r="Z3" s="14"/>
    </row>
    <row r="4" spans="1:26" s="13" customFormat="1" ht="51.75" customHeight="1">
      <c r="B4" s="132"/>
      <c r="C4" s="127"/>
      <c r="D4" s="128"/>
      <c r="E4" s="127"/>
      <c r="F4" s="128"/>
      <c r="G4" s="127"/>
      <c r="H4" s="128"/>
      <c r="I4" s="127"/>
      <c r="J4" s="128"/>
      <c r="K4" s="127"/>
      <c r="L4" s="128"/>
      <c r="M4" s="127"/>
      <c r="N4" s="128"/>
      <c r="O4" s="127"/>
      <c r="P4" s="128"/>
      <c r="Q4" s="127"/>
      <c r="R4" s="128"/>
      <c r="S4" s="127"/>
      <c r="T4" s="128"/>
      <c r="U4" s="12"/>
      <c r="V4" s="105" t="s">
        <v>170</v>
      </c>
      <c r="Z4" s="14"/>
    </row>
    <row r="5" spans="1:26" s="13" customFormat="1" ht="37.5" customHeight="1">
      <c r="A5" s="106"/>
      <c r="B5" s="107"/>
      <c r="C5" s="113" t="s">
        <v>174</v>
      </c>
      <c r="D5" s="114" t="s">
        <v>175</v>
      </c>
      <c r="E5" s="113" t="s">
        <v>174</v>
      </c>
      <c r="F5" s="114" t="s">
        <v>175</v>
      </c>
      <c r="G5" s="113" t="s">
        <v>174</v>
      </c>
      <c r="H5" s="114" t="s">
        <v>175</v>
      </c>
      <c r="I5" s="113" t="s">
        <v>174</v>
      </c>
      <c r="J5" s="114" t="s">
        <v>175</v>
      </c>
      <c r="K5" s="113" t="s">
        <v>174</v>
      </c>
      <c r="L5" s="114" t="s">
        <v>175</v>
      </c>
      <c r="M5" s="113" t="s">
        <v>174</v>
      </c>
      <c r="N5" s="114" t="s">
        <v>175</v>
      </c>
      <c r="O5" s="113" t="s">
        <v>174</v>
      </c>
      <c r="P5" s="114" t="s">
        <v>175</v>
      </c>
      <c r="Q5" s="113" t="s">
        <v>174</v>
      </c>
      <c r="R5" s="114" t="s">
        <v>175</v>
      </c>
      <c r="S5" s="113" t="s">
        <v>174</v>
      </c>
      <c r="T5" s="114" t="s">
        <v>175</v>
      </c>
      <c r="U5" s="108"/>
      <c r="V5" s="109"/>
      <c r="W5"/>
      <c r="X5"/>
      <c r="Z5" s="14"/>
    </row>
    <row r="6" spans="1:26" s="13" customFormat="1" ht="37.5" customHeight="1">
      <c r="B6" s="110" t="s">
        <v>64</v>
      </c>
      <c r="C6" s="115">
        <v>6000000</v>
      </c>
      <c r="D6" s="116">
        <f>C6*0.133774139</f>
        <v>802644.83399999992</v>
      </c>
      <c r="E6" s="115">
        <v>2651445</v>
      </c>
      <c r="F6" s="116">
        <f>E6*0.133774139</f>
        <v>354694.77198085497</v>
      </c>
      <c r="G6" s="115">
        <v>3223442</v>
      </c>
      <c r="H6" s="116">
        <v>434758</v>
      </c>
      <c r="I6" s="115">
        <v>1826896</v>
      </c>
      <c r="J6" s="116">
        <f>I6*0.13377</f>
        <v>244383.87792</v>
      </c>
      <c r="K6" s="115">
        <v>2140147</v>
      </c>
      <c r="L6" s="116">
        <v>290255</v>
      </c>
      <c r="M6" s="115">
        <v>1410432</v>
      </c>
      <c r="N6" s="116">
        <f>M6*0.13377</f>
        <v>188673.48864</v>
      </c>
      <c r="O6" s="115">
        <v>1672608</v>
      </c>
      <c r="P6" s="116">
        <v>226545</v>
      </c>
      <c r="Q6" s="115">
        <f>+E6+I6+M6</f>
        <v>5888773</v>
      </c>
      <c r="R6" s="116">
        <f>+F6+J6+N6</f>
        <v>787752.13854085503</v>
      </c>
      <c r="S6" s="115">
        <f>+G6+K6+O6</f>
        <v>7036197</v>
      </c>
      <c r="T6" s="116">
        <f>+H6+L6+P6</f>
        <v>951558</v>
      </c>
      <c r="U6"/>
      <c r="V6" s="102">
        <f>C6-S6</f>
        <v>-1036197</v>
      </c>
      <c r="W6"/>
      <c r="X6"/>
      <c r="Z6" s="119"/>
    </row>
    <row r="7" spans="1:26" s="13" customFormat="1" ht="37.5" customHeight="1">
      <c r="B7" s="110" t="s">
        <v>65</v>
      </c>
      <c r="C7" s="115">
        <v>5000000</v>
      </c>
      <c r="D7" s="116">
        <f t="shared" ref="D7:F9" si="0">C7*0.133774139</f>
        <v>668870.69499999995</v>
      </c>
      <c r="E7" s="115">
        <v>1029758</v>
      </c>
      <c r="F7" s="116">
        <f t="shared" si="0"/>
        <v>137754.98982836198</v>
      </c>
      <c r="G7" s="115">
        <v>137188</v>
      </c>
      <c r="H7" s="116">
        <v>19008</v>
      </c>
      <c r="I7" s="115">
        <v>850012</v>
      </c>
      <c r="J7" s="116">
        <f t="shared" ref="J7:J9" si="1">I7*0.13377</f>
        <v>113706.10524</v>
      </c>
      <c r="K7" s="115">
        <v>949190</v>
      </c>
      <c r="L7" s="116">
        <v>129926</v>
      </c>
      <c r="M7" s="115">
        <v>975626</v>
      </c>
      <c r="N7" s="116">
        <f t="shared" ref="N7:N9" si="2">M7*0.13377</f>
        <v>130509.49002</v>
      </c>
      <c r="O7" s="115">
        <v>669925</v>
      </c>
      <c r="P7" s="116">
        <v>91735</v>
      </c>
      <c r="Q7" s="115">
        <f>+E7+I7+M7</f>
        <v>2855396</v>
      </c>
      <c r="R7" s="116">
        <f t="shared" ref="R7:R9" si="3">+F7+J7+N7</f>
        <v>381970.58508836199</v>
      </c>
      <c r="S7" s="115">
        <f>+G7+K7+O7</f>
        <v>1756303</v>
      </c>
      <c r="T7" s="116">
        <f t="shared" ref="T7:T9" si="4">+H7+L7+P7</f>
        <v>240669</v>
      </c>
      <c r="U7"/>
      <c r="V7" s="103">
        <f t="shared" ref="V7:V9" si="5">C7-S7</f>
        <v>3243697</v>
      </c>
      <c r="W7"/>
      <c r="X7"/>
      <c r="Z7" s="14"/>
    </row>
    <row r="8" spans="1:26" s="13" customFormat="1" ht="37.5" customHeight="1">
      <c r="B8" s="110" t="s">
        <v>67</v>
      </c>
      <c r="C8" s="115">
        <v>4000000</v>
      </c>
      <c r="D8" s="116">
        <f t="shared" si="0"/>
        <v>535096.55599999998</v>
      </c>
      <c r="E8" s="115">
        <v>456430</v>
      </c>
      <c r="F8" s="116">
        <f t="shared" si="0"/>
        <v>61058.530263769993</v>
      </c>
      <c r="G8" s="115">
        <v>948350</v>
      </c>
      <c r="H8" s="116">
        <v>129844</v>
      </c>
      <c r="I8" s="115">
        <v>397400</v>
      </c>
      <c r="J8" s="116">
        <f t="shared" si="1"/>
        <v>53160.197999999997</v>
      </c>
      <c r="K8" s="115">
        <v>0</v>
      </c>
      <c r="L8" s="116">
        <v>0</v>
      </c>
      <c r="M8" s="115">
        <v>437946</v>
      </c>
      <c r="N8" s="116">
        <f t="shared" si="2"/>
        <v>58584.036419999997</v>
      </c>
      <c r="O8" s="115">
        <v>0</v>
      </c>
      <c r="P8" s="116">
        <v>0</v>
      </c>
      <c r="Q8" s="115">
        <f>+E8+I8+M8</f>
        <v>1291776</v>
      </c>
      <c r="R8" s="116">
        <f t="shared" si="3"/>
        <v>172802.76468376999</v>
      </c>
      <c r="S8" s="115">
        <f>+G8+K8+O8</f>
        <v>948350</v>
      </c>
      <c r="T8" s="116">
        <f t="shared" si="4"/>
        <v>129844</v>
      </c>
      <c r="U8"/>
      <c r="V8" s="103">
        <f t="shared" si="5"/>
        <v>3051650</v>
      </c>
      <c r="W8"/>
      <c r="X8"/>
      <c r="Z8" s="14"/>
    </row>
    <row r="9" spans="1:26" s="13" customFormat="1" ht="27" customHeight="1" thickBot="1">
      <c r="B9" s="111" t="s">
        <v>66</v>
      </c>
      <c r="C9" s="117">
        <v>0</v>
      </c>
      <c r="D9" s="118">
        <f t="shared" si="0"/>
        <v>0</v>
      </c>
      <c r="E9" s="117">
        <v>50375</v>
      </c>
      <c r="F9" s="118">
        <f t="shared" si="0"/>
        <v>6738.8722521249992</v>
      </c>
      <c r="G9" s="117">
        <v>0</v>
      </c>
      <c r="H9" s="118"/>
      <c r="I9" s="117">
        <v>47098</v>
      </c>
      <c r="J9" s="118">
        <f t="shared" si="1"/>
        <v>6300.2994600000002</v>
      </c>
      <c r="K9" s="117">
        <v>0</v>
      </c>
      <c r="L9" s="121">
        <v>0</v>
      </c>
      <c r="M9" s="120">
        <v>48034</v>
      </c>
      <c r="N9" s="118">
        <f t="shared" si="2"/>
        <v>6425.5081799999998</v>
      </c>
      <c r="O9" s="117">
        <v>0</v>
      </c>
      <c r="P9" s="118">
        <v>0</v>
      </c>
      <c r="Q9" s="117">
        <f>+E9+I9+M9</f>
        <v>145507</v>
      </c>
      <c r="R9" s="118">
        <f t="shared" si="3"/>
        <v>19464.679892125001</v>
      </c>
      <c r="S9" s="117">
        <f>+G9+K9+O9</f>
        <v>0</v>
      </c>
      <c r="T9" s="118">
        <f t="shared" si="4"/>
        <v>0</v>
      </c>
      <c r="U9"/>
      <c r="V9" s="103">
        <f t="shared" si="5"/>
        <v>0</v>
      </c>
      <c r="W9"/>
      <c r="X9"/>
      <c r="Z9" s="14"/>
    </row>
    <row r="10" spans="1:26" s="13" customFormat="1" ht="25.5" customHeight="1">
      <c r="B10" s="88" t="s">
        <v>127</v>
      </c>
      <c r="C10" s="88"/>
      <c r="D10" s="88" t="s">
        <v>164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176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view="pageLayout" zoomScale="85" zoomScaleNormal="100" zoomScalePageLayoutView="85" workbookViewId="0">
      <selection activeCell="E6" sqref="E6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8.85546875" customWidth="1"/>
    <col min="6" max="6" width="7.5703125" customWidth="1"/>
    <col min="7" max="7" width="8.28515625" customWidth="1"/>
    <col min="8" max="8" width="7.7109375" customWidth="1"/>
    <col min="9" max="9" width="9" customWidth="1"/>
    <col min="10" max="10" width="7.42578125" customWidth="1"/>
    <col min="11" max="11" width="8.42578125" customWidth="1"/>
    <col min="12" max="12" width="7.2851562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29" t="s">
        <v>128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6" ht="15.75" thickBot="1">
      <c r="E2" s="112" t="s">
        <v>130</v>
      </c>
      <c r="F2" s="112"/>
      <c r="G2" s="112"/>
      <c r="H2" s="112"/>
      <c r="I2" s="112" t="s">
        <v>131</v>
      </c>
      <c r="J2" s="112"/>
      <c r="K2" s="112"/>
      <c r="L2" s="112"/>
      <c r="M2" s="112" t="s">
        <v>132</v>
      </c>
      <c r="N2" s="112"/>
      <c r="O2" s="112"/>
      <c r="P2" s="112"/>
      <c r="Q2" s="130" t="s">
        <v>200</v>
      </c>
      <c r="R2" s="130"/>
      <c r="S2" s="130"/>
      <c r="T2" s="130"/>
    </row>
    <row r="3" spans="1:26" s="13" customFormat="1" ht="27.95" customHeight="1">
      <c r="B3" s="131" t="s">
        <v>6</v>
      </c>
      <c r="C3" s="125" t="s">
        <v>129</v>
      </c>
      <c r="D3" s="126"/>
      <c r="E3" s="125" t="s">
        <v>171</v>
      </c>
      <c r="F3" s="126"/>
      <c r="G3" s="125" t="s">
        <v>172</v>
      </c>
      <c r="H3" s="126"/>
      <c r="I3" s="125" t="s">
        <v>171</v>
      </c>
      <c r="J3" s="126"/>
      <c r="K3" s="125" t="s">
        <v>172</v>
      </c>
      <c r="L3" s="126"/>
      <c r="M3" s="125" t="s">
        <v>171</v>
      </c>
      <c r="N3" s="126"/>
      <c r="O3" s="125" t="s">
        <v>172</v>
      </c>
      <c r="P3" s="126"/>
      <c r="Q3" s="125" t="s">
        <v>171</v>
      </c>
      <c r="R3" s="126"/>
      <c r="S3" s="125" t="s">
        <v>172</v>
      </c>
      <c r="T3" s="126"/>
      <c r="U3" s="12"/>
      <c r="V3" s="104"/>
      <c r="Z3" s="14"/>
    </row>
    <row r="4" spans="1:26" s="13" customFormat="1" ht="51.75" customHeight="1">
      <c r="B4" s="132"/>
      <c r="C4" s="127"/>
      <c r="D4" s="128"/>
      <c r="E4" s="127"/>
      <c r="F4" s="128"/>
      <c r="G4" s="127"/>
      <c r="H4" s="128"/>
      <c r="I4" s="127"/>
      <c r="J4" s="128"/>
      <c r="K4" s="127"/>
      <c r="L4" s="128"/>
      <c r="M4" s="127"/>
      <c r="N4" s="128"/>
      <c r="O4" s="127"/>
      <c r="P4" s="128"/>
      <c r="Q4" s="127"/>
      <c r="R4" s="128"/>
      <c r="S4" s="127"/>
      <c r="T4" s="128"/>
      <c r="U4" s="12"/>
      <c r="V4" s="105" t="s">
        <v>170</v>
      </c>
      <c r="Z4" s="14"/>
    </row>
    <row r="5" spans="1:26" s="13" customFormat="1" ht="37.5" customHeight="1">
      <c r="A5" s="106"/>
      <c r="B5" s="107"/>
      <c r="C5" s="113" t="s">
        <v>174</v>
      </c>
      <c r="D5" s="114" t="s">
        <v>175</v>
      </c>
      <c r="E5" s="113" t="s">
        <v>174</v>
      </c>
      <c r="F5" s="114" t="s">
        <v>175</v>
      </c>
      <c r="G5" s="113" t="s">
        <v>174</v>
      </c>
      <c r="H5" s="114" t="s">
        <v>175</v>
      </c>
      <c r="I5" s="113" t="s">
        <v>174</v>
      </c>
      <c r="J5" s="114" t="s">
        <v>175</v>
      </c>
      <c r="K5" s="113" t="s">
        <v>174</v>
      </c>
      <c r="L5" s="114" t="s">
        <v>175</v>
      </c>
      <c r="M5" s="113" t="s">
        <v>174</v>
      </c>
      <c r="N5" s="114" t="s">
        <v>175</v>
      </c>
      <c r="O5" s="113" t="s">
        <v>174</v>
      </c>
      <c r="P5" s="114" t="s">
        <v>175</v>
      </c>
      <c r="Q5" s="113" t="s">
        <v>174</v>
      </c>
      <c r="R5" s="114" t="s">
        <v>175</v>
      </c>
      <c r="S5" s="113" t="s">
        <v>174</v>
      </c>
      <c r="T5" s="114" t="s">
        <v>175</v>
      </c>
      <c r="U5" s="108"/>
      <c r="V5" s="109"/>
      <c r="W5"/>
      <c r="X5"/>
      <c r="Z5" s="14"/>
    </row>
    <row r="6" spans="1:26" s="13" customFormat="1" ht="37.5" customHeight="1">
      <c r="B6" s="110" t="s">
        <v>64</v>
      </c>
      <c r="C6" s="115">
        <v>8000000</v>
      </c>
      <c r="D6" s="116">
        <f>C6*0.133774139</f>
        <v>1070193.112</v>
      </c>
      <c r="E6" s="115">
        <v>1371193</v>
      </c>
      <c r="F6" s="116">
        <f>E6*0.133774139</f>
        <v>183430.16297782699</v>
      </c>
      <c r="G6" s="115">
        <v>1702215</v>
      </c>
      <c r="H6" s="116">
        <v>228565</v>
      </c>
      <c r="I6" s="115">
        <v>1086682</v>
      </c>
      <c r="J6" s="116">
        <f>I6*0.13377</f>
        <v>145365.45113999999</v>
      </c>
      <c r="K6" s="115">
        <v>45793</v>
      </c>
      <c r="L6" s="116">
        <v>6169</v>
      </c>
      <c r="M6" s="115">
        <v>588063</v>
      </c>
      <c r="N6" s="116">
        <f>M6*0.13377</f>
        <v>78665.187510000003</v>
      </c>
      <c r="O6" s="115">
        <v>1747124</v>
      </c>
      <c r="P6" s="116">
        <v>235239</v>
      </c>
      <c r="Q6" s="115">
        <f>+E6+I6+M6</f>
        <v>3045938</v>
      </c>
      <c r="R6" s="116">
        <f>+F6+J6+N6</f>
        <v>407460.80162782699</v>
      </c>
      <c r="S6" s="115">
        <f>+G6+K6+O6</f>
        <v>3495132</v>
      </c>
      <c r="T6" s="116">
        <f>+H6+L6+P6</f>
        <v>469973</v>
      </c>
      <c r="U6"/>
      <c r="V6" s="103">
        <f>C6-S6</f>
        <v>4504868</v>
      </c>
      <c r="W6"/>
      <c r="X6"/>
      <c r="Z6" s="119"/>
    </row>
    <row r="7" spans="1:26" s="13" customFormat="1" ht="37.5" customHeight="1">
      <c r="B7" s="110" t="s">
        <v>65</v>
      </c>
      <c r="C7" s="115">
        <v>3200000</v>
      </c>
      <c r="D7" s="116">
        <f t="shared" ref="D7:F9" si="0">C7*0.133774139</f>
        <v>428077.24479999993</v>
      </c>
      <c r="E7" s="115">
        <v>851355</v>
      </c>
      <c r="F7" s="116">
        <f t="shared" si="0"/>
        <v>113889.28210834498</v>
      </c>
      <c r="G7" s="115">
        <v>1917607</v>
      </c>
      <c r="H7" s="116">
        <v>263530</v>
      </c>
      <c r="I7" s="115">
        <v>874637</v>
      </c>
      <c r="J7" s="116">
        <f t="shared" ref="J7:J9" si="1">I7*0.13377</f>
        <v>117000.19149</v>
      </c>
      <c r="K7" s="115">
        <v>9617</v>
      </c>
      <c r="L7" s="116">
        <v>1314</v>
      </c>
      <c r="M7" s="115">
        <v>672574</v>
      </c>
      <c r="N7" s="116">
        <f t="shared" ref="N7:N9" si="2">M7*0.13377</f>
        <v>89970.223979999995</v>
      </c>
      <c r="O7" s="115">
        <v>1019844</v>
      </c>
      <c r="P7" s="116">
        <v>138974</v>
      </c>
      <c r="Q7" s="115">
        <f>+E7+I7+M7</f>
        <v>2398566</v>
      </c>
      <c r="R7" s="116">
        <f t="shared" ref="R7:R9" si="3">+F7+J7+N7</f>
        <v>320859.69757834496</v>
      </c>
      <c r="S7" s="115">
        <f>+G7+K7+O7</f>
        <v>2947068</v>
      </c>
      <c r="T7" s="116">
        <f t="shared" ref="T7:T9" si="4">+H7+L7+P7</f>
        <v>403818</v>
      </c>
      <c r="U7"/>
      <c r="V7" s="103">
        <f t="shared" ref="V7:V9" si="5">C7-S7</f>
        <v>252932</v>
      </c>
      <c r="W7"/>
      <c r="X7"/>
      <c r="Z7" s="14"/>
    </row>
    <row r="8" spans="1:26" s="13" customFormat="1" ht="37.5" customHeight="1">
      <c r="B8" s="110" t="s">
        <v>67</v>
      </c>
      <c r="C8" s="115">
        <v>1600000</v>
      </c>
      <c r="D8" s="116">
        <f t="shared" si="0"/>
        <v>214038.62239999996</v>
      </c>
      <c r="E8" s="115">
        <v>354826</v>
      </c>
      <c r="F8" s="116">
        <f t="shared" si="0"/>
        <v>47466.542644813999</v>
      </c>
      <c r="G8" s="115">
        <v>663793</v>
      </c>
      <c r="H8" s="116">
        <v>91280</v>
      </c>
      <c r="I8" s="115">
        <v>399025</v>
      </c>
      <c r="J8" s="116">
        <f t="shared" si="1"/>
        <v>53377.574249999998</v>
      </c>
      <c r="K8" s="115">
        <v>0</v>
      </c>
      <c r="L8" s="116">
        <v>0</v>
      </c>
      <c r="M8" s="115">
        <v>390482</v>
      </c>
      <c r="N8" s="116">
        <f t="shared" si="2"/>
        <v>52234.777139999998</v>
      </c>
      <c r="O8" s="115">
        <v>0</v>
      </c>
      <c r="P8" s="116">
        <v>0</v>
      </c>
      <c r="Q8" s="115">
        <f>+E8+I8+M8</f>
        <v>1144333</v>
      </c>
      <c r="R8" s="116">
        <f t="shared" si="3"/>
        <v>153078.894034814</v>
      </c>
      <c r="S8" s="115">
        <f>+G8+K8+O8</f>
        <v>663793</v>
      </c>
      <c r="T8" s="116">
        <f t="shared" si="4"/>
        <v>91280</v>
      </c>
      <c r="U8"/>
      <c r="V8" s="103">
        <f t="shared" si="5"/>
        <v>936207</v>
      </c>
      <c r="W8"/>
      <c r="X8"/>
      <c r="Z8" s="14"/>
    </row>
    <row r="9" spans="1:26" s="13" customFormat="1" ht="27" customHeight="1" thickBot="1">
      <c r="B9" s="111" t="s">
        <v>66</v>
      </c>
      <c r="C9" s="117">
        <v>1000000</v>
      </c>
      <c r="D9" s="118">
        <f t="shared" si="0"/>
        <v>133774.139</v>
      </c>
      <c r="E9" s="117">
        <v>34873</v>
      </c>
      <c r="F9" s="118">
        <f t="shared" si="0"/>
        <v>4665.1055493469994</v>
      </c>
      <c r="G9" s="117">
        <v>0</v>
      </c>
      <c r="H9" s="118">
        <v>0</v>
      </c>
      <c r="I9" s="117">
        <v>40361</v>
      </c>
      <c r="J9" s="118">
        <f t="shared" si="1"/>
        <v>5399.0909700000002</v>
      </c>
      <c r="K9" s="117">
        <v>0</v>
      </c>
      <c r="L9" s="121">
        <v>0</v>
      </c>
      <c r="M9" s="120">
        <v>39302</v>
      </c>
      <c r="N9" s="118">
        <f t="shared" si="2"/>
        <v>5257.4285399999999</v>
      </c>
      <c r="O9" s="117">
        <v>0</v>
      </c>
      <c r="P9" s="118">
        <v>0</v>
      </c>
      <c r="Q9" s="117">
        <f>+E9+I9+M9</f>
        <v>114536</v>
      </c>
      <c r="R9" s="118">
        <f t="shared" si="3"/>
        <v>15321.625059346999</v>
      </c>
      <c r="S9" s="117">
        <f>+G9+K9+O9</f>
        <v>0</v>
      </c>
      <c r="T9" s="118">
        <f t="shared" si="4"/>
        <v>0</v>
      </c>
      <c r="U9"/>
      <c r="V9" s="103">
        <f t="shared" si="5"/>
        <v>1000000</v>
      </c>
      <c r="W9"/>
      <c r="X9"/>
      <c r="Z9" s="14"/>
    </row>
    <row r="10" spans="1:26" s="13" customFormat="1" ht="25.5" customHeight="1">
      <c r="B10" s="88" t="s">
        <v>127</v>
      </c>
      <c r="C10" s="88"/>
      <c r="D10" s="88" t="s">
        <v>164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176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view="pageLayout" zoomScale="85" zoomScaleNormal="100" zoomScalePageLayoutView="85" workbookViewId="0">
      <selection activeCell="M6" sqref="M6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8.85546875" customWidth="1"/>
    <col min="6" max="6" width="7.5703125" customWidth="1"/>
    <col min="7" max="7" width="8.28515625" customWidth="1"/>
    <col min="8" max="8" width="7" customWidth="1"/>
    <col min="9" max="9" width="9" customWidth="1"/>
    <col min="10" max="10" width="7.42578125" customWidth="1"/>
    <col min="11" max="11" width="8.42578125" customWidth="1"/>
    <col min="12" max="12" width="7.28515625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8.5703125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29" t="s">
        <v>165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6" ht="15.75" thickBot="1">
      <c r="E2" s="112" t="s">
        <v>166</v>
      </c>
      <c r="F2" s="112"/>
      <c r="G2" s="112"/>
      <c r="H2" s="112"/>
      <c r="I2" s="112" t="s">
        <v>167</v>
      </c>
      <c r="J2" s="112"/>
      <c r="K2" s="112"/>
      <c r="L2" s="112"/>
      <c r="M2" s="112" t="s">
        <v>168</v>
      </c>
      <c r="N2" s="112"/>
      <c r="O2" s="112"/>
      <c r="P2" s="112"/>
      <c r="Q2" s="130" t="s">
        <v>173</v>
      </c>
      <c r="R2" s="130"/>
      <c r="S2" s="130"/>
      <c r="T2" s="130"/>
    </row>
    <row r="3" spans="1:26" s="13" customFormat="1" ht="27.95" customHeight="1">
      <c r="B3" s="131" t="s">
        <v>6</v>
      </c>
      <c r="C3" s="125" t="s">
        <v>169</v>
      </c>
      <c r="D3" s="126"/>
      <c r="E3" s="125" t="s">
        <v>171</v>
      </c>
      <c r="F3" s="126"/>
      <c r="G3" s="125" t="s">
        <v>172</v>
      </c>
      <c r="H3" s="126"/>
      <c r="I3" s="125" t="s">
        <v>171</v>
      </c>
      <c r="J3" s="126"/>
      <c r="K3" s="125" t="s">
        <v>172</v>
      </c>
      <c r="L3" s="126"/>
      <c r="M3" s="125" t="s">
        <v>171</v>
      </c>
      <c r="N3" s="126"/>
      <c r="O3" s="125" t="s">
        <v>172</v>
      </c>
      <c r="P3" s="126"/>
      <c r="Q3" s="125" t="s">
        <v>171</v>
      </c>
      <c r="R3" s="126"/>
      <c r="S3" s="125" t="s">
        <v>172</v>
      </c>
      <c r="T3" s="126"/>
      <c r="U3" s="12"/>
      <c r="V3" s="104"/>
      <c r="Z3" s="14"/>
    </row>
    <row r="4" spans="1:26" s="13" customFormat="1" ht="51.75" customHeight="1">
      <c r="B4" s="132"/>
      <c r="C4" s="127"/>
      <c r="D4" s="128"/>
      <c r="E4" s="127"/>
      <c r="F4" s="128"/>
      <c r="G4" s="127"/>
      <c r="H4" s="128"/>
      <c r="I4" s="127"/>
      <c r="J4" s="128"/>
      <c r="K4" s="127"/>
      <c r="L4" s="128"/>
      <c r="M4" s="127"/>
      <c r="N4" s="128"/>
      <c r="O4" s="127"/>
      <c r="P4" s="128"/>
      <c r="Q4" s="127"/>
      <c r="R4" s="128"/>
      <c r="S4" s="127"/>
      <c r="T4" s="128"/>
      <c r="U4" s="12"/>
      <c r="V4" s="105" t="s">
        <v>170</v>
      </c>
      <c r="Z4" s="14"/>
    </row>
    <row r="5" spans="1:26" s="13" customFormat="1" ht="37.5" customHeight="1">
      <c r="A5" s="106"/>
      <c r="B5" s="107"/>
      <c r="C5" s="113" t="s">
        <v>174</v>
      </c>
      <c r="D5" s="114" t="s">
        <v>175</v>
      </c>
      <c r="E5" s="113" t="s">
        <v>174</v>
      </c>
      <c r="F5" s="114" t="s">
        <v>175</v>
      </c>
      <c r="G5" s="113" t="s">
        <v>174</v>
      </c>
      <c r="H5" s="114" t="s">
        <v>175</v>
      </c>
      <c r="I5" s="113" t="s">
        <v>174</v>
      </c>
      <c r="J5" s="114" t="s">
        <v>175</v>
      </c>
      <c r="K5" s="113" t="s">
        <v>174</v>
      </c>
      <c r="L5" s="114" t="s">
        <v>175</v>
      </c>
      <c r="M5" s="113" t="s">
        <v>174</v>
      </c>
      <c r="N5" s="114" t="s">
        <v>175</v>
      </c>
      <c r="O5" s="113" t="s">
        <v>174</v>
      </c>
      <c r="P5" s="114" t="s">
        <v>175</v>
      </c>
      <c r="Q5" s="113" t="s">
        <v>174</v>
      </c>
      <c r="R5" s="114" t="s">
        <v>175</v>
      </c>
      <c r="S5" s="113" t="s">
        <v>174</v>
      </c>
      <c r="T5" s="114" t="s">
        <v>175</v>
      </c>
      <c r="U5" s="108"/>
      <c r="V5" s="109"/>
      <c r="W5"/>
      <c r="X5"/>
      <c r="Z5" s="14"/>
    </row>
    <row r="6" spans="1:26" s="13" customFormat="1" ht="37.5" customHeight="1">
      <c r="B6" s="110" t="s">
        <v>64</v>
      </c>
      <c r="C6" s="115">
        <v>7500000</v>
      </c>
      <c r="D6" s="116">
        <f>C6*0.133774139</f>
        <v>1003306.0424999999</v>
      </c>
      <c r="E6" s="115">
        <v>2172805</v>
      </c>
      <c r="F6" s="116">
        <f>E6*0.133774139</f>
        <v>290665.118089895</v>
      </c>
      <c r="G6" s="115">
        <v>47640</v>
      </c>
      <c r="H6" s="116">
        <v>6373</v>
      </c>
      <c r="I6" s="115">
        <v>4339566</v>
      </c>
      <c r="J6" s="116">
        <f>I6*0.13377</f>
        <v>580503.74381999997</v>
      </c>
      <c r="K6" s="115">
        <v>895596</v>
      </c>
      <c r="L6" s="116">
        <v>120056</v>
      </c>
      <c r="M6" s="115">
        <v>2620239</v>
      </c>
      <c r="N6" s="116">
        <f>M6*0.13377</f>
        <v>350509.37102999998</v>
      </c>
      <c r="O6" s="115">
        <v>796388</v>
      </c>
      <c r="P6" s="116">
        <v>106068</v>
      </c>
      <c r="Q6" s="115">
        <f>+E6+I6+M6</f>
        <v>9132610</v>
      </c>
      <c r="R6" s="116">
        <f>+F6+J6+N6</f>
        <v>1221678.232939895</v>
      </c>
      <c r="S6" s="115">
        <f>+G6+K6+O6</f>
        <v>1739624</v>
      </c>
      <c r="T6" s="116">
        <f>+H6+L6+P6</f>
        <v>232497</v>
      </c>
      <c r="U6"/>
      <c r="V6" s="103">
        <f>C6-S6</f>
        <v>5760376</v>
      </c>
      <c r="W6"/>
      <c r="X6"/>
      <c r="Z6" s="119"/>
    </row>
    <row r="7" spans="1:26" s="13" customFormat="1" ht="37.5" customHeight="1">
      <c r="B7" s="110" t="s">
        <v>65</v>
      </c>
      <c r="C7" s="115">
        <v>2200000</v>
      </c>
      <c r="D7" s="116">
        <f t="shared" ref="D7:F9" si="0">C7*0.133774139</f>
        <v>294303.10579999996</v>
      </c>
      <c r="E7" s="115">
        <v>3068167.6608700277</v>
      </c>
      <c r="F7" s="116">
        <f t="shared" si="0"/>
        <v>410441.48714053188</v>
      </c>
      <c r="G7" s="115">
        <v>1285170</v>
      </c>
      <c r="H7" s="116">
        <v>175140</v>
      </c>
      <c r="I7" s="115">
        <v>3242810.4800000004</v>
      </c>
      <c r="J7" s="116">
        <f t="shared" ref="J7" si="1">I7*0.13377</f>
        <v>433790.75790960004</v>
      </c>
      <c r="K7" s="115">
        <v>998994</v>
      </c>
      <c r="L7" s="116">
        <v>137161</v>
      </c>
      <c r="M7" s="115">
        <v>2986078.1878826325</v>
      </c>
      <c r="N7" s="116">
        <f t="shared" ref="N7" si="2">M7*0.13377</f>
        <v>399447.67919305974</v>
      </c>
      <c r="O7" s="115">
        <v>682014</v>
      </c>
      <c r="P7" s="116">
        <v>93425</v>
      </c>
      <c r="Q7" s="115">
        <f>+E7+I7+M7</f>
        <v>9297056.3287526611</v>
      </c>
      <c r="R7" s="116">
        <f t="shared" ref="R7:R9" si="3">+F7+J7+N7</f>
        <v>1243679.9242431917</v>
      </c>
      <c r="S7" s="115">
        <f>+G7+K7+O7</f>
        <v>2966178</v>
      </c>
      <c r="T7" s="116">
        <f t="shared" ref="T7:T9" si="4">+H7+L7+P7</f>
        <v>405726</v>
      </c>
      <c r="U7"/>
      <c r="V7" s="102">
        <f t="shared" ref="V7:V9" si="5">C7-S7</f>
        <v>-766178</v>
      </c>
      <c r="W7"/>
      <c r="X7"/>
      <c r="Z7" s="14"/>
    </row>
    <row r="8" spans="1:26" s="13" customFormat="1" ht="37.5" customHeight="1">
      <c r="B8" s="110" t="s">
        <v>67</v>
      </c>
      <c r="C8" s="115">
        <f>650000+700000</f>
        <v>1350000</v>
      </c>
      <c r="D8" s="116">
        <f t="shared" si="0"/>
        <v>180595.08764999997</v>
      </c>
      <c r="E8" s="115">
        <v>1264584</v>
      </c>
      <c r="F8" s="116">
        <f t="shared" si="0"/>
        <v>169168.63579317598</v>
      </c>
      <c r="G8" s="115">
        <v>679780</v>
      </c>
      <c r="H8" s="116">
        <v>93260</v>
      </c>
      <c r="I8" s="115">
        <v>1335592</v>
      </c>
      <c r="J8" s="116">
        <f t="shared" ref="J8" si="6">I8*0.13377</f>
        <v>178662.14184</v>
      </c>
      <c r="K8" s="115">
        <v>648558</v>
      </c>
      <c r="L8" s="116">
        <v>89008</v>
      </c>
      <c r="M8" s="115">
        <v>1252483</v>
      </c>
      <c r="N8" s="116">
        <f t="shared" ref="N8" si="7">M8*0.13377</f>
        <v>167544.65091</v>
      </c>
      <c r="O8" s="115">
        <v>0</v>
      </c>
      <c r="P8" s="116">
        <v>0</v>
      </c>
      <c r="Q8" s="115">
        <f>+E8+I8+M8</f>
        <v>3852659</v>
      </c>
      <c r="R8" s="116">
        <f t="shared" si="3"/>
        <v>515375.42854317592</v>
      </c>
      <c r="S8" s="115">
        <f>+G8+K8+O8</f>
        <v>1328338</v>
      </c>
      <c r="T8" s="116">
        <f t="shared" si="4"/>
        <v>182268</v>
      </c>
      <c r="U8"/>
      <c r="V8" s="103">
        <f t="shared" si="5"/>
        <v>21662</v>
      </c>
      <c r="W8"/>
      <c r="X8"/>
      <c r="Z8" s="14"/>
    </row>
    <row r="9" spans="1:26" s="13" customFormat="1" ht="27" customHeight="1" thickBot="1">
      <c r="B9" s="111" t="s">
        <v>66</v>
      </c>
      <c r="C9" s="117">
        <v>950000</v>
      </c>
      <c r="D9" s="118">
        <f t="shared" si="0"/>
        <v>127085.43204999999</v>
      </c>
      <c r="E9" s="117">
        <v>120797</v>
      </c>
      <c r="F9" s="118">
        <f t="shared" si="0"/>
        <v>16159.514668782998</v>
      </c>
      <c r="G9" s="117">
        <v>0</v>
      </c>
      <c r="H9" s="118"/>
      <c r="I9" s="117">
        <v>147861</v>
      </c>
      <c r="J9" s="118">
        <f t="shared" ref="J9" si="8">I9*0.13377</f>
        <v>19779.365969999999</v>
      </c>
      <c r="K9" s="117">
        <v>949510</v>
      </c>
      <c r="L9" s="121">
        <v>123373</v>
      </c>
      <c r="M9" s="120">
        <v>107473</v>
      </c>
      <c r="N9" s="118">
        <f t="shared" ref="N9" si="9">M9*0.13377</f>
        <v>14376.663210000001</v>
      </c>
      <c r="O9" s="117">
        <v>0</v>
      </c>
      <c r="P9" s="118">
        <v>0</v>
      </c>
      <c r="Q9" s="117">
        <f>+E9+I9+M9</f>
        <v>376131</v>
      </c>
      <c r="R9" s="118">
        <f t="shared" si="3"/>
        <v>50315.543848782996</v>
      </c>
      <c r="S9" s="117">
        <f>+G9+K9+O9</f>
        <v>949510</v>
      </c>
      <c r="T9" s="118">
        <f t="shared" si="4"/>
        <v>123373</v>
      </c>
      <c r="U9"/>
      <c r="V9" s="103">
        <f t="shared" si="5"/>
        <v>490</v>
      </c>
      <c r="W9"/>
      <c r="X9"/>
      <c r="Z9" s="14"/>
    </row>
    <row r="10" spans="1:26" s="13" customFormat="1" ht="25.5" customHeight="1">
      <c r="B10" s="88" t="s">
        <v>127</v>
      </c>
      <c r="C10" s="88"/>
      <c r="D10" s="88" t="s">
        <v>164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176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2:T2"/>
    <mergeCell ref="B1:T1"/>
    <mergeCell ref="B3:B4"/>
    <mergeCell ref="C3:D4"/>
    <mergeCell ref="E3:F4"/>
    <mergeCell ref="G3:H4"/>
    <mergeCell ref="I3:J4"/>
    <mergeCell ref="K3:L4"/>
    <mergeCell ref="M3:N4"/>
    <mergeCell ref="O3:P4"/>
    <mergeCell ref="Q3:R4"/>
    <mergeCell ref="S3:T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61"/>
  </sheetPr>
  <dimension ref="A1:Z278"/>
  <sheetViews>
    <sheetView view="pageLayout" zoomScale="85" zoomScaleNormal="100" zoomScalePageLayoutView="85" workbookViewId="0">
      <selection activeCell="G6" sqref="G6"/>
    </sheetView>
  </sheetViews>
  <sheetFormatPr defaultRowHeight="12.75"/>
  <cols>
    <col min="1" max="1" width="1.42578125" customWidth="1"/>
    <col min="2" max="2" width="13" customWidth="1"/>
    <col min="3" max="3" width="9" customWidth="1"/>
    <col min="4" max="4" width="8.7109375" customWidth="1"/>
    <col min="5" max="5" width="9.28515625" bestFit="1" customWidth="1"/>
    <col min="6" max="6" width="7.5703125" customWidth="1"/>
    <col min="7" max="7" width="9" bestFit="1" customWidth="1"/>
    <col min="8" max="8" width="8.42578125" bestFit="1" customWidth="1"/>
    <col min="9" max="9" width="9" customWidth="1"/>
    <col min="10" max="10" width="7.42578125" customWidth="1"/>
    <col min="11" max="11" width="9" bestFit="1" customWidth="1"/>
    <col min="12" max="12" width="8.42578125" bestFit="1" customWidth="1"/>
    <col min="13" max="13" width="9.42578125" customWidth="1"/>
    <col min="14" max="14" width="7.5703125" customWidth="1"/>
    <col min="15" max="15" width="8.5703125" customWidth="1"/>
    <col min="16" max="16" width="7.42578125" customWidth="1"/>
    <col min="17" max="17" width="9.28515625" customWidth="1"/>
    <col min="18" max="18" width="9.28515625" bestFit="1" customWidth="1"/>
    <col min="19" max="19" width="9.42578125" customWidth="1"/>
    <col min="20" max="20" width="7.42578125" customWidth="1"/>
    <col min="21" max="21" width="2.140625" customWidth="1"/>
    <col min="22" max="22" width="13.85546875" customWidth="1"/>
    <col min="23" max="23" width="11.85546875" customWidth="1"/>
    <col min="24" max="24" width="15.5703125" customWidth="1"/>
    <col min="25" max="25" width="20.140625" customWidth="1"/>
    <col min="26" max="26" width="11.28515625" style="1" bestFit="1" customWidth="1"/>
  </cols>
  <sheetData>
    <row r="1" spans="1:26" ht="16.5" thickBot="1">
      <c r="B1" s="129" t="s">
        <v>246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</row>
    <row r="2" spans="1:26" ht="15.75" thickBot="1">
      <c r="E2" s="112" t="s">
        <v>209</v>
      </c>
      <c r="F2" s="112"/>
      <c r="G2" s="112"/>
      <c r="H2" s="112"/>
      <c r="I2" s="112" t="s">
        <v>210</v>
      </c>
      <c r="J2" s="112"/>
      <c r="K2" s="112"/>
      <c r="L2" s="112"/>
      <c r="M2" s="112" t="s">
        <v>211</v>
      </c>
      <c r="N2" s="112"/>
      <c r="O2" s="112"/>
      <c r="P2" s="112"/>
      <c r="Q2" s="130" t="s">
        <v>212</v>
      </c>
      <c r="R2" s="130"/>
      <c r="S2" s="130"/>
      <c r="T2" s="130"/>
    </row>
    <row r="3" spans="1:26" s="13" customFormat="1" ht="27.95" customHeight="1">
      <c r="B3" s="131" t="s">
        <v>6</v>
      </c>
      <c r="C3" s="125" t="s">
        <v>247</v>
      </c>
      <c r="D3" s="126"/>
      <c r="E3" s="125" t="s">
        <v>171</v>
      </c>
      <c r="F3" s="126"/>
      <c r="G3" s="125" t="s">
        <v>172</v>
      </c>
      <c r="H3" s="126"/>
      <c r="I3" s="125" t="s">
        <v>171</v>
      </c>
      <c r="J3" s="126"/>
      <c r="K3" s="125" t="s">
        <v>172</v>
      </c>
      <c r="L3" s="126"/>
      <c r="M3" s="125" t="s">
        <v>171</v>
      </c>
      <c r="N3" s="126"/>
      <c r="O3" s="125" t="s">
        <v>172</v>
      </c>
      <c r="P3" s="126"/>
      <c r="Q3" s="125" t="s">
        <v>171</v>
      </c>
      <c r="R3" s="126"/>
      <c r="S3" s="125" t="s">
        <v>172</v>
      </c>
      <c r="T3" s="126"/>
      <c r="U3" s="12"/>
      <c r="V3" s="104"/>
      <c r="Z3" s="14"/>
    </row>
    <row r="4" spans="1:26" s="13" customFormat="1" ht="51.75" customHeight="1">
      <c r="B4" s="132"/>
      <c r="C4" s="127"/>
      <c r="D4" s="128"/>
      <c r="E4" s="127"/>
      <c r="F4" s="128"/>
      <c r="G4" s="127"/>
      <c r="H4" s="128"/>
      <c r="I4" s="127"/>
      <c r="J4" s="128"/>
      <c r="K4" s="127"/>
      <c r="L4" s="128"/>
      <c r="M4" s="127"/>
      <c r="N4" s="128"/>
      <c r="O4" s="127"/>
      <c r="P4" s="128"/>
      <c r="Q4" s="127"/>
      <c r="R4" s="128"/>
      <c r="S4" s="127"/>
      <c r="T4" s="128"/>
      <c r="U4" s="12"/>
      <c r="V4" s="105" t="s">
        <v>170</v>
      </c>
      <c r="Z4" s="14"/>
    </row>
    <row r="5" spans="1:26" s="13" customFormat="1" ht="37.5" customHeight="1">
      <c r="A5" s="106"/>
      <c r="B5" s="107"/>
      <c r="C5" s="113" t="s">
        <v>174</v>
      </c>
      <c r="D5" s="114" t="s">
        <v>175</v>
      </c>
      <c r="E5" s="113" t="s">
        <v>174</v>
      </c>
      <c r="F5" s="114" t="s">
        <v>175</v>
      </c>
      <c r="G5" s="113" t="s">
        <v>174</v>
      </c>
      <c r="H5" s="114" t="s">
        <v>175</v>
      </c>
      <c r="I5" s="113" t="s">
        <v>174</v>
      </c>
      <c r="J5" s="114" t="s">
        <v>175</v>
      </c>
      <c r="K5" s="113" t="s">
        <v>174</v>
      </c>
      <c r="L5" s="114" t="s">
        <v>175</v>
      </c>
      <c r="M5" s="113" t="s">
        <v>174</v>
      </c>
      <c r="N5" s="114" t="s">
        <v>175</v>
      </c>
      <c r="O5" s="113" t="s">
        <v>174</v>
      </c>
      <c r="P5" s="114" t="s">
        <v>175</v>
      </c>
      <c r="Q5" s="113" t="s">
        <v>174</v>
      </c>
      <c r="R5" s="114" t="s">
        <v>175</v>
      </c>
      <c r="S5" s="113" t="s">
        <v>174</v>
      </c>
      <c r="T5" s="114" t="s">
        <v>175</v>
      </c>
      <c r="U5" s="108"/>
      <c r="V5" s="109"/>
      <c r="W5"/>
      <c r="X5"/>
      <c r="Z5" s="14"/>
    </row>
    <row r="6" spans="1:26" s="13" customFormat="1" ht="37.5" customHeight="1">
      <c r="B6" s="110" t="s">
        <v>64</v>
      </c>
      <c r="C6" s="115">
        <v>8300000</v>
      </c>
      <c r="D6" s="116">
        <f>C6*0.133774139</f>
        <v>1110325.3536999999</v>
      </c>
      <c r="E6" s="115">
        <f>3605019*0.3</f>
        <v>1081505.7</v>
      </c>
      <c r="F6" s="116">
        <f>E6*0.133774139</f>
        <v>144677.49384109228</v>
      </c>
      <c r="G6" s="115">
        <v>1830852</v>
      </c>
      <c r="H6" s="116">
        <f>G6*0.133774139</f>
        <v>244920.64993642797</v>
      </c>
      <c r="I6" s="115">
        <f>4492765*0.3</f>
        <v>1347829.5</v>
      </c>
      <c r="J6" s="116">
        <f>I6*0.13377</f>
        <v>180299.15221500001</v>
      </c>
      <c r="K6" s="115">
        <v>1704656</v>
      </c>
      <c r="L6" s="116">
        <f>K6*0.133774139</f>
        <v>228038.88869118397</v>
      </c>
      <c r="M6" s="115">
        <f>6913483*0.3</f>
        <v>2074044.9</v>
      </c>
      <c r="N6" s="116">
        <f>M6*0.13377</f>
        <v>277444.98627299996</v>
      </c>
      <c r="O6" s="115">
        <v>916324</v>
      </c>
      <c r="P6" s="116">
        <f>O6*0.133774139</f>
        <v>122580.45414503598</v>
      </c>
      <c r="Q6" s="115">
        <f>+E6+I6+M6</f>
        <v>4503380.0999999996</v>
      </c>
      <c r="R6" s="116">
        <f>+F6+J6+N6</f>
        <v>602421.63232909224</v>
      </c>
      <c r="S6" s="115">
        <f>+G6+K6+O6</f>
        <v>4451832</v>
      </c>
      <c r="T6" s="116">
        <f>+H6+L6+P6</f>
        <v>595539.99277264788</v>
      </c>
      <c r="U6"/>
      <c r="V6" s="103">
        <f>C6-S6</f>
        <v>3848168</v>
      </c>
      <c r="W6"/>
      <c r="X6"/>
      <c r="Z6" s="119"/>
    </row>
    <row r="7" spans="1:26" s="13" customFormat="1" ht="37.5" customHeight="1">
      <c r="B7" s="110" t="s">
        <v>65</v>
      </c>
      <c r="C7" s="115">
        <v>4800000</v>
      </c>
      <c r="D7" s="116">
        <f t="shared" ref="D7:H9" si="0">C7*0.133774139</f>
        <v>642115.86719999998</v>
      </c>
      <c r="E7" s="115">
        <f>2748003*0.3</f>
        <v>824400.9</v>
      </c>
      <c r="F7" s="116">
        <f t="shared" si="0"/>
        <v>110283.52058832509</v>
      </c>
      <c r="G7" s="115">
        <v>1037499</v>
      </c>
      <c r="H7" s="116">
        <f t="shared" si="0"/>
        <v>138790.535438361</v>
      </c>
      <c r="I7" s="115">
        <f>2901979.61425179*0.3</f>
        <v>870593.88427553698</v>
      </c>
      <c r="J7" s="116">
        <f t="shared" ref="J7:J9" si="1">I7*0.13377</f>
        <v>116459.34389953858</v>
      </c>
      <c r="K7" s="115">
        <v>1028221</v>
      </c>
      <c r="L7" s="116">
        <f t="shared" ref="L7:L9" si="2">K7*0.133774139</f>
        <v>137549.37897671899</v>
      </c>
      <c r="M7" s="115">
        <f>2641692*0.3</f>
        <v>792507.6</v>
      </c>
      <c r="N7" s="116">
        <f t="shared" ref="N7:N9" si="3">M7*0.13377</f>
        <v>106013.741652</v>
      </c>
      <c r="O7" s="115">
        <v>1528448</v>
      </c>
      <c r="P7" s="116">
        <f t="shared" ref="P7:P9" si="4">O7*0.133774139</f>
        <v>204466.81520627197</v>
      </c>
      <c r="Q7" s="115">
        <f>+E7+I7+M7</f>
        <v>2487502.384275537</v>
      </c>
      <c r="R7" s="116">
        <f t="shared" ref="R7:R9" si="5">+F7+J7+N7</f>
        <v>332756.60613986367</v>
      </c>
      <c r="S7" s="115">
        <f>+G7+K7+O7</f>
        <v>3594168</v>
      </c>
      <c r="T7" s="116">
        <f t="shared" ref="T7:T9" si="6">+H7+L7+P7</f>
        <v>480806.72962135193</v>
      </c>
      <c r="U7"/>
      <c r="V7" s="102">
        <f t="shared" ref="V7:V9" si="7">C7-S7</f>
        <v>1205832</v>
      </c>
      <c r="W7"/>
      <c r="X7"/>
      <c r="Z7" s="14"/>
    </row>
    <row r="8" spans="1:26" s="13" customFormat="1" ht="37.5" customHeight="1">
      <c r="B8" s="110" t="s">
        <v>67</v>
      </c>
      <c r="C8" s="115">
        <v>1300000</v>
      </c>
      <c r="D8" s="116">
        <f t="shared" si="0"/>
        <v>173906.38069999998</v>
      </c>
      <c r="E8" s="115">
        <f>1264511*0.3</f>
        <v>379353.3</v>
      </c>
      <c r="F8" s="116">
        <f t="shared" si="0"/>
        <v>50747.661084308696</v>
      </c>
      <c r="G8" s="115">
        <v>0</v>
      </c>
      <c r="H8" s="116">
        <f t="shared" si="0"/>
        <v>0</v>
      </c>
      <c r="I8" s="115">
        <f>1130134*0.3</f>
        <v>339040.2</v>
      </c>
      <c r="J8" s="116">
        <f t="shared" si="1"/>
        <v>45353.407554000005</v>
      </c>
      <c r="K8" s="115">
        <v>0</v>
      </c>
      <c r="L8" s="116">
        <f t="shared" si="2"/>
        <v>0</v>
      </c>
      <c r="M8" s="115">
        <f>1259243*0.3</f>
        <v>377772.89999999997</v>
      </c>
      <c r="N8" s="116">
        <f t="shared" si="3"/>
        <v>50534.680832999999</v>
      </c>
      <c r="O8" s="115">
        <v>949275</v>
      </c>
      <c r="P8" s="116">
        <f t="shared" si="4"/>
        <v>126988.44579922498</v>
      </c>
      <c r="Q8" s="115">
        <f>+E8+I8+M8</f>
        <v>1096166.3999999999</v>
      </c>
      <c r="R8" s="116">
        <f t="shared" si="5"/>
        <v>146635.74947130869</v>
      </c>
      <c r="S8" s="115">
        <f>+G8+K8+O8</f>
        <v>949275</v>
      </c>
      <c r="T8" s="116">
        <f t="shared" si="6"/>
        <v>126988.44579922498</v>
      </c>
      <c r="U8"/>
      <c r="V8" s="103">
        <f t="shared" si="7"/>
        <v>350725</v>
      </c>
      <c r="W8"/>
      <c r="X8"/>
      <c r="Z8" s="14"/>
    </row>
    <row r="9" spans="1:26" s="13" customFormat="1" ht="27" customHeight="1" thickBot="1">
      <c r="B9" s="111" t="s">
        <v>66</v>
      </c>
      <c r="C9" s="117">
        <v>0</v>
      </c>
      <c r="D9" s="118">
        <f t="shared" si="0"/>
        <v>0</v>
      </c>
      <c r="E9" s="117">
        <f>119079*0.3</f>
        <v>35723.699999999997</v>
      </c>
      <c r="F9" s="118">
        <f t="shared" si="0"/>
        <v>4778.9072093942996</v>
      </c>
      <c r="G9" s="117">
        <v>0</v>
      </c>
      <c r="H9" s="118">
        <f t="shared" si="0"/>
        <v>0</v>
      </c>
      <c r="I9" s="117">
        <f>101514*0.3</f>
        <v>30454.199999999997</v>
      </c>
      <c r="J9" s="118">
        <f t="shared" si="1"/>
        <v>4073.8583339999996</v>
      </c>
      <c r="K9" s="117">
        <v>0</v>
      </c>
      <c r="L9" s="118">
        <f t="shared" si="2"/>
        <v>0</v>
      </c>
      <c r="M9" s="120">
        <f>104409*0.3</f>
        <v>31322.699999999997</v>
      </c>
      <c r="N9" s="118">
        <f t="shared" si="3"/>
        <v>4190.0375789999998</v>
      </c>
      <c r="O9" s="117">
        <v>0</v>
      </c>
      <c r="P9" s="118">
        <f t="shared" si="4"/>
        <v>0</v>
      </c>
      <c r="Q9" s="117">
        <f>+E9+I9+M9</f>
        <v>97500.599999999991</v>
      </c>
      <c r="R9" s="118">
        <f t="shared" si="5"/>
        <v>13042.8031223943</v>
      </c>
      <c r="S9" s="117">
        <f>+G9+K9+O9</f>
        <v>0</v>
      </c>
      <c r="T9" s="118">
        <f t="shared" si="6"/>
        <v>0</v>
      </c>
      <c r="U9"/>
      <c r="V9" s="103">
        <f t="shared" si="7"/>
        <v>0</v>
      </c>
      <c r="W9"/>
      <c r="X9"/>
      <c r="Z9" s="14"/>
    </row>
    <row r="10" spans="1:26" s="13" customFormat="1" ht="25.5" customHeight="1">
      <c r="B10" s="88" t="s">
        <v>127</v>
      </c>
      <c r="C10" s="88"/>
      <c r="D10" s="88" t="s">
        <v>164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>
      <c r="D11" s="88" t="s">
        <v>176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75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>
      <c r="Z39" s="10"/>
    </row>
    <row r="40" spans="1:26" s="13" customFormat="1" ht="12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/>
    <row r="46" spans="1:26" ht="12" customHeight="1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75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>
      <c r="U49"/>
      <c r="V49"/>
      <c r="W49"/>
      <c r="X49"/>
      <c r="Z49" s="3"/>
    </row>
    <row r="50" spans="1:26" s="2" customFormat="1" ht="15" customHeight="1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>
      <c r="U51"/>
      <c r="V51"/>
      <c r="W51"/>
      <c r="X51"/>
      <c r="Z51" s="3"/>
    </row>
    <row r="52" spans="1:26" s="2" customFormat="1">
      <c r="U52"/>
      <c r="V52"/>
      <c r="W52"/>
      <c r="X52"/>
      <c r="Z52" s="3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75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4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4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4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4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4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4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4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4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4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4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4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4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4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4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4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4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4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7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7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7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4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7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7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7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4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7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7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7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4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7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7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7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4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4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4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61"/>
  </sheetPr>
  <dimension ref="A1:L219"/>
  <sheetViews>
    <sheetView view="pageLayout" zoomScale="85" zoomScaleNormal="110" zoomScalePageLayoutView="85" workbookViewId="0">
      <selection activeCell="J39" sqref="J39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8" bestFit="1" customWidth="1"/>
  </cols>
  <sheetData>
    <row r="1" spans="1:12" s="1" customFormat="1" ht="15.75">
      <c r="A1"/>
      <c r="B1" s="5" t="s">
        <v>80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3" t="s">
        <v>14</v>
      </c>
      <c r="C2" s="133"/>
      <c r="D2" s="133"/>
      <c r="E2" s="133"/>
      <c r="F2" s="133"/>
      <c r="G2" s="133"/>
      <c r="H2" s="133"/>
      <c r="I2" s="133"/>
      <c r="J2" s="133"/>
      <c r="K2" s="133"/>
    </row>
    <row r="3" spans="1:12" s="1" customFormat="1" ht="17.25">
      <c r="A3"/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2" s="1" customFormat="1" ht="15">
      <c r="A4"/>
      <c r="B4" s="33" t="s">
        <v>15</v>
      </c>
      <c r="C4" s="34" t="s">
        <v>16</v>
      </c>
      <c r="D4" s="52">
        <f ca="1">NOW()</f>
        <v>41680.662209606482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220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81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82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35" t="s">
        <v>138</v>
      </c>
      <c r="K10" s="135"/>
      <c r="L10" s="99" t="s">
        <v>137</v>
      </c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>
      <c r="A12"/>
      <c r="B12" s="79">
        <v>41282</v>
      </c>
      <c r="C12" s="78" t="s">
        <v>83</v>
      </c>
      <c r="D12" s="81">
        <v>35.880000000000003</v>
      </c>
      <c r="E12" s="86">
        <v>4.9920467618634862E-2</v>
      </c>
      <c r="F12" s="80">
        <v>440481</v>
      </c>
      <c r="G12" s="80"/>
      <c r="H12" s="80">
        <v>59066</v>
      </c>
      <c r="I12" s="78" t="s">
        <v>90</v>
      </c>
      <c r="J12" s="87">
        <v>50593339.323300004</v>
      </c>
      <c r="K12" s="87">
        <f t="shared" ref="K12:K27" si="0">J12*L12</f>
        <v>7854818303.2996187</v>
      </c>
      <c r="L12" s="97">
        <v>155.25399999999999</v>
      </c>
    </row>
    <row r="13" spans="1:12" s="1" customFormat="1">
      <c r="A13"/>
      <c r="B13" s="79">
        <v>41284</v>
      </c>
      <c r="C13" s="78" t="s">
        <v>84</v>
      </c>
      <c r="D13" s="81">
        <v>33.75</v>
      </c>
      <c r="E13" s="86">
        <v>7.7019071484515061E-2</v>
      </c>
      <c r="F13" s="80">
        <v>997685</v>
      </c>
      <c r="G13" s="80"/>
      <c r="H13" s="80">
        <v>135515</v>
      </c>
      <c r="I13" s="78" t="s">
        <v>91</v>
      </c>
      <c r="J13" s="87">
        <v>114593400.72050001</v>
      </c>
      <c r="K13" s="87">
        <f t="shared" si="0"/>
        <v>17791083835.460506</v>
      </c>
      <c r="L13" s="97">
        <v>155.25399999999999</v>
      </c>
    </row>
    <row r="14" spans="1:12" s="1" customFormat="1">
      <c r="A14"/>
      <c r="B14" s="79">
        <v>41304</v>
      </c>
      <c r="C14" s="78" t="s">
        <v>85</v>
      </c>
      <c r="D14" s="81">
        <v>35.03</v>
      </c>
      <c r="E14" s="86">
        <v>5.0245011966957152E-2</v>
      </c>
      <c r="F14" s="80">
        <v>740000</v>
      </c>
      <c r="G14" s="80"/>
      <c r="H14" s="80">
        <v>99742</v>
      </c>
      <c r="I14" s="78" t="s">
        <v>63</v>
      </c>
      <c r="J14" s="87">
        <v>84995882</v>
      </c>
      <c r="K14" s="87">
        <f t="shared" si="0"/>
        <v>13195950664.028</v>
      </c>
      <c r="L14" s="97">
        <v>155.25399999999999</v>
      </c>
    </row>
    <row r="15" spans="1:12" s="1" customFormat="1">
      <c r="A15"/>
      <c r="B15" s="79">
        <v>41304</v>
      </c>
      <c r="C15" s="78" t="s">
        <v>85</v>
      </c>
      <c r="D15" s="81">
        <v>35.03</v>
      </c>
      <c r="E15" s="86">
        <v>5.0384240983422111E-2</v>
      </c>
      <c r="F15" s="80">
        <v>204326</v>
      </c>
      <c r="G15" s="80"/>
      <c r="H15" s="80">
        <v>27541</v>
      </c>
      <c r="I15" s="78" t="s">
        <v>63</v>
      </c>
      <c r="J15" s="87">
        <v>23468741.331800003</v>
      </c>
      <c r="K15" s="87">
        <f t="shared" si="0"/>
        <v>3643615966.7272773</v>
      </c>
      <c r="L15" s="97">
        <v>155.25399999999999</v>
      </c>
    </row>
    <row r="16" spans="1:12" s="1" customFormat="1">
      <c r="A16"/>
      <c r="B16" s="79">
        <v>41305</v>
      </c>
      <c r="C16" s="78" t="s">
        <v>85</v>
      </c>
      <c r="D16" s="81">
        <v>35.700000000000003</v>
      </c>
      <c r="E16" s="86">
        <v>6.4282974735170348E-2</v>
      </c>
      <c r="F16" s="80">
        <v>740000</v>
      </c>
      <c r="G16" s="80"/>
      <c r="H16" s="80">
        <v>99342</v>
      </c>
      <c r="I16" s="78" t="s">
        <v>63</v>
      </c>
      <c r="J16" s="87">
        <v>84995882</v>
      </c>
      <c r="K16" s="87">
        <f t="shared" si="0"/>
        <v>13195950664.028</v>
      </c>
      <c r="L16" s="97">
        <v>155.25399999999999</v>
      </c>
    </row>
    <row r="17" spans="1:12" s="1" customFormat="1">
      <c r="A17"/>
      <c r="B17" s="79">
        <v>41305</v>
      </c>
      <c r="C17" s="78" t="s">
        <v>85</v>
      </c>
      <c r="D17" s="81">
        <v>35.700000000000003</v>
      </c>
      <c r="E17" s="86">
        <v>6.434687917635995E-2</v>
      </c>
      <c r="F17" s="80">
        <v>100950</v>
      </c>
      <c r="G17" s="80"/>
      <c r="H17" s="80">
        <v>13552</v>
      </c>
      <c r="I17" s="78" t="s">
        <v>63</v>
      </c>
      <c r="J17" s="87">
        <v>11595046.335000001</v>
      </c>
      <c r="K17" s="87">
        <f t="shared" si="0"/>
        <v>1800177323.6940901</v>
      </c>
      <c r="L17" s="97">
        <v>155.25399999999999</v>
      </c>
    </row>
    <row r="18" spans="1:12" s="1" customFormat="1">
      <c r="A18"/>
      <c r="B18" s="79">
        <v>41309</v>
      </c>
      <c r="C18" s="78" t="s">
        <v>86</v>
      </c>
      <c r="D18" s="81">
        <v>34.479999999999997</v>
      </c>
      <c r="E18" s="86">
        <v>0.17051460830840512</v>
      </c>
      <c r="F18" s="80">
        <v>710163</v>
      </c>
      <c r="G18" s="80"/>
      <c r="H18" s="80">
        <v>96030</v>
      </c>
      <c r="I18" s="78" t="s">
        <v>92</v>
      </c>
      <c r="J18" s="87">
        <v>83942189.811900005</v>
      </c>
      <c r="K18" s="87">
        <f t="shared" si="0"/>
        <v>13031353430.77898</v>
      </c>
      <c r="L18" s="97">
        <v>155.24199999999999</v>
      </c>
    </row>
    <row r="19" spans="1:12" s="1" customFormat="1">
      <c r="A19"/>
      <c r="B19" s="79">
        <v>41320</v>
      </c>
      <c r="C19" s="78" t="s">
        <v>68</v>
      </c>
      <c r="D19" s="81">
        <v>33.71</v>
      </c>
      <c r="E19" s="86">
        <v>5.0132778446680966E-2</v>
      </c>
      <c r="F19" s="80">
        <v>476495</v>
      </c>
      <c r="G19" s="80"/>
      <c r="H19" s="80">
        <v>64739</v>
      </c>
      <c r="I19" s="78" t="s">
        <v>93</v>
      </c>
      <c r="J19" s="87">
        <v>56322328.443500005</v>
      </c>
      <c r="K19" s="87">
        <f t="shared" si="0"/>
        <v>8743590912.2258263</v>
      </c>
      <c r="L19" s="97">
        <v>155.24199999999999</v>
      </c>
    </row>
    <row r="20" spans="1:12" s="1" customFormat="1">
      <c r="A20"/>
      <c r="B20" s="79">
        <v>41327</v>
      </c>
      <c r="C20" s="78" t="s">
        <v>87</v>
      </c>
      <c r="D20" s="81">
        <v>33.78</v>
      </c>
      <c r="E20" s="86">
        <v>4.9897008800113218E-2</v>
      </c>
      <c r="F20" s="80">
        <v>953489</v>
      </c>
      <c r="G20" s="80"/>
      <c r="H20" s="80">
        <v>129486</v>
      </c>
      <c r="I20" s="78" t="s">
        <v>94</v>
      </c>
      <c r="J20" s="87">
        <v>112703639.33570001</v>
      </c>
      <c r="K20" s="87">
        <f t="shared" si="0"/>
        <v>17496338377.752739</v>
      </c>
      <c r="L20" s="97">
        <v>155.24199999999999</v>
      </c>
    </row>
    <row r="21" spans="1:12" s="1" customFormat="1">
      <c r="A21"/>
      <c r="B21" s="79">
        <v>41335</v>
      </c>
      <c r="C21" s="78" t="s">
        <v>88</v>
      </c>
      <c r="D21" s="81">
        <v>33.44</v>
      </c>
      <c r="E21" s="86">
        <v>6.5552174811393277E-2</v>
      </c>
      <c r="F21" s="80">
        <v>952814</v>
      </c>
      <c r="G21" s="80"/>
      <c r="H21" s="80">
        <v>129661</v>
      </c>
      <c r="I21" s="78" t="s">
        <v>69</v>
      </c>
      <c r="J21" s="87">
        <v>106038670.06</v>
      </c>
      <c r="K21" s="87">
        <f t="shared" si="0"/>
        <v>16461867294.79464</v>
      </c>
      <c r="L21" s="97">
        <v>155.244</v>
      </c>
    </row>
    <row r="22" spans="1:12" s="1" customFormat="1">
      <c r="A22"/>
      <c r="B22" s="79">
        <v>41364</v>
      </c>
      <c r="C22" s="78" t="s">
        <v>89</v>
      </c>
      <c r="D22" s="81">
        <v>35.26</v>
      </c>
      <c r="E22" s="86">
        <v>0.10006731296364406</v>
      </c>
      <c r="F22" s="80">
        <v>719794</v>
      </c>
      <c r="G22" s="80"/>
      <c r="H22" s="80">
        <v>96884</v>
      </c>
      <c r="I22" s="78" t="s">
        <v>95</v>
      </c>
      <c r="J22" s="87">
        <v>80105874.260000005</v>
      </c>
      <c r="K22" s="87">
        <f t="shared" si="0"/>
        <v>12435956343.61944</v>
      </c>
      <c r="L22" s="97">
        <v>155.244</v>
      </c>
    </row>
    <row r="23" spans="1:12" s="1" customFormat="1">
      <c r="A23" s="21"/>
      <c r="B23" s="79">
        <v>41372</v>
      </c>
      <c r="C23" s="78" t="s">
        <v>88</v>
      </c>
      <c r="D23" s="81">
        <v>35.92</v>
      </c>
      <c r="E23" s="86">
        <v>5.0100066532888357E-2</v>
      </c>
      <c r="F23" s="80">
        <v>748127</v>
      </c>
      <c r="H23" s="80">
        <v>100300</v>
      </c>
      <c r="I23" s="78" t="s">
        <v>69</v>
      </c>
      <c r="J23" s="87">
        <v>78413136.000200003</v>
      </c>
      <c r="K23" s="87">
        <f t="shared" si="0"/>
        <v>12173482537.759048</v>
      </c>
      <c r="L23" s="97">
        <v>155.24799999999999</v>
      </c>
    </row>
    <row r="24" spans="1:12">
      <c r="A24" s="21"/>
      <c r="B24" s="79">
        <v>41393</v>
      </c>
      <c r="C24" s="78" t="s">
        <v>133</v>
      </c>
      <c r="D24" s="81">
        <v>35.46</v>
      </c>
      <c r="E24" s="86">
        <v>4.9970405367890089E-2</v>
      </c>
      <c r="F24" s="80">
        <v>954088</v>
      </c>
      <c r="G24" s="23"/>
      <c r="H24" s="80">
        <v>128265</v>
      </c>
      <c r="I24" s="78" t="s">
        <v>136</v>
      </c>
      <c r="J24" s="87">
        <v>100000443.90880001</v>
      </c>
      <c r="K24" s="87">
        <f t="shared" si="0"/>
        <v>15524868915.953382</v>
      </c>
      <c r="L24" s="98">
        <v>155.24799999999999</v>
      </c>
    </row>
    <row r="25" spans="1:12">
      <c r="A25" s="21"/>
      <c r="B25" s="79">
        <v>41414</v>
      </c>
      <c r="C25" s="78" t="s">
        <v>134</v>
      </c>
      <c r="D25" s="81">
        <v>35.130000000000003</v>
      </c>
      <c r="E25" s="86">
        <v>5.0200803212851398E-2</v>
      </c>
      <c r="F25" s="80">
        <v>45793</v>
      </c>
      <c r="G25" s="48"/>
      <c r="H25" s="80">
        <v>6169</v>
      </c>
      <c r="I25" s="78" t="s">
        <v>136</v>
      </c>
      <c r="J25" s="87">
        <v>4805109.8623000002</v>
      </c>
      <c r="K25" s="87">
        <f t="shared" si="0"/>
        <v>745964475.46290123</v>
      </c>
      <c r="L25" s="98">
        <v>155.244</v>
      </c>
    </row>
    <row r="26" spans="1:12" ht="14.25">
      <c r="B26" s="79">
        <v>41428</v>
      </c>
      <c r="C26" s="78" t="s">
        <v>135</v>
      </c>
      <c r="D26" s="81">
        <v>35.21</v>
      </c>
      <c r="E26" s="86">
        <v>7.7235755340569909E-2</v>
      </c>
      <c r="F26" s="80">
        <v>954778</v>
      </c>
      <c r="G26" s="27"/>
      <c r="H26" s="80">
        <v>128557</v>
      </c>
      <c r="I26" s="78" t="s">
        <v>63</v>
      </c>
      <c r="J26" s="87">
        <v>99706511.761999995</v>
      </c>
      <c r="K26" s="87">
        <f t="shared" si="0"/>
        <v>15479336244.538736</v>
      </c>
      <c r="L26" s="97">
        <v>155.249</v>
      </c>
    </row>
    <row r="27" spans="1:12" ht="14.25">
      <c r="B27" s="79">
        <v>41436</v>
      </c>
      <c r="C27" s="78" t="s">
        <v>135</v>
      </c>
      <c r="D27" s="81">
        <v>35.21</v>
      </c>
      <c r="E27" s="86">
        <v>6.5080682388612393E-2</v>
      </c>
      <c r="F27" s="80">
        <v>792346</v>
      </c>
      <c r="G27" s="27"/>
      <c r="H27" s="80">
        <v>106682</v>
      </c>
      <c r="I27" s="78" t="s">
        <v>63</v>
      </c>
      <c r="J27" s="87">
        <v>82743900.434</v>
      </c>
      <c r="K27" s="87">
        <f t="shared" si="0"/>
        <v>12845907798.478065</v>
      </c>
      <c r="L27" s="97">
        <v>155.249</v>
      </c>
    </row>
    <row r="28" spans="1:12" ht="14.25">
      <c r="B28" s="79">
        <v>41485</v>
      </c>
      <c r="C28" s="78" t="s">
        <v>177</v>
      </c>
      <c r="D28" s="81">
        <v>36.29</v>
      </c>
      <c r="E28" s="86">
        <v>5.0352467270896276E-2</v>
      </c>
      <c r="F28" s="80">
        <v>47640</v>
      </c>
      <c r="G28" s="27"/>
      <c r="H28" s="80">
        <v>6373</v>
      </c>
      <c r="I28" s="78" t="s">
        <v>63</v>
      </c>
      <c r="J28" s="87">
        <v>5216332.2719999999</v>
      </c>
      <c r="K28" s="87">
        <v>809883212.60961437</v>
      </c>
      <c r="L28" s="97">
        <v>155.25913043478269</v>
      </c>
    </row>
    <row r="29" spans="1:12" ht="14.25">
      <c r="B29" s="79">
        <v>41496</v>
      </c>
      <c r="C29" s="78" t="s">
        <v>178</v>
      </c>
      <c r="D29" s="81">
        <v>35.94</v>
      </c>
      <c r="E29" s="86">
        <v>5.0032360379878731E-2</v>
      </c>
      <c r="F29" s="80">
        <v>217750</v>
      </c>
      <c r="G29" s="27"/>
      <c r="H29" s="80">
        <v>29190</v>
      </c>
      <c r="I29" s="91" t="s">
        <v>69</v>
      </c>
      <c r="J29" s="87">
        <v>24617726.25</v>
      </c>
      <c r="K29" s="87">
        <v>3822049706.6700006</v>
      </c>
      <c r="L29" s="97">
        <v>155.25600000000003</v>
      </c>
    </row>
    <row r="30" spans="1:12" ht="14.25">
      <c r="B30" s="79">
        <v>41496</v>
      </c>
      <c r="C30" s="78" t="s">
        <v>178</v>
      </c>
      <c r="D30" s="81">
        <v>35.94</v>
      </c>
      <c r="E30" s="86">
        <v>5.0274113619496776E-2</v>
      </c>
      <c r="F30" s="80">
        <v>292250</v>
      </c>
      <c r="G30" s="27"/>
      <c r="H30" s="80">
        <v>39177</v>
      </c>
      <c r="I30" s="91" t="s">
        <v>69</v>
      </c>
      <c r="J30" s="87">
        <v>33040323.750000004</v>
      </c>
      <c r="K30" s="87">
        <v>5129708504.1300011</v>
      </c>
      <c r="L30" s="97">
        <v>155.25600000000003</v>
      </c>
    </row>
    <row r="31" spans="1:12" ht="14.25">
      <c r="B31" s="79">
        <v>41496</v>
      </c>
      <c r="C31" s="78" t="s">
        <v>178</v>
      </c>
      <c r="D31" s="81">
        <v>35.94</v>
      </c>
      <c r="E31" s="86">
        <v>5.0027346554722921E-2</v>
      </c>
      <c r="F31" s="80">
        <v>385596</v>
      </c>
      <c r="G31" s="27"/>
      <c r="H31" s="80">
        <v>51689</v>
      </c>
      <c r="I31" s="91" t="s">
        <v>69</v>
      </c>
      <c r="J31" s="87">
        <v>43593555.780000001</v>
      </c>
      <c r="K31" s="87">
        <v>6768161096.1796818</v>
      </c>
      <c r="L31" s="97">
        <v>155.25600000000003</v>
      </c>
    </row>
    <row r="32" spans="1:12" ht="14.25">
      <c r="B32" s="79">
        <v>41530</v>
      </c>
      <c r="C32" s="78" t="s">
        <v>179</v>
      </c>
      <c r="D32" s="81">
        <v>37.03</v>
      </c>
      <c r="E32" s="86">
        <v>5.0201559260430628E-2</v>
      </c>
      <c r="F32" s="80">
        <v>796388</v>
      </c>
      <c r="G32" s="27"/>
      <c r="H32" s="80">
        <v>106068</v>
      </c>
      <c r="I32" s="78" t="s">
        <v>183</v>
      </c>
      <c r="J32" s="87">
        <v>91009707.502800003</v>
      </c>
      <c r="K32" s="87">
        <v>14129993835.060915</v>
      </c>
      <c r="L32" s="97">
        <v>155.25809523809525</v>
      </c>
    </row>
    <row r="33" spans="2:12" ht="14.25">
      <c r="B33" s="79">
        <v>41556</v>
      </c>
      <c r="C33" s="78" t="s">
        <v>215</v>
      </c>
      <c r="D33" s="81">
        <v>37.130000000000003</v>
      </c>
      <c r="E33" s="86">
        <v>5.4229593624194168E-2</v>
      </c>
      <c r="F33" s="80">
        <v>952837</v>
      </c>
      <c r="G33" s="27"/>
      <c r="H33" s="80">
        <v>126825</v>
      </c>
      <c r="I33" s="78" t="s">
        <v>95</v>
      </c>
      <c r="J33" s="87">
        <v>105777770.29949999</v>
      </c>
      <c r="K33" s="87">
        <v>14129993835.060915</v>
      </c>
      <c r="L33" s="97">
        <v>155.35800000000006</v>
      </c>
    </row>
    <row r="34" spans="2:12" ht="14.25">
      <c r="B34" s="79">
        <v>41566</v>
      </c>
      <c r="C34" s="78" t="s">
        <v>213</v>
      </c>
      <c r="D34" s="81">
        <v>38.43</v>
      </c>
      <c r="E34" s="86">
        <v>6.5332026692799472E-2</v>
      </c>
      <c r="F34" s="80">
        <v>878015</v>
      </c>
      <c r="G34" s="27"/>
      <c r="H34" s="80">
        <v>115975</v>
      </c>
      <c r="I34" s="78" t="s">
        <v>95</v>
      </c>
      <c r="J34" s="87">
        <v>97471518.202500001</v>
      </c>
      <c r="K34" s="87">
        <v>14129993835.060915</v>
      </c>
      <c r="L34" s="97">
        <v>155.35800000000006</v>
      </c>
    </row>
    <row r="35" spans="2:12" ht="14.25">
      <c r="B35" s="79">
        <v>41586</v>
      </c>
      <c r="C35" s="78" t="s">
        <v>216</v>
      </c>
      <c r="D35" s="81">
        <v>37.9</v>
      </c>
      <c r="E35" s="123">
        <v>4.9981506842468285E-2</v>
      </c>
      <c r="F35" s="80">
        <v>999870</v>
      </c>
      <c r="G35" s="27"/>
      <c r="H35" s="91">
        <v>132485</v>
      </c>
      <c r="I35" s="78" t="s">
        <v>219</v>
      </c>
      <c r="J35" s="87">
        <v>109211000.72400001</v>
      </c>
      <c r="K35" s="87">
        <v>14129993835.060915</v>
      </c>
      <c r="L35" s="97">
        <v>155.21149999999994</v>
      </c>
    </row>
    <row r="36" spans="2:12" ht="14.25">
      <c r="B36" s="79">
        <v>41608</v>
      </c>
      <c r="C36" s="78" t="s">
        <v>88</v>
      </c>
      <c r="D36" s="81">
        <v>34.17</v>
      </c>
      <c r="E36" s="86">
        <v>5.0108212416175357E-2</v>
      </c>
      <c r="F36" s="80">
        <v>375000</v>
      </c>
      <c r="G36" s="27"/>
      <c r="H36" s="80">
        <v>50807</v>
      </c>
      <c r="I36" s="78" t="s">
        <v>218</v>
      </c>
      <c r="J36" s="87">
        <v>40959450</v>
      </c>
      <c r="K36" s="87">
        <v>14129993835.060915</v>
      </c>
      <c r="L36" s="97">
        <v>155.21149999999994</v>
      </c>
    </row>
    <row r="37" spans="2:12" ht="14.25">
      <c r="B37" s="79">
        <v>41608</v>
      </c>
      <c r="C37" s="78" t="s">
        <v>88</v>
      </c>
      <c r="D37" s="81">
        <v>34.17</v>
      </c>
      <c r="E37" s="86">
        <v>5.0007425344975466E-2</v>
      </c>
      <c r="F37" s="80">
        <v>329786</v>
      </c>
      <c r="G37" s="27"/>
      <c r="H37" s="91">
        <v>44681</v>
      </c>
      <c r="I37" s="78" t="s">
        <v>217</v>
      </c>
      <c r="J37" s="87">
        <v>36020941.8072</v>
      </c>
      <c r="K37" s="87">
        <v>14129993835.060915</v>
      </c>
      <c r="L37" s="97">
        <v>155.21149999999994</v>
      </c>
    </row>
    <row r="38" spans="2:12" ht="14.25">
      <c r="B38" s="79">
        <v>41638</v>
      </c>
      <c r="C38" s="78" t="s">
        <v>214</v>
      </c>
      <c r="D38" s="81">
        <v>35.44</v>
      </c>
      <c r="E38" s="86">
        <v>6.7724890805882579E-2</v>
      </c>
      <c r="F38" s="80">
        <v>916324</v>
      </c>
      <c r="G38" s="27"/>
      <c r="H38" s="91">
        <v>123205</v>
      </c>
      <c r="I38" s="78" t="s">
        <v>63</v>
      </c>
      <c r="J38" s="87">
        <v>102623064.9532</v>
      </c>
      <c r="K38" s="87">
        <v>14129993835.060915</v>
      </c>
      <c r="L38" s="97">
        <v>155.21789473684206</v>
      </c>
    </row>
    <row r="39" spans="2:12">
      <c r="B39" s="82" t="s">
        <v>35</v>
      </c>
      <c r="C39" s="83"/>
      <c r="D39" s="83"/>
      <c r="E39" s="84"/>
      <c r="F39" s="85"/>
      <c r="G39" s="85"/>
      <c r="H39" s="85"/>
      <c r="I39" s="85"/>
      <c r="J39" s="85">
        <f>SUM(J12:J38)</f>
        <v>1864565487.1302004</v>
      </c>
      <c r="K39" s="85">
        <f>SUM(K12:K38)</f>
        <v>297860022453.617</v>
      </c>
    </row>
    <row r="40" spans="2:12" ht="15">
      <c r="B40" s="22"/>
      <c r="C40" s="7"/>
      <c r="D40" s="7"/>
      <c r="E40" s="7"/>
      <c r="F40" s="7"/>
      <c r="G40" s="7"/>
    </row>
    <row r="41" spans="2:12" ht="15">
      <c r="B41" s="19"/>
      <c r="C41" s="19"/>
      <c r="D41" s="19"/>
      <c r="E41" s="19"/>
      <c r="F41" s="19"/>
      <c r="G41" s="19"/>
    </row>
    <row r="42" spans="2:12" ht="15">
      <c r="B42" s="19"/>
      <c r="C42" s="19"/>
      <c r="D42" s="19"/>
      <c r="E42" s="19"/>
      <c r="F42" s="19"/>
      <c r="G42" s="19"/>
    </row>
    <row r="43" spans="2:12" ht="15">
      <c r="B43" s="19"/>
      <c r="C43" s="19"/>
      <c r="D43" s="19"/>
      <c r="E43" s="19"/>
      <c r="F43" s="19"/>
      <c r="G43" s="19"/>
    </row>
    <row r="44" spans="2:12" ht="15">
      <c r="B44" s="19"/>
      <c r="C44" s="19"/>
      <c r="D44" s="19"/>
      <c r="E44" s="19"/>
      <c r="F44" s="19"/>
      <c r="G44" s="19"/>
    </row>
    <row r="45" spans="2:12">
      <c r="B45" s="23"/>
      <c r="C45" s="23"/>
      <c r="D45" s="23"/>
      <c r="E45" s="23"/>
      <c r="F45" s="23"/>
      <c r="G45" s="23"/>
    </row>
    <row r="46" spans="2:12">
      <c r="B46" s="24"/>
      <c r="C46" s="25"/>
      <c r="D46" s="25"/>
      <c r="E46" s="25"/>
      <c r="F46" s="25"/>
      <c r="G46" s="25"/>
    </row>
    <row r="47" spans="2:12">
      <c r="B47" s="26"/>
      <c r="C47" s="25"/>
      <c r="D47" s="25"/>
      <c r="E47" s="25"/>
      <c r="F47" s="25"/>
      <c r="G47" s="25"/>
    </row>
    <row r="48" spans="2:12">
      <c r="B48" s="26"/>
      <c r="C48" s="26"/>
      <c r="D48" s="26"/>
      <c r="E48" s="26"/>
      <c r="F48" s="26"/>
      <c r="G48" s="26"/>
    </row>
    <row r="49" spans="2:7" ht="15">
      <c r="B49" s="19"/>
      <c r="C49" s="19"/>
      <c r="D49" s="19"/>
      <c r="E49" s="19"/>
      <c r="F49" s="19"/>
      <c r="G49" s="19"/>
    </row>
    <row r="50" spans="2:7" ht="15">
      <c r="B50" s="7"/>
      <c r="C50" s="7"/>
      <c r="D50" s="7"/>
      <c r="E50" s="7"/>
      <c r="F50" s="7"/>
      <c r="G50" s="19"/>
    </row>
    <row r="51" spans="2:7" ht="15">
      <c r="B51" s="19"/>
      <c r="C51" s="19"/>
      <c r="D51" s="19"/>
      <c r="E51" s="19"/>
      <c r="F51" s="19"/>
      <c r="G51" s="19"/>
    </row>
    <row r="52" spans="2:7" ht="15">
      <c r="B52" s="19"/>
      <c r="C52" s="19"/>
      <c r="D52" s="19"/>
      <c r="E52" s="19"/>
      <c r="F52" s="19"/>
      <c r="G52" s="19"/>
    </row>
    <row r="53" spans="2:7" ht="15">
      <c r="B53" s="19"/>
      <c r="C53" s="19"/>
      <c r="D53" s="19"/>
      <c r="E53" s="19"/>
      <c r="F53" s="19"/>
      <c r="G53" s="19"/>
    </row>
    <row r="54" spans="2:7" ht="15">
      <c r="B54" s="19"/>
      <c r="C54" s="19"/>
      <c r="D54" s="19"/>
      <c r="E54" s="19"/>
      <c r="F54" s="19"/>
      <c r="G54" s="19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7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19"/>
      <c r="C62" s="19"/>
      <c r="D62" s="19"/>
      <c r="E62" s="19"/>
      <c r="F62" s="19"/>
      <c r="G62" s="19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4.25">
      <c r="B68" s="27"/>
      <c r="C68" s="27"/>
      <c r="D68" s="27"/>
      <c r="E68" s="27"/>
      <c r="F68" s="27"/>
      <c r="G68" s="27"/>
    </row>
    <row r="69" spans="2:7">
      <c r="B69" s="21"/>
      <c r="C69" s="21"/>
      <c r="D69" s="21"/>
      <c r="E69" s="21"/>
      <c r="F69" s="21"/>
      <c r="G69" s="21"/>
    </row>
    <row r="70" spans="2:7">
      <c r="B70" s="21"/>
      <c r="C70" s="21"/>
      <c r="D70" s="21"/>
      <c r="E70" s="21"/>
      <c r="F70" s="21"/>
      <c r="G70" s="21"/>
    </row>
    <row r="71" spans="2:7">
      <c r="B71" s="21"/>
      <c r="C71" s="21"/>
      <c r="D71" s="21"/>
      <c r="E71" s="21"/>
      <c r="F71" s="21"/>
      <c r="G71" s="21"/>
    </row>
    <row r="72" spans="2:7">
      <c r="B72" s="21"/>
      <c r="C72" s="21"/>
      <c r="D72" s="21"/>
      <c r="E72" s="21"/>
      <c r="F72" s="21"/>
      <c r="G72" s="21"/>
    </row>
    <row r="73" spans="2:7">
      <c r="B73" s="21"/>
      <c r="C73" s="21"/>
      <c r="D73" s="21"/>
      <c r="E73" s="21"/>
      <c r="F73" s="21"/>
      <c r="G73" s="21"/>
    </row>
    <row r="74" spans="2:7">
      <c r="B74" s="21"/>
      <c r="C74" s="21"/>
      <c r="D74" s="21"/>
      <c r="E74" s="21"/>
      <c r="F74" s="21"/>
      <c r="G74" s="21"/>
    </row>
    <row r="75" spans="2:7">
      <c r="B75" s="21"/>
      <c r="C75" s="21"/>
      <c r="D75" s="21"/>
      <c r="E75" s="21"/>
      <c r="F75" s="21"/>
      <c r="G75" s="21"/>
    </row>
    <row r="76" spans="2:7" ht="15.75">
      <c r="B76" s="18"/>
      <c r="C76" s="18"/>
      <c r="D76" s="18"/>
      <c r="E76" s="18"/>
      <c r="F76" s="18"/>
      <c r="G76" s="18"/>
    </row>
    <row r="77" spans="2:7" ht="15.75">
      <c r="B77" s="18"/>
      <c r="C77" s="18"/>
      <c r="D77" s="18"/>
      <c r="E77" s="18"/>
      <c r="F77" s="18"/>
      <c r="G77" s="18"/>
    </row>
    <row r="78" spans="2:7" ht="15.75">
      <c r="B78" s="18"/>
      <c r="C78" s="18"/>
      <c r="D78" s="18"/>
      <c r="E78" s="18"/>
      <c r="F78" s="18"/>
      <c r="G78" s="18"/>
    </row>
    <row r="79" spans="2:7" ht="15">
      <c r="B79" s="19"/>
      <c r="C79" s="19"/>
      <c r="D79" s="19"/>
      <c r="E79" s="19"/>
      <c r="F79" s="20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22"/>
      <c r="C89" s="7"/>
      <c r="D89" s="7"/>
      <c r="E89" s="7"/>
      <c r="F89" s="7"/>
      <c r="G89" s="7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>
      <c r="B94" s="23"/>
      <c r="C94" s="23"/>
      <c r="D94" s="23"/>
      <c r="E94" s="23"/>
      <c r="F94" s="23"/>
      <c r="G94" s="23"/>
    </row>
    <row r="95" spans="2:7">
      <c r="B95" s="24"/>
      <c r="C95" s="25"/>
      <c r="D95" s="25"/>
      <c r="E95" s="25"/>
      <c r="F95" s="25"/>
      <c r="G95" s="25"/>
    </row>
    <row r="96" spans="2:7">
      <c r="B96" s="26"/>
      <c r="C96" s="25"/>
      <c r="D96" s="25"/>
      <c r="E96" s="25"/>
      <c r="F96" s="25"/>
      <c r="G96" s="25"/>
    </row>
    <row r="97" spans="2:7">
      <c r="B97" s="26"/>
      <c r="C97" s="26"/>
      <c r="D97" s="26"/>
      <c r="E97" s="26"/>
      <c r="F97" s="26"/>
      <c r="G97" s="26"/>
    </row>
    <row r="98" spans="2:7" ht="15">
      <c r="B98" s="19"/>
      <c r="C98" s="19"/>
      <c r="D98" s="19"/>
      <c r="E98" s="19"/>
      <c r="F98" s="19"/>
      <c r="G98" s="19"/>
    </row>
    <row r="99" spans="2:7" ht="15">
      <c r="B99" s="7"/>
      <c r="C99" s="7"/>
      <c r="D99" s="7"/>
      <c r="E99" s="7"/>
      <c r="F99" s="7"/>
      <c r="G99" s="19"/>
    </row>
    <row r="100" spans="2:7" ht="15">
      <c r="B100" s="19"/>
      <c r="C100" s="19"/>
      <c r="D100" s="19"/>
      <c r="E100" s="19"/>
      <c r="F100" s="19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7"/>
    </row>
    <row r="106" spans="2:7" ht="15">
      <c r="B106" s="19"/>
      <c r="C106" s="19"/>
      <c r="D106" s="19"/>
      <c r="E106" s="19"/>
      <c r="F106" s="19"/>
      <c r="G106" s="19"/>
    </row>
    <row r="107" spans="2:7" ht="14.25">
      <c r="B107" s="27"/>
      <c r="C107" s="27"/>
      <c r="D107" s="27"/>
      <c r="E107" s="27"/>
      <c r="F107" s="27"/>
      <c r="G107" s="27"/>
    </row>
    <row r="108" spans="2:7">
      <c r="B108" s="21"/>
      <c r="C108" s="21"/>
      <c r="D108" s="21"/>
      <c r="E108" s="21"/>
      <c r="F108" s="21"/>
      <c r="G108" s="21"/>
    </row>
    <row r="109" spans="2:7">
      <c r="B109" s="21"/>
      <c r="C109" s="21"/>
      <c r="D109" s="21"/>
      <c r="E109" s="21"/>
      <c r="F109" s="21"/>
      <c r="G109" s="21"/>
    </row>
    <row r="110" spans="2:7">
      <c r="B110" s="21"/>
      <c r="C110" s="21"/>
      <c r="D110" s="21"/>
      <c r="E110" s="21"/>
      <c r="F110" s="21"/>
      <c r="G110" s="21"/>
    </row>
    <row r="111" spans="2:7">
      <c r="B111" s="21"/>
      <c r="C111" s="21"/>
      <c r="D111" s="21"/>
      <c r="E111" s="21"/>
      <c r="F111" s="21"/>
      <c r="G111" s="21"/>
    </row>
    <row r="112" spans="2:7">
      <c r="B112" s="21"/>
      <c r="C112" s="21"/>
      <c r="D112" s="21"/>
      <c r="E112" s="21"/>
      <c r="F112" s="21"/>
      <c r="G112" s="21"/>
    </row>
    <row r="113" spans="2:7">
      <c r="B113" s="21"/>
      <c r="C113" s="21"/>
      <c r="D113" s="21"/>
      <c r="E113" s="21"/>
      <c r="F113" s="21"/>
      <c r="G113" s="21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 ht="15.75">
      <c r="B116" s="18"/>
      <c r="C116" s="18"/>
      <c r="D116" s="18"/>
      <c r="E116" s="18"/>
      <c r="F116" s="18"/>
      <c r="G116" s="18"/>
    </row>
    <row r="117" spans="2:7" ht="15.75">
      <c r="B117" s="18"/>
      <c r="C117" s="18"/>
      <c r="D117" s="18"/>
      <c r="E117" s="18"/>
      <c r="F117" s="18"/>
      <c r="G117" s="18"/>
    </row>
    <row r="118" spans="2:7" ht="15.75">
      <c r="B118" s="18"/>
      <c r="C118" s="18"/>
      <c r="D118" s="18"/>
      <c r="E118" s="18"/>
      <c r="F118" s="18"/>
      <c r="G118" s="18"/>
    </row>
    <row r="119" spans="2:7" ht="15">
      <c r="B119" s="19"/>
      <c r="C119" s="19"/>
      <c r="D119" s="19"/>
      <c r="E119" s="19"/>
      <c r="F119" s="20"/>
      <c r="G119" s="19"/>
    </row>
    <row r="120" spans="2:7" ht="15">
      <c r="B120" s="19"/>
      <c r="C120" s="19"/>
      <c r="D120" s="19"/>
      <c r="E120" s="19"/>
      <c r="F120" s="19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22"/>
      <c r="C129" s="7"/>
      <c r="D129" s="7"/>
      <c r="E129" s="7"/>
      <c r="F129" s="7"/>
      <c r="G129" s="7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>
      <c r="B134" s="23"/>
      <c r="C134" s="23"/>
      <c r="D134" s="23"/>
      <c r="E134" s="23"/>
      <c r="F134" s="23"/>
      <c r="G134" s="23"/>
    </row>
    <row r="135" spans="2:7">
      <c r="B135" s="24"/>
      <c r="C135" s="25"/>
      <c r="D135" s="25"/>
      <c r="E135" s="25"/>
      <c r="F135" s="25"/>
      <c r="G135" s="25"/>
    </row>
    <row r="136" spans="2:7">
      <c r="B136" s="26"/>
      <c r="C136" s="25"/>
      <c r="D136" s="25"/>
      <c r="E136" s="25"/>
      <c r="F136" s="25"/>
      <c r="G136" s="25"/>
    </row>
    <row r="137" spans="2:7">
      <c r="B137" s="26"/>
      <c r="C137" s="26"/>
      <c r="D137" s="26"/>
      <c r="E137" s="26"/>
      <c r="F137" s="26"/>
      <c r="G137" s="26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7"/>
      <c r="C139" s="7"/>
      <c r="D139" s="7"/>
      <c r="E139" s="7"/>
      <c r="F139" s="7"/>
      <c r="G139" s="19"/>
    </row>
    <row r="140" spans="2:7" ht="15">
      <c r="B140" s="19"/>
      <c r="C140" s="19"/>
      <c r="D140" s="19"/>
      <c r="E140" s="19"/>
      <c r="F140" s="19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7"/>
    </row>
    <row r="146" spans="2:7" ht="15">
      <c r="B146" s="19"/>
      <c r="C146" s="19"/>
      <c r="D146" s="19"/>
      <c r="E146" s="19"/>
      <c r="F146" s="19"/>
      <c r="G146" s="19"/>
    </row>
    <row r="147" spans="2:7" ht="14.25">
      <c r="B147" s="27"/>
      <c r="C147" s="27"/>
      <c r="D147" s="27"/>
      <c r="E147" s="27"/>
      <c r="F147" s="27"/>
      <c r="G147" s="27"/>
    </row>
    <row r="148" spans="2:7">
      <c r="B148" s="21"/>
      <c r="C148" s="21"/>
      <c r="D148" s="21"/>
      <c r="E148" s="21"/>
      <c r="F148" s="21"/>
      <c r="G148" s="21"/>
    </row>
    <row r="149" spans="2:7">
      <c r="B149" s="21"/>
      <c r="C149" s="21"/>
      <c r="D149" s="21"/>
      <c r="E149" s="21"/>
      <c r="F149" s="21"/>
      <c r="G149" s="21"/>
    </row>
    <row r="150" spans="2:7" ht="15.75">
      <c r="B150" s="18"/>
      <c r="C150" s="18"/>
      <c r="D150" s="18"/>
      <c r="E150" s="18"/>
      <c r="F150" s="18"/>
      <c r="G150" s="18"/>
    </row>
    <row r="151" spans="2:7" ht="15.75">
      <c r="B151" s="18"/>
      <c r="C151" s="18"/>
      <c r="D151" s="18"/>
      <c r="E151" s="18"/>
      <c r="F151" s="18"/>
      <c r="G151" s="18"/>
    </row>
    <row r="152" spans="2:7" ht="15.75">
      <c r="B152" s="18"/>
      <c r="C152" s="18"/>
      <c r="D152" s="18"/>
      <c r="E152" s="18"/>
      <c r="F152" s="18"/>
      <c r="G152" s="18"/>
    </row>
    <row r="153" spans="2:7" ht="15">
      <c r="B153" s="19"/>
      <c r="C153" s="19"/>
      <c r="D153" s="19"/>
      <c r="E153" s="19"/>
      <c r="F153" s="20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 ht="15">
      <c r="B155" s="19"/>
      <c r="C155" s="19"/>
      <c r="D155" s="19"/>
      <c r="E155" s="19"/>
      <c r="F155" s="19"/>
      <c r="G155" s="19"/>
    </row>
    <row r="156" spans="2:7" ht="15">
      <c r="B156" s="19"/>
      <c r="C156" s="19"/>
      <c r="D156" s="19"/>
      <c r="E156" s="19"/>
      <c r="F156" s="19"/>
      <c r="G156" s="19"/>
    </row>
    <row r="157" spans="2:7" ht="15">
      <c r="B157" s="19"/>
      <c r="C157" s="19"/>
      <c r="D157" s="19"/>
      <c r="E157" s="19"/>
      <c r="F157" s="19"/>
      <c r="G157" s="19"/>
    </row>
    <row r="158" spans="2:7" ht="15">
      <c r="B158" s="19"/>
      <c r="C158" s="19"/>
      <c r="D158" s="19"/>
      <c r="E158" s="19"/>
      <c r="F158" s="19"/>
      <c r="G158" s="19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22"/>
      <c r="C163" s="7"/>
      <c r="D163" s="7"/>
      <c r="E163" s="7"/>
      <c r="F163" s="7"/>
      <c r="G163" s="7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>
      <c r="B168" s="23"/>
      <c r="C168" s="23"/>
      <c r="D168" s="23"/>
      <c r="E168" s="23"/>
      <c r="F168" s="23"/>
      <c r="G168" s="23"/>
    </row>
    <row r="169" spans="2:7">
      <c r="B169" s="24"/>
      <c r="C169" s="25"/>
      <c r="D169" s="25"/>
      <c r="E169" s="25"/>
      <c r="F169" s="25"/>
      <c r="G169" s="25"/>
    </row>
    <row r="170" spans="2:7">
      <c r="B170" s="26"/>
      <c r="C170" s="25"/>
      <c r="D170" s="25"/>
      <c r="E170" s="25"/>
      <c r="F170" s="25"/>
      <c r="G170" s="25"/>
    </row>
    <row r="171" spans="2:7">
      <c r="B171" s="26"/>
      <c r="C171" s="26"/>
      <c r="D171" s="26"/>
      <c r="E171" s="26"/>
      <c r="F171" s="26"/>
      <c r="G171" s="26"/>
    </row>
    <row r="172" spans="2:7" ht="15">
      <c r="B172" s="19"/>
      <c r="C172" s="19"/>
      <c r="D172" s="19"/>
      <c r="E172" s="19"/>
      <c r="F172" s="19"/>
      <c r="G172" s="19"/>
    </row>
    <row r="173" spans="2:7" ht="21" customHeight="1">
      <c r="B173" s="7"/>
      <c r="C173" s="7"/>
      <c r="D173" s="7"/>
      <c r="E173" s="7"/>
      <c r="F173" s="7"/>
      <c r="G173" s="19"/>
    </row>
    <row r="174" spans="2:7" ht="15">
      <c r="B174" s="19"/>
      <c r="C174" s="19"/>
      <c r="D174" s="19"/>
      <c r="E174" s="19"/>
      <c r="F174" s="19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7"/>
      <c r="C179" s="7"/>
      <c r="D179" s="7"/>
      <c r="E179" s="7"/>
      <c r="F179" s="7"/>
      <c r="G179" s="7"/>
    </row>
    <row r="180" spans="2:7" ht="15">
      <c r="B180" s="19"/>
      <c r="C180" s="19"/>
      <c r="D180" s="19"/>
      <c r="E180" s="19"/>
      <c r="F180" s="19"/>
      <c r="G180" s="19"/>
    </row>
    <row r="181" spans="2:7" ht="14.25">
      <c r="B181" s="27"/>
      <c r="C181" s="27"/>
      <c r="D181" s="27"/>
      <c r="E181" s="27"/>
      <c r="F181" s="27"/>
      <c r="G181" s="27"/>
    </row>
    <row r="182" spans="2:7" ht="14.25">
      <c r="B182" s="27"/>
      <c r="C182" s="27"/>
      <c r="D182" s="27"/>
      <c r="E182" s="27"/>
      <c r="F182" s="27"/>
      <c r="G182" s="26"/>
    </row>
    <row r="183" spans="2:7" ht="14.25">
      <c r="B183" s="27"/>
      <c r="C183" s="27"/>
      <c r="D183" s="27"/>
      <c r="E183" s="27"/>
      <c r="F183" s="27"/>
      <c r="G183" s="27"/>
    </row>
    <row r="184" spans="2:7">
      <c r="B184" s="21"/>
      <c r="C184" s="21"/>
      <c r="D184" s="21"/>
      <c r="E184" s="21"/>
      <c r="F184" s="21"/>
      <c r="G184" s="21"/>
    </row>
    <row r="185" spans="2:7">
      <c r="B185" s="21"/>
      <c r="C185" s="21"/>
      <c r="D185" s="21"/>
      <c r="E185" s="21"/>
      <c r="F185" s="21"/>
      <c r="G185" s="21"/>
    </row>
    <row r="186" spans="2:7">
      <c r="B186" s="21"/>
      <c r="C186" s="21"/>
      <c r="D186" s="21"/>
      <c r="E186" s="21"/>
      <c r="F186" s="21"/>
      <c r="G186" s="21"/>
    </row>
    <row r="187" spans="2:7">
      <c r="B187" s="21"/>
      <c r="C187" s="21"/>
      <c r="D187" s="21"/>
      <c r="E187" s="21"/>
      <c r="F187" s="21"/>
      <c r="G187" s="21"/>
    </row>
    <row r="188" spans="2:7">
      <c r="B188" s="21"/>
      <c r="C188" s="21"/>
      <c r="D188" s="21"/>
      <c r="E188" s="21"/>
      <c r="F188" s="21"/>
      <c r="G188" s="21"/>
    </row>
    <row r="189" spans="2:7">
      <c r="B189" s="21"/>
      <c r="C189" s="21"/>
      <c r="D189" s="21"/>
      <c r="E189" s="21"/>
      <c r="F189" s="21"/>
      <c r="G189" s="21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61"/>
  </sheetPr>
  <dimension ref="A1:O248"/>
  <sheetViews>
    <sheetView view="pageLayout" zoomScaleNormal="110" workbookViewId="0">
      <selection activeCell="G34" sqref="G34:J34"/>
    </sheetView>
  </sheetViews>
  <sheetFormatPr defaultRowHeight="11.25"/>
  <cols>
    <col min="1" max="1" width="9.85546875" style="32" customWidth="1"/>
    <col min="2" max="2" width="6.85546875" style="32" bestFit="1" customWidth="1"/>
    <col min="3" max="3" width="13.140625" style="32" bestFit="1" customWidth="1"/>
    <col min="4" max="4" width="10.42578125" style="32" customWidth="1"/>
    <col min="5" max="5" width="13.7109375" style="32" bestFit="1" customWidth="1"/>
    <col min="6" max="6" width="11.140625" style="32" customWidth="1"/>
    <col min="7" max="7" width="9.7109375" style="32" customWidth="1"/>
    <col min="8" max="8" width="8.7109375" style="32" customWidth="1"/>
    <col min="9" max="9" width="10" style="32" hidden="1" customWidth="1"/>
    <col min="10" max="10" width="7.5703125" style="32" customWidth="1"/>
    <col min="11" max="11" width="7.7109375" style="32" customWidth="1"/>
    <col min="12" max="12" width="9" style="32" bestFit="1" customWidth="1"/>
    <col min="13" max="13" width="29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7" t="s">
        <v>96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5" ht="21.75" customHeight="1">
      <c r="A2" s="138" t="s">
        <v>208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9" t="s">
        <v>38</v>
      </c>
      <c r="D4" s="60" t="s">
        <v>39</v>
      </c>
      <c r="E4" s="13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40"/>
      <c r="D5" s="65" t="s">
        <v>46</v>
      </c>
      <c r="E5" s="14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2"/>
      <c r="N5" s="54"/>
      <c r="O5" s="32"/>
    </row>
    <row r="6" spans="1:15">
      <c r="A6" s="78" t="s">
        <v>64</v>
      </c>
      <c r="B6" s="78" t="s">
        <v>82</v>
      </c>
      <c r="C6" s="78" t="s">
        <v>83</v>
      </c>
      <c r="D6" s="78" t="s">
        <v>97</v>
      </c>
      <c r="E6" s="78" t="s">
        <v>60</v>
      </c>
      <c r="F6" s="78" t="s">
        <v>61</v>
      </c>
      <c r="G6" s="92">
        <v>440701</v>
      </c>
      <c r="H6" s="80">
        <v>440481</v>
      </c>
      <c r="I6" s="80"/>
      <c r="J6" s="90">
        <v>59066</v>
      </c>
      <c r="K6" s="81">
        <v>35.880000000000003</v>
      </c>
      <c r="L6" s="79">
        <v>41282</v>
      </c>
      <c r="M6" s="78" t="s">
        <v>90</v>
      </c>
      <c r="N6" s="54"/>
      <c r="O6" s="32"/>
    </row>
    <row r="7" spans="1:15">
      <c r="A7" s="78" t="s">
        <v>64</v>
      </c>
      <c r="B7" s="78" t="s">
        <v>82</v>
      </c>
      <c r="C7" s="78" t="s">
        <v>84</v>
      </c>
      <c r="D7" s="78" t="s">
        <v>98</v>
      </c>
      <c r="E7" s="78" t="s">
        <v>60</v>
      </c>
      <c r="F7" s="78" t="s">
        <v>62</v>
      </c>
      <c r="G7" s="92">
        <v>998454</v>
      </c>
      <c r="H7" s="80">
        <v>997685</v>
      </c>
      <c r="I7" s="80"/>
      <c r="J7" s="90">
        <v>135515</v>
      </c>
      <c r="K7" s="81">
        <v>33.75</v>
      </c>
      <c r="L7" s="79">
        <v>41284</v>
      </c>
      <c r="M7" s="78" t="s">
        <v>91</v>
      </c>
      <c r="N7" s="54"/>
      <c r="O7" s="32"/>
    </row>
    <row r="8" spans="1:15">
      <c r="A8" s="78" t="s">
        <v>64</v>
      </c>
      <c r="B8" s="78" t="s">
        <v>82</v>
      </c>
      <c r="C8" s="78" t="s">
        <v>85</v>
      </c>
      <c r="D8" s="78" t="s">
        <v>99</v>
      </c>
      <c r="E8" s="78" t="s">
        <v>60</v>
      </c>
      <c r="F8" s="78" t="s">
        <v>61</v>
      </c>
      <c r="G8" s="92">
        <v>740372</v>
      </c>
      <c r="H8" s="80">
        <v>740000</v>
      </c>
      <c r="I8" s="80"/>
      <c r="J8" s="90">
        <v>99742</v>
      </c>
      <c r="K8" s="81">
        <v>35.03</v>
      </c>
      <c r="L8" s="79">
        <v>41304</v>
      </c>
      <c r="M8" s="78" t="s">
        <v>63</v>
      </c>
      <c r="N8" s="54"/>
      <c r="O8" s="32"/>
    </row>
    <row r="9" spans="1:15">
      <c r="A9" s="78" t="s">
        <v>64</v>
      </c>
      <c r="B9" s="78" t="s">
        <v>82</v>
      </c>
      <c r="C9" s="78" t="s">
        <v>85</v>
      </c>
      <c r="D9" s="78" t="s">
        <v>99</v>
      </c>
      <c r="E9" s="78" t="s">
        <v>60</v>
      </c>
      <c r="F9" s="78" t="s">
        <v>61</v>
      </c>
      <c r="G9" s="92">
        <v>204429</v>
      </c>
      <c r="H9" s="80">
        <v>204326</v>
      </c>
      <c r="I9" s="80"/>
      <c r="J9" s="90">
        <v>27541</v>
      </c>
      <c r="K9" s="81">
        <v>35.03</v>
      </c>
      <c r="L9" s="79">
        <v>41304</v>
      </c>
      <c r="M9" s="78" t="s">
        <v>63</v>
      </c>
      <c r="N9" s="54"/>
      <c r="O9" s="32"/>
    </row>
    <row r="10" spans="1:15">
      <c r="A10" s="78" t="s">
        <v>64</v>
      </c>
      <c r="B10" s="78" t="s">
        <v>82</v>
      </c>
      <c r="C10" s="78" t="s">
        <v>85</v>
      </c>
      <c r="D10" s="78" t="s">
        <v>71</v>
      </c>
      <c r="E10" s="78" t="s">
        <v>60</v>
      </c>
      <c r="F10" s="78" t="s">
        <v>61</v>
      </c>
      <c r="G10" s="92">
        <v>740476</v>
      </c>
      <c r="H10" s="80">
        <v>740000</v>
      </c>
      <c r="I10" s="80"/>
      <c r="J10" s="90">
        <v>99342</v>
      </c>
      <c r="K10" s="81">
        <v>35.700000000000003</v>
      </c>
      <c r="L10" s="79">
        <v>41305</v>
      </c>
      <c r="M10" s="78" t="s">
        <v>63</v>
      </c>
      <c r="N10" s="54"/>
      <c r="O10" s="32"/>
    </row>
    <row r="11" spans="1:15">
      <c r="A11" s="78" t="s">
        <v>64</v>
      </c>
      <c r="B11" s="78" t="s">
        <v>82</v>
      </c>
      <c r="C11" s="78" t="s">
        <v>85</v>
      </c>
      <c r="D11" s="78" t="s">
        <v>71</v>
      </c>
      <c r="E11" s="78" t="s">
        <v>60</v>
      </c>
      <c r="F11" s="78" t="s">
        <v>61</v>
      </c>
      <c r="G11" s="92">
        <v>101015</v>
      </c>
      <c r="H11" s="80">
        <v>100950</v>
      </c>
      <c r="I11" s="80"/>
      <c r="J11" s="90">
        <v>13552</v>
      </c>
      <c r="K11" s="81">
        <v>35.700000000000003</v>
      </c>
      <c r="L11" s="79">
        <v>41305</v>
      </c>
      <c r="M11" s="78" t="s">
        <v>63</v>
      </c>
      <c r="N11" s="54"/>
      <c r="O11" s="32"/>
    </row>
    <row r="12" spans="1:15">
      <c r="A12" s="78" t="s">
        <v>64</v>
      </c>
      <c r="B12" s="78" t="s">
        <v>82</v>
      </c>
      <c r="C12" s="78" t="s">
        <v>86</v>
      </c>
      <c r="D12" s="78" t="s">
        <v>72</v>
      </c>
      <c r="E12" s="78" t="s">
        <v>60</v>
      </c>
      <c r="F12" s="78" t="s">
        <v>61</v>
      </c>
      <c r="G12" s="93">
        <v>711376</v>
      </c>
      <c r="H12" s="80">
        <v>710163</v>
      </c>
      <c r="I12" s="80"/>
      <c r="J12" s="91">
        <v>96030</v>
      </c>
      <c r="K12" s="81">
        <v>34.479999999999997</v>
      </c>
      <c r="L12" s="79">
        <v>41309</v>
      </c>
      <c r="M12" s="78" t="s">
        <v>92</v>
      </c>
      <c r="N12" s="54"/>
      <c r="O12" s="32"/>
    </row>
    <row r="13" spans="1:15">
      <c r="A13" s="78" t="s">
        <v>64</v>
      </c>
      <c r="B13" s="78" t="s">
        <v>82</v>
      </c>
      <c r="C13" s="78" t="s">
        <v>68</v>
      </c>
      <c r="D13" s="78" t="s">
        <v>100</v>
      </c>
      <c r="E13" s="78" t="s">
        <v>153</v>
      </c>
      <c r="F13" s="78" t="s">
        <v>61</v>
      </c>
      <c r="G13" s="93">
        <v>476734</v>
      </c>
      <c r="H13" s="80">
        <v>476495</v>
      </c>
      <c r="I13" s="80"/>
      <c r="J13" s="91">
        <v>64739</v>
      </c>
      <c r="K13" s="81">
        <v>33.71</v>
      </c>
      <c r="L13" s="79">
        <v>41320</v>
      </c>
      <c r="M13" s="78" t="s">
        <v>93</v>
      </c>
      <c r="N13" s="54"/>
      <c r="O13" s="32"/>
    </row>
    <row r="14" spans="1:15">
      <c r="A14" s="78" t="s">
        <v>64</v>
      </c>
      <c r="B14" s="78" t="s">
        <v>82</v>
      </c>
      <c r="C14" s="78" t="s">
        <v>87</v>
      </c>
      <c r="D14" s="78" t="s">
        <v>101</v>
      </c>
      <c r="E14" s="78" t="s">
        <v>60</v>
      </c>
      <c r="F14" s="78" t="s">
        <v>61</v>
      </c>
      <c r="G14" s="93">
        <v>953965</v>
      </c>
      <c r="H14" s="80">
        <v>953489</v>
      </c>
      <c r="I14" s="80"/>
      <c r="J14" s="91">
        <v>129486</v>
      </c>
      <c r="K14" s="81">
        <v>33.78</v>
      </c>
      <c r="L14" s="79">
        <v>41327</v>
      </c>
      <c r="M14" s="78" t="s">
        <v>94</v>
      </c>
      <c r="N14" s="54"/>
      <c r="O14" s="32"/>
    </row>
    <row r="15" spans="1:15">
      <c r="A15" s="78" t="s">
        <v>64</v>
      </c>
      <c r="B15" s="78" t="s">
        <v>82</v>
      </c>
      <c r="C15" s="78" t="s">
        <v>88</v>
      </c>
      <c r="D15" s="78" t="s">
        <v>73</v>
      </c>
      <c r="E15" s="78" t="s">
        <v>60</v>
      </c>
      <c r="F15" s="78" t="s">
        <v>61</v>
      </c>
      <c r="G15" s="93">
        <v>953439</v>
      </c>
      <c r="H15" s="80">
        <v>952814</v>
      </c>
      <c r="I15" s="80"/>
      <c r="J15" s="91">
        <v>129661</v>
      </c>
      <c r="K15" s="81">
        <v>33.44</v>
      </c>
      <c r="L15" s="79">
        <v>41335</v>
      </c>
      <c r="M15" s="78" t="s">
        <v>69</v>
      </c>
      <c r="N15" s="54"/>
      <c r="O15" s="32"/>
    </row>
    <row r="16" spans="1:15">
      <c r="A16" s="78" t="s">
        <v>64</v>
      </c>
      <c r="B16" s="78" t="s">
        <v>82</v>
      </c>
      <c r="C16" s="78" t="s">
        <v>89</v>
      </c>
      <c r="D16" s="78" t="s">
        <v>74</v>
      </c>
      <c r="E16" s="78" t="s">
        <v>60</v>
      </c>
      <c r="F16" s="78" t="s">
        <v>61</v>
      </c>
      <c r="G16" s="93">
        <v>720515</v>
      </c>
      <c r="H16" s="80">
        <v>719794</v>
      </c>
      <c r="I16" s="80"/>
      <c r="J16" s="91">
        <v>96884</v>
      </c>
      <c r="K16" s="81">
        <v>35.26</v>
      </c>
      <c r="L16" s="79">
        <v>41364</v>
      </c>
      <c r="M16" s="78" t="s">
        <v>95</v>
      </c>
      <c r="N16" s="54"/>
      <c r="O16" s="32"/>
    </row>
    <row r="17" spans="1:15">
      <c r="A17" s="78" t="s">
        <v>64</v>
      </c>
      <c r="B17" s="78" t="s">
        <v>82</v>
      </c>
      <c r="C17" s="78" t="s">
        <v>88</v>
      </c>
      <c r="D17" s="78" t="s">
        <v>139</v>
      </c>
      <c r="E17" s="78" t="s">
        <v>60</v>
      </c>
      <c r="F17" s="78" t="s">
        <v>61</v>
      </c>
      <c r="G17" s="93">
        <v>748502</v>
      </c>
      <c r="H17" s="80">
        <v>748127</v>
      </c>
      <c r="I17" s="80"/>
      <c r="J17" s="91">
        <v>100300</v>
      </c>
      <c r="K17" s="81">
        <v>35.92</v>
      </c>
      <c r="L17" s="79">
        <v>41372</v>
      </c>
      <c r="M17" s="78" t="s">
        <v>69</v>
      </c>
      <c r="N17" s="54"/>
      <c r="O17" s="32"/>
    </row>
    <row r="18" spans="1:15">
      <c r="A18" s="78" t="s">
        <v>64</v>
      </c>
      <c r="B18" s="78" t="s">
        <v>82</v>
      </c>
      <c r="C18" s="78" t="s">
        <v>133</v>
      </c>
      <c r="D18" s="78" t="s">
        <v>140</v>
      </c>
      <c r="E18" s="78" t="s">
        <v>60</v>
      </c>
      <c r="F18" s="78" t="s">
        <v>61</v>
      </c>
      <c r="G18" s="93">
        <v>954565</v>
      </c>
      <c r="H18" s="80">
        <v>954088</v>
      </c>
      <c r="I18" s="80"/>
      <c r="J18" s="91">
        <v>128265</v>
      </c>
      <c r="K18" s="81">
        <v>35.46</v>
      </c>
      <c r="L18" s="79">
        <v>41393</v>
      </c>
      <c r="M18" s="78" t="s">
        <v>136</v>
      </c>
      <c r="N18" s="54"/>
      <c r="O18" s="32"/>
    </row>
    <row r="19" spans="1:15">
      <c r="A19" s="78" t="s">
        <v>64</v>
      </c>
      <c r="B19" s="78" t="s">
        <v>82</v>
      </c>
      <c r="C19" s="78" t="s">
        <v>134</v>
      </c>
      <c r="D19" s="78" t="s">
        <v>141</v>
      </c>
      <c r="E19" s="78" t="s">
        <v>60</v>
      </c>
      <c r="F19" s="78" t="s">
        <v>61</v>
      </c>
      <c r="G19" s="93">
        <v>45816</v>
      </c>
      <c r="H19" s="80">
        <v>45793</v>
      </c>
      <c r="I19" s="80"/>
      <c r="J19" s="91">
        <v>6169</v>
      </c>
      <c r="K19" s="81">
        <v>35.130000000000003</v>
      </c>
      <c r="L19" s="79">
        <v>41414</v>
      </c>
      <c r="M19" s="78" t="s">
        <v>136</v>
      </c>
      <c r="N19" s="54"/>
      <c r="O19" s="32"/>
    </row>
    <row r="20" spans="1:15">
      <c r="A20" s="78" t="s">
        <v>64</v>
      </c>
      <c r="B20" s="78" t="s">
        <v>82</v>
      </c>
      <c r="C20" s="78" t="s">
        <v>135</v>
      </c>
      <c r="D20" s="78" t="s">
        <v>142</v>
      </c>
      <c r="E20" s="78" t="s">
        <v>60</v>
      </c>
      <c r="F20" s="78" t="s">
        <v>61</v>
      </c>
      <c r="G20" s="93">
        <v>955516</v>
      </c>
      <c r="H20" s="80">
        <v>954778</v>
      </c>
      <c r="I20" s="80"/>
      <c r="J20" s="91">
        <v>128557</v>
      </c>
      <c r="K20" s="81">
        <v>35.21</v>
      </c>
      <c r="L20" s="79">
        <v>41428</v>
      </c>
      <c r="M20" s="78" t="s">
        <v>63</v>
      </c>
      <c r="N20" s="54"/>
      <c r="O20" s="32"/>
    </row>
    <row r="21" spans="1:15">
      <c r="A21" s="78" t="s">
        <v>64</v>
      </c>
      <c r="B21" s="78" t="s">
        <v>82</v>
      </c>
      <c r="C21" s="78" t="s">
        <v>135</v>
      </c>
      <c r="D21" s="78" t="s">
        <v>143</v>
      </c>
      <c r="E21" s="78" t="s">
        <v>60</v>
      </c>
      <c r="F21" s="78" t="s">
        <v>61</v>
      </c>
      <c r="G21" s="93">
        <v>792862</v>
      </c>
      <c r="H21" s="80">
        <v>792346</v>
      </c>
      <c r="I21" s="80"/>
      <c r="J21" s="91">
        <v>106682</v>
      </c>
      <c r="K21" s="81">
        <v>35.21</v>
      </c>
      <c r="L21" s="79">
        <v>41436</v>
      </c>
      <c r="M21" s="78" t="s">
        <v>63</v>
      </c>
      <c r="N21" s="54"/>
      <c r="O21" s="32"/>
    </row>
    <row r="22" spans="1:15">
      <c r="A22" s="78" t="s">
        <v>64</v>
      </c>
      <c r="B22" s="78" t="s">
        <v>82</v>
      </c>
      <c r="C22" s="78" t="s">
        <v>177</v>
      </c>
      <c r="D22" s="78" t="s">
        <v>180</v>
      </c>
      <c r="E22" s="78" t="s">
        <v>60</v>
      </c>
      <c r="F22" s="78" t="s">
        <v>61</v>
      </c>
      <c r="G22" s="93">
        <v>47664</v>
      </c>
      <c r="H22" s="80">
        <v>47640</v>
      </c>
      <c r="I22" s="80"/>
      <c r="J22" s="91">
        <v>6373</v>
      </c>
      <c r="K22" s="81">
        <v>36.29</v>
      </c>
      <c r="L22" s="79">
        <v>41485</v>
      </c>
      <c r="M22" s="78" t="s">
        <v>63</v>
      </c>
    </row>
    <row r="23" spans="1:15">
      <c r="A23" s="78" t="s">
        <v>64</v>
      </c>
      <c r="B23" s="78" t="s">
        <v>82</v>
      </c>
      <c r="C23" s="78" t="s">
        <v>178</v>
      </c>
      <c r="D23" s="78" t="s">
        <v>181</v>
      </c>
      <c r="E23" s="78" t="s">
        <v>60</v>
      </c>
      <c r="F23" s="78" t="s">
        <v>61</v>
      </c>
      <c r="G23" s="93">
        <v>217859</v>
      </c>
      <c r="H23" s="80">
        <v>217750</v>
      </c>
      <c r="I23" s="80"/>
      <c r="J23" s="91">
        <v>29190</v>
      </c>
      <c r="K23" s="81">
        <v>35.94</v>
      </c>
      <c r="L23" s="79">
        <v>41496</v>
      </c>
      <c r="M23" s="91" t="s">
        <v>69</v>
      </c>
    </row>
    <row r="24" spans="1:15">
      <c r="A24" s="78" t="s">
        <v>64</v>
      </c>
      <c r="B24" s="78" t="s">
        <v>82</v>
      </c>
      <c r="C24" s="78" t="s">
        <v>178</v>
      </c>
      <c r="D24" s="78" t="s">
        <v>181</v>
      </c>
      <c r="E24" s="78" t="s">
        <v>60</v>
      </c>
      <c r="F24" s="78" t="s">
        <v>61</v>
      </c>
      <c r="G24" s="93">
        <v>292397</v>
      </c>
      <c r="H24" s="80">
        <v>292250</v>
      </c>
      <c r="I24" s="80"/>
      <c r="J24" s="91">
        <v>39177</v>
      </c>
      <c r="K24" s="81">
        <v>35.94</v>
      </c>
      <c r="L24" s="79">
        <v>41496</v>
      </c>
      <c r="M24" s="91" t="s">
        <v>69</v>
      </c>
    </row>
    <row r="25" spans="1:15">
      <c r="A25" s="78" t="s">
        <v>64</v>
      </c>
      <c r="B25" s="78" t="s">
        <v>82</v>
      </c>
      <c r="C25" s="78" t="s">
        <v>178</v>
      </c>
      <c r="D25" s="78" t="s">
        <v>181</v>
      </c>
      <c r="E25" s="78" t="s">
        <v>60</v>
      </c>
      <c r="F25" s="78" t="s">
        <v>61</v>
      </c>
      <c r="G25" s="93">
        <v>385789</v>
      </c>
      <c r="H25" s="80">
        <v>385596</v>
      </c>
      <c r="I25" s="80"/>
      <c r="J25" s="91">
        <v>51689</v>
      </c>
      <c r="K25" s="81">
        <v>35.94</v>
      </c>
      <c r="L25" s="79">
        <v>41496</v>
      </c>
      <c r="M25" s="91" t="s">
        <v>69</v>
      </c>
    </row>
    <row r="26" spans="1:15">
      <c r="A26" s="78" t="s">
        <v>64</v>
      </c>
      <c r="B26" s="78" t="s">
        <v>82</v>
      </c>
      <c r="C26" s="78" t="s">
        <v>179</v>
      </c>
      <c r="D26" s="78" t="s">
        <v>182</v>
      </c>
      <c r="E26" s="78" t="s">
        <v>60</v>
      </c>
      <c r="F26" s="78" t="s">
        <v>61</v>
      </c>
      <c r="G26" s="93">
        <v>796788</v>
      </c>
      <c r="H26" s="80">
        <v>796388</v>
      </c>
      <c r="I26" s="80"/>
      <c r="J26" s="91">
        <v>106068</v>
      </c>
      <c r="K26" s="81">
        <v>37.03</v>
      </c>
      <c r="L26" s="79">
        <v>41530</v>
      </c>
      <c r="M26" s="78" t="s">
        <v>183</v>
      </c>
    </row>
    <row r="27" spans="1:15">
      <c r="A27" s="78" t="s">
        <v>64</v>
      </c>
      <c r="B27" s="78" t="s">
        <v>82</v>
      </c>
      <c r="C27" s="78" t="s">
        <v>215</v>
      </c>
      <c r="D27" s="78" t="s">
        <v>225</v>
      </c>
      <c r="E27" s="78" t="s">
        <v>155</v>
      </c>
      <c r="F27" s="78" t="s">
        <v>61</v>
      </c>
      <c r="G27" s="93">
        <v>953354</v>
      </c>
      <c r="H27" s="80">
        <v>952837</v>
      </c>
      <c r="I27" s="80"/>
      <c r="J27" s="80">
        <v>126825</v>
      </c>
      <c r="K27" s="81">
        <v>37.130000000000003</v>
      </c>
      <c r="L27" s="79">
        <v>41556</v>
      </c>
      <c r="M27" s="78" t="s">
        <v>95</v>
      </c>
    </row>
    <row r="28" spans="1:15">
      <c r="A28" s="78" t="s">
        <v>64</v>
      </c>
      <c r="B28" s="78" t="s">
        <v>82</v>
      </c>
      <c r="C28" s="78" t="s">
        <v>213</v>
      </c>
      <c r="D28" s="78" t="s">
        <v>223</v>
      </c>
      <c r="E28" s="78" t="s">
        <v>60</v>
      </c>
      <c r="F28" s="78" t="s">
        <v>61</v>
      </c>
      <c r="G28" s="93">
        <v>878589</v>
      </c>
      <c r="H28" s="80">
        <v>878015</v>
      </c>
      <c r="I28" s="80"/>
      <c r="J28" s="91">
        <v>115975</v>
      </c>
      <c r="K28" s="81">
        <v>38.43</v>
      </c>
      <c r="L28" s="79">
        <v>41566</v>
      </c>
      <c r="M28" s="78" t="s">
        <v>95</v>
      </c>
    </row>
    <row r="29" spans="1:15">
      <c r="A29" s="78" t="s">
        <v>64</v>
      </c>
      <c r="B29" s="78" t="s">
        <v>82</v>
      </c>
      <c r="C29" s="78" t="s">
        <v>216</v>
      </c>
      <c r="D29" s="78" t="s">
        <v>226</v>
      </c>
      <c r="E29" s="78" t="s">
        <v>60</v>
      </c>
      <c r="F29" s="78" t="s">
        <v>61</v>
      </c>
      <c r="G29" s="93">
        <v>1000370</v>
      </c>
      <c r="H29" s="80">
        <v>999870</v>
      </c>
      <c r="I29" s="80"/>
      <c r="J29" s="91">
        <v>132485</v>
      </c>
      <c r="K29" s="81">
        <v>37.9</v>
      </c>
      <c r="L29" s="79">
        <v>41586</v>
      </c>
      <c r="M29" s="78" t="s">
        <v>219</v>
      </c>
    </row>
    <row r="30" spans="1:15">
      <c r="A30" s="78" t="s">
        <v>64</v>
      </c>
      <c r="B30" s="78" t="s">
        <v>82</v>
      </c>
      <c r="C30" s="78" t="s">
        <v>88</v>
      </c>
      <c r="D30" s="78" t="s">
        <v>222</v>
      </c>
      <c r="E30" s="78" t="s">
        <v>60</v>
      </c>
      <c r="F30" s="78" t="s">
        <v>62</v>
      </c>
      <c r="G30" s="93">
        <v>375188</v>
      </c>
      <c r="H30" s="80">
        <v>375000</v>
      </c>
      <c r="I30" s="80"/>
      <c r="J30" s="91">
        <v>50807</v>
      </c>
      <c r="K30" s="81">
        <v>34.17</v>
      </c>
      <c r="L30" s="79">
        <v>41608</v>
      </c>
      <c r="M30" s="78" t="s">
        <v>218</v>
      </c>
    </row>
    <row r="31" spans="1:15">
      <c r="A31" s="78" t="s">
        <v>64</v>
      </c>
      <c r="B31" s="78" t="s">
        <v>82</v>
      </c>
      <c r="C31" s="78" t="s">
        <v>88</v>
      </c>
      <c r="D31" s="78" t="s">
        <v>222</v>
      </c>
      <c r="E31" s="78" t="s">
        <v>60</v>
      </c>
      <c r="F31" s="78" t="s">
        <v>62</v>
      </c>
      <c r="G31" s="93">
        <v>329951</v>
      </c>
      <c r="H31" s="80">
        <v>329786</v>
      </c>
      <c r="I31" s="80"/>
      <c r="J31" s="91">
        <v>44681</v>
      </c>
      <c r="K31" s="81">
        <v>34.17</v>
      </c>
      <c r="L31" s="79">
        <v>41608</v>
      </c>
      <c r="M31" s="78" t="s">
        <v>217</v>
      </c>
    </row>
    <row r="32" spans="1:15">
      <c r="A32" s="78" t="s">
        <v>64</v>
      </c>
      <c r="B32" s="78" t="s">
        <v>82</v>
      </c>
      <c r="C32" s="78" t="s">
        <v>214</v>
      </c>
      <c r="D32" s="78" t="s">
        <v>224</v>
      </c>
      <c r="E32" s="78" t="s">
        <v>221</v>
      </c>
      <c r="F32" s="78" t="s">
        <v>61</v>
      </c>
      <c r="G32" s="93">
        <v>916945</v>
      </c>
      <c r="H32" s="80">
        <v>916324</v>
      </c>
      <c r="I32" s="80"/>
      <c r="J32" s="91">
        <v>123205</v>
      </c>
      <c r="K32" s="81">
        <v>35.44</v>
      </c>
      <c r="L32" s="79">
        <v>41638</v>
      </c>
      <c r="M32" s="78" t="s">
        <v>63</v>
      </c>
    </row>
    <row r="33" spans="1:15" ht="12" thickBot="1">
      <c r="A33" s="78"/>
      <c r="B33" s="78"/>
      <c r="C33" s="78"/>
      <c r="D33" s="78"/>
      <c r="E33" s="78"/>
      <c r="F33" s="78"/>
      <c r="G33" s="93"/>
      <c r="H33" s="80"/>
      <c r="I33" s="80"/>
      <c r="J33" s="91"/>
      <c r="K33" s="81"/>
      <c r="L33" s="79"/>
      <c r="M33" s="78"/>
    </row>
    <row r="34" spans="1:15" ht="14.25" customHeight="1" thickTop="1" thickBot="1">
      <c r="A34" s="136" t="s">
        <v>102</v>
      </c>
      <c r="B34" s="136"/>
      <c r="C34" s="136"/>
      <c r="D34" s="136"/>
      <c r="E34" s="136"/>
      <c r="F34" s="136"/>
      <c r="G34" s="68">
        <f>SUM(G6:G33)</f>
        <v>16733631</v>
      </c>
      <c r="H34" s="68">
        <f t="shared" ref="H34:J34" si="0">SUM(H6:H33)</f>
        <v>16722785</v>
      </c>
      <c r="I34" s="68">
        <f t="shared" si="0"/>
        <v>0</v>
      </c>
      <c r="J34" s="68">
        <f t="shared" si="0"/>
        <v>2248006</v>
      </c>
      <c r="K34" s="68"/>
      <c r="L34" s="68"/>
      <c r="M34" s="69"/>
      <c r="N34" s="54"/>
      <c r="O34" s="32"/>
    </row>
    <row r="35" spans="1:15">
      <c r="A35" s="72"/>
      <c r="B35" s="72"/>
      <c r="C35" s="72"/>
      <c r="D35" s="72"/>
      <c r="E35" s="72"/>
      <c r="F35" s="72"/>
      <c r="G35" s="72"/>
      <c r="H35" s="72"/>
      <c r="I35" s="72"/>
    </row>
    <row r="36" spans="1:15">
      <c r="A36" s="71"/>
      <c r="B36" s="71"/>
      <c r="C36" s="71"/>
      <c r="D36" s="71"/>
      <c r="E36" s="71"/>
      <c r="F36" s="71"/>
      <c r="G36" s="71"/>
      <c r="H36" s="71"/>
      <c r="I36" s="71"/>
    </row>
    <row r="37" spans="1:15">
      <c r="A37" s="72"/>
      <c r="B37" s="72"/>
      <c r="C37" s="72"/>
      <c r="D37" s="72"/>
      <c r="E37" s="72"/>
      <c r="F37" s="72"/>
      <c r="G37" s="72"/>
      <c r="H37" s="72"/>
      <c r="I37" s="72"/>
    </row>
    <row r="38" spans="1:15">
      <c r="A38" s="53"/>
      <c r="B38" s="53"/>
      <c r="C38" s="53"/>
      <c r="D38" s="53"/>
      <c r="E38" s="53"/>
      <c r="F38" s="53"/>
      <c r="G38" s="53"/>
      <c r="H38" s="53"/>
      <c r="I38" s="53"/>
    </row>
    <row r="39" spans="1:15">
      <c r="A39" s="53"/>
      <c r="B39" s="53"/>
      <c r="C39" s="53"/>
      <c r="D39" s="53"/>
      <c r="E39" s="53"/>
      <c r="F39" s="53"/>
      <c r="G39" s="53"/>
      <c r="H39" s="53"/>
      <c r="I39" s="53"/>
    </row>
    <row r="40" spans="1:15">
      <c r="A40" s="53"/>
      <c r="B40" s="53"/>
      <c r="C40" s="53"/>
      <c r="D40" s="53"/>
      <c r="E40" s="53"/>
      <c r="F40" s="53"/>
      <c r="G40" s="53"/>
      <c r="H40" s="53"/>
      <c r="I40" s="53"/>
    </row>
    <row r="41" spans="1:15">
      <c r="A41" s="53"/>
      <c r="B41" s="53"/>
      <c r="C41" s="53"/>
      <c r="D41" s="53"/>
      <c r="E41" s="53"/>
      <c r="F41" s="53"/>
      <c r="G41" s="53"/>
      <c r="H41" s="53"/>
      <c r="I41" s="53"/>
    </row>
    <row r="42" spans="1:15">
      <c r="A42" s="53"/>
      <c r="B42" s="53"/>
      <c r="C42" s="53"/>
      <c r="D42" s="53"/>
      <c r="E42" s="53"/>
      <c r="F42" s="53"/>
      <c r="G42" s="53"/>
      <c r="H42" s="53"/>
      <c r="I42" s="53"/>
    </row>
    <row r="43" spans="1:15">
      <c r="A43" s="53"/>
      <c r="B43" s="53"/>
      <c r="C43" s="53"/>
      <c r="D43" s="53"/>
      <c r="E43" s="53"/>
      <c r="F43" s="53"/>
      <c r="G43" s="53"/>
      <c r="H43" s="53"/>
      <c r="I43" s="53"/>
    </row>
    <row r="44" spans="1:15">
      <c r="A44" s="53"/>
      <c r="B44" s="53"/>
      <c r="C44" s="53"/>
      <c r="D44" s="53"/>
      <c r="E44" s="53"/>
      <c r="F44" s="53"/>
      <c r="G44" s="53"/>
      <c r="H44" s="53"/>
      <c r="I44" s="53"/>
    </row>
    <row r="45" spans="1:15">
      <c r="A45" s="53"/>
      <c r="B45" s="53"/>
      <c r="C45" s="53"/>
      <c r="D45" s="53"/>
      <c r="E45" s="53"/>
      <c r="F45" s="53"/>
      <c r="G45" s="53"/>
      <c r="H45" s="53"/>
      <c r="I45" s="53"/>
    </row>
    <row r="46" spans="1:15">
      <c r="A46" s="53"/>
      <c r="B46" s="53"/>
      <c r="C46" s="53"/>
      <c r="D46" s="53"/>
      <c r="E46" s="53"/>
      <c r="F46" s="53"/>
      <c r="G46" s="53"/>
      <c r="H46" s="53"/>
      <c r="I46" s="53"/>
    </row>
    <row r="47" spans="1:15">
      <c r="A47" s="53"/>
      <c r="B47" s="53"/>
      <c r="C47" s="53"/>
      <c r="D47" s="53"/>
      <c r="E47" s="53"/>
      <c r="F47" s="53"/>
      <c r="G47" s="53"/>
      <c r="H47" s="53"/>
      <c r="I47" s="53"/>
    </row>
    <row r="48" spans="1:15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77"/>
      <c r="B56" s="77"/>
      <c r="C56" s="77"/>
      <c r="D56" s="77"/>
      <c r="E56" s="77"/>
      <c r="F56" s="77"/>
      <c r="G56" s="77"/>
      <c r="H56" s="77"/>
      <c r="I56" s="77"/>
    </row>
    <row r="57" spans="1:9">
      <c r="A57" s="77"/>
      <c r="B57" s="77"/>
      <c r="C57" s="77"/>
      <c r="D57" s="77"/>
      <c r="E57" s="77"/>
      <c r="F57" s="77"/>
      <c r="G57" s="77"/>
      <c r="H57" s="77"/>
      <c r="I57" s="77"/>
    </row>
    <row r="58" spans="1:9">
      <c r="A58" s="77"/>
      <c r="B58" s="77"/>
      <c r="C58" s="77"/>
      <c r="D58" s="77"/>
      <c r="E58" s="77"/>
      <c r="F58" s="77"/>
      <c r="G58" s="77"/>
      <c r="H58" s="77"/>
      <c r="I58" s="77"/>
    </row>
    <row r="59" spans="1:9">
      <c r="A59" s="72"/>
      <c r="B59" s="72"/>
      <c r="C59" s="72"/>
      <c r="D59" s="72"/>
      <c r="E59" s="72"/>
      <c r="F59" s="72"/>
      <c r="G59" s="72"/>
      <c r="H59" s="53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0"/>
      <c r="B69" s="71"/>
      <c r="C69" s="71"/>
      <c r="D69" s="71"/>
      <c r="E69" s="71"/>
      <c r="F69" s="71"/>
      <c r="G69" s="71"/>
      <c r="H69" s="71"/>
      <c r="I69" s="71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3"/>
      <c r="B74" s="73"/>
      <c r="C74" s="73"/>
      <c r="D74" s="73"/>
      <c r="E74" s="73"/>
      <c r="F74" s="73"/>
      <c r="G74" s="73"/>
      <c r="H74" s="73"/>
      <c r="I74" s="73"/>
    </row>
    <row r="75" spans="1:9">
      <c r="A75" s="74"/>
      <c r="B75" s="75"/>
      <c r="C75" s="75"/>
      <c r="D75" s="75"/>
      <c r="E75" s="75"/>
      <c r="F75" s="75"/>
      <c r="G75" s="75"/>
      <c r="H75" s="75"/>
      <c r="I75" s="75"/>
    </row>
    <row r="76" spans="1:9">
      <c r="A76" s="76"/>
      <c r="B76" s="75"/>
      <c r="C76" s="75"/>
      <c r="D76" s="75"/>
      <c r="E76" s="75"/>
      <c r="F76" s="75"/>
      <c r="G76" s="75"/>
      <c r="H76" s="75"/>
      <c r="I76" s="75"/>
    </row>
    <row r="77" spans="1:9">
      <c r="A77" s="76"/>
      <c r="B77" s="76"/>
      <c r="C77" s="76"/>
      <c r="D77" s="76"/>
      <c r="E77" s="76"/>
      <c r="F77" s="76"/>
      <c r="G77" s="76"/>
      <c r="H77" s="76"/>
      <c r="I77" s="76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2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1"/>
      <c r="B85" s="71"/>
      <c r="C85" s="71"/>
      <c r="D85" s="71"/>
      <c r="E85" s="71"/>
      <c r="F85" s="71"/>
      <c r="G85" s="71"/>
      <c r="H85" s="71"/>
      <c r="I85" s="71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53"/>
      <c r="B99" s="53"/>
      <c r="C99" s="53"/>
      <c r="D99" s="53"/>
      <c r="E99" s="53"/>
      <c r="F99" s="53"/>
      <c r="G99" s="53"/>
      <c r="H99" s="53"/>
      <c r="I99" s="53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77"/>
      <c r="B105" s="77"/>
      <c r="C105" s="77"/>
      <c r="D105" s="77"/>
      <c r="E105" s="77"/>
      <c r="F105" s="77"/>
      <c r="G105" s="77"/>
      <c r="H105" s="77"/>
      <c r="I105" s="77"/>
    </row>
    <row r="106" spans="1:9">
      <c r="A106" s="77"/>
      <c r="B106" s="77"/>
      <c r="C106" s="77"/>
      <c r="D106" s="77"/>
      <c r="E106" s="77"/>
      <c r="F106" s="77"/>
      <c r="G106" s="77"/>
      <c r="H106" s="77"/>
      <c r="I106" s="77"/>
    </row>
    <row r="107" spans="1:9">
      <c r="A107" s="77"/>
      <c r="B107" s="77"/>
      <c r="C107" s="77"/>
      <c r="D107" s="77"/>
      <c r="E107" s="77"/>
      <c r="F107" s="77"/>
      <c r="G107" s="77"/>
      <c r="H107" s="77"/>
      <c r="I107" s="77"/>
    </row>
    <row r="108" spans="1:9">
      <c r="A108" s="72"/>
      <c r="B108" s="72"/>
      <c r="C108" s="72"/>
      <c r="D108" s="72"/>
      <c r="E108" s="72"/>
      <c r="F108" s="72"/>
      <c r="G108" s="72"/>
      <c r="H108" s="53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0"/>
      <c r="B118" s="71"/>
      <c r="C118" s="71"/>
      <c r="D118" s="71"/>
      <c r="E118" s="71"/>
      <c r="F118" s="71"/>
      <c r="G118" s="71"/>
      <c r="H118" s="71"/>
      <c r="I118" s="71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3"/>
      <c r="B123" s="73"/>
      <c r="C123" s="73"/>
      <c r="D123" s="73"/>
      <c r="E123" s="73"/>
      <c r="F123" s="73"/>
      <c r="G123" s="73"/>
      <c r="H123" s="73"/>
      <c r="I123" s="73"/>
    </row>
    <row r="124" spans="1:9">
      <c r="A124" s="74"/>
      <c r="B124" s="75"/>
      <c r="C124" s="75"/>
      <c r="D124" s="75"/>
      <c r="E124" s="75"/>
      <c r="F124" s="75"/>
      <c r="G124" s="75"/>
      <c r="H124" s="75"/>
      <c r="I124" s="75"/>
    </row>
    <row r="125" spans="1:9">
      <c r="A125" s="76"/>
      <c r="B125" s="75"/>
      <c r="C125" s="75"/>
      <c r="D125" s="75"/>
      <c r="E125" s="75"/>
      <c r="F125" s="75"/>
      <c r="G125" s="75"/>
      <c r="H125" s="75"/>
      <c r="I125" s="75"/>
    </row>
    <row r="126" spans="1:9">
      <c r="A126" s="76"/>
      <c r="B126" s="76"/>
      <c r="C126" s="76"/>
      <c r="D126" s="76"/>
      <c r="E126" s="76"/>
      <c r="F126" s="76"/>
      <c r="G126" s="76"/>
      <c r="H126" s="76"/>
      <c r="I126" s="76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2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1"/>
      <c r="B134" s="71"/>
      <c r="C134" s="71"/>
      <c r="D134" s="71"/>
      <c r="E134" s="71"/>
      <c r="F134" s="71"/>
      <c r="G134" s="71"/>
      <c r="H134" s="71"/>
      <c r="I134" s="71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77"/>
      <c r="B145" s="77"/>
      <c r="C145" s="77"/>
      <c r="D145" s="77"/>
      <c r="E145" s="77"/>
      <c r="F145" s="77"/>
      <c r="G145" s="77"/>
      <c r="H145" s="77"/>
      <c r="I145" s="77"/>
    </row>
    <row r="146" spans="1:9">
      <c r="A146" s="77"/>
      <c r="B146" s="77"/>
      <c r="C146" s="77"/>
      <c r="D146" s="77"/>
      <c r="E146" s="77"/>
      <c r="F146" s="77"/>
      <c r="G146" s="77"/>
      <c r="H146" s="77"/>
      <c r="I146" s="77"/>
    </row>
    <row r="147" spans="1:9">
      <c r="A147" s="77"/>
      <c r="B147" s="77"/>
      <c r="C147" s="77"/>
      <c r="D147" s="77"/>
      <c r="E147" s="77"/>
      <c r="F147" s="77"/>
      <c r="G147" s="77"/>
      <c r="H147" s="77"/>
      <c r="I147" s="77"/>
    </row>
    <row r="148" spans="1:9">
      <c r="A148" s="72"/>
      <c r="B148" s="72"/>
      <c r="C148" s="72"/>
      <c r="D148" s="72"/>
      <c r="E148" s="72"/>
      <c r="F148" s="72"/>
      <c r="G148" s="72"/>
      <c r="H148" s="53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0"/>
      <c r="B158" s="71"/>
      <c r="C158" s="71"/>
      <c r="D158" s="71"/>
      <c r="E158" s="71"/>
      <c r="F158" s="71"/>
      <c r="G158" s="71"/>
      <c r="H158" s="71"/>
      <c r="I158" s="71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3"/>
      <c r="B163" s="73"/>
      <c r="C163" s="73"/>
      <c r="D163" s="73"/>
      <c r="E163" s="73"/>
      <c r="F163" s="73"/>
      <c r="G163" s="73"/>
      <c r="H163" s="73"/>
      <c r="I163" s="73"/>
    </row>
    <row r="164" spans="1:9">
      <c r="A164" s="74"/>
      <c r="B164" s="75"/>
      <c r="C164" s="75"/>
      <c r="D164" s="75"/>
      <c r="E164" s="75"/>
      <c r="F164" s="75"/>
      <c r="G164" s="75"/>
      <c r="H164" s="75"/>
      <c r="I164" s="75"/>
    </row>
    <row r="165" spans="1:9">
      <c r="A165" s="76"/>
      <c r="B165" s="75"/>
      <c r="C165" s="75"/>
      <c r="D165" s="75"/>
      <c r="E165" s="75"/>
      <c r="F165" s="75"/>
      <c r="G165" s="75"/>
      <c r="H165" s="75"/>
      <c r="I165" s="75"/>
    </row>
    <row r="166" spans="1:9">
      <c r="A166" s="76"/>
      <c r="B166" s="76"/>
      <c r="C166" s="76"/>
      <c r="D166" s="76"/>
      <c r="E166" s="76"/>
      <c r="F166" s="76"/>
      <c r="G166" s="76"/>
      <c r="H166" s="76"/>
      <c r="I166" s="76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2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1"/>
      <c r="B174" s="71"/>
      <c r="C174" s="71"/>
      <c r="D174" s="71"/>
      <c r="E174" s="71"/>
      <c r="F174" s="71"/>
      <c r="G174" s="71"/>
      <c r="H174" s="71"/>
      <c r="I174" s="71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53"/>
      <c r="B176" s="53"/>
      <c r="C176" s="53"/>
      <c r="D176" s="53"/>
      <c r="E176" s="53"/>
      <c r="F176" s="53"/>
      <c r="G176" s="53"/>
      <c r="H176" s="53"/>
      <c r="I176" s="53"/>
    </row>
    <row r="177" spans="1:9">
      <c r="A177" s="53"/>
      <c r="B177" s="53"/>
      <c r="C177" s="53"/>
      <c r="D177" s="53"/>
      <c r="E177" s="53"/>
      <c r="F177" s="53"/>
      <c r="G177" s="53"/>
      <c r="H177" s="53"/>
      <c r="I177" s="53"/>
    </row>
    <row r="178" spans="1:9">
      <c r="A178" s="53"/>
      <c r="B178" s="53"/>
      <c r="C178" s="53"/>
      <c r="D178" s="53"/>
      <c r="E178" s="53"/>
      <c r="F178" s="53"/>
      <c r="G178" s="53"/>
      <c r="H178" s="53"/>
      <c r="I178" s="53"/>
    </row>
    <row r="179" spans="1:9">
      <c r="A179" s="77"/>
      <c r="B179" s="77"/>
      <c r="C179" s="77"/>
      <c r="D179" s="77"/>
      <c r="E179" s="77"/>
      <c r="F179" s="77"/>
      <c r="G179" s="77"/>
      <c r="H179" s="77"/>
      <c r="I179" s="77"/>
    </row>
    <row r="180" spans="1:9">
      <c r="A180" s="77"/>
      <c r="B180" s="77"/>
      <c r="C180" s="77"/>
      <c r="D180" s="77"/>
      <c r="E180" s="77"/>
      <c r="F180" s="77"/>
      <c r="G180" s="77"/>
      <c r="H180" s="77"/>
      <c r="I180" s="77"/>
    </row>
    <row r="181" spans="1:9">
      <c r="A181" s="77"/>
      <c r="B181" s="77"/>
      <c r="C181" s="77"/>
      <c r="D181" s="77"/>
      <c r="E181" s="77"/>
      <c r="F181" s="77"/>
      <c r="G181" s="77"/>
      <c r="H181" s="77"/>
      <c r="I181" s="77"/>
    </row>
    <row r="182" spans="1:9">
      <c r="A182" s="72"/>
      <c r="B182" s="72"/>
      <c r="C182" s="72"/>
      <c r="D182" s="72"/>
      <c r="E182" s="72"/>
      <c r="F182" s="72"/>
      <c r="G182" s="72"/>
      <c r="H182" s="53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0"/>
      <c r="B192" s="71"/>
      <c r="C192" s="71"/>
      <c r="D192" s="71"/>
      <c r="E192" s="71"/>
      <c r="F192" s="71"/>
      <c r="G192" s="71"/>
      <c r="H192" s="71"/>
      <c r="I192" s="71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3"/>
      <c r="B197" s="73"/>
      <c r="C197" s="73"/>
      <c r="D197" s="73"/>
      <c r="E197" s="73"/>
      <c r="F197" s="73"/>
      <c r="G197" s="73"/>
      <c r="H197" s="73"/>
      <c r="I197" s="73"/>
    </row>
    <row r="198" spans="1:9">
      <c r="A198" s="74"/>
      <c r="B198" s="75"/>
      <c r="C198" s="75"/>
      <c r="D198" s="75"/>
      <c r="E198" s="75"/>
      <c r="F198" s="75"/>
      <c r="G198" s="75"/>
      <c r="H198" s="75"/>
      <c r="I198" s="75"/>
    </row>
    <row r="199" spans="1:9">
      <c r="A199" s="76"/>
      <c r="B199" s="75"/>
      <c r="C199" s="75"/>
      <c r="D199" s="75"/>
      <c r="E199" s="75"/>
      <c r="F199" s="75"/>
      <c r="G199" s="75"/>
      <c r="H199" s="75"/>
      <c r="I199" s="75"/>
    </row>
    <row r="200" spans="1:9">
      <c r="A200" s="76"/>
      <c r="B200" s="76"/>
      <c r="C200" s="76"/>
      <c r="D200" s="76"/>
      <c r="E200" s="76"/>
      <c r="F200" s="76"/>
      <c r="G200" s="76"/>
      <c r="H200" s="76"/>
      <c r="I200" s="76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ht="21" customHeight="1">
      <c r="A202" s="71"/>
      <c r="B202" s="71"/>
      <c r="C202" s="71"/>
      <c r="D202" s="71"/>
      <c r="E202" s="71"/>
      <c r="F202" s="71"/>
      <c r="G202" s="71"/>
      <c r="H202" s="71"/>
      <c r="I202" s="72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>
      <c r="A205" s="72"/>
      <c r="B205" s="72"/>
      <c r="C205" s="72"/>
      <c r="D205" s="72"/>
      <c r="E205" s="72"/>
      <c r="F205" s="72"/>
      <c r="G205" s="72"/>
      <c r="H205" s="72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1"/>
      <c r="B208" s="71"/>
      <c r="C208" s="71"/>
      <c r="D208" s="71"/>
      <c r="E208" s="71"/>
      <c r="F208" s="71"/>
      <c r="G208" s="71"/>
      <c r="H208" s="71"/>
      <c r="I208" s="71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76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</sheetData>
  <mergeCells count="6">
    <mergeCell ref="A34:F34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61"/>
  </sheetPr>
  <dimension ref="A1:M240"/>
  <sheetViews>
    <sheetView view="pageLayout" zoomScale="85" zoomScaleNormal="110" zoomScalePageLayoutView="85" workbookViewId="0">
      <selection activeCell="L4" sqref="L4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5.28515625" bestFit="1" customWidth="1"/>
    <col min="11" max="11" width="17.7109375" bestFit="1" customWidth="1"/>
    <col min="12" max="12" width="11.28515625" style="1" bestFit="1" customWidth="1"/>
  </cols>
  <sheetData>
    <row r="1" spans="1:12" s="1" customFormat="1" ht="15.75">
      <c r="A1"/>
      <c r="B1" s="5" t="s">
        <v>103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3" t="s">
        <v>14</v>
      </c>
      <c r="C2" s="133"/>
      <c r="D2" s="133"/>
      <c r="E2" s="133"/>
      <c r="F2" s="133"/>
      <c r="G2" s="133"/>
      <c r="H2" s="133"/>
      <c r="I2" s="133"/>
      <c r="J2" s="133"/>
      <c r="K2" s="133"/>
    </row>
    <row r="3" spans="1:12" s="1" customFormat="1" ht="15">
      <c r="A3"/>
      <c r="B3" s="33" t="s">
        <v>15</v>
      </c>
      <c r="C3" s="34" t="s">
        <v>16</v>
      </c>
      <c r="D3" s="52">
        <f ca="1">NOW()</f>
        <v>41680.662209606482</v>
      </c>
      <c r="E3" s="35"/>
      <c r="F3" s="35"/>
      <c r="G3" s="35"/>
      <c r="H3" s="35"/>
      <c r="I3" s="35"/>
      <c r="J3" s="35"/>
      <c r="K3" s="35"/>
    </row>
    <row r="4" spans="1:12" s="1" customFormat="1" ht="15">
      <c r="A4"/>
      <c r="B4" s="33" t="s">
        <v>17</v>
      </c>
      <c r="C4" s="34" t="s">
        <v>16</v>
      </c>
      <c r="D4" s="36" t="s">
        <v>220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18</v>
      </c>
      <c r="C5" s="34" t="s">
        <v>16</v>
      </c>
      <c r="D5" s="33" t="s">
        <v>104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19</v>
      </c>
      <c r="C6" s="34" t="s">
        <v>16</v>
      </c>
      <c r="D6" s="33" t="s">
        <v>82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20</v>
      </c>
      <c r="C7" s="34" t="s">
        <v>16</v>
      </c>
      <c r="D7" s="37"/>
      <c r="E7" s="35"/>
      <c r="F7" s="35"/>
      <c r="G7" s="35"/>
      <c r="H7" s="35"/>
      <c r="I7" s="35"/>
      <c r="J7" s="35"/>
      <c r="K7" s="35"/>
    </row>
    <row r="8" spans="1:12" s="1" customFormat="1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35" t="s">
        <v>26</v>
      </c>
      <c r="K8" s="135"/>
    </row>
    <row r="9" spans="1:12" s="1" customFormat="1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2" s="1" customFormat="1" ht="9.75" customHeight="1">
      <c r="A10"/>
      <c r="B10" s="79">
        <v>41287</v>
      </c>
      <c r="C10" s="78" t="s">
        <v>107</v>
      </c>
      <c r="D10" s="94">
        <v>30.51</v>
      </c>
      <c r="E10" s="95">
        <v>0.31235462218382404</v>
      </c>
      <c r="F10" s="96">
        <v>60000</v>
      </c>
      <c r="G10" s="80"/>
      <c r="H10" s="90">
        <v>8313</v>
      </c>
      <c r="I10" s="78" t="s">
        <v>112</v>
      </c>
      <c r="J10" s="87">
        <v>6971958</v>
      </c>
      <c r="K10" s="87">
        <f>J10*L10</f>
        <v>1082353319.76</v>
      </c>
      <c r="L10" s="97">
        <v>155.24380952380952</v>
      </c>
    </row>
    <row r="11" spans="1:12" s="1" customFormat="1" ht="9.75" customHeight="1">
      <c r="A11"/>
      <c r="B11" s="79">
        <v>41287</v>
      </c>
      <c r="C11" s="78" t="s">
        <v>107</v>
      </c>
      <c r="D11" s="94">
        <v>30.51</v>
      </c>
      <c r="E11" s="95">
        <v>0.31479538300104931</v>
      </c>
      <c r="F11" s="96">
        <v>12350</v>
      </c>
      <c r="G11" s="80"/>
      <c r="H11" s="90">
        <v>1711</v>
      </c>
      <c r="I11" s="78" t="s">
        <v>112</v>
      </c>
      <c r="J11" s="87">
        <v>1435061.355</v>
      </c>
      <c r="K11" s="87">
        <f t="shared" ref="K11:K50" si="0">J11*L11</f>
        <v>222784391.65059999</v>
      </c>
      <c r="L11" s="97">
        <v>155.24380952380952</v>
      </c>
    </row>
    <row r="12" spans="1:12" s="1" customFormat="1" ht="9.75" customHeight="1">
      <c r="A12"/>
      <c r="B12" s="79">
        <v>41287</v>
      </c>
      <c r="C12" s="78" t="s">
        <v>107</v>
      </c>
      <c r="D12" s="94">
        <v>30.51</v>
      </c>
      <c r="E12" s="95">
        <v>0.33311125916055961</v>
      </c>
      <c r="F12" s="96">
        <v>4488</v>
      </c>
      <c r="G12" s="80"/>
      <c r="H12" s="90">
        <v>622</v>
      </c>
      <c r="I12" s="78" t="s">
        <v>112</v>
      </c>
      <c r="J12" s="87">
        <v>521502.45839999994</v>
      </c>
      <c r="K12" s="87">
        <f t="shared" si="0"/>
        <v>80960028.318047985</v>
      </c>
      <c r="L12" s="97">
        <v>155.24380952380952</v>
      </c>
    </row>
    <row r="13" spans="1:12" s="1" customFormat="1" ht="9.75" customHeight="1">
      <c r="A13"/>
      <c r="B13" s="79">
        <v>41287</v>
      </c>
      <c r="C13" s="78" t="s">
        <v>107</v>
      </c>
      <c r="D13" s="94">
        <v>30.51</v>
      </c>
      <c r="E13" s="95">
        <v>0.3115264797507788</v>
      </c>
      <c r="F13" s="96">
        <v>17600</v>
      </c>
      <c r="G13" s="80"/>
      <c r="H13" s="90">
        <v>2439</v>
      </c>
      <c r="I13" s="78" t="s">
        <v>112</v>
      </c>
      <c r="J13" s="87">
        <v>2045107.68</v>
      </c>
      <c r="K13" s="87">
        <f t="shared" si="0"/>
        <v>317490307.12959999</v>
      </c>
      <c r="L13" s="97">
        <v>155.24380952380952</v>
      </c>
    </row>
    <row r="14" spans="1:12" s="1" customFormat="1" ht="9.75" customHeight="1">
      <c r="A14"/>
      <c r="B14" s="79">
        <v>41287</v>
      </c>
      <c r="C14" s="78" t="s">
        <v>107</v>
      </c>
      <c r="D14" s="94">
        <v>30.51</v>
      </c>
      <c r="E14" s="95">
        <v>0.30674846625766872</v>
      </c>
      <c r="F14" s="96">
        <v>4550</v>
      </c>
      <c r="G14" s="80"/>
      <c r="H14" s="90">
        <v>630</v>
      </c>
      <c r="I14" s="78" t="s">
        <v>112</v>
      </c>
      <c r="J14" s="87">
        <v>528706.81499999994</v>
      </c>
      <c r="K14" s="87">
        <f t="shared" si="0"/>
        <v>82078460.081799984</v>
      </c>
      <c r="L14" s="97">
        <v>155.24380952380952</v>
      </c>
    </row>
    <row r="15" spans="1:12" s="1" customFormat="1" ht="9.75" customHeight="1">
      <c r="A15"/>
      <c r="B15" s="79">
        <v>41287</v>
      </c>
      <c r="C15" s="78" t="s">
        <v>107</v>
      </c>
      <c r="D15" s="94">
        <v>30.51</v>
      </c>
      <c r="E15" s="95">
        <v>0.31315240083507306</v>
      </c>
      <c r="F15" s="96">
        <v>38200</v>
      </c>
      <c r="G15" s="80"/>
      <c r="H15" s="90">
        <v>5293</v>
      </c>
      <c r="I15" s="78" t="s">
        <v>112</v>
      </c>
      <c r="J15" s="87">
        <v>4438813.26</v>
      </c>
      <c r="K15" s="87">
        <f t="shared" si="0"/>
        <v>689098280.24719989</v>
      </c>
      <c r="L15" s="97">
        <v>155.24380952380952</v>
      </c>
    </row>
    <row r="16" spans="1:12" s="1" customFormat="1" ht="9.75" customHeight="1">
      <c r="A16"/>
      <c r="B16" s="79">
        <v>41311</v>
      </c>
      <c r="C16" s="78" t="s">
        <v>108</v>
      </c>
      <c r="D16" s="94">
        <v>33.090000000000003</v>
      </c>
      <c r="E16" s="95">
        <v>0.18340210912425492</v>
      </c>
      <c r="F16" s="96">
        <v>326550</v>
      </c>
      <c r="G16" s="80"/>
      <c r="H16" s="91">
        <v>44531</v>
      </c>
      <c r="I16" s="78" t="s">
        <v>113</v>
      </c>
      <c r="J16" s="87">
        <v>38988208.664999999</v>
      </c>
      <c r="K16" s="87">
        <f t="shared" si="0"/>
        <v>6052607489.5719299</v>
      </c>
      <c r="L16" s="97">
        <v>155.24199999999999</v>
      </c>
    </row>
    <row r="17" spans="1:13" s="1" customFormat="1" ht="9.75" customHeight="1">
      <c r="A17"/>
      <c r="B17" s="79">
        <v>41311</v>
      </c>
      <c r="C17" s="78" t="s">
        <v>108</v>
      </c>
      <c r="D17" s="94">
        <v>33.090000000000003</v>
      </c>
      <c r="E17" s="95">
        <v>0.1837659911751936</v>
      </c>
      <c r="F17" s="96">
        <v>98857</v>
      </c>
      <c r="G17" s="80"/>
      <c r="H17" s="91">
        <v>13481</v>
      </c>
      <c r="I17" s="78" t="s">
        <v>113</v>
      </c>
      <c r="J17" s="87">
        <v>11802962.315099999</v>
      </c>
      <c r="K17" s="87">
        <f t="shared" si="0"/>
        <v>1832315475.7207539</v>
      </c>
      <c r="L17" s="97">
        <v>155.24199999999999</v>
      </c>
    </row>
    <row r="18" spans="1:13" s="1" customFormat="1" ht="9.75" customHeight="1">
      <c r="A18"/>
      <c r="B18" s="79">
        <v>41312</v>
      </c>
      <c r="C18" s="78" t="s">
        <v>108</v>
      </c>
      <c r="D18" s="94">
        <v>31.95</v>
      </c>
      <c r="E18" s="95">
        <v>0.12224938875305623</v>
      </c>
      <c r="F18" s="96">
        <v>4902</v>
      </c>
      <c r="G18" s="80"/>
      <c r="H18" s="91">
        <v>673</v>
      </c>
      <c r="I18" s="78" t="s">
        <v>114</v>
      </c>
      <c r="J18" s="87">
        <v>585270.85860000004</v>
      </c>
      <c r="K18" s="87">
        <f t="shared" si="0"/>
        <v>90858618.630781204</v>
      </c>
      <c r="L18" s="97">
        <v>155.24199999999999</v>
      </c>
    </row>
    <row r="19" spans="1:13" s="1" customFormat="1" ht="9.75" customHeight="1">
      <c r="A19"/>
      <c r="B19" s="79">
        <v>41312</v>
      </c>
      <c r="C19" s="78" t="s">
        <v>108</v>
      </c>
      <c r="D19" s="94">
        <v>31.95</v>
      </c>
      <c r="E19" s="95">
        <v>0.12343139271754783</v>
      </c>
      <c r="F19" s="96">
        <v>485500</v>
      </c>
      <c r="G19" s="80"/>
      <c r="H19" s="91">
        <v>66671</v>
      </c>
      <c r="I19" s="78" t="s">
        <v>114</v>
      </c>
      <c r="J19" s="87">
        <v>57965932.649999999</v>
      </c>
      <c r="K19" s="87">
        <f t="shared" si="0"/>
        <v>8998747316.4512997</v>
      </c>
      <c r="L19" s="97">
        <v>155.24199999999999</v>
      </c>
    </row>
    <row r="20" spans="1:13" s="1" customFormat="1" ht="9.75" customHeight="1">
      <c r="A20"/>
      <c r="B20" s="79">
        <v>41318</v>
      </c>
      <c r="C20" s="78" t="s">
        <v>109</v>
      </c>
      <c r="D20" s="94">
        <v>32.44</v>
      </c>
      <c r="E20" s="95">
        <v>0.15553495049801094</v>
      </c>
      <c r="F20" s="96">
        <v>33381</v>
      </c>
      <c r="G20" s="80"/>
      <c r="H20" s="91">
        <v>4498</v>
      </c>
      <c r="I20" s="78" t="s">
        <v>93</v>
      </c>
      <c r="J20" s="87">
        <v>3985501.1283</v>
      </c>
      <c r="K20" s="87">
        <f t="shared" si="0"/>
        <v>618717166.15954852</v>
      </c>
      <c r="L20" s="97">
        <v>155.24199999999999</v>
      </c>
    </row>
    <row r="21" spans="1:13" s="1" customFormat="1" ht="9.75" customHeight="1">
      <c r="A21"/>
      <c r="B21" s="79">
        <v>41339</v>
      </c>
      <c r="C21" s="78" t="s">
        <v>110</v>
      </c>
      <c r="D21" s="94">
        <v>32.44</v>
      </c>
      <c r="E21" s="95">
        <v>9.8426105063715519E-2</v>
      </c>
      <c r="F21" s="96">
        <v>649594</v>
      </c>
      <c r="G21" s="80"/>
      <c r="H21" s="91">
        <v>88942</v>
      </c>
      <c r="I21" s="78" t="s">
        <v>63</v>
      </c>
      <c r="J21" s="87">
        <v>72928619.192000002</v>
      </c>
      <c r="K21" s="87">
        <f t="shared" si="0"/>
        <v>11322459844.034767</v>
      </c>
      <c r="L21" s="97">
        <v>155.25399999999999</v>
      </c>
    </row>
    <row r="22" spans="1:13" s="1" customFormat="1" ht="9.75" customHeight="1">
      <c r="A22"/>
      <c r="B22" s="79">
        <v>41345</v>
      </c>
      <c r="C22" s="78" t="s">
        <v>111</v>
      </c>
      <c r="D22" s="94">
        <v>31.88</v>
      </c>
      <c r="E22" s="95">
        <v>0.17675651789659744</v>
      </c>
      <c r="F22" s="96">
        <v>20331</v>
      </c>
      <c r="G22" s="80"/>
      <c r="H22" s="90">
        <v>2793</v>
      </c>
      <c r="I22" s="78" t="s">
        <v>95</v>
      </c>
      <c r="J22" s="87">
        <v>2282520.7080000001</v>
      </c>
      <c r="K22" s="87">
        <f t="shared" si="0"/>
        <v>354370469.99983197</v>
      </c>
      <c r="L22" s="97">
        <v>155.25399999999999</v>
      </c>
    </row>
    <row r="23" spans="1:13" ht="9.75" customHeight="1">
      <c r="B23" s="79">
        <v>41366</v>
      </c>
      <c r="C23" s="78" t="s">
        <v>144</v>
      </c>
      <c r="D23" s="94">
        <v>31.65</v>
      </c>
      <c r="E23" s="95">
        <v>0.17692583106116941</v>
      </c>
      <c r="F23" s="96">
        <v>906119</v>
      </c>
      <c r="G23" s="80"/>
      <c r="H23" s="90">
        <v>124661</v>
      </c>
      <c r="I23" s="78" t="s">
        <v>95</v>
      </c>
      <c r="J23" s="87">
        <v>95848633.53670001</v>
      </c>
      <c r="K23" s="87">
        <f t="shared" si="0"/>
        <v>14880272145.540443</v>
      </c>
      <c r="L23" s="97">
        <v>155.24761904761903</v>
      </c>
      <c r="M23" s="98">
        <v>155.24799999999999</v>
      </c>
    </row>
    <row r="24" spans="1:13" s="1" customFormat="1" ht="9.75" customHeight="1">
      <c r="A24" s="21"/>
      <c r="B24" s="79">
        <v>41369</v>
      </c>
      <c r="C24" s="78" t="s">
        <v>145</v>
      </c>
      <c r="D24" s="94">
        <v>32.69</v>
      </c>
      <c r="E24" s="95">
        <v>0.10204081632653061</v>
      </c>
      <c r="F24" s="96">
        <v>10769</v>
      </c>
      <c r="G24" s="80"/>
      <c r="H24" s="90">
        <v>1472</v>
      </c>
      <c r="I24" s="78" t="s">
        <v>150</v>
      </c>
      <c r="J24" s="87">
        <v>1139137.2817000002</v>
      </c>
      <c r="K24" s="87">
        <f t="shared" si="0"/>
        <v>176848350.7523019</v>
      </c>
      <c r="L24" s="97">
        <v>155.24761904761903</v>
      </c>
      <c r="M24" s="98">
        <v>155.24799999999999</v>
      </c>
    </row>
    <row r="25" spans="1:13" s="1" customFormat="1" ht="9.75" customHeight="1">
      <c r="A25" s="21"/>
      <c r="B25" s="79">
        <v>41382</v>
      </c>
      <c r="C25" s="78" t="s">
        <v>145</v>
      </c>
      <c r="D25" s="94">
        <v>32.119999999999997</v>
      </c>
      <c r="E25" s="95">
        <v>8.5535882302625946E-2</v>
      </c>
      <c r="F25" s="96">
        <v>46724</v>
      </c>
      <c r="G25" s="80"/>
      <c r="H25" s="90">
        <v>6410</v>
      </c>
      <c r="I25" s="78" t="s">
        <v>150</v>
      </c>
      <c r="J25" s="87">
        <v>4942432.0131999999</v>
      </c>
      <c r="K25" s="87">
        <f t="shared" si="0"/>
        <v>767300802.35403037</v>
      </c>
      <c r="L25" s="97">
        <v>155.24761904761903</v>
      </c>
      <c r="M25" s="98">
        <v>155.24799999999999</v>
      </c>
    </row>
    <row r="26" spans="1:13" s="1" customFormat="1" ht="9.75" customHeight="1">
      <c r="A26"/>
      <c r="B26" s="79">
        <v>41394</v>
      </c>
      <c r="C26" s="78" t="s">
        <v>146</v>
      </c>
      <c r="D26" s="94">
        <v>31.99</v>
      </c>
      <c r="E26" s="95">
        <v>0.13628678511045442</v>
      </c>
      <c r="F26" s="96">
        <v>466027</v>
      </c>
      <c r="G26" s="80"/>
      <c r="H26" s="90">
        <v>63987</v>
      </c>
      <c r="I26" s="78" t="s">
        <v>151</v>
      </c>
      <c r="J26" s="87">
        <v>49296009.8411</v>
      </c>
      <c r="K26" s="87">
        <f t="shared" si="0"/>
        <v>7653088156.3787708</v>
      </c>
      <c r="L26" s="97">
        <v>155.24761904761903</v>
      </c>
      <c r="M26" s="98">
        <v>155.24799999999999</v>
      </c>
    </row>
    <row r="27" spans="1:13" s="1" customFormat="1" ht="9.75" customHeight="1">
      <c r="A27"/>
      <c r="B27" s="79">
        <v>41394</v>
      </c>
      <c r="C27" s="78" t="s">
        <v>146</v>
      </c>
      <c r="D27" s="94">
        <v>31.99</v>
      </c>
      <c r="E27" s="95">
        <v>0.13621301958676019</v>
      </c>
      <c r="F27" s="96">
        <v>386367</v>
      </c>
      <c r="G27" s="80"/>
      <c r="H27" s="90">
        <v>53050</v>
      </c>
      <c r="I27" s="78" t="s">
        <v>151</v>
      </c>
      <c r="J27" s="87">
        <v>40869630.803100005</v>
      </c>
      <c r="K27" s="87">
        <f t="shared" si="0"/>
        <v>6344912873.5365057</v>
      </c>
      <c r="L27" s="97">
        <v>155.24761904761903</v>
      </c>
      <c r="M27" s="98">
        <v>155.24799999999999</v>
      </c>
    </row>
    <row r="28" spans="1:13" s="1" customFormat="1" ht="9.75" customHeight="1">
      <c r="A28"/>
      <c r="B28" s="79">
        <v>41394</v>
      </c>
      <c r="C28" s="78" t="s">
        <v>146</v>
      </c>
      <c r="D28" s="94">
        <v>31.99</v>
      </c>
      <c r="E28" s="95">
        <v>0.13662276390800079</v>
      </c>
      <c r="F28" s="96">
        <v>101601</v>
      </c>
      <c r="G28" s="80"/>
      <c r="H28" s="90">
        <v>13950</v>
      </c>
      <c r="I28" s="78" t="s">
        <v>151</v>
      </c>
      <c r="J28" s="87">
        <v>10747282.659300001</v>
      </c>
      <c r="K28" s="87">
        <f t="shared" si="0"/>
        <v>1668490044.0880885</v>
      </c>
      <c r="L28" s="97">
        <v>155.24761904761903</v>
      </c>
      <c r="M28" s="98">
        <v>155.24799999999999</v>
      </c>
    </row>
    <row r="29" spans="1:13" s="1" customFormat="1" ht="9.75" customHeight="1">
      <c r="A29"/>
      <c r="B29" s="79">
        <v>41407</v>
      </c>
      <c r="C29" s="78" t="s">
        <v>147</v>
      </c>
      <c r="D29" s="94">
        <v>32.79</v>
      </c>
      <c r="E29" s="95">
        <v>8.3116883116883117E-2</v>
      </c>
      <c r="F29" s="96">
        <v>9617</v>
      </c>
      <c r="G29" s="80"/>
      <c r="H29" s="90">
        <v>1314</v>
      </c>
      <c r="I29" s="78" t="s">
        <v>63</v>
      </c>
      <c r="J29" s="87">
        <v>1020247.3343</v>
      </c>
      <c r="K29" s="87">
        <f t="shared" si="0"/>
        <v>158386767.042402</v>
      </c>
      <c r="L29" s="97">
        <v>155.24349999999995</v>
      </c>
      <c r="M29" s="97">
        <v>155.244</v>
      </c>
    </row>
    <row r="30" spans="1:13" s="1" customFormat="1" ht="9.75" customHeight="1">
      <c r="A30"/>
      <c r="B30" s="79">
        <v>41428</v>
      </c>
      <c r="C30" s="78" t="s">
        <v>148</v>
      </c>
      <c r="D30" s="94">
        <v>33.229999999999997</v>
      </c>
      <c r="E30" s="95">
        <v>6.4880505020179446E-2</v>
      </c>
      <c r="F30" s="96">
        <v>495975</v>
      </c>
      <c r="G30" s="80"/>
      <c r="H30" s="90">
        <v>67584</v>
      </c>
      <c r="I30" s="78" t="s">
        <v>63</v>
      </c>
      <c r="J30" s="87">
        <v>52489530.225000001</v>
      </c>
      <c r="K30" s="87">
        <f t="shared" si="0"/>
        <v>8148947077.9010248</v>
      </c>
      <c r="L30" s="97">
        <v>155.249</v>
      </c>
      <c r="M30" s="97">
        <v>155.249</v>
      </c>
    </row>
    <row r="31" spans="1:13" s="1" customFormat="1" ht="9.75" customHeight="1">
      <c r="A31"/>
      <c r="B31" s="79">
        <v>41428</v>
      </c>
      <c r="C31" s="78" t="s">
        <v>148</v>
      </c>
      <c r="D31" s="94">
        <v>33.229999999999997</v>
      </c>
      <c r="E31" s="95">
        <v>6.4830033986654184E-2</v>
      </c>
      <c r="F31" s="96">
        <v>457824</v>
      </c>
      <c r="G31" s="80"/>
      <c r="H31" s="90">
        <v>62386</v>
      </c>
      <c r="I31" s="78" t="s">
        <v>63</v>
      </c>
      <c r="J31" s="87">
        <v>48451971.744000003</v>
      </c>
      <c r="K31" s="87">
        <f t="shared" si="0"/>
        <v>7522120161.284256</v>
      </c>
      <c r="L31" s="97">
        <v>155.249</v>
      </c>
      <c r="M31" s="97">
        <v>155.249</v>
      </c>
    </row>
    <row r="32" spans="1:13" s="1" customFormat="1" ht="9.75" customHeight="1">
      <c r="A32"/>
      <c r="B32" s="79">
        <v>41439</v>
      </c>
      <c r="C32" s="78" t="s">
        <v>149</v>
      </c>
      <c r="D32" s="94">
        <v>33.15</v>
      </c>
      <c r="E32" s="95">
        <v>0.10738701675842459</v>
      </c>
      <c r="F32" s="96">
        <v>66045</v>
      </c>
      <c r="G32" s="80"/>
      <c r="H32" s="90">
        <v>9004</v>
      </c>
      <c r="I32" s="78" t="s">
        <v>152</v>
      </c>
      <c r="J32" s="87">
        <v>6989608.3950000005</v>
      </c>
      <c r="K32" s="87">
        <f t="shared" si="0"/>
        <v>1085129713.7153552</v>
      </c>
      <c r="L32" s="97">
        <v>155.249</v>
      </c>
      <c r="M32" s="97">
        <v>155.249</v>
      </c>
    </row>
    <row r="33" spans="1:13" s="1" customFormat="1" ht="9.75" customHeight="1">
      <c r="A33"/>
      <c r="B33" s="79">
        <v>41467</v>
      </c>
      <c r="C33" s="78" t="s">
        <v>184</v>
      </c>
      <c r="D33" s="94">
        <v>33.130000000000003</v>
      </c>
      <c r="E33" s="95">
        <v>0.15187438301031903</v>
      </c>
      <c r="F33" s="96">
        <v>473356</v>
      </c>
      <c r="G33" s="80"/>
      <c r="H33" s="90">
        <v>64539</v>
      </c>
      <c r="I33" s="78" t="s">
        <v>63</v>
      </c>
      <c r="J33" s="87">
        <v>52580999.842799999</v>
      </c>
      <c r="K33" s="87">
        <f t="shared" si="0"/>
        <v>8163680312.9845734</v>
      </c>
      <c r="L33" s="97">
        <v>155.25913043478269</v>
      </c>
      <c r="M33" s="97"/>
    </row>
    <row r="34" spans="1:13" s="1" customFormat="1" ht="9.75" customHeight="1">
      <c r="A34"/>
      <c r="B34" s="79">
        <v>41467</v>
      </c>
      <c r="C34" s="78" t="s">
        <v>184</v>
      </c>
      <c r="D34" s="94">
        <v>33.130000000000003</v>
      </c>
      <c r="E34" s="95">
        <v>0.15159585364854347</v>
      </c>
      <c r="F34" s="96">
        <v>146220</v>
      </c>
      <c r="G34" s="80"/>
      <c r="H34" s="90">
        <v>19936</v>
      </c>
      <c r="I34" s="78" t="s">
        <v>63</v>
      </c>
      <c r="J34" s="87">
        <v>16242307.686000001</v>
      </c>
      <c r="K34" s="87">
        <f t="shared" si="0"/>
        <v>2521766567.5825477</v>
      </c>
      <c r="L34" s="97">
        <v>155.25913043478269</v>
      </c>
      <c r="M34" s="97"/>
    </row>
    <row r="35" spans="1:13" s="1" customFormat="1" ht="9.75" customHeight="1">
      <c r="A35"/>
      <c r="B35" s="79">
        <v>41467</v>
      </c>
      <c r="C35" s="78" t="s">
        <v>184</v>
      </c>
      <c r="D35" s="94">
        <v>33.130000000000003</v>
      </c>
      <c r="E35" s="95">
        <v>0.15258486019109435</v>
      </c>
      <c r="F35" s="96">
        <v>82451</v>
      </c>
      <c r="G35" s="80"/>
      <c r="H35" s="90">
        <v>11242</v>
      </c>
      <c r="I35" s="78" t="s">
        <v>63</v>
      </c>
      <c r="J35" s="87">
        <v>9158764.2663000003</v>
      </c>
      <c r="K35" s="87">
        <f t="shared" si="0"/>
        <v>1421981775.8428986</v>
      </c>
      <c r="L35" s="97">
        <v>155.25913043478269</v>
      </c>
      <c r="M35" s="97"/>
    </row>
    <row r="36" spans="1:13" s="1" customFormat="1" ht="9.75" customHeight="1">
      <c r="A36"/>
      <c r="B36" s="79">
        <v>41480</v>
      </c>
      <c r="C36" s="78" t="s">
        <v>185</v>
      </c>
      <c r="D36" s="94">
        <v>33.299999999999997</v>
      </c>
      <c r="E36" s="95">
        <v>0.11487694666754969</v>
      </c>
      <c r="F36" s="96">
        <v>392143</v>
      </c>
      <c r="G36" s="80"/>
      <c r="H36" s="90">
        <v>53409</v>
      </c>
      <c r="I36" s="78" t="s">
        <v>193</v>
      </c>
      <c r="J36" s="87">
        <v>43559754.225900002</v>
      </c>
      <c r="K36" s="87">
        <f t="shared" si="0"/>
        <v>6763049563.0660849</v>
      </c>
      <c r="L36" s="97">
        <v>155.25913043478269</v>
      </c>
      <c r="M36" s="97"/>
    </row>
    <row r="37" spans="1:13" s="1" customFormat="1" ht="9.75" customHeight="1">
      <c r="A37"/>
      <c r="B37" s="79">
        <v>41480</v>
      </c>
      <c r="C37" s="78" t="s">
        <v>185</v>
      </c>
      <c r="D37" s="94">
        <v>33.299999999999997</v>
      </c>
      <c r="E37" s="95">
        <v>0.11505072691141092</v>
      </c>
      <c r="F37" s="96">
        <v>191000</v>
      </c>
      <c r="G37" s="80"/>
      <c r="H37" s="90">
        <v>26014</v>
      </c>
      <c r="I37" s="78" t="s">
        <v>193</v>
      </c>
      <c r="J37" s="87">
        <v>21216528.300000001</v>
      </c>
      <c r="K37" s="87">
        <f t="shared" si="0"/>
        <v>3294059734.7029586</v>
      </c>
      <c r="L37" s="97">
        <v>155.25913043478269</v>
      </c>
      <c r="M37" s="97"/>
    </row>
    <row r="38" spans="1:13" s="1" customFormat="1" ht="9.75" customHeight="1">
      <c r="A38"/>
      <c r="B38" s="79">
        <v>41517</v>
      </c>
      <c r="C38" s="78" t="s">
        <v>186</v>
      </c>
      <c r="D38" s="94">
        <v>31.99</v>
      </c>
      <c r="E38" s="95">
        <v>0.19112664813014596</v>
      </c>
      <c r="F38" s="96">
        <v>998994</v>
      </c>
      <c r="G38" s="80"/>
      <c r="H38" s="90">
        <v>137161</v>
      </c>
      <c r="I38" s="91" t="s">
        <v>93</v>
      </c>
      <c r="J38" s="87">
        <v>114928765.233</v>
      </c>
      <c r="K38" s="87">
        <f t="shared" si="0"/>
        <v>17843380375.014652</v>
      </c>
      <c r="L38" s="97">
        <v>155.25600000000003</v>
      </c>
      <c r="M38" s="97"/>
    </row>
    <row r="39" spans="1:13" s="1" customFormat="1" ht="9.75" customHeight="1">
      <c r="A39"/>
      <c r="B39" s="79">
        <v>41531</v>
      </c>
      <c r="C39" s="78" t="s">
        <v>187</v>
      </c>
      <c r="D39" s="94">
        <v>32.369999999999997</v>
      </c>
      <c r="E39" s="95">
        <v>0.32560303010166786</v>
      </c>
      <c r="F39" s="96">
        <v>300000</v>
      </c>
      <c r="G39" s="80"/>
      <c r="H39" s="90">
        <v>41095</v>
      </c>
      <c r="I39" s="78" t="s">
        <v>194</v>
      </c>
      <c r="J39" s="87">
        <v>34870710</v>
      </c>
      <c r="K39" s="87">
        <f t="shared" si="0"/>
        <v>5413960014.2000008</v>
      </c>
      <c r="L39" s="97">
        <v>155.25809523809525</v>
      </c>
      <c r="M39" s="97"/>
    </row>
    <row r="40" spans="1:13" ht="9.75" customHeight="1">
      <c r="B40" s="79">
        <v>41531</v>
      </c>
      <c r="C40" s="78" t="s">
        <v>187</v>
      </c>
      <c r="D40" s="94">
        <v>32.369999999999997</v>
      </c>
      <c r="E40" s="95">
        <v>0.32536574292714365</v>
      </c>
      <c r="F40" s="96">
        <v>382014</v>
      </c>
      <c r="G40" s="80"/>
      <c r="H40" s="90">
        <v>52330</v>
      </c>
      <c r="I40" s="78" t="s">
        <v>195</v>
      </c>
      <c r="J40" s="87">
        <v>44403664.6998</v>
      </c>
      <c r="K40" s="87">
        <f t="shared" si="0"/>
        <v>6894028402.8819962</v>
      </c>
      <c r="L40" s="97">
        <v>155.25809523809525</v>
      </c>
    </row>
    <row r="41" spans="1:13" ht="9.75" customHeight="1">
      <c r="B41" s="79">
        <v>41551</v>
      </c>
      <c r="C41" s="78" t="s">
        <v>233</v>
      </c>
      <c r="D41" s="94">
        <v>32.79</v>
      </c>
      <c r="E41" s="95">
        <v>0.21627699191730745</v>
      </c>
      <c r="F41" s="96">
        <v>963802</v>
      </c>
      <c r="G41" s="80"/>
      <c r="H41" s="90">
        <v>131674</v>
      </c>
      <c r="I41" s="78" t="s">
        <v>63</v>
      </c>
      <c r="J41" s="87">
        <v>108668675.5</v>
      </c>
      <c r="K41" s="87">
        <f t="shared" si="0"/>
        <v>16882548088.329006</v>
      </c>
      <c r="L41" s="97">
        <v>155.35800000000006</v>
      </c>
    </row>
    <row r="42" spans="1:13" ht="9.75" customHeight="1">
      <c r="B42" s="79">
        <v>41558</v>
      </c>
      <c r="C42" s="78" t="s">
        <v>227</v>
      </c>
      <c r="D42" s="94">
        <v>32.82</v>
      </c>
      <c r="E42" s="95">
        <v>0.113850449302666</v>
      </c>
      <c r="F42" s="96">
        <v>73697</v>
      </c>
      <c r="G42" s="80"/>
      <c r="H42" s="90">
        <v>10066</v>
      </c>
      <c r="I42" s="78" t="s">
        <v>95</v>
      </c>
      <c r="J42" s="87">
        <v>8309336.75</v>
      </c>
      <c r="K42" s="87">
        <f t="shared" si="0"/>
        <v>1290921938.8065004</v>
      </c>
      <c r="L42" s="97">
        <v>155.35800000000006</v>
      </c>
    </row>
    <row r="43" spans="1:13" ht="9.75" customHeight="1">
      <c r="B43" s="79">
        <v>41582</v>
      </c>
      <c r="C43" s="78" t="s">
        <v>229</v>
      </c>
      <c r="D43" s="94">
        <v>32.56</v>
      </c>
      <c r="E43" s="95">
        <v>9.6348351803905996E-2</v>
      </c>
      <c r="F43" s="96">
        <v>218786</v>
      </c>
      <c r="G43" s="80"/>
      <c r="H43" s="90">
        <v>29936</v>
      </c>
      <c r="I43" s="78" t="s">
        <v>234</v>
      </c>
      <c r="J43" s="87">
        <v>24267436.819600001</v>
      </c>
      <c r="K43" s="87">
        <f t="shared" si="0"/>
        <v>3766585269.925344</v>
      </c>
      <c r="L43" s="97">
        <v>155.21149999999994</v>
      </c>
    </row>
    <row r="44" spans="1:13" ht="9.75" customHeight="1">
      <c r="B44" s="79">
        <v>41608</v>
      </c>
      <c r="C44" s="78" t="s">
        <v>232</v>
      </c>
      <c r="D44" s="94">
        <v>32.24</v>
      </c>
      <c r="E44" s="95">
        <v>0.12183485269208799</v>
      </c>
      <c r="F44" s="96">
        <v>302500</v>
      </c>
      <c r="G44" s="80"/>
      <c r="H44" s="90">
        <v>41468</v>
      </c>
      <c r="I44" s="78" t="s">
        <v>93</v>
      </c>
      <c r="J44" s="87">
        <v>33552876.5</v>
      </c>
      <c r="K44" s="87">
        <f t="shared" si="0"/>
        <v>5207792290.8797483</v>
      </c>
      <c r="L44" s="97">
        <v>155.21149999999994</v>
      </c>
    </row>
    <row r="45" spans="1:13" ht="9.75" customHeight="1">
      <c r="B45" s="79">
        <v>41608</v>
      </c>
      <c r="C45" s="78" t="s">
        <v>232</v>
      </c>
      <c r="D45" s="94">
        <v>32.24</v>
      </c>
      <c r="E45" s="95">
        <v>0.12195746659468747</v>
      </c>
      <c r="F45" s="96">
        <v>506935</v>
      </c>
      <c r="G45" s="80"/>
      <c r="H45" s="90">
        <v>69494</v>
      </c>
      <c r="I45" s="78" t="s">
        <v>93</v>
      </c>
      <c r="J45" s="87">
        <v>56228520.490999997</v>
      </c>
      <c r="K45" s="87">
        <f t="shared" si="0"/>
        <v>8727313008.1888428</v>
      </c>
      <c r="L45" s="97">
        <v>155.21149999999994</v>
      </c>
    </row>
    <row r="46" spans="1:13" ht="9.75" customHeight="1">
      <c r="B46" s="79">
        <v>41614</v>
      </c>
      <c r="C46" s="78" t="s">
        <v>228</v>
      </c>
      <c r="D46" s="94">
        <v>32.29</v>
      </c>
      <c r="E46" s="95">
        <v>0.25836587628643554</v>
      </c>
      <c r="F46" s="96">
        <v>184917</v>
      </c>
      <c r="G46" s="80"/>
      <c r="H46" s="90">
        <v>25341</v>
      </c>
      <c r="I46" s="78" t="s">
        <v>95</v>
      </c>
      <c r="J46" s="87">
        <v>21005517.173100002</v>
      </c>
      <c r="K46" s="87">
        <f t="shared" si="0"/>
        <v>3260432153.467164</v>
      </c>
      <c r="L46" s="97">
        <v>155.21789473684206</v>
      </c>
    </row>
    <row r="47" spans="1:13" ht="9.75" customHeight="1">
      <c r="B47" s="79">
        <v>41635</v>
      </c>
      <c r="C47" s="78" t="s">
        <v>230</v>
      </c>
      <c r="D47" s="94">
        <v>32.630000000000003</v>
      </c>
      <c r="E47" s="94">
        <v>0.19774676029707425</v>
      </c>
      <c r="F47" s="96">
        <v>241750</v>
      </c>
      <c r="G47" s="80"/>
      <c r="H47" s="90">
        <v>33063</v>
      </c>
      <c r="I47" s="78" t="s">
        <v>235</v>
      </c>
      <c r="J47" s="87">
        <v>27461422.025000002</v>
      </c>
      <c r="K47" s="87">
        <f t="shared" si="0"/>
        <v>4262504113.2004461</v>
      </c>
      <c r="L47" s="97">
        <v>155.21789473684206</v>
      </c>
    </row>
    <row r="48" spans="1:13" ht="9.75" customHeight="1">
      <c r="B48" s="79">
        <v>41635</v>
      </c>
      <c r="C48" s="78" t="s">
        <v>230</v>
      </c>
      <c r="D48" s="94">
        <v>32.630000000000003</v>
      </c>
      <c r="E48" s="95">
        <v>0.1978913540246689</v>
      </c>
      <c r="F48" s="96">
        <v>303101</v>
      </c>
      <c r="G48" s="80"/>
      <c r="H48" s="90">
        <v>41453</v>
      </c>
      <c r="I48" s="78" t="s">
        <v>235</v>
      </c>
      <c r="J48" s="87">
        <v>34430545.9243</v>
      </c>
      <c r="K48" s="87">
        <f t="shared" si="0"/>
        <v>5344236853.010004</v>
      </c>
      <c r="L48" s="97">
        <v>155.21789473684206</v>
      </c>
    </row>
    <row r="49" spans="1:12" ht="9.75" customHeight="1">
      <c r="B49" s="79">
        <v>41639</v>
      </c>
      <c r="C49" s="78" t="s">
        <v>231</v>
      </c>
      <c r="D49" s="94">
        <v>33.03</v>
      </c>
      <c r="E49" s="95">
        <v>0.14312818293778917</v>
      </c>
      <c r="F49" s="96">
        <v>270000</v>
      </c>
      <c r="G49" s="80"/>
      <c r="H49" s="90">
        <v>36835</v>
      </c>
      <c r="I49" s="78" t="s">
        <v>236</v>
      </c>
      <c r="J49" s="87">
        <v>30670461</v>
      </c>
      <c r="K49" s="87">
        <f t="shared" si="0"/>
        <v>4760604387.0284195</v>
      </c>
      <c r="L49" s="97">
        <v>155.21789473684206</v>
      </c>
    </row>
    <row r="50" spans="1:12" ht="9.75" customHeight="1">
      <c r="B50" s="79">
        <v>41639</v>
      </c>
      <c r="C50" s="78" t="s">
        <v>231</v>
      </c>
      <c r="D50" s="94">
        <v>33.03</v>
      </c>
      <c r="E50" s="95">
        <v>0.14335929162755295</v>
      </c>
      <c r="F50" s="96">
        <v>528680</v>
      </c>
      <c r="G50" s="80"/>
      <c r="H50" s="90">
        <v>72127</v>
      </c>
      <c r="I50" s="78" t="s">
        <v>236</v>
      </c>
      <c r="J50" s="87">
        <v>60055034.524000004</v>
      </c>
      <c r="K50" s="87">
        <f t="shared" si="0"/>
        <v>9321616027.1636486</v>
      </c>
      <c r="L50" s="97">
        <v>155.21789473684206</v>
      </c>
    </row>
    <row r="51" spans="1:12" s="1" customFormat="1">
      <c r="A51" s="21"/>
      <c r="B51" s="82" t="s">
        <v>35</v>
      </c>
      <c r="C51" s="83"/>
      <c r="D51" s="83"/>
      <c r="E51" s="84"/>
      <c r="F51" s="85"/>
      <c r="G51" s="85"/>
      <c r="H51" s="85"/>
      <c r="I51" s="85"/>
      <c r="J51" s="100">
        <f>SUM(J10:J50)</f>
        <v>1257885969.8796</v>
      </c>
      <c r="K51" s="100">
        <f>SUM(K10:K50)</f>
        <v>195290798136.62418</v>
      </c>
    </row>
    <row r="52" spans="1:12" ht="15">
      <c r="B52" s="19"/>
      <c r="C52" s="19"/>
      <c r="D52" s="19"/>
      <c r="E52" s="19"/>
      <c r="F52" s="19"/>
      <c r="G52" s="19"/>
    </row>
    <row r="53" spans="1:12" ht="15">
      <c r="B53" s="19"/>
      <c r="C53" s="19"/>
      <c r="D53" s="19"/>
      <c r="E53" s="19"/>
      <c r="F53" s="19"/>
      <c r="G53" s="19"/>
    </row>
    <row r="54" spans="1:12" ht="15">
      <c r="B54" s="19"/>
      <c r="C54" s="19"/>
      <c r="D54" s="19"/>
      <c r="E54" s="19"/>
      <c r="F54" s="19"/>
      <c r="G54" s="19"/>
    </row>
    <row r="55" spans="1:12" ht="15">
      <c r="B55" s="19"/>
      <c r="C55" s="19"/>
      <c r="D55" s="19"/>
      <c r="E55" s="19"/>
      <c r="F55" s="19"/>
      <c r="G55" s="19"/>
    </row>
    <row r="56" spans="1:12" ht="15">
      <c r="B56" s="19"/>
      <c r="C56" s="19"/>
      <c r="D56" s="19"/>
      <c r="E56" s="19"/>
      <c r="F56" s="19"/>
      <c r="G56" s="19"/>
    </row>
    <row r="57" spans="1:12" ht="15">
      <c r="B57" s="19"/>
      <c r="C57" s="19"/>
      <c r="D57" s="19"/>
      <c r="E57" s="19"/>
      <c r="F57" s="19"/>
      <c r="G57" s="19"/>
    </row>
    <row r="58" spans="1:12" ht="15">
      <c r="B58" s="19"/>
      <c r="C58" s="19"/>
      <c r="D58" s="19"/>
      <c r="E58" s="19"/>
      <c r="F58" s="19"/>
      <c r="G58" s="19"/>
    </row>
    <row r="59" spans="1:12" ht="15">
      <c r="B59" s="19"/>
      <c r="C59" s="19"/>
      <c r="D59" s="19"/>
      <c r="E59" s="19"/>
      <c r="F59" s="19"/>
      <c r="G59" s="19"/>
    </row>
    <row r="60" spans="1:12" ht="15">
      <c r="B60" s="19"/>
      <c r="C60" s="19"/>
      <c r="D60" s="19"/>
      <c r="E60" s="19"/>
      <c r="F60" s="19"/>
      <c r="G60" s="19"/>
    </row>
    <row r="61" spans="1:12" ht="15">
      <c r="B61" s="22"/>
      <c r="C61" s="7"/>
      <c r="D61" s="7"/>
      <c r="E61" s="7"/>
      <c r="F61" s="7"/>
      <c r="G61" s="7"/>
    </row>
    <row r="62" spans="1:12" ht="15">
      <c r="B62" s="19"/>
      <c r="C62" s="19"/>
      <c r="D62" s="19"/>
      <c r="E62" s="19"/>
      <c r="F62" s="19"/>
      <c r="G62" s="19"/>
    </row>
    <row r="63" spans="1:12" ht="15">
      <c r="B63" s="19"/>
      <c r="C63" s="19"/>
      <c r="D63" s="19"/>
      <c r="E63" s="19"/>
      <c r="F63" s="19"/>
      <c r="G63" s="19"/>
    </row>
    <row r="64" spans="1:12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>
      <c r="B66" s="23"/>
      <c r="C66" s="23"/>
      <c r="D66" s="23"/>
      <c r="E66" s="23"/>
      <c r="F66" s="23"/>
      <c r="G66" s="23"/>
    </row>
    <row r="67" spans="2:7">
      <c r="B67" s="24"/>
      <c r="C67" s="25"/>
      <c r="D67" s="25"/>
      <c r="E67" s="25"/>
      <c r="F67" s="25"/>
      <c r="G67" s="25"/>
    </row>
    <row r="68" spans="2:7">
      <c r="B68" s="26"/>
      <c r="C68" s="25"/>
      <c r="D68" s="25"/>
      <c r="E68" s="25"/>
      <c r="F68" s="25"/>
      <c r="G68" s="25"/>
    </row>
    <row r="69" spans="2:7">
      <c r="B69" s="26"/>
      <c r="C69" s="26"/>
      <c r="D69" s="26"/>
      <c r="E69" s="26"/>
      <c r="F69" s="26"/>
      <c r="G69" s="26"/>
    </row>
    <row r="70" spans="2:7" ht="15">
      <c r="B70" s="19"/>
      <c r="C70" s="19"/>
      <c r="D70" s="19"/>
      <c r="E70" s="19"/>
      <c r="F70" s="19"/>
      <c r="G70" s="19"/>
    </row>
    <row r="71" spans="2:7" ht="15">
      <c r="B71" s="7"/>
      <c r="C71" s="7"/>
      <c r="D71" s="7"/>
      <c r="E71" s="7"/>
      <c r="F71" s="7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5">
      <c r="B74" s="19"/>
      <c r="C74" s="19"/>
      <c r="D74" s="19"/>
      <c r="E74" s="19"/>
      <c r="F74" s="19"/>
      <c r="G74" s="19"/>
    </row>
    <row r="75" spans="2:7" ht="15">
      <c r="B75" s="19"/>
      <c r="C75" s="19"/>
      <c r="D75" s="19"/>
      <c r="E75" s="19"/>
      <c r="F75" s="19"/>
      <c r="G75" s="19"/>
    </row>
    <row r="76" spans="2:7" ht="15">
      <c r="B76" s="19"/>
      <c r="C76" s="19"/>
      <c r="D76" s="19"/>
      <c r="E76" s="19"/>
      <c r="F76" s="19"/>
      <c r="G76" s="19"/>
    </row>
    <row r="77" spans="2:7" ht="15">
      <c r="B77" s="7"/>
      <c r="C77" s="7"/>
      <c r="D77" s="7"/>
      <c r="E77" s="7"/>
      <c r="F77" s="7"/>
      <c r="G77" s="7"/>
    </row>
    <row r="78" spans="2:7" ht="15">
      <c r="B78" s="19"/>
      <c r="C78" s="19"/>
      <c r="D78" s="19"/>
      <c r="E78" s="19"/>
      <c r="F78" s="19"/>
      <c r="G78" s="19"/>
    </row>
    <row r="79" spans="2:7" ht="15">
      <c r="B79" s="19"/>
      <c r="C79" s="19"/>
      <c r="D79" s="19"/>
      <c r="E79" s="19"/>
      <c r="F79" s="19"/>
      <c r="G79" s="19"/>
    </row>
    <row r="80" spans="2:7" ht="15">
      <c r="B80" s="19"/>
      <c r="C80" s="19"/>
      <c r="D80" s="19"/>
      <c r="E80" s="19"/>
      <c r="F80" s="19"/>
      <c r="G80" s="19"/>
    </row>
    <row r="81" spans="2:7" ht="15">
      <c r="B81" s="19"/>
      <c r="C81" s="19"/>
      <c r="D81" s="19"/>
      <c r="E81" s="19"/>
      <c r="F81" s="19"/>
      <c r="G81" s="19"/>
    </row>
    <row r="82" spans="2:7" ht="15">
      <c r="B82" s="19"/>
      <c r="C82" s="19"/>
      <c r="D82" s="19"/>
      <c r="E82" s="19"/>
      <c r="F82" s="19"/>
      <c r="G82" s="19"/>
    </row>
    <row r="83" spans="2:7" ht="15">
      <c r="B83" s="19"/>
      <c r="C83" s="19"/>
      <c r="D83" s="19"/>
      <c r="E83" s="19"/>
      <c r="F83" s="19"/>
      <c r="G83" s="19"/>
    </row>
    <row r="84" spans="2:7" ht="15">
      <c r="B84" s="19"/>
      <c r="C84" s="19"/>
      <c r="D84" s="19"/>
      <c r="E84" s="19"/>
      <c r="F84" s="19"/>
      <c r="G84" s="19"/>
    </row>
    <row r="85" spans="2:7" ht="15">
      <c r="B85" s="19"/>
      <c r="C85" s="19"/>
      <c r="D85" s="19"/>
      <c r="E85" s="19"/>
      <c r="F85" s="19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4.25">
      <c r="B89" s="27"/>
      <c r="C89" s="27"/>
      <c r="D89" s="27"/>
      <c r="E89" s="27"/>
      <c r="F89" s="27"/>
      <c r="G89" s="27"/>
    </row>
    <row r="90" spans="2:7">
      <c r="B90" s="21"/>
      <c r="C90" s="21"/>
      <c r="D90" s="21"/>
      <c r="E90" s="21"/>
      <c r="F90" s="21"/>
      <c r="G90" s="21"/>
    </row>
    <row r="91" spans="2:7">
      <c r="B91" s="21"/>
      <c r="C91" s="21"/>
      <c r="D91" s="21"/>
      <c r="E91" s="21"/>
      <c r="F91" s="21"/>
      <c r="G91" s="21"/>
    </row>
    <row r="92" spans="2:7">
      <c r="B92" s="21"/>
      <c r="C92" s="21"/>
      <c r="D92" s="21"/>
      <c r="E92" s="21"/>
      <c r="F92" s="21"/>
      <c r="G92" s="21"/>
    </row>
    <row r="93" spans="2:7">
      <c r="B93" s="21"/>
      <c r="C93" s="21"/>
      <c r="D93" s="21"/>
      <c r="E93" s="21"/>
      <c r="F93" s="21"/>
      <c r="G93" s="21"/>
    </row>
    <row r="94" spans="2:7">
      <c r="B94" s="21"/>
      <c r="C94" s="21"/>
      <c r="D94" s="21"/>
      <c r="E94" s="21"/>
      <c r="F94" s="21"/>
      <c r="G94" s="21"/>
    </row>
    <row r="95" spans="2:7">
      <c r="B95" s="21"/>
      <c r="C95" s="21"/>
      <c r="D95" s="21"/>
      <c r="E95" s="21"/>
      <c r="F95" s="21"/>
      <c r="G95" s="21"/>
    </row>
    <row r="96" spans="2:7">
      <c r="B96" s="21"/>
      <c r="C96" s="21"/>
      <c r="D96" s="21"/>
      <c r="E96" s="21"/>
      <c r="F96" s="21"/>
      <c r="G96" s="21"/>
    </row>
    <row r="97" spans="2:7" ht="15.75">
      <c r="B97" s="18"/>
      <c r="C97" s="18"/>
      <c r="D97" s="18"/>
      <c r="E97" s="18"/>
      <c r="F97" s="18"/>
      <c r="G97" s="18"/>
    </row>
    <row r="98" spans="2:7" ht="15.75">
      <c r="B98" s="18"/>
      <c r="C98" s="18"/>
      <c r="D98" s="18"/>
      <c r="E98" s="18"/>
      <c r="F98" s="18"/>
      <c r="G98" s="18"/>
    </row>
    <row r="99" spans="2:7" ht="15.75">
      <c r="B99" s="18"/>
      <c r="C99" s="18"/>
      <c r="D99" s="18"/>
      <c r="E99" s="18"/>
      <c r="F99" s="18"/>
      <c r="G99" s="18"/>
    </row>
    <row r="100" spans="2:7" ht="15">
      <c r="B100" s="19"/>
      <c r="C100" s="19"/>
      <c r="D100" s="19"/>
      <c r="E100" s="19"/>
      <c r="F100" s="20"/>
      <c r="G100" s="19"/>
    </row>
    <row r="101" spans="2:7" ht="15">
      <c r="B101" s="19"/>
      <c r="C101" s="19"/>
      <c r="D101" s="19"/>
      <c r="E101" s="19"/>
      <c r="F101" s="19"/>
      <c r="G101" s="19"/>
    </row>
    <row r="102" spans="2:7" ht="15">
      <c r="B102" s="19"/>
      <c r="C102" s="19"/>
      <c r="D102" s="19"/>
      <c r="E102" s="19"/>
      <c r="F102" s="19"/>
      <c r="G102" s="19"/>
    </row>
    <row r="103" spans="2:7" ht="15">
      <c r="B103" s="19"/>
      <c r="C103" s="19"/>
      <c r="D103" s="19"/>
      <c r="E103" s="19"/>
      <c r="F103" s="19"/>
      <c r="G103" s="19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19"/>
      <c r="C105" s="19"/>
      <c r="D105" s="19"/>
      <c r="E105" s="19"/>
      <c r="F105" s="19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22"/>
      <c r="C110" s="7"/>
      <c r="D110" s="7"/>
      <c r="E110" s="7"/>
      <c r="F110" s="7"/>
      <c r="G110" s="7"/>
    </row>
    <row r="111" spans="2:7" ht="15">
      <c r="B111" s="19"/>
      <c r="C111" s="19"/>
      <c r="D111" s="19"/>
      <c r="E111" s="19"/>
      <c r="F111" s="19"/>
      <c r="G111" s="19"/>
    </row>
    <row r="112" spans="2:7" ht="15">
      <c r="B112" s="19"/>
      <c r="C112" s="19"/>
      <c r="D112" s="19"/>
      <c r="E112" s="19"/>
      <c r="F112" s="19"/>
      <c r="G112" s="19"/>
    </row>
    <row r="113" spans="2:7" ht="15">
      <c r="B113" s="19"/>
      <c r="C113" s="19"/>
      <c r="D113" s="19"/>
      <c r="E113" s="19"/>
      <c r="F113" s="19"/>
      <c r="G113" s="19"/>
    </row>
    <row r="114" spans="2:7" ht="15">
      <c r="B114" s="19"/>
      <c r="C114" s="19"/>
      <c r="D114" s="19"/>
      <c r="E114" s="19"/>
      <c r="F114" s="19"/>
      <c r="G114" s="19"/>
    </row>
    <row r="115" spans="2:7">
      <c r="B115" s="23"/>
      <c r="C115" s="23"/>
      <c r="D115" s="23"/>
      <c r="E115" s="23"/>
      <c r="F115" s="23"/>
      <c r="G115" s="23"/>
    </row>
    <row r="116" spans="2:7">
      <c r="B116" s="24"/>
      <c r="C116" s="25"/>
      <c r="D116" s="25"/>
      <c r="E116" s="25"/>
      <c r="F116" s="25"/>
      <c r="G116" s="25"/>
    </row>
    <row r="117" spans="2:7">
      <c r="B117" s="26"/>
      <c r="C117" s="25"/>
      <c r="D117" s="25"/>
      <c r="E117" s="25"/>
      <c r="F117" s="25"/>
      <c r="G117" s="25"/>
    </row>
    <row r="118" spans="2:7">
      <c r="B118" s="26"/>
      <c r="C118" s="26"/>
      <c r="D118" s="26"/>
      <c r="E118" s="26"/>
      <c r="F118" s="26"/>
      <c r="G118" s="26"/>
    </row>
    <row r="119" spans="2:7" ht="15">
      <c r="B119" s="19"/>
      <c r="C119" s="19"/>
      <c r="D119" s="19"/>
      <c r="E119" s="19"/>
      <c r="F119" s="19"/>
      <c r="G119" s="19"/>
    </row>
    <row r="120" spans="2:7" ht="15">
      <c r="B120" s="7"/>
      <c r="C120" s="7"/>
      <c r="D120" s="7"/>
      <c r="E120" s="7"/>
      <c r="F120" s="7"/>
      <c r="G120" s="19"/>
    </row>
    <row r="121" spans="2:7" ht="15">
      <c r="B121" s="19"/>
      <c r="C121" s="19"/>
      <c r="D121" s="19"/>
      <c r="E121" s="19"/>
      <c r="F121" s="19"/>
      <c r="G121" s="19"/>
    </row>
    <row r="122" spans="2:7" ht="15">
      <c r="B122" s="19"/>
      <c r="C122" s="19"/>
      <c r="D122" s="19"/>
      <c r="E122" s="19"/>
      <c r="F122" s="19"/>
      <c r="G122" s="19"/>
    </row>
    <row r="123" spans="2:7" ht="15">
      <c r="B123" s="19"/>
      <c r="C123" s="19"/>
      <c r="D123" s="19"/>
      <c r="E123" s="19"/>
      <c r="F123" s="19"/>
      <c r="G123" s="19"/>
    </row>
    <row r="124" spans="2:7" ht="15">
      <c r="B124" s="19"/>
      <c r="C124" s="19"/>
      <c r="D124" s="19"/>
      <c r="E124" s="19"/>
      <c r="F124" s="19"/>
      <c r="G124" s="19"/>
    </row>
    <row r="125" spans="2:7" ht="15">
      <c r="B125" s="19"/>
      <c r="C125" s="19"/>
      <c r="D125" s="19"/>
      <c r="E125" s="19"/>
      <c r="F125" s="19"/>
      <c r="G125" s="19"/>
    </row>
    <row r="126" spans="2:7" ht="15">
      <c r="B126" s="7"/>
      <c r="C126" s="7"/>
      <c r="D126" s="7"/>
      <c r="E126" s="7"/>
      <c r="F126" s="7"/>
      <c r="G126" s="7"/>
    </row>
    <row r="127" spans="2:7" ht="15">
      <c r="B127" s="19"/>
      <c r="C127" s="19"/>
      <c r="D127" s="19"/>
      <c r="E127" s="19"/>
      <c r="F127" s="19"/>
      <c r="G127" s="19"/>
    </row>
    <row r="128" spans="2:7" ht="14.25">
      <c r="B128" s="27"/>
      <c r="C128" s="27"/>
      <c r="D128" s="27"/>
      <c r="E128" s="27"/>
      <c r="F128" s="27"/>
      <c r="G128" s="27"/>
    </row>
    <row r="129" spans="2:7">
      <c r="B129" s="21"/>
      <c r="C129" s="21"/>
      <c r="D129" s="21"/>
      <c r="E129" s="21"/>
      <c r="F129" s="21"/>
      <c r="G129" s="21"/>
    </row>
    <row r="130" spans="2:7">
      <c r="B130" s="21"/>
      <c r="C130" s="21"/>
      <c r="D130" s="21"/>
      <c r="E130" s="21"/>
      <c r="F130" s="21"/>
      <c r="G130" s="21"/>
    </row>
    <row r="131" spans="2:7">
      <c r="B131" s="21"/>
      <c r="C131" s="21"/>
      <c r="D131" s="21"/>
      <c r="E131" s="21"/>
      <c r="F131" s="21"/>
      <c r="G131" s="21"/>
    </row>
    <row r="132" spans="2:7">
      <c r="B132" s="21"/>
      <c r="C132" s="21"/>
      <c r="D132" s="21"/>
      <c r="E132" s="21"/>
      <c r="F132" s="21"/>
      <c r="G132" s="21"/>
    </row>
    <row r="133" spans="2:7">
      <c r="B133" s="21"/>
      <c r="C133" s="21"/>
      <c r="D133" s="21"/>
      <c r="E133" s="21"/>
      <c r="F133" s="21"/>
      <c r="G133" s="21"/>
    </row>
    <row r="134" spans="2:7">
      <c r="B134" s="21"/>
      <c r="C134" s="21"/>
      <c r="D134" s="21"/>
      <c r="E134" s="21"/>
      <c r="F134" s="21"/>
      <c r="G134" s="21"/>
    </row>
    <row r="135" spans="2:7">
      <c r="B135" s="21"/>
      <c r="C135" s="21"/>
      <c r="D135" s="21"/>
      <c r="E135" s="21"/>
      <c r="F135" s="21"/>
      <c r="G135" s="21"/>
    </row>
    <row r="136" spans="2:7">
      <c r="B136" s="21"/>
      <c r="C136" s="21"/>
      <c r="D136" s="21"/>
      <c r="E136" s="21"/>
      <c r="F136" s="21"/>
      <c r="G136" s="21"/>
    </row>
    <row r="137" spans="2:7" ht="15.75">
      <c r="B137" s="18"/>
      <c r="C137" s="18"/>
      <c r="D137" s="18"/>
      <c r="E137" s="18"/>
      <c r="F137" s="18"/>
      <c r="G137" s="18"/>
    </row>
    <row r="138" spans="2:7" ht="15.75">
      <c r="B138" s="18"/>
      <c r="C138" s="18"/>
      <c r="D138" s="18"/>
      <c r="E138" s="18"/>
      <c r="F138" s="18"/>
      <c r="G138" s="18"/>
    </row>
    <row r="139" spans="2:7" ht="15.75">
      <c r="B139" s="18"/>
      <c r="C139" s="18"/>
      <c r="D139" s="18"/>
      <c r="E139" s="18"/>
      <c r="F139" s="18"/>
      <c r="G139" s="18"/>
    </row>
    <row r="140" spans="2:7" ht="15">
      <c r="B140" s="19"/>
      <c r="C140" s="19"/>
      <c r="D140" s="19"/>
      <c r="E140" s="19"/>
      <c r="F140" s="20"/>
      <c r="G140" s="19"/>
    </row>
    <row r="141" spans="2:7" ht="15">
      <c r="B141" s="19"/>
      <c r="C141" s="19"/>
      <c r="D141" s="19"/>
      <c r="E141" s="19"/>
      <c r="F141" s="19"/>
      <c r="G141" s="19"/>
    </row>
    <row r="142" spans="2:7" ht="15">
      <c r="B142" s="19"/>
      <c r="C142" s="19"/>
      <c r="D142" s="19"/>
      <c r="E142" s="19"/>
      <c r="F142" s="19"/>
      <c r="G142" s="19"/>
    </row>
    <row r="143" spans="2:7" ht="15">
      <c r="B143" s="19"/>
      <c r="C143" s="19"/>
      <c r="D143" s="19"/>
      <c r="E143" s="19"/>
      <c r="F143" s="19"/>
      <c r="G143" s="19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19"/>
      <c r="C145" s="19"/>
      <c r="D145" s="19"/>
      <c r="E145" s="19"/>
      <c r="F145" s="19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22"/>
      <c r="C150" s="7"/>
      <c r="D150" s="7"/>
      <c r="E150" s="7"/>
      <c r="F150" s="7"/>
      <c r="G150" s="7"/>
    </row>
    <row r="151" spans="2:7" ht="15">
      <c r="B151" s="19"/>
      <c r="C151" s="19"/>
      <c r="D151" s="19"/>
      <c r="E151" s="19"/>
      <c r="F151" s="19"/>
      <c r="G151" s="19"/>
    </row>
    <row r="152" spans="2:7" ht="15">
      <c r="B152" s="19"/>
      <c r="C152" s="19"/>
      <c r="D152" s="19"/>
      <c r="E152" s="19"/>
      <c r="F152" s="19"/>
      <c r="G152" s="19"/>
    </row>
    <row r="153" spans="2:7" ht="15">
      <c r="B153" s="19"/>
      <c r="C153" s="19"/>
      <c r="D153" s="19"/>
      <c r="E153" s="19"/>
      <c r="F153" s="19"/>
      <c r="G153" s="19"/>
    </row>
    <row r="154" spans="2:7" ht="15">
      <c r="B154" s="19"/>
      <c r="C154" s="19"/>
      <c r="D154" s="19"/>
      <c r="E154" s="19"/>
      <c r="F154" s="19"/>
      <c r="G154" s="19"/>
    </row>
    <row r="155" spans="2:7">
      <c r="B155" s="23"/>
      <c r="C155" s="23"/>
      <c r="D155" s="23"/>
      <c r="E155" s="23"/>
      <c r="F155" s="23"/>
      <c r="G155" s="23"/>
    </row>
    <row r="156" spans="2:7">
      <c r="B156" s="24"/>
      <c r="C156" s="25"/>
      <c r="D156" s="25"/>
      <c r="E156" s="25"/>
      <c r="F156" s="25"/>
      <c r="G156" s="25"/>
    </row>
    <row r="157" spans="2:7">
      <c r="B157" s="26"/>
      <c r="C157" s="25"/>
      <c r="D157" s="25"/>
      <c r="E157" s="25"/>
      <c r="F157" s="25"/>
      <c r="G157" s="25"/>
    </row>
    <row r="158" spans="2:7">
      <c r="B158" s="26"/>
      <c r="C158" s="26"/>
      <c r="D158" s="26"/>
      <c r="E158" s="26"/>
      <c r="F158" s="26"/>
      <c r="G158" s="26"/>
    </row>
    <row r="159" spans="2:7" ht="15">
      <c r="B159" s="19"/>
      <c r="C159" s="19"/>
      <c r="D159" s="19"/>
      <c r="E159" s="19"/>
      <c r="F159" s="19"/>
      <c r="G159" s="19"/>
    </row>
    <row r="160" spans="2:7" ht="15">
      <c r="B160" s="7"/>
      <c r="C160" s="7"/>
      <c r="D160" s="7"/>
      <c r="E160" s="7"/>
      <c r="F160" s="7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7"/>
      <c r="C166" s="7"/>
      <c r="D166" s="7"/>
      <c r="E166" s="7"/>
      <c r="F166" s="7"/>
      <c r="G166" s="7"/>
    </row>
    <row r="167" spans="2:7" ht="15">
      <c r="B167" s="19"/>
      <c r="C167" s="19"/>
      <c r="D167" s="19"/>
      <c r="E167" s="19"/>
      <c r="F167" s="19"/>
      <c r="G167" s="19"/>
    </row>
    <row r="168" spans="2:7" ht="14.25">
      <c r="B168" s="27"/>
      <c r="C168" s="27"/>
      <c r="D168" s="27"/>
      <c r="E168" s="27"/>
      <c r="F168" s="27"/>
      <c r="G168" s="27"/>
    </row>
    <row r="169" spans="2:7">
      <c r="B169" s="21"/>
      <c r="C169" s="21"/>
      <c r="D169" s="21"/>
      <c r="E169" s="21"/>
      <c r="F169" s="21"/>
      <c r="G169" s="21"/>
    </row>
    <row r="170" spans="2:7">
      <c r="B170" s="21"/>
      <c r="C170" s="21"/>
      <c r="D170" s="21"/>
      <c r="E170" s="21"/>
      <c r="F170" s="21"/>
      <c r="G170" s="21"/>
    </row>
    <row r="171" spans="2:7" ht="15.75">
      <c r="B171" s="18"/>
      <c r="C171" s="18"/>
      <c r="D171" s="18"/>
      <c r="E171" s="18"/>
      <c r="F171" s="18"/>
      <c r="G171" s="18"/>
    </row>
    <row r="172" spans="2:7" ht="15.75">
      <c r="B172" s="18"/>
      <c r="C172" s="18"/>
      <c r="D172" s="18"/>
      <c r="E172" s="18"/>
      <c r="F172" s="18"/>
      <c r="G172" s="18"/>
    </row>
    <row r="173" spans="2:7" ht="15.75">
      <c r="B173" s="18"/>
      <c r="C173" s="18"/>
      <c r="D173" s="18"/>
      <c r="E173" s="18"/>
      <c r="F173" s="18"/>
      <c r="G173" s="18"/>
    </row>
    <row r="174" spans="2:7" ht="15">
      <c r="B174" s="19"/>
      <c r="C174" s="19"/>
      <c r="D174" s="19"/>
      <c r="E174" s="19"/>
      <c r="F174" s="20"/>
      <c r="G174" s="19"/>
    </row>
    <row r="175" spans="2:7" ht="15">
      <c r="B175" s="19"/>
      <c r="C175" s="19"/>
      <c r="D175" s="19"/>
      <c r="E175" s="19"/>
      <c r="F175" s="19"/>
      <c r="G175" s="19"/>
    </row>
    <row r="176" spans="2:7" ht="15">
      <c r="B176" s="19"/>
      <c r="C176" s="19"/>
      <c r="D176" s="19"/>
      <c r="E176" s="19"/>
      <c r="F176" s="19"/>
      <c r="G176" s="19"/>
    </row>
    <row r="177" spans="2:7" ht="15">
      <c r="B177" s="19"/>
      <c r="C177" s="19"/>
      <c r="D177" s="19"/>
      <c r="E177" s="19"/>
      <c r="F177" s="19"/>
      <c r="G177" s="19"/>
    </row>
    <row r="178" spans="2:7" ht="15">
      <c r="B178" s="19"/>
      <c r="C178" s="19"/>
      <c r="D178" s="19"/>
      <c r="E178" s="19"/>
      <c r="F178" s="19"/>
      <c r="G178" s="19"/>
    </row>
    <row r="179" spans="2:7" ht="15">
      <c r="B179" s="19"/>
      <c r="C179" s="19"/>
      <c r="D179" s="19"/>
      <c r="E179" s="19"/>
      <c r="F179" s="19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22"/>
      <c r="C184" s="7"/>
      <c r="D184" s="7"/>
      <c r="E184" s="7"/>
      <c r="F184" s="7"/>
      <c r="G184" s="7"/>
    </row>
    <row r="185" spans="2:7" ht="15">
      <c r="B185" s="19"/>
      <c r="C185" s="19"/>
      <c r="D185" s="19"/>
      <c r="E185" s="19"/>
      <c r="F185" s="19"/>
      <c r="G185" s="19"/>
    </row>
    <row r="186" spans="2:7" ht="15">
      <c r="B186" s="19"/>
      <c r="C186" s="19"/>
      <c r="D186" s="19"/>
      <c r="E186" s="19"/>
      <c r="F186" s="19"/>
      <c r="G186" s="19"/>
    </row>
    <row r="187" spans="2:7" ht="15">
      <c r="B187" s="19"/>
      <c r="C187" s="19"/>
      <c r="D187" s="19"/>
      <c r="E187" s="19"/>
      <c r="F187" s="19"/>
      <c r="G187" s="19"/>
    </row>
    <row r="188" spans="2:7" ht="15">
      <c r="B188" s="19"/>
      <c r="C188" s="19"/>
      <c r="D188" s="19"/>
      <c r="E188" s="19"/>
      <c r="F188" s="19"/>
      <c r="G188" s="19"/>
    </row>
    <row r="189" spans="2:7">
      <c r="B189" s="23"/>
      <c r="C189" s="23"/>
      <c r="D189" s="23"/>
      <c r="E189" s="23"/>
      <c r="F189" s="23"/>
      <c r="G189" s="23"/>
    </row>
    <row r="190" spans="2:7">
      <c r="B190" s="24"/>
      <c r="C190" s="25"/>
      <c r="D190" s="25"/>
      <c r="E190" s="25"/>
      <c r="F190" s="25"/>
      <c r="G190" s="25"/>
    </row>
    <row r="191" spans="2:7">
      <c r="B191" s="26"/>
      <c r="C191" s="25"/>
      <c r="D191" s="25"/>
      <c r="E191" s="25"/>
      <c r="F191" s="25"/>
      <c r="G191" s="25"/>
    </row>
    <row r="192" spans="2:7">
      <c r="B192" s="26"/>
      <c r="C192" s="26"/>
      <c r="D192" s="26"/>
      <c r="E192" s="26"/>
      <c r="F192" s="26"/>
      <c r="G192" s="26"/>
    </row>
    <row r="193" spans="2:7" ht="15">
      <c r="B193" s="19"/>
      <c r="C193" s="19"/>
      <c r="D193" s="19"/>
      <c r="E193" s="19"/>
      <c r="F193" s="19"/>
      <c r="G193" s="19"/>
    </row>
    <row r="194" spans="2:7" ht="21" customHeight="1">
      <c r="B194" s="7"/>
      <c r="C194" s="7"/>
      <c r="D194" s="7"/>
      <c r="E194" s="7"/>
      <c r="F194" s="7"/>
      <c r="G194" s="19"/>
    </row>
    <row r="195" spans="2:7" ht="15">
      <c r="B195" s="19"/>
      <c r="C195" s="19"/>
      <c r="D195" s="19"/>
      <c r="E195" s="19"/>
      <c r="F195" s="19"/>
      <c r="G195" s="19"/>
    </row>
    <row r="196" spans="2:7" ht="15">
      <c r="B196" s="19"/>
      <c r="C196" s="19"/>
      <c r="D196" s="19"/>
      <c r="E196" s="19"/>
      <c r="F196" s="19"/>
      <c r="G196" s="19"/>
    </row>
    <row r="197" spans="2:7" ht="15">
      <c r="B197" s="19"/>
      <c r="C197" s="19"/>
      <c r="D197" s="19"/>
      <c r="E197" s="19"/>
      <c r="F197" s="19"/>
      <c r="G197" s="19"/>
    </row>
    <row r="198" spans="2:7" ht="15">
      <c r="B198" s="19"/>
      <c r="C198" s="19"/>
      <c r="D198" s="19"/>
      <c r="E198" s="19"/>
      <c r="F198" s="19"/>
      <c r="G198" s="19"/>
    </row>
    <row r="199" spans="2:7" ht="15">
      <c r="B199" s="19"/>
      <c r="C199" s="19"/>
      <c r="D199" s="19"/>
      <c r="E199" s="19"/>
      <c r="F199" s="19"/>
      <c r="G199" s="19"/>
    </row>
    <row r="200" spans="2:7" ht="15">
      <c r="B200" s="7"/>
      <c r="C200" s="7"/>
      <c r="D200" s="7"/>
      <c r="E200" s="7"/>
      <c r="F200" s="7"/>
      <c r="G200" s="7"/>
    </row>
    <row r="201" spans="2:7" ht="15">
      <c r="B201" s="19"/>
      <c r="C201" s="19"/>
      <c r="D201" s="19"/>
      <c r="E201" s="19"/>
      <c r="F201" s="19"/>
      <c r="G201" s="19"/>
    </row>
    <row r="202" spans="2:7" ht="14.25">
      <c r="B202" s="27"/>
      <c r="C202" s="27"/>
      <c r="D202" s="27"/>
      <c r="E202" s="27"/>
      <c r="F202" s="27"/>
      <c r="G202" s="27"/>
    </row>
    <row r="203" spans="2:7" ht="14.25">
      <c r="B203" s="27"/>
      <c r="C203" s="27"/>
      <c r="D203" s="27"/>
      <c r="E203" s="27"/>
      <c r="F203" s="27"/>
      <c r="G203" s="26"/>
    </row>
    <row r="204" spans="2:7" ht="14.25">
      <c r="B204" s="27"/>
      <c r="C204" s="27"/>
      <c r="D204" s="27"/>
      <c r="E204" s="27"/>
      <c r="F204" s="27"/>
      <c r="G204" s="27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  <row r="226" spans="2:7">
      <c r="B226" s="21"/>
      <c r="C226" s="21"/>
      <c r="D226" s="21"/>
      <c r="E226" s="21"/>
      <c r="F226" s="21"/>
      <c r="G226" s="21"/>
    </row>
    <row r="227" spans="2:7">
      <c r="B227" s="21"/>
      <c r="C227" s="21"/>
      <c r="D227" s="21"/>
      <c r="E227" s="21"/>
      <c r="F227" s="21"/>
      <c r="G227" s="21"/>
    </row>
    <row r="228" spans="2:7">
      <c r="B228" s="21"/>
      <c r="C228" s="21"/>
      <c r="D228" s="21"/>
      <c r="E228" s="21"/>
      <c r="F228" s="21"/>
      <c r="G228" s="21"/>
    </row>
    <row r="229" spans="2:7">
      <c r="B229" s="21"/>
      <c r="C229" s="21"/>
      <c r="D229" s="21"/>
      <c r="E229" s="21"/>
      <c r="F229" s="21"/>
      <c r="G229" s="21"/>
    </row>
    <row r="230" spans="2:7">
      <c r="B230" s="21"/>
      <c r="C230" s="21"/>
      <c r="D230" s="21"/>
      <c r="E230" s="21"/>
      <c r="F230" s="21"/>
      <c r="G230" s="21"/>
    </row>
    <row r="231" spans="2:7">
      <c r="B231" s="21"/>
      <c r="C231" s="21"/>
      <c r="D231" s="21"/>
      <c r="E231" s="21"/>
      <c r="F231" s="21"/>
      <c r="G231" s="21"/>
    </row>
    <row r="232" spans="2:7">
      <c r="B232" s="21"/>
      <c r="C232" s="21"/>
      <c r="D232" s="21"/>
      <c r="E232" s="21"/>
      <c r="F232" s="21"/>
      <c r="G232" s="21"/>
    </row>
    <row r="233" spans="2:7">
      <c r="B233" s="21"/>
      <c r="C233" s="21"/>
      <c r="D233" s="21"/>
      <c r="E233" s="21"/>
      <c r="F233" s="21"/>
      <c r="G233" s="21"/>
    </row>
    <row r="234" spans="2:7">
      <c r="B234" s="21"/>
      <c r="C234" s="21"/>
      <c r="D234" s="21"/>
      <c r="E234" s="21"/>
      <c r="F234" s="21"/>
      <c r="G234" s="21"/>
    </row>
    <row r="235" spans="2:7">
      <c r="B235" s="21"/>
      <c r="C235" s="21"/>
      <c r="D235" s="21"/>
      <c r="E235" s="21"/>
      <c r="F235" s="21"/>
      <c r="G235" s="21"/>
    </row>
    <row r="236" spans="2:7">
      <c r="B236" s="21"/>
      <c r="C236" s="21"/>
      <c r="D236" s="21"/>
      <c r="E236" s="21"/>
      <c r="F236" s="21"/>
      <c r="G236" s="21"/>
    </row>
    <row r="237" spans="2:7">
      <c r="B237" s="21"/>
      <c r="C237" s="21"/>
      <c r="D237" s="21"/>
      <c r="E237" s="21"/>
      <c r="F237" s="21"/>
      <c r="G237" s="21"/>
    </row>
    <row r="238" spans="2:7">
      <c r="B238" s="21"/>
      <c r="C238" s="21"/>
      <c r="D238" s="21"/>
      <c r="E238" s="21"/>
      <c r="F238" s="21"/>
      <c r="G238" s="21"/>
    </row>
    <row r="239" spans="2:7">
      <c r="B239" s="21"/>
      <c r="C239" s="21"/>
      <c r="D239" s="21"/>
      <c r="E239" s="21"/>
      <c r="F239" s="21"/>
      <c r="G239" s="21"/>
    </row>
    <row r="240" spans="2:7">
      <c r="B240" s="21"/>
      <c r="C240" s="21"/>
      <c r="D240" s="21"/>
      <c r="E240" s="21"/>
      <c r="F240" s="21"/>
      <c r="G240" s="21"/>
    </row>
  </sheetData>
  <mergeCells count="2">
    <mergeCell ref="B2:K2"/>
    <mergeCell ref="J8:K8"/>
  </mergeCells>
  <printOptions horizontalCentered="1"/>
  <pageMargins left="0.15748031496062992" right="0.15748031496062992" top="0.86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61"/>
  </sheetPr>
  <dimension ref="A1:O251"/>
  <sheetViews>
    <sheetView view="pageLayout" topLeftCell="C4" zoomScaleNormal="110" workbookViewId="0">
      <selection activeCell="L41" sqref="L41"/>
    </sheetView>
  </sheetViews>
  <sheetFormatPr defaultRowHeight="11.25"/>
  <cols>
    <col min="1" max="1" width="12.42578125" style="32" customWidth="1"/>
    <col min="2" max="2" width="6.85546875" style="32" bestFit="1" customWidth="1"/>
    <col min="3" max="3" width="13.28515625" style="32" customWidth="1"/>
    <col min="4" max="4" width="10.28515625" style="32" customWidth="1"/>
    <col min="5" max="5" width="11.140625" style="32" customWidth="1"/>
    <col min="6" max="6" width="11" style="32" customWidth="1"/>
    <col min="7" max="7" width="9.42578125" style="32" customWidth="1"/>
    <col min="8" max="8" width="9" style="32" customWidth="1"/>
    <col min="9" max="9" width="10" style="32" hidden="1" customWidth="1"/>
    <col min="10" max="10" width="8.28515625" style="32" customWidth="1"/>
    <col min="11" max="11" width="8" style="32" bestFit="1" customWidth="1"/>
    <col min="12" max="12" width="9" style="32" bestFit="1" customWidth="1"/>
    <col min="13" max="13" width="25.57031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7" t="s">
        <v>105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5" ht="21.75" customHeight="1">
      <c r="A2" s="138" t="s">
        <v>208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9" t="s">
        <v>38</v>
      </c>
      <c r="D4" s="60" t="s">
        <v>39</v>
      </c>
      <c r="E4" s="13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40"/>
      <c r="D5" s="65" t="s">
        <v>46</v>
      </c>
      <c r="E5" s="14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2"/>
      <c r="N5" s="54"/>
      <c r="O5" s="32"/>
    </row>
    <row r="6" spans="1:15" ht="10.5" customHeight="1">
      <c r="A6" s="78" t="s">
        <v>125</v>
      </c>
      <c r="B6" s="78" t="s">
        <v>82</v>
      </c>
      <c r="C6" s="78" t="s">
        <v>107</v>
      </c>
      <c r="D6" s="78" t="s">
        <v>115</v>
      </c>
      <c r="E6" s="78" t="s">
        <v>60</v>
      </c>
      <c r="F6" s="78" t="s">
        <v>61</v>
      </c>
      <c r="G6" s="92">
        <v>60188</v>
      </c>
      <c r="H6" s="96">
        <v>60000</v>
      </c>
      <c r="I6" s="80"/>
      <c r="J6" s="90">
        <v>8313</v>
      </c>
      <c r="K6" s="94">
        <v>30.51</v>
      </c>
      <c r="L6" s="79">
        <v>41287</v>
      </c>
      <c r="M6" s="78" t="s">
        <v>112</v>
      </c>
      <c r="N6" s="54"/>
      <c r="O6" s="32"/>
    </row>
    <row r="7" spans="1:15" ht="10.5" customHeight="1">
      <c r="A7" s="78" t="s">
        <v>125</v>
      </c>
      <c r="B7" s="78" t="s">
        <v>82</v>
      </c>
      <c r="C7" s="78" t="s">
        <v>107</v>
      </c>
      <c r="D7" s="78" t="s">
        <v>115</v>
      </c>
      <c r="E7" s="78" t="s">
        <v>60</v>
      </c>
      <c r="F7" s="78" t="s">
        <v>61</v>
      </c>
      <c r="G7" s="92">
        <v>12389</v>
      </c>
      <c r="H7" s="96">
        <v>12350</v>
      </c>
      <c r="I7" s="80"/>
      <c r="J7" s="90">
        <v>1711</v>
      </c>
      <c r="K7" s="94">
        <v>30.51</v>
      </c>
      <c r="L7" s="79">
        <v>41287</v>
      </c>
      <c r="M7" s="78" t="s">
        <v>112</v>
      </c>
      <c r="N7" s="54"/>
      <c r="O7" s="32"/>
    </row>
    <row r="8" spans="1:15" ht="10.5" customHeight="1">
      <c r="A8" s="78" t="s">
        <v>125</v>
      </c>
      <c r="B8" s="78" t="s">
        <v>82</v>
      </c>
      <c r="C8" s="78" t="s">
        <v>107</v>
      </c>
      <c r="D8" s="78" t="s">
        <v>115</v>
      </c>
      <c r="E8" s="78" t="s">
        <v>60</v>
      </c>
      <c r="F8" s="78" t="s">
        <v>61</v>
      </c>
      <c r="G8" s="92">
        <v>4503</v>
      </c>
      <c r="H8" s="96">
        <v>4488</v>
      </c>
      <c r="I8" s="80"/>
      <c r="J8" s="90">
        <v>622</v>
      </c>
      <c r="K8" s="94">
        <v>30.51</v>
      </c>
      <c r="L8" s="79">
        <v>41287</v>
      </c>
      <c r="M8" s="78" t="s">
        <v>112</v>
      </c>
      <c r="N8" s="54"/>
      <c r="O8" s="32"/>
    </row>
    <row r="9" spans="1:15" ht="10.5" customHeight="1">
      <c r="A9" s="78" t="s">
        <v>125</v>
      </c>
      <c r="B9" s="78" t="s">
        <v>82</v>
      </c>
      <c r="C9" s="78" t="s">
        <v>107</v>
      </c>
      <c r="D9" s="78" t="s">
        <v>115</v>
      </c>
      <c r="E9" s="78" t="s">
        <v>60</v>
      </c>
      <c r="F9" s="78" t="s">
        <v>61</v>
      </c>
      <c r="G9" s="92">
        <v>17655</v>
      </c>
      <c r="H9" s="96">
        <v>17600</v>
      </c>
      <c r="I9" s="80"/>
      <c r="J9" s="90">
        <v>2439</v>
      </c>
      <c r="K9" s="94">
        <v>30.51</v>
      </c>
      <c r="L9" s="79">
        <v>41287</v>
      </c>
      <c r="M9" s="78" t="s">
        <v>112</v>
      </c>
      <c r="N9" s="54"/>
      <c r="O9" s="32"/>
    </row>
    <row r="10" spans="1:15" ht="10.5" customHeight="1">
      <c r="A10" s="78" t="s">
        <v>125</v>
      </c>
      <c r="B10" s="78" t="s">
        <v>82</v>
      </c>
      <c r="C10" s="78" t="s">
        <v>107</v>
      </c>
      <c r="D10" s="78" t="s">
        <v>115</v>
      </c>
      <c r="E10" s="78" t="s">
        <v>60</v>
      </c>
      <c r="F10" s="78" t="s">
        <v>61</v>
      </c>
      <c r="G10" s="92">
        <v>4564</v>
      </c>
      <c r="H10" s="96">
        <v>4550</v>
      </c>
      <c r="I10" s="80"/>
      <c r="J10" s="90">
        <v>630</v>
      </c>
      <c r="K10" s="94">
        <v>30.51</v>
      </c>
      <c r="L10" s="79">
        <v>41287</v>
      </c>
      <c r="M10" s="78" t="s">
        <v>112</v>
      </c>
      <c r="N10" s="54"/>
      <c r="O10" s="32"/>
    </row>
    <row r="11" spans="1:15" ht="10.5" customHeight="1">
      <c r="A11" s="78" t="s">
        <v>125</v>
      </c>
      <c r="B11" s="78" t="s">
        <v>82</v>
      </c>
      <c r="C11" s="78" t="s">
        <v>107</v>
      </c>
      <c r="D11" s="78" t="s">
        <v>115</v>
      </c>
      <c r="E11" s="78" t="s">
        <v>60</v>
      </c>
      <c r="F11" s="78" t="s">
        <v>61</v>
      </c>
      <c r="G11" s="92">
        <v>38320</v>
      </c>
      <c r="H11" s="96">
        <v>38200</v>
      </c>
      <c r="I11" s="80"/>
      <c r="J11" s="90">
        <v>5293</v>
      </c>
      <c r="K11" s="94">
        <v>30.51</v>
      </c>
      <c r="L11" s="79">
        <v>41287</v>
      </c>
      <c r="M11" s="78" t="s">
        <v>112</v>
      </c>
      <c r="N11" s="54"/>
      <c r="O11" s="32"/>
    </row>
    <row r="12" spans="1:15" ht="10.5" customHeight="1">
      <c r="A12" s="78" t="s">
        <v>125</v>
      </c>
      <c r="B12" s="78" t="s">
        <v>82</v>
      </c>
      <c r="C12" s="78" t="s">
        <v>108</v>
      </c>
      <c r="D12" s="78" t="s">
        <v>116</v>
      </c>
      <c r="E12" s="78" t="s">
        <v>60</v>
      </c>
      <c r="F12" s="78" t="s">
        <v>61</v>
      </c>
      <c r="G12" s="93">
        <v>327150</v>
      </c>
      <c r="H12" s="96">
        <v>326550</v>
      </c>
      <c r="I12" s="80"/>
      <c r="J12" s="91">
        <v>44531</v>
      </c>
      <c r="K12" s="94">
        <v>33.090000000000003</v>
      </c>
      <c r="L12" s="79">
        <v>41311</v>
      </c>
      <c r="M12" s="78" t="s">
        <v>113</v>
      </c>
      <c r="N12" s="54"/>
      <c r="O12" s="32"/>
    </row>
    <row r="13" spans="1:15" ht="10.5" customHeight="1">
      <c r="A13" s="78" t="s">
        <v>125</v>
      </c>
      <c r="B13" s="78" t="s">
        <v>82</v>
      </c>
      <c r="C13" s="78" t="s">
        <v>108</v>
      </c>
      <c r="D13" s="78" t="s">
        <v>117</v>
      </c>
      <c r="E13" s="78" t="s">
        <v>60</v>
      </c>
      <c r="F13" s="78" t="s">
        <v>61</v>
      </c>
      <c r="G13" s="93">
        <v>99039</v>
      </c>
      <c r="H13" s="96">
        <v>98857</v>
      </c>
      <c r="I13" s="80"/>
      <c r="J13" s="91">
        <v>13481</v>
      </c>
      <c r="K13" s="94">
        <v>33.090000000000003</v>
      </c>
      <c r="L13" s="79">
        <v>41311</v>
      </c>
      <c r="M13" s="78" t="s">
        <v>113</v>
      </c>
      <c r="N13" s="54"/>
      <c r="O13" s="32"/>
    </row>
    <row r="14" spans="1:15" ht="10.5" customHeight="1">
      <c r="A14" s="78" t="s">
        <v>125</v>
      </c>
      <c r="B14" s="78" t="s">
        <v>82</v>
      </c>
      <c r="C14" s="78" t="s">
        <v>108</v>
      </c>
      <c r="D14" s="78" t="s">
        <v>117</v>
      </c>
      <c r="E14" s="78" t="s">
        <v>60</v>
      </c>
      <c r="F14" s="78" t="s">
        <v>61</v>
      </c>
      <c r="G14" s="93">
        <v>4908</v>
      </c>
      <c r="H14" s="96">
        <v>4902</v>
      </c>
      <c r="I14" s="80"/>
      <c r="J14" s="91">
        <v>673</v>
      </c>
      <c r="K14" s="94">
        <v>31.95</v>
      </c>
      <c r="L14" s="79">
        <v>41312</v>
      </c>
      <c r="M14" s="78" t="s">
        <v>114</v>
      </c>
      <c r="N14" s="54"/>
      <c r="O14" s="32"/>
    </row>
    <row r="15" spans="1:15" ht="10.5" customHeight="1">
      <c r="A15" s="78" t="s">
        <v>125</v>
      </c>
      <c r="B15" s="78" t="s">
        <v>82</v>
      </c>
      <c r="C15" s="78" t="s">
        <v>108</v>
      </c>
      <c r="D15" s="78" t="s">
        <v>117</v>
      </c>
      <c r="E15" s="78" t="s">
        <v>60</v>
      </c>
      <c r="F15" s="78" t="s">
        <v>61</v>
      </c>
      <c r="G15" s="93">
        <v>486100</v>
      </c>
      <c r="H15" s="96">
        <v>485500</v>
      </c>
      <c r="I15" s="80"/>
      <c r="J15" s="91">
        <v>66671</v>
      </c>
      <c r="K15" s="94">
        <v>31.95</v>
      </c>
      <c r="L15" s="79">
        <v>41312</v>
      </c>
      <c r="M15" s="78" t="s">
        <v>114</v>
      </c>
      <c r="N15" s="54"/>
      <c r="O15" s="32"/>
    </row>
    <row r="16" spans="1:15" ht="10.5" customHeight="1">
      <c r="A16" s="78" t="s">
        <v>125</v>
      </c>
      <c r="B16" s="78" t="s">
        <v>82</v>
      </c>
      <c r="C16" s="78" t="s">
        <v>109</v>
      </c>
      <c r="D16" s="78" t="s">
        <v>118</v>
      </c>
      <c r="E16" s="78" t="s">
        <v>60</v>
      </c>
      <c r="F16" s="78" t="s">
        <v>61</v>
      </c>
      <c r="G16" s="93">
        <v>33433</v>
      </c>
      <c r="H16" s="96">
        <v>33381</v>
      </c>
      <c r="I16" s="80"/>
      <c r="J16" s="91">
        <v>4498</v>
      </c>
      <c r="K16" s="94">
        <v>32.44</v>
      </c>
      <c r="L16" s="79">
        <v>41318</v>
      </c>
      <c r="M16" s="78" t="s">
        <v>93</v>
      </c>
      <c r="N16" s="54"/>
      <c r="O16" s="32"/>
    </row>
    <row r="17" spans="1:15" ht="10.5" customHeight="1">
      <c r="A17" s="78" t="s">
        <v>125</v>
      </c>
      <c r="B17" s="78" t="s">
        <v>82</v>
      </c>
      <c r="C17" s="78" t="s">
        <v>110</v>
      </c>
      <c r="D17" s="78" t="s">
        <v>119</v>
      </c>
      <c r="E17" s="78" t="s">
        <v>60</v>
      </c>
      <c r="F17" s="78" t="s">
        <v>62</v>
      </c>
      <c r="G17" s="93">
        <v>650234</v>
      </c>
      <c r="H17" s="96">
        <v>649594</v>
      </c>
      <c r="I17" s="80"/>
      <c r="J17" s="91">
        <v>88942</v>
      </c>
      <c r="K17" s="94">
        <v>32.44</v>
      </c>
      <c r="L17" s="79">
        <v>41339</v>
      </c>
      <c r="M17" s="78" t="s">
        <v>63</v>
      </c>
      <c r="N17" s="54"/>
      <c r="O17" s="32"/>
    </row>
    <row r="18" spans="1:15" ht="10.5" customHeight="1">
      <c r="A18" s="78" t="s">
        <v>125</v>
      </c>
      <c r="B18" s="78" t="s">
        <v>82</v>
      </c>
      <c r="C18" s="78" t="s">
        <v>111</v>
      </c>
      <c r="D18" s="78" t="s">
        <v>120</v>
      </c>
      <c r="E18" s="78" t="s">
        <v>60</v>
      </c>
      <c r="F18" s="78" t="s">
        <v>61</v>
      </c>
      <c r="G18" s="93">
        <v>20367</v>
      </c>
      <c r="H18" s="96">
        <v>20331</v>
      </c>
      <c r="I18" s="80"/>
      <c r="J18" s="91">
        <v>2793</v>
      </c>
      <c r="K18" s="94">
        <v>31.88</v>
      </c>
      <c r="L18" s="79">
        <v>41345</v>
      </c>
      <c r="M18" s="78" t="s">
        <v>95</v>
      </c>
      <c r="N18" s="54"/>
      <c r="O18" s="32"/>
    </row>
    <row r="19" spans="1:15" ht="10.5" customHeight="1">
      <c r="A19" s="78" t="s">
        <v>125</v>
      </c>
      <c r="B19" s="78" t="s">
        <v>82</v>
      </c>
      <c r="C19" s="78" t="s">
        <v>144</v>
      </c>
      <c r="D19" s="78" t="s">
        <v>156</v>
      </c>
      <c r="E19" s="78" t="s">
        <v>153</v>
      </c>
      <c r="F19" s="78" t="s">
        <v>61</v>
      </c>
      <c r="G19" s="93">
        <v>907725</v>
      </c>
      <c r="H19" s="96">
        <v>906119</v>
      </c>
      <c r="J19" s="90">
        <v>124661</v>
      </c>
      <c r="K19" s="94">
        <v>31.65</v>
      </c>
      <c r="L19" s="79">
        <v>41366</v>
      </c>
      <c r="M19" s="78" t="s">
        <v>95</v>
      </c>
      <c r="N19" s="54"/>
      <c r="O19" s="32"/>
    </row>
    <row r="20" spans="1:15" ht="10.5" customHeight="1">
      <c r="A20" s="78" t="s">
        <v>125</v>
      </c>
      <c r="B20" s="78" t="s">
        <v>82</v>
      </c>
      <c r="C20" s="78" t="s">
        <v>145</v>
      </c>
      <c r="D20" s="78" t="s">
        <v>157</v>
      </c>
      <c r="E20" s="78" t="s">
        <v>154</v>
      </c>
      <c r="F20" s="78" t="s">
        <v>62</v>
      </c>
      <c r="G20" s="93">
        <v>10780</v>
      </c>
      <c r="H20" s="96">
        <v>10769</v>
      </c>
      <c r="I20" s="72"/>
      <c r="J20" s="90">
        <v>1472</v>
      </c>
      <c r="K20" s="94">
        <v>32.69</v>
      </c>
      <c r="L20" s="79">
        <v>41369</v>
      </c>
      <c r="M20" s="78" t="s">
        <v>150</v>
      </c>
    </row>
    <row r="21" spans="1:15" ht="10.5" customHeight="1">
      <c r="A21" s="78" t="s">
        <v>125</v>
      </c>
      <c r="B21" s="78" t="s">
        <v>82</v>
      </c>
      <c r="C21" s="78" t="s">
        <v>145</v>
      </c>
      <c r="D21" s="78" t="s">
        <v>158</v>
      </c>
      <c r="E21" s="78" t="s">
        <v>154</v>
      </c>
      <c r="F21" s="78" t="s">
        <v>62</v>
      </c>
      <c r="G21" s="93">
        <v>46764</v>
      </c>
      <c r="H21" s="96">
        <v>46724</v>
      </c>
      <c r="I21" s="72"/>
      <c r="J21" s="90">
        <v>6410</v>
      </c>
      <c r="K21" s="94">
        <v>32.119999999999997</v>
      </c>
      <c r="L21" s="79">
        <v>41382</v>
      </c>
      <c r="M21" s="78" t="s">
        <v>150</v>
      </c>
    </row>
    <row r="22" spans="1:15" ht="10.5" customHeight="1">
      <c r="A22" s="78" t="s">
        <v>125</v>
      </c>
      <c r="B22" s="78" t="s">
        <v>82</v>
      </c>
      <c r="C22" s="78" t="s">
        <v>146</v>
      </c>
      <c r="D22" s="78" t="s">
        <v>140</v>
      </c>
      <c r="E22" s="78" t="s">
        <v>155</v>
      </c>
      <c r="F22" s="78" t="s">
        <v>61</v>
      </c>
      <c r="G22" s="93">
        <v>466663</v>
      </c>
      <c r="H22" s="96">
        <v>466027</v>
      </c>
      <c r="I22" s="72"/>
      <c r="J22" s="90">
        <v>63987</v>
      </c>
      <c r="K22" s="94">
        <v>31.99</v>
      </c>
      <c r="L22" s="79">
        <v>41394</v>
      </c>
      <c r="M22" s="78" t="s">
        <v>151</v>
      </c>
    </row>
    <row r="23" spans="1:15" ht="10.5" customHeight="1">
      <c r="A23" s="78" t="s">
        <v>125</v>
      </c>
      <c r="B23" s="78" t="s">
        <v>82</v>
      </c>
      <c r="C23" s="78" t="s">
        <v>146</v>
      </c>
      <c r="D23" s="78" t="s">
        <v>140</v>
      </c>
      <c r="E23" s="78" t="s">
        <v>155</v>
      </c>
      <c r="F23" s="78" t="s">
        <v>61</v>
      </c>
      <c r="G23" s="93">
        <v>386894</v>
      </c>
      <c r="H23" s="96">
        <v>386367</v>
      </c>
      <c r="I23" s="73"/>
      <c r="J23" s="90">
        <v>53050</v>
      </c>
      <c r="K23" s="94">
        <v>31.99</v>
      </c>
      <c r="L23" s="79">
        <v>41394</v>
      </c>
      <c r="M23" s="78" t="s">
        <v>151</v>
      </c>
    </row>
    <row r="24" spans="1:15" ht="10.5" customHeight="1">
      <c r="A24" s="78" t="s">
        <v>125</v>
      </c>
      <c r="B24" s="78" t="s">
        <v>82</v>
      </c>
      <c r="C24" s="78" t="s">
        <v>146</v>
      </c>
      <c r="D24" s="78" t="s">
        <v>140</v>
      </c>
      <c r="E24" s="78" t="s">
        <v>155</v>
      </c>
      <c r="F24" s="78" t="s">
        <v>61</v>
      </c>
      <c r="G24" s="93">
        <v>101740</v>
      </c>
      <c r="H24" s="96">
        <v>101601</v>
      </c>
      <c r="I24" s="72"/>
      <c r="J24" s="90">
        <v>13950</v>
      </c>
      <c r="K24" s="94">
        <v>31.99</v>
      </c>
      <c r="L24" s="79">
        <v>41394</v>
      </c>
      <c r="M24" s="78" t="s">
        <v>151</v>
      </c>
    </row>
    <row r="25" spans="1:15" ht="10.5" customHeight="1">
      <c r="A25" s="78" t="s">
        <v>125</v>
      </c>
      <c r="B25" s="78" t="s">
        <v>82</v>
      </c>
      <c r="C25" s="78" t="s">
        <v>147</v>
      </c>
      <c r="D25" s="78" t="s">
        <v>159</v>
      </c>
      <c r="E25" s="78" t="s">
        <v>155</v>
      </c>
      <c r="F25" s="78" t="s">
        <v>62</v>
      </c>
      <c r="G25" s="93">
        <v>9625</v>
      </c>
      <c r="H25" s="96">
        <v>9617</v>
      </c>
      <c r="I25" s="72"/>
      <c r="J25" s="90">
        <v>1314</v>
      </c>
      <c r="K25" s="94">
        <v>32.79</v>
      </c>
      <c r="L25" s="79">
        <v>41407</v>
      </c>
      <c r="M25" s="78" t="s">
        <v>63</v>
      </c>
      <c r="O25" s="78" t="s">
        <v>232</v>
      </c>
    </row>
    <row r="26" spans="1:15" ht="10.5" customHeight="1">
      <c r="A26" s="78" t="s">
        <v>125</v>
      </c>
      <c r="B26" s="78" t="s">
        <v>82</v>
      </c>
      <c r="C26" s="78" t="s">
        <v>148</v>
      </c>
      <c r="D26" s="78" t="s">
        <v>142</v>
      </c>
      <c r="E26" s="78" t="s">
        <v>154</v>
      </c>
      <c r="F26" s="78" t="s">
        <v>61</v>
      </c>
      <c r="G26" s="93">
        <v>496297</v>
      </c>
      <c r="H26" s="96">
        <v>495975</v>
      </c>
      <c r="I26" s="72"/>
      <c r="J26" s="90">
        <v>67584</v>
      </c>
      <c r="K26" s="94">
        <v>33.229999999999997</v>
      </c>
      <c r="L26" s="79">
        <v>41428</v>
      </c>
      <c r="M26" s="78" t="s">
        <v>63</v>
      </c>
      <c r="O26" s="78" t="s">
        <v>232</v>
      </c>
    </row>
    <row r="27" spans="1:15" ht="10.5" customHeight="1">
      <c r="A27" s="78" t="s">
        <v>125</v>
      </c>
      <c r="B27" s="78" t="s">
        <v>82</v>
      </c>
      <c r="C27" s="78" t="s">
        <v>148</v>
      </c>
      <c r="D27" s="78" t="s">
        <v>142</v>
      </c>
      <c r="E27" s="78" t="s">
        <v>154</v>
      </c>
      <c r="F27" s="78" t="s">
        <v>61</v>
      </c>
      <c r="G27" s="93">
        <v>458121</v>
      </c>
      <c r="H27" s="96">
        <v>457824</v>
      </c>
      <c r="I27" s="72"/>
      <c r="J27" s="90">
        <v>62386</v>
      </c>
      <c r="K27" s="94">
        <v>33.229999999999997</v>
      </c>
      <c r="L27" s="79">
        <v>41428</v>
      </c>
      <c r="M27" s="78" t="s">
        <v>63</v>
      </c>
      <c r="O27" s="78" t="s">
        <v>233</v>
      </c>
    </row>
    <row r="28" spans="1:15" ht="10.5" customHeight="1">
      <c r="A28" s="78" t="s">
        <v>125</v>
      </c>
      <c r="B28" s="78" t="s">
        <v>82</v>
      </c>
      <c r="C28" s="78" t="s">
        <v>149</v>
      </c>
      <c r="D28" s="78" t="s">
        <v>160</v>
      </c>
      <c r="E28" s="78" t="s">
        <v>154</v>
      </c>
      <c r="F28" s="78" t="s">
        <v>61</v>
      </c>
      <c r="G28" s="93">
        <v>66116</v>
      </c>
      <c r="H28" s="96">
        <v>66045</v>
      </c>
      <c r="I28" s="72"/>
      <c r="J28" s="90">
        <v>9004</v>
      </c>
      <c r="K28" s="94">
        <v>33.15</v>
      </c>
      <c r="L28" s="79">
        <v>41439</v>
      </c>
      <c r="M28" s="78" t="s">
        <v>152</v>
      </c>
      <c r="O28" s="78" t="s">
        <v>229</v>
      </c>
    </row>
    <row r="29" spans="1:15" ht="10.5" customHeight="1">
      <c r="A29" s="78" t="s">
        <v>125</v>
      </c>
      <c r="B29" s="78" t="s">
        <v>82</v>
      </c>
      <c r="C29" s="78" t="s">
        <v>184</v>
      </c>
      <c r="D29" s="78" t="s">
        <v>188</v>
      </c>
      <c r="E29" s="78" t="s">
        <v>60</v>
      </c>
      <c r="F29" s="78" t="s">
        <v>62</v>
      </c>
      <c r="G29" s="93">
        <v>474076</v>
      </c>
      <c r="H29" s="96">
        <v>473356</v>
      </c>
      <c r="I29" s="72"/>
      <c r="J29" s="90">
        <v>64539</v>
      </c>
      <c r="K29" s="94">
        <v>33.130000000000003</v>
      </c>
      <c r="L29" s="79">
        <v>41467</v>
      </c>
      <c r="M29" s="78" t="s">
        <v>63</v>
      </c>
      <c r="O29" s="78"/>
    </row>
    <row r="30" spans="1:15" ht="10.5" customHeight="1">
      <c r="A30" s="78" t="s">
        <v>125</v>
      </c>
      <c r="B30" s="78" t="s">
        <v>82</v>
      </c>
      <c r="C30" s="78" t="s">
        <v>184</v>
      </c>
      <c r="D30" s="78" t="s">
        <v>188</v>
      </c>
      <c r="E30" s="78" t="s">
        <v>60</v>
      </c>
      <c r="F30" s="78" t="s">
        <v>62</v>
      </c>
      <c r="G30" s="93">
        <v>146442</v>
      </c>
      <c r="H30" s="96">
        <v>146220</v>
      </c>
      <c r="I30" s="72"/>
      <c r="J30" s="90">
        <v>19936</v>
      </c>
      <c r="K30" s="94">
        <v>33.130000000000003</v>
      </c>
      <c r="L30" s="79">
        <v>41467</v>
      </c>
      <c r="M30" s="78" t="s">
        <v>63</v>
      </c>
      <c r="O30" s="78"/>
    </row>
    <row r="31" spans="1:15" ht="10.5" customHeight="1">
      <c r="A31" s="78" t="s">
        <v>125</v>
      </c>
      <c r="B31" s="78" t="s">
        <v>82</v>
      </c>
      <c r="C31" s="78" t="s">
        <v>184</v>
      </c>
      <c r="D31" s="78" t="s">
        <v>189</v>
      </c>
      <c r="E31" s="78" t="s">
        <v>60</v>
      </c>
      <c r="F31" s="78" t="s">
        <v>62</v>
      </c>
      <c r="G31" s="93">
        <v>82577</v>
      </c>
      <c r="H31" s="96">
        <v>82451</v>
      </c>
      <c r="I31" s="72"/>
      <c r="J31" s="90">
        <v>11242</v>
      </c>
      <c r="K31" s="94">
        <v>33.130000000000003</v>
      </c>
      <c r="L31" s="79">
        <v>41467</v>
      </c>
      <c r="M31" s="78" t="s">
        <v>63</v>
      </c>
      <c r="O31" s="78" t="s">
        <v>227</v>
      </c>
    </row>
    <row r="32" spans="1:15" ht="10.5" customHeight="1">
      <c r="A32" s="78" t="s">
        <v>125</v>
      </c>
      <c r="B32" s="78" t="s">
        <v>82</v>
      </c>
      <c r="C32" s="78" t="s">
        <v>185</v>
      </c>
      <c r="D32" s="78" t="s">
        <v>190</v>
      </c>
      <c r="E32" s="78" t="s">
        <v>60</v>
      </c>
      <c r="F32" s="78" t="s">
        <v>62</v>
      </c>
      <c r="G32" s="93">
        <v>392594</v>
      </c>
      <c r="H32" s="96">
        <v>392143</v>
      </c>
      <c r="I32" s="72"/>
      <c r="J32" s="90">
        <v>53409</v>
      </c>
      <c r="K32" s="94">
        <v>33.299999999999997</v>
      </c>
      <c r="L32" s="79">
        <v>41480</v>
      </c>
      <c r="M32" s="78" t="s">
        <v>193</v>
      </c>
      <c r="O32" s="78" t="s">
        <v>228</v>
      </c>
    </row>
    <row r="33" spans="1:15" ht="10.5" customHeight="1">
      <c r="A33" s="78" t="s">
        <v>125</v>
      </c>
      <c r="B33" s="78" t="s">
        <v>82</v>
      </c>
      <c r="C33" s="78" t="s">
        <v>185</v>
      </c>
      <c r="D33" s="78" t="s">
        <v>190</v>
      </c>
      <c r="E33" s="78" t="s">
        <v>60</v>
      </c>
      <c r="F33" s="78" t="s">
        <v>62</v>
      </c>
      <c r="G33" s="93">
        <v>191220</v>
      </c>
      <c r="H33" s="96">
        <v>191000</v>
      </c>
      <c r="I33" s="72"/>
      <c r="J33" s="90">
        <v>26014</v>
      </c>
      <c r="K33" s="94">
        <v>33.299999999999997</v>
      </c>
      <c r="L33" s="79">
        <v>41480</v>
      </c>
      <c r="M33" s="78" t="s">
        <v>193</v>
      </c>
      <c r="O33" s="78"/>
    </row>
    <row r="34" spans="1:15" ht="10.5" customHeight="1">
      <c r="A34" s="78" t="s">
        <v>125</v>
      </c>
      <c r="B34" s="78" t="s">
        <v>82</v>
      </c>
      <c r="C34" s="78" t="s">
        <v>186</v>
      </c>
      <c r="D34" s="78" t="s">
        <v>191</v>
      </c>
      <c r="E34" s="78" t="s">
        <v>60</v>
      </c>
      <c r="F34" s="78" t="s">
        <v>61</v>
      </c>
      <c r="G34" s="93">
        <v>1000907</v>
      </c>
      <c r="H34" s="96">
        <v>998994</v>
      </c>
      <c r="I34" s="72"/>
      <c r="J34" s="90">
        <v>137161</v>
      </c>
      <c r="K34" s="94">
        <v>31.99</v>
      </c>
      <c r="L34" s="79">
        <v>41517</v>
      </c>
      <c r="M34" s="78" t="s">
        <v>93</v>
      </c>
      <c r="O34" s="78"/>
    </row>
    <row r="35" spans="1:15" ht="10.5" customHeight="1">
      <c r="A35" s="78" t="s">
        <v>125</v>
      </c>
      <c r="B35" s="78" t="s">
        <v>82</v>
      </c>
      <c r="C35" s="78" t="s">
        <v>187</v>
      </c>
      <c r="D35" s="78" t="s">
        <v>192</v>
      </c>
      <c r="E35" s="78" t="s">
        <v>60</v>
      </c>
      <c r="F35" s="78" t="s">
        <v>61</v>
      </c>
      <c r="G35" s="93">
        <v>300980</v>
      </c>
      <c r="H35" s="96">
        <v>300000</v>
      </c>
      <c r="I35" s="72"/>
      <c r="J35" s="90">
        <v>41095</v>
      </c>
      <c r="K35" s="94">
        <v>32.369999999999997</v>
      </c>
      <c r="L35" s="79">
        <v>41531</v>
      </c>
      <c r="M35" s="78" t="s">
        <v>194</v>
      </c>
    </row>
    <row r="36" spans="1:15" ht="10.5" customHeight="1">
      <c r="A36" s="78" t="s">
        <v>125</v>
      </c>
      <c r="B36" s="78" t="s">
        <v>82</v>
      </c>
      <c r="C36" s="78" t="s">
        <v>187</v>
      </c>
      <c r="D36" s="78" t="s">
        <v>192</v>
      </c>
      <c r="E36" s="78" t="s">
        <v>60</v>
      </c>
      <c r="F36" s="78" t="s">
        <v>61</v>
      </c>
      <c r="G36" s="93">
        <v>383261</v>
      </c>
      <c r="H36" s="96">
        <v>382014</v>
      </c>
      <c r="I36" s="72"/>
      <c r="J36" s="90">
        <v>52330</v>
      </c>
      <c r="K36" s="94">
        <v>32.369999999999997</v>
      </c>
      <c r="L36" s="79">
        <v>41531</v>
      </c>
      <c r="M36" s="78" t="s">
        <v>195</v>
      </c>
    </row>
    <row r="37" spans="1:15" ht="10.5" customHeight="1">
      <c r="A37" s="78" t="s">
        <v>125</v>
      </c>
      <c r="B37" s="78" t="s">
        <v>82</v>
      </c>
      <c r="C37" s="78" t="s">
        <v>233</v>
      </c>
      <c r="D37" s="78" t="s">
        <v>241</v>
      </c>
      <c r="E37" s="78" t="s">
        <v>243</v>
      </c>
      <c r="F37" s="78" t="s">
        <v>61</v>
      </c>
      <c r="G37" s="96">
        <v>965891</v>
      </c>
      <c r="H37" s="96">
        <v>963802</v>
      </c>
      <c r="I37" s="72"/>
      <c r="J37" s="90">
        <v>131674</v>
      </c>
      <c r="K37" s="94">
        <v>32.79</v>
      </c>
      <c r="L37" s="79">
        <v>41551</v>
      </c>
      <c r="M37" s="78" t="s">
        <v>63</v>
      </c>
    </row>
    <row r="38" spans="1:15" ht="10.5" customHeight="1">
      <c r="A38" s="78" t="s">
        <v>125</v>
      </c>
      <c r="B38" s="78" t="s">
        <v>82</v>
      </c>
      <c r="C38" s="78" t="s">
        <v>227</v>
      </c>
      <c r="D38" s="78" t="s">
        <v>237</v>
      </c>
      <c r="E38" s="78" t="s">
        <v>153</v>
      </c>
      <c r="F38" s="78" t="s">
        <v>61</v>
      </c>
      <c r="G38" s="96">
        <v>73781</v>
      </c>
      <c r="H38" s="96">
        <v>73697</v>
      </c>
      <c r="I38" s="72"/>
      <c r="J38" s="90">
        <v>10066</v>
      </c>
      <c r="K38" s="94">
        <v>32.82</v>
      </c>
      <c r="L38" s="79">
        <v>41558</v>
      </c>
      <c r="M38" s="78" t="s">
        <v>95</v>
      </c>
    </row>
    <row r="39" spans="1:15" ht="10.5" customHeight="1">
      <c r="A39" s="78" t="s">
        <v>125</v>
      </c>
      <c r="B39" s="78" t="s">
        <v>82</v>
      </c>
      <c r="C39" s="78" t="s">
        <v>229</v>
      </c>
      <c r="D39" s="78" t="s">
        <v>239</v>
      </c>
      <c r="E39" s="78" t="s">
        <v>60</v>
      </c>
      <c r="F39" s="78" t="s">
        <v>62</v>
      </c>
      <c r="G39" s="96">
        <v>218997</v>
      </c>
      <c r="H39" s="96">
        <v>218786</v>
      </c>
      <c r="I39" s="72"/>
      <c r="J39" s="90">
        <v>29936</v>
      </c>
      <c r="K39" s="94">
        <v>32.56</v>
      </c>
      <c r="L39" s="79">
        <v>41582</v>
      </c>
      <c r="M39" s="78" t="s">
        <v>234</v>
      </c>
    </row>
    <row r="40" spans="1:15" ht="10.5" customHeight="1">
      <c r="A40" s="78" t="s">
        <v>125</v>
      </c>
      <c r="B40" s="78" t="s">
        <v>82</v>
      </c>
      <c r="C40" s="78" t="s">
        <v>232</v>
      </c>
      <c r="D40" s="78" t="s">
        <v>222</v>
      </c>
      <c r="E40" s="78" t="s">
        <v>60</v>
      </c>
      <c r="F40" s="78" t="s">
        <v>62</v>
      </c>
      <c r="G40" s="96">
        <v>302869</v>
      </c>
      <c r="H40" s="96">
        <v>302500</v>
      </c>
      <c r="I40" s="72"/>
      <c r="J40" s="90">
        <v>41468</v>
      </c>
      <c r="K40" s="94">
        <v>32.24</v>
      </c>
      <c r="L40" s="79">
        <v>41608</v>
      </c>
      <c r="M40" s="78" t="s">
        <v>93</v>
      </c>
    </row>
    <row r="41" spans="1:15" ht="10.5" customHeight="1">
      <c r="A41" s="78" t="s">
        <v>125</v>
      </c>
      <c r="B41" s="78" t="s">
        <v>82</v>
      </c>
      <c r="C41" s="78" t="s">
        <v>232</v>
      </c>
      <c r="D41" s="78" t="s">
        <v>222</v>
      </c>
      <c r="E41" s="78" t="s">
        <v>60</v>
      </c>
      <c r="F41" s="78" t="s">
        <v>62</v>
      </c>
      <c r="G41" s="96">
        <v>507554</v>
      </c>
      <c r="H41" s="96">
        <v>506935</v>
      </c>
      <c r="I41" s="72"/>
      <c r="J41" s="90">
        <v>69494</v>
      </c>
      <c r="K41" s="94">
        <v>32.24</v>
      </c>
      <c r="L41" s="79">
        <v>41608</v>
      </c>
      <c r="M41" s="78" t="s">
        <v>93</v>
      </c>
    </row>
    <row r="42" spans="1:15" ht="10.5" customHeight="1">
      <c r="A42" s="78" t="s">
        <v>125</v>
      </c>
      <c r="B42" s="78" t="s">
        <v>82</v>
      </c>
      <c r="C42" s="78" t="s">
        <v>228</v>
      </c>
      <c r="D42" s="78" t="s">
        <v>238</v>
      </c>
      <c r="E42" s="78" t="s">
        <v>242</v>
      </c>
      <c r="F42" s="78" t="s">
        <v>61</v>
      </c>
      <c r="G42" s="96">
        <v>185396</v>
      </c>
      <c r="H42" s="96">
        <v>184917</v>
      </c>
      <c r="I42" s="72"/>
      <c r="J42" s="90">
        <v>25341</v>
      </c>
      <c r="K42" s="94">
        <v>32.29</v>
      </c>
      <c r="L42" s="79">
        <v>41437</v>
      </c>
      <c r="M42" s="78" t="s">
        <v>95</v>
      </c>
    </row>
    <row r="43" spans="1:15" ht="10.5" customHeight="1">
      <c r="A43" s="78" t="s">
        <v>125</v>
      </c>
      <c r="B43" s="78" t="s">
        <v>82</v>
      </c>
      <c r="C43" s="78" t="s">
        <v>230</v>
      </c>
      <c r="D43" s="78" t="s">
        <v>240</v>
      </c>
      <c r="E43" s="78" t="s">
        <v>155</v>
      </c>
      <c r="F43" s="78" t="s">
        <v>61</v>
      </c>
      <c r="G43" s="96">
        <v>242229</v>
      </c>
      <c r="H43" s="96">
        <v>241750</v>
      </c>
      <c r="I43" s="72"/>
      <c r="J43" s="90">
        <v>33063</v>
      </c>
      <c r="K43" s="94">
        <v>32.630000000000003</v>
      </c>
      <c r="L43" s="79">
        <v>41635</v>
      </c>
      <c r="M43" s="78" t="s">
        <v>235</v>
      </c>
    </row>
    <row r="44" spans="1:15" ht="10.5" customHeight="1">
      <c r="A44" s="78" t="s">
        <v>125</v>
      </c>
      <c r="B44" s="78" t="s">
        <v>82</v>
      </c>
      <c r="C44" s="78" t="s">
        <v>230</v>
      </c>
      <c r="D44" s="78" t="s">
        <v>240</v>
      </c>
      <c r="E44" s="78" t="s">
        <v>155</v>
      </c>
      <c r="F44" s="78" t="s">
        <v>61</v>
      </c>
      <c r="G44" s="96">
        <v>303702</v>
      </c>
      <c r="H44" s="96">
        <v>303101</v>
      </c>
      <c r="I44" s="72"/>
      <c r="J44" s="90">
        <v>41453</v>
      </c>
      <c r="K44" s="94">
        <v>32.630000000000003</v>
      </c>
      <c r="L44" s="79">
        <v>41635</v>
      </c>
      <c r="M44" s="78" t="s">
        <v>235</v>
      </c>
    </row>
    <row r="45" spans="1:15" ht="10.5" customHeight="1">
      <c r="A45" s="78" t="s">
        <v>125</v>
      </c>
      <c r="B45" s="78" t="s">
        <v>82</v>
      </c>
      <c r="C45" s="78" t="s">
        <v>231</v>
      </c>
      <c r="D45" s="78" t="s">
        <v>224</v>
      </c>
      <c r="E45" s="78" t="s">
        <v>60</v>
      </c>
      <c r="F45" s="78" t="s">
        <v>61</v>
      </c>
      <c r="G45" s="96">
        <v>270387</v>
      </c>
      <c r="H45" s="96">
        <v>270000</v>
      </c>
      <c r="I45" s="72"/>
      <c r="J45" s="90">
        <v>36835</v>
      </c>
      <c r="K45" s="94">
        <v>33.03</v>
      </c>
      <c r="L45" s="79">
        <v>41639</v>
      </c>
      <c r="M45" s="78" t="s">
        <v>236</v>
      </c>
    </row>
    <row r="46" spans="1:15" ht="10.5" customHeight="1">
      <c r="A46" s="78" t="s">
        <v>125</v>
      </c>
      <c r="B46" s="78" t="s">
        <v>82</v>
      </c>
      <c r="C46" s="78" t="s">
        <v>231</v>
      </c>
      <c r="D46" s="78" t="s">
        <v>224</v>
      </c>
      <c r="E46" s="78" t="s">
        <v>60</v>
      </c>
      <c r="F46" s="78" t="s">
        <v>61</v>
      </c>
      <c r="G46" s="96">
        <v>529439</v>
      </c>
      <c r="H46" s="96">
        <v>528680</v>
      </c>
      <c r="I46" s="72"/>
      <c r="J46" s="90">
        <v>72127</v>
      </c>
      <c r="K46" s="94">
        <v>33.03</v>
      </c>
      <c r="L46" s="79">
        <v>41639</v>
      </c>
      <c r="M46" s="78" t="s">
        <v>236</v>
      </c>
    </row>
    <row r="47" spans="1:15" ht="12" thickBot="1">
      <c r="A47" s="78"/>
      <c r="B47" s="78"/>
      <c r="C47" s="78"/>
      <c r="D47" s="78"/>
      <c r="E47" s="78"/>
      <c r="F47" s="78"/>
      <c r="G47" s="93"/>
      <c r="H47" s="96"/>
      <c r="I47" s="72"/>
      <c r="J47" s="90"/>
      <c r="K47" s="94"/>
      <c r="L47" s="79"/>
      <c r="M47" s="78"/>
    </row>
    <row r="48" spans="1:15" ht="20.25" customHeight="1" thickTop="1" thickBot="1">
      <c r="A48" s="136" t="s">
        <v>106</v>
      </c>
      <c r="B48" s="136"/>
      <c r="C48" s="136"/>
      <c r="D48" s="136"/>
      <c r="E48" s="136"/>
      <c r="F48" s="136"/>
      <c r="G48" s="68">
        <f>SUM(G6:G47)</f>
        <v>11281877</v>
      </c>
      <c r="H48" s="68">
        <f t="shared" ref="H48:J48" si="0">SUM(H6:H47)</f>
        <v>11263717</v>
      </c>
      <c r="I48" s="68">
        <f t="shared" si="0"/>
        <v>0</v>
      </c>
      <c r="J48" s="68">
        <f t="shared" si="0"/>
        <v>1541598</v>
      </c>
      <c r="K48" s="68"/>
      <c r="L48" s="68"/>
      <c r="M48" s="69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53"/>
      <c r="B50" s="53"/>
      <c r="C50" s="53"/>
      <c r="D50" s="53"/>
      <c r="E50" s="53"/>
      <c r="F50" s="53"/>
      <c r="G50" s="53"/>
      <c r="H50" s="53"/>
      <c r="I50" s="53"/>
    </row>
    <row r="51" spans="1:9">
      <c r="A51" s="53"/>
      <c r="B51" s="53"/>
      <c r="C51" s="53"/>
      <c r="D51" s="53"/>
      <c r="E51" s="53"/>
      <c r="F51" s="53"/>
      <c r="G51" s="53"/>
      <c r="H51" s="53"/>
      <c r="I51" s="53"/>
    </row>
    <row r="52" spans="1:9">
      <c r="A52" s="53"/>
      <c r="B52" s="53"/>
      <c r="C52" s="53"/>
      <c r="D52" s="53"/>
      <c r="E52" s="53"/>
      <c r="F52" s="53"/>
      <c r="G52" s="53"/>
      <c r="H52" s="53"/>
      <c r="I52" s="53"/>
    </row>
    <row r="53" spans="1:9">
      <c r="A53" s="53"/>
      <c r="B53" s="53"/>
      <c r="C53" s="53"/>
      <c r="D53" s="53"/>
      <c r="E53" s="53"/>
      <c r="F53" s="53"/>
      <c r="G53" s="53"/>
      <c r="H53" s="53"/>
      <c r="I53" s="53"/>
    </row>
    <row r="54" spans="1:9">
      <c r="A54" s="53"/>
      <c r="B54" s="53"/>
      <c r="C54" s="53"/>
      <c r="D54" s="53"/>
      <c r="E54" s="53"/>
      <c r="F54" s="53"/>
      <c r="G54" s="53"/>
      <c r="H54" s="53"/>
      <c r="I54" s="53"/>
    </row>
    <row r="55" spans="1:9">
      <c r="A55" s="53"/>
      <c r="B55" s="53"/>
      <c r="C55" s="53"/>
      <c r="D55" s="53"/>
      <c r="E55" s="53"/>
      <c r="F55" s="53"/>
      <c r="G55" s="53"/>
      <c r="H55" s="53"/>
      <c r="I55" s="53"/>
    </row>
    <row r="56" spans="1:9">
      <c r="A56" s="53"/>
      <c r="B56" s="53"/>
      <c r="C56" s="53"/>
      <c r="D56" s="53"/>
      <c r="E56" s="53"/>
      <c r="F56" s="53"/>
      <c r="G56" s="53"/>
      <c r="H56" s="53"/>
      <c r="I56" s="53"/>
    </row>
    <row r="57" spans="1:9">
      <c r="A57" s="53"/>
      <c r="B57" s="53"/>
      <c r="C57" s="53"/>
      <c r="D57" s="53"/>
      <c r="E57" s="53"/>
      <c r="F57" s="53"/>
      <c r="G57" s="53"/>
      <c r="H57" s="53"/>
      <c r="I57" s="53"/>
    </row>
    <row r="58" spans="1:9">
      <c r="A58" s="53"/>
      <c r="B58" s="53"/>
      <c r="C58" s="53"/>
      <c r="D58" s="53"/>
      <c r="E58" s="53"/>
      <c r="F58" s="53"/>
      <c r="G58" s="53"/>
      <c r="H58" s="53"/>
      <c r="I58" s="53"/>
    </row>
    <row r="59" spans="1:9">
      <c r="A59" s="77"/>
      <c r="B59" s="77"/>
      <c r="C59" s="77"/>
      <c r="D59" s="77"/>
      <c r="E59" s="77"/>
      <c r="F59" s="77"/>
      <c r="G59" s="77"/>
      <c r="H59" s="77"/>
      <c r="I59" s="77"/>
    </row>
    <row r="60" spans="1:9">
      <c r="A60" s="77"/>
      <c r="B60" s="77"/>
      <c r="C60" s="77"/>
      <c r="D60" s="77"/>
      <c r="E60" s="77"/>
      <c r="F60" s="77"/>
      <c r="G60" s="77"/>
      <c r="H60" s="77"/>
      <c r="I60" s="77"/>
    </row>
    <row r="61" spans="1:9">
      <c r="A61" s="77"/>
      <c r="B61" s="77"/>
      <c r="C61" s="77"/>
      <c r="D61" s="77"/>
      <c r="E61" s="77"/>
      <c r="F61" s="77"/>
      <c r="G61" s="77"/>
      <c r="H61" s="77"/>
      <c r="I61" s="77"/>
    </row>
    <row r="62" spans="1:9">
      <c r="A62" s="72"/>
      <c r="B62" s="72"/>
      <c r="C62" s="72"/>
      <c r="D62" s="72"/>
      <c r="E62" s="72"/>
      <c r="F62" s="72"/>
      <c r="G62" s="72"/>
      <c r="H62" s="53"/>
      <c r="I62" s="72"/>
    </row>
    <row r="63" spans="1:9">
      <c r="A63" s="72"/>
      <c r="B63" s="72"/>
      <c r="C63" s="72"/>
      <c r="D63" s="72"/>
      <c r="E63" s="72"/>
      <c r="F63" s="72"/>
      <c r="G63" s="72"/>
      <c r="H63" s="72"/>
      <c r="I63" s="72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2"/>
      <c r="B68" s="72"/>
      <c r="C68" s="72"/>
      <c r="D68" s="72"/>
      <c r="E68" s="72"/>
      <c r="F68" s="72"/>
      <c r="G68" s="72"/>
      <c r="H68" s="72"/>
      <c r="I68" s="72"/>
    </row>
    <row r="69" spans="1:9">
      <c r="A69" s="72"/>
      <c r="B69" s="72"/>
      <c r="C69" s="72"/>
      <c r="D69" s="72"/>
      <c r="E69" s="72"/>
      <c r="F69" s="72"/>
      <c r="G69" s="72"/>
      <c r="H69" s="72"/>
      <c r="I69" s="72"/>
    </row>
    <row r="70" spans="1:9">
      <c r="A70" s="72"/>
      <c r="B70" s="72"/>
      <c r="C70" s="72"/>
      <c r="D70" s="72"/>
      <c r="E70" s="72"/>
      <c r="F70" s="72"/>
      <c r="G70" s="72"/>
      <c r="H70" s="72"/>
      <c r="I70" s="72"/>
    </row>
    <row r="71" spans="1:9">
      <c r="A71" s="72"/>
      <c r="B71" s="72"/>
      <c r="C71" s="72"/>
      <c r="D71" s="72"/>
      <c r="E71" s="72"/>
      <c r="F71" s="72"/>
      <c r="G71" s="72"/>
      <c r="H71" s="72"/>
      <c r="I71" s="72"/>
    </row>
    <row r="72" spans="1:9">
      <c r="A72" s="70"/>
      <c r="B72" s="71"/>
      <c r="C72" s="71"/>
      <c r="D72" s="71"/>
      <c r="E72" s="71"/>
      <c r="F72" s="71"/>
      <c r="G72" s="71"/>
      <c r="H72" s="71"/>
      <c r="I72" s="71"/>
    </row>
    <row r="73" spans="1:9">
      <c r="A73" s="72"/>
      <c r="B73" s="72"/>
      <c r="C73" s="72"/>
      <c r="D73" s="72"/>
      <c r="E73" s="72"/>
      <c r="F73" s="72"/>
      <c r="G73" s="72"/>
      <c r="H73" s="72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3"/>
      <c r="B77" s="73"/>
      <c r="C77" s="73"/>
      <c r="D77" s="73"/>
      <c r="E77" s="73"/>
      <c r="F77" s="73"/>
      <c r="G77" s="73"/>
      <c r="H77" s="73"/>
      <c r="I77" s="73"/>
    </row>
    <row r="78" spans="1:9">
      <c r="A78" s="74"/>
      <c r="B78" s="75"/>
      <c r="C78" s="75"/>
      <c r="D78" s="75"/>
      <c r="E78" s="75"/>
      <c r="F78" s="75"/>
      <c r="G78" s="75"/>
      <c r="H78" s="75"/>
      <c r="I78" s="75"/>
    </row>
    <row r="79" spans="1:9">
      <c r="A79" s="76"/>
      <c r="B79" s="75"/>
      <c r="C79" s="75"/>
      <c r="D79" s="75"/>
      <c r="E79" s="75"/>
      <c r="F79" s="75"/>
      <c r="G79" s="75"/>
      <c r="H79" s="75"/>
      <c r="I79" s="75"/>
    </row>
    <row r="80" spans="1:9">
      <c r="A80" s="76"/>
      <c r="B80" s="76"/>
      <c r="C80" s="76"/>
      <c r="D80" s="76"/>
      <c r="E80" s="76"/>
      <c r="F80" s="76"/>
      <c r="G80" s="76"/>
      <c r="H80" s="76"/>
      <c r="I80" s="76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1"/>
      <c r="B82" s="71"/>
      <c r="C82" s="71"/>
      <c r="D82" s="71"/>
      <c r="E82" s="71"/>
      <c r="F82" s="71"/>
      <c r="G82" s="71"/>
      <c r="H82" s="71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1"/>
      <c r="B88" s="71"/>
      <c r="C88" s="71"/>
      <c r="D88" s="71"/>
      <c r="E88" s="71"/>
      <c r="F88" s="71"/>
      <c r="G88" s="71"/>
      <c r="H88" s="71"/>
      <c r="I88" s="71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72"/>
      <c r="B91" s="72"/>
      <c r="C91" s="72"/>
      <c r="D91" s="72"/>
      <c r="E91" s="72"/>
      <c r="F91" s="72"/>
      <c r="G91" s="72"/>
      <c r="H91" s="72"/>
      <c r="I91" s="72"/>
    </row>
    <row r="92" spans="1:9">
      <c r="A92" s="72"/>
      <c r="B92" s="72"/>
      <c r="C92" s="72"/>
      <c r="D92" s="72"/>
      <c r="E92" s="72"/>
      <c r="F92" s="72"/>
      <c r="G92" s="72"/>
      <c r="H92" s="72"/>
      <c r="I92" s="72"/>
    </row>
    <row r="93" spans="1:9">
      <c r="A93" s="72"/>
      <c r="B93" s="72"/>
      <c r="C93" s="72"/>
      <c r="D93" s="72"/>
      <c r="E93" s="72"/>
      <c r="F93" s="72"/>
      <c r="G93" s="72"/>
      <c r="H93" s="72"/>
      <c r="I93" s="72"/>
    </row>
    <row r="94" spans="1:9">
      <c r="A94" s="72"/>
      <c r="B94" s="72"/>
      <c r="C94" s="72"/>
      <c r="D94" s="72"/>
      <c r="E94" s="72"/>
      <c r="F94" s="72"/>
      <c r="G94" s="72"/>
      <c r="H94" s="72"/>
      <c r="I94" s="72"/>
    </row>
    <row r="95" spans="1:9">
      <c r="A95" s="72"/>
      <c r="B95" s="72"/>
      <c r="C95" s="72"/>
      <c r="D95" s="72"/>
      <c r="E95" s="72"/>
      <c r="F95" s="72"/>
      <c r="G95" s="72"/>
      <c r="H95" s="72"/>
      <c r="I95" s="72"/>
    </row>
    <row r="96" spans="1:9">
      <c r="A96" s="72"/>
      <c r="B96" s="72"/>
      <c r="C96" s="72"/>
      <c r="D96" s="72"/>
      <c r="E96" s="72"/>
      <c r="F96" s="72"/>
      <c r="G96" s="72"/>
      <c r="H96" s="72"/>
      <c r="I96" s="72"/>
    </row>
    <row r="97" spans="1:9">
      <c r="A97" s="72"/>
      <c r="B97" s="72"/>
      <c r="C97" s="72"/>
      <c r="D97" s="72"/>
      <c r="E97" s="72"/>
      <c r="F97" s="72"/>
      <c r="G97" s="72"/>
      <c r="H97" s="72"/>
      <c r="I97" s="72"/>
    </row>
    <row r="98" spans="1:9">
      <c r="A98" s="72"/>
      <c r="B98" s="72"/>
      <c r="C98" s="72"/>
      <c r="D98" s="72"/>
      <c r="E98" s="72"/>
      <c r="F98" s="72"/>
      <c r="G98" s="72"/>
      <c r="H98" s="72"/>
      <c r="I98" s="72"/>
    </row>
    <row r="99" spans="1:9">
      <c r="A99" s="72"/>
      <c r="B99" s="72"/>
      <c r="C99" s="72"/>
      <c r="D99" s="72"/>
      <c r="E99" s="72"/>
      <c r="F99" s="72"/>
      <c r="G99" s="72"/>
      <c r="H99" s="72"/>
      <c r="I99" s="72"/>
    </row>
    <row r="100" spans="1:9">
      <c r="A100" s="53"/>
      <c r="B100" s="53"/>
      <c r="C100" s="53"/>
      <c r="D100" s="53"/>
      <c r="E100" s="53"/>
      <c r="F100" s="53"/>
      <c r="G100" s="53"/>
      <c r="H100" s="53"/>
      <c r="I100" s="53"/>
    </row>
    <row r="101" spans="1:9">
      <c r="A101" s="53"/>
      <c r="B101" s="53"/>
      <c r="C101" s="53"/>
      <c r="D101" s="53"/>
      <c r="E101" s="53"/>
      <c r="F101" s="53"/>
      <c r="G101" s="53"/>
      <c r="H101" s="53"/>
      <c r="I101" s="53"/>
    </row>
    <row r="102" spans="1:9">
      <c r="A102" s="53"/>
      <c r="B102" s="53"/>
      <c r="C102" s="53"/>
      <c r="D102" s="53"/>
      <c r="E102" s="53"/>
      <c r="F102" s="53"/>
      <c r="G102" s="53"/>
      <c r="H102" s="53"/>
      <c r="I102" s="53"/>
    </row>
    <row r="103" spans="1:9">
      <c r="A103" s="53"/>
      <c r="B103" s="53"/>
      <c r="C103" s="53"/>
      <c r="D103" s="53"/>
      <c r="E103" s="53"/>
      <c r="F103" s="53"/>
      <c r="G103" s="53"/>
      <c r="H103" s="53"/>
      <c r="I103" s="53"/>
    </row>
    <row r="104" spans="1:9">
      <c r="A104" s="53"/>
      <c r="B104" s="53"/>
      <c r="C104" s="53"/>
      <c r="D104" s="53"/>
      <c r="E104" s="53"/>
      <c r="F104" s="53"/>
      <c r="G104" s="53"/>
      <c r="H104" s="53"/>
      <c r="I104" s="53"/>
    </row>
    <row r="105" spans="1:9">
      <c r="A105" s="53"/>
      <c r="B105" s="53"/>
      <c r="C105" s="53"/>
      <c r="D105" s="53"/>
      <c r="E105" s="53"/>
      <c r="F105" s="53"/>
      <c r="G105" s="53"/>
      <c r="H105" s="53"/>
      <c r="I105" s="53"/>
    </row>
    <row r="106" spans="1:9">
      <c r="A106" s="53"/>
      <c r="B106" s="53"/>
      <c r="C106" s="53"/>
      <c r="D106" s="53"/>
      <c r="E106" s="53"/>
      <c r="F106" s="53"/>
      <c r="G106" s="53"/>
      <c r="H106" s="53"/>
      <c r="I106" s="53"/>
    </row>
    <row r="107" spans="1:9">
      <c r="A107" s="53"/>
      <c r="B107" s="53"/>
      <c r="C107" s="53"/>
      <c r="D107" s="53"/>
      <c r="E107" s="53"/>
      <c r="F107" s="53"/>
      <c r="G107" s="53"/>
      <c r="H107" s="53"/>
      <c r="I107" s="53"/>
    </row>
    <row r="108" spans="1:9">
      <c r="A108" s="77"/>
      <c r="B108" s="77"/>
      <c r="C108" s="77"/>
      <c r="D108" s="77"/>
      <c r="E108" s="77"/>
      <c r="F108" s="77"/>
      <c r="G108" s="77"/>
      <c r="H108" s="77"/>
      <c r="I108" s="77"/>
    </row>
    <row r="109" spans="1:9">
      <c r="A109" s="77"/>
      <c r="B109" s="77"/>
      <c r="C109" s="77"/>
      <c r="D109" s="77"/>
      <c r="E109" s="77"/>
      <c r="F109" s="77"/>
      <c r="G109" s="77"/>
      <c r="H109" s="77"/>
      <c r="I109" s="77"/>
    </row>
    <row r="110" spans="1:9">
      <c r="A110" s="77"/>
      <c r="B110" s="77"/>
      <c r="C110" s="77"/>
      <c r="D110" s="77"/>
      <c r="E110" s="77"/>
      <c r="F110" s="77"/>
      <c r="G110" s="77"/>
      <c r="H110" s="77"/>
      <c r="I110" s="77"/>
    </row>
    <row r="111" spans="1:9">
      <c r="A111" s="72"/>
      <c r="B111" s="72"/>
      <c r="C111" s="72"/>
      <c r="D111" s="72"/>
      <c r="E111" s="72"/>
      <c r="F111" s="72"/>
      <c r="G111" s="72"/>
      <c r="H111" s="53"/>
      <c r="I111" s="72"/>
    </row>
    <row r="112" spans="1:9">
      <c r="A112" s="72"/>
      <c r="B112" s="72"/>
      <c r="C112" s="72"/>
      <c r="D112" s="72"/>
      <c r="E112" s="72"/>
      <c r="F112" s="72"/>
      <c r="G112" s="72"/>
      <c r="H112" s="72"/>
      <c r="I112" s="72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2"/>
      <c r="B117" s="72"/>
      <c r="C117" s="72"/>
      <c r="D117" s="72"/>
      <c r="E117" s="72"/>
      <c r="F117" s="72"/>
      <c r="G117" s="72"/>
      <c r="H117" s="72"/>
      <c r="I117" s="72"/>
    </row>
    <row r="118" spans="1:9">
      <c r="A118" s="72"/>
      <c r="B118" s="72"/>
      <c r="C118" s="72"/>
      <c r="D118" s="72"/>
      <c r="E118" s="72"/>
      <c r="F118" s="72"/>
      <c r="G118" s="72"/>
      <c r="H118" s="72"/>
      <c r="I118" s="72"/>
    </row>
    <row r="119" spans="1:9">
      <c r="A119" s="72"/>
      <c r="B119" s="72"/>
      <c r="C119" s="72"/>
      <c r="D119" s="72"/>
      <c r="E119" s="72"/>
      <c r="F119" s="72"/>
      <c r="G119" s="72"/>
      <c r="H119" s="72"/>
      <c r="I119" s="72"/>
    </row>
    <row r="120" spans="1:9">
      <c r="A120" s="72"/>
      <c r="B120" s="72"/>
      <c r="C120" s="72"/>
      <c r="D120" s="72"/>
      <c r="E120" s="72"/>
      <c r="F120" s="72"/>
      <c r="G120" s="72"/>
      <c r="H120" s="72"/>
      <c r="I120" s="72"/>
    </row>
    <row r="121" spans="1:9">
      <c r="A121" s="70"/>
      <c r="B121" s="71"/>
      <c r="C121" s="71"/>
      <c r="D121" s="71"/>
      <c r="E121" s="71"/>
      <c r="F121" s="71"/>
      <c r="G121" s="71"/>
      <c r="H121" s="71"/>
      <c r="I121" s="71"/>
    </row>
    <row r="122" spans="1:9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3"/>
      <c r="B126" s="73"/>
      <c r="C126" s="73"/>
      <c r="D126" s="73"/>
      <c r="E126" s="73"/>
      <c r="F126" s="73"/>
      <c r="G126" s="73"/>
      <c r="H126" s="73"/>
      <c r="I126" s="73"/>
    </row>
    <row r="127" spans="1:9">
      <c r="A127" s="74"/>
      <c r="B127" s="75"/>
      <c r="C127" s="75"/>
      <c r="D127" s="75"/>
      <c r="E127" s="75"/>
      <c r="F127" s="75"/>
      <c r="G127" s="75"/>
      <c r="H127" s="75"/>
      <c r="I127" s="75"/>
    </row>
    <row r="128" spans="1:9">
      <c r="A128" s="76"/>
      <c r="B128" s="75"/>
      <c r="C128" s="75"/>
      <c r="D128" s="75"/>
      <c r="E128" s="75"/>
      <c r="F128" s="75"/>
      <c r="G128" s="75"/>
      <c r="H128" s="75"/>
      <c r="I128" s="75"/>
    </row>
    <row r="129" spans="1:9">
      <c r="A129" s="76"/>
      <c r="B129" s="76"/>
      <c r="C129" s="76"/>
      <c r="D129" s="76"/>
      <c r="E129" s="76"/>
      <c r="F129" s="76"/>
      <c r="G129" s="76"/>
      <c r="H129" s="76"/>
      <c r="I129" s="76"/>
    </row>
    <row r="130" spans="1:9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>
      <c r="A131" s="71"/>
      <c r="B131" s="71"/>
      <c r="C131" s="71"/>
      <c r="D131" s="71"/>
      <c r="E131" s="71"/>
      <c r="F131" s="71"/>
      <c r="G131" s="71"/>
      <c r="H131" s="71"/>
      <c r="I131" s="72"/>
    </row>
    <row r="132" spans="1:9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>
      <c r="A136" s="72"/>
      <c r="B136" s="72"/>
      <c r="C136" s="72"/>
      <c r="D136" s="72"/>
      <c r="E136" s="72"/>
      <c r="F136" s="72"/>
      <c r="G136" s="72"/>
      <c r="H136" s="72"/>
      <c r="I136" s="72"/>
    </row>
    <row r="137" spans="1:9">
      <c r="A137" s="71"/>
      <c r="B137" s="71"/>
      <c r="C137" s="71"/>
      <c r="D137" s="71"/>
      <c r="E137" s="71"/>
      <c r="F137" s="71"/>
      <c r="G137" s="71"/>
      <c r="H137" s="71"/>
      <c r="I137" s="71"/>
    </row>
    <row r="138" spans="1:9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>
      <c r="A139" s="53"/>
      <c r="B139" s="53"/>
      <c r="C139" s="53"/>
      <c r="D139" s="53"/>
      <c r="E139" s="53"/>
      <c r="F139" s="53"/>
      <c r="G139" s="53"/>
      <c r="H139" s="53"/>
      <c r="I139" s="53"/>
    </row>
    <row r="140" spans="1:9">
      <c r="A140" s="53"/>
      <c r="B140" s="53"/>
      <c r="C140" s="53"/>
      <c r="D140" s="53"/>
      <c r="E140" s="53"/>
      <c r="F140" s="53"/>
      <c r="G140" s="53"/>
      <c r="H140" s="53"/>
      <c r="I140" s="53"/>
    </row>
    <row r="141" spans="1:9">
      <c r="A141" s="53"/>
      <c r="B141" s="53"/>
      <c r="C141" s="53"/>
      <c r="D141" s="53"/>
      <c r="E141" s="53"/>
      <c r="F141" s="53"/>
      <c r="G141" s="53"/>
      <c r="H141" s="53"/>
      <c r="I141" s="53"/>
    </row>
    <row r="142" spans="1:9">
      <c r="A142" s="53"/>
      <c r="B142" s="53"/>
      <c r="C142" s="53"/>
      <c r="D142" s="53"/>
      <c r="E142" s="53"/>
      <c r="F142" s="53"/>
      <c r="G142" s="53"/>
      <c r="H142" s="53"/>
      <c r="I142" s="53"/>
    </row>
    <row r="143" spans="1:9">
      <c r="A143" s="53"/>
      <c r="B143" s="53"/>
      <c r="C143" s="53"/>
      <c r="D143" s="53"/>
      <c r="E143" s="53"/>
      <c r="F143" s="53"/>
      <c r="G143" s="53"/>
      <c r="H143" s="53"/>
      <c r="I143" s="53"/>
    </row>
    <row r="144" spans="1:9">
      <c r="A144" s="53"/>
      <c r="B144" s="53"/>
      <c r="C144" s="53"/>
      <c r="D144" s="53"/>
      <c r="E144" s="53"/>
      <c r="F144" s="53"/>
      <c r="G144" s="53"/>
      <c r="H144" s="53"/>
      <c r="I144" s="53"/>
    </row>
    <row r="145" spans="1:9">
      <c r="A145" s="53"/>
      <c r="B145" s="53"/>
      <c r="C145" s="53"/>
      <c r="D145" s="53"/>
      <c r="E145" s="53"/>
      <c r="F145" s="53"/>
      <c r="G145" s="53"/>
      <c r="H145" s="53"/>
      <c r="I145" s="53"/>
    </row>
    <row r="146" spans="1:9">
      <c r="A146" s="53"/>
      <c r="B146" s="53"/>
      <c r="C146" s="53"/>
      <c r="D146" s="53"/>
      <c r="E146" s="53"/>
      <c r="F146" s="53"/>
      <c r="G146" s="53"/>
      <c r="H146" s="53"/>
      <c r="I146" s="53"/>
    </row>
    <row r="147" spans="1:9">
      <c r="A147" s="53"/>
      <c r="B147" s="53"/>
      <c r="C147" s="53"/>
      <c r="D147" s="53"/>
      <c r="E147" s="53"/>
      <c r="F147" s="53"/>
      <c r="G147" s="53"/>
      <c r="H147" s="53"/>
      <c r="I147" s="53"/>
    </row>
    <row r="148" spans="1:9">
      <c r="A148" s="77"/>
      <c r="B148" s="77"/>
      <c r="C148" s="77"/>
      <c r="D148" s="77"/>
      <c r="E148" s="77"/>
      <c r="F148" s="77"/>
      <c r="G148" s="77"/>
      <c r="H148" s="77"/>
      <c r="I148" s="77"/>
    </row>
    <row r="149" spans="1:9">
      <c r="A149" s="77"/>
      <c r="B149" s="77"/>
      <c r="C149" s="77"/>
      <c r="D149" s="77"/>
      <c r="E149" s="77"/>
      <c r="F149" s="77"/>
      <c r="G149" s="77"/>
      <c r="H149" s="77"/>
      <c r="I149" s="77"/>
    </row>
    <row r="150" spans="1:9">
      <c r="A150" s="77"/>
      <c r="B150" s="77"/>
      <c r="C150" s="77"/>
      <c r="D150" s="77"/>
      <c r="E150" s="77"/>
      <c r="F150" s="77"/>
      <c r="G150" s="77"/>
      <c r="H150" s="77"/>
      <c r="I150" s="77"/>
    </row>
    <row r="151" spans="1:9">
      <c r="A151" s="72"/>
      <c r="B151" s="72"/>
      <c r="C151" s="72"/>
      <c r="D151" s="72"/>
      <c r="E151" s="72"/>
      <c r="F151" s="72"/>
      <c r="G151" s="72"/>
      <c r="H151" s="53"/>
      <c r="I151" s="72"/>
    </row>
    <row r="152" spans="1:9">
      <c r="A152" s="72"/>
      <c r="B152" s="72"/>
      <c r="C152" s="72"/>
      <c r="D152" s="72"/>
      <c r="E152" s="72"/>
      <c r="F152" s="72"/>
      <c r="G152" s="72"/>
      <c r="H152" s="72"/>
      <c r="I152" s="72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>
      <c r="A161" s="70"/>
      <c r="B161" s="71"/>
      <c r="C161" s="71"/>
      <c r="D161" s="71"/>
      <c r="E161" s="71"/>
      <c r="F161" s="71"/>
      <c r="G161" s="71"/>
      <c r="H161" s="71"/>
      <c r="I161" s="71"/>
    </row>
    <row r="162" spans="1:9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3"/>
      <c r="B166" s="73"/>
      <c r="C166" s="73"/>
      <c r="D166" s="73"/>
      <c r="E166" s="73"/>
      <c r="F166" s="73"/>
      <c r="G166" s="73"/>
      <c r="H166" s="73"/>
      <c r="I166" s="73"/>
    </row>
    <row r="167" spans="1:9">
      <c r="A167" s="74"/>
      <c r="B167" s="75"/>
      <c r="C167" s="75"/>
      <c r="D167" s="75"/>
      <c r="E167" s="75"/>
      <c r="F167" s="75"/>
      <c r="G167" s="75"/>
      <c r="H167" s="75"/>
      <c r="I167" s="75"/>
    </row>
    <row r="168" spans="1:9">
      <c r="A168" s="76"/>
      <c r="B168" s="75"/>
      <c r="C168" s="75"/>
      <c r="D168" s="75"/>
      <c r="E168" s="75"/>
      <c r="F168" s="75"/>
      <c r="G168" s="75"/>
      <c r="H168" s="75"/>
      <c r="I168" s="75"/>
    </row>
    <row r="169" spans="1:9">
      <c r="A169" s="76"/>
      <c r="B169" s="76"/>
      <c r="C169" s="76"/>
      <c r="D169" s="76"/>
      <c r="E169" s="76"/>
      <c r="F169" s="76"/>
      <c r="G169" s="76"/>
      <c r="H169" s="76"/>
      <c r="I169" s="76"/>
    </row>
    <row r="170" spans="1:9">
      <c r="A170" s="72"/>
      <c r="B170" s="72"/>
      <c r="C170" s="72"/>
      <c r="D170" s="72"/>
      <c r="E170" s="72"/>
      <c r="F170" s="72"/>
      <c r="G170" s="72"/>
      <c r="H170" s="72"/>
      <c r="I170" s="72"/>
    </row>
    <row r="171" spans="1:9">
      <c r="A171" s="71"/>
      <c r="B171" s="71"/>
      <c r="C171" s="71"/>
      <c r="D171" s="71"/>
      <c r="E171" s="71"/>
      <c r="F171" s="71"/>
      <c r="G171" s="71"/>
      <c r="H171" s="71"/>
      <c r="I171" s="72"/>
    </row>
    <row r="172" spans="1:9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>
      <c r="A177" s="71"/>
      <c r="B177" s="71"/>
      <c r="C177" s="71"/>
      <c r="D177" s="71"/>
      <c r="E177" s="71"/>
      <c r="F177" s="71"/>
      <c r="G177" s="71"/>
      <c r="H177" s="71"/>
      <c r="I177" s="71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53"/>
      <c r="B179" s="53"/>
      <c r="C179" s="53"/>
      <c r="D179" s="53"/>
      <c r="E179" s="53"/>
      <c r="F179" s="53"/>
      <c r="G179" s="53"/>
      <c r="H179" s="53"/>
      <c r="I179" s="53"/>
    </row>
    <row r="180" spans="1:9">
      <c r="A180" s="53"/>
      <c r="B180" s="53"/>
      <c r="C180" s="53"/>
      <c r="D180" s="53"/>
      <c r="E180" s="53"/>
      <c r="F180" s="53"/>
      <c r="G180" s="53"/>
      <c r="H180" s="53"/>
      <c r="I180" s="53"/>
    </row>
    <row r="181" spans="1:9">
      <c r="A181" s="53"/>
      <c r="B181" s="53"/>
      <c r="C181" s="53"/>
      <c r="D181" s="53"/>
      <c r="E181" s="53"/>
      <c r="F181" s="53"/>
      <c r="G181" s="53"/>
      <c r="H181" s="53"/>
      <c r="I181" s="53"/>
    </row>
    <row r="182" spans="1:9">
      <c r="A182" s="77"/>
      <c r="B182" s="77"/>
      <c r="C182" s="77"/>
      <c r="D182" s="77"/>
      <c r="E182" s="77"/>
      <c r="F182" s="77"/>
      <c r="G182" s="77"/>
      <c r="H182" s="77"/>
      <c r="I182" s="77"/>
    </row>
    <row r="183" spans="1:9">
      <c r="A183" s="77"/>
      <c r="B183" s="77"/>
      <c r="C183" s="77"/>
      <c r="D183" s="77"/>
      <c r="E183" s="77"/>
      <c r="F183" s="77"/>
      <c r="G183" s="77"/>
      <c r="H183" s="77"/>
      <c r="I183" s="77"/>
    </row>
    <row r="184" spans="1:9">
      <c r="A184" s="77"/>
      <c r="B184" s="77"/>
      <c r="C184" s="77"/>
      <c r="D184" s="77"/>
      <c r="E184" s="77"/>
      <c r="F184" s="77"/>
      <c r="G184" s="77"/>
      <c r="H184" s="77"/>
      <c r="I184" s="77"/>
    </row>
    <row r="185" spans="1:9">
      <c r="A185" s="72"/>
      <c r="B185" s="72"/>
      <c r="C185" s="72"/>
      <c r="D185" s="72"/>
      <c r="E185" s="72"/>
      <c r="F185" s="72"/>
      <c r="G185" s="72"/>
      <c r="H185" s="53"/>
      <c r="I185" s="72"/>
    </row>
    <row r="186" spans="1:9">
      <c r="A186" s="72"/>
      <c r="B186" s="72"/>
      <c r="C186" s="72"/>
      <c r="D186" s="72"/>
      <c r="E186" s="72"/>
      <c r="F186" s="72"/>
      <c r="G186" s="72"/>
      <c r="H186" s="72"/>
      <c r="I186" s="72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2"/>
      <c r="B191" s="72"/>
      <c r="C191" s="72"/>
      <c r="D191" s="72"/>
      <c r="E191" s="72"/>
      <c r="F191" s="72"/>
      <c r="G191" s="72"/>
      <c r="H191" s="72"/>
      <c r="I191" s="72"/>
    </row>
    <row r="192" spans="1:9">
      <c r="A192" s="72"/>
      <c r="B192" s="72"/>
      <c r="C192" s="72"/>
      <c r="D192" s="72"/>
      <c r="E192" s="72"/>
      <c r="F192" s="72"/>
      <c r="G192" s="72"/>
      <c r="H192" s="72"/>
      <c r="I192" s="72"/>
    </row>
    <row r="193" spans="1:9">
      <c r="A193" s="72"/>
      <c r="B193" s="72"/>
      <c r="C193" s="72"/>
      <c r="D193" s="72"/>
      <c r="E193" s="72"/>
      <c r="F193" s="72"/>
      <c r="G193" s="72"/>
      <c r="H193" s="72"/>
      <c r="I193" s="72"/>
    </row>
    <row r="194" spans="1:9">
      <c r="A194" s="72"/>
      <c r="B194" s="72"/>
      <c r="C194" s="72"/>
      <c r="D194" s="72"/>
      <c r="E194" s="72"/>
      <c r="F194" s="72"/>
      <c r="G194" s="72"/>
      <c r="H194" s="72"/>
      <c r="I194" s="72"/>
    </row>
    <row r="195" spans="1:9">
      <c r="A195" s="70"/>
      <c r="B195" s="71"/>
      <c r="C195" s="71"/>
      <c r="D195" s="71"/>
      <c r="E195" s="71"/>
      <c r="F195" s="71"/>
      <c r="G195" s="71"/>
      <c r="H195" s="71"/>
      <c r="I195" s="71"/>
    </row>
    <row r="196" spans="1:9">
      <c r="A196" s="72"/>
      <c r="B196" s="72"/>
      <c r="C196" s="72"/>
      <c r="D196" s="72"/>
      <c r="E196" s="72"/>
      <c r="F196" s="72"/>
      <c r="G196" s="72"/>
      <c r="H196" s="72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3"/>
      <c r="B200" s="73"/>
      <c r="C200" s="73"/>
      <c r="D200" s="73"/>
      <c r="E200" s="73"/>
      <c r="F200" s="73"/>
      <c r="G200" s="73"/>
      <c r="H200" s="73"/>
      <c r="I200" s="73"/>
    </row>
    <row r="201" spans="1:9">
      <c r="A201" s="74"/>
      <c r="B201" s="75"/>
      <c r="C201" s="75"/>
      <c r="D201" s="75"/>
      <c r="E201" s="75"/>
      <c r="F201" s="75"/>
      <c r="G201" s="75"/>
      <c r="H201" s="75"/>
      <c r="I201" s="75"/>
    </row>
    <row r="202" spans="1:9">
      <c r="A202" s="76"/>
      <c r="B202" s="75"/>
      <c r="C202" s="75"/>
      <c r="D202" s="75"/>
      <c r="E202" s="75"/>
      <c r="F202" s="75"/>
      <c r="G202" s="75"/>
      <c r="H202" s="75"/>
      <c r="I202" s="75"/>
    </row>
    <row r="203" spans="1:9">
      <c r="A203" s="76"/>
      <c r="B203" s="76"/>
      <c r="C203" s="76"/>
      <c r="D203" s="76"/>
      <c r="E203" s="76"/>
      <c r="F203" s="76"/>
      <c r="G203" s="76"/>
      <c r="H203" s="76"/>
      <c r="I203" s="76"/>
    </row>
    <row r="204" spans="1:9">
      <c r="A204" s="72"/>
      <c r="B204" s="72"/>
      <c r="C204" s="72"/>
      <c r="D204" s="72"/>
      <c r="E204" s="72"/>
      <c r="F204" s="72"/>
      <c r="G204" s="72"/>
      <c r="H204" s="72"/>
      <c r="I204" s="72"/>
    </row>
    <row r="205" spans="1:9" ht="21" customHeight="1">
      <c r="A205" s="71"/>
      <c r="B205" s="71"/>
      <c r="C205" s="71"/>
      <c r="D205" s="71"/>
      <c r="E205" s="71"/>
      <c r="F205" s="71"/>
      <c r="G205" s="71"/>
      <c r="H205" s="71"/>
      <c r="I205" s="72"/>
    </row>
    <row r="206" spans="1:9">
      <c r="A206" s="72"/>
      <c r="B206" s="72"/>
      <c r="C206" s="72"/>
      <c r="D206" s="72"/>
      <c r="E206" s="72"/>
      <c r="F206" s="72"/>
      <c r="G206" s="72"/>
      <c r="H206" s="72"/>
      <c r="I206" s="72"/>
    </row>
    <row r="207" spans="1:9">
      <c r="A207" s="72"/>
      <c r="B207" s="72"/>
      <c r="C207" s="72"/>
      <c r="D207" s="72"/>
      <c r="E207" s="72"/>
      <c r="F207" s="72"/>
      <c r="G207" s="72"/>
      <c r="H207" s="72"/>
      <c r="I207" s="72"/>
    </row>
    <row r="208" spans="1:9">
      <c r="A208" s="72"/>
      <c r="B208" s="72"/>
      <c r="C208" s="72"/>
      <c r="D208" s="72"/>
      <c r="E208" s="72"/>
      <c r="F208" s="72"/>
      <c r="G208" s="72"/>
      <c r="H208" s="72"/>
      <c r="I208" s="72"/>
    </row>
    <row r="209" spans="1:9">
      <c r="A209" s="72"/>
      <c r="B209" s="72"/>
      <c r="C209" s="72"/>
      <c r="D209" s="72"/>
      <c r="E209" s="72"/>
      <c r="F209" s="72"/>
      <c r="G209" s="72"/>
      <c r="H209" s="72"/>
      <c r="I209" s="72"/>
    </row>
    <row r="210" spans="1:9">
      <c r="A210" s="72"/>
      <c r="B210" s="72"/>
      <c r="C210" s="72"/>
      <c r="D210" s="72"/>
      <c r="E210" s="72"/>
      <c r="F210" s="72"/>
      <c r="G210" s="72"/>
      <c r="H210" s="72"/>
      <c r="I210" s="72"/>
    </row>
    <row r="211" spans="1:9">
      <c r="A211" s="71"/>
      <c r="B211" s="71"/>
      <c r="C211" s="71"/>
      <c r="D211" s="71"/>
      <c r="E211" s="71"/>
      <c r="F211" s="71"/>
      <c r="G211" s="71"/>
      <c r="H211" s="71"/>
      <c r="I211" s="71"/>
    </row>
    <row r="212" spans="1:9">
      <c r="A212" s="72"/>
      <c r="B212" s="72"/>
      <c r="C212" s="72"/>
      <c r="D212" s="72"/>
      <c r="E212" s="72"/>
      <c r="F212" s="72"/>
      <c r="G212" s="72"/>
      <c r="H212" s="72"/>
      <c r="I212" s="72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76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  <row r="243" spans="1:9">
      <c r="A243" s="53"/>
      <c r="B243" s="53"/>
      <c r="C243" s="53"/>
      <c r="D243" s="53"/>
      <c r="E243" s="53"/>
      <c r="F243" s="53"/>
      <c r="G243" s="53"/>
      <c r="H243" s="53"/>
      <c r="I243" s="53"/>
    </row>
    <row r="244" spans="1:9">
      <c r="A244" s="53"/>
      <c r="B244" s="53"/>
      <c r="C244" s="53"/>
      <c r="D244" s="53"/>
      <c r="E244" s="53"/>
      <c r="F244" s="53"/>
      <c r="G244" s="53"/>
      <c r="H244" s="53"/>
      <c r="I244" s="53"/>
    </row>
    <row r="245" spans="1:9">
      <c r="A245" s="53"/>
      <c r="B245" s="53"/>
      <c r="C245" s="53"/>
      <c r="D245" s="53"/>
      <c r="E245" s="53"/>
      <c r="F245" s="53"/>
      <c r="G245" s="53"/>
      <c r="H245" s="53"/>
      <c r="I245" s="53"/>
    </row>
    <row r="246" spans="1:9">
      <c r="A246" s="53"/>
      <c r="B246" s="53"/>
      <c r="C246" s="53"/>
      <c r="D246" s="53"/>
      <c r="E246" s="53"/>
      <c r="F246" s="53"/>
      <c r="G246" s="53"/>
      <c r="H246" s="53"/>
      <c r="I246" s="53"/>
    </row>
    <row r="247" spans="1:9">
      <c r="A247" s="53"/>
      <c r="B247" s="53"/>
      <c r="C247" s="53"/>
      <c r="D247" s="53"/>
      <c r="E247" s="53"/>
      <c r="F247" s="53"/>
      <c r="G247" s="53"/>
      <c r="H247" s="53"/>
      <c r="I247" s="53"/>
    </row>
    <row r="248" spans="1:9">
      <c r="A248" s="53"/>
      <c r="B248" s="53"/>
      <c r="C248" s="53"/>
      <c r="D248" s="53"/>
      <c r="E248" s="53"/>
      <c r="F248" s="53"/>
      <c r="G248" s="53"/>
      <c r="H248" s="53"/>
      <c r="I248" s="53"/>
    </row>
    <row r="249" spans="1:9">
      <c r="A249" s="53"/>
      <c r="B249" s="53"/>
      <c r="C249" s="53"/>
      <c r="D249" s="53"/>
      <c r="E249" s="53"/>
      <c r="F249" s="53"/>
      <c r="G249" s="53"/>
      <c r="H249" s="53"/>
      <c r="I249" s="53"/>
    </row>
    <row r="250" spans="1:9">
      <c r="A250" s="53"/>
      <c r="B250" s="53"/>
      <c r="C250" s="53"/>
      <c r="D250" s="53"/>
      <c r="E250" s="53"/>
      <c r="F250" s="53"/>
      <c r="G250" s="53"/>
      <c r="H250" s="53"/>
      <c r="I250" s="53"/>
    </row>
    <row r="251" spans="1:9">
      <c r="A251" s="53"/>
      <c r="B251" s="53"/>
      <c r="C251" s="53"/>
      <c r="D251" s="53"/>
      <c r="E251" s="53"/>
      <c r="F251" s="53"/>
      <c r="G251" s="53"/>
      <c r="H251" s="53"/>
      <c r="I251" s="53"/>
    </row>
  </sheetData>
  <sortState ref="O25:O34">
    <sortCondition ref="O25"/>
  </sortState>
  <mergeCells count="6">
    <mergeCell ref="A48:F48"/>
    <mergeCell ref="A1:M1"/>
    <mergeCell ref="A2:M2"/>
    <mergeCell ref="C4:C5"/>
    <mergeCell ref="E4:E5"/>
    <mergeCell ref="M4:M5"/>
  </mergeCells>
  <printOptions horizontalCentered="1"/>
  <pageMargins left="0.70866141732283472" right="0.15748031496062992" top="0.98425196850393704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zoomScaleNormal="110" workbookViewId="0">
      <selection activeCell="K16" sqref="K16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121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3" t="s">
        <v>14</v>
      </c>
      <c r="C2" s="133"/>
      <c r="D2" s="133"/>
      <c r="E2" s="133"/>
      <c r="F2" s="133"/>
      <c r="G2" s="133"/>
      <c r="H2" s="133"/>
      <c r="I2" s="133"/>
      <c r="J2" s="133"/>
      <c r="K2" s="133"/>
    </row>
    <row r="3" spans="1:12" s="1" customFormat="1" ht="17.25">
      <c r="A3"/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2" s="1" customFormat="1" ht="15">
      <c r="A4"/>
      <c r="B4" s="33" t="s">
        <v>15</v>
      </c>
      <c r="C4" s="34" t="s">
        <v>16</v>
      </c>
      <c r="D4" s="52">
        <f ca="1">NOW()</f>
        <v>41680.662209606482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220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122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82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35" t="s">
        <v>26</v>
      </c>
      <c r="K10" s="135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>
        <v>41279</v>
      </c>
      <c r="C12" s="78" t="s">
        <v>126</v>
      </c>
      <c r="D12" s="94">
        <v>32.44</v>
      </c>
      <c r="E12" s="95">
        <v>0.17494515858747048</v>
      </c>
      <c r="F12" s="96">
        <v>948350</v>
      </c>
      <c r="G12" s="80"/>
      <c r="H12" s="90">
        <v>129844</v>
      </c>
      <c r="I12" s="78" t="s">
        <v>63</v>
      </c>
      <c r="J12" s="87">
        <v>108831982.155</v>
      </c>
      <c r="K12" s="87">
        <f>J12*L12</f>
        <v>16895491507.769457</v>
      </c>
      <c r="L12" s="97">
        <v>155.24380952380952</v>
      </c>
    </row>
    <row r="13" spans="1:12" s="1" customFormat="1" ht="19.5" customHeight="1">
      <c r="A13"/>
      <c r="B13" s="79">
        <v>41394</v>
      </c>
      <c r="C13" s="78" t="s">
        <v>161</v>
      </c>
      <c r="D13" s="94">
        <v>31.73</v>
      </c>
      <c r="E13" s="95">
        <v>0.14997217166323198</v>
      </c>
      <c r="F13" s="96">
        <v>663793</v>
      </c>
      <c r="G13" s="80"/>
      <c r="H13" s="90">
        <v>91280</v>
      </c>
      <c r="I13" s="78" t="s">
        <v>162</v>
      </c>
      <c r="J13" s="87">
        <v>69507490.891800001</v>
      </c>
      <c r="K13" s="87">
        <f t="shared" ref="K13:K16" si="0">J13*L13</f>
        <v>10790872466.926016</v>
      </c>
      <c r="L13" s="97">
        <v>155.24761904761903</v>
      </c>
    </row>
    <row r="14" spans="1:12" s="1" customFormat="1" ht="19.5" customHeight="1">
      <c r="A14"/>
      <c r="B14" s="79">
        <v>41456</v>
      </c>
      <c r="C14" s="78" t="s">
        <v>198</v>
      </c>
      <c r="D14" s="94">
        <v>32.119999999999997</v>
      </c>
      <c r="E14" s="95">
        <v>0.45002365077110296</v>
      </c>
      <c r="F14" s="96">
        <v>679780</v>
      </c>
      <c r="G14" s="80"/>
      <c r="H14" s="90">
        <v>93260</v>
      </c>
      <c r="I14" s="78" t="s">
        <v>162</v>
      </c>
      <c r="J14" s="87">
        <v>74364397.144000009</v>
      </c>
      <c r="K14" s="87">
        <f t="shared" si="0"/>
        <v>11545751635.884279</v>
      </c>
      <c r="L14" s="97">
        <v>155.25913043478269</v>
      </c>
    </row>
    <row r="15" spans="1:12" s="1" customFormat="1" ht="19.5" customHeight="1">
      <c r="A15"/>
      <c r="B15" s="79">
        <v>41517</v>
      </c>
      <c r="C15" s="78" t="s">
        <v>161</v>
      </c>
      <c r="D15" s="94">
        <v>32.06</v>
      </c>
      <c r="E15" s="95">
        <v>0.22491615642595614</v>
      </c>
      <c r="F15" s="96">
        <v>648558</v>
      </c>
      <c r="G15" s="80"/>
      <c r="H15" s="90">
        <v>89008</v>
      </c>
      <c r="I15" s="78" t="s">
        <v>196</v>
      </c>
      <c r="J15" s="87">
        <v>73257868.890000001</v>
      </c>
      <c r="K15" s="87">
        <f t="shared" si="0"/>
        <v>11373723692.385841</v>
      </c>
      <c r="L15" s="97">
        <v>155.25600000000003</v>
      </c>
    </row>
    <row r="16" spans="1:12" s="1" customFormat="1" ht="20.25" customHeight="1">
      <c r="A16" s="21"/>
      <c r="B16" s="79">
        <v>41586</v>
      </c>
      <c r="C16" s="78" t="s">
        <v>244</v>
      </c>
      <c r="D16" s="94">
        <v>31.74</v>
      </c>
      <c r="E16" s="95">
        <v>0.17508991103539656</v>
      </c>
      <c r="F16" s="96">
        <v>949275</v>
      </c>
      <c r="G16" s="23"/>
      <c r="H16" s="32">
        <v>130531</v>
      </c>
      <c r="I16" s="78" t="s">
        <v>63</v>
      </c>
      <c r="J16" s="124">
        <v>103589824.23</v>
      </c>
      <c r="K16" s="87">
        <f t="shared" si="0"/>
        <v>16078332003.47464</v>
      </c>
      <c r="L16" s="97">
        <v>155.21149999999994</v>
      </c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429551563.31080002</v>
      </c>
      <c r="K21" s="85">
        <f>SUM(K12:K20)</f>
        <v>66684171306.440231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view="pageLayout" topLeftCell="G1" zoomScaleNormal="110" workbookViewId="0">
      <selection activeCell="L16" sqref="L16"/>
    </sheetView>
  </sheetViews>
  <sheetFormatPr defaultRowHeight="11.25"/>
  <cols>
    <col min="1" max="1" width="7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7" t="s">
        <v>123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5" ht="21.75" customHeight="1">
      <c r="A2" s="138" t="s">
        <v>208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9" t="s">
        <v>38</v>
      </c>
      <c r="D4" s="60" t="s">
        <v>39</v>
      </c>
      <c r="E4" s="13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40"/>
      <c r="D5" s="65" t="s">
        <v>46</v>
      </c>
      <c r="E5" s="14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2"/>
      <c r="N5" s="54"/>
      <c r="O5" s="32"/>
    </row>
    <row r="6" spans="1:15" ht="21.75" customHeight="1">
      <c r="A6" s="78" t="s">
        <v>124</v>
      </c>
      <c r="B6" s="78" t="s">
        <v>82</v>
      </c>
      <c r="C6" s="78" t="s">
        <v>126</v>
      </c>
      <c r="D6" s="78" t="s">
        <v>70</v>
      </c>
      <c r="E6" s="78" t="s">
        <v>248</v>
      </c>
      <c r="F6" s="78" t="s">
        <v>61</v>
      </c>
      <c r="G6" s="101">
        <v>950012</v>
      </c>
      <c r="H6" s="96">
        <v>948350</v>
      </c>
      <c r="I6" s="80"/>
      <c r="J6" s="90">
        <v>129844</v>
      </c>
      <c r="K6" s="94">
        <v>32.44</v>
      </c>
      <c r="L6" s="79">
        <v>41279</v>
      </c>
      <c r="M6" s="78" t="s">
        <v>63</v>
      </c>
      <c r="N6" s="54"/>
      <c r="O6" s="32"/>
    </row>
    <row r="7" spans="1:15" ht="21.75" customHeight="1">
      <c r="A7" s="78" t="s">
        <v>124</v>
      </c>
      <c r="B7" s="78" t="s">
        <v>82</v>
      </c>
      <c r="C7" s="78" t="s">
        <v>161</v>
      </c>
      <c r="D7" s="78" t="s">
        <v>140</v>
      </c>
      <c r="E7" s="78" t="s">
        <v>60</v>
      </c>
      <c r="F7" s="78" t="s">
        <v>62</v>
      </c>
      <c r="G7" s="92">
        <v>664790</v>
      </c>
      <c r="H7" s="96">
        <v>663793</v>
      </c>
      <c r="I7" s="80"/>
      <c r="J7" s="90">
        <v>91280</v>
      </c>
      <c r="K7" s="94">
        <v>31.73</v>
      </c>
      <c r="L7" s="79">
        <v>41394</v>
      </c>
      <c r="M7" s="78" t="s">
        <v>162</v>
      </c>
      <c r="N7" s="54"/>
      <c r="O7" s="32"/>
    </row>
    <row r="8" spans="1:15" ht="21.75" customHeight="1">
      <c r="A8" s="78" t="s">
        <v>124</v>
      </c>
      <c r="B8" s="78" t="s">
        <v>82</v>
      </c>
      <c r="C8" s="78" t="s">
        <v>198</v>
      </c>
      <c r="D8" s="78" t="s">
        <v>197</v>
      </c>
      <c r="E8" s="78" t="s">
        <v>60</v>
      </c>
      <c r="F8" s="78" t="s">
        <v>61</v>
      </c>
      <c r="G8" s="92">
        <v>682853</v>
      </c>
      <c r="H8" s="96">
        <v>679780</v>
      </c>
      <c r="I8" s="80"/>
      <c r="J8" s="90">
        <v>93260</v>
      </c>
      <c r="K8" s="94">
        <v>32.119999999999997</v>
      </c>
      <c r="L8" s="79">
        <v>41456</v>
      </c>
      <c r="M8" s="78" t="s">
        <v>162</v>
      </c>
      <c r="N8" s="54"/>
      <c r="O8" s="32"/>
    </row>
    <row r="9" spans="1:15" ht="21.75" customHeight="1">
      <c r="A9" s="78" t="s">
        <v>124</v>
      </c>
      <c r="B9" s="78" t="s">
        <v>82</v>
      </c>
      <c r="C9" s="78" t="s">
        <v>161</v>
      </c>
      <c r="D9" s="78" t="s">
        <v>191</v>
      </c>
      <c r="E9" s="78" t="s">
        <v>154</v>
      </c>
      <c r="F9" s="78" t="s">
        <v>62</v>
      </c>
      <c r="G9" s="92">
        <v>650020</v>
      </c>
      <c r="H9" s="96">
        <v>648558</v>
      </c>
      <c r="I9" s="80"/>
      <c r="J9" s="90">
        <v>89008</v>
      </c>
      <c r="K9" s="94">
        <v>32.06</v>
      </c>
      <c r="L9" s="79">
        <v>41517</v>
      </c>
      <c r="M9" s="91" t="s">
        <v>196</v>
      </c>
      <c r="N9" s="54"/>
      <c r="O9" s="32"/>
    </row>
    <row r="10" spans="1:15" ht="19.5" customHeight="1">
      <c r="A10" s="78" t="s">
        <v>124</v>
      </c>
      <c r="B10" s="78" t="s">
        <v>82</v>
      </c>
      <c r="C10" s="78" t="s">
        <v>244</v>
      </c>
      <c r="D10" s="78" t="s">
        <v>245</v>
      </c>
      <c r="E10" s="78" t="s">
        <v>243</v>
      </c>
      <c r="F10" s="78" t="s">
        <v>61</v>
      </c>
      <c r="G10" s="96">
        <v>950940</v>
      </c>
      <c r="H10" s="96">
        <v>949275</v>
      </c>
      <c r="I10"/>
      <c r="J10" s="32">
        <v>130531</v>
      </c>
      <c r="K10" s="32">
        <v>31.74</v>
      </c>
      <c r="L10" s="79">
        <v>41586</v>
      </c>
      <c r="M10" s="78" t="s">
        <v>63</v>
      </c>
    </row>
    <row r="11" spans="1:15">
      <c r="A11" s="72"/>
      <c r="B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36" t="s">
        <v>163</v>
      </c>
      <c r="B20" s="136"/>
      <c r="C20" s="136"/>
      <c r="D20" s="136"/>
      <c r="E20" s="136"/>
      <c r="F20" s="136"/>
      <c r="G20" s="68">
        <f>SUM(G6:G19)</f>
        <v>3898615</v>
      </c>
      <c r="H20" s="68">
        <f t="shared" ref="H20:J20" si="0">SUM(H6:H19)</f>
        <v>3889756</v>
      </c>
      <c r="I20" s="68">
        <f t="shared" si="0"/>
        <v>0</v>
      </c>
      <c r="J20" s="68">
        <f t="shared" si="0"/>
        <v>533923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&amp;L____________________________
Prepared by: 'kevwe OFOVWE&amp;C______________________________
Reviewed by: Peter DIRISU&amp;R_______________________________
Approved by:  Capt. Rick HIBBERT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61"/>
  </sheetPr>
  <dimension ref="A1:L225"/>
  <sheetViews>
    <sheetView showWhiteSpace="0" view="pageLayout" topLeftCell="E1" zoomScaleNormal="110" workbookViewId="0">
      <selection activeCell="M33" sqref="M33"/>
    </sheetView>
  </sheetViews>
  <sheetFormatPr defaultRowHeight="12.75"/>
  <cols>
    <col min="1" max="1" width="4" customWidth="1"/>
    <col min="2" max="2" width="13" customWidth="1"/>
    <col min="3" max="3" width="14" bestFit="1" customWidth="1"/>
    <col min="4" max="4" width="14.140625" customWidth="1"/>
    <col min="5" max="5" width="12.28515625" customWidth="1"/>
    <col min="6" max="6" width="13.5703125" customWidth="1"/>
    <col min="7" max="7" width="10" hidden="1" customWidth="1"/>
    <col min="8" max="8" width="10.28515625" customWidth="1"/>
    <col min="9" max="9" width="20.140625" bestFit="1" customWidth="1"/>
    <col min="10" max="10" width="13.85546875" customWidth="1"/>
    <col min="11" max="11" width="14.5703125" bestFit="1" customWidth="1"/>
    <col min="12" max="12" width="11.28515625" style="1" bestFit="1" customWidth="1"/>
  </cols>
  <sheetData>
    <row r="1" spans="1:12" s="1" customFormat="1" ht="15.75">
      <c r="A1"/>
      <c r="B1" s="5" t="s">
        <v>202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25">
      <c r="A2"/>
      <c r="B2" s="133" t="s">
        <v>14</v>
      </c>
      <c r="C2" s="133"/>
      <c r="D2" s="133"/>
      <c r="E2" s="133"/>
      <c r="F2" s="133"/>
      <c r="G2" s="133"/>
      <c r="H2" s="133"/>
      <c r="I2" s="133"/>
      <c r="J2" s="133"/>
      <c r="K2" s="133"/>
    </row>
    <row r="3" spans="1:12" s="1" customFormat="1" ht="17.25">
      <c r="A3"/>
      <c r="B3" s="134"/>
      <c r="C3" s="134"/>
      <c r="D3" s="134"/>
      <c r="E3" s="134"/>
      <c r="F3" s="134"/>
      <c r="G3" s="134"/>
      <c r="H3" s="134"/>
      <c r="I3" s="134"/>
      <c r="J3" s="134"/>
      <c r="K3" s="134"/>
    </row>
    <row r="4" spans="1:12" s="1" customFormat="1" ht="15">
      <c r="A4"/>
      <c r="B4" s="33" t="s">
        <v>15</v>
      </c>
      <c r="C4" s="34" t="s">
        <v>16</v>
      </c>
      <c r="D4" s="52">
        <f ca="1">NOW()</f>
        <v>41680.662209606482</v>
      </c>
      <c r="E4" s="35"/>
      <c r="F4" s="35"/>
      <c r="G4" s="35"/>
      <c r="H4" s="35"/>
      <c r="I4" s="35"/>
      <c r="J4" s="35"/>
      <c r="K4" s="35"/>
    </row>
    <row r="5" spans="1:12" s="1" customFormat="1" ht="15">
      <c r="A5"/>
      <c r="B5" s="33" t="s">
        <v>17</v>
      </c>
      <c r="C5" s="34" t="s">
        <v>16</v>
      </c>
      <c r="D5" s="36" t="s">
        <v>220</v>
      </c>
      <c r="E5" s="35"/>
      <c r="F5" s="35"/>
      <c r="G5" s="35"/>
      <c r="H5" s="35"/>
      <c r="I5" s="35"/>
      <c r="J5" s="35"/>
      <c r="K5" s="35"/>
    </row>
    <row r="6" spans="1:12" s="1" customFormat="1" ht="15">
      <c r="A6"/>
      <c r="B6" s="33" t="s">
        <v>18</v>
      </c>
      <c r="C6" s="34" t="s">
        <v>16</v>
      </c>
      <c r="D6" s="33" t="s">
        <v>205</v>
      </c>
      <c r="E6" s="35"/>
      <c r="F6" s="35"/>
      <c r="G6" s="35"/>
      <c r="H6" s="35"/>
      <c r="I6" s="35"/>
      <c r="J6" s="35"/>
      <c r="K6" s="35"/>
    </row>
    <row r="7" spans="1:12" s="1" customFormat="1" ht="15">
      <c r="A7"/>
      <c r="B7" s="33" t="s">
        <v>19</v>
      </c>
      <c r="C7" s="34" t="s">
        <v>16</v>
      </c>
      <c r="D7" s="33" t="s">
        <v>82</v>
      </c>
      <c r="E7" s="35"/>
      <c r="F7" s="35"/>
      <c r="G7" s="35"/>
      <c r="H7" s="35"/>
      <c r="I7" s="35"/>
      <c r="J7" s="35"/>
      <c r="K7" s="35"/>
    </row>
    <row r="8" spans="1:12" s="1" customFormat="1" ht="1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>
      <c r="A10"/>
      <c r="B10" s="122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35" t="s">
        <v>26</v>
      </c>
      <c r="K10" s="135"/>
    </row>
    <row r="11" spans="1:12" s="1" customFormat="1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>
      <c r="A12"/>
      <c r="B12" s="79">
        <v>41513</v>
      </c>
      <c r="C12" s="78" t="s">
        <v>203</v>
      </c>
      <c r="D12" s="94">
        <v>41.25</v>
      </c>
      <c r="E12" s="95">
        <v>0.31223621604142432</v>
      </c>
      <c r="F12" s="96">
        <v>949510</v>
      </c>
      <c r="G12" s="80"/>
      <c r="H12" s="90">
        <v>123373</v>
      </c>
      <c r="I12" s="91" t="s">
        <v>204</v>
      </c>
      <c r="J12" s="87">
        <v>107403823.64999999</v>
      </c>
      <c r="K12" s="87">
        <f>J12*155.254</f>
        <v>16674873236.957098</v>
      </c>
    </row>
    <row r="13" spans="1:12" s="1" customFormat="1" ht="19.5" customHeight="1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4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4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107403823.64999999</v>
      </c>
      <c r="K21" s="85">
        <f>SUM(K12:K20)</f>
        <v>16674873236.957098</v>
      </c>
    </row>
    <row r="22" spans="1:11" s="1" customFormat="1" ht="14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4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4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4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4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4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4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4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4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4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7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7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7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">
      <c r="B39" s="19"/>
      <c r="C39" s="19"/>
      <c r="D39" s="19"/>
      <c r="E39" s="19"/>
      <c r="F39" s="19"/>
      <c r="G39" s="19"/>
    </row>
    <row r="40" spans="1:11" ht="15">
      <c r="B40" s="19"/>
      <c r="C40" s="19"/>
      <c r="D40" s="19"/>
      <c r="E40" s="19"/>
      <c r="F40" s="19"/>
      <c r="G40" s="19"/>
    </row>
    <row r="41" spans="1:11" ht="15">
      <c r="B41" s="19"/>
      <c r="C41" s="19"/>
      <c r="D41" s="19"/>
      <c r="E41" s="19"/>
      <c r="F41" s="19"/>
      <c r="G41" s="19"/>
    </row>
    <row r="42" spans="1:11" ht="15">
      <c r="B42" s="19"/>
      <c r="C42" s="19"/>
      <c r="D42" s="19"/>
      <c r="E42" s="19"/>
      <c r="F42" s="19"/>
      <c r="G42" s="19"/>
    </row>
    <row r="43" spans="1:11" ht="15">
      <c r="B43" s="19"/>
      <c r="C43" s="19"/>
      <c r="D43" s="19"/>
      <c r="E43" s="19"/>
      <c r="F43" s="19"/>
      <c r="G43" s="19"/>
    </row>
    <row r="44" spans="1:11" ht="15">
      <c r="B44" s="19"/>
      <c r="C44" s="19"/>
      <c r="D44" s="19"/>
      <c r="E44" s="19"/>
      <c r="F44" s="19"/>
      <c r="G44" s="19"/>
    </row>
    <row r="45" spans="1:11" ht="15">
      <c r="B45" s="19"/>
      <c r="C45" s="19"/>
      <c r="D45" s="19"/>
      <c r="E45" s="19"/>
      <c r="F45" s="19"/>
      <c r="G45" s="19"/>
    </row>
    <row r="46" spans="1:11" ht="15">
      <c r="B46" s="22"/>
      <c r="C46" s="7"/>
      <c r="D46" s="7"/>
      <c r="E46" s="7"/>
      <c r="F46" s="7"/>
      <c r="G46" s="7"/>
    </row>
    <row r="47" spans="1:11" ht="15">
      <c r="B47" s="19"/>
      <c r="C47" s="19"/>
      <c r="D47" s="19"/>
      <c r="E47" s="19"/>
      <c r="F47" s="19"/>
      <c r="G47" s="19"/>
    </row>
    <row r="48" spans="1:11" ht="15">
      <c r="B48" s="19"/>
      <c r="C48" s="19"/>
      <c r="D48" s="19"/>
      <c r="E48" s="19"/>
      <c r="F48" s="19"/>
      <c r="G48" s="19"/>
    </row>
    <row r="49" spans="2:7" ht="15">
      <c r="B49" s="19"/>
      <c r="C49" s="19"/>
      <c r="D49" s="19"/>
      <c r="E49" s="19"/>
      <c r="F49" s="19"/>
      <c r="G49" s="19"/>
    </row>
    <row r="50" spans="2:7" ht="15">
      <c r="B50" s="19"/>
      <c r="C50" s="19"/>
      <c r="D50" s="19"/>
      <c r="E50" s="19"/>
      <c r="F50" s="19"/>
      <c r="G50" s="19"/>
    </row>
    <row r="51" spans="2:7">
      <c r="B51" s="23"/>
      <c r="C51" s="23"/>
      <c r="D51" s="23"/>
      <c r="E51" s="23"/>
      <c r="F51" s="23"/>
      <c r="G51" s="23"/>
    </row>
    <row r="52" spans="2:7">
      <c r="B52" s="24"/>
      <c r="C52" s="25"/>
      <c r="D52" s="25"/>
      <c r="E52" s="25"/>
      <c r="F52" s="25"/>
      <c r="G52" s="25"/>
    </row>
    <row r="53" spans="2:7">
      <c r="B53" s="26"/>
      <c r="C53" s="25"/>
      <c r="D53" s="25"/>
      <c r="E53" s="25"/>
      <c r="F53" s="25"/>
      <c r="G53" s="25"/>
    </row>
    <row r="54" spans="2:7">
      <c r="B54" s="26"/>
      <c r="C54" s="26"/>
      <c r="D54" s="26"/>
      <c r="E54" s="26"/>
      <c r="F54" s="26"/>
      <c r="G54" s="26"/>
    </row>
    <row r="55" spans="2:7" ht="15">
      <c r="B55" s="19"/>
      <c r="C55" s="19"/>
      <c r="D55" s="19"/>
      <c r="E55" s="19"/>
      <c r="F55" s="19"/>
      <c r="G55" s="19"/>
    </row>
    <row r="56" spans="2:7" ht="15">
      <c r="B56" s="7"/>
      <c r="C56" s="7"/>
      <c r="D56" s="7"/>
      <c r="E56" s="7"/>
      <c r="F56" s="7"/>
      <c r="G56" s="19"/>
    </row>
    <row r="57" spans="2:7" ht="15">
      <c r="B57" s="19"/>
      <c r="C57" s="19"/>
      <c r="D57" s="19"/>
      <c r="E57" s="19"/>
      <c r="F57" s="19"/>
      <c r="G57" s="19"/>
    </row>
    <row r="58" spans="2:7" ht="15">
      <c r="B58" s="19"/>
      <c r="C58" s="19"/>
      <c r="D58" s="19"/>
      <c r="E58" s="19"/>
      <c r="F58" s="19"/>
      <c r="G58" s="19"/>
    </row>
    <row r="59" spans="2:7" ht="15">
      <c r="B59" s="19"/>
      <c r="C59" s="19"/>
      <c r="D59" s="19"/>
      <c r="E59" s="19"/>
      <c r="F59" s="19"/>
      <c r="G59" s="19"/>
    </row>
    <row r="60" spans="2:7" ht="15">
      <c r="B60" s="19"/>
      <c r="C60" s="19"/>
      <c r="D60" s="19"/>
      <c r="E60" s="19"/>
      <c r="F60" s="19"/>
      <c r="G60" s="19"/>
    </row>
    <row r="61" spans="2:7" ht="15">
      <c r="B61" s="19"/>
      <c r="C61" s="19"/>
      <c r="D61" s="19"/>
      <c r="E61" s="19"/>
      <c r="F61" s="19"/>
      <c r="G61" s="19"/>
    </row>
    <row r="62" spans="2:7" ht="15">
      <c r="B62" s="7"/>
      <c r="C62" s="7"/>
      <c r="D62" s="7"/>
      <c r="E62" s="7"/>
      <c r="F62" s="7"/>
      <c r="G62" s="7"/>
    </row>
    <row r="63" spans="2:7" ht="15">
      <c r="B63" s="19"/>
      <c r="C63" s="19"/>
      <c r="D63" s="19"/>
      <c r="E63" s="19"/>
      <c r="F63" s="19"/>
      <c r="G63" s="19"/>
    </row>
    <row r="64" spans="2:7" ht="15">
      <c r="B64" s="19"/>
      <c r="C64" s="19"/>
      <c r="D64" s="19"/>
      <c r="E64" s="19"/>
      <c r="F64" s="19"/>
      <c r="G64" s="19"/>
    </row>
    <row r="65" spans="2:7" ht="15">
      <c r="B65" s="19"/>
      <c r="C65" s="19"/>
      <c r="D65" s="19"/>
      <c r="E65" s="19"/>
      <c r="F65" s="19"/>
      <c r="G65" s="19"/>
    </row>
    <row r="66" spans="2:7" ht="15">
      <c r="B66" s="19"/>
      <c r="C66" s="19"/>
      <c r="D66" s="19"/>
      <c r="E66" s="19"/>
      <c r="F66" s="19"/>
      <c r="G66" s="19"/>
    </row>
    <row r="67" spans="2:7" ht="15">
      <c r="B67" s="19"/>
      <c r="C67" s="19"/>
      <c r="D67" s="19"/>
      <c r="E67" s="19"/>
      <c r="F67" s="19"/>
      <c r="G67" s="19"/>
    </row>
    <row r="68" spans="2:7" ht="15">
      <c r="B68" s="19"/>
      <c r="C68" s="19"/>
      <c r="D68" s="19"/>
      <c r="E68" s="19"/>
      <c r="F68" s="19"/>
      <c r="G68" s="19"/>
    </row>
    <row r="69" spans="2:7" ht="15">
      <c r="B69" s="19"/>
      <c r="C69" s="19"/>
      <c r="D69" s="19"/>
      <c r="E69" s="19"/>
      <c r="F69" s="19"/>
      <c r="G69" s="19"/>
    </row>
    <row r="70" spans="2:7" ht="15">
      <c r="B70" s="19"/>
      <c r="C70" s="19"/>
      <c r="D70" s="19"/>
      <c r="E70" s="19"/>
      <c r="F70" s="19"/>
      <c r="G70" s="19"/>
    </row>
    <row r="71" spans="2:7" ht="15">
      <c r="B71" s="19"/>
      <c r="C71" s="19"/>
      <c r="D71" s="19"/>
      <c r="E71" s="19"/>
      <c r="F71" s="19"/>
      <c r="G71" s="19"/>
    </row>
    <row r="72" spans="2:7" ht="15">
      <c r="B72" s="19"/>
      <c r="C72" s="19"/>
      <c r="D72" s="19"/>
      <c r="E72" s="19"/>
      <c r="F72" s="19"/>
      <c r="G72" s="19"/>
    </row>
    <row r="73" spans="2:7" ht="15">
      <c r="B73" s="19"/>
      <c r="C73" s="19"/>
      <c r="D73" s="19"/>
      <c r="E73" s="19"/>
      <c r="F73" s="19"/>
      <c r="G73" s="19"/>
    </row>
    <row r="74" spans="2:7" ht="14.25">
      <c r="B74" s="27"/>
      <c r="C74" s="27"/>
      <c r="D74" s="27"/>
      <c r="E74" s="27"/>
      <c r="F74" s="27"/>
      <c r="G74" s="27"/>
    </row>
    <row r="75" spans="2:7">
      <c r="B75" s="21"/>
      <c r="C75" s="21"/>
      <c r="D75" s="21"/>
      <c r="E75" s="21"/>
      <c r="F75" s="21"/>
      <c r="G75" s="21"/>
    </row>
    <row r="76" spans="2:7">
      <c r="B76" s="21"/>
      <c r="C76" s="21"/>
      <c r="D76" s="21"/>
      <c r="E76" s="21"/>
      <c r="F76" s="21"/>
      <c r="G76" s="21"/>
    </row>
    <row r="77" spans="2:7">
      <c r="B77" s="21"/>
      <c r="C77" s="21"/>
      <c r="D77" s="21"/>
      <c r="E77" s="21"/>
      <c r="F77" s="21"/>
      <c r="G77" s="21"/>
    </row>
    <row r="78" spans="2:7">
      <c r="B78" s="21"/>
      <c r="C78" s="21"/>
      <c r="D78" s="21"/>
      <c r="E78" s="21"/>
      <c r="F78" s="21"/>
      <c r="G78" s="21"/>
    </row>
    <row r="79" spans="2:7">
      <c r="B79" s="21"/>
      <c r="C79" s="21"/>
      <c r="D79" s="21"/>
      <c r="E79" s="21"/>
      <c r="F79" s="21"/>
      <c r="G79" s="21"/>
    </row>
    <row r="80" spans="2:7">
      <c r="B80" s="21"/>
      <c r="C80" s="21"/>
      <c r="D80" s="21"/>
      <c r="E80" s="21"/>
      <c r="F80" s="21"/>
      <c r="G80" s="21"/>
    </row>
    <row r="81" spans="2:7">
      <c r="B81" s="21"/>
      <c r="C81" s="21"/>
      <c r="D81" s="21"/>
      <c r="E81" s="21"/>
      <c r="F81" s="21"/>
      <c r="G81" s="21"/>
    </row>
    <row r="82" spans="2:7" ht="15.75">
      <c r="B82" s="18"/>
      <c r="C82" s="18"/>
      <c r="D82" s="18"/>
      <c r="E82" s="18"/>
      <c r="F82" s="18"/>
      <c r="G82" s="18"/>
    </row>
    <row r="83" spans="2:7" ht="15.75">
      <c r="B83" s="18"/>
      <c r="C83" s="18"/>
      <c r="D83" s="18"/>
      <c r="E83" s="18"/>
      <c r="F83" s="18"/>
      <c r="G83" s="18"/>
    </row>
    <row r="84" spans="2:7" ht="15.75">
      <c r="B84" s="18"/>
      <c r="C84" s="18"/>
      <c r="D84" s="18"/>
      <c r="E84" s="18"/>
      <c r="F84" s="18"/>
      <c r="G84" s="18"/>
    </row>
    <row r="85" spans="2:7" ht="15">
      <c r="B85" s="19"/>
      <c r="C85" s="19"/>
      <c r="D85" s="19"/>
      <c r="E85" s="19"/>
      <c r="F85" s="20"/>
      <c r="G85" s="19"/>
    </row>
    <row r="86" spans="2:7" ht="15">
      <c r="B86" s="19"/>
      <c r="C86" s="19"/>
      <c r="D86" s="19"/>
      <c r="E86" s="19"/>
      <c r="F86" s="19"/>
      <c r="G86" s="19"/>
    </row>
    <row r="87" spans="2:7" ht="15">
      <c r="B87" s="19"/>
      <c r="C87" s="19"/>
      <c r="D87" s="19"/>
      <c r="E87" s="19"/>
      <c r="F87" s="19"/>
      <c r="G87" s="19"/>
    </row>
    <row r="88" spans="2:7" ht="15">
      <c r="B88" s="19"/>
      <c r="C88" s="19"/>
      <c r="D88" s="19"/>
      <c r="E88" s="19"/>
      <c r="F88" s="19"/>
      <c r="G88" s="19"/>
    </row>
    <row r="89" spans="2:7" ht="15">
      <c r="B89" s="19"/>
      <c r="C89" s="19"/>
      <c r="D89" s="19"/>
      <c r="E89" s="19"/>
      <c r="F89" s="19"/>
      <c r="G89" s="19"/>
    </row>
    <row r="90" spans="2:7" ht="15">
      <c r="B90" s="19"/>
      <c r="C90" s="19"/>
      <c r="D90" s="19"/>
      <c r="E90" s="19"/>
      <c r="F90" s="19"/>
      <c r="G90" s="19"/>
    </row>
    <row r="91" spans="2:7" ht="15">
      <c r="B91" s="19"/>
      <c r="C91" s="19"/>
      <c r="D91" s="19"/>
      <c r="E91" s="19"/>
      <c r="F91" s="19"/>
      <c r="G91" s="19"/>
    </row>
    <row r="92" spans="2:7" ht="15">
      <c r="B92" s="19"/>
      <c r="C92" s="19"/>
      <c r="D92" s="19"/>
      <c r="E92" s="19"/>
      <c r="F92" s="19"/>
      <c r="G92" s="19"/>
    </row>
    <row r="93" spans="2:7" ht="15">
      <c r="B93" s="19"/>
      <c r="C93" s="19"/>
      <c r="D93" s="19"/>
      <c r="E93" s="19"/>
      <c r="F93" s="19"/>
      <c r="G93" s="19"/>
    </row>
    <row r="94" spans="2:7" ht="15">
      <c r="B94" s="19"/>
      <c r="C94" s="19"/>
      <c r="D94" s="19"/>
      <c r="E94" s="19"/>
      <c r="F94" s="19"/>
      <c r="G94" s="19"/>
    </row>
    <row r="95" spans="2:7" ht="15">
      <c r="B95" s="22"/>
      <c r="C95" s="7"/>
      <c r="D95" s="7"/>
      <c r="E95" s="7"/>
      <c r="F95" s="7"/>
      <c r="G95" s="7"/>
    </row>
    <row r="96" spans="2:7" ht="15">
      <c r="B96" s="19"/>
      <c r="C96" s="19"/>
      <c r="D96" s="19"/>
      <c r="E96" s="19"/>
      <c r="F96" s="19"/>
      <c r="G96" s="19"/>
    </row>
    <row r="97" spans="2:7" ht="15">
      <c r="B97" s="19"/>
      <c r="C97" s="19"/>
      <c r="D97" s="19"/>
      <c r="E97" s="19"/>
      <c r="F97" s="19"/>
      <c r="G97" s="19"/>
    </row>
    <row r="98" spans="2:7" ht="15">
      <c r="B98" s="19"/>
      <c r="C98" s="19"/>
      <c r="D98" s="19"/>
      <c r="E98" s="19"/>
      <c r="F98" s="19"/>
      <c r="G98" s="19"/>
    </row>
    <row r="99" spans="2:7" ht="15">
      <c r="B99" s="19"/>
      <c r="C99" s="19"/>
      <c r="D99" s="19"/>
      <c r="E99" s="19"/>
      <c r="F99" s="19"/>
      <c r="G99" s="19"/>
    </row>
    <row r="100" spans="2:7">
      <c r="B100" s="23"/>
      <c r="C100" s="23"/>
      <c r="D100" s="23"/>
      <c r="E100" s="23"/>
      <c r="F100" s="23"/>
      <c r="G100" s="23"/>
    </row>
    <row r="101" spans="2:7">
      <c r="B101" s="24"/>
      <c r="C101" s="25"/>
      <c r="D101" s="25"/>
      <c r="E101" s="25"/>
      <c r="F101" s="25"/>
      <c r="G101" s="25"/>
    </row>
    <row r="102" spans="2:7">
      <c r="B102" s="26"/>
      <c r="C102" s="25"/>
      <c r="D102" s="25"/>
      <c r="E102" s="25"/>
      <c r="F102" s="25"/>
      <c r="G102" s="25"/>
    </row>
    <row r="103" spans="2:7">
      <c r="B103" s="26"/>
      <c r="C103" s="26"/>
      <c r="D103" s="26"/>
      <c r="E103" s="26"/>
      <c r="F103" s="26"/>
      <c r="G103" s="26"/>
    </row>
    <row r="104" spans="2:7" ht="15">
      <c r="B104" s="19"/>
      <c r="C104" s="19"/>
      <c r="D104" s="19"/>
      <c r="E104" s="19"/>
      <c r="F104" s="19"/>
      <c r="G104" s="19"/>
    </row>
    <row r="105" spans="2:7" ht="15">
      <c r="B105" s="7"/>
      <c r="C105" s="7"/>
      <c r="D105" s="7"/>
      <c r="E105" s="7"/>
      <c r="F105" s="7"/>
      <c r="G105" s="19"/>
    </row>
    <row r="106" spans="2:7" ht="15">
      <c r="B106" s="19"/>
      <c r="C106" s="19"/>
      <c r="D106" s="19"/>
      <c r="E106" s="19"/>
      <c r="F106" s="19"/>
      <c r="G106" s="19"/>
    </row>
    <row r="107" spans="2:7" ht="15">
      <c r="B107" s="19"/>
      <c r="C107" s="19"/>
      <c r="D107" s="19"/>
      <c r="E107" s="19"/>
      <c r="F107" s="19"/>
      <c r="G107" s="19"/>
    </row>
    <row r="108" spans="2:7" ht="15">
      <c r="B108" s="19"/>
      <c r="C108" s="19"/>
      <c r="D108" s="19"/>
      <c r="E108" s="19"/>
      <c r="F108" s="19"/>
      <c r="G108" s="19"/>
    </row>
    <row r="109" spans="2:7" ht="15">
      <c r="B109" s="19"/>
      <c r="C109" s="19"/>
      <c r="D109" s="19"/>
      <c r="E109" s="19"/>
      <c r="F109" s="19"/>
      <c r="G109" s="19"/>
    </row>
    <row r="110" spans="2:7" ht="15">
      <c r="B110" s="19"/>
      <c r="C110" s="19"/>
      <c r="D110" s="19"/>
      <c r="E110" s="19"/>
      <c r="F110" s="19"/>
      <c r="G110" s="19"/>
    </row>
    <row r="111" spans="2:7" ht="15">
      <c r="B111" s="7"/>
      <c r="C111" s="7"/>
      <c r="D111" s="7"/>
      <c r="E111" s="7"/>
      <c r="F111" s="7"/>
      <c r="G111" s="7"/>
    </row>
    <row r="112" spans="2:7" ht="15">
      <c r="B112" s="19"/>
      <c r="C112" s="19"/>
      <c r="D112" s="19"/>
      <c r="E112" s="19"/>
      <c r="F112" s="19"/>
      <c r="G112" s="19"/>
    </row>
    <row r="113" spans="2:7" ht="14.25">
      <c r="B113" s="27"/>
      <c r="C113" s="27"/>
      <c r="D113" s="27"/>
      <c r="E113" s="27"/>
      <c r="F113" s="27"/>
      <c r="G113" s="27"/>
    </row>
    <row r="114" spans="2:7">
      <c r="B114" s="21"/>
      <c r="C114" s="21"/>
      <c r="D114" s="21"/>
      <c r="E114" s="21"/>
      <c r="F114" s="21"/>
      <c r="G114" s="21"/>
    </row>
    <row r="115" spans="2:7">
      <c r="B115" s="21"/>
      <c r="C115" s="21"/>
      <c r="D115" s="21"/>
      <c r="E115" s="21"/>
      <c r="F115" s="21"/>
      <c r="G115" s="21"/>
    </row>
    <row r="116" spans="2:7">
      <c r="B116" s="21"/>
      <c r="C116" s="21"/>
      <c r="D116" s="21"/>
      <c r="E116" s="21"/>
      <c r="F116" s="21"/>
      <c r="G116" s="21"/>
    </row>
    <row r="117" spans="2:7">
      <c r="B117" s="21"/>
      <c r="C117" s="21"/>
      <c r="D117" s="21"/>
      <c r="E117" s="21"/>
      <c r="F117" s="21"/>
      <c r="G117" s="21"/>
    </row>
    <row r="118" spans="2:7">
      <c r="B118" s="21"/>
      <c r="C118" s="21"/>
      <c r="D118" s="21"/>
      <c r="E118" s="21"/>
      <c r="F118" s="21"/>
      <c r="G118" s="21"/>
    </row>
    <row r="119" spans="2:7">
      <c r="B119" s="21"/>
      <c r="C119" s="21"/>
      <c r="D119" s="21"/>
      <c r="E119" s="21"/>
      <c r="F119" s="21"/>
      <c r="G119" s="21"/>
    </row>
    <row r="120" spans="2:7">
      <c r="B120" s="21"/>
      <c r="C120" s="21"/>
      <c r="D120" s="21"/>
      <c r="E120" s="21"/>
      <c r="F120" s="21"/>
      <c r="G120" s="21"/>
    </row>
    <row r="121" spans="2:7">
      <c r="B121" s="21"/>
      <c r="C121" s="21"/>
      <c r="D121" s="21"/>
      <c r="E121" s="21"/>
      <c r="F121" s="21"/>
      <c r="G121" s="21"/>
    </row>
    <row r="122" spans="2:7" ht="15.75">
      <c r="B122" s="18"/>
      <c r="C122" s="18"/>
      <c r="D122" s="18"/>
      <c r="E122" s="18"/>
      <c r="F122" s="18"/>
      <c r="G122" s="18"/>
    </row>
    <row r="123" spans="2:7" ht="15.75">
      <c r="B123" s="18"/>
      <c r="C123" s="18"/>
      <c r="D123" s="18"/>
      <c r="E123" s="18"/>
      <c r="F123" s="18"/>
      <c r="G123" s="18"/>
    </row>
    <row r="124" spans="2:7" ht="15.75">
      <c r="B124" s="18"/>
      <c r="C124" s="18"/>
      <c r="D124" s="18"/>
      <c r="E124" s="18"/>
      <c r="F124" s="18"/>
      <c r="G124" s="18"/>
    </row>
    <row r="125" spans="2:7" ht="15">
      <c r="B125" s="19"/>
      <c r="C125" s="19"/>
      <c r="D125" s="19"/>
      <c r="E125" s="19"/>
      <c r="F125" s="20"/>
      <c r="G125" s="19"/>
    </row>
    <row r="126" spans="2:7" ht="15">
      <c r="B126" s="19"/>
      <c r="C126" s="19"/>
      <c r="D126" s="19"/>
      <c r="E126" s="19"/>
      <c r="F126" s="19"/>
      <c r="G126" s="19"/>
    </row>
    <row r="127" spans="2:7" ht="15">
      <c r="B127" s="19"/>
      <c r="C127" s="19"/>
      <c r="D127" s="19"/>
      <c r="E127" s="19"/>
      <c r="F127" s="19"/>
      <c r="G127" s="19"/>
    </row>
    <row r="128" spans="2:7" ht="15">
      <c r="B128" s="19"/>
      <c r="C128" s="19"/>
      <c r="D128" s="19"/>
      <c r="E128" s="19"/>
      <c r="F128" s="19"/>
      <c r="G128" s="19"/>
    </row>
    <row r="129" spans="2:7" ht="15">
      <c r="B129" s="19"/>
      <c r="C129" s="19"/>
      <c r="D129" s="19"/>
      <c r="E129" s="19"/>
      <c r="F129" s="19"/>
      <c r="G129" s="19"/>
    </row>
    <row r="130" spans="2:7" ht="15">
      <c r="B130" s="19"/>
      <c r="C130" s="19"/>
      <c r="D130" s="19"/>
      <c r="E130" s="19"/>
      <c r="F130" s="19"/>
      <c r="G130" s="19"/>
    </row>
    <row r="131" spans="2:7" ht="15">
      <c r="B131" s="19"/>
      <c r="C131" s="19"/>
      <c r="D131" s="19"/>
      <c r="E131" s="19"/>
      <c r="F131" s="19"/>
      <c r="G131" s="19"/>
    </row>
    <row r="132" spans="2:7" ht="15">
      <c r="B132" s="19"/>
      <c r="C132" s="19"/>
      <c r="D132" s="19"/>
      <c r="E132" s="19"/>
      <c r="F132" s="19"/>
      <c r="G132" s="19"/>
    </row>
    <row r="133" spans="2:7" ht="15">
      <c r="B133" s="19"/>
      <c r="C133" s="19"/>
      <c r="D133" s="19"/>
      <c r="E133" s="19"/>
      <c r="F133" s="19"/>
      <c r="G133" s="19"/>
    </row>
    <row r="134" spans="2:7" ht="15">
      <c r="B134" s="19"/>
      <c r="C134" s="19"/>
      <c r="D134" s="19"/>
      <c r="E134" s="19"/>
      <c r="F134" s="19"/>
      <c r="G134" s="19"/>
    </row>
    <row r="135" spans="2:7" ht="15">
      <c r="B135" s="22"/>
      <c r="C135" s="7"/>
      <c r="D135" s="7"/>
      <c r="E135" s="7"/>
      <c r="F135" s="7"/>
      <c r="G135" s="7"/>
    </row>
    <row r="136" spans="2:7" ht="15">
      <c r="B136" s="19"/>
      <c r="C136" s="19"/>
      <c r="D136" s="19"/>
      <c r="E136" s="19"/>
      <c r="F136" s="19"/>
      <c r="G136" s="19"/>
    </row>
    <row r="137" spans="2:7" ht="15">
      <c r="B137" s="19"/>
      <c r="C137" s="19"/>
      <c r="D137" s="19"/>
      <c r="E137" s="19"/>
      <c r="F137" s="19"/>
      <c r="G137" s="19"/>
    </row>
    <row r="138" spans="2:7" ht="15">
      <c r="B138" s="19"/>
      <c r="C138" s="19"/>
      <c r="D138" s="19"/>
      <c r="E138" s="19"/>
      <c r="F138" s="19"/>
      <c r="G138" s="19"/>
    </row>
    <row r="139" spans="2:7" ht="15">
      <c r="B139" s="19"/>
      <c r="C139" s="19"/>
      <c r="D139" s="19"/>
      <c r="E139" s="19"/>
      <c r="F139" s="19"/>
      <c r="G139" s="19"/>
    </row>
    <row r="140" spans="2:7">
      <c r="B140" s="23"/>
      <c r="C140" s="23"/>
      <c r="D140" s="23"/>
      <c r="E140" s="23"/>
      <c r="F140" s="23"/>
      <c r="G140" s="23"/>
    </row>
    <row r="141" spans="2:7">
      <c r="B141" s="24"/>
      <c r="C141" s="25"/>
      <c r="D141" s="25"/>
      <c r="E141" s="25"/>
      <c r="F141" s="25"/>
      <c r="G141" s="25"/>
    </row>
    <row r="142" spans="2:7">
      <c r="B142" s="26"/>
      <c r="C142" s="25"/>
      <c r="D142" s="25"/>
      <c r="E142" s="25"/>
      <c r="F142" s="25"/>
      <c r="G142" s="25"/>
    </row>
    <row r="143" spans="2:7">
      <c r="B143" s="26"/>
      <c r="C143" s="26"/>
      <c r="D143" s="26"/>
      <c r="E143" s="26"/>
      <c r="F143" s="26"/>
      <c r="G143" s="26"/>
    </row>
    <row r="144" spans="2:7" ht="15">
      <c r="B144" s="19"/>
      <c r="C144" s="19"/>
      <c r="D144" s="19"/>
      <c r="E144" s="19"/>
      <c r="F144" s="19"/>
      <c r="G144" s="19"/>
    </row>
    <row r="145" spans="2:7" ht="15">
      <c r="B145" s="7"/>
      <c r="C145" s="7"/>
      <c r="D145" s="7"/>
      <c r="E145" s="7"/>
      <c r="F145" s="7"/>
      <c r="G145" s="19"/>
    </row>
    <row r="146" spans="2:7" ht="15">
      <c r="B146" s="19"/>
      <c r="C146" s="19"/>
      <c r="D146" s="19"/>
      <c r="E146" s="19"/>
      <c r="F146" s="19"/>
      <c r="G146" s="19"/>
    </row>
    <row r="147" spans="2:7" ht="15">
      <c r="B147" s="19"/>
      <c r="C147" s="19"/>
      <c r="D147" s="19"/>
      <c r="E147" s="19"/>
      <c r="F147" s="19"/>
      <c r="G147" s="19"/>
    </row>
    <row r="148" spans="2:7" ht="15">
      <c r="B148" s="19"/>
      <c r="C148" s="19"/>
      <c r="D148" s="19"/>
      <c r="E148" s="19"/>
      <c r="F148" s="19"/>
      <c r="G148" s="19"/>
    </row>
    <row r="149" spans="2:7" ht="15">
      <c r="B149" s="19"/>
      <c r="C149" s="19"/>
      <c r="D149" s="19"/>
      <c r="E149" s="19"/>
      <c r="F149" s="19"/>
      <c r="G149" s="19"/>
    </row>
    <row r="150" spans="2:7" ht="15">
      <c r="B150" s="19"/>
      <c r="C150" s="19"/>
      <c r="D150" s="19"/>
      <c r="E150" s="19"/>
      <c r="F150" s="19"/>
      <c r="G150" s="19"/>
    </row>
    <row r="151" spans="2:7" ht="15">
      <c r="B151" s="7"/>
      <c r="C151" s="7"/>
      <c r="D151" s="7"/>
      <c r="E151" s="7"/>
      <c r="F151" s="7"/>
      <c r="G151" s="7"/>
    </row>
    <row r="152" spans="2:7" ht="15">
      <c r="B152" s="19"/>
      <c r="C152" s="19"/>
      <c r="D152" s="19"/>
      <c r="E152" s="19"/>
      <c r="F152" s="19"/>
      <c r="G152" s="19"/>
    </row>
    <row r="153" spans="2:7" ht="14.25">
      <c r="B153" s="27"/>
      <c r="C153" s="27"/>
      <c r="D153" s="27"/>
      <c r="E153" s="27"/>
      <c r="F153" s="27"/>
      <c r="G153" s="27"/>
    </row>
    <row r="154" spans="2:7">
      <c r="B154" s="21"/>
      <c r="C154" s="21"/>
      <c r="D154" s="21"/>
      <c r="E154" s="21"/>
      <c r="F154" s="21"/>
      <c r="G154" s="21"/>
    </row>
    <row r="155" spans="2:7">
      <c r="B155" s="21"/>
      <c r="C155" s="21"/>
      <c r="D155" s="21"/>
      <c r="E155" s="21"/>
      <c r="F155" s="21"/>
      <c r="G155" s="21"/>
    </row>
    <row r="156" spans="2:7" ht="15.75">
      <c r="B156" s="18"/>
      <c r="C156" s="18"/>
      <c r="D156" s="18"/>
      <c r="E156" s="18"/>
      <c r="F156" s="18"/>
      <c r="G156" s="18"/>
    </row>
    <row r="157" spans="2:7" ht="15.75">
      <c r="B157" s="18"/>
      <c r="C157" s="18"/>
      <c r="D157" s="18"/>
      <c r="E157" s="18"/>
      <c r="F157" s="18"/>
      <c r="G157" s="18"/>
    </row>
    <row r="158" spans="2:7" ht="15.75">
      <c r="B158" s="18"/>
      <c r="C158" s="18"/>
      <c r="D158" s="18"/>
      <c r="E158" s="18"/>
      <c r="F158" s="18"/>
      <c r="G158" s="18"/>
    </row>
    <row r="159" spans="2:7" ht="15">
      <c r="B159" s="19"/>
      <c r="C159" s="19"/>
      <c r="D159" s="19"/>
      <c r="E159" s="19"/>
      <c r="F159" s="20"/>
      <c r="G159" s="19"/>
    </row>
    <row r="160" spans="2:7" ht="15">
      <c r="B160" s="19"/>
      <c r="C160" s="19"/>
      <c r="D160" s="19"/>
      <c r="E160" s="19"/>
      <c r="F160" s="19"/>
      <c r="G160" s="19"/>
    </row>
    <row r="161" spans="2:7" ht="15">
      <c r="B161" s="19"/>
      <c r="C161" s="19"/>
      <c r="D161" s="19"/>
      <c r="E161" s="19"/>
      <c r="F161" s="19"/>
      <c r="G161" s="19"/>
    </row>
    <row r="162" spans="2:7" ht="15">
      <c r="B162" s="19"/>
      <c r="C162" s="19"/>
      <c r="D162" s="19"/>
      <c r="E162" s="19"/>
      <c r="F162" s="19"/>
      <c r="G162" s="19"/>
    </row>
    <row r="163" spans="2:7" ht="15">
      <c r="B163" s="19"/>
      <c r="C163" s="19"/>
      <c r="D163" s="19"/>
      <c r="E163" s="19"/>
      <c r="F163" s="19"/>
      <c r="G163" s="19"/>
    </row>
    <row r="164" spans="2:7" ht="15">
      <c r="B164" s="19"/>
      <c r="C164" s="19"/>
      <c r="D164" s="19"/>
      <c r="E164" s="19"/>
      <c r="F164" s="19"/>
      <c r="G164" s="19"/>
    </row>
    <row r="165" spans="2:7" ht="15">
      <c r="B165" s="19"/>
      <c r="C165" s="19"/>
      <c r="D165" s="19"/>
      <c r="E165" s="19"/>
      <c r="F165" s="19"/>
      <c r="G165" s="19"/>
    </row>
    <row r="166" spans="2:7" ht="15">
      <c r="B166" s="19"/>
      <c r="C166" s="19"/>
      <c r="D166" s="19"/>
      <c r="E166" s="19"/>
      <c r="F166" s="19"/>
      <c r="G166" s="19"/>
    </row>
    <row r="167" spans="2:7" ht="15">
      <c r="B167" s="19"/>
      <c r="C167" s="19"/>
      <c r="D167" s="19"/>
      <c r="E167" s="19"/>
      <c r="F167" s="19"/>
      <c r="G167" s="19"/>
    </row>
    <row r="168" spans="2:7" ht="15">
      <c r="B168" s="19"/>
      <c r="C168" s="19"/>
      <c r="D168" s="19"/>
      <c r="E168" s="19"/>
      <c r="F168" s="19"/>
      <c r="G168" s="19"/>
    </row>
    <row r="169" spans="2:7" ht="15">
      <c r="B169" s="22"/>
      <c r="C169" s="7"/>
      <c r="D169" s="7"/>
      <c r="E169" s="7"/>
      <c r="F169" s="7"/>
      <c r="G169" s="7"/>
    </row>
    <row r="170" spans="2:7" ht="15">
      <c r="B170" s="19"/>
      <c r="C170" s="19"/>
      <c r="D170" s="19"/>
      <c r="E170" s="19"/>
      <c r="F170" s="19"/>
      <c r="G170" s="19"/>
    </row>
    <row r="171" spans="2:7" ht="15">
      <c r="B171" s="19"/>
      <c r="C171" s="19"/>
      <c r="D171" s="19"/>
      <c r="E171" s="19"/>
      <c r="F171" s="19"/>
      <c r="G171" s="19"/>
    </row>
    <row r="172" spans="2:7" ht="15">
      <c r="B172" s="19"/>
      <c r="C172" s="19"/>
      <c r="D172" s="19"/>
      <c r="E172" s="19"/>
      <c r="F172" s="19"/>
      <c r="G172" s="19"/>
    </row>
    <row r="173" spans="2:7" ht="15">
      <c r="B173" s="19"/>
      <c r="C173" s="19"/>
      <c r="D173" s="19"/>
      <c r="E173" s="19"/>
      <c r="F173" s="19"/>
      <c r="G173" s="19"/>
    </row>
    <row r="174" spans="2:7">
      <c r="B174" s="23"/>
      <c r="C174" s="23"/>
      <c r="D174" s="23"/>
      <c r="E174" s="23"/>
      <c r="F174" s="23"/>
      <c r="G174" s="23"/>
    </row>
    <row r="175" spans="2:7">
      <c r="B175" s="24"/>
      <c r="C175" s="25"/>
      <c r="D175" s="25"/>
      <c r="E175" s="25"/>
      <c r="F175" s="25"/>
      <c r="G175" s="25"/>
    </row>
    <row r="176" spans="2:7">
      <c r="B176" s="26"/>
      <c r="C176" s="25"/>
      <c r="D176" s="25"/>
      <c r="E176" s="25"/>
      <c r="F176" s="25"/>
      <c r="G176" s="25"/>
    </row>
    <row r="177" spans="2:7">
      <c r="B177" s="26"/>
      <c r="C177" s="26"/>
      <c r="D177" s="26"/>
      <c r="E177" s="26"/>
      <c r="F177" s="26"/>
      <c r="G177" s="26"/>
    </row>
    <row r="178" spans="2:7" ht="15">
      <c r="B178" s="19"/>
      <c r="C178" s="19"/>
      <c r="D178" s="19"/>
      <c r="E178" s="19"/>
      <c r="F178" s="19"/>
      <c r="G178" s="19"/>
    </row>
    <row r="179" spans="2:7" ht="21" customHeight="1">
      <c r="B179" s="7"/>
      <c r="C179" s="7"/>
      <c r="D179" s="7"/>
      <c r="E179" s="7"/>
      <c r="F179" s="7"/>
      <c r="G179" s="19"/>
    </row>
    <row r="180" spans="2:7" ht="15">
      <c r="B180" s="19"/>
      <c r="C180" s="19"/>
      <c r="D180" s="19"/>
      <c r="E180" s="19"/>
      <c r="F180" s="19"/>
      <c r="G180" s="19"/>
    </row>
    <row r="181" spans="2:7" ht="15">
      <c r="B181" s="19"/>
      <c r="C181" s="19"/>
      <c r="D181" s="19"/>
      <c r="E181" s="19"/>
      <c r="F181" s="19"/>
      <c r="G181" s="19"/>
    </row>
    <row r="182" spans="2:7" ht="15">
      <c r="B182" s="19"/>
      <c r="C182" s="19"/>
      <c r="D182" s="19"/>
      <c r="E182" s="19"/>
      <c r="F182" s="19"/>
      <c r="G182" s="19"/>
    </row>
    <row r="183" spans="2:7" ht="15">
      <c r="B183" s="19"/>
      <c r="C183" s="19"/>
      <c r="D183" s="19"/>
      <c r="E183" s="19"/>
      <c r="F183" s="19"/>
      <c r="G183" s="19"/>
    </row>
    <row r="184" spans="2:7" ht="15">
      <c r="B184" s="19"/>
      <c r="C184" s="19"/>
      <c r="D184" s="19"/>
      <c r="E184" s="19"/>
      <c r="F184" s="19"/>
      <c r="G184" s="19"/>
    </row>
    <row r="185" spans="2:7" ht="15">
      <c r="B185" s="7"/>
      <c r="C185" s="7"/>
      <c r="D185" s="7"/>
      <c r="E185" s="7"/>
      <c r="F185" s="7"/>
      <c r="G185" s="7"/>
    </row>
    <row r="186" spans="2:7" ht="15">
      <c r="B186" s="19"/>
      <c r="C186" s="19"/>
      <c r="D186" s="19"/>
      <c r="E186" s="19"/>
      <c r="F186" s="19"/>
      <c r="G186" s="19"/>
    </row>
    <row r="187" spans="2:7" ht="14.25">
      <c r="B187" s="27"/>
      <c r="C187" s="27"/>
      <c r="D187" s="27"/>
      <c r="E187" s="27"/>
      <c r="F187" s="27"/>
      <c r="G187" s="27"/>
    </row>
    <row r="188" spans="2:7" ht="14.25">
      <c r="B188" s="27"/>
      <c r="C188" s="27"/>
      <c r="D188" s="27"/>
      <c r="E188" s="27"/>
      <c r="F188" s="27"/>
      <c r="G188" s="26"/>
    </row>
    <row r="189" spans="2:7" ht="14.25">
      <c r="B189" s="27"/>
      <c r="C189" s="27"/>
      <c r="D189" s="27"/>
      <c r="E189" s="27"/>
      <c r="F189" s="27"/>
      <c r="G189" s="27"/>
    </row>
    <row r="190" spans="2:7">
      <c r="B190" s="21"/>
      <c r="C190" s="21"/>
      <c r="D190" s="21"/>
      <c r="E190" s="21"/>
      <c r="F190" s="21"/>
      <c r="G190" s="21"/>
    </row>
    <row r="191" spans="2:7">
      <c r="B191" s="21"/>
      <c r="C191" s="21"/>
      <c r="D191" s="21"/>
      <c r="E191" s="21"/>
      <c r="F191" s="21"/>
      <c r="G191" s="21"/>
    </row>
    <row r="192" spans="2:7">
      <c r="B192" s="21"/>
      <c r="C192" s="21"/>
      <c r="D192" s="21"/>
      <c r="E192" s="21"/>
      <c r="F192" s="21"/>
      <c r="G192" s="21"/>
    </row>
    <row r="193" spans="2:7">
      <c r="B193" s="21"/>
      <c r="C193" s="21"/>
      <c r="D193" s="21"/>
      <c r="E193" s="21"/>
      <c r="F193" s="21"/>
      <c r="G193" s="21"/>
    </row>
    <row r="194" spans="2:7">
      <c r="B194" s="21"/>
      <c r="C194" s="21"/>
      <c r="D194" s="21"/>
      <c r="E194" s="21"/>
      <c r="F194" s="21"/>
      <c r="G194" s="21"/>
    </row>
    <row r="195" spans="2:7">
      <c r="B195" s="21"/>
      <c r="C195" s="21"/>
      <c r="D195" s="21"/>
      <c r="E195" s="21"/>
      <c r="F195" s="21"/>
      <c r="G195" s="21"/>
    </row>
    <row r="196" spans="2:7">
      <c r="B196" s="21"/>
      <c r="C196" s="21"/>
      <c r="D196" s="21"/>
      <c r="E196" s="21"/>
      <c r="F196" s="21"/>
      <c r="G196" s="21"/>
    </row>
    <row r="197" spans="2:7">
      <c r="B197" s="21"/>
      <c r="C197" s="21"/>
      <c r="D197" s="21"/>
      <c r="E197" s="21"/>
      <c r="F197" s="21"/>
      <c r="G197" s="21"/>
    </row>
    <row r="198" spans="2:7">
      <c r="B198" s="21"/>
      <c r="C198" s="21"/>
      <c r="D198" s="21"/>
      <c r="E198" s="21"/>
      <c r="F198" s="21"/>
      <c r="G198" s="21"/>
    </row>
    <row r="199" spans="2:7">
      <c r="B199" s="21"/>
      <c r="C199" s="21"/>
      <c r="D199" s="21"/>
      <c r="E199" s="21"/>
      <c r="F199" s="21"/>
      <c r="G199" s="21"/>
    </row>
    <row r="200" spans="2:7">
      <c r="B200" s="21"/>
      <c r="C200" s="21"/>
      <c r="D200" s="21"/>
      <c r="E200" s="21"/>
      <c r="F200" s="21"/>
      <c r="G200" s="21"/>
    </row>
    <row r="201" spans="2:7">
      <c r="B201" s="21"/>
      <c r="C201" s="21"/>
      <c r="D201" s="21"/>
      <c r="E201" s="21"/>
      <c r="F201" s="21"/>
      <c r="G201" s="21"/>
    </row>
    <row r="202" spans="2:7">
      <c r="B202" s="21"/>
      <c r="C202" s="21"/>
      <c r="D202" s="21"/>
      <c r="E202" s="21"/>
      <c r="F202" s="21"/>
      <c r="G202" s="21"/>
    </row>
    <row r="203" spans="2:7">
      <c r="B203" s="21"/>
      <c r="C203" s="21"/>
      <c r="D203" s="21"/>
      <c r="E203" s="21"/>
      <c r="F203" s="21"/>
      <c r="G203" s="21"/>
    </row>
    <row r="204" spans="2:7">
      <c r="B204" s="21"/>
      <c r="C204" s="21"/>
      <c r="D204" s="21"/>
      <c r="E204" s="21"/>
      <c r="F204" s="21"/>
      <c r="G204" s="21"/>
    </row>
    <row r="205" spans="2:7">
      <c r="B205" s="21"/>
      <c r="C205" s="21"/>
      <c r="D205" s="21"/>
      <c r="E205" s="21"/>
      <c r="F205" s="21"/>
      <c r="G205" s="21"/>
    </row>
    <row r="206" spans="2:7">
      <c r="B206" s="21"/>
      <c r="C206" s="21"/>
      <c r="D206" s="21"/>
      <c r="E206" s="21"/>
      <c r="F206" s="21"/>
      <c r="G206" s="21"/>
    </row>
    <row r="207" spans="2:7">
      <c r="B207" s="21"/>
      <c r="C207" s="21"/>
      <c r="D207" s="21"/>
      <c r="E207" s="21"/>
      <c r="F207" s="21"/>
      <c r="G207" s="21"/>
    </row>
    <row r="208" spans="2:7">
      <c r="B208" s="21"/>
      <c r="C208" s="21"/>
      <c r="D208" s="21"/>
      <c r="E208" s="21"/>
      <c r="F208" s="21"/>
      <c r="G208" s="21"/>
    </row>
    <row r="209" spans="2:7">
      <c r="B209" s="21"/>
      <c r="C209" s="21"/>
      <c r="D209" s="21"/>
      <c r="E209" s="21"/>
      <c r="F209" s="21"/>
      <c r="G209" s="21"/>
    </row>
    <row r="210" spans="2:7">
      <c r="B210" s="21"/>
      <c r="C210" s="21"/>
      <c r="D210" s="21"/>
      <c r="E210" s="21"/>
      <c r="F210" s="21"/>
      <c r="G210" s="21"/>
    </row>
    <row r="211" spans="2:7">
      <c r="B211" s="21"/>
      <c r="C211" s="21"/>
      <c r="D211" s="21"/>
      <c r="E211" s="21"/>
      <c r="F211" s="21"/>
      <c r="G211" s="21"/>
    </row>
    <row r="212" spans="2:7">
      <c r="B212" s="21"/>
      <c r="C212" s="21"/>
      <c r="D212" s="21"/>
      <c r="E212" s="21"/>
      <c r="F212" s="21"/>
      <c r="G212" s="21"/>
    </row>
    <row r="213" spans="2:7">
      <c r="B213" s="21"/>
      <c r="C213" s="21"/>
      <c r="D213" s="21"/>
      <c r="E213" s="21"/>
      <c r="F213" s="21"/>
      <c r="G213" s="21"/>
    </row>
    <row r="214" spans="2:7">
      <c r="B214" s="21"/>
      <c r="C214" s="21"/>
      <c r="D214" s="21"/>
      <c r="E214" s="21"/>
      <c r="F214" s="21"/>
      <c r="G214" s="21"/>
    </row>
    <row r="215" spans="2:7">
      <c r="B215" s="21"/>
      <c r="C215" s="21"/>
      <c r="D215" s="21"/>
      <c r="E215" s="21"/>
      <c r="F215" s="21"/>
      <c r="G215" s="21"/>
    </row>
    <row r="216" spans="2:7">
      <c r="B216" s="21"/>
      <c r="C216" s="21"/>
      <c r="D216" s="21"/>
      <c r="E216" s="21"/>
      <c r="F216" s="21"/>
      <c r="G216" s="21"/>
    </row>
    <row r="217" spans="2:7">
      <c r="B217" s="21"/>
      <c r="C217" s="21"/>
      <c r="D217" s="21"/>
      <c r="E217" s="21"/>
      <c r="F217" s="21"/>
      <c r="G217" s="21"/>
    </row>
    <row r="218" spans="2:7">
      <c r="B218" s="21"/>
      <c r="C218" s="21"/>
      <c r="D218" s="21"/>
      <c r="E218" s="21"/>
      <c r="F218" s="21"/>
      <c r="G218" s="21"/>
    </row>
    <row r="219" spans="2:7">
      <c r="B219" s="21"/>
      <c r="C219" s="21"/>
      <c r="D219" s="21"/>
      <c r="E219" s="21"/>
      <c r="F219" s="21"/>
      <c r="G219" s="21"/>
    </row>
    <row r="220" spans="2:7">
      <c r="B220" s="21"/>
      <c r="C220" s="21"/>
      <c r="D220" s="21"/>
      <c r="E220" s="21"/>
      <c r="F220" s="21"/>
      <c r="G220" s="21"/>
    </row>
    <row r="221" spans="2:7">
      <c r="B221" s="21"/>
      <c r="C221" s="21"/>
      <c r="D221" s="21"/>
      <c r="E221" s="21"/>
      <c r="F221" s="21"/>
      <c r="G221" s="21"/>
    </row>
    <row r="222" spans="2:7">
      <c r="B222" s="21"/>
      <c r="C222" s="21"/>
      <c r="D222" s="21"/>
      <c r="E222" s="21"/>
      <c r="F222" s="21"/>
      <c r="G222" s="21"/>
    </row>
    <row r="223" spans="2:7">
      <c r="B223" s="21"/>
      <c r="C223" s="21"/>
      <c r="D223" s="21"/>
      <c r="E223" s="21"/>
      <c r="F223" s="21"/>
      <c r="G223" s="21"/>
    </row>
    <row r="224" spans="2:7">
      <c r="B224" s="21"/>
      <c r="C224" s="21"/>
      <c r="D224" s="21"/>
      <c r="E224" s="21"/>
      <c r="F224" s="21"/>
      <c r="G224" s="21"/>
    </row>
    <row r="225" spans="2:7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15748031496062992" right="0.15748031496062992" top="0.86614173228346458" bottom="0.62992125984251968" header="0.31496062992125984" footer="0.27559055118110237"/>
  <pageSetup paperSize="9" scale="80" orientation="landscape" r:id="rId1"/>
  <headerFooter alignWithMargins="0">
    <oddFooter>&amp;L___________________________
Prepared by: 'kevwe OFOVWE&amp;C_____________________________
Reviewed by: Peter DIRISU&amp;R______________________________
Approved by: Capt. Rick HIBBERT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61"/>
  </sheetPr>
  <dimension ref="A1:O242"/>
  <sheetViews>
    <sheetView tabSelected="1" view="pageLayout" zoomScaleNormal="110" workbookViewId="0">
      <selection activeCell="M26" sqref="M26"/>
    </sheetView>
  </sheetViews>
  <sheetFormatPr defaultRowHeight="11.25"/>
  <cols>
    <col min="1" max="1" width="8.28515625" style="32" customWidth="1"/>
    <col min="2" max="2" width="6.85546875" style="32" bestFit="1" customWidth="1"/>
    <col min="3" max="3" width="13.28515625" style="32" customWidth="1"/>
    <col min="4" max="4" width="10.7109375" style="32" customWidth="1"/>
    <col min="5" max="5" width="13.7109375" style="32" bestFit="1" customWidth="1"/>
    <col min="6" max="6" width="18.85546875" style="32" bestFit="1" customWidth="1"/>
    <col min="7" max="7" width="11.28515625" style="32" bestFit="1" customWidth="1"/>
    <col min="8" max="8" width="9.425781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40625" style="32" bestFit="1" customWidth="1"/>
    <col min="14" max="14" width="20.140625" style="32" customWidth="1"/>
    <col min="15" max="15" width="11.28515625" style="54" bestFit="1" customWidth="1"/>
    <col min="16" max="16384" width="9.140625" style="32"/>
  </cols>
  <sheetData>
    <row r="1" spans="1:15" ht="21.75" customHeight="1">
      <c r="A1" s="137" t="s">
        <v>201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</row>
    <row r="2" spans="1:15" ht="21.75" customHeight="1">
      <c r="A2" s="138" t="s">
        <v>208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</row>
    <row r="3" spans="1:15" ht="21.75" customHeight="1" thickBot="1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>
      <c r="A4" s="60" t="s">
        <v>36</v>
      </c>
      <c r="B4" s="61" t="s">
        <v>37</v>
      </c>
      <c r="C4" s="139" t="s">
        <v>38</v>
      </c>
      <c r="D4" s="60" t="s">
        <v>39</v>
      </c>
      <c r="E4" s="139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41" t="s">
        <v>43</v>
      </c>
      <c r="N4" s="54"/>
      <c r="O4" s="32"/>
    </row>
    <row r="5" spans="1:15" ht="21.75" customHeight="1" thickBot="1">
      <c r="A5" s="65" t="s">
        <v>44</v>
      </c>
      <c r="B5" s="66" t="s">
        <v>45</v>
      </c>
      <c r="C5" s="140"/>
      <c r="D5" s="65" t="s">
        <v>46</v>
      </c>
      <c r="E5" s="140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42"/>
      <c r="N5" s="54"/>
      <c r="O5" s="32"/>
    </row>
    <row r="6" spans="1:15" ht="21.75" customHeight="1">
      <c r="A6" s="78" t="s">
        <v>206</v>
      </c>
      <c r="B6" s="78" t="s">
        <v>82</v>
      </c>
      <c r="C6" s="78" t="s">
        <v>203</v>
      </c>
      <c r="D6" s="78" t="s">
        <v>207</v>
      </c>
      <c r="E6" s="78" t="s">
        <v>60</v>
      </c>
      <c r="F6" s="78" t="s">
        <v>62</v>
      </c>
      <c r="G6" s="93">
        <v>952484</v>
      </c>
      <c r="H6" s="96">
        <v>949510</v>
      </c>
      <c r="I6" s="80"/>
      <c r="J6" s="90">
        <v>123373</v>
      </c>
      <c r="K6" s="94">
        <v>41.25</v>
      </c>
      <c r="L6" s="79">
        <v>41513</v>
      </c>
      <c r="M6" s="91" t="s">
        <v>204</v>
      </c>
      <c r="N6" s="54"/>
      <c r="O6" s="32"/>
    </row>
    <row r="7" spans="1:15" ht="21.75" customHeight="1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>
      <c r="A10" s="72"/>
      <c r="B10" s="72"/>
      <c r="C10" s="72"/>
      <c r="D10" s="72"/>
      <c r="E10" s="72"/>
      <c r="F10" s="72"/>
      <c r="G10" s="72"/>
      <c r="H10" s="72"/>
      <c r="I10" s="72"/>
    </row>
    <row r="11" spans="1:15">
      <c r="A11" s="72"/>
      <c r="B11" s="72"/>
      <c r="C11" s="72"/>
      <c r="D11" s="72"/>
      <c r="E11" s="72"/>
      <c r="F11" s="72"/>
      <c r="G11" s="72"/>
      <c r="H11" s="72"/>
      <c r="I11" s="72"/>
    </row>
    <row r="12" spans="1:15">
      <c r="A12" s="72"/>
      <c r="B12" s="72"/>
      <c r="C12" s="72"/>
      <c r="D12" s="72"/>
      <c r="E12" s="72"/>
      <c r="F12" s="72"/>
      <c r="G12" s="72"/>
      <c r="H12" s="72"/>
      <c r="I12" s="72"/>
    </row>
    <row r="13" spans="1:15">
      <c r="A13" s="73"/>
      <c r="B13" s="73"/>
      <c r="C13" s="73"/>
      <c r="D13" s="73"/>
      <c r="E13" s="73"/>
      <c r="F13" s="73"/>
      <c r="G13" s="73"/>
      <c r="H13" s="73"/>
      <c r="I13" s="73"/>
    </row>
    <row r="14" spans="1:15">
      <c r="A14" s="74"/>
      <c r="B14" s="75"/>
      <c r="C14" s="75"/>
      <c r="D14" s="75"/>
      <c r="E14" s="75"/>
      <c r="F14" s="75"/>
      <c r="G14" s="75"/>
      <c r="H14" s="75"/>
      <c r="I14" s="75"/>
    </row>
    <row r="15" spans="1:15">
      <c r="A15" s="74"/>
      <c r="B15" s="75"/>
      <c r="C15" s="75"/>
      <c r="D15" s="75"/>
      <c r="E15" s="75"/>
      <c r="F15" s="75"/>
      <c r="G15" s="75"/>
      <c r="H15" s="75"/>
      <c r="I15" s="75"/>
    </row>
    <row r="16" spans="1:15">
      <c r="A16" s="74"/>
      <c r="B16" s="75"/>
      <c r="C16" s="75"/>
      <c r="D16" s="75"/>
      <c r="E16" s="75"/>
      <c r="F16" s="75"/>
      <c r="G16" s="75"/>
      <c r="H16" s="75"/>
      <c r="I16" s="75"/>
    </row>
    <row r="17" spans="1:15">
      <c r="A17" s="74"/>
      <c r="B17" s="75"/>
      <c r="C17" s="75"/>
      <c r="D17" s="75"/>
      <c r="E17" s="75"/>
      <c r="F17" s="75"/>
      <c r="G17" s="75"/>
      <c r="H17" s="75"/>
      <c r="I17" s="75"/>
    </row>
    <row r="18" spans="1:15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>
      <c r="A20" s="136" t="s">
        <v>163</v>
      </c>
      <c r="B20" s="136"/>
      <c r="C20" s="136"/>
      <c r="D20" s="136"/>
      <c r="E20" s="136"/>
      <c r="F20" s="136"/>
      <c r="G20" s="68">
        <f>SUM(G6:G19)</f>
        <v>952484</v>
      </c>
      <c r="H20" s="68">
        <f t="shared" ref="H20:J20" si="0">SUM(H6:H19)</f>
        <v>949510</v>
      </c>
      <c r="I20" s="68">
        <f t="shared" si="0"/>
        <v>0</v>
      </c>
      <c r="J20" s="68">
        <f t="shared" si="0"/>
        <v>123373</v>
      </c>
      <c r="K20" s="68"/>
      <c r="L20" s="68"/>
      <c r="M20" s="69"/>
      <c r="N20" s="54"/>
      <c r="O20" s="32"/>
    </row>
    <row r="21" spans="1:15" ht="20.25" customHeight="1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>
      <c r="A23" s="72"/>
      <c r="B23" s="72"/>
      <c r="C23" s="72"/>
      <c r="D23" s="72"/>
      <c r="E23" s="72"/>
      <c r="F23" s="72"/>
      <c r="G23" s="72"/>
      <c r="H23" s="72"/>
      <c r="I23" s="72"/>
    </row>
    <row r="24" spans="1:15">
      <c r="A24" s="71"/>
      <c r="B24" s="71"/>
      <c r="C24" s="71"/>
      <c r="D24" s="71"/>
      <c r="E24" s="71"/>
      <c r="F24" s="71"/>
      <c r="G24" s="71"/>
      <c r="H24" s="71"/>
      <c r="I24" s="72"/>
    </row>
    <row r="25" spans="1:15">
      <c r="A25" s="72"/>
      <c r="B25" s="72"/>
      <c r="C25" s="72"/>
      <c r="D25" s="72"/>
      <c r="E25" s="72"/>
      <c r="F25" s="72"/>
      <c r="G25" s="72"/>
      <c r="H25" s="72"/>
      <c r="I25" s="72"/>
    </row>
    <row r="26" spans="1:15">
      <c r="A26" s="72"/>
      <c r="B26" s="72"/>
      <c r="C26" s="72"/>
      <c r="D26" s="72"/>
      <c r="E26" s="72"/>
      <c r="F26" s="72"/>
      <c r="G26" s="72"/>
      <c r="H26" s="72"/>
      <c r="I26" s="72"/>
    </row>
    <row r="27" spans="1:15">
      <c r="A27" s="72"/>
      <c r="B27" s="72"/>
      <c r="C27" s="72"/>
      <c r="D27" s="72"/>
      <c r="E27" s="72"/>
      <c r="F27" s="72"/>
      <c r="G27" s="72"/>
      <c r="H27" s="72"/>
      <c r="I27" s="72"/>
    </row>
    <row r="28" spans="1:15">
      <c r="A28" s="72"/>
      <c r="B28" s="72"/>
      <c r="C28" s="72"/>
      <c r="D28" s="72"/>
      <c r="E28" s="72"/>
      <c r="F28" s="72"/>
      <c r="G28" s="72"/>
      <c r="H28" s="72"/>
      <c r="I28" s="72"/>
    </row>
    <row r="29" spans="1:15">
      <c r="A29" s="72"/>
      <c r="B29" s="72"/>
      <c r="C29" s="72"/>
      <c r="D29" s="72"/>
      <c r="E29" s="72"/>
      <c r="F29" s="72"/>
      <c r="G29" s="72"/>
      <c r="H29" s="72"/>
      <c r="I29" s="72"/>
    </row>
    <row r="30" spans="1:15">
      <c r="A30" s="71"/>
      <c r="B30" s="71"/>
      <c r="C30" s="71"/>
      <c r="D30" s="71"/>
      <c r="E30" s="71"/>
      <c r="F30" s="71"/>
      <c r="G30" s="71"/>
      <c r="H30" s="71"/>
      <c r="I30" s="71"/>
    </row>
    <row r="31" spans="1:15">
      <c r="A31" s="72"/>
      <c r="B31" s="72"/>
      <c r="C31" s="72"/>
      <c r="D31" s="72"/>
      <c r="E31" s="72"/>
      <c r="F31" s="72"/>
      <c r="G31" s="72"/>
      <c r="H31" s="72"/>
      <c r="I31" s="72"/>
    </row>
    <row r="32" spans="1:15">
      <c r="A32" s="53"/>
      <c r="B32" s="53"/>
      <c r="C32" s="53"/>
      <c r="D32" s="53"/>
      <c r="E32" s="53"/>
      <c r="F32" s="53"/>
      <c r="G32" s="53"/>
      <c r="H32" s="53"/>
      <c r="I32" s="53"/>
    </row>
    <row r="33" spans="1:9">
      <c r="A33" s="53"/>
      <c r="B33" s="53"/>
      <c r="C33" s="53"/>
      <c r="D33" s="53"/>
      <c r="E33" s="53"/>
      <c r="F33" s="53"/>
      <c r="G33" s="53"/>
      <c r="H33" s="53"/>
      <c r="I33" s="53"/>
    </row>
    <row r="34" spans="1:9">
      <c r="A34" s="53"/>
      <c r="B34" s="53"/>
      <c r="C34" s="53"/>
      <c r="D34" s="53"/>
      <c r="E34" s="53"/>
      <c r="F34" s="53"/>
      <c r="G34" s="53"/>
      <c r="H34" s="53"/>
      <c r="I34" s="53"/>
    </row>
    <row r="35" spans="1:9">
      <c r="A35" s="53"/>
      <c r="B35" s="53"/>
      <c r="C35" s="53"/>
      <c r="D35" s="53"/>
      <c r="E35" s="53"/>
      <c r="F35" s="53"/>
      <c r="G35" s="53"/>
      <c r="H35" s="53"/>
      <c r="I35" s="53"/>
    </row>
    <row r="36" spans="1:9">
      <c r="A36" s="53"/>
      <c r="B36" s="53"/>
      <c r="C36" s="53"/>
      <c r="D36" s="53"/>
      <c r="E36" s="53"/>
      <c r="F36" s="53"/>
      <c r="G36" s="53"/>
      <c r="H36" s="53"/>
      <c r="I36" s="53"/>
    </row>
    <row r="37" spans="1:9">
      <c r="A37" s="53"/>
      <c r="B37" s="53"/>
      <c r="C37" s="53"/>
      <c r="D37" s="53"/>
      <c r="E37" s="53"/>
      <c r="F37" s="53"/>
      <c r="G37" s="53"/>
      <c r="H37" s="53"/>
      <c r="I37" s="53"/>
    </row>
    <row r="38" spans="1:9">
      <c r="A38" s="53"/>
      <c r="B38" s="53"/>
      <c r="C38" s="53"/>
      <c r="D38" s="53"/>
      <c r="E38" s="53"/>
      <c r="F38" s="53"/>
      <c r="G38" s="53"/>
      <c r="H38" s="53"/>
      <c r="I38" s="53"/>
    </row>
    <row r="39" spans="1:9">
      <c r="A39" s="53"/>
      <c r="B39" s="53"/>
      <c r="C39" s="53"/>
      <c r="D39" s="53"/>
      <c r="E39" s="53"/>
      <c r="F39" s="53"/>
      <c r="G39" s="53"/>
      <c r="H39" s="53"/>
      <c r="I39" s="53"/>
    </row>
    <row r="40" spans="1:9">
      <c r="A40" s="53"/>
      <c r="B40" s="53"/>
      <c r="C40" s="53"/>
      <c r="D40" s="53"/>
      <c r="E40" s="53"/>
      <c r="F40" s="53"/>
      <c r="G40" s="53"/>
      <c r="H40" s="53"/>
      <c r="I40" s="53"/>
    </row>
    <row r="41" spans="1:9">
      <c r="A41" s="53"/>
      <c r="B41" s="53"/>
      <c r="C41" s="53"/>
      <c r="D41" s="53"/>
      <c r="E41" s="53"/>
      <c r="F41" s="53"/>
      <c r="G41" s="53"/>
      <c r="H41" s="53"/>
      <c r="I41" s="53"/>
    </row>
    <row r="42" spans="1:9">
      <c r="A42" s="53"/>
      <c r="B42" s="53"/>
      <c r="C42" s="53"/>
      <c r="D42" s="53"/>
      <c r="E42" s="53"/>
      <c r="F42" s="53"/>
      <c r="G42" s="53"/>
      <c r="H42" s="53"/>
      <c r="I42" s="53"/>
    </row>
    <row r="43" spans="1:9">
      <c r="A43" s="53"/>
      <c r="B43" s="53"/>
      <c r="C43" s="53"/>
      <c r="D43" s="53"/>
      <c r="E43" s="53"/>
      <c r="F43" s="53"/>
      <c r="G43" s="53"/>
      <c r="H43" s="53"/>
      <c r="I43" s="53"/>
    </row>
    <row r="44" spans="1:9">
      <c r="A44" s="53"/>
      <c r="B44" s="53"/>
      <c r="C44" s="53"/>
      <c r="D44" s="53"/>
      <c r="E44" s="53"/>
      <c r="F44" s="53"/>
      <c r="G44" s="53"/>
      <c r="H44" s="53"/>
      <c r="I44" s="53"/>
    </row>
    <row r="45" spans="1:9">
      <c r="A45" s="53"/>
      <c r="B45" s="53"/>
      <c r="C45" s="53"/>
      <c r="D45" s="53"/>
      <c r="E45" s="53"/>
      <c r="F45" s="53"/>
      <c r="G45" s="53"/>
      <c r="H45" s="53"/>
      <c r="I45" s="53"/>
    </row>
    <row r="46" spans="1:9">
      <c r="A46" s="53"/>
      <c r="B46" s="53"/>
      <c r="C46" s="53"/>
      <c r="D46" s="53"/>
      <c r="E46" s="53"/>
      <c r="F46" s="53"/>
      <c r="G46" s="53"/>
      <c r="H46" s="53"/>
      <c r="I46" s="53"/>
    </row>
    <row r="47" spans="1:9">
      <c r="A47" s="53"/>
      <c r="B47" s="53"/>
      <c r="C47" s="53"/>
      <c r="D47" s="53"/>
      <c r="E47" s="53"/>
      <c r="F47" s="53"/>
      <c r="G47" s="53"/>
      <c r="H47" s="53"/>
      <c r="I47" s="53"/>
    </row>
    <row r="48" spans="1:9">
      <c r="A48" s="53"/>
      <c r="B48" s="53"/>
      <c r="C48" s="53"/>
      <c r="D48" s="53"/>
      <c r="E48" s="53"/>
      <c r="F48" s="53"/>
      <c r="G48" s="53"/>
      <c r="H48" s="53"/>
      <c r="I48" s="53"/>
    </row>
    <row r="49" spans="1:9">
      <c r="A49" s="53"/>
      <c r="B49" s="53"/>
      <c r="C49" s="53"/>
      <c r="D49" s="53"/>
      <c r="E49" s="53"/>
      <c r="F49" s="53"/>
      <c r="G49" s="53"/>
      <c r="H49" s="53"/>
      <c r="I49" s="53"/>
    </row>
    <row r="50" spans="1:9">
      <c r="A50" s="77"/>
      <c r="B50" s="77"/>
      <c r="C50" s="77"/>
      <c r="D50" s="77"/>
      <c r="E50" s="77"/>
      <c r="F50" s="77"/>
      <c r="G50" s="77"/>
      <c r="H50" s="77"/>
      <c r="I50" s="77"/>
    </row>
    <row r="51" spans="1:9">
      <c r="A51" s="77"/>
      <c r="B51" s="77"/>
      <c r="C51" s="77"/>
      <c r="D51" s="77"/>
      <c r="E51" s="77"/>
      <c r="F51" s="77"/>
      <c r="G51" s="77"/>
      <c r="H51" s="77"/>
      <c r="I51" s="77"/>
    </row>
    <row r="52" spans="1:9">
      <c r="A52" s="77"/>
      <c r="B52" s="77"/>
      <c r="C52" s="77"/>
      <c r="D52" s="77"/>
      <c r="E52" s="77"/>
      <c r="F52" s="77"/>
      <c r="G52" s="77"/>
      <c r="H52" s="77"/>
      <c r="I52" s="77"/>
    </row>
    <row r="53" spans="1:9">
      <c r="A53" s="72"/>
      <c r="B53" s="72"/>
      <c r="C53" s="72"/>
      <c r="D53" s="72"/>
      <c r="E53" s="72"/>
      <c r="F53" s="72"/>
      <c r="G53" s="72"/>
      <c r="H53" s="53"/>
      <c r="I53" s="72"/>
    </row>
    <row r="54" spans="1:9">
      <c r="A54" s="72"/>
      <c r="B54" s="72"/>
      <c r="C54" s="72"/>
      <c r="D54" s="72"/>
      <c r="E54" s="72"/>
      <c r="F54" s="72"/>
      <c r="G54" s="72"/>
      <c r="H54" s="72"/>
      <c r="I54" s="72"/>
    </row>
    <row r="55" spans="1:9">
      <c r="A55" s="72"/>
      <c r="B55" s="72"/>
      <c r="C55" s="72"/>
      <c r="D55" s="72"/>
      <c r="E55" s="72"/>
      <c r="F55" s="72"/>
      <c r="G55" s="72"/>
      <c r="H55" s="72"/>
      <c r="I55" s="72"/>
    </row>
    <row r="56" spans="1:9">
      <c r="A56" s="72"/>
      <c r="B56" s="72"/>
      <c r="C56" s="72"/>
      <c r="D56" s="72"/>
      <c r="E56" s="72"/>
      <c r="F56" s="72"/>
      <c r="G56" s="72"/>
      <c r="H56" s="72"/>
      <c r="I56" s="72"/>
    </row>
    <row r="57" spans="1:9">
      <c r="A57" s="72"/>
      <c r="B57" s="72"/>
      <c r="C57" s="72"/>
      <c r="D57" s="72"/>
      <c r="E57" s="72"/>
      <c r="F57" s="72"/>
      <c r="G57" s="72"/>
      <c r="H57" s="72"/>
      <c r="I57" s="72"/>
    </row>
    <row r="58" spans="1:9">
      <c r="A58" s="72"/>
      <c r="B58" s="72"/>
      <c r="C58" s="72"/>
      <c r="D58" s="72"/>
      <c r="E58" s="72"/>
      <c r="F58" s="72"/>
      <c r="G58" s="72"/>
      <c r="H58" s="72"/>
      <c r="I58" s="72"/>
    </row>
    <row r="59" spans="1:9">
      <c r="A59" s="72"/>
      <c r="B59" s="72"/>
      <c r="C59" s="72"/>
      <c r="D59" s="72"/>
      <c r="E59" s="72"/>
      <c r="F59" s="72"/>
      <c r="G59" s="72"/>
      <c r="H59" s="72"/>
      <c r="I59" s="72"/>
    </row>
    <row r="60" spans="1:9">
      <c r="A60" s="72"/>
      <c r="B60" s="72"/>
      <c r="C60" s="72"/>
      <c r="D60" s="72"/>
      <c r="E60" s="72"/>
      <c r="F60" s="72"/>
      <c r="G60" s="72"/>
      <c r="H60" s="72"/>
      <c r="I60" s="72"/>
    </row>
    <row r="61" spans="1:9">
      <c r="A61" s="72"/>
      <c r="B61" s="72"/>
      <c r="C61" s="72"/>
      <c r="D61" s="72"/>
      <c r="E61" s="72"/>
      <c r="F61" s="72"/>
      <c r="G61" s="72"/>
      <c r="H61" s="72"/>
      <c r="I61" s="72"/>
    </row>
    <row r="62" spans="1:9">
      <c r="A62" s="72"/>
      <c r="B62" s="72"/>
      <c r="C62" s="72"/>
      <c r="D62" s="72"/>
      <c r="E62" s="72"/>
      <c r="F62" s="72"/>
      <c r="G62" s="72"/>
      <c r="H62" s="72"/>
      <c r="I62" s="72"/>
    </row>
    <row r="63" spans="1:9">
      <c r="A63" s="70"/>
      <c r="B63" s="71"/>
      <c r="C63" s="71"/>
      <c r="D63" s="71"/>
      <c r="E63" s="71"/>
      <c r="F63" s="71"/>
      <c r="G63" s="71"/>
      <c r="H63" s="71"/>
      <c r="I63" s="71"/>
    </row>
    <row r="64" spans="1:9">
      <c r="A64" s="72"/>
      <c r="B64" s="72"/>
      <c r="C64" s="72"/>
      <c r="D64" s="72"/>
      <c r="E64" s="72"/>
      <c r="F64" s="72"/>
      <c r="G64" s="72"/>
      <c r="H64" s="72"/>
      <c r="I64" s="72"/>
    </row>
    <row r="65" spans="1:9">
      <c r="A65" s="72"/>
      <c r="B65" s="72"/>
      <c r="C65" s="72"/>
      <c r="D65" s="72"/>
      <c r="E65" s="72"/>
      <c r="F65" s="72"/>
      <c r="G65" s="72"/>
      <c r="H65" s="72"/>
      <c r="I65" s="72"/>
    </row>
    <row r="66" spans="1:9">
      <c r="A66" s="72"/>
      <c r="B66" s="72"/>
      <c r="C66" s="72"/>
      <c r="D66" s="72"/>
      <c r="E66" s="72"/>
      <c r="F66" s="72"/>
      <c r="G66" s="72"/>
      <c r="H66" s="72"/>
      <c r="I66" s="72"/>
    </row>
    <row r="67" spans="1:9">
      <c r="A67" s="72"/>
      <c r="B67" s="72"/>
      <c r="C67" s="72"/>
      <c r="D67" s="72"/>
      <c r="E67" s="72"/>
      <c r="F67" s="72"/>
      <c r="G67" s="72"/>
      <c r="H67" s="72"/>
      <c r="I67" s="72"/>
    </row>
    <row r="68" spans="1:9">
      <c r="A68" s="73"/>
      <c r="B68" s="73"/>
      <c r="C68" s="73"/>
      <c r="D68" s="73"/>
      <c r="E68" s="73"/>
      <c r="F68" s="73"/>
      <c r="G68" s="73"/>
      <c r="H68" s="73"/>
      <c r="I68" s="73"/>
    </row>
    <row r="69" spans="1:9">
      <c r="A69" s="74"/>
      <c r="B69" s="75"/>
      <c r="C69" s="75"/>
      <c r="D69" s="75"/>
      <c r="E69" s="75"/>
      <c r="F69" s="75"/>
      <c r="G69" s="75"/>
      <c r="H69" s="75"/>
      <c r="I69" s="75"/>
    </row>
    <row r="70" spans="1:9">
      <c r="A70" s="76"/>
      <c r="B70" s="75"/>
      <c r="C70" s="75"/>
      <c r="D70" s="75"/>
      <c r="E70" s="75"/>
      <c r="F70" s="75"/>
      <c r="G70" s="75"/>
      <c r="H70" s="75"/>
      <c r="I70" s="75"/>
    </row>
    <row r="71" spans="1:9">
      <c r="A71" s="76"/>
      <c r="B71" s="76"/>
      <c r="C71" s="76"/>
      <c r="D71" s="76"/>
      <c r="E71" s="76"/>
      <c r="F71" s="76"/>
      <c r="G71" s="76"/>
      <c r="H71" s="76"/>
      <c r="I71" s="76"/>
    </row>
    <row r="72" spans="1:9">
      <c r="A72" s="72"/>
      <c r="B72" s="72"/>
      <c r="C72" s="72"/>
      <c r="D72" s="72"/>
      <c r="E72" s="72"/>
      <c r="F72" s="72"/>
      <c r="G72" s="72"/>
      <c r="H72" s="72"/>
      <c r="I72" s="72"/>
    </row>
    <row r="73" spans="1:9">
      <c r="A73" s="71"/>
      <c r="B73" s="71"/>
      <c r="C73" s="71"/>
      <c r="D73" s="71"/>
      <c r="E73" s="71"/>
      <c r="F73" s="71"/>
      <c r="G73" s="71"/>
      <c r="H73" s="71"/>
      <c r="I73" s="72"/>
    </row>
    <row r="74" spans="1:9">
      <c r="A74" s="72"/>
      <c r="B74" s="72"/>
      <c r="C74" s="72"/>
      <c r="D74" s="72"/>
      <c r="E74" s="72"/>
      <c r="F74" s="72"/>
      <c r="G74" s="72"/>
      <c r="H74" s="72"/>
      <c r="I74" s="72"/>
    </row>
    <row r="75" spans="1:9">
      <c r="A75" s="72"/>
      <c r="B75" s="72"/>
      <c r="C75" s="72"/>
      <c r="D75" s="72"/>
      <c r="E75" s="72"/>
      <c r="F75" s="72"/>
      <c r="G75" s="72"/>
      <c r="H75" s="72"/>
      <c r="I75" s="72"/>
    </row>
    <row r="76" spans="1:9">
      <c r="A76" s="72"/>
      <c r="B76" s="72"/>
      <c r="C76" s="72"/>
      <c r="D76" s="72"/>
      <c r="E76" s="72"/>
      <c r="F76" s="72"/>
      <c r="G76" s="72"/>
      <c r="H76" s="72"/>
      <c r="I76" s="72"/>
    </row>
    <row r="77" spans="1:9">
      <c r="A77" s="72"/>
      <c r="B77" s="72"/>
      <c r="C77" s="72"/>
      <c r="D77" s="72"/>
      <c r="E77" s="72"/>
      <c r="F77" s="72"/>
      <c r="G77" s="72"/>
      <c r="H77" s="72"/>
      <c r="I77" s="72"/>
    </row>
    <row r="78" spans="1:9">
      <c r="A78" s="72"/>
      <c r="B78" s="72"/>
      <c r="C78" s="72"/>
      <c r="D78" s="72"/>
      <c r="E78" s="72"/>
      <c r="F78" s="72"/>
      <c r="G78" s="72"/>
      <c r="H78" s="72"/>
      <c r="I78" s="72"/>
    </row>
    <row r="79" spans="1:9">
      <c r="A79" s="71"/>
      <c r="B79" s="71"/>
      <c r="C79" s="71"/>
      <c r="D79" s="71"/>
      <c r="E79" s="71"/>
      <c r="F79" s="71"/>
      <c r="G79" s="71"/>
      <c r="H79" s="71"/>
      <c r="I79" s="71"/>
    </row>
    <row r="80" spans="1:9">
      <c r="A80" s="72"/>
      <c r="B80" s="72"/>
      <c r="C80" s="72"/>
      <c r="D80" s="72"/>
      <c r="E80" s="72"/>
      <c r="F80" s="72"/>
      <c r="G80" s="72"/>
      <c r="H80" s="72"/>
      <c r="I80" s="72"/>
    </row>
    <row r="81" spans="1:9">
      <c r="A81" s="72"/>
      <c r="B81" s="72"/>
      <c r="C81" s="72"/>
      <c r="D81" s="72"/>
      <c r="E81" s="72"/>
      <c r="F81" s="72"/>
      <c r="G81" s="72"/>
      <c r="H81" s="72"/>
      <c r="I81" s="72"/>
    </row>
    <row r="82" spans="1:9">
      <c r="A82" s="72"/>
      <c r="B82" s="72"/>
      <c r="C82" s="72"/>
      <c r="D82" s="72"/>
      <c r="E82" s="72"/>
      <c r="F82" s="72"/>
      <c r="G82" s="72"/>
      <c r="H82" s="72"/>
      <c r="I82" s="72"/>
    </row>
    <row r="83" spans="1:9">
      <c r="A83" s="72"/>
      <c r="B83" s="72"/>
      <c r="C83" s="72"/>
      <c r="D83" s="72"/>
      <c r="E83" s="72"/>
      <c r="F83" s="72"/>
      <c r="G83" s="72"/>
      <c r="H83" s="72"/>
      <c r="I83" s="72"/>
    </row>
    <row r="84" spans="1:9">
      <c r="A84" s="72"/>
      <c r="B84" s="72"/>
      <c r="C84" s="72"/>
      <c r="D84" s="72"/>
      <c r="E84" s="72"/>
      <c r="F84" s="72"/>
      <c r="G84" s="72"/>
      <c r="H84" s="72"/>
      <c r="I84" s="72"/>
    </row>
    <row r="85" spans="1:9">
      <c r="A85" s="72"/>
      <c r="B85" s="72"/>
      <c r="C85" s="72"/>
      <c r="D85" s="72"/>
      <c r="E85" s="72"/>
      <c r="F85" s="72"/>
      <c r="G85" s="72"/>
      <c r="H85" s="72"/>
      <c r="I85" s="72"/>
    </row>
    <row r="86" spans="1:9">
      <c r="A86" s="72"/>
      <c r="B86" s="72"/>
      <c r="C86" s="72"/>
      <c r="D86" s="72"/>
      <c r="E86" s="72"/>
      <c r="F86" s="72"/>
      <c r="G86" s="72"/>
      <c r="H86" s="72"/>
      <c r="I86" s="72"/>
    </row>
    <row r="87" spans="1:9">
      <c r="A87" s="72"/>
      <c r="B87" s="72"/>
      <c r="C87" s="72"/>
      <c r="D87" s="72"/>
      <c r="E87" s="72"/>
      <c r="F87" s="72"/>
      <c r="G87" s="72"/>
      <c r="H87" s="72"/>
      <c r="I87" s="72"/>
    </row>
    <row r="88" spans="1:9">
      <c r="A88" s="72"/>
      <c r="B88" s="72"/>
      <c r="C88" s="72"/>
      <c r="D88" s="72"/>
      <c r="E88" s="72"/>
      <c r="F88" s="72"/>
      <c r="G88" s="72"/>
      <c r="H88" s="72"/>
      <c r="I88" s="72"/>
    </row>
    <row r="89" spans="1:9">
      <c r="A89" s="72"/>
      <c r="B89" s="72"/>
      <c r="C89" s="72"/>
      <c r="D89" s="72"/>
      <c r="E89" s="72"/>
      <c r="F89" s="72"/>
      <c r="G89" s="72"/>
      <c r="H89" s="72"/>
      <c r="I89" s="72"/>
    </row>
    <row r="90" spans="1:9">
      <c r="A90" s="72"/>
      <c r="B90" s="72"/>
      <c r="C90" s="72"/>
      <c r="D90" s="72"/>
      <c r="E90" s="72"/>
      <c r="F90" s="72"/>
      <c r="G90" s="72"/>
      <c r="H90" s="72"/>
      <c r="I90" s="72"/>
    </row>
    <row r="91" spans="1:9">
      <c r="A91" s="53"/>
      <c r="B91" s="53"/>
      <c r="C91" s="53"/>
      <c r="D91" s="53"/>
      <c r="E91" s="53"/>
      <c r="F91" s="53"/>
      <c r="G91" s="53"/>
      <c r="H91" s="53"/>
      <c r="I91" s="53"/>
    </row>
    <row r="92" spans="1:9">
      <c r="A92" s="53"/>
      <c r="B92" s="53"/>
      <c r="C92" s="53"/>
      <c r="D92" s="53"/>
      <c r="E92" s="53"/>
      <c r="F92" s="53"/>
      <c r="G92" s="53"/>
      <c r="H92" s="53"/>
      <c r="I92" s="53"/>
    </row>
    <row r="93" spans="1:9">
      <c r="A93" s="53"/>
      <c r="B93" s="53"/>
      <c r="C93" s="53"/>
      <c r="D93" s="53"/>
      <c r="E93" s="53"/>
      <c r="F93" s="53"/>
      <c r="G93" s="53"/>
      <c r="H93" s="53"/>
      <c r="I93" s="53"/>
    </row>
    <row r="94" spans="1:9">
      <c r="A94" s="53"/>
      <c r="B94" s="53"/>
      <c r="C94" s="53"/>
      <c r="D94" s="53"/>
      <c r="E94" s="53"/>
      <c r="F94" s="53"/>
      <c r="G94" s="53"/>
      <c r="H94" s="53"/>
      <c r="I94" s="53"/>
    </row>
    <row r="95" spans="1:9">
      <c r="A95" s="53"/>
      <c r="B95" s="53"/>
      <c r="C95" s="53"/>
      <c r="D95" s="53"/>
      <c r="E95" s="53"/>
      <c r="F95" s="53"/>
      <c r="G95" s="53"/>
      <c r="H95" s="53"/>
      <c r="I95" s="53"/>
    </row>
    <row r="96" spans="1:9">
      <c r="A96" s="53"/>
      <c r="B96" s="53"/>
      <c r="C96" s="53"/>
      <c r="D96" s="53"/>
      <c r="E96" s="53"/>
      <c r="F96" s="53"/>
      <c r="G96" s="53"/>
      <c r="H96" s="53"/>
      <c r="I96" s="53"/>
    </row>
    <row r="97" spans="1:9">
      <c r="A97" s="53"/>
      <c r="B97" s="53"/>
      <c r="C97" s="53"/>
      <c r="D97" s="53"/>
      <c r="E97" s="53"/>
      <c r="F97" s="53"/>
      <c r="G97" s="53"/>
      <c r="H97" s="53"/>
      <c r="I97" s="53"/>
    </row>
    <row r="98" spans="1:9">
      <c r="A98" s="53"/>
      <c r="B98" s="53"/>
      <c r="C98" s="53"/>
      <c r="D98" s="53"/>
      <c r="E98" s="53"/>
      <c r="F98" s="53"/>
      <c r="G98" s="53"/>
      <c r="H98" s="53"/>
      <c r="I98" s="53"/>
    </row>
    <row r="99" spans="1:9">
      <c r="A99" s="77"/>
      <c r="B99" s="77"/>
      <c r="C99" s="77"/>
      <c r="D99" s="77"/>
      <c r="E99" s="77"/>
      <c r="F99" s="77"/>
      <c r="G99" s="77"/>
      <c r="H99" s="77"/>
      <c r="I99" s="77"/>
    </row>
    <row r="100" spans="1:9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72" right="0.15748031496062992" top="1" bottom="0.62992125984251968" header="0.31496062992125984" footer="0.27559055118110237"/>
  <pageSetup paperSize="9" scale="80" orientation="landscape" r:id="rId1"/>
  <headerFooter alignWithMargins="0">
    <oddFooter>&amp;L____________________________
Prepared by: 'kevwe OFOVWE&amp;C______________________________
Reviewed by: Peter DIRISU&amp;R_______________________________
Approved by: 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Template - Q1_Returns</vt:lpstr>
      <vt:lpstr>Template - Q2_Returns</vt:lpstr>
      <vt:lpstr>Template - Q3_Returns</vt:lpstr>
      <vt:lpstr>Template - Q4_Returns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Q2_Returns'!Print_Area</vt:lpstr>
      <vt:lpstr>'Template - Q3_Returns'!Print_Area</vt:lpstr>
      <vt:lpstr>'Template - Q4_Returns'!Print_Area</vt:lpstr>
      <vt:lpstr>'Template - Q1_Returns'!Print_Titles</vt:lpstr>
      <vt:lpstr>'Template - Q2_Returns'!Print_Titles</vt:lpstr>
      <vt:lpstr>'Template - Q3_Returns'!Print_Titles</vt:lpstr>
      <vt:lpstr>'Template - Q4_Returns'!Print_Titles</vt:lpstr>
    </vt:vector>
  </TitlesOfParts>
  <Company>Total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Kevwe.Ofovwe</cp:lastModifiedBy>
  <cp:lastPrinted>2014-02-10T13:47:40Z</cp:lastPrinted>
  <dcterms:created xsi:type="dcterms:W3CDTF">2010-03-05T08:19:24Z</dcterms:created>
  <dcterms:modified xsi:type="dcterms:W3CDTF">2014-02-10T14:53:58Z</dcterms:modified>
</cp:coreProperties>
</file>