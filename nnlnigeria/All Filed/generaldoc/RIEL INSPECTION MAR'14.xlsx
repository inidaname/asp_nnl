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MAR'14)" sheetId="3" r:id="rId1"/>
    <sheet name="COMPLIANT (MAR'14)" sheetId="2" r:id="rId2"/>
    <sheet name="NON-COMPLIANT (MAR'14)" sheetId="5" r:id="rId3"/>
  </sheets>
  <calcPr calcId="125725"/>
</workbook>
</file>

<file path=xl/calcChain.xml><?xml version="1.0" encoding="utf-8"?>
<calcChain xmlns="http://schemas.openxmlformats.org/spreadsheetml/2006/main">
  <c r="B9" i="5"/>
  <c r="B10" s="1"/>
  <c r="B11" s="1"/>
  <c r="B12" s="1"/>
  <c r="B13" s="1"/>
  <c r="B14" s="1"/>
  <c r="P15"/>
  <c r="T14"/>
  <c r="Q14"/>
  <c r="V14" s="1"/>
  <c r="X14" s="1"/>
  <c r="T13"/>
  <c r="Q13"/>
  <c r="V13" s="1"/>
  <c r="X13" s="1"/>
  <c r="T12"/>
  <c r="Q12"/>
  <c r="V12" s="1"/>
  <c r="X12" s="1"/>
  <c r="Y15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B6"/>
  <c r="B7" s="1"/>
  <c r="B8" s="1"/>
  <c r="T5"/>
  <c r="Q5"/>
  <c r="Q15" l="1"/>
  <c r="V5"/>
  <c r="V15" l="1"/>
  <c r="X5"/>
  <c r="X15" s="1"/>
  <c r="P20" i="3" l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Y16" s="1"/>
  <c r="T15"/>
  <c r="Q15"/>
  <c r="V15" s="1"/>
  <c r="X15" s="1"/>
  <c r="T14"/>
  <c r="Q14"/>
  <c r="V14" s="1"/>
  <c r="X14" s="1"/>
  <c r="Y14" s="1"/>
  <c r="T13"/>
  <c r="Q13"/>
  <c r="V13" s="1"/>
  <c r="X13" s="1"/>
  <c r="T12"/>
  <c r="Q12"/>
  <c r="V12" s="1"/>
  <c r="X12" s="1"/>
  <c r="T11"/>
  <c r="Q11"/>
  <c r="V11" s="1"/>
  <c r="X11" s="1"/>
  <c r="Y11" s="1"/>
  <c r="T10"/>
  <c r="Q10"/>
  <c r="V10" s="1"/>
  <c r="X10" s="1"/>
  <c r="Y10" s="1"/>
  <c r="T9"/>
  <c r="Q9"/>
  <c r="V9" s="1"/>
  <c r="X9" s="1"/>
  <c r="Y9" s="1"/>
  <c r="Y20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P27" i="2"/>
  <c r="T26"/>
  <c r="Q26"/>
  <c r="V26" s="1"/>
  <c r="X26" s="1"/>
  <c r="Y26" s="1"/>
  <c r="T25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Y27" s="1"/>
  <c r="Q20" i="3" l="1"/>
  <c r="V20" l="1"/>
  <c r="X20"/>
  <c r="T21" i="2" l="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 l="1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 l="1"/>
  <c r="Q12"/>
  <c r="V12" s="1"/>
  <c r="X12" s="1"/>
  <c r="T11"/>
  <c r="Q11"/>
  <c r="V11" s="1"/>
  <c r="X11" s="1"/>
  <c r="T10"/>
  <c r="Q10"/>
  <c r="V10" s="1"/>
  <c r="X10" s="1"/>
  <c r="T9" l="1"/>
  <c r="Q9"/>
  <c r="V9" s="1"/>
  <c r="X9" s="1"/>
  <c r="T8"/>
  <c r="Q8"/>
  <c r="V8" s="1"/>
  <c r="X8" s="1"/>
  <c r="T7"/>
  <c r="Q7"/>
  <c r="V7" s="1"/>
  <c r="X7" s="1"/>
  <c r="T6"/>
  <c r="Q6"/>
  <c r="V6" s="1"/>
  <c r="X6" s="1"/>
  <c r="T5" l="1"/>
  <c r="Q5"/>
  <c r="Q27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V5" l="1"/>
  <c r="V27" s="1"/>
  <c r="X5" l="1"/>
  <c r="X27" s="1"/>
</calcChain>
</file>

<file path=xl/sharedStrings.xml><?xml version="1.0" encoding="utf-8"?>
<sst xmlns="http://schemas.openxmlformats.org/spreadsheetml/2006/main" count="648" uniqueCount="207">
  <si>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</si>
  <si>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</si>
  <si>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</si>
  <si>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</si>
  <si>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</si>
  <si>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</si>
  <si>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</si>
  <si>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</si>
  <si>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</si>
  <si>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</si>
  <si>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</si>
  <si>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</si>
  <si>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</si>
  <si>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</si>
  <si>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</si>
  <si>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</si>
  <si>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</si>
  <si>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</si>
  <si>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</si>
  <si>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</si>
  <si>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</si>
  <si>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</si>
  <si>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</si>
  <si>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</si>
  <si>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</si>
  <si>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</si>
  <si>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</si>
  <si>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</si>
  <si>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UBA</t>
  </si>
  <si>
    <t>BRASS</t>
  </si>
  <si>
    <t>ZENITH BANK</t>
  </si>
  <si>
    <t>NIGERIAN AGIP</t>
  </si>
  <si>
    <t>OYO BLEND CRUDE OIL</t>
  </si>
  <si>
    <t>OYO</t>
  </si>
  <si>
    <t>ITALY</t>
  </si>
  <si>
    <t>INDIA</t>
  </si>
  <si>
    <t>ONE OR MORE SAFE PORTS, INDIA</t>
  </si>
  <si>
    <t>FRANCE</t>
  </si>
  <si>
    <t>SEAVOYAGER</t>
  </si>
  <si>
    <t>ALLIED ENERGY</t>
  </si>
  <si>
    <t>MIDWESTERN OIL &amp; GAS</t>
  </si>
  <si>
    <t>ONE OR MORE SAFE PORT(S), THAILAND</t>
  </si>
  <si>
    <t>LE HAVRE</t>
  </si>
  <si>
    <t>CITI BANK OF NIG</t>
  </si>
  <si>
    <t>GUARANTY TRUST BANK</t>
  </si>
  <si>
    <t>BRASS BLEND CRUDE OIL</t>
  </si>
  <si>
    <t>THAILAND</t>
  </si>
  <si>
    <t>GTB</t>
  </si>
  <si>
    <t>ELENI</t>
  </si>
  <si>
    <t>QUILIANO (ITALY) FOR ORDERS</t>
  </si>
  <si>
    <t>BRASS 409</t>
  </si>
  <si>
    <t>ITHAKI</t>
  </si>
  <si>
    <t>EXPLORER</t>
  </si>
  <si>
    <t>BRASS 420</t>
  </si>
  <si>
    <t>BRASS 426</t>
  </si>
  <si>
    <t>201400010008</t>
  </si>
  <si>
    <t>OYO 012</t>
  </si>
  <si>
    <t>201302050516</t>
  </si>
  <si>
    <t>201302050515</t>
  </si>
  <si>
    <t>AGIP BRASS 061</t>
  </si>
  <si>
    <t>MIDWESTERN BRASS 035</t>
  </si>
  <si>
    <t>MIDWESTERN BRASS 036</t>
  </si>
  <si>
    <t>ALLIED OYO 010</t>
  </si>
  <si>
    <t>COMPLIANT INSPECTION REPORT FOR THE PERIOD OF  MARCH 2014</t>
  </si>
  <si>
    <t>REMARK</t>
  </si>
  <si>
    <t>Originally submitted as NXP no:201300010377 but was revised to NXP no:201300010327 by Citi Bank PLC</t>
  </si>
  <si>
    <t>EBOK 015</t>
  </si>
  <si>
    <t>ORIENTAL EBOK 015</t>
  </si>
  <si>
    <t>201400010132</t>
  </si>
  <si>
    <t>STANBIC IBTC</t>
  </si>
  <si>
    <t>ORIENTAL ENERGY</t>
  </si>
  <si>
    <t>EBOK BLEND CRUDE OIL</t>
  </si>
  <si>
    <t>DELTA HARMONY</t>
  </si>
  <si>
    <t>EBOK</t>
  </si>
  <si>
    <t>UNITED KINGDOM</t>
  </si>
  <si>
    <t>TETNEY</t>
  </si>
  <si>
    <t>STANDARD CHARTERED</t>
  </si>
  <si>
    <t>ANTAN 089</t>
  </si>
  <si>
    <t>ADDAX ANTAN 032</t>
  </si>
  <si>
    <t>ADDAX PET.</t>
  </si>
  <si>
    <t>ANTAN BLEND CRUDE OIL</t>
  </si>
  <si>
    <t>ANTAN</t>
  </si>
  <si>
    <t>MAP TA PHUT</t>
  </si>
  <si>
    <t>CITI BANK</t>
  </si>
  <si>
    <t>BRASS 430</t>
  </si>
  <si>
    <t>ADDAX BRASS 010</t>
  </si>
  <si>
    <t>201400020001</t>
  </si>
  <si>
    <t>ADDAX PETROLEUM</t>
  </si>
  <si>
    <t>PRINCIMAR LOYALTY</t>
  </si>
  <si>
    <t>SOUTH AFRICA</t>
  </si>
  <si>
    <t>DURBAN FOR ORDERS</t>
  </si>
  <si>
    <t>ANTAN 093</t>
  </si>
  <si>
    <t>ADDAX ANTAN 033</t>
  </si>
  <si>
    <t>201400020002</t>
  </si>
  <si>
    <t>EAGLE SAN DIEGO</t>
  </si>
  <si>
    <t>ONE OR MORE SAFE PORT(S)</t>
  </si>
  <si>
    <t>BRASS 431</t>
  </si>
  <si>
    <t>PLATFORM BRASS 092</t>
  </si>
  <si>
    <t>201401010048</t>
  </si>
  <si>
    <t>SKYE BANK</t>
  </si>
  <si>
    <t>PLATFORM PETROLEUM</t>
  </si>
  <si>
    <t>BRASS 432</t>
  </si>
  <si>
    <t>PLATFORM BRASS 093</t>
  </si>
  <si>
    <t>201401010049</t>
  </si>
  <si>
    <t>BRASS 433</t>
  </si>
  <si>
    <t>PLATFORM BRASS 094</t>
  </si>
  <si>
    <t>201409030001</t>
  </si>
  <si>
    <t>STERLING BANK</t>
  </si>
  <si>
    <t>BRASS 403</t>
  </si>
  <si>
    <t>MIDWESTERN BRASS 033</t>
  </si>
  <si>
    <t>201302050472</t>
  </si>
  <si>
    <t>FOUR SMILE</t>
  </si>
  <si>
    <t>TURKEY</t>
  </si>
  <si>
    <t>IZMIT/TUTUNCIFTLIK REFINERY</t>
  </si>
  <si>
    <t>BRASS 410</t>
  </si>
  <si>
    <t>MIDWESTERN BRASS 034</t>
  </si>
  <si>
    <t>201302050473</t>
  </si>
  <si>
    <t>BRASS 257</t>
  </si>
  <si>
    <t>MIDWESTERN BRASS 021</t>
  </si>
  <si>
    <t>FIRST BANK</t>
  </si>
  <si>
    <t>BRASS LIGHT CRUDE OIL</t>
  </si>
  <si>
    <t>ARIADNI</t>
  </si>
  <si>
    <t>GENOVA</t>
  </si>
  <si>
    <t>BRASS 266</t>
  </si>
  <si>
    <t>MIDWESTERN BRASS 022</t>
  </si>
  <si>
    <t>STAVANGER BLOSSOM</t>
  </si>
  <si>
    <t>CAMEROUN</t>
  </si>
  <si>
    <t>CAP LIMBOH</t>
  </si>
  <si>
    <t>BRASS 302</t>
  </si>
  <si>
    <t>MIDWESTERN BRASS 026</t>
  </si>
  <si>
    <t>201302050001</t>
  </si>
  <si>
    <t>SEAPACIS</t>
  </si>
  <si>
    <t xml:space="preserve">BRASS </t>
  </si>
  <si>
    <t>TRIESTE</t>
  </si>
  <si>
    <t>YOHO 091</t>
  </si>
  <si>
    <t>MOBIL YOHO 037</t>
  </si>
  <si>
    <t>201400010031</t>
  </si>
  <si>
    <t>MOBIL PRODUCING</t>
  </si>
  <si>
    <t>YOHO BLEND CRUDE OIL</t>
  </si>
  <si>
    <t>COSMIC JEWEL</t>
  </si>
  <si>
    <t>YOHO</t>
  </si>
  <si>
    <t>ANTAN 096</t>
  </si>
  <si>
    <t>NNPC ANTAN 045</t>
  </si>
  <si>
    <t>42002111C60/14A</t>
  </si>
  <si>
    <t>CENTRAL BANK</t>
  </si>
  <si>
    <t>NNPC</t>
  </si>
  <si>
    <t>ISKMATI SPIRIT</t>
  </si>
  <si>
    <t>USA</t>
  </si>
  <si>
    <t>PHILADELPHIA</t>
  </si>
  <si>
    <t>ANTAN 097</t>
  </si>
  <si>
    <t>NNPC ANTAN 046</t>
  </si>
  <si>
    <t>42002111C60/14B</t>
  </si>
  <si>
    <t>YOHO 097</t>
  </si>
  <si>
    <t>NNPC YOHO 058</t>
  </si>
  <si>
    <t>42002109C53/6</t>
  </si>
  <si>
    <t>MONTESPERANZA</t>
  </si>
  <si>
    <t>FOS</t>
  </si>
  <si>
    <t>OKONO 072</t>
  </si>
  <si>
    <t>NNPC OKONO 057</t>
  </si>
  <si>
    <t>42002115C5/10</t>
  </si>
  <si>
    <t>OKONO BLEND CRUDE OIL</t>
  </si>
  <si>
    <t>TOLEDO SPIRIT</t>
  </si>
  <si>
    <t>OKONO</t>
  </si>
  <si>
    <t>SPAIN</t>
  </si>
  <si>
    <t>ALGECIRAS FOR ORDERS</t>
  </si>
  <si>
    <t>YOHO 098</t>
  </si>
  <si>
    <t>NNPC YOHO 059</t>
  </si>
  <si>
    <t>42002109C48/253</t>
  </si>
  <si>
    <t>PRINCIMAR PRIDE</t>
  </si>
  <si>
    <t>HUELVA</t>
  </si>
  <si>
    <t>GERMANY</t>
  </si>
  <si>
    <t>WILHELMSHAVEN</t>
  </si>
  <si>
    <t>AGIP ENERGY</t>
  </si>
  <si>
    <t>PHILLIPS OIL</t>
  </si>
  <si>
    <t>NOT YET ISSUED</t>
  </si>
  <si>
    <t>SKS SINNI</t>
  </si>
  <si>
    <t>DENMARK</t>
  </si>
  <si>
    <t>REEF</t>
  </si>
  <si>
    <t>ATLANTIC ENERGY</t>
  </si>
  <si>
    <t>INTENTION KALUNDBORG</t>
  </si>
  <si>
    <t>BRASS 449</t>
  </si>
  <si>
    <t>201400020004</t>
  </si>
  <si>
    <t>BRASS 450</t>
  </si>
  <si>
    <t>201400010057</t>
  </si>
  <si>
    <t>BRASS 451</t>
  </si>
  <si>
    <t>00201400010064</t>
  </si>
  <si>
    <t>BRASS 452</t>
  </si>
  <si>
    <t>201400010071</t>
  </si>
  <si>
    <t>BRASS 453</t>
  </si>
  <si>
    <t>201400010138</t>
  </si>
  <si>
    <t>ONE OR MORE SAFE PORTS, THAILAND</t>
  </si>
  <si>
    <t>EBOK 016</t>
  </si>
  <si>
    <t>201400010184</t>
  </si>
  <si>
    <t>CAPE BATA</t>
  </si>
  <si>
    <t>ANTAN 098</t>
  </si>
  <si>
    <t>201400020006</t>
  </si>
  <si>
    <t>BRASS 454</t>
  </si>
  <si>
    <t>201400010088</t>
  </si>
  <si>
    <t>FLEVES</t>
  </si>
  <si>
    <t>OMSP, INDIA</t>
  </si>
  <si>
    <t>BRASS 455</t>
  </si>
  <si>
    <t>AWAITING 001</t>
  </si>
  <si>
    <t>BRASS 456</t>
  </si>
  <si>
    <t>AWAITING 002</t>
  </si>
  <si>
    <t>NON-COMPLIANT INSPECTION REPORT FOR THE PERIOD OF  MARCH 2014</t>
  </si>
  <si>
    <t>COMPREHENSIVE INSPECTION REPORT FOR THE PERIOD OF  MARCH 2014</t>
  </si>
  <si>
    <t>NEFT STATEMENT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</si>
</sst>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000000"/>
    <numFmt numFmtId="168" formatCode="_-* #,##0_-;\-* #,##0_-;_-* &quot;-&quot;??_-;_-@_-"/>
    <numFmt numFmtId="169" formatCode="#,##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164" fontId="3" fillId="0" borderId="5" xfId="0" applyNumberFormat="1" applyFont="1" applyFill="1" applyBorder="1" applyAlignment="1">
      <alignment horizontal="center"/>
    </xf>
    <xf numFmtId="164" fontId="3" fillId="0" borderId="6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wrapText="1"/>
    </xf>
    <xf numFmtId="1" fontId="3" fillId="0" borderId="6" xfId="0" applyNumberFormat="1" applyFont="1" applyFill="1" applyBorder="1" applyAlignment="1">
      <alignment horizontal="center" wrapText="1"/>
    </xf>
    <xf numFmtId="14" fontId="3" fillId="0" borderId="6" xfId="0" applyNumberFormat="1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vertical="center" wrapText="1"/>
    </xf>
    <xf numFmtId="3" fontId="3" fillId="0" borderId="6" xfId="0" applyNumberFormat="1" applyFont="1" applyFill="1" applyBorder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164" fontId="4" fillId="0" borderId="0" xfId="0" applyNumberFormat="1" applyFont="1" applyFill="1" applyAlignment="1">
      <alignment horizontal="center"/>
    </xf>
    <xf numFmtId="0" fontId="6" fillId="0" borderId="0" xfId="0" applyFont="1" applyFill="1"/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3" fillId="0" borderId="6" xfId="0" applyFont="1" applyFill="1" applyBorder="1"/>
    <xf numFmtId="0" fontId="3" fillId="0" borderId="6" xfId="0" applyFont="1" applyFill="1" applyBorder="1" applyAlignment="1">
      <alignment horizontal="center"/>
    </xf>
    <xf numFmtId="14" fontId="3" fillId="0" borderId="6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wrapText="1"/>
    </xf>
    <xf numFmtId="164" fontId="3" fillId="0" borderId="6" xfId="0" applyNumberFormat="1" applyFont="1" applyFill="1" applyBorder="1" applyAlignment="1">
      <alignment horizontal="center" wrapText="1"/>
    </xf>
    <xf numFmtId="14" fontId="3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3" fontId="3" fillId="0" borderId="5" xfId="0" applyNumberFormat="1" applyFont="1" applyFill="1" applyBorder="1"/>
    <xf numFmtId="4" fontId="3" fillId="0" borderId="9" xfId="0" applyNumberFormat="1" applyFont="1" applyFill="1" applyBorder="1" applyAlignment="1">
      <alignment horizontal="right"/>
    </xf>
    <xf numFmtId="4" fontId="3" fillId="0" borderId="6" xfId="0" applyNumberFormat="1" applyFont="1" applyFill="1" applyBorder="1" applyAlignment="1">
      <alignment horizontal="center"/>
    </xf>
    <xf numFmtId="14" fontId="3" fillId="0" borderId="6" xfId="0" applyNumberFormat="1" applyFont="1" applyFill="1" applyBorder="1" applyAlignment="1">
      <alignment horizontal="center"/>
    </xf>
    <xf numFmtId="4" fontId="3" fillId="0" borderId="9" xfId="0" applyNumberFormat="1" applyFont="1" applyFill="1" applyBorder="1"/>
    <xf numFmtId="2" fontId="3" fillId="0" borderId="6" xfId="0" applyNumberFormat="1" applyFont="1" applyFill="1" applyBorder="1"/>
    <xf numFmtId="49" fontId="3" fillId="0" borderId="6" xfId="0" applyNumberFormat="1" applyFont="1" applyFill="1" applyBorder="1" applyAlignment="1">
      <alignment horizontal="center" wrapText="1"/>
    </xf>
    <xf numFmtId="4" fontId="3" fillId="0" borderId="6" xfId="0" applyNumberFormat="1" applyFont="1" applyFill="1" applyBorder="1" applyAlignment="1">
      <alignment horizontal="right"/>
    </xf>
    <xf numFmtId="4" fontId="3" fillId="0" borderId="6" xfId="0" applyNumberFormat="1" applyFont="1" applyFill="1" applyBorder="1"/>
    <xf numFmtId="43" fontId="3" fillId="0" borderId="6" xfId="1" applyFont="1" applyFill="1" applyBorder="1"/>
    <xf numFmtId="164" fontId="3" fillId="0" borderId="6" xfId="4" applyNumberFormat="1" applyFont="1" applyFill="1" applyBorder="1" applyAlignment="1">
      <alignment horizontal="center"/>
    </xf>
    <xf numFmtId="3" fontId="3" fillId="0" borderId="6" xfId="0" applyNumberFormat="1" applyFont="1" applyFill="1" applyBorder="1" applyAlignment="1" applyProtection="1">
      <protection locked="0"/>
    </xf>
    <xf numFmtId="3" fontId="3" fillId="0" borderId="9" xfId="0" applyNumberFormat="1" applyFont="1" applyFill="1" applyBorder="1" applyAlignment="1" applyProtection="1">
      <protection locked="0"/>
    </xf>
    <xf numFmtId="2" fontId="3" fillId="0" borderId="9" xfId="0" applyNumberFormat="1" applyFont="1" applyFill="1" applyBorder="1"/>
    <xf numFmtId="3" fontId="7" fillId="0" borderId="7" xfId="0" applyNumberFormat="1" applyFont="1" applyFill="1" applyBorder="1"/>
    <xf numFmtId="4" fontId="7" fillId="0" borderId="7" xfId="0" applyNumberFormat="1" applyFont="1" applyFill="1" applyBorder="1"/>
    <xf numFmtId="43" fontId="7" fillId="0" borderId="7" xfId="0" applyNumberFormat="1" applyFont="1" applyFill="1" applyBorder="1"/>
    <xf numFmtId="0" fontId="3" fillId="0" borderId="6" xfId="0" applyFont="1" applyFill="1" applyBorder="1" applyAlignment="1"/>
    <xf numFmtId="1" fontId="3" fillId="0" borderId="6" xfId="0" applyNumberFormat="1" applyFont="1" applyFill="1" applyBorder="1" applyAlignment="1">
      <alignment horizontal="center"/>
    </xf>
    <xf numFmtId="168" fontId="3" fillId="0" borderId="6" xfId="5" applyNumberFormat="1" applyFont="1" applyFill="1" applyBorder="1" applyAlignment="1"/>
    <xf numFmtId="4" fontId="3" fillId="0" borderId="6" xfId="0" applyNumberFormat="1" applyFont="1" applyFill="1" applyBorder="1" applyAlignment="1"/>
    <xf numFmtId="43" fontId="3" fillId="0" borderId="6" xfId="1" applyFont="1" applyFill="1" applyBorder="1" applyAlignment="1"/>
    <xf numFmtId="165" fontId="3" fillId="0" borderId="6" xfId="0" applyNumberFormat="1" applyFont="1" applyFill="1" applyBorder="1" applyAlignment="1">
      <alignment horizontal="center"/>
    </xf>
    <xf numFmtId="0" fontId="4" fillId="0" borderId="0" xfId="0" applyFont="1" applyFill="1" applyAlignment="1"/>
    <xf numFmtId="3" fontId="3" fillId="0" borderId="6" xfId="0" applyNumberFormat="1" applyFont="1" applyFill="1" applyBorder="1" applyAlignment="1">
      <alignment horizontal="center" vertical="center" wrapText="1"/>
    </xf>
    <xf numFmtId="2" fontId="3" fillId="0" borderId="6" xfId="0" applyNumberFormat="1" applyFont="1" applyFill="1" applyBorder="1" applyAlignment="1">
      <alignment horizontal="center"/>
    </xf>
    <xf numFmtId="0" fontId="4" fillId="0" borderId="6" xfId="0" applyFont="1" applyFill="1" applyBorder="1"/>
    <xf numFmtId="168" fontId="3" fillId="0" borderId="6" xfId="5" applyNumberFormat="1" applyFont="1" applyFill="1" applyBorder="1"/>
    <xf numFmtId="167" fontId="3" fillId="0" borderId="6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wrapText="1"/>
    </xf>
    <xf numFmtId="168" fontId="3" fillId="0" borderId="9" xfId="5" applyNumberFormat="1" applyFont="1" applyFill="1" applyBorder="1"/>
    <xf numFmtId="4" fontId="3" fillId="0" borderId="6" xfId="0" applyNumberFormat="1" applyFont="1" applyFill="1" applyBorder="1" applyAlignment="1">
      <alignment horizontal="center" wrapText="1"/>
    </xf>
    <xf numFmtId="0" fontId="3" fillId="0" borderId="9" xfId="0" applyFont="1" applyFill="1" applyBorder="1"/>
    <xf numFmtId="0" fontId="3" fillId="0" borderId="9" xfId="0" applyFont="1" applyFill="1" applyBorder="1" applyAlignment="1">
      <alignment horizontal="center"/>
    </xf>
    <xf numFmtId="3" fontId="3" fillId="0" borderId="6" xfId="0" applyNumberFormat="1" applyFont="1" applyFill="1" applyBorder="1" applyAlignment="1">
      <alignment horizontal="center" wrapText="1"/>
    </xf>
    <xf numFmtId="1" fontId="3" fillId="0" borderId="9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wrapText="1"/>
    </xf>
    <xf numFmtId="164" fontId="3" fillId="0" borderId="9" xfId="0" applyNumberFormat="1" applyFont="1" applyFill="1" applyBorder="1" applyAlignment="1">
      <alignment horizontal="center" wrapText="1"/>
    </xf>
    <xf numFmtId="3" fontId="3" fillId="0" borderId="6" xfId="0" applyNumberFormat="1" applyFont="1" applyFill="1" applyBorder="1" applyAlignment="1">
      <alignment horizontal="right"/>
    </xf>
    <xf numFmtId="4" fontId="3" fillId="0" borderId="9" xfId="0" applyNumberFormat="1" applyFont="1" applyFill="1" applyBorder="1" applyAlignment="1">
      <alignment horizontal="center"/>
    </xf>
    <xf numFmtId="169" fontId="3" fillId="0" borderId="6" xfId="0" applyNumberFormat="1" applyFont="1" applyFill="1" applyBorder="1" applyAlignment="1">
      <alignment horizontal="center"/>
    </xf>
    <xf numFmtId="2" fontId="3" fillId="0" borderId="10" xfId="0" applyNumberFormat="1" applyFont="1" applyFill="1" applyBorder="1" applyAlignment="1">
      <alignment horizontal="center"/>
    </xf>
    <xf numFmtId="43" fontId="3" fillId="0" borderId="9" xfId="1" applyFont="1" applyFill="1" applyBorder="1"/>
    <xf numFmtId="14" fontId="3" fillId="0" borderId="9" xfId="0" applyNumberFormat="1" applyFont="1" applyFill="1" applyBorder="1" applyAlignment="1">
      <alignment horizontal="center"/>
    </xf>
    <xf numFmtId="12" fontId="3" fillId="0" borderId="6" xfId="0" applyNumberFormat="1" applyFont="1" applyFill="1" applyBorder="1" applyAlignment="1">
      <alignment horizontal="center"/>
    </xf>
    <xf numFmtId="14" fontId="3" fillId="0" borderId="9" xfId="0" applyNumberFormat="1" applyFont="1" applyFill="1" applyBorder="1" applyAlignment="1">
      <alignment horizontal="center" wrapText="1"/>
    </xf>
    <xf numFmtId="49" fontId="3" fillId="0" borderId="9" xfId="0" applyNumberFormat="1" applyFont="1" applyFill="1" applyBorder="1" applyAlignment="1">
      <alignment horizontal="center" wrapText="1"/>
    </xf>
    <xf numFmtId="3" fontId="3" fillId="0" borderId="9" xfId="0" applyNumberFormat="1" applyFont="1" applyFill="1" applyBorder="1"/>
    <xf numFmtId="164" fontId="3" fillId="0" borderId="9" xfId="4" applyNumberFormat="1" applyFont="1" applyFill="1" applyBorder="1" applyAlignment="1">
      <alignment horizontal="center"/>
    </xf>
    <xf numFmtId="165" fontId="3" fillId="0" borderId="9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2" fontId="7" fillId="0" borderId="7" xfId="0" applyNumberFormat="1" applyFont="1" applyFill="1" applyBorder="1"/>
    <xf numFmtId="0" fontId="8" fillId="0" borderId="0" xfId="0" applyFont="1" applyFill="1"/>
    <xf numFmtId="0" fontId="9" fillId="0" borderId="0" xfId="0" applyFont="1" applyFill="1"/>
    <xf numFmtId="0" fontId="10" fillId="0" borderId="0" xfId="0" applyFont="1" applyFill="1" applyAlignment="1">
      <alignment horizontal="center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85725</xdr:rowOff>
    </xdr:from>
    <xdr:to>
      <xdr:col>3</xdr:col>
      <xdr:colOff>400050</xdr:colOff>
      <xdr:row>2</xdr:row>
      <xdr:rowOff>104776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0575" y="85725"/>
          <a:ext cx="428625" cy="4095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85725</xdr:rowOff>
    </xdr:from>
    <xdr:to>
      <xdr:col>3</xdr:col>
      <xdr:colOff>476250</xdr:colOff>
      <xdr:row>2</xdr:row>
      <xdr:rowOff>66676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2950" y="85725"/>
          <a:ext cx="428625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0</xdr:row>
      <xdr:rowOff>95249</xdr:rowOff>
    </xdr:from>
    <xdr:to>
      <xdr:col>4</xdr:col>
      <xdr:colOff>95250</xdr:colOff>
      <xdr:row>2</xdr:row>
      <xdr:rowOff>104775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04875" y="95249"/>
          <a:ext cx="428625" cy="400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43"/>
  <sheetViews>
    <sheetView tabSelected="1" workbookViewId="0">
      <selection activeCell="P43" sqref="P43:Q43"/>
    </sheetView>
  </sheetViews>
  <sheetFormatPr defaultRowHeight="15"/>
  <cols>
    <col min="1" max="1" width="3" style="8" customWidth="1"/>
    <col min="2" max="2" width="4.140625" style="8" customWidth="1"/>
    <col min="3" max="3" width="5.140625" style="9" customWidth="1"/>
    <col min="4" max="4" width="6.28515625" style="9" customWidth="1"/>
    <col min="5" max="5" width="5.85546875" style="9" customWidth="1"/>
    <col min="6" max="6" width="10.5703125" style="9" customWidth="1"/>
    <col min="7" max="7" width="9.5703125" style="9" customWidth="1"/>
    <col min="8" max="8" width="9" style="9" customWidth="1"/>
    <col min="9" max="9" width="10.140625" style="9" customWidth="1"/>
    <col min="10" max="10" width="7.28515625" style="8" customWidth="1"/>
    <col min="11" max="11" width="6.42578125" style="10" customWidth="1"/>
    <col min="12" max="12" width="8.42578125" style="9" customWidth="1"/>
    <col min="13" max="13" width="6.7109375" style="9" customWidth="1"/>
    <col min="14" max="14" width="7" style="12" customWidth="1"/>
    <col min="15" max="15" width="12.42578125" style="13" customWidth="1"/>
    <col min="16" max="16" width="7.85546875" style="8" customWidth="1"/>
    <col min="17" max="17" width="11.140625" style="8" customWidth="1"/>
    <col min="18" max="18" width="6.5703125" style="8" customWidth="1"/>
    <col min="19" max="19" width="7.42578125" style="14" customWidth="1"/>
    <col min="20" max="20" width="7.28515625" style="10" customWidth="1"/>
    <col min="21" max="21" width="10.28515625" style="9" customWidth="1"/>
    <col min="22" max="22" width="9.85546875" style="8" customWidth="1"/>
    <col min="23" max="23" width="6.85546875" style="8" customWidth="1"/>
    <col min="24" max="24" width="11.140625" style="8" customWidth="1"/>
    <col min="25" max="25" width="11.42578125" style="8" customWidth="1"/>
    <col min="26" max="26" width="4.85546875" style="8" customWidth="1"/>
    <col min="27" max="27" width="5.140625" style="8" customWidth="1"/>
    <col min="28" max="16384" width="9.140625" style="8"/>
  </cols>
  <sheetData>
    <row r="2" spans="2:27" ht="15.75">
      <c r="L2" s="11" t="s">
        <v>0</v>
      </c>
    </row>
    <row r="3" spans="2:27" ht="23.25" customHeight="1" thickBot="1">
      <c r="L3" s="11" t="s">
        <v>205</v>
      </c>
      <c r="P3" s="15"/>
    </row>
    <row r="4" spans="2:27" s="9" customFormat="1" ht="42.6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</row>
    <row r="5" spans="2:27" s="15" customFormat="1" ht="24.75" customHeight="1">
      <c r="B5" s="22">
        <v>1</v>
      </c>
      <c r="C5" s="3" t="s">
        <v>180</v>
      </c>
      <c r="D5" s="24" t="s">
        <v>174</v>
      </c>
      <c r="E5" s="5"/>
      <c r="F5" s="25" t="s">
        <v>181</v>
      </c>
      <c r="G5" s="3" t="s">
        <v>43</v>
      </c>
      <c r="H5" s="3" t="s">
        <v>87</v>
      </c>
      <c r="I5" s="3" t="s">
        <v>45</v>
      </c>
      <c r="J5" s="26">
        <v>801.22</v>
      </c>
      <c r="K5" s="27">
        <v>41703</v>
      </c>
      <c r="L5" s="28" t="s">
        <v>175</v>
      </c>
      <c r="M5" s="28" t="s">
        <v>29</v>
      </c>
      <c r="N5" s="3" t="s">
        <v>170</v>
      </c>
      <c r="O5" s="6" t="s">
        <v>171</v>
      </c>
      <c r="P5" s="29">
        <v>180000</v>
      </c>
      <c r="Q5" s="30">
        <f t="shared" ref="Q5:Q19" si="0">SUM(P5*S5)</f>
        <v>19922400</v>
      </c>
      <c r="R5" s="31" t="s">
        <v>27</v>
      </c>
      <c r="S5" s="1">
        <v>110.68</v>
      </c>
      <c r="T5" s="32">
        <f t="shared" ref="T5:T19" si="1">SUM(K5)+89</f>
        <v>41792</v>
      </c>
      <c r="U5" s="3" t="s">
        <v>83</v>
      </c>
      <c r="V5" s="33">
        <f t="shared" ref="V5:V19" si="2">SUM(Q5*0.12%)</f>
        <v>23906.879999999997</v>
      </c>
      <c r="W5" s="23">
        <v>155.74</v>
      </c>
      <c r="X5" s="30">
        <f t="shared" ref="X5:X19" si="3">SUM(V5*W5)</f>
        <v>3723257.4911999996</v>
      </c>
      <c r="Y5" s="34">
        <v>0</v>
      </c>
      <c r="Z5" s="23"/>
      <c r="AA5" s="23"/>
    </row>
    <row r="6" spans="2:27" ht="24.75" customHeight="1">
      <c r="B6" s="22">
        <f t="shared" ref="B6:B19" si="4">B5+1</f>
        <v>2</v>
      </c>
      <c r="C6" s="3" t="s">
        <v>182</v>
      </c>
      <c r="D6" s="24" t="s">
        <v>174</v>
      </c>
      <c r="E6" s="5"/>
      <c r="F6" s="25" t="s">
        <v>183</v>
      </c>
      <c r="G6" s="3" t="s">
        <v>76</v>
      </c>
      <c r="H6" s="3" t="s">
        <v>173</v>
      </c>
      <c r="I6" s="3" t="s">
        <v>45</v>
      </c>
      <c r="J6" s="26">
        <v>801.22</v>
      </c>
      <c r="K6" s="27">
        <v>41703</v>
      </c>
      <c r="L6" s="28" t="s">
        <v>175</v>
      </c>
      <c r="M6" s="28" t="s">
        <v>29</v>
      </c>
      <c r="N6" s="3" t="s">
        <v>170</v>
      </c>
      <c r="O6" s="6" t="s">
        <v>171</v>
      </c>
      <c r="P6" s="29">
        <v>349000</v>
      </c>
      <c r="Q6" s="30">
        <f t="shared" si="0"/>
        <v>38627320</v>
      </c>
      <c r="R6" s="31" t="s">
        <v>27</v>
      </c>
      <c r="S6" s="1">
        <v>110.68</v>
      </c>
      <c r="T6" s="32">
        <f t="shared" si="1"/>
        <v>41792</v>
      </c>
      <c r="U6" s="6" t="s">
        <v>28</v>
      </c>
      <c r="V6" s="33">
        <f t="shared" si="2"/>
        <v>46352.783999999992</v>
      </c>
      <c r="W6" s="23">
        <v>155.74</v>
      </c>
      <c r="X6" s="30">
        <f t="shared" si="3"/>
        <v>7218982.5801599994</v>
      </c>
      <c r="Y6" s="34">
        <v>0</v>
      </c>
      <c r="Z6" s="23"/>
      <c r="AA6" s="23"/>
    </row>
    <row r="7" spans="2:27" ht="24.75" customHeight="1">
      <c r="B7" s="22">
        <f t="shared" si="4"/>
        <v>3</v>
      </c>
      <c r="C7" s="3" t="s">
        <v>184</v>
      </c>
      <c r="D7" s="24" t="s">
        <v>174</v>
      </c>
      <c r="E7" s="5"/>
      <c r="F7" s="25" t="s">
        <v>185</v>
      </c>
      <c r="G7" s="3" t="s">
        <v>43</v>
      </c>
      <c r="H7" s="3" t="s">
        <v>172</v>
      </c>
      <c r="I7" s="3" t="s">
        <v>45</v>
      </c>
      <c r="J7" s="26">
        <v>801.22</v>
      </c>
      <c r="K7" s="27">
        <v>41703</v>
      </c>
      <c r="L7" s="28" t="s">
        <v>175</v>
      </c>
      <c r="M7" s="28" t="s">
        <v>29</v>
      </c>
      <c r="N7" s="3" t="s">
        <v>170</v>
      </c>
      <c r="O7" s="6" t="s">
        <v>171</v>
      </c>
      <c r="P7" s="29">
        <v>80000</v>
      </c>
      <c r="Q7" s="30">
        <f t="shared" si="0"/>
        <v>8854400</v>
      </c>
      <c r="R7" s="31" t="s">
        <v>27</v>
      </c>
      <c r="S7" s="1">
        <v>110.68</v>
      </c>
      <c r="T7" s="32">
        <f t="shared" si="1"/>
        <v>41792</v>
      </c>
      <c r="U7" s="6" t="s">
        <v>28</v>
      </c>
      <c r="V7" s="33">
        <f t="shared" si="2"/>
        <v>10625.279999999999</v>
      </c>
      <c r="W7" s="23">
        <v>155.74</v>
      </c>
      <c r="X7" s="30">
        <f t="shared" si="3"/>
        <v>1654781.1072</v>
      </c>
      <c r="Y7" s="34">
        <v>0</v>
      </c>
      <c r="Z7" s="23"/>
      <c r="AA7" s="23"/>
    </row>
    <row r="8" spans="2:27" ht="24.75" customHeight="1">
      <c r="B8" s="22">
        <f t="shared" si="4"/>
        <v>4</v>
      </c>
      <c r="C8" s="3" t="s">
        <v>186</v>
      </c>
      <c r="D8" s="24" t="s">
        <v>174</v>
      </c>
      <c r="E8" s="5"/>
      <c r="F8" s="35" t="s">
        <v>187</v>
      </c>
      <c r="G8" s="3" t="s">
        <v>43</v>
      </c>
      <c r="H8" s="3" t="s">
        <v>31</v>
      </c>
      <c r="I8" s="3" t="s">
        <v>45</v>
      </c>
      <c r="J8" s="26">
        <v>801.22</v>
      </c>
      <c r="K8" s="5">
        <v>41703</v>
      </c>
      <c r="L8" s="3" t="s">
        <v>175</v>
      </c>
      <c r="M8" s="3" t="s">
        <v>29</v>
      </c>
      <c r="N8" s="3" t="s">
        <v>170</v>
      </c>
      <c r="O8" s="6" t="s">
        <v>171</v>
      </c>
      <c r="P8" s="7">
        <v>377938</v>
      </c>
      <c r="Q8" s="36">
        <f t="shared" si="0"/>
        <v>41830177.840000004</v>
      </c>
      <c r="R8" s="31" t="s">
        <v>27</v>
      </c>
      <c r="S8" s="2">
        <v>110.68</v>
      </c>
      <c r="T8" s="32">
        <f t="shared" si="1"/>
        <v>41792</v>
      </c>
      <c r="U8" s="6" t="s">
        <v>28</v>
      </c>
      <c r="V8" s="37">
        <f t="shared" si="2"/>
        <v>50196.213408000003</v>
      </c>
      <c r="W8" s="23">
        <v>155.74</v>
      </c>
      <c r="X8" s="36">
        <f t="shared" si="3"/>
        <v>7817558.2761619212</v>
      </c>
      <c r="Y8" s="34">
        <v>0</v>
      </c>
      <c r="Z8" s="23"/>
      <c r="AA8" s="23"/>
    </row>
    <row r="9" spans="2:27" ht="24.75" customHeight="1">
      <c r="B9" s="22">
        <f t="shared" si="4"/>
        <v>5</v>
      </c>
      <c r="C9" s="3" t="s">
        <v>141</v>
      </c>
      <c r="D9" s="24" t="s">
        <v>142</v>
      </c>
      <c r="E9" s="5">
        <v>41729</v>
      </c>
      <c r="F9" s="35" t="s">
        <v>143</v>
      </c>
      <c r="G9" s="3" t="s">
        <v>144</v>
      </c>
      <c r="H9" s="3" t="s">
        <v>145</v>
      </c>
      <c r="I9" s="3" t="s">
        <v>80</v>
      </c>
      <c r="J9" s="26">
        <v>801.22</v>
      </c>
      <c r="K9" s="5">
        <v>41708</v>
      </c>
      <c r="L9" s="3" t="s">
        <v>146</v>
      </c>
      <c r="M9" s="3" t="s">
        <v>81</v>
      </c>
      <c r="N9" s="3" t="s">
        <v>147</v>
      </c>
      <c r="O9" s="6" t="s">
        <v>148</v>
      </c>
      <c r="P9" s="7">
        <v>400000</v>
      </c>
      <c r="Q9" s="36">
        <f t="shared" si="0"/>
        <v>43323600</v>
      </c>
      <c r="R9" s="31" t="s">
        <v>27</v>
      </c>
      <c r="S9" s="2">
        <v>108.309</v>
      </c>
      <c r="T9" s="32">
        <f t="shared" si="1"/>
        <v>41797</v>
      </c>
      <c r="U9" s="3" t="s">
        <v>144</v>
      </c>
      <c r="V9" s="37">
        <f t="shared" si="2"/>
        <v>51988.319999999992</v>
      </c>
      <c r="W9" s="23">
        <v>155.74</v>
      </c>
      <c r="X9" s="36">
        <f t="shared" si="3"/>
        <v>8096660.9567999989</v>
      </c>
      <c r="Y9" s="38">
        <f t="shared" ref="Y9:Y11" si="5">X9</f>
        <v>8096660.9567999989</v>
      </c>
      <c r="Z9" s="23"/>
      <c r="AA9" s="23"/>
    </row>
    <row r="10" spans="2:27" ht="24.75" customHeight="1">
      <c r="B10" s="22">
        <f t="shared" si="4"/>
        <v>6</v>
      </c>
      <c r="C10" s="3" t="s">
        <v>149</v>
      </c>
      <c r="D10" s="24" t="s">
        <v>150</v>
      </c>
      <c r="E10" s="5">
        <v>41729</v>
      </c>
      <c r="F10" s="35" t="s">
        <v>151</v>
      </c>
      <c r="G10" s="3" t="s">
        <v>144</v>
      </c>
      <c r="H10" s="3" t="s">
        <v>145</v>
      </c>
      <c r="I10" s="3" t="s">
        <v>80</v>
      </c>
      <c r="J10" s="26">
        <v>801.22</v>
      </c>
      <c r="K10" s="5">
        <v>41708</v>
      </c>
      <c r="L10" s="3" t="s">
        <v>146</v>
      </c>
      <c r="M10" s="3" t="s">
        <v>81</v>
      </c>
      <c r="N10" s="3" t="s">
        <v>147</v>
      </c>
      <c r="O10" s="6" t="s">
        <v>148</v>
      </c>
      <c r="P10" s="7">
        <v>548515</v>
      </c>
      <c r="Q10" s="36">
        <f t="shared" si="0"/>
        <v>59409111.134999998</v>
      </c>
      <c r="R10" s="31" t="s">
        <v>27</v>
      </c>
      <c r="S10" s="2">
        <v>108.309</v>
      </c>
      <c r="T10" s="32">
        <f t="shared" si="1"/>
        <v>41797</v>
      </c>
      <c r="U10" s="3" t="s">
        <v>144</v>
      </c>
      <c r="V10" s="37">
        <f t="shared" si="2"/>
        <v>71290.933361999996</v>
      </c>
      <c r="W10" s="23">
        <v>155.74</v>
      </c>
      <c r="X10" s="36">
        <f t="shared" si="3"/>
        <v>11102849.96179788</v>
      </c>
      <c r="Y10" s="38">
        <f t="shared" si="5"/>
        <v>11102849.96179788</v>
      </c>
      <c r="Z10" s="23"/>
      <c r="AA10" s="23"/>
    </row>
    <row r="11" spans="2:27" ht="24.75" customHeight="1">
      <c r="B11" s="22">
        <f t="shared" si="4"/>
        <v>7</v>
      </c>
      <c r="C11" s="3" t="s">
        <v>152</v>
      </c>
      <c r="D11" s="24" t="s">
        <v>153</v>
      </c>
      <c r="E11" s="5">
        <v>41729</v>
      </c>
      <c r="F11" s="4" t="s">
        <v>154</v>
      </c>
      <c r="G11" s="3" t="s">
        <v>144</v>
      </c>
      <c r="H11" s="3" t="s">
        <v>145</v>
      </c>
      <c r="I11" s="3" t="s">
        <v>138</v>
      </c>
      <c r="J11" s="26">
        <v>801.22</v>
      </c>
      <c r="K11" s="5">
        <v>41714</v>
      </c>
      <c r="L11" s="3" t="s">
        <v>155</v>
      </c>
      <c r="M11" s="3" t="s">
        <v>140</v>
      </c>
      <c r="N11" s="3" t="s">
        <v>37</v>
      </c>
      <c r="O11" s="6" t="s">
        <v>156</v>
      </c>
      <c r="P11" s="7">
        <v>950034</v>
      </c>
      <c r="Q11" s="36">
        <f t="shared" si="0"/>
        <v>103989771.60600001</v>
      </c>
      <c r="R11" s="31" t="s">
        <v>27</v>
      </c>
      <c r="S11" s="2">
        <v>109.459</v>
      </c>
      <c r="T11" s="32">
        <f t="shared" si="1"/>
        <v>41803</v>
      </c>
      <c r="U11" s="3" t="s">
        <v>144</v>
      </c>
      <c r="V11" s="37">
        <f t="shared" si="2"/>
        <v>124787.72592719999</v>
      </c>
      <c r="W11" s="23">
        <v>155.74</v>
      </c>
      <c r="X11" s="36">
        <f t="shared" si="3"/>
        <v>19434440.43590213</v>
      </c>
      <c r="Y11" s="38">
        <f t="shared" si="5"/>
        <v>19434440.43590213</v>
      </c>
      <c r="Z11" s="23"/>
      <c r="AA11" s="23"/>
    </row>
    <row r="12" spans="2:27" ht="24.75" customHeight="1">
      <c r="B12" s="22">
        <f t="shared" si="4"/>
        <v>8</v>
      </c>
      <c r="C12" s="3" t="s">
        <v>188</v>
      </c>
      <c r="D12" s="24" t="s">
        <v>174</v>
      </c>
      <c r="E12" s="5"/>
      <c r="F12" s="35" t="s">
        <v>189</v>
      </c>
      <c r="G12" s="3" t="s">
        <v>69</v>
      </c>
      <c r="H12" s="3" t="s">
        <v>178</v>
      </c>
      <c r="I12" s="3" t="s">
        <v>45</v>
      </c>
      <c r="J12" s="26">
        <v>801.22</v>
      </c>
      <c r="K12" s="5">
        <v>41717</v>
      </c>
      <c r="L12" s="3" t="s">
        <v>177</v>
      </c>
      <c r="M12" s="3" t="s">
        <v>29</v>
      </c>
      <c r="N12" s="3" t="s">
        <v>46</v>
      </c>
      <c r="O12" s="6" t="s">
        <v>190</v>
      </c>
      <c r="P12" s="7">
        <v>949583</v>
      </c>
      <c r="Q12" s="36">
        <f t="shared" si="0"/>
        <v>102586300.23900001</v>
      </c>
      <c r="R12" s="31" t="s">
        <v>27</v>
      </c>
      <c r="S12" s="2">
        <v>108.033</v>
      </c>
      <c r="T12" s="32">
        <f t="shared" si="1"/>
        <v>41806</v>
      </c>
      <c r="U12" s="3" t="s">
        <v>76</v>
      </c>
      <c r="V12" s="37">
        <f t="shared" si="2"/>
        <v>123103.5602868</v>
      </c>
      <c r="W12" s="23">
        <v>155.74</v>
      </c>
      <c r="X12" s="36">
        <f t="shared" si="3"/>
        <v>19172148.479066234</v>
      </c>
      <c r="Y12" s="34">
        <v>0</v>
      </c>
      <c r="Z12" s="23"/>
      <c r="AA12" s="23"/>
    </row>
    <row r="13" spans="2:27" ht="24.75" customHeight="1">
      <c r="B13" s="22">
        <f t="shared" si="4"/>
        <v>9</v>
      </c>
      <c r="C13" s="3" t="s">
        <v>191</v>
      </c>
      <c r="D13" s="24" t="s">
        <v>174</v>
      </c>
      <c r="E13" s="5"/>
      <c r="F13" s="35" t="s">
        <v>192</v>
      </c>
      <c r="G13" s="3" t="s">
        <v>69</v>
      </c>
      <c r="H13" s="3" t="s">
        <v>70</v>
      </c>
      <c r="I13" s="3" t="s">
        <v>71</v>
      </c>
      <c r="J13" s="26">
        <v>801.22</v>
      </c>
      <c r="K13" s="5">
        <v>41718</v>
      </c>
      <c r="L13" s="3" t="s">
        <v>193</v>
      </c>
      <c r="M13" s="3" t="s">
        <v>73</v>
      </c>
      <c r="N13" s="3" t="s">
        <v>74</v>
      </c>
      <c r="O13" s="6" t="s">
        <v>75</v>
      </c>
      <c r="P13" s="7">
        <v>629594</v>
      </c>
      <c r="Q13" s="36">
        <f t="shared" si="0"/>
        <v>64634120.039999999</v>
      </c>
      <c r="R13" s="31" t="s">
        <v>27</v>
      </c>
      <c r="S13" s="2">
        <v>102.66</v>
      </c>
      <c r="T13" s="32">
        <f t="shared" si="1"/>
        <v>41807</v>
      </c>
      <c r="U13" s="3" t="s">
        <v>76</v>
      </c>
      <c r="V13" s="37">
        <f t="shared" si="2"/>
        <v>77560.94404799999</v>
      </c>
      <c r="W13" s="23">
        <v>155.74</v>
      </c>
      <c r="X13" s="36">
        <f t="shared" si="3"/>
        <v>12079341.42603552</v>
      </c>
      <c r="Y13" s="34">
        <v>0</v>
      </c>
      <c r="Z13" s="23"/>
      <c r="AA13" s="23"/>
    </row>
    <row r="14" spans="2:27" ht="24.75" customHeight="1">
      <c r="B14" s="22">
        <f t="shared" si="4"/>
        <v>10</v>
      </c>
      <c r="C14" s="3" t="s">
        <v>157</v>
      </c>
      <c r="D14" s="24" t="s">
        <v>158</v>
      </c>
      <c r="E14" s="5">
        <v>41729</v>
      </c>
      <c r="F14" s="35" t="s">
        <v>159</v>
      </c>
      <c r="G14" s="3" t="s">
        <v>144</v>
      </c>
      <c r="H14" s="3" t="s">
        <v>145</v>
      </c>
      <c r="I14" s="3" t="s">
        <v>160</v>
      </c>
      <c r="J14" s="26">
        <v>801.22</v>
      </c>
      <c r="K14" s="5">
        <v>41719</v>
      </c>
      <c r="L14" s="3" t="s">
        <v>161</v>
      </c>
      <c r="M14" s="3" t="s">
        <v>162</v>
      </c>
      <c r="N14" s="3" t="s">
        <v>163</v>
      </c>
      <c r="O14" s="6" t="s">
        <v>164</v>
      </c>
      <c r="P14" s="7">
        <v>899927</v>
      </c>
      <c r="Q14" s="36">
        <f t="shared" si="0"/>
        <v>97662777.820999995</v>
      </c>
      <c r="R14" s="31" t="s">
        <v>27</v>
      </c>
      <c r="S14" s="39">
        <v>108.523</v>
      </c>
      <c r="T14" s="32">
        <f t="shared" si="1"/>
        <v>41808</v>
      </c>
      <c r="U14" s="3" t="s">
        <v>144</v>
      </c>
      <c r="V14" s="37">
        <f t="shared" si="2"/>
        <v>117195.33338519998</v>
      </c>
      <c r="W14" s="23">
        <v>155.74</v>
      </c>
      <c r="X14" s="36">
        <f t="shared" si="3"/>
        <v>18252001.221411046</v>
      </c>
      <c r="Y14" s="38">
        <f t="shared" ref="Y14" si="6">X14</f>
        <v>18252001.221411046</v>
      </c>
      <c r="Z14" s="23"/>
      <c r="AA14" s="23"/>
    </row>
    <row r="15" spans="2:27" ht="24.75" customHeight="1">
      <c r="B15" s="22">
        <f t="shared" si="4"/>
        <v>11</v>
      </c>
      <c r="C15" s="3" t="s">
        <v>194</v>
      </c>
      <c r="D15" s="24" t="s">
        <v>174</v>
      </c>
      <c r="E15" s="5"/>
      <c r="F15" s="35" t="s">
        <v>195</v>
      </c>
      <c r="G15" s="3" t="s">
        <v>43</v>
      </c>
      <c r="H15" s="3" t="s">
        <v>87</v>
      </c>
      <c r="I15" s="3" t="s">
        <v>80</v>
      </c>
      <c r="J15" s="26">
        <v>801.22</v>
      </c>
      <c r="K15" s="5">
        <v>41727</v>
      </c>
      <c r="L15" s="3" t="s">
        <v>38</v>
      </c>
      <c r="M15" s="3" t="s">
        <v>81</v>
      </c>
      <c r="N15" s="3" t="s">
        <v>176</v>
      </c>
      <c r="O15" s="6" t="s">
        <v>179</v>
      </c>
      <c r="P15" s="7">
        <v>947026</v>
      </c>
      <c r="Q15" s="36">
        <f t="shared" si="0"/>
        <v>100604466.03200001</v>
      </c>
      <c r="R15" s="31" t="s">
        <v>27</v>
      </c>
      <c r="S15" s="39">
        <v>106.232</v>
      </c>
      <c r="T15" s="32">
        <f t="shared" si="1"/>
        <v>41816</v>
      </c>
      <c r="U15" s="3" t="s">
        <v>83</v>
      </c>
      <c r="V15" s="37">
        <f t="shared" si="2"/>
        <v>120725.35923839999</v>
      </c>
      <c r="W15" s="23">
        <v>155.74</v>
      </c>
      <c r="X15" s="36">
        <f t="shared" si="3"/>
        <v>18801767.447788417</v>
      </c>
      <c r="Y15" s="34">
        <v>0</v>
      </c>
      <c r="Z15" s="23"/>
      <c r="AA15" s="23"/>
    </row>
    <row r="16" spans="2:27" ht="24.75" customHeight="1">
      <c r="B16" s="22">
        <f t="shared" si="4"/>
        <v>12</v>
      </c>
      <c r="C16" s="3" t="s">
        <v>165</v>
      </c>
      <c r="D16" s="24" t="s">
        <v>166</v>
      </c>
      <c r="E16" s="5">
        <v>41729</v>
      </c>
      <c r="F16" s="35" t="s">
        <v>167</v>
      </c>
      <c r="G16" s="3" t="s">
        <v>144</v>
      </c>
      <c r="H16" s="3" t="s">
        <v>145</v>
      </c>
      <c r="I16" s="3" t="s">
        <v>138</v>
      </c>
      <c r="J16" s="26">
        <v>801.22</v>
      </c>
      <c r="K16" s="5">
        <v>41729</v>
      </c>
      <c r="L16" s="3" t="s">
        <v>168</v>
      </c>
      <c r="M16" s="3" t="s">
        <v>140</v>
      </c>
      <c r="N16" s="3" t="s">
        <v>163</v>
      </c>
      <c r="O16" s="6" t="s">
        <v>169</v>
      </c>
      <c r="P16" s="7">
        <v>950149</v>
      </c>
      <c r="Q16" s="36">
        <f t="shared" si="0"/>
        <v>102156219.884</v>
      </c>
      <c r="R16" s="31" t="s">
        <v>27</v>
      </c>
      <c r="S16" s="39">
        <v>107.51600000000001</v>
      </c>
      <c r="T16" s="32">
        <f t="shared" si="1"/>
        <v>41818</v>
      </c>
      <c r="U16" s="3" t="s">
        <v>144</v>
      </c>
      <c r="V16" s="37">
        <f t="shared" si="2"/>
        <v>122587.4638608</v>
      </c>
      <c r="W16" s="23">
        <v>155.74</v>
      </c>
      <c r="X16" s="36">
        <f t="shared" si="3"/>
        <v>19091771.621680994</v>
      </c>
      <c r="Y16" s="38">
        <f t="shared" ref="Y16" si="7">X16</f>
        <v>19091771.621680994</v>
      </c>
      <c r="Z16" s="23"/>
      <c r="AA16" s="23"/>
    </row>
    <row r="17" spans="2:27" ht="24.75" customHeight="1">
      <c r="B17" s="22">
        <f t="shared" si="4"/>
        <v>13</v>
      </c>
      <c r="C17" s="3" t="s">
        <v>196</v>
      </c>
      <c r="D17" s="24" t="s">
        <v>174</v>
      </c>
      <c r="E17" s="5"/>
      <c r="F17" s="35" t="s">
        <v>197</v>
      </c>
      <c r="G17" s="3" t="s">
        <v>76</v>
      </c>
      <c r="H17" s="3" t="s">
        <v>173</v>
      </c>
      <c r="I17" s="3" t="s">
        <v>45</v>
      </c>
      <c r="J17" s="26">
        <v>801.22</v>
      </c>
      <c r="K17" s="5">
        <v>41729</v>
      </c>
      <c r="L17" s="3" t="s">
        <v>198</v>
      </c>
      <c r="M17" s="3" t="s">
        <v>29</v>
      </c>
      <c r="N17" s="3" t="s">
        <v>35</v>
      </c>
      <c r="O17" s="6" t="s">
        <v>199</v>
      </c>
      <c r="P17" s="7">
        <v>355000</v>
      </c>
      <c r="Q17" s="36">
        <f t="shared" si="0"/>
        <v>37972930</v>
      </c>
      <c r="R17" s="31" t="s">
        <v>27</v>
      </c>
      <c r="S17" s="39">
        <v>106.96599999999999</v>
      </c>
      <c r="T17" s="32">
        <f t="shared" si="1"/>
        <v>41818</v>
      </c>
      <c r="U17" s="3" t="s">
        <v>28</v>
      </c>
      <c r="V17" s="37">
        <f t="shared" si="2"/>
        <v>45567.515999999996</v>
      </c>
      <c r="W17" s="23">
        <v>155.74</v>
      </c>
      <c r="X17" s="36">
        <f t="shared" si="3"/>
        <v>7096684.9418399995</v>
      </c>
      <c r="Y17" s="34">
        <v>0</v>
      </c>
      <c r="Z17" s="23"/>
      <c r="AA17" s="23"/>
    </row>
    <row r="18" spans="2:27" ht="24.75" customHeight="1">
      <c r="B18" s="22">
        <f t="shared" si="4"/>
        <v>14</v>
      </c>
      <c r="C18" s="3" t="s">
        <v>200</v>
      </c>
      <c r="D18" s="24" t="s">
        <v>174</v>
      </c>
      <c r="E18" s="5"/>
      <c r="F18" s="35" t="s">
        <v>201</v>
      </c>
      <c r="G18" s="3" t="s">
        <v>43</v>
      </c>
      <c r="H18" s="3" t="s">
        <v>172</v>
      </c>
      <c r="I18" s="3" t="s">
        <v>45</v>
      </c>
      <c r="J18" s="26">
        <v>801.22</v>
      </c>
      <c r="K18" s="5">
        <v>41729</v>
      </c>
      <c r="L18" s="3" t="s">
        <v>198</v>
      </c>
      <c r="M18" s="3" t="s">
        <v>29</v>
      </c>
      <c r="N18" s="3" t="s">
        <v>35</v>
      </c>
      <c r="O18" s="6" t="s">
        <v>199</v>
      </c>
      <c r="P18" s="40">
        <v>90000</v>
      </c>
      <c r="Q18" s="36">
        <f t="shared" si="0"/>
        <v>9626940</v>
      </c>
      <c r="R18" s="31" t="s">
        <v>27</v>
      </c>
      <c r="S18" s="39">
        <v>106.96599999999999</v>
      </c>
      <c r="T18" s="32">
        <f t="shared" si="1"/>
        <v>41818</v>
      </c>
      <c r="U18" s="3" t="s">
        <v>28</v>
      </c>
      <c r="V18" s="37">
        <f t="shared" si="2"/>
        <v>11552.328</v>
      </c>
      <c r="W18" s="23">
        <v>155.74</v>
      </c>
      <c r="X18" s="36">
        <f t="shared" si="3"/>
        <v>1799159.56272</v>
      </c>
      <c r="Y18" s="34">
        <v>0</v>
      </c>
      <c r="Z18" s="23"/>
      <c r="AA18" s="23"/>
    </row>
    <row r="19" spans="2:27" ht="24.75" customHeight="1" thickBot="1">
      <c r="B19" s="22">
        <f t="shared" si="4"/>
        <v>15</v>
      </c>
      <c r="C19" s="3" t="s">
        <v>202</v>
      </c>
      <c r="D19" s="24" t="s">
        <v>174</v>
      </c>
      <c r="E19" s="5"/>
      <c r="F19" s="35" t="s">
        <v>203</v>
      </c>
      <c r="G19" s="3" t="s">
        <v>43</v>
      </c>
      <c r="H19" s="3" t="s">
        <v>31</v>
      </c>
      <c r="I19" s="3" t="s">
        <v>45</v>
      </c>
      <c r="J19" s="26">
        <v>801.22</v>
      </c>
      <c r="K19" s="5">
        <v>41729</v>
      </c>
      <c r="L19" s="3" t="s">
        <v>198</v>
      </c>
      <c r="M19" s="3" t="s">
        <v>29</v>
      </c>
      <c r="N19" s="3" t="s">
        <v>35</v>
      </c>
      <c r="O19" s="6" t="s">
        <v>199</v>
      </c>
      <c r="P19" s="41">
        <v>125030</v>
      </c>
      <c r="Q19" s="30">
        <f t="shared" si="0"/>
        <v>13373958.979999999</v>
      </c>
      <c r="R19" s="31" t="s">
        <v>27</v>
      </c>
      <c r="S19" s="39">
        <v>106.96599999999999</v>
      </c>
      <c r="T19" s="32">
        <f t="shared" si="1"/>
        <v>41818</v>
      </c>
      <c r="U19" s="3" t="s">
        <v>28</v>
      </c>
      <c r="V19" s="33">
        <f t="shared" si="2"/>
        <v>16048.750775999997</v>
      </c>
      <c r="W19" s="23">
        <v>155.74</v>
      </c>
      <c r="X19" s="30">
        <f t="shared" si="3"/>
        <v>2499432.4458542396</v>
      </c>
      <c r="Y19" s="42">
        <v>0</v>
      </c>
      <c r="Z19" s="23"/>
      <c r="AA19" s="23"/>
    </row>
    <row r="20" spans="2:27" ht="15.75" thickBot="1">
      <c r="P20" s="43">
        <f>SUM(P5:P19)</f>
        <v>7831796</v>
      </c>
      <c r="Q20" s="44">
        <f>SUM(Q5:Q19)</f>
        <v>844574493.57700014</v>
      </c>
      <c r="V20" s="44">
        <f>SUM(V5:V19)</f>
        <v>1013489.3922923999</v>
      </c>
      <c r="X20" s="44">
        <f>SUM(X5:X19)</f>
        <v>157840837.95561838</v>
      </c>
      <c r="Y20" s="45">
        <f>SUM(Y5:Y19)</f>
        <v>75977724.19759205</v>
      </c>
    </row>
    <row r="34" spans="4:17">
      <c r="D34" s="85"/>
    </row>
    <row r="35" spans="4:17">
      <c r="D35" s="85"/>
    </row>
    <row r="36" spans="4:17">
      <c r="D36" s="86"/>
    </row>
    <row r="37" spans="4:17">
      <c r="D37" s="85"/>
    </row>
    <row r="38" spans="4:17">
      <c r="D38" s="85"/>
    </row>
    <row r="43" spans="4:17" ht="18.75">
      <c r="P43" s="87"/>
      <c r="Q43" s="87"/>
    </row>
  </sheetData>
  <mergeCells count="1">
    <mergeCell ref="P43:Q43"/>
  </mergeCells>
  <pageMargins left="0" right="0" top="0" bottom="0" header="0.31496062992125984" footer="0"/>
  <pageSetup paperSize="8" orientation="landscape" r:id="rId1"/>
  <ignoredErrors>
    <ignoredError sqref="F5:F1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34"/>
  <sheetViews>
    <sheetView topLeftCell="A23" workbookViewId="0">
      <selection activeCell="P34" sqref="P34:Q34"/>
    </sheetView>
  </sheetViews>
  <sheetFormatPr defaultRowHeight="15"/>
  <cols>
    <col min="1" max="1" width="3" style="8" customWidth="1"/>
    <col min="2" max="2" width="2.7109375" style="8" customWidth="1"/>
    <col min="3" max="3" width="4.7109375" style="8" customWidth="1"/>
    <col min="4" max="4" width="7.42578125" style="9" customWidth="1"/>
    <col min="5" max="5" width="5.85546875" style="9" customWidth="1"/>
    <col min="6" max="6" width="11" style="9" customWidth="1"/>
    <col min="7" max="7" width="9.5703125" style="9" customWidth="1"/>
    <col min="8" max="8" width="9" style="9" customWidth="1"/>
    <col min="9" max="9" width="8.28515625" style="9" customWidth="1"/>
    <col min="10" max="10" width="6" style="8" customWidth="1"/>
    <col min="11" max="11" width="6" style="10" customWidth="1"/>
    <col min="12" max="12" width="9" style="9" customWidth="1"/>
    <col min="13" max="13" width="5.7109375" style="10" customWidth="1"/>
    <col min="14" max="14" width="7.42578125" style="12" customWidth="1"/>
    <col min="15" max="15" width="10.42578125" style="13" customWidth="1"/>
    <col min="16" max="16" width="7.42578125" style="8" customWidth="1"/>
    <col min="17" max="17" width="12.7109375" style="8" customWidth="1"/>
    <col min="18" max="18" width="5.42578125" style="8" customWidth="1"/>
    <col min="19" max="19" width="6.42578125" style="14" customWidth="1"/>
    <col min="20" max="20" width="6.5703125" style="10" customWidth="1"/>
    <col min="21" max="21" width="8" style="9" customWidth="1"/>
    <col min="22" max="22" width="9.5703125" style="8" customWidth="1"/>
    <col min="23" max="23" width="5.140625" style="8" customWidth="1"/>
    <col min="24" max="24" width="10.7109375" style="8" customWidth="1"/>
    <col min="25" max="25" width="11.7109375" style="8" customWidth="1"/>
    <col min="26" max="26" width="6.42578125" style="8" customWidth="1"/>
    <col min="27" max="27" width="6.7109375" style="8" customWidth="1"/>
    <col min="28" max="16384" width="9.140625" style="8"/>
  </cols>
  <sheetData>
    <row r="2" spans="2:28" ht="15.75">
      <c r="L2" s="11" t="s">
        <v>0</v>
      </c>
    </row>
    <row r="3" spans="2:28" ht="15.75" customHeight="1" thickBot="1">
      <c r="L3" s="11" t="s">
        <v>63</v>
      </c>
      <c r="P3" s="15"/>
    </row>
    <row r="4" spans="2:28" s="9" customFormat="1" ht="42.6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  <c r="AB4" s="21" t="s">
        <v>64</v>
      </c>
    </row>
    <row r="5" spans="2:28" s="52" customFormat="1" ht="79.5" customHeight="1">
      <c r="B5" s="46">
        <v>1</v>
      </c>
      <c r="C5" s="3" t="s">
        <v>50</v>
      </c>
      <c r="D5" s="3" t="s">
        <v>59</v>
      </c>
      <c r="E5" s="27">
        <v>41710</v>
      </c>
      <c r="F5" s="47">
        <v>201300010327</v>
      </c>
      <c r="G5" s="3" t="s">
        <v>43</v>
      </c>
      <c r="H5" s="3" t="s">
        <v>31</v>
      </c>
      <c r="I5" s="3" t="s">
        <v>45</v>
      </c>
      <c r="J5" s="26">
        <v>801.22</v>
      </c>
      <c r="K5" s="32">
        <v>41594</v>
      </c>
      <c r="L5" s="3" t="s">
        <v>48</v>
      </c>
      <c r="M5" s="23" t="s">
        <v>29</v>
      </c>
      <c r="N5" s="3" t="s">
        <v>34</v>
      </c>
      <c r="O5" s="3" t="s">
        <v>49</v>
      </c>
      <c r="P5" s="48">
        <v>383790</v>
      </c>
      <c r="Q5" s="36">
        <f t="shared" ref="Q5:Q8" si="0">SUM(P5*S5)</f>
        <v>41928289.920000002</v>
      </c>
      <c r="R5" s="31" t="s">
        <v>27</v>
      </c>
      <c r="S5" s="39">
        <v>109.248</v>
      </c>
      <c r="T5" s="32">
        <f t="shared" ref="T5:T7" si="1">SUM(K5)+89</f>
        <v>41683</v>
      </c>
      <c r="U5" s="23" t="s">
        <v>28</v>
      </c>
      <c r="V5" s="49">
        <f t="shared" ref="V5:V9" si="2">SUM(Q5*0.12%)</f>
        <v>50313.947904000001</v>
      </c>
      <c r="W5" s="23">
        <v>155.72</v>
      </c>
      <c r="X5" s="36">
        <f t="shared" ref="X5:X26" si="3">SUM(V5*W5)</f>
        <v>7834887.9676108798</v>
      </c>
      <c r="Y5" s="50">
        <v>7783568.0700000003</v>
      </c>
      <c r="Z5" s="32">
        <v>41677</v>
      </c>
      <c r="AA5" s="51">
        <v>9318</v>
      </c>
      <c r="AB5" s="3" t="s">
        <v>65</v>
      </c>
    </row>
    <row r="6" spans="2:28" ht="28.5" customHeight="1">
      <c r="B6" s="22">
        <f t="shared" ref="B6:B26" si="4">B5+1</f>
        <v>2</v>
      </c>
      <c r="C6" s="3" t="s">
        <v>53</v>
      </c>
      <c r="D6" s="53" t="s">
        <v>60</v>
      </c>
      <c r="E6" s="27">
        <v>41710</v>
      </c>
      <c r="F6" s="25" t="s">
        <v>57</v>
      </c>
      <c r="G6" s="3" t="s">
        <v>44</v>
      </c>
      <c r="H6" s="3" t="s">
        <v>40</v>
      </c>
      <c r="I6" s="3" t="s">
        <v>45</v>
      </c>
      <c r="J6" s="26">
        <v>801.22</v>
      </c>
      <c r="K6" s="5">
        <v>41615</v>
      </c>
      <c r="L6" s="3" t="s">
        <v>51</v>
      </c>
      <c r="M6" s="3" t="s">
        <v>29</v>
      </c>
      <c r="N6" s="3" t="s">
        <v>35</v>
      </c>
      <c r="O6" s="6" t="s">
        <v>36</v>
      </c>
      <c r="P6" s="7">
        <v>113000</v>
      </c>
      <c r="Q6" s="36">
        <f t="shared" si="0"/>
        <v>12690578</v>
      </c>
      <c r="R6" s="31" t="s">
        <v>27</v>
      </c>
      <c r="S6" s="1">
        <v>112.306</v>
      </c>
      <c r="T6" s="32">
        <f t="shared" si="1"/>
        <v>41704</v>
      </c>
      <c r="U6" s="23" t="s">
        <v>47</v>
      </c>
      <c r="V6" s="37">
        <f t="shared" si="2"/>
        <v>15228.693599999999</v>
      </c>
      <c r="W6" s="54">
        <v>155.69999999999999</v>
      </c>
      <c r="X6" s="36">
        <f t="shared" si="3"/>
        <v>2371107.5935199996</v>
      </c>
      <c r="Y6" s="38">
        <v>2371107.59</v>
      </c>
      <c r="Z6" s="32">
        <v>41698</v>
      </c>
      <c r="AA6" s="51">
        <v>46368</v>
      </c>
      <c r="AB6" s="55"/>
    </row>
    <row r="7" spans="2:28" ht="28.5" customHeight="1">
      <c r="B7" s="22">
        <f t="shared" si="4"/>
        <v>3</v>
      </c>
      <c r="C7" s="3" t="s">
        <v>54</v>
      </c>
      <c r="D7" s="53" t="s">
        <v>61</v>
      </c>
      <c r="E7" s="27">
        <v>41710</v>
      </c>
      <c r="F7" s="25" t="s">
        <v>58</v>
      </c>
      <c r="G7" s="3" t="s">
        <v>44</v>
      </c>
      <c r="H7" s="3" t="s">
        <v>40</v>
      </c>
      <c r="I7" s="3" t="s">
        <v>45</v>
      </c>
      <c r="J7" s="26">
        <v>801.22</v>
      </c>
      <c r="K7" s="5">
        <v>41628</v>
      </c>
      <c r="L7" s="3" t="s">
        <v>52</v>
      </c>
      <c r="M7" s="3" t="s">
        <v>29</v>
      </c>
      <c r="N7" s="3" t="s">
        <v>46</v>
      </c>
      <c r="O7" s="6" t="s">
        <v>41</v>
      </c>
      <c r="P7" s="56">
        <v>120000</v>
      </c>
      <c r="Q7" s="36">
        <f t="shared" si="0"/>
        <v>13476720</v>
      </c>
      <c r="R7" s="31" t="s">
        <v>27</v>
      </c>
      <c r="S7" s="1">
        <v>112.306</v>
      </c>
      <c r="T7" s="32">
        <f t="shared" si="1"/>
        <v>41717</v>
      </c>
      <c r="U7" s="23" t="s">
        <v>47</v>
      </c>
      <c r="V7" s="37">
        <f t="shared" si="2"/>
        <v>16172.063999999998</v>
      </c>
      <c r="W7" s="54">
        <v>155.69999999999999</v>
      </c>
      <c r="X7" s="36">
        <f t="shared" si="3"/>
        <v>2517990.3647999996</v>
      </c>
      <c r="Y7" s="38">
        <v>2517990.37</v>
      </c>
      <c r="Z7" s="32">
        <v>41698</v>
      </c>
      <c r="AA7" s="51">
        <v>46367</v>
      </c>
      <c r="AB7" s="55"/>
    </row>
    <row r="8" spans="2:28" ht="18.75" customHeight="1">
      <c r="B8" s="22">
        <f t="shared" si="4"/>
        <v>4</v>
      </c>
      <c r="C8" s="3" t="s">
        <v>56</v>
      </c>
      <c r="D8" s="6" t="s">
        <v>62</v>
      </c>
      <c r="E8" s="5">
        <v>41710</v>
      </c>
      <c r="F8" s="35" t="s">
        <v>55</v>
      </c>
      <c r="G8" s="3" t="s">
        <v>30</v>
      </c>
      <c r="H8" s="3" t="s">
        <v>39</v>
      </c>
      <c r="I8" s="3" t="s">
        <v>32</v>
      </c>
      <c r="J8" s="26">
        <v>801.22</v>
      </c>
      <c r="K8" s="5">
        <v>41663</v>
      </c>
      <c r="L8" s="3" t="s">
        <v>38</v>
      </c>
      <c r="M8" s="3" t="s">
        <v>33</v>
      </c>
      <c r="N8" s="3" t="s">
        <v>37</v>
      </c>
      <c r="O8" s="6" t="s">
        <v>42</v>
      </c>
      <c r="P8" s="7">
        <v>207196</v>
      </c>
      <c r="Q8" s="36">
        <f t="shared" si="0"/>
        <v>22917327.971999999</v>
      </c>
      <c r="R8" s="31" t="s">
        <v>27</v>
      </c>
      <c r="S8" s="39">
        <v>110.607</v>
      </c>
      <c r="T8" s="32">
        <f t="shared" ref="T8" si="5">SUM(K8)+89</f>
        <v>41752</v>
      </c>
      <c r="U8" s="3" t="s">
        <v>30</v>
      </c>
      <c r="V8" s="37">
        <f t="shared" si="2"/>
        <v>27500.793566399996</v>
      </c>
      <c r="W8" s="23">
        <v>155.75</v>
      </c>
      <c r="X8" s="36">
        <f t="shared" si="3"/>
        <v>4283248.5979667995</v>
      </c>
      <c r="Y8" s="38">
        <v>4283248.5999999996</v>
      </c>
      <c r="Z8" s="32">
        <v>41709</v>
      </c>
      <c r="AA8" s="57">
        <v>15383</v>
      </c>
      <c r="AB8" s="55"/>
    </row>
    <row r="9" spans="2:28" ht="18" customHeight="1">
      <c r="B9" s="22">
        <f t="shared" si="4"/>
        <v>5</v>
      </c>
      <c r="C9" s="3" t="s">
        <v>66</v>
      </c>
      <c r="D9" s="24" t="s">
        <v>67</v>
      </c>
      <c r="E9" s="32">
        <v>41711</v>
      </c>
      <c r="F9" s="25" t="s">
        <v>68</v>
      </c>
      <c r="G9" s="6" t="s">
        <v>69</v>
      </c>
      <c r="H9" s="6" t="s">
        <v>70</v>
      </c>
      <c r="I9" s="6" t="s">
        <v>71</v>
      </c>
      <c r="J9" s="26">
        <v>801.22</v>
      </c>
      <c r="K9" s="5">
        <v>41697</v>
      </c>
      <c r="L9" s="3" t="s">
        <v>72</v>
      </c>
      <c r="M9" s="3" t="s">
        <v>73</v>
      </c>
      <c r="N9" s="6" t="s">
        <v>74</v>
      </c>
      <c r="O9" s="3" t="s">
        <v>75</v>
      </c>
      <c r="P9" s="7">
        <v>698289</v>
      </c>
      <c r="Q9" s="36">
        <f t="shared" ref="Q9" si="6">SUM(P9*S9)</f>
        <v>73198842.714000002</v>
      </c>
      <c r="R9" s="31" t="s">
        <v>27</v>
      </c>
      <c r="S9" s="39">
        <v>104.82599999999999</v>
      </c>
      <c r="T9" s="32">
        <f t="shared" ref="T9" si="7">SUM(K9)+89</f>
        <v>41786</v>
      </c>
      <c r="U9" s="6" t="s">
        <v>76</v>
      </c>
      <c r="V9" s="37">
        <f t="shared" si="2"/>
        <v>87838.611256799995</v>
      </c>
      <c r="W9" s="23">
        <v>155.75</v>
      </c>
      <c r="X9" s="36">
        <f t="shared" si="3"/>
        <v>13680863.703246599</v>
      </c>
      <c r="Y9" s="38">
        <v>13680863.51</v>
      </c>
      <c r="Z9" s="32">
        <v>41709</v>
      </c>
      <c r="AA9" s="51">
        <v>4617</v>
      </c>
      <c r="AB9" s="55"/>
    </row>
    <row r="10" spans="2:28" ht="28.5" customHeight="1">
      <c r="B10" s="22">
        <f t="shared" si="4"/>
        <v>6</v>
      </c>
      <c r="C10" s="3" t="s">
        <v>77</v>
      </c>
      <c r="D10" s="6" t="s">
        <v>78</v>
      </c>
      <c r="E10" s="27">
        <v>41715</v>
      </c>
      <c r="F10" s="47">
        <v>201300020023</v>
      </c>
      <c r="G10" s="3" t="s">
        <v>43</v>
      </c>
      <c r="H10" s="3" t="s">
        <v>79</v>
      </c>
      <c r="I10" s="3" t="s">
        <v>80</v>
      </c>
      <c r="J10" s="26">
        <v>801.22</v>
      </c>
      <c r="K10" s="32">
        <v>41630</v>
      </c>
      <c r="L10" s="3" t="s">
        <v>72</v>
      </c>
      <c r="M10" s="23" t="s">
        <v>81</v>
      </c>
      <c r="N10" s="3" t="s">
        <v>46</v>
      </c>
      <c r="O10" s="6" t="s">
        <v>82</v>
      </c>
      <c r="P10" s="56">
        <v>948424</v>
      </c>
      <c r="Q10" s="36">
        <f t="shared" ref="Q10:Q12" si="8">SUM(P10*S10)</f>
        <v>105986382</v>
      </c>
      <c r="R10" s="31" t="s">
        <v>27</v>
      </c>
      <c r="S10" s="39">
        <v>111.75</v>
      </c>
      <c r="T10" s="32">
        <f t="shared" ref="T10" si="9">SUM(K10)+89</f>
        <v>41719</v>
      </c>
      <c r="U10" s="23" t="s">
        <v>83</v>
      </c>
      <c r="V10" s="37">
        <f t="shared" ref="V10:V17" si="10">SUM(Q10*0.12%)</f>
        <v>127183.65839999999</v>
      </c>
      <c r="W10" s="54">
        <v>155.69999999999999</v>
      </c>
      <c r="X10" s="36">
        <f t="shared" si="3"/>
        <v>19802495.612879995</v>
      </c>
      <c r="Y10" s="38">
        <v>19802495.859999999</v>
      </c>
      <c r="Z10" s="32">
        <v>41710</v>
      </c>
      <c r="AA10" s="57">
        <v>1307</v>
      </c>
      <c r="AB10" s="55"/>
    </row>
    <row r="11" spans="2:28" ht="28.5" customHeight="1">
      <c r="B11" s="22">
        <f t="shared" si="4"/>
        <v>7</v>
      </c>
      <c r="C11" s="3" t="s">
        <v>84</v>
      </c>
      <c r="D11" s="24" t="s">
        <v>85</v>
      </c>
      <c r="E11" s="27">
        <v>41715</v>
      </c>
      <c r="F11" s="35" t="s">
        <v>86</v>
      </c>
      <c r="G11" s="3" t="s">
        <v>43</v>
      </c>
      <c r="H11" s="3" t="s">
        <v>87</v>
      </c>
      <c r="I11" s="3" t="s">
        <v>45</v>
      </c>
      <c r="J11" s="26">
        <v>801.22</v>
      </c>
      <c r="K11" s="5">
        <v>41655</v>
      </c>
      <c r="L11" s="3" t="s">
        <v>88</v>
      </c>
      <c r="M11" s="3" t="s">
        <v>29</v>
      </c>
      <c r="N11" s="3" t="s">
        <v>89</v>
      </c>
      <c r="O11" s="6" t="s">
        <v>90</v>
      </c>
      <c r="P11" s="7">
        <v>500000</v>
      </c>
      <c r="Q11" s="36">
        <f t="shared" si="8"/>
        <v>55469000</v>
      </c>
      <c r="R11" s="31" t="s">
        <v>27</v>
      </c>
      <c r="S11" s="1">
        <v>110.938</v>
      </c>
      <c r="T11" s="32">
        <f t="shared" ref="T11:T12" si="11">SUM(K11)+89</f>
        <v>41744</v>
      </c>
      <c r="U11" s="3" t="s">
        <v>43</v>
      </c>
      <c r="V11" s="37">
        <f t="shared" si="10"/>
        <v>66562.799999999988</v>
      </c>
      <c r="W11" s="23">
        <v>155.75</v>
      </c>
      <c r="X11" s="36">
        <f t="shared" si="3"/>
        <v>10367156.099999998</v>
      </c>
      <c r="Y11" s="38">
        <v>10367156.1</v>
      </c>
      <c r="Z11" s="32">
        <v>41710</v>
      </c>
      <c r="AA11" s="57">
        <v>1308</v>
      </c>
      <c r="AB11" s="55"/>
    </row>
    <row r="12" spans="2:28" ht="28.5" customHeight="1">
      <c r="B12" s="22">
        <f t="shared" si="4"/>
        <v>8</v>
      </c>
      <c r="C12" s="3" t="s">
        <v>91</v>
      </c>
      <c r="D12" s="24" t="s">
        <v>92</v>
      </c>
      <c r="E12" s="27">
        <v>41715</v>
      </c>
      <c r="F12" s="25" t="s">
        <v>93</v>
      </c>
      <c r="G12" s="3" t="s">
        <v>43</v>
      </c>
      <c r="H12" s="3" t="s">
        <v>87</v>
      </c>
      <c r="I12" s="58" t="s">
        <v>80</v>
      </c>
      <c r="J12" s="26">
        <v>801.22</v>
      </c>
      <c r="K12" s="27">
        <v>41669</v>
      </c>
      <c r="L12" s="28" t="s">
        <v>94</v>
      </c>
      <c r="M12" s="28" t="s">
        <v>81</v>
      </c>
      <c r="N12" s="28" t="s">
        <v>46</v>
      </c>
      <c r="O12" s="6" t="s">
        <v>95</v>
      </c>
      <c r="P12" s="59">
        <v>948817</v>
      </c>
      <c r="Q12" s="30">
        <f t="shared" si="8"/>
        <v>102309039.476</v>
      </c>
      <c r="R12" s="31" t="s">
        <v>27</v>
      </c>
      <c r="S12" s="39">
        <v>107.828</v>
      </c>
      <c r="T12" s="32">
        <f t="shared" si="11"/>
        <v>41758</v>
      </c>
      <c r="U12" s="3" t="s">
        <v>43</v>
      </c>
      <c r="V12" s="33">
        <f t="shared" si="10"/>
        <v>122770.84737119998</v>
      </c>
      <c r="W12" s="23">
        <v>155.75</v>
      </c>
      <c r="X12" s="30">
        <f t="shared" si="3"/>
        <v>19121559.478064399</v>
      </c>
      <c r="Y12" s="38">
        <v>19121559.890000001</v>
      </c>
      <c r="Z12" s="32">
        <v>41710</v>
      </c>
      <c r="AA12" s="57">
        <v>1309</v>
      </c>
      <c r="AB12" s="55"/>
    </row>
    <row r="13" spans="2:28" ht="28.5" customHeight="1">
      <c r="B13" s="22">
        <f t="shared" si="4"/>
        <v>9</v>
      </c>
      <c r="C13" s="3" t="s">
        <v>96</v>
      </c>
      <c r="D13" s="3" t="s">
        <v>97</v>
      </c>
      <c r="E13" s="27">
        <v>41717</v>
      </c>
      <c r="F13" s="35" t="s">
        <v>98</v>
      </c>
      <c r="G13" s="60" t="s">
        <v>99</v>
      </c>
      <c r="H13" s="3" t="s">
        <v>100</v>
      </c>
      <c r="I13" s="3" t="s">
        <v>45</v>
      </c>
      <c r="J13" s="26">
        <v>801.22</v>
      </c>
      <c r="K13" s="5">
        <v>41655</v>
      </c>
      <c r="L13" s="3" t="s">
        <v>88</v>
      </c>
      <c r="M13" s="3" t="s">
        <v>29</v>
      </c>
      <c r="N13" s="3" t="s">
        <v>89</v>
      </c>
      <c r="O13" s="6" t="s">
        <v>90</v>
      </c>
      <c r="P13" s="7">
        <v>60000</v>
      </c>
      <c r="Q13" s="36">
        <f t="shared" ref="Q13:Q17" si="12">SUM(P13*S13)</f>
        <v>6561300</v>
      </c>
      <c r="R13" s="31" t="s">
        <v>27</v>
      </c>
      <c r="S13" s="1">
        <v>109.355</v>
      </c>
      <c r="T13" s="32">
        <f t="shared" ref="T13:T15" si="13">SUM(K13)+89</f>
        <v>41744</v>
      </c>
      <c r="U13" s="3" t="s">
        <v>99</v>
      </c>
      <c r="V13" s="37">
        <f t="shared" si="10"/>
        <v>7873.5599999999995</v>
      </c>
      <c r="W13" s="23">
        <v>155.75</v>
      </c>
      <c r="X13" s="36">
        <f t="shared" si="3"/>
        <v>1226306.97</v>
      </c>
      <c r="Y13" s="38">
        <v>1226306.97</v>
      </c>
      <c r="Z13" s="32">
        <v>41715</v>
      </c>
      <c r="AA13" s="51">
        <v>3580</v>
      </c>
      <c r="AB13" s="55"/>
    </row>
    <row r="14" spans="2:28" ht="28.5" customHeight="1">
      <c r="B14" s="22">
        <f t="shared" si="4"/>
        <v>10</v>
      </c>
      <c r="C14" s="3" t="s">
        <v>101</v>
      </c>
      <c r="D14" s="3" t="s">
        <v>102</v>
      </c>
      <c r="E14" s="27">
        <v>41717</v>
      </c>
      <c r="F14" s="35" t="s">
        <v>103</v>
      </c>
      <c r="G14" s="60" t="s">
        <v>99</v>
      </c>
      <c r="H14" s="3" t="s">
        <v>100</v>
      </c>
      <c r="I14" s="3" t="s">
        <v>45</v>
      </c>
      <c r="J14" s="26">
        <v>801.22</v>
      </c>
      <c r="K14" s="5">
        <v>41655</v>
      </c>
      <c r="L14" s="3" t="s">
        <v>88</v>
      </c>
      <c r="M14" s="3" t="s">
        <v>29</v>
      </c>
      <c r="N14" s="3" t="s">
        <v>89</v>
      </c>
      <c r="O14" s="6" t="s">
        <v>90</v>
      </c>
      <c r="P14" s="7">
        <v>29500</v>
      </c>
      <c r="Q14" s="36">
        <f t="shared" si="12"/>
        <v>3225972.5</v>
      </c>
      <c r="R14" s="31" t="s">
        <v>27</v>
      </c>
      <c r="S14" s="1">
        <v>109.355</v>
      </c>
      <c r="T14" s="32">
        <f t="shared" si="13"/>
        <v>41744</v>
      </c>
      <c r="U14" s="3" t="s">
        <v>99</v>
      </c>
      <c r="V14" s="37">
        <f t="shared" si="10"/>
        <v>3871.1669999999995</v>
      </c>
      <c r="W14" s="23">
        <v>155.75</v>
      </c>
      <c r="X14" s="36">
        <f t="shared" si="3"/>
        <v>602934.26024999993</v>
      </c>
      <c r="Y14" s="38">
        <v>602934.18000000005</v>
      </c>
      <c r="Z14" s="32">
        <v>41715</v>
      </c>
      <c r="AA14" s="51">
        <v>3581</v>
      </c>
      <c r="AB14" s="55"/>
    </row>
    <row r="15" spans="2:28" ht="28.5" customHeight="1">
      <c r="B15" s="22">
        <f t="shared" si="4"/>
        <v>11</v>
      </c>
      <c r="C15" s="3" t="s">
        <v>104</v>
      </c>
      <c r="D15" s="3" t="s">
        <v>105</v>
      </c>
      <c r="E15" s="27">
        <v>41717</v>
      </c>
      <c r="F15" s="35" t="s">
        <v>106</v>
      </c>
      <c r="G15" s="3" t="s">
        <v>107</v>
      </c>
      <c r="H15" s="3" t="s">
        <v>100</v>
      </c>
      <c r="I15" s="3" t="s">
        <v>45</v>
      </c>
      <c r="J15" s="26">
        <v>801.22</v>
      </c>
      <c r="K15" s="5">
        <v>41655</v>
      </c>
      <c r="L15" s="3" t="s">
        <v>88</v>
      </c>
      <c r="M15" s="3" t="s">
        <v>29</v>
      </c>
      <c r="N15" s="3" t="s">
        <v>89</v>
      </c>
      <c r="O15" s="6" t="s">
        <v>90</v>
      </c>
      <c r="P15" s="7">
        <v>24000</v>
      </c>
      <c r="Q15" s="36">
        <f t="shared" si="12"/>
        <v>2624520</v>
      </c>
      <c r="R15" s="31" t="s">
        <v>27</v>
      </c>
      <c r="S15" s="1">
        <v>109.355</v>
      </c>
      <c r="T15" s="32">
        <f t="shared" si="13"/>
        <v>41744</v>
      </c>
      <c r="U15" s="3" t="s">
        <v>99</v>
      </c>
      <c r="V15" s="37">
        <f t="shared" si="10"/>
        <v>3149.4239999999995</v>
      </c>
      <c r="W15" s="23">
        <v>155.75</v>
      </c>
      <c r="X15" s="36">
        <f t="shared" si="3"/>
        <v>490522.78799999994</v>
      </c>
      <c r="Y15" s="38">
        <v>490522.79</v>
      </c>
      <c r="Z15" s="32">
        <v>41715</v>
      </c>
      <c r="AA15" s="51">
        <v>3582</v>
      </c>
      <c r="AB15" s="55"/>
    </row>
    <row r="16" spans="2:28" ht="28.5" customHeight="1">
      <c r="B16" s="22">
        <f t="shared" si="4"/>
        <v>12</v>
      </c>
      <c r="C16" s="3" t="s">
        <v>108</v>
      </c>
      <c r="D16" s="53" t="s">
        <v>109</v>
      </c>
      <c r="E16" s="32">
        <v>41724</v>
      </c>
      <c r="F16" s="25" t="s">
        <v>110</v>
      </c>
      <c r="G16" s="3" t="s">
        <v>44</v>
      </c>
      <c r="H16" s="3" t="s">
        <v>40</v>
      </c>
      <c r="I16" s="3" t="s">
        <v>45</v>
      </c>
      <c r="J16" s="26">
        <v>801.22</v>
      </c>
      <c r="K16" s="5">
        <v>41584</v>
      </c>
      <c r="L16" s="3" t="s">
        <v>111</v>
      </c>
      <c r="M16" s="3" t="s">
        <v>29</v>
      </c>
      <c r="N16" s="3" t="s">
        <v>112</v>
      </c>
      <c r="O16" s="6" t="s">
        <v>113</v>
      </c>
      <c r="P16" s="7">
        <v>300000</v>
      </c>
      <c r="Q16" s="36">
        <f t="shared" si="12"/>
        <v>33042300</v>
      </c>
      <c r="R16" s="31" t="s">
        <v>27</v>
      </c>
      <c r="S16" s="39">
        <v>110.14100000000001</v>
      </c>
      <c r="T16" s="32">
        <f t="shared" ref="T16:T17" si="14">SUM(K16)+89</f>
        <v>41673</v>
      </c>
      <c r="U16" s="23" t="s">
        <v>47</v>
      </c>
      <c r="V16" s="37">
        <f t="shared" si="10"/>
        <v>39650.759999999995</v>
      </c>
      <c r="W16" s="23">
        <v>155.72</v>
      </c>
      <c r="X16" s="36">
        <f t="shared" si="3"/>
        <v>6174416.3471999988</v>
      </c>
      <c r="Y16" s="38">
        <v>6174416.3499999996</v>
      </c>
      <c r="Z16" s="32">
        <v>41719</v>
      </c>
      <c r="AA16" s="51">
        <v>32218</v>
      </c>
      <c r="AB16" s="55"/>
    </row>
    <row r="17" spans="2:28" ht="28.5" customHeight="1">
      <c r="B17" s="22">
        <f t="shared" si="4"/>
        <v>13</v>
      </c>
      <c r="C17" s="3" t="s">
        <v>114</v>
      </c>
      <c r="D17" s="53" t="s">
        <v>115</v>
      </c>
      <c r="E17" s="32">
        <v>41724</v>
      </c>
      <c r="F17" s="25" t="s">
        <v>116</v>
      </c>
      <c r="G17" s="3" t="s">
        <v>44</v>
      </c>
      <c r="H17" s="3" t="s">
        <v>40</v>
      </c>
      <c r="I17" s="3" t="s">
        <v>45</v>
      </c>
      <c r="J17" s="26">
        <v>801.22</v>
      </c>
      <c r="K17" s="32">
        <v>41594</v>
      </c>
      <c r="L17" s="3" t="s">
        <v>48</v>
      </c>
      <c r="M17" s="23" t="s">
        <v>29</v>
      </c>
      <c r="N17" s="3" t="s">
        <v>34</v>
      </c>
      <c r="O17" s="6" t="s">
        <v>49</v>
      </c>
      <c r="P17" s="56">
        <v>45000</v>
      </c>
      <c r="Q17" s="36">
        <f t="shared" si="12"/>
        <v>4956345</v>
      </c>
      <c r="R17" s="31" t="s">
        <v>27</v>
      </c>
      <c r="S17" s="39">
        <v>110.14100000000001</v>
      </c>
      <c r="T17" s="32">
        <f t="shared" si="14"/>
        <v>41683</v>
      </c>
      <c r="U17" s="23" t="s">
        <v>47</v>
      </c>
      <c r="V17" s="37">
        <f t="shared" si="10"/>
        <v>5947.6139999999996</v>
      </c>
      <c r="W17" s="23">
        <v>155.72</v>
      </c>
      <c r="X17" s="36">
        <f t="shared" si="3"/>
        <v>926162.45207999996</v>
      </c>
      <c r="Y17" s="38">
        <v>926162.45</v>
      </c>
      <c r="Z17" s="32">
        <v>41719</v>
      </c>
      <c r="AA17" s="51">
        <v>32219</v>
      </c>
      <c r="AB17" s="55"/>
    </row>
    <row r="18" spans="2:28" ht="28.5" customHeight="1">
      <c r="B18" s="61">
        <f t="shared" si="4"/>
        <v>14</v>
      </c>
      <c r="C18" s="65" t="s">
        <v>117</v>
      </c>
      <c r="D18" s="63" t="s">
        <v>118</v>
      </c>
      <c r="E18" s="32">
        <v>41725</v>
      </c>
      <c r="F18" s="64">
        <v>201202300029</v>
      </c>
      <c r="G18" s="65" t="s">
        <v>119</v>
      </c>
      <c r="H18" s="65" t="s">
        <v>40</v>
      </c>
      <c r="I18" s="65" t="s">
        <v>120</v>
      </c>
      <c r="J18" s="66">
        <v>801.22</v>
      </c>
      <c r="K18" s="32">
        <v>41152</v>
      </c>
      <c r="L18" s="62" t="s">
        <v>121</v>
      </c>
      <c r="M18" s="62" t="s">
        <v>29</v>
      </c>
      <c r="N18" s="65" t="s">
        <v>34</v>
      </c>
      <c r="O18" s="3" t="s">
        <v>122</v>
      </c>
      <c r="P18" s="67">
        <v>269766</v>
      </c>
      <c r="Q18" s="30">
        <f t="shared" ref="Q18:Q20" si="15">SUM(P18*S18)</f>
        <v>30765463.469999999</v>
      </c>
      <c r="R18" s="68" t="s">
        <v>27</v>
      </c>
      <c r="S18" s="69">
        <v>114.045</v>
      </c>
      <c r="T18" s="32">
        <f t="shared" ref="T18:T19" si="16">SUM(K18)+89</f>
        <v>41241</v>
      </c>
      <c r="U18" s="62" t="s">
        <v>119</v>
      </c>
      <c r="V18" s="33">
        <f t="shared" ref="V18:V21" si="17">SUM(Q18*0.12%)</f>
        <v>36918.556163999994</v>
      </c>
      <c r="W18" s="70">
        <v>155.80000000000001</v>
      </c>
      <c r="X18" s="30">
        <f t="shared" si="3"/>
        <v>5751911.0503511997</v>
      </c>
      <c r="Y18" s="71">
        <v>5751911.0499999998</v>
      </c>
      <c r="Z18" s="72">
        <v>41199</v>
      </c>
      <c r="AA18" s="3" t="s">
        <v>206</v>
      </c>
      <c r="AB18" s="55"/>
    </row>
    <row r="19" spans="2:28" ht="28.5" customHeight="1">
      <c r="B19" s="61">
        <f t="shared" si="4"/>
        <v>15</v>
      </c>
      <c r="C19" s="3" t="s">
        <v>123</v>
      </c>
      <c r="D19" s="63" t="s">
        <v>124</v>
      </c>
      <c r="E19" s="32">
        <v>41725</v>
      </c>
      <c r="F19" s="73">
        <v>201202300032</v>
      </c>
      <c r="G19" s="65" t="s">
        <v>119</v>
      </c>
      <c r="H19" s="3" t="s">
        <v>40</v>
      </c>
      <c r="I19" s="3" t="s">
        <v>120</v>
      </c>
      <c r="J19" s="66">
        <v>801.22</v>
      </c>
      <c r="K19" s="32">
        <v>41167</v>
      </c>
      <c r="L19" s="3" t="s">
        <v>125</v>
      </c>
      <c r="M19" s="23" t="s">
        <v>29</v>
      </c>
      <c r="N19" s="23" t="s">
        <v>126</v>
      </c>
      <c r="O19" s="23" t="s">
        <v>127</v>
      </c>
      <c r="P19" s="67">
        <v>99786</v>
      </c>
      <c r="Q19" s="30">
        <f t="shared" si="15"/>
        <v>11331299.015999999</v>
      </c>
      <c r="R19" s="68" t="s">
        <v>27</v>
      </c>
      <c r="S19" s="69">
        <v>113.556</v>
      </c>
      <c r="T19" s="32">
        <f t="shared" si="16"/>
        <v>41256</v>
      </c>
      <c r="U19" s="23" t="s">
        <v>119</v>
      </c>
      <c r="V19" s="33">
        <f t="shared" si="17"/>
        <v>13597.558819199998</v>
      </c>
      <c r="W19" s="23">
        <v>155.78</v>
      </c>
      <c r="X19" s="30">
        <f t="shared" si="3"/>
        <v>2118227.7128549758</v>
      </c>
      <c r="Y19" s="38">
        <v>2118227.71</v>
      </c>
      <c r="Z19" s="32">
        <v>41215</v>
      </c>
      <c r="AA19" s="3" t="s">
        <v>206</v>
      </c>
      <c r="AB19" s="55"/>
    </row>
    <row r="20" spans="2:28" ht="28.5" customHeight="1">
      <c r="B20" s="61">
        <f t="shared" si="4"/>
        <v>16</v>
      </c>
      <c r="C20" s="65" t="s">
        <v>128</v>
      </c>
      <c r="D20" s="74" t="s">
        <v>129</v>
      </c>
      <c r="E20" s="72">
        <v>41725</v>
      </c>
      <c r="F20" s="75" t="s">
        <v>130</v>
      </c>
      <c r="G20" s="65" t="s">
        <v>44</v>
      </c>
      <c r="H20" s="65" t="s">
        <v>40</v>
      </c>
      <c r="I20" s="65" t="s">
        <v>45</v>
      </c>
      <c r="J20" s="66">
        <v>801.22</v>
      </c>
      <c r="K20" s="72">
        <v>41274</v>
      </c>
      <c r="L20" s="65" t="s">
        <v>131</v>
      </c>
      <c r="M20" s="62" t="s">
        <v>132</v>
      </c>
      <c r="N20" s="65" t="s">
        <v>34</v>
      </c>
      <c r="O20" s="65" t="s">
        <v>133</v>
      </c>
      <c r="P20" s="76">
        <v>280000</v>
      </c>
      <c r="Q20" s="30">
        <f t="shared" si="15"/>
        <v>31029599.999999996</v>
      </c>
      <c r="R20" s="68" t="s">
        <v>27</v>
      </c>
      <c r="S20" s="77">
        <v>110.82</v>
      </c>
      <c r="T20" s="72">
        <f t="shared" ref="T20" si="18">SUM(K20)+89</f>
        <v>41363</v>
      </c>
      <c r="U20" s="65" t="s">
        <v>44</v>
      </c>
      <c r="V20" s="33">
        <f t="shared" si="17"/>
        <v>37235.51999999999</v>
      </c>
      <c r="W20" s="62">
        <v>155.77000000000001</v>
      </c>
      <c r="X20" s="30">
        <f t="shared" si="3"/>
        <v>5800176.9503999986</v>
      </c>
      <c r="Y20" s="71">
        <v>5800176.9500000002</v>
      </c>
      <c r="Z20" s="72">
        <v>41381</v>
      </c>
      <c r="AA20" s="78">
        <v>26920</v>
      </c>
      <c r="AB20" s="55"/>
    </row>
    <row r="21" spans="2:28" s="79" customFormat="1" ht="21.75" customHeight="1">
      <c r="B21" s="22">
        <f t="shared" si="4"/>
        <v>17</v>
      </c>
      <c r="C21" s="3" t="s">
        <v>134</v>
      </c>
      <c r="D21" s="24" t="s">
        <v>135</v>
      </c>
      <c r="E21" s="5">
        <v>41725</v>
      </c>
      <c r="F21" s="35" t="s">
        <v>136</v>
      </c>
      <c r="G21" s="3" t="s">
        <v>76</v>
      </c>
      <c r="H21" s="3" t="s">
        <v>137</v>
      </c>
      <c r="I21" s="3" t="s">
        <v>138</v>
      </c>
      <c r="J21" s="26">
        <v>801.22</v>
      </c>
      <c r="K21" s="5">
        <v>41625</v>
      </c>
      <c r="L21" s="3" t="s">
        <v>139</v>
      </c>
      <c r="M21" s="3" t="s">
        <v>140</v>
      </c>
      <c r="N21" s="3" t="s">
        <v>35</v>
      </c>
      <c r="O21" s="6" t="s">
        <v>36</v>
      </c>
      <c r="P21" s="76">
        <v>997315</v>
      </c>
      <c r="Q21" s="30">
        <f t="shared" ref="Q21:Q26" si="19">SUM(P21*S21)</f>
        <v>111689606.04450001</v>
      </c>
      <c r="R21" s="31" t="s">
        <v>27</v>
      </c>
      <c r="S21" s="39">
        <v>111.9903</v>
      </c>
      <c r="T21" s="32">
        <f t="shared" ref="T21" si="20">SUM(K21)+89</f>
        <v>41714</v>
      </c>
      <c r="U21" s="23" t="s">
        <v>28</v>
      </c>
      <c r="V21" s="33">
        <f t="shared" si="17"/>
        <v>134027.52725340001</v>
      </c>
      <c r="W21" s="54">
        <v>155.69999999999999</v>
      </c>
      <c r="X21" s="30">
        <f t="shared" si="3"/>
        <v>20868085.99335438</v>
      </c>
      <c r="Y21" s="71">
        <v>21079474.210000001</v>
      </c>
      <c r="Z21" s="32">
        <v>41698</v>
      </c>
      <c r="AA21" s="51">
        <v>9338</v>
      </c>
      <c r="AB21" s="55"/>
    </row>
    <row r="22" spans="2:28" ht="28.5" customHeight="1">
      <c r="B22" s="22">
        <f t="shared" si="4"/>
        <v>18</v>
      </c>
      <c r="C22" s="3" t="s">
        <v>141</v>
      </c>
      <c r="D22" s="24" t="s">
        <v>142</v>
      </c>
      <c r="E22" s="5">
        <v>41729</v>
      </c>
      <c r="F22" s="35" t="s">
        <v>143</v>
      </c>
      <c r="G22" s="3" t="s">
        <v>144</v>
      </c>
      <c r="H22" s="3" t="s">
        <v>145</v>
      </c>
      <c r="I22" s="3" t="s">
        <v>80</v>
      </c>
      <c r="J22" s="26">
        <v>801.22</v>
      </c>
      <c r="K22" s="5">
        <v>41708</v>
      </c>
      <c r="L22" s="3" t="s">
        <v>146</v>
      </c>
      <c r="M22" s="3" t="s">
        <v>81</v>
      </c>
      <c r="N22" s="3" t="s">
        <v>147</v>
      </c>
      <c r="O22" s="6" t="s">
        <v>148</v>
      </c>
      <c r="P22" s="7">
        <v>400000</v>
      </c>
      <c r="Q22" s="36">
        <f t="shared" si="19"/>
        <v>43323600</v>
      </c>
      <c r="R22" s="31" t="s">
        <v>27</v>
      </c>
      <c r="S22" s="2">
        <v>108.309</v>
      </c>
      <c r="T22" s="32">
        <f t="shared" ref="T22:T26" si="21">SUM(K22)+89</f>
        <v>41797</v>
      </c>
      <c r="U22" s="3" t="s">
        <v>144</v>
      </c>
      <c r="V22" s="37">
        <f t="shared" ref="V22:V26" si="22">SUM(Q22*0.12%)</f>
        <v>51988.319999999992</v>
      </c>
      <c r="W22" s="23">
        <v>155.74</v>
      </c>
      <c r="X22" s="36">
        <f t="shared" si="3"/>
        <v>8096660.9567999989</v>
      </c>
      <c r="Y22" s="38">
        <f t="shared" ref="Y22:Y26" si="23">X22</f>
        <v>8096660.9567999989</v>
      </c>
      <c r="Z22" s="23"/>
      <c r="AA22" s="23"/>
      <c r="AB22" s="55"/>
    </row>
    <row r="23" spans="2:28" ht="28.5" customHeight="1">
      <c r="B23" s="22">
        <f t="shared" si="4"/>
        <v>19</v>
      </c>
      <c r="C23" s="3" t="s">
        <v>149</v>
      </c>
      <c r="D23" s="24" t="s">
        <v>150</v>
      </c>
      <c r="E23" s="5">
        <v>41729</v>
      </c>
      <c r="F23" s="35" t="s">
        <v>151</v>
      </c>
      <c r="G23" s="3" t="s">
        <v>144</v>
      </c>
      <c r="H23" s="3" t="s">
        <v>145</v>
      </c>
      <c r="I23" s="3" t="s">
        <v>80</v>
      </c>
      <c r="J23" s="26">
        <v>801.22</v>
      </c>
      <c r="K23" s="5">
        <v>41708</v>
      </c>
      <c r="L23" s="3" t="s">
        <v>146</v>
      </c>
      <c r="M23" s="3" t="s">
        <v>81</v>
      </c>
      <c r="N23" s="3" t="s">
        <v>147</v>
      </c>
      <c r="O23" s="6" t="s">
        <v>148</v>
      </c>
      <c r="P23" s="7">
        <v>548515</v>
      </c>
      <c r="Q23" s="36">
        <f t="shared" si="19"/>
        <v>59409111.134999998</v>
      </c>
      <c r="R23" s="31" t="s">
        <v>27</v>
      </c>
      <c r="S23" s="2">
        <v>108.309</v>
      </c>
      <c r="T23" s="32">
        <f t="shared" si="21"/>
        <v>41797</v>
      </c>
      <c r="U23" s="3" t="s">
        <v>144</v>
      </c>
      <c r="V23" s="37">
        <f t="shared" si="22"/>
        <v>71290.933361999996</v>
      </c>
      <c r="W23" s="23">
        <v>155.74</v>
      </c>
      <c r="X23" s="36">
        <f t="shared" si="3"/>
        <v>11102849.96179788</v>
      </c>
      <c r="Y23" s="38">
        <f t="shared" si="23"/>
        <v>11102849.96179788</v>
      </c>
      <c r="Z23" s="23"/>
      <c r="AA23" s="23"/>
      <c r="AB23" s="55"/>
    </row>
    <row r="24" spans="2:28" ht="21" customHeight="1">
      <c r="B24" s="22">
        <f t="shared" si="4"/>
        <v>20</v>
      </c>
      <c r="C24" s="3" t="s">
        <v>152</v>
      </c>
      <c r="D24" s="24" t="s">
        <v>153</v>
      </c>
      <c r="E24" s="5">
        <v>41729</v>
      </c>
      <c r="F24" s="4" t="s">
        <v>154</v>
      </c>
      <c r="G24" s="3" t="s">
        <v>144</v>
      </c>
      <c r="H24" s="3" t="s">
        <v>145</v>
      </c>
      <c r="I24" s="3" t="s">
        <v>138</v>
      </c>
      <c r="J24" s="26">
        <v>801.22</v>
      </c>
      <c r="K24" s="5">
        <v>41714</v>
      </c>
      <c r="L24" s="3" t="s">
        <v>155</v>
      </c>
      <c r="M24" s="3" t="s">
        <v>140</v>
      </c>
      <c r="N24" s="3" t="s">
        <v>37</v>
      </c>
      <c r="O24" s="6" t="s">
        <v>156</v>
      </c>
      <c r="P24" s="7">
        <v>950034</v>
      </c>
      <c r="Q24" s="36">
        <f t="shared" si="19"/>
        <v>103989771.60600001</v>
      </c>
      <c r="R24" s="31" t="s">
        <v>27</v>
      </c>
      <c r="S24" s="2">
        <v>109.459</v>
      </c>
      <c r="T24" s="32">
        <f t="shared" si="21"/>
        <v>41803</v>
      </c>
      <c r="U24" s="3" t="s">
        <v>144</v>
      </c>
      <c r="V24" s="37">
        <f t="shared" si="22"/>
        <v>124787.72592719999</v>
      </c>
      <c r="W24" s="23">
        <v>155.74</v>
      </c>
      <c r="X24" s="36">
        <f t="shared" si="3"/>
        <v>19434440.43590213</v>
      </c>
      <c r="Y24" s="38">
        <f t="shared" si="23"/>
        <v>19434440.43590213</v>
      </c>
      <c r="Z24" s="23"/>
      <c r="AA24" s="23"/>
      <c r="AB24" s="55"/>
    </row>
    <row r="25" spans="2:28" ht="28.5" customHeight="1">
      <c r="B25" s="22">
        <f t="shared" si="4"/>
        <v>21</v>
      </c>
      <c r="C25" s="3" t="s">
        <v>157</v>
      </c>
      <c r="D25" s="24" t="s">
        <v>158</v>
      </c>
      <c r="E25" s="5">
        <v>41729</v>
      </c>
      <c r="F25" s="35" t="s">
        <v>159</v>
      </c>
      <c r="G25" s="3" t="s">
        <v>144</v>
      </c>
      <c r="H25" s="3" t="s">
        <v>145</v>
      </c>
      <c r="I25" s="3" t="s">
        <v>160</v>
      </c>
      <c r="J25" s="26">
        <v>801.22</v>
      </c>
      <c r="K25" s="5">
        <v>41719</v>
      </c>
      <c r="L25" s="3" t="s">
        <v>161</v>
      </c>
      <c r="M25" s="3" t="s">
        <v>162</v>
      </c>
      <c r="N25" s="3" t="s">
        <v>163</v>
      </c>
      <c r="O25" s="6" t="s">
        <v>164</v>
      </c>
      <c r="P25" s="7">
        <v>899927</v>
      </c>
      <c r="Q25" s="36">
        <f t="shared" si="19"/>
        <v>97662777.820999995</v>
      </c>
      <c r="R25" s="31" t="s">
        <v>27</v>
      </c>
      <c r="S25" s="39">
        <v>108.523</v>
      </c>
      <c r="T25" s="32">
        <f t="shared" si="21"/>
        <v>41808</v>
      </c>
      <c r="U25" s="3" t="s">
        <v>144</v>
      </c>
      <c r="V25" s="37">
        <f t="shared" si="22"/>
        <v>117195.33338519998</v>
      </c>
      <c r="W25" s="23">
        <v>155.74</v>
      </c>
      <c r="X25" s="36">
        <f t="shared" si="3"/>
        <v>18252001.221411046</v>
      </c>
      <c r="Y25" s="38">
        <f t="shared" si="23"/>
        <v>18252001.221411046</v>
      </c>
      <c r="Z25" s="23"/>
      <c r="AA25" s="23"/>
      <c r="AB25" s="55"/>
    </row>
    <row r="26" spans="2:28" ht="22.5" customHeight="1" thickBot="1">
      <c r="B26" s="22">
        <f t="shared" si="4"/>
        <v>22</v>
      </c>
      <c r="C26" s="3" t="s">
        <v>165</v>
      </c>
      <c r="D26" s="24" t="s">
        <v>166</v>
      </c>
      <c r="E26" s="5">
        <v>41729</v>
      </c>
      <c r="F26" s="35" t="s">
        <v>167</v>
      </c>
      <c r="G26" s="3" t="s">
        <v>144</v>
      </c>
      <c r="H26" s="3" t="s">
        <v>145</v>
      </c>
      <c r="I26" s="3" t="s">
        <v>138</v>
      </c>
      <c r="J26" s="26">
        <v>801.22</v>
      </c>
      <c r="K26" s="5">
        <v>41729</v>
      </c>
      <c r="L26" s="3" t="s">
        <v>168</v>
      </c>
      <c r="M26" s="3" t="s">
        <v>140</v>
      </c>
      <c r="N26" s="3" t="s">
        <v>163</v>
      </c>
      <c r="O26" s="6" t="s">
        <v>169</v>
      </c>
      <c r="P26" s="7">
        <v>950149</v>
      </c>
      <c r="Q26" s="36">
        <f t="shared" si="19"/>
        <v>102156219.884</v>
      </c>
      <c r="R26" s="31" t="s">
        <v>27</v>
      </c>
      <c r="S26" s="39">
        <v>107.51600000000001</v>
      </c>
      <c r="T26" s="32">
        <f t="shared" si="21"/>
        <v>41818</v>
      </c>
      <c r="U26" s="3" t="s">
        <v>144</v>
      </c>
      <c r="V26" s="37">
        <f t="shared" si="22"/>
        <v>122587.4638608</v>
      </c>
      <c r="W26" s="23">
        <v>155.74</v>
      </c>
      <c r="X26" s="36">
        <f t="shared" si="3"/>
        <v>19091771.621680994</v>
      </c>
      <c r="Y26" s="38">
        <f t="shared" si="23"/>
        <v>19091771.621680994</v>
      </c>
      <c r="Z26" s="23"/>
      <c r="AA26" s="23"/>
      <c r="AB26" s="55"/>
    </row>
    <row r="27" spans="2:28" ht="15.75" thickBot="1">
      <c r="P27" s="43">
        <f>SUM(P5:P26)</f>
        <v>9773508</v>
      </c>
      <c r="Q27" s="44">
        <f>SUM(Q5:Q26)</f>
        <v>1069744066.5584998</v>
      </c>
      <c r="R27" s="80"/>
      <c r="S27" s="81"/>
      <c r="T27" s="82"/>
      <c r="U27" s="83"/>
      <c r="V27" s="44">
        <f>SUM(V5:V26)</f>
        <v>1283692.8798701998</v>
      </c>
      <c r="W27" s="80"/>
      <c r="X27" s="44">
        <f t="shared" ref="X27:Y27" si="24">SUM(X5:X26)</f>
        <v>199915778.14017129</v>
      </c>
      <c r="Y27" s="44">
        <f t="shared" si="24"/>
        <v>200075846.84759206</v>
      </c>
    </row>
    <row r="29" spans="2:28">
      <c r="D29" s="85"/>
    </row>
    <row r="30" spans="2:28">
      <c r="D30" s="85"/>
    </row>
    <row r="31" spans="2:28">
      <c r="D31" s="86"/>
    </row>
    <row r="32" spans="2:28">
      <c r="D32" s="85"/>
    </row>
    <row r="33" spans="4:17">
      <c r="D33" s="85"/>
    </row>
    <row r="34" spans="4:17" ht="18.75">
      <c r="P34" s="87"/>
      <c r="Q34" s="87"/>
    </row>
  </sheetData>
  <mergeCells count="1">
    <mergeCell ref="P34:Q34"/>
  </mergeCells>
  <pageMargins left="0" right="0" top="0" bottom="0" header="0.31496062992125984" footer="0"/>
  <pageSetup paperSize="8" orientation="landscape" r:id="rId1"/>
  <ignoredErrors>
    <ignoredError sqref="F6:F9 F11:F12 F13:F15 F16:F17 F20:F21" numberStoredAsText="1"/>
    <ignoredError sqref="T8 T2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47"/>
  <sheetViews>
    <sheetView topLeftCell="A27" workbookViewId="0">
      <selection activeCell="P47" sqref="P47:Q47"/>
    </sheetView>
  </sheetViews>
  <sheetFormatPr defaultRowHeight="15"/>
  <cols>
    <col min="1" max="1" width="3" style="8" customWidth="1"/>
    <col min="2" max="2" width="4.140625" style="8" customWidth="1"/>
    <col min="3" max="3" width="5.140625" style="9" customWidth="1"/>
    <col min="4" max="4" width="6.28515625" style="9" customWidth="1"/>
    <col min="5" max="5" width="5.85546875" style="9" customWidth="1"/>
    <col min="6" max="6" width="10.5703125" style="9" customWidth="1"/>
    <col min="7" max="7" width="9.5703125" style="9" customWidth="1"/>
    <col min="8" max="8" width="9" style="9" customWidth="1"/>
    <col min="9" max="9" width="10.140625" style="9" customWidth="1"/>
    <col min="10" max="10" width="7.28515625" style="8" customWidth="1"/>
    <col min="11" max="11" width="6.42578125" style="10" customWidth="1"/>
    <col min="12" max="12" width="8.42578125" style="9" customWidth="1"/>
    <col min="13" max="13" width="6.7109375" style="9" customWidth="1"/>
    <col min="14" max="14" width="7" style="12" customWidth="1"/>
    <col min="15" max="15" width="12.42578125" style="13" customWidth="1"/>
    <col min="16" max="16" width="7.85546875" style="8" customWidth="1"/>
    <col min="17" max="17" width="11.140625" style="8" customWidth="1"/>
    <col min="18" max="18" width="6.5703125" style="8" customWidth="1"/>
    <col min="19" max="19" width="7.42578125" style="14" customWidth="1"/>
    <col min="20" max="20" width="7.28515625" style="10" customWidth="1"/>
    <col min="21" max="21" width="10.28515625" style="9" customWidth="1"/>
    <col min="22" max="22" width="9.85546875" style="8" customWidth="1"/>
    <col min="23" max="23" width="6.85546875" style="8" customWidth="1"/>
    <col min="24" max="24" width="11.140625" style="8" customWidth="1"/>
    <col min="25" max="25" width="11.42578125" style="8" customWidth="1"/>
    <col min="26" max="26" width="4.85546875" style="8" customWidth="1"/>
    <col min="27" max="27" width="5.140625" style="8" customWidth="1"/>
    <col min="28" max="16384" width="9.140625" style="8"/>
  </cols>
  <sheetData>
    <row r="2" spans="2:27" ht="15.75">
      <c r="L2" s="11" t="s">
        <v>0</v>
      </c>
    </row>
    <row r="3" spans="2:27" ht="23.25" customHeight="1" thickBot="1">
      <c r="L3" s="11" t="s">
        <v>204</v>
      </c>
      <c r="P3" s="15"/>
    </row>
    <row r="4" spans="2:27" s="9" customFormat="1" ht="42.6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</row>
    <row r="5" spans="2:27" s="15" customFormat="1" ht="24.75" customHeight="1">
      <c r="B5" s="22">
        <v>1</v>
      </c>
      <c r="C5" s="3" t="s">
        <v>180</v>
      </c>
      <c r="D5" s="24" t="s">
        <v>174</v>
      </c>
      <c r="E5" s="5"/>
      <c r="F5" s="25" t="s">
        <v>181</v>
      </c>
      <c r="G5" s="3" t="s">
        <v>43</v>
      </c>
      <c r="H5" s="3" t="s">
        <v>87</v>
      </c>
      <c r="I5" s="3" t="s">
        <v>45</v>
      </c>
      <c r="J5" s="26">
        <v>801.22</v>
      </c>
      <c r="K5" s="27">
        <v>41703</v>
      </c>
      <c r="L5" s="28" t="s">
        <v>175</v>
      </c>
      <c r="M5" s="28" t="s">
        <v>29</v>
      </c>
      <c r="N5" s="3" t="s">
        <v>170</v>
      </c>
      <c r="O5" s="6" t="s">
        <v>171</v>
      </c>
      <c r="P5" s="29">
        <v>180000</v>
      </c>
      <c r="Q5" s="30">
        <f t="shared" ref="Q5:Q14" si="0">SUM(P5*S5)</f>
        <v>19922400</v>
      </c>
      <c r="R5" s="31" t="s">
        <v>27</v>
      </c>
      <c r="S5" s="1">
        <v>110.68</v>
      </c>
      <c r="T5" s="32">
        <f t="shared" ref="T5:T14" si="1">SUM(K5)+89</f>
        <v>41792</v>
      </c>
      <c r="U5" s="3" t="s">
        <v>83</v>
      </c>
      <c r="V5" s="33">
        <f t="shared" ref="V5:V14" si="2">SUM(Q5*0.12%)</f>
        <v>23906.879999999997</v>
      </c>
      <c r="W5" s="23">
        <v>155.74</v>
      </c>
      <c r="X5" s="30">
        <f t="shared" ref="X5:X14" si="3">SUM(V5*W5)</f>
        <v>3723257.4911999996</v>
      </c>
      <c r="Y5" s="34">
        <v>0</v>
      </c>
      <c r="Z5" s="23"/>
      <c r="AA5" s="23"/>
    </row>
    <row r="6" spans="2:27" ht="24.75" customHeight="1">
      <c r="B6" s="22">
        <f t="shared" ref="B6:B14" si="4">B5+1</f>
        <v>2</v>
      </c>
      <c r="C6" s="3" t="s">
        <v>182</v>
      </c>
      <c r="D6" s="24" t="s">
        <v>174</v>
      </c>
      <c r="E6" s="5"/>
      <c r="F6" s="25" t="s">
        <v>183</v>
      </c>
      <c r="G6" s="3" t="s">
        <v>76</v>
      </c>
      <c r="H6" s="3" t="s">
        <v>173</v>
      </c>
      <c r="I6" s="3" t="s">
        <v>45</v>
      </c>
      <c r="J6" s="26">
        <v>801.22</v>
      </c>
      <c r="K6" s="27">
        <v>41703</v>
      </c>
      <c r="L6" s="28" t="s">
        <v>175</v>
      </c>
      <c r="M6" s="28" t="s">
        <v>29</v>
      </c>
      <c r="N6" s="3" t="s">
        <v>170</v>
      </c>
      <c r="O6" s="6" t="s">
        <v>171</v>
      </c>
      <c r="P6" s="29">
        <v>349000</v>
      </c>
      <c r="Q6" s="30">
        <f t="shared" si="0"/>
        <v>38627320</v>
      </c>
      <c r="R6" s="31" t="s">
        <v>27</v>
      </c>
      <c r="S6" s="1">
        <v>110.68</v>
      </c>
      <c r="T6" s="32">
        <f t="shared" si="1"/>
        <v>41792</v>
      </c>
      <c r="U6" s="6" t="s">
        <v>28</v>
      </c>
      <c r="V6" s="33">
        <f t="shared" si="2"/>
        <v>46352.783999999992</v>
      </c>
      <c r="W6" s="23">
        <v>155.74</v>
      </c>
      <c r="X6" s="30">
        <f t="shared" si="3"/>
        <v>7218982.5801599994</v>
      </c>
      <c r="Y6" s="34">
        <v>0</v>
      </c>
      <c r="Z6" s="23"/>
      <c r="AA6" s="23"/>
    </row>
    <row r="7" spans="2:27" ht="24.75" customHeight="1">
      <c r="B7" s="22">
        <f t="shared" si="4"/>
        <v>3</v>
      </c>
      <c r="C7" s="3" t="s">
        <v>184</v>
      </c>
      <c r="D7" s="24" t="s">
        <v>174</v>
      </c>
      <c r="E7" s="5"/>
      <c r="F7" s="25" t="s">
        <v>185</v>
      </c>
      <c r="G7" s="3" t="s">
        <v>43</v>
      </c>
      <c r="H7" s="3" t="s">
        <v>172</v>
      </c>
      <c r="I7" s="3" t="s">
        <v>45</v>
      </c>
      <c r="J7" s="26">
        <v>801.22</v>
      </c>
      <c r="K7" s="27">
        <v>41703</v>
      </c>
      <c r="L7" s="28" t="s">
        <v>175</v>
      </c>
      <c r="M7" s="28" t="s">
        <v>29</v>
      </c>
      <c r="N7" s="3" t="s">
        <v>170</v>
      </c>
      <c r="O7" s="6" t="s">
        <v>171</v>
      </c>
      <c r="P7" s="29">
        <v>80000</v>
      </c>
      <c r="Q7" s="30">
        <f t="shared" si="0"/>
        <v>8854400</v>
      </c>
      <c r="R7" s="31" t="s">
        <v>27</v>
      </c>
      <c r="S7" s="1">
        <v>110.68</v>
      </c>
      <c r="T7" s="32">
        <f t="shared" si="1"/>
        <v>41792</v>
      </c>
      <c r="U7" s="6" t="s">
        <v>28</v>
      </c>
      <c r="V7" s="33">
        <f t="shared" si="2"/>
        <v>10625.279999999999</v>
      </c>
      <c r="W7" s="23">
        <v>155.74</v>
      </c>
      <c r="X7" s="30">
        <f t="shared" si="3"/>
        <v>1654781.1072</v>
      </c>
      <c r="Y7" s="34">
        <v>0</v>
      </c>
      <c r="Z7" s="23"/>
      <c r="AA7" s="23"/>
    </row>
    <row r="8" spans="2:27" ht="24.75" customHeight="1">
      <c r="B8" s="22">
        <f t="shared" si="4"/>
        <v>4</v>
      </c>
      <c r="C8" s="3" t="s">
        <v>186</v>
      </c>
      <c r="D8" s="24" t="s">
        <v>174</v>
      </c>
      <c r="E8" s="5"/>
      <c r="F8" s="35" t="s">
        <v>187</v>
      </c>
      <c r="G8" s="3" t="s">
        <v>43</v>
      </c>
      <c r="H8" s="3" t="s">
        <v>31</v>
      </c>
      <c r="I8" s="3" t="s">
        <v>45</v>
      </c>
      <c r="J8" s="26">
        <v>801.22</v>
      </c>
      <c r="K8" s="5">
        <v>41703</v>
      </c>
      <c r="L8" s="3" t="s">
        <v>175</v>
      </c>
      <c r="M8" s="3" t="s">
        <v>29</v>
      </c>
      <c r="N8" s="3" t="s">
        <v>170</v>
      </c>
      <c r="O8" s="6" t="s">
        <v>171</v>
      </c>
      <c r="P8" s="7">
        <v>377938</v>
      </c>
      <c r="Q8" s="36">
        <f t="shared" si="0"/>
        <v>41830177.840000004</v>
      </c>
      <c r="R8" s="31" t="s">
        <v>27</v>
      </c>
      <c r="S8" s="2">
        <v>110.68</v>
      </c>
      <c r="T8" s="32">
        <f t="shared" si="1"/>
        <v>41792</v>
      </c>
      <c r="U8" s="6" t="s">
        <v>28</v>
      </c>
      <c r="V8" s="37">
        <f t="shared" si="2"/>
        <v>50196.213408000003</v>
      </c>
      <c r="W8" s="23">
        <v>155.74</v>
      </c>
      <c r="X8" s="36">
        <f t="shared" si="3"/>
        <v>7817558.2761619212</v>
      </c>
      <c r="Y8" s="34">
        <v>0</v>
      </c>
      <c r="Z8" s="23"/>
      <c r="AA8" s="23"/>
    </row>
    <row r="9" spans="2:27" ht="24.75" customHeight="1">
      <c r="B9" s="22">
        <f t="shared" si="4"/>
        <v>5</v>
      </c>
      <c r="C9" s="3" t="s">
        <v>188</v>
      </c>
      <c r="D9" s="24" t="s">
        <v>174</v>
      </c>
      <c r="E9" s="5"/>
      <c r="F9" s="35" t="s">
        <v>189</v>
      </c>
      <c r="G9" s="3" t="s">
        <v>69</v>
      </c>
      <c r="H9" s="3" t="s">
        <v>178</v>
      </c>
      <c r="I9" s="3" t="s">
        <v>45</v>
      </c>
      <c r="J9" s="26">
        <v>801.22</v>
      </c>
      <c r="K9" s="5">
        <v>41717</v>
      </c>
      <c r="L9" s="3" t="s">
        <v>177</v>
      </c>
      <c r="M9" s="3" t="s">
        <v>29</v>
      </c>
      <c r="N9" s="3" t="s">
        <v>46</v>
      </c>
      <c r="O9" s="6" t="s">
        <v>190</v>
      </c>
      <c r="P9" s="7">
        <v>949583</v>
      </c>
      <c r="Q9" s="36">
        <f t="shared" si="0"/>
        <v>102586300.23900001</v>
      </c>
      <c r="R9" s="31" t="s">
        <v>27</v>
      </c>
      <c r="S9" s="2">
        <v>108.033</v>
      </c>
      <c r="T9" s="32">
        <f t="shared" si="1"/>
        <v>41806</v>
      </c>
      <c r="U9" s="3" t="s">
        <v>76</v>
      </c>
      <c r="V9" s="37">
        <f t="shared" si="2"/>
        <v>123103.5602868</v>
      </c>
      <c r="W9" s="23">
        <v>155.74</v>
      </c>
      <c r="X9" s="36">
        <f t="shared" si="3"/>
        <v>19172148.479066234</v>
      </c>
      <c r="Y9" s="34">
        <v>0</v>
      </c>
      <c r="Z9" s="23"/>
      <c r="AA9" s="23"/>
    </row>
    <row r="10" spans="2:27" ht="24.75" customHeight="1">
      <c r="B10" s="22">
        <f t="shared" si="4"/>
        <v>6</v>
      </c>
      <c r="C10" s="3" t="s">
        <v>191</v>
      </c>
      <c r="D10" s="24" t="s">
        <v>174</v>
      </c>
      <c r="E10" s="5"/>
      <c r="F10" s="35" t="s">
        <v>192</v>
      </c>
      <c r="G10" s="3" t="s">
        <v>69</v>
      </c>
      <c r="H10" s="3" t="s">
        <v>70</v>
      </c>
      <c r="I10" s="3" t="s">
        <v>71</v>
      </c>
      <c r="J10" s="26">
        <v>801.22</v>
      </c>
      <c r="K10" s="5">
        <v>41718</v>
      </c>
      <c r="L10" s="3" t="s">
        <v>193</v>
      </c>
      <c r="M10" s="3" t="s">
        <v>73</v>
      </c>
      <c r="N10" s="3" t="s">
        <v>74</v>
      </c>
      <c r="O10" s="6" t="s">
        <v>75</v>
      </c>
      <c r="P10" s="7">
        <v>629594</v>
      </c>
      <c r="Q10" s="36">
        <f t="shared" si="0"/>
        <v>64634120.039999999</v>
      </c>
      <c r="R10" s="31" t="s">
        <v>27</v>
      </c>
      <c r="S10" s="2">
        <v>102.66</v>
      </c>
      <c r="T10" s="32">
        <f t="shared" si="1"/>
        <v>41807</v>
      </c>
      <c r="U10" s="3" t="s">
        <v>76</v>
      </c>
      <c r="V10" s="37">
        <f t="shared" si="2"/>
        <v>77560.94404799999</v>
      </c>
      <c r="W10" s="23">
        <v>155.74</v>
      </c>
      <c r="X10" s="36">
        <f t="shared" si="3"/>
        <v>12079341.42603552</v>
      </c>
      <c r="Y10" s="34">
        <v>0</v>
      </c>
      <c r="Z10" s="23"/>
      <c r="AA10" s="23"/>
    </row>
    <row r="11" spans="2:27" ht="24.75" customHeight="1">
      <c r="B11" s="22">
        <f t="shared" si="4"/>
        <v>7</v>
      </c>
      <c r="C11" s="3" t="s">
        <v>194</v>
      </c>
      <c r="D11" s="24" t="s">
        <v>174</v>
      </c>
      <c r="E11" s="5"/>
      <c r="F11" s="35" t="s">
        <v>195</v>
      </c>
      <c r="G11" s="3" t="s">
        <v>43</v>
      </c>
      <c r="H11" s="3" t="s">
        <v>87</v>
      </c>
      <c r="I11" s="3" t="s">
        <v>80</v>
      </c>
      <c r="J11" s="26">
        <v>801.22</v>
      </c>
      <c r="K11" s="5">
        <v>41727</v>
      </c>
      <c r="L11" s="3" t="s">
        <v>38</v>
      </c>
      <c r="M11" s="3" t="s">
        <v>81</v>
      </c>
      <c r="N11" s="3" t="s">
        <v>176</v>
      </c>
      <c r="O11" s="6" t="s">
        <v>179</v>
      </c>
      <c r="P11" s="7">
        <v>947026</v>
      </c>
      <c r="Q11" s="36">
        <f t="shared" si="0"/>
        <v>100604466.03200001</v>
      </c>
      <c r="R11" s="31" t="s">
        <v>27</v>
      </c>
      <c r="S11" s="39">
        <v>106.232</v>
      </c>
      <c r="T11" s="32">
        <f t="shared" si="1"/>
        <v>41816</v>
      </c>
      <c r="U11" s="3" t="s">
        <v>83</v>
      </c>
      <c r="V11" s="37">
        <f t="shared" si="2"/>
        <v>120725.35923839999</v>
      </c>
      <c r="W11" s="23">
        <v>155.74</v>
      </c>
      <c r="X11" s="36">
        <f t="shared" si="3"/>
        <v>18801767.447788417</v>
      </c>
      <c r="Y11" s="34">
        <v>0</v>
      </c>
      <c r="Z11" s="23"/>
      <c r="AA11" s="23"/>
    </row>
    <row r="12" spans="2:27" ht="24.75" customHeight="1">
      <c r="B12" s="22">
        <f t="shared" si="4"/>
        <v>8</v>
      </c>
      <c r="C12" s="3" t="s">
        <v>196</v>
      </c>
      <c r="D12" s="24" t="s">
        <v>174</v>
      </c>
      <c r="E12" s="5"/>
      <c r="F12" s="35" t="s">
        <v>197</v>
      </c>
      <c r="G12" s="3" t="s">
        <v>76</v>
      </c>
      <c r="H12" s="3" t="s">
        <v>173</v>
      </c>
      <c r="I12" s="3" t="s">
        <v>45</v>
      </c>
      <c r="J12" s="26">
        <v>801.22</v>
      </c>
      <c r="K12" s="5">
        <v>41729</v>
      </c>
      <c r="L12" s="3" t="s">
        <v>198</v>
      </c>
      <c r="M12" s="3" t="s">
        <v>29</v>
      </c>
      <c r="N12" s="3" t="s">
        <v>35</v>
      </c>
      <c r="O12" s="6" t="s">
        <v>199</v>
      </c>
      <c r="P12" s="7">
        <v>355000</v>
      </c>
      <c r="Q12" s="36">
        <f t="shared" si="0"/>
        <v>37972930</v>
      </c>
      <c r="R12" s="31" t="s">
        <v>27</v>
      </c>
      <c r="S12" s="39">
        <v>106.96599999999999</v>
      </c>
      <c r="T12" s="32">
        <f t="shared" si="1"/>
        <v>41818</v>
      </c>
      <c r="U12" s="3" t="s">
        <v>28</v>
      </c>
      <c r="V12" s="37">
        <f t="shared" si="2"/>
        <v>45567.515999999996</v>
      </c>
      <c r="W12" s="23">
        <v>155.74</v>
      </c>
      <c r="X12" s="36">
        <f t="shared" si="3"/>
        <v>7096684.9418399995</v>
      </c>
      <c r="Y12" s="34">
        <v>0</v>
      </c>
      <c r="Z12" s="23"/>
      <c r="AA12" s="23"/>
    </row>
    <row r="13" spans="2:27" ht="24.75" customHeight="1">
      <c r="B13" s="22">
        <f t="shared" si="4"/>
        <v>9</v>
      </c>
      <c r="C13" s="3" t="s">
        <v>200</v>
      </c>
      <c r="D13" s="24" t="s">
        <v>174</v>
      </c>
      <c r="E13" s="5"/>
      <c r="F13" s="35" t="s">
        <v>201</v>
      </c>
      <c r="G13" s="3" t="s">
        <v>43</v>
      </c>
      <c r="H13" s="3" t="s">
        <v>172</v>
      </c>
      <c r="I13" s="3" t="s">
        <v>45</v>
      </c>
      <c r="J13" s="26">
        <v>801.22</v>
      </c>
      <c r="K13" s="5">
        <v>41729</v>
      </c>
      <c r="L13" s="3" t="s">
        <v>198</v>
      </c>
      <c r="M13" s="3" t="s">
        <v>29</v>
      </c>
      <c r="N13" s="3" t="s">
        <v>35</v>
      </c>
      <c r="O13" s="6" t="s">
        <v>199</v>
      </c>
      <c r="P13" s="40">
        <v>90000</v>
      </c>
      <c r="Q13" s="36">
        <f t="shared" si="0"/>
        <v>9626940</v>
      </c>
      <c r="R13" s="31" t="s">
        <v>27</v>
      </c>
      <c r="S13" s="39">
        <v>106.96599999999999</v>
      </c>
      <c r="T13" s="32">
        <f t="shared" si="1"/>
        <v>41818</v>
      </c>
      <c r="U13" s="3" t="s">
        <v>28</v>
      </c>
      <c r="V13" s="37">
        <f t="shared" si="2"/>
        <v>11552.328</v>
      </c>
      <c r="W13" s="23">
        <v>155.74</v>
      </c>
      <c r="X13" s="36">
        <f t="shared" si="3"/>
        <v>1799159.56272</v>
      </c>
      <c r="Y13" s="34">
        <v>0</v>
      </c>
      <c r="Z13" s="23"/>
      <c r="AA13" s="23"/>
    </row>
    <row r="14" spans="2:27" ht="24.75" customHeight="1" thickBot="1">
      <c r="B14" s="22">
        <f t="shared" si="4"/>
        <v>10</v>
      </c>
      <c r="C14" s="3" t="s">
        <v>202</v>
      </c>
      <c r="D14" s="24" t="s">
        <v>174</v>
      </c>
      <c r="E14" s="5"/>
      <c r="F14" s="35" t="s">
        <v>203</v>
      </c>
      <c r="G14" s="3" t="s">
        <v>43</v>
      </c>
      <c r="H14" s="3" t="s">
        <v>31</v>
      </c>
      <c r="I14" s="3" t="s">
        <v>45</v>
      </c>
      <c r="J14" s="26">
        <v>801.22</v>
      </c>
      <c r="K14" s="5">
        <v>41729</v>
      </c>
      <c r="L14" s="3" t="s">
        <v>198</v>
      </c>
      <c r="M14" s="3" t="s">
        <v>29</v>
      </c>
      <c r="N14" s="3" t="s">
        <v>35</v>
      </c>
      <c r="O14" s="6" t="s">
        <v>199</v>
      </c>
      <c r="P14" s="41">
        <v>125030</v>
      </c>
      <c r="Q14" s="30">
        <f t="shared" si="0"/>
        <v>13373958.979999999</v>
      </c>
      <c r="R14" s="31" t="s">
        <v>27</v>
      </c>
      <c r="S14" s="39">
        <v>106.96599999999999</v>
      </c>
      <c r="T14" s="32">
        <f t="shared" si="1"/>
        <v>41818</v>
      </c>
      <c r="U14" s="3" t="s">
        <v>28</v>
      </c>
      <c r="V14" s="33">
        <f t="shared" si="2"/>
        <v>16048.750775999997</v>
      </c>
      <c r="W14" s="23">
        <v>155.74</v>
      </c>
      <c r="X14" s="30">
        <f t="shared" si="3"/>
        <v>2499432.4458542396</v>
      </c>
      <c r="Y14" s="42">
        <v>0</v>
      </c>
      <c r="Z14" s="23"/>
      <c r="AA14" s="23"/>
    </row>
    <row r="15" spans="2:27" ht="15.75" thickBot="1">
      <c r="P15" s="43">
        <f>SUM(P5:P14)</f>
        <v>4083171</v>
      </c>
      <c r="Q15" s="44">
        <f>SUM(Q5:Q14)</f>
        <v>438033013.13100004</v>
      </c>
      <c r="V15" s="44">
        <f>SUM(V5:V14)</f>
        <v>525639.61575719994</v>
      </c>
      <c r="X15" s="44">
        <f>SUM(X5:X14)</f>
        <v>81863113.758026332</v>
      </c>
      <c r="Y15" s="84">
        <f>SUM(Y5:Y14)</f>
        <v>0</v>
      </c>
    </row>
    <row r="37" spans="4:17">
      <c r="D37" s="85"/>
    </row>
    <row r="38" spans="4:17">
      <c r="D38" s="85"/>
    </row>
    <row r="39" spans="4:17">
      <c r="D39" s="86"/>
    </row>
    <row r="40" spans="4:17">
      <c r="D40" s="85"/>
    </row>
    <row r="41" spans="4:17">
      <c r="D41" s="85"/>
    </row>
    <row r="47" spans="4:17" ht="18.75">
      <c r="P47" s="87"/>
      <c r="Q47" s="87"/>
    </row>
  </sheetData>
  <mergeCells count="1">
    <mergeCell ref="P47:Q47"/>
  </mergeCells>
  <pageMargins left="0" right="0" top="0" bottom="0" header="0.31496062992125984" footer="0"/>
  <pageSetup paperSize="8" orientation="landscape" r:id="rId1"/>
  <ignoredErrors>
    <ignoredError sqref="F5:F1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(MAR'14)</vt:lpstr>
      <vt:lpstr>COMPLIANT (MAR'14)</vt:lpstr>
      <vt:lpstr>NON-COMPLIANT (MAR'14)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2014-04-08T10:11:17Z</cp:lastPrinted>
  <dcterms:created xsi:type="dcterms:W3CDTF">2013-10-09T11:18:50Z</dcterms:created>
  <dcterms:modified xsi:type="dcterms:W3CDTF">2014-04-10T10:20:01Z</dcterms:modified>
</cp:coreProperties>
</file>