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960" yWindow="930" windowWidth="19335" windowHeight="7080" tabRatio="625"/>
  </bookViews>
  <sheets>
    <sheet name="COMPREHENSIVE (3RD QTR'14)" sheetId="1" r:id="rId1"/>
    <sheet name="COMPLIANT (3RD QTR'14)" sheetId="2" r:id="rId2"/>
    <sheet name="NON-COMPLIANT (3RD QTR'14)" sheetId="4" r:id="rId3"/>
  </sheets>
  <calcPr calcId="125725"/>
</workbook>
</file>

<file path=xl/calcChain.xml><?xml version="1.0" encoding="utf-8"?>
<calcChain xmlns="http://schemas.openxmlformats.org/spreadsheetml/2006/main">
  <c r="B6" i="4"/>
  <c r="P47"/>
  <c r="T46"/>
  <c r="Q46"/>
  <c r="V46" s="1"/>
  <c r="X46" s="1"/>
  <c r="T45"/>
  <c r="Q45"/>
  <c r="V45" s="1"/>
  <c r="X45" s="1"/>
  <c r="T44"/>
  <c r="Q44"/>
  <c r="V44" s="1"/>
  <c r="X44" s="1"/>
  <c r="T43"/>
  <c r="Q43"/>
  <c r="V43" s="1"/>
  <c r="X43" s="1"/>
  <c r="T42"/>
  <c r="Q42"/>
  <c r="V42" s="1"/>
  <c r="X42" s="1"/>
  <c r="T41"/>
  <c r="Q41"/>
  <c r="V41" s="1"/>
  <c r="X41" s="1"/>
  <c r="T40"/>
  <c r="Q40"/>
  <c r="V40" s="1"/>
  <c r="X40" s="1"/>
  <c r="T39"/>
  <c r="Q39"/>
  <c r="V39" s="1"/>
  <c r="X39" s="1"/>
  <c r="T38"/>
  <c r="Q38"/>
  <c r="V38" s="1"/>
  <c r="X38" s="1"/>
  <c r="T37"/>
  <c r="Q37"/>
  <c r="V37" s="1"/>
  <c r="X37" s="1"/>
  <c r="T36"/>
  <c r="Q36"/>
  <c r="V36" s="1"/>
  <c r="X36" s="1"/>
  <c r="T35"/>
  <c r="Q35"/>
  <c r="V35" s="1"/>
  <c r="X35" s="1"/>
  <c r="T34"/>
  <c r="Q34"/>
  <c r="V34" s="1"/>
  <c r="X34" s="1"/>
  <c r="T33"/>
  <c r="Q33"/>
  <c r="V33" s="1"/>
  <c r="X33" s="1"/>
  <c r="T32"/>
  <c r="Q32"/>
  <c r="V32" s="1"/>
  <c r="X32" s="1"/>
  <c r="T31"/>
  <c r="Q31"/>
  <c r="V31" s="1"/>
  <c r="X31" s="1"/>
  <c r="T30"/>
  <c r="Q30"/>
  <c r="V30" s="1"/>
  <c r="X30" s="1"/>
  <c r="T29"/>
  <c r="Q29"/>
  <c r="V29" s="1"/>
  <c r="X29" s="1"/>
  <c r="T28"/>
  <c r="Q28"/>
  <c r="V28" s="1"/>
  <c r="X28" s="1"/>
  <c r="T27"/>
  <c r="Q27"/>
  <c r="V27" s="1"/>
  <c r="X27" s="1"/>
  <c r="T26"/>
  <c r="Q26"/>
  <c r="V26" s="1"/>
  <c r="X26" s="1"/>
  <c r="T25"/>
  <c r="Q25"/>
  <c r="V25" s="1"/>
  <c r="X25" s="1"/>
  <c r="T24"/>
  <c r="Q24"/>
  <c r="V24" s="1"/>
  <c r="X24" s="1"/>
  <c r="T23"/>
  <c r="Q23"/>
  <c r="V23" s="1"/>
  <c r="X23" s="1"/>
  <c r="T22"/>
  <c r="Q22"/>
  <c r="V22" s="1"/>
  <c r="X22" s="1"/>
  <c r="T21"/>
  <c r="Q21"/>
  <c r="V21" s="1"/>
  <c r="X21" s="1"/>
  <c r="T20"/>
  <c r="Q20"/>
  <c r="V20" s="1"/>
  <c r="X20" s="1"/>
  <c r="T19"/>
  <c r="Q19"/>
  <c r="V19" s="1"/>
  <c r="X19" s="1"/>
  <c r="T18"/>
  <c r="Q18"/>
  <c r="V18" s="1"/>
  <c r="X18" s="1"/>
  <c r="T17"/>
  <c r="Q17"/>
  <c r="V17" s="1"/>
  <c r="X17" s="1"/>
  <c r="T16"/>
  <c r="Q16"/>
  <c r="V16" s="1"/>
  <c r="X16" s="1"/>
  <c r="T15"/>
  <c r="Q15"/>
  <c r="V15" s="1"/>
  <c r="X15" s="1"/>
  <c r="T14"/>
  <c r="Q14"/>
  <c r="V14" s="1"/>
  <c r="X14" s="1"/>
  <c r="T13"/>
  <c r="Q13"/>
  <c r="V13" s="1"/>
  <c r="X13" s="1"/>
  <c r="T12"/>
  <c r="Q12"/>
  <c r="V12" s="1"/>
  <c r="X12" s="1"/>
  <c r="T11"/>
  <c r="Q11"/>
  <c r="V11" s="1"/>
  <c r="X11" s="1"/>
  <c r="T10"/>
  <c r="Q10"/>
  <c r="V10" s="1"/>
  <c r="X10" s="1"/>
  <c r="T9"/>
  <c r="Q9"/>
  <c r="V9" s="1"/>
  <c r="X9" s="1"/>
  <c r="T8"/>
  <c r="Q8"/>
  <c r="V8" s="1"/>
  <c r="X8" s="1"/>
  <c r="T7"/>
  <c r="Q7"/>
  <c r="V7" s="1"/>
  <c r="X7" s="1"/>
  <c r="T6"/>
  <c r="Q6"/>
  <c r="V6" s="1"/>
  <c r="X6" s="1"/>
  <c r="T5"/>
  <c r="Q5"/>
  <c r="V5" s="1"/>
  <c r="X5" s="1"/>
  <c r="B7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B37" s="1"/>
  <c r="B38" s="1"/>
  <c r="B39" s="1"/>
  <c r="B40" s="1"/>
  <c r="B41" s="1"/>
  <c r="B42" s="1"/>
  <c r="B43" s="1"/>
  <c r="B44" s="1"/>
  <c r="B45" s="1"/>
  <c r="B46" s="1"/>
  <c r="P74" i="2"/>
  <c r="T73"/>
  <c r="Q73"/>
  <c r="V73" s="1"/>
  <c r="X73" s="1"/>
  <c r="Y73" s="1"/>
  <c r="T72"/>
  <c r="Q72"/>
  <c r="V72" s="1"/>
  <c r="X72" s="1"/>
  <c r="Y72" s="1"/>
  <c r="T71"/>
  <c r="Q71"/>
  <c r="V71" s="1"/>
  <c r="X71" s="1"/>
  <c r="Y71" s="1"/>
  <c r="P80" i="1"/>
  <c r="Q79"/>
  <c r="Q78"/>
  <c r="Q77"/>
  <c r="Q76"/>
  <c r="Q75"/>
  <c r="Q74"/>
  <c r="Q73"/>
  <c r="Q72"/>
  <c r="Q71"/>
  <c r="Q70"/>
  <c r="Q69"/>
  <c r="Q68"/>
  <c r="Q67"/>
  <c r="Q66"/>
  <c r="Q65"/>
  <c r="Q64"/>
  <c r="Q63"/>
  <c r="Q62"/>
  <c r="Q61"/>
  <c r="Q60"/>
  <c r="Q59"/>
  <c r="Q58"/>
  <c r="Q57"/>
  <c r="Q56"/>
  <c r="Q55"/>
  <c r="Q54"/>
  <c r="Q53"/>
  <c r="Q52"/>
  <c r="Q51"/>
  <c r="T79"/>
  <c r="T78"/>
  <c r="T77"/>
  <c r="T76"/>
  <c r="T75"/>
  <c r="T74"/>
  <c r="T73"/>
  <c r="T72"/>
  <c r="T71"/>
  <c r="T70"/>
  <c r="T69"/>
  <c r="T68"/>
  <c r="T67"/>
  <c r="T66"/>
  <c r="T65"/>
  <c r="T64"/>
  <c r="T63"/>
  <c r="T62"/>
  <c r="T61"/>
  <c r="T60"/>
  <c r="T59"/>
  <c r="T58"/>
  <c r="T57"/>
  <c r="T56"/>
  <c r="T55"/>
  <c r="T54"/>
  <c r="T53"/>
  <c r="T52"/>
  <c r="T51"/>
  <c r="V79"/>
  <c r="X79" s="1"/>
  <c r="V78"/>
  <c r="X78" s="1"/>
  <c r="V77"/>
  <c r="X77" s="1"/>
  <c r="V76"/>
  <c r="X76" s="1"/>
  <c r="V75"/>
  <c r="X75" s="1"/>
  <c r="V74"/>
  <c r="X74" s="1"/>
  <c r="V73"/>
  <c r="X73" s="1"/>
  <c r="V72"/>
  <c r="X72" s="1"/>
  <c r="V71"/>
  <c r="X71" s="1"/>
  <c r="V70"/>
  <c r="X70" s="1"/>
  <c r="V69"/>
  <c r="X69" s="1"/>
  <c r="V68"/>
  <c r="X68" s="1"/>
  <c r="V67"/>
  <c r="X67" s="1"/>
  <c r="V66"/>
  <c r="X66" s="1"/>
  <c r="V65"/>
  <c r="X65" s="1"/>
  <c r="V64"/>
  <c r="X64" s="1"/>
  <c r="V63"/>
  <c r="X63" s="1"/>
  <c r="V62"/>
  <c r="X62" s="1"/>
  <c r="V61"/>
  <c r="X61" s="1"/>
  <c r="V60"/>
  <c r="X60" s="1"/>
  <c r="Y60" s="1"/>
  <c r="V59"/>
  <c r="X59" s="1"/>
  <c r="Y59" s="1"/>
  <c r="V58"/>
  <c r="X58" s="1"/>
  <c r="Y58" s="1"/>
  <c r="V57"/>
  <c r="X57" s="1"/>
  <c r="V56"/>
  <c r="X56" s="1"/>
  <c r="V55"/>
  <c r="X55" s="1"/>
  <c r="V54"/>
  <c r="X54" s="1"/>
  <c r="V53"/>
  <c r="X53" s="1"/>
  <c r="V52"/>
  <c r="X52" s="1"/>
  <c r="V51"/>
  <c r="X51" s="1"/>
  <c r="Q47" i="4" l="1"/>
  <c r="T70" i="2"/>
  <c r="Q70"/>
  <c r="V70" s="1"/>
  <c r="X70" s="1"/>
  <c r="T69"/>
  <c r="Q69"/>
  <c r="V69" s="1"/>
  <c r="X69" s="1"/>
  <c r="V47" i="4" l="1"/>
  <c r="T68" i="2"/>
  <c r="Q68"/>
  <c r="V68" s="1"/>
  <c r="X68" s="1"/>
  <c r="T67"/>
  <c r="Q67"/>
  <c r="V67" s="1"/>
  <c r="X67" s="1"/>
  <c r="T66"/>
  <c r="Q66"/>
  <c r="V66" s="1"/>
  <c r="X66" s="1"/>
  <c r="T65"/>
  <c r="Q65"/>
  <c r="V65" s="1"/>
  <c r="X65" s="1"/>
  <c r="X47" i="4" l="1"/>
  <c r="Y47"/>
  <c r="T64" i="2"/>
  <c r="Q64"/>
  <c r="V64" s="1"/>
  <c r="X64" s="1"/>
  <c r="T63" l="1"/>
  <c r="Q63"/>
  <c r="V63" s="1"/>
  <c r="X63" s="1"/>
  <c r="T62" l="1"/>
  <c r="Q62"/>
  <c r="V62" s="1"/>
  <c r="X62" s="1"/>
  <c r="Y62" s="1"/>
  <c r="T61"/>
  <c r="Q61"/>
  <c r="V61" s="1"/>
  <c r="X61" s="1"/>
  <c r="Y61" s="1"/>
  <c r="T60"/>
  <c r="Q60"/>
  <c r="V60" s="1"/>
  <c r="X60" s="1"/>
  <c r="Y60" s="1"/>
  <c r="T59"/>
  <c r="Q59"/>
  <c r="V59" s="1"/>
  <c r="X59" s="1"/>
  <c r="Y59" s="1"/>
  <c r="T58"/>
  <c r="Q58"/>
  <c r="V58" s="1"/>
  <c r="X58" s="1"/>
  <c r="Y58" s="1"/>
  <c r="T57"/>
  <c r="Q57"/>
  <c r="V57" s="1"/>
  <c r="X57" s="1"/>
  <c r="Y57" s="1"/>
  <c r="T50" i="1"/>
  <c r="T49"/>
  <c r="T48"/>
  <c r="T47"/>
  <c r="T46"/>
  <c r="T45"/>
  <c r="T44"/>
  <c r="T43"/>
  <c r="T42"/>
  <c r="T41"/>
  <c r="T40"/>
  <c r="T39"/>
  <c r="T38"/>
  <c r="T37"/>
  <c r="T36"/>
  <c r="T35"/>
  <c r="T34"/>
  <c r="T33"/>
  <c r="T32"/>
  <c r="T31"/>
  <c r="Q50"/>
  <c r="V50" s="1"/>
  <c r="X50" s="1"/>
  <c r="Q49"/>
  <c r="V49" s="1"/>
  <c r="X49" s="1"/>
  <c r="Y49" s="1"/>
  <c r="Q48"/>
  <c r="V48" s="1"/>
  <c r="X48" s="1"/>
  <c r="Y48" s="1"/>
  <c r="Q47"/>
  <c r="V47" s="1"/>
  <c r="Q46"/>
  <c r="V46" s="1"/>
  <c r="X46" s="1"/>
  <c r="Y46" s="1"/>
  <c r="Q45"/>
  <c r="V45" s="1"/>
  <c r="X45" s="1"/>
  <c r="Q44"/>
  <c r="V44" s="1"/>
  <c r="X44" s="1"/>
  <c r="Q43"/>
  <c r="V43" s="1"/>
  <c r="X43" s="1"/>
  <c r="Q42"/>
  <c r="V42" s="1"/>
  <c r="X42" s="1"/>
  <c r="Q41"/>
  <c r="V41" s="1"/>
  <c r="X41" s="1"/>
  <c r="Q40"/>
  <c r="V40" s="1"/>
  <c r="X40" s="1"/>
  <c r="Q39"/>
  <c r="V39" s="1"/>
  <c r="X39" s="1"/>
  <c r="Q38"/>
  <c r="V38" s="1"/>
  <c r="X38" s="1"/>
  <c r="Q37"/>
  <c r="V37" s="1"/>
  <c r="X37" s="1"/>
  <c r="Q36"/>
  <c r="V36" s="1"/>
  <c r="X36" s="1"/>
  <c r="Y36" s="1"/>
  <c r="Q35"/>
  <c r="V35" s="1"/>
  <c r="X35" s="1"/>
  <c r="Y35" s="1"/>
  <c r="Q34"/>
  <c r="V34" s="1"/>
  <c r="X34" s="1"/>
  <c r="Y34" s="1"/>
  <c r="Q33"/>
  <c r="V33" s="1"/>
  <c r="X33" s="1"/>
  <c r="Q32"/>
  <c r="V32" s="1"/>
  <c r="X32" s="1"/>
  <c r="Q31"/>
  <c r="V31" s="1"/>
  <c r="X31" s="1"/>
  <c r="T56" i="2"/>
  <c r="Q56"/>
  <c r="V56" s="1"/>
  <c r="X56" s="1"/>
  <c r="X47" i="1" l="1"/>
  <c r="T55" i="2"/>
  <c r="Q55"/>
  <c r="V55" s="1"/>
  <c r="X55" s="1"/>
  <c r="T54"/>
  <c r="Q54"/>
  <c r="V54" s="1"/>
  <c r="X54" s="1"/>
  <c r="T53"/>
  <c r="Q53"/>
  <c r="V53" s="1"/>
  <c r="X53" s="1"/>
  <c r="T52"/>
  <c r="Q52"/>
  <c r="V52" s="1"/>
  <c r="X52" s="1"/>
  <c r="T51" l="1"/>
  <c r="Q51"/>
  <c r="V51" s="1"/>
  <c r="X51" s="1"/>
  <c r="T50"/>
  <c r="Q50"/>
  <c r="V50" s="1"/>
  <c r="X50" s="1"/>
  <c r="T49"/>
  <c r="Q49"/>
  <c r="V49" s="1"/>
  <c r="X49" s="1"/>
  <c r="T48" l="1"/>
  <c r="Q48"/>
  <c r="V48" s="1"/>
  <c r="X48" s="1"/>
  <c r="T47" l="1"/>
  <c r="Q47"/>
  <c r="V47" s="1"/>
  <c r="X47" s="1"/>
  <c r="T46"/>
  <c r="Q46"/>
  <c r="V46" s="1"/>
  <c r="X46" s="1"/>
  <c r="T45" l="1"/>
  <c r="Q45"/>
  <c r="V45" s="1"/>
  <c r="X45" s="1"/>
  <c r="T44"/>
  <c r="Q44"/>
  <c r="V44" s="1"/>
  <c r="X44" s="1"/>
  <c r="T43" l="1"/>
  <c r="Q43"/>
  <c r="V43" s="1"/>
  <c r="X43" s="1"/>
  <c r="T42" l="1"/>
  <c r="Q42"/>
  <c r="V42" s="1"/>
  <c r="X42" s="1"/>
  <c r="T41"/>
  <c r="Q41"/>
  <c r="V41" s="1"/>
  <c r="X41" s="1"/>
  <c r="T40" l="1"/>
  <c r="Q40"/>
  <c r="V40" s="1"/>
  <c r="X40" s="1"/>
  <c r="Y40" s="1"/>
  <c r="T39"/>
  <c r="Q39"/>
  <c r="V39" s="1"/>
  <c r="X39" s="1"/>
  <c r="Y39" s="1"/>
  <c r="T38"/>
  <c r="Q38"/>
  <c r="V38" s="1"/>
  <c r="X38" s="1"/>
  <c r="Y38" s="1"/>
  <c r="T37"/>
  <c r="Q37"/>
  <c r="V37" s="1"/>
  <c r="X37" s="1"/>
  <c r="Y37" s="1"/>
  <c r="T36"/>
  <c r="Q36"/>
  <c r="V36" s="1"/>
  <c r="X36" s="1"/>
  <c r="Y36" s="1"/>
  <c r="T35"/>
  <c r="Q35"/>
  <c r="V35" s="1"/>
  <c r="X35" s="1"/>
  <c r="Y35" s="1"/>
  <c r="T34"/>
  <c r="Q34"/>
  <c r="V34" s="1"/>
  <c r="X34" s="1"/>
  <c r="Y34" s="1"/>
  <c r="T33"/>
  <c r="Q33"/>
  <c r="V33" s="1"/>
  <c r="X33" s="1"/>
  <c r="Y33" s="1"/>
  <c r="T32"/>
  <c r="Q32"/>
  <c r="V32" s="1"/>
  <c r="X32" s="1"/>
  <c r="Y32" s="1"/>
  <c r="T31"/>
  <c r="Q31"/>
  <c r="V31" s="1"/>
  <c r="X31" s="1"/>
  <c r="Y31" s="1"/>
  <c r="T30"/>
  <c r="Q30"/>
  <c r="V30" s="1"/>
  <c r="X30" s="1"/>
  <c r="Y30" s="1"/>
  <c r="T29"/>
  <c r="Q29"/>
  <c r="V29" s="1"/>
  <c r="X29" s="1"/>
  <c r="Y29" s="1"/>
  <c r="T28"/>
  <c r="Q28"/>
  <c r="V28" s="1"/>
  <c r="X28" s="1"/>
  <c r="Y28" s="1"/>
  <c r="T27"/>
  <c r="Q27"/>
  <c r="V27" s="1"/>
  <c r="X27" s="1"/>
  <c r="Y27" s="1"/>
  <c r="Y74" s="1"/>
  <c r="B6" i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B37" s="1"/>
  <c r="B38" s="1"/>
  <c r="B39" s="1"/>
  <c r="B40" s="1"/>
  <c r="B41" s="1"/>
  <c r="B42" s="1"/>
  <c r="B43" s="1"/>
  <c r="B44" s="1"/>
  <c r="B45" s="1"/>
  <c r="B46" s="1"/>
  <c r="B47" s="1"/>
  <c r="B48" s="1"/>
  <c r="B49" s="1"/>
  <c r="B50" s="1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T30"/>
  <c r="T29"/>
  <c r="T28"/>
  <c r="T27"/>
  <c r="T26"/>
  <c r="T25"/>
  <c r="T24"/>
  <c r="T23"/>
  <c r="T22"/>
  <c r="T21"/>
  <c r="T20"/>
  <c r="T19"/>
  <c r="T18"/>
  <c r="T17"/>
  <c r="T16"/>
  <c r="T15"/>
  <c r="T14"/>
  <c r="T13"/>
  <c r="T12"/>
  <c r="T11"/>
  <c r="T10"/>
  <c r="T9"/>
  <c r="T8"/>
  <c r="T7"/>
  <c r="T6"/>
  <c r="T5"/>
  <c r="Q30"/>
  <c r="Q29"/>
  <c r="V29" s="1"/>
  <c r="X29" s="1"/>
  <c r="Q28"/>
  <c r="V28" s="1"/>
  <c r="X28" s="1"/>
  <c r="Q27"/>
  <c r="V27" s="1"/>
  <c r="X27" s="1"/>
  <c r="Q26"/>
  <c r="V26" s="1"/>
  <c r="X26" s="1"/>
  <c r="Q25"/>
  <c r="V25" s="1"/>
  <c r="X25" s="1"/>
  <c r="Q24"/>
  <c r="Q23"/>
  <c r="V23" s="1"/>
  <c r="X23" s="1"/>
  <c r="Q22"/>
  <c r="V22" s="1"/>
  <c r="X22" s="1"/>
  <c r="Q21"/>
  <c r="V21" s="1"/>
  <c r="X21" s="1"/>
  <c r="Q20"/>
  <c r="V20" s="1"/>
  <c r="X20" s="1"/>
  <c r="Y20" s="1"/>
  <c r="Q19"/>
  <c r="V19" s="1"/>
  <c r="X19" s="1"/>
  <c r="Y19" s="1"/>
  <c r="Q18"/>
  <c r="V18" s="1"/>
  <c r="X18" s="1"/>
  <c r="Q17"/>
  <c r="V17" s="1"/>
  <c r="X17" s="1"/>
  <c r="Q16"/>
  <c r="V16" s="1"/>
  <c r="X16" s="1"/>
  <c r="Y16" s="1"/>
  <c r="Q15"/>
  <c r="V15" s="1"/>
  <c r="X15" s="1"/>
  <c r="Y15" s="1"/>
  <c r="Q14"/>
  <c r="V14" s="1"/>
  <c r="X14" s="1"/>
  <c r="Y14" s="1"/>
  <c r="Q13"/>
  <c r="V13" s="1"/>
  <c r="X13" s="1"/>
  <c r="Y13" s="1"/>
  <c r="Q12"/>
  <c r="V12" s="1"/>
  <c r="X12" s="1"/>
  <c r="Y12" s="1"/>
  <c r="Q11"/>
  <c r="V11" s="1"/>
  <c r="X11" s="1"/>
  <c r="Y11" s="1"/>
  <c r="Q10"/>
  <c r="V10" s="1"/>
  <c r="X10" s="1"/>
  <c r="Y10" s="1"/>
  <c r="Q9"/>
  <c r="V9" s="1"/>
  <c r="X9" s="1"/>
  <c r="Y9" s="1"/>
  <c r="Q8"/>
  <c r="V8" s="1"/>
  <c r="X8" s="1"/>
  <c r="Y8" s="1"/>
  <c r="Q7"/>
  <c r="V7" s="1"/>
  <c r="X7" s="1"/>
  <c r="Y7" s="1"/>
  <c r="Q6"/>
  <c r="V6" s="1"/>
  <c r="X6" s="1"/>
  <c r="Y6" s="1"/>
  <c r="Q5"/>
  <c r="Q80" l="1"/>
  <c r="V5"/>
  <c r="V24"/>
  <c r="V30"/>
  <c r="T26" i="2"/>
  <c r="Q26"/>
  <c r="V26" s="1"/>
  <c r="X26" s="1"/>
  <c r="V80" i="1" l="1"/>
  <c r="X5"/>
  <c r="X24"/>
  <c r="X30"/>
  <c r="T22" i="2"/>
  <c r="Q22"/>
  <c r="V22" s="1"/>
  <c r="X22" s="1"/>
  <c r="X80" i="1" l="1"/>
  <c r="Y5"/>
  <c r="Y80" s="1"/>
  <c r="T25" i="2"/>
  <c r="Q25"/>
  <c r="V25" s="1"/>
  <c r="X25" s="1"/>
  <c r="T24"/>
  <c r="Q24"/>
  <c r="V24" s="1"/>
  <c r="X24" s="1"/>
  <c r="T23"/>
  <c r="Q23"/>
  <c r="V23" s="1"/>
  <c r="X23" s="1"/>
  <c r="T21"/>
  <c r="Q21"/>
  <c r="V21" s="1"/>
  <c r="X21" s="1"/>
  <c r="T20"/>
  <c r="Q20"/>
  <c r="V20" s="1"/>
  <c r="X20" s="1"/>
  <c r="T19" l="1"/>
  <c r="Q19"/>
  <c r="V19" s="1"/>
  <c r="X19" s="1"/>
  <c r="T18"/>
  <c r="Q18"/>
  <c r="V18" s="1"/>
  <c r="X18" s="1"/>
  <c r="T17"/>
  <c r="Q17"/>
  <c r="V17" s="1"/>
  <c r="X17" s="1"/>
  <c r="T16"/>
  <c r="Q16"/>
  <c r="V16" s="1"/>
  <c r="X16" s="1"/>
  <c r="T15"/>
  <c r="Q15"/>
  <c r="V15" s="1"/>
  <c r="X15" s="1"/>
  <c r="T14"/>
  <c r="Q14"/>
  <c r="V14" s="1"/>
  <c r="X14" s="1"/>
  <c r="T13"/>
  <c r="Q13"/>
  <c r="V13" s="1"/>
  <c r="X13" s="1"/>
  <c r="T12" l="1"/>
  <c r="Q12"/>
  <c r="V12" s="1"/>
  <c r="X12" s="1"/>
  <c r="T11" l="1"/>
  <c r="Q11"/>
  <c r="V11" s="1"/>
  <c r="X11" s="1"/>
  <c r="T10"/>
  <c r="Q10"/>
  <c r="V10" s="1"/>
  <c r="X10" s="1"/>
  <c r="T9"/>
  <c r="Q9"/>
  <c r="V9" s="1"/>
  <c r="X9" s="1"/>
  <c r="T7"/>
  <c r="Q7"/>
  <c r="V7" s="1"/>
  <c r="X7" s="1"/>
  <c r="T5" l="1"/>
  <c r="Q5"/>
  <c r="T8"/>
  <c r="Q8"/>
  <c r="V8" s="1"/>
  <c r="X8" s="1"/>
  <c r="T6"/>
  <c r="Q6"/>
  <c r="V6" s="1"/>
  <c r="X6" s="1"/>
  <c r="V5" l="1"/>
  <c r="Q74"/>
  <c r="X5" l="1"/>
  <c r="X74" s="1"/>
  <c r="V74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l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B37" s="1"/>
  <c r="B38" s="1"/>
  <c r="B39" s="1"/>
  <c r="B40" s="1"/>
  <c r="B41" s="1"/>
  <c r="B42" s="1"/>
  <c r="B43" s="1"/>
  <c r="B44" s="1"/>
  <c r="B45" s="1"/>
  <c r="B46" s="1"/>
  <c r="B47" s="1"/>
  <c r="B48" s="1"/>
  <c r="B49" s="1"/>
  <c r="B50" s="1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</calcChain>
</file>

<file path=xl/sharedStrings.xml><?xml version="1.0" encoding="utf-8"?>
<sst xmlns="http://schemas.openxmlformats.org/spreadsheetml/2006/main" count="2297" uniqueCount="444">
  <si>
    <t>ROBINSON INTERNATIONAL ENERGY LIMITED</t>
  </si>
  <si>
    <t>S/N</t>
  </si>
  <si>
    <t>REF NO</t>
  </si>
  <si>
    <t>CCI NO.</t>
  </si>
  <si>
    <t>CCI DATE</t>
  </si>
  <si>
    <t>NXP NO</t>
  </si>
  <si>
    <t>NXP ISSUING BANK</t>
  </si>
  <si>
    <t>EXPORTER NAME</t>
  </si>
  <si>
    <t>CRUDE OIL TYPE</t>
  </si>
  <si>
    <t>HS CODE</t>
  </si>
  <si>
    <t>BILL OF LADING DATE</t>
  </si>
  <si>
    <t>VESSEL</t>
  </si>
  <si>
    <t>TERMINAL</t>
  </si>
  <si>
    <t>DESTINATION</t>
  </si>
  <si>
    <t>POINT OF EXIT</t>
  </si>
  <si>
    <t>QUANTITY IN BARREL</t>
  </si>
  <si>
    <t>FOB Value ($)</t>
  </si>
  <si>
    <t>FOB CURRENCY (CCY)</t>
  </si>
  <si>
    <t>PRICE PER BARREL</t>
  </si>
  <si>
    <t>REPATRIATION DUE DATE</t>
  </si>
  <si>
    <t>DESIGNATED BANK</t>
  </si>
  <si>
    <t>NESS FEE PAYABLE  ($)</t>
  </si>
  <si>
    <t>EXCHANGE RATE APPLIED BY PIA</t>
  </si>
  <si>
    <t>NESS FEE PAYABLE (NAIRA)</t>
  </si>
  <si>
    <t>NESS FEE PAID (NAIRA)</t>
  </si>
  <si>
    <t>RECEIPT DATE</t>
  </si>
  <si>
    <t>RECEIPT NO</t>
  </si>
  <si>
    <t>CITI BANK</t>
  </si>
  <si>
    <t>ADDAX PETROLEUM</t>
  </si>
  <si>
    <t>ANTAN BLEND CRUDE OIL</t>
  </si>
  <si>
    <t>ANTAN</t>
  </si>
  <si>
    <t>SOUTH AFRICA</t>
  </si>
  <si>
    <t>C182</t>
  </si>
  <si>
    <t>MOBIL PRODUCING</t>
  </si>
  <si>
    <t>YOHO BLEND CRUDE OIL</t>
  </si>
  <si>
    <t>YOHO</t>
  </si>
  <si>
    <t>USA</t>
  </si>
  <si>
    <t>UBA</t>
  </si>
  <si>
    <t>SKYE BANK</t>
  </si>
  <si>
    <t>MONI PULO</t>
  </si>
  <si>
    <t>GERMANY</t>
  </si>
  <si>
    <t>WILHELMSHAVEN</t>
  </si>
  <si>
    <t>NNPC</t>
  </si>
  <si>
    <t>OKONO BLEND CRUDE OIL</t>
  </si>
  <si>
    <t>OKONO</t>
  </si>
  <si>
    <t>AGIP ENERGY</t>
  </si>
  <si>
    <t>BRASS</t>
  </si>
  <si>
    <t>NETHERLANDS</t>
  </si>
  <si>
    <t>ROTTERDAM</t>
  </si>
  <si>
    <t>ZENITH BANK</t>
  </si>
  <si>
    <t>NIGERIAN AGIP</t>
  </si>
  <si>
    <t>PORTUGAL</t>
  </si>
  <si>
    <t>CAMEROON</t>
  </si>
  <si>
    <t>CAP LIMBOH</t>
  </si>
  <si>
    <t>OYO BLEND CRUDE OIL</t>
  </si>
  <si>
    <t>OYO</t>
  </si>
  <si>
    <t>ITALY</t>
  </si>
  <si>
    <t>SEAPACIS</t>
  </si>
  <si>
    <t>TRIESTE</t>
  </si>
  <si>
    <t>PHILLIPS OIL</t>
  </si>
  <si>
    <t>PHILADELPHIA</t>
  </si>
  <si>
    <t>BRAZIL</t>
  </si>
  <si>
    <t>ONE OR MORE SAFE PORTS, BRAZIL</t>
  </si>
  <si>
    <t>INDIA</t>
  </si>
  <si>
    <t>SOUNION</t>
  </si>
  <si>
    <t>NOT YET ISSUED</t>
  </si>
  <si>
    <t>SPAIN</t>
  </si>
  <si>
    <t>TENERIFE</t>
  </si>
  <si>
    <t>ROTTERDAM FOR ORDERS</t>
  </si>
  <si>
    <t>GHANA</t>
  </si>
  <si>
    <t>FRANCE</t>
  </si>
  <si>
    <t>SEAVOYAGER</t>
  </si>
  <si>
    <t>UNITED KINGDOM</t>
  </si>
  <si>
    <t>ALLIED ENERGY</t>
  </si>
  <si>
    <t xml:space="preserve">ROTTERDAM </t>
  </si>
  <si>
    <t>SINES</t>
  </si>
  <si>
    <t>MIDWESTERN OIL</t>
  </si>
  <si>
    <t>AUSTRALIA</t>
  </si>
  <si>
    <t>OMSP(S) AUSTRALIA</t>
  </si>
  <si>
    <t>FINNART</t>
  </si>
  <si>
    <t>AUTHENTIC</t>
  </si>
  <si>
    <t>NIPPON PRINCESS</t>
  </si>
  <si>
    <t>PLATFORM PETROLEUM</t>
  </si>
  <si>
    <t>MIDWESTERN OIL &amp; GAS</t>
  </si>
  <si>
    <t>CHINA</t>
  </si>
  <si>
    <t>CAPE BOWEN</t>
  </si>
  <si>
    <t>ABOADZE</t>
  </si>
  <si>
    <t>HUELVA</t>
  </si>
  <si>
    <t>SKS SINNI</t>
  </si>
  <si>
    <t>DURBAN FOR ORDERS</t>
  </si>
  <si>
    <t>LE HAVRE</t>
  </si>
  <si>
    <t>SKS SATILLA</t>
  </si>
  <si>
    <t>DENMARK</t>
  </si>
  <si>
    <t>KALUNDBORG</t>
  </si>
  <si>
    <t>CITI BANK OF NIG</t>
  </si>
  <si>
    <t>SHENLONG SPIRIT</t>
  </si>
  <si>
    <t>GUARANTY TRUST BANK</t>
  </si>
  <si>
    <t>BRASS BLEND CRUDE OIL</t>
  </si>
  <si>
    <t>MOUNT FUJI</t>
  </si>
  <si>
    <t>GENMAR KARA G</t>
  </si>
  <si>
    <t>GTB</t>
  </si>
  <si>
    <t>ALGECIRAS</t>
  </si>
  <si>
    <t>STANBIC IBTC</t>
  </si>
  <si>
    <t>NORDIC FREEDOM</t>
  </si>
  <si>
    <t>EBOK BLEND CRUDE OIL</t>
  </si>
  <si>
    <t>EBOK</t>
  </si>
  <si>
    <t>STANDARD CHARTERED</t>
  </si>
  <si>
    <t>EVGENIA I</t>
  </si>
  <si>
    <t>TETNEY</t>
  </si>
  <si>
    <t>MINERVA DOXA</t>
  </si>
  <si>
    <t>SKS SALUDA</t>
  </si>
  <si>
    <t>VILAMOURA</t>
  </si>
  <si>
    <t>TOLEDO SPIRIT</t>
  </si>
  <si>
    <t>STERLING BANK</t>
  </si>
  <si>
    <t>QUILIANO (ITALY) FOR ORDERS</t>
  </si>
  <si>
    <t>EXPLORER</t>
  </si>
  <si>
    <t>201400010003</t>
  </si>
  <si>
    <t>CENTRAL BANK</t>
  </si>
  <si>
    <t>ORIENTAL ENERGY</t>
  </si>
  <si>
    <t>PRINCIMAR LOYALTY</t>
  </si>
  <si>
    <t>SWEDEN</t>
  </si>
  <si>
    <t>ONE OR MORE SAFE PORT(S)</t>
  </si>
  <si>
    <t>BRASS 434</t>
  </si>
  <si>
    <t>AFRA HAWTHORN</t>
  </si>
  <si>
    <t>PORTLAND, MAINE</t>
  </si>
  <si>
    <t>BRASS 442</t>
  </si>
  <si>
    <t>BRASS 443</t>
  </si>
  <si>
    <t>PHOENIX STRENGTH</t>
  </si>
  <si>
    <t>DELTA TOLMI</t>
  </si>
  <si>
    <t>LAVERA</t>
  </si>
  <si>
    <t>FOS, LAVERA</t>
  </si>
  <si>
    <t>00201400010064</t>
  </si>
  <si>
    <t>201400010071</t>
  </si>
  <si>
    <t>FLEVES</t>
  </si>
  <si>
    <t>OMSP, INDIA</t>
  </si>
  <si>
    <t>BRASS 451</t>
  </si>
  <si>
    <t>BRASS 452</t>
  </si>
  <si>
    <t>BRASS 454</t>
  </si>
  <si>
    <t>BRASS 455</t>
  </si>
  <si>
    <t>BRASS 456</t>
  </si>
  <si>
    <t>201400010122</t>
  </si>
  <si>
    <t>201400010150</t>
  </si>
  <si>
    <t>201400010133</t>
  </si>
  <si>
    <t>BRASS 457</t>
  </si>
  <si>
    <t>BRASS 467</t>
  </si>
  <si>
    <t>BRASS 468</t>
  </si>
  <si>
    <t>BRASS 469</t>
  </si>
  <si>
    <t>YOHO 099</t>
  </si>
  <si>
    <t>Issued with 1(One) CCI for these 2(Two) split inspections</t>
  </si>
  <si>
    <t>201400010165</t>
  </si>
  <si>
    <t>NXP originally advised as NXP no: 201400010148 in our April, 2014 Monthly Report but has been cancelled by Citibank Nig. Ltd as NXP no: 201400010165</t>
  </si>
  <si>
    <t>201400010196</t>
  </si>
  <si>
    <t>201400010224</t>
  </si>
  <si>
    <t>201400010124</t>
  </si>
  <si>
    <t>201400010188</t>
  </si>
  <si>
    <t>201400010189</t>
  </si>
  <si>
    <t>201400010190</t>
  </si>
  <si>
    <t>201400010163</t>
  </si>
  <si>
    <t>201401010069</t>
  </si>
  <si>
    <t>201401010070</t>
  </si>
  <si>
    <t>20149030005</t>
  </si>
  <si>
    <t>EUROVISION</t>
  </si>
  <si>
    <t>NETHERLSNDS</t>
  </si>
  <si>
    <t>BRUNSBUETTEL, GERMANY FOR ORDERS</t>
  </si>
  <si>
    <t>BRASS 478</t>
  </si>
  <si>
    <t>BRASS 479</t>
  </si>
  <si>
    <t>BRASS 480</t>
  </si>
  <si>
    <t>BRASS 481</t>
  </si>
  <si>
    <t>BRASS 482</t>
  </si>
  <si>
    <t>BRASS 483</t>
  </si>
  <si>
    <t>BRASS 484</t>
  </si>
  <si>
    <t>BRASS 485</t>
  </si>
  <si>
    <t>BRASS 486</t>
  </si>
  <si>
    <t>201400020009</t>
  </si>
  <si>
    <t>201400010234</t>
  </si>
  <si>
    <t>201401010072</t>
  </si>
  <si>
    <t>201401010073</t>
  </si>
  <si>
    <t>201400010263</t>
  </si>
  <si>
    <t>201400010264</t>
  </si>
  <si>
    <t>201400010223</t>
  </si>
  <si>
    <t>00201400010224</t>
  </si>
  <si>
    <t>201401010075</t>
  </si>
  <si>
    <t xml:space="preserve">PHILLPS OIL </t>
  </si>
  <si>
    <t>DONAT</t>
  </si>
  <si>
    <t>EVERGLADES</t>
  </si>
  <si>
    <t>YOHO 101</t>
  </si>
  <si>
    <t>EBOK 019</t>
  </si>
  <si>
    <t>EBOK 020</t>
  </si>
  <si>
    <t>ANTAN 103</t>
  </si>
  <si>
    <t>BRASS 488</t>
  </si>
  <si>
    <t>BRASS 489</t>
  </si>
  <si>
    <t>BRASS 490</t>
  </si>
  <si>
    <t>BRASS 491</t>
  </si>
  <si>
    <t>BRASS 495</t>
  </si>
  <si>
    <t>BRASS 496</t>
  </si>
  <si>
    <t>BRASS 497</t>
  </si>
  <si>
    <t>BRASS 498</t>
  </si>
  <si>
    <t>BRASS 499</t>
  </si>
  <si>
    <t>BRASS 500</t>
  </si>
  <si>
    <t>201400010413</t>
  </si>
  <si>
    <t>201400010414</t>
  </si>
  <si>
    <t>AGIP BRASS 067</t>
  </si>
  <si>
    <t>AGIP BRASS 068</t>
  </si>
  <si>
    <t>ENERGY BRASS 035</t>
  </si>
  <si>
    <t>ENERGY BRASS 036</t>
  </si>
  <si>
    <t>ENERGY BRASS 037</t>
  </si>
  <si>
    <t>ORIENTAL EBOK 019</t>
  </si>
  <si>
    <t>ORIENTAL EBOK 020</t>
  </si>
  <si>
    <t>PHILIPS BRASS 044</t>
  </si>
  <si>
    <t>PLATFORM BRASS 103</t>
  </si>
  <si>
    <t>PLATFORM BRASS 104</t>
  </si>
  <si>
    <t>PLATFORM BRASS 105</t>
  </si>
  <si>
    <t>PLATFORM BRASS 106</t>
  </si>
  <si>
    <t>PLATFORM BRASS 107</t>
  </si>
  <si>
    <t>PLATFORM BRASS 108</t>
  </si>
  <si>
    <t>PLATFORM BRASS 109</t>
  </si>
  <si>
    <t>ENERGY BRASS 038</t>
  </si>
  <si>
    <t>AGIP BRASS 070</t>
  </si>
  <si>
    <t>AGIP BRASS 072</t>
  </si>
  <si>
    <t>AGIP BRASS 073</t>
  </si>
  <si>
    <t>ENERGY BRASS 039</t>
  </si>
  <si>
    <t>MOBIL YOHO 040</t>
  </si>
  <si>
    <t>201400010279</t>
  </si>
  <si>
    <t>PHILLIPS BRASS 045</t>
  </si>
  <si>
    <t>NNPC BRASS 159</t>
  </si>
  <si>
    <t>NNPC BRASS 160</t>
  </si>
  <si>
    <t>NNPC BRASS 161</t>
  </si>
  <si>
    <t>NNPC BRASS 162</t>
  </si>
  <si>
    <t>NNPC BRASS 163</t>
  </si>
  <si>
    <t>NNPC BRASS 164</t>
  </si>
  <si>
    <t>NNPC BRASS 165</t>
  </si>
  <si>
    <t>NNPC YOHO 062</t>
  </si>
  <si>
    <t>NNPC OKONO 062</t>
  </si>
  <si>
    <t>NNPC BRASS 166</t>
  </si>
  <si>
    <t>NNPC BRASS 167</t>
  </si>
  <si>
    <t>NNPC ANTAN 052</t>
  </si>
  <si>
    <t>NNPC ANTAN 053</t>
  </si>
  <si>
    <t>40306105C12/4A</t>
  </si>
  <si>
    <t>40306105C12/4B</t>
  </si>
  <si>
    <t>40306105C12/4C</t>
  </si>
  <si>
    <t>40306105C12/4D</t>
  </si>
  <si>
    <t>40306105C12/4E</t>
  </si>
  <si>
    <t>40306105C12/4F</t>
  </si>
  <si>
    <t>40306105C12/4G</t>
  </si>
  <si>
    <t>1405109C48/291</t>
  </si>
  <si>
    <t>40306116C5/11</t>
  </si>
  <si>
    <t>40306105C2/11A</t>
  </si>
  <si>
    <t>40306105C2/11B</t>
  </si>
  <si>
    <t>40306111C17/12A</t>
  </si>
  <si>
    <t>40306111C17/12B</t>
  </si>
  <si>
    <t>201400010312</t>
  </si>
  <si>
    <t>201400010313</t>
  </si>
  <si>
    <t>201400010314</t>
  </si>
  <si>
    <t>201400010252</t>
  </si>
  <si>
    <t>201400020012</t>
  </si>
  <si>
    <t>201409030007</t>
  </si>
  <si>
    <t>AWAITING 3</t>
  </si>
  <si>
    <t>SONANGOL PORTO AMBOIM</t>
  </si>
  <si>
    <t>RIDGEBURY CAPTAIN DROGIN</t>
  </si>
  <si>
    <t>DHT TARGET</t>
  </si>
  <si>
    <t>ALMI VOYAGER</t>
  </si>
  <si>
    <t>BROFJORDEN</t>
  </si>
  <si>
    <t>IMMINGHAN</t>
  </si>
  <si>
    <t>QUILIANO, ITALY FOR ORDERS</t>
  </si>
  <si>
    <t>BRASS 501</t>
  </si>
  <si>
    <t>BRASS 502</t>
  </si>
  <si>
    <t>BRASS 503</t>
  </si>
  <si>
    <t>BRASS 504</t>
  </si>
  <si>
    <t>BRASS 505</t>
  </si>
  <si>
    <t>BRASS 506</t>
  </si>
  <si>
    <t>BRASS 507</t>
  </si>
  <si>
    <t>BRASS 508</t>
  </si>
  <si>
    <t>BRASS 509</t>
  </si>
  <si>
    <t>BRASS 510</t>
  </si>
  <si>
    <t>BRASS 511</t>
  </si>
  <si>
    <t>BRASS 512</t>
  </si>
  <si>
    <t>BRASS 513</t>
  </si>
  <si>
    <t>BRASS 514</t>
  </si>
  <si>
    <t>BRASS 515</t>
  </si>
  <si>
    <t>BRASS 516</t>
  </si>
  <si>
    <t>BRASS 517</t>
  </si>
  <si>
    <t>BRASS 518</t>
  </si>
  <si>
    <t>BRASS 519</t>
  </si>
  <si>
    <t>YOHO 103</t>
  </si>
  <si>
    <t>YOHO 104</t>
  </si>
  <si>
    <t>YOHO 105</t>
  </si>
  <si>
    <t>OKONO 076</t>
  </si>
  <si>
    <t>EBOK 021</t>
  </si>
  <si>
    <t>ANTAN 108</t>
  </si>
  <si>
    <t>ANTAN 109</t>
  </si>
  <si>
    <t>201400010512</t>
  </si>
  <si>
    <t>1405109C48/ 291</t>
  </si>
  <si>
    <t>201400010321</t>
  </si>
  <si>
    <t>AGIP BRASS 069</t>
  </si>
  <si>
    <t>AGIP BRASS 071</t>
  </si>
  <si>
    <t>201401010078</t>
  </si>
  <si>
    <t>201401010079</t>
  </si>
  <si>
    <t>ORIENTAL EBOK 021</t>
  </si>
  <si>
    <t>201402050235</t>
  </si>
  <si>
    <t>MIDWESTERN BRASS 041</t>
  </si>
  <si>
    <t>PHILLIPS BRASS 046</t>
  </si>
  <si>
    <t>PHILLIPS BRASS 047</t>
  </si>
  <si>
    <t>20140205023 5</t>
  </si>
  <si>
    <t>201402050293</t>
  </si>
  <si>
    <t>MIDWESTERN BRASS 042</t>
  </si>
  <si>
    <t>AGIP BRASS 074</t>
  </si>
  <si>
    <t>ENERGY BRASS 040</t>
  </si>
  <si>
    <t>AGIP BRASS 075</t>
  </si>
  <si>
    <t>201400010084</t>
  </si>
  <si>
    <t>NXP originally advised as NXP no: 201400010088 in our March, 2014 Monthly Report but has been cancelled by Citibank Nig. Ltd as NXP no: 201400010084</t>
  </si>
  <si>
    <t>PHILLIPS BRASS 043</t>
  </si>
  <si>
    <t>PLATFORM BRASS 110</t>
  </si>
  <si>
    <t>PLATFORM BRASS 111</t>
  </si>
  <si>
    <t>PLATFORM BRASS 112</t>
  </si>
  <si>
    <t>00201400010312</t>
  </si>
  <si>
    <t>AGIP BRASS 066</t>
  </si>
  <si>
    <t>NNPC YOHO 063</t>
  </si>
  <si>
    <t>NNPC OKONO 063</t>
  </si>
  <si>
    <t>NNPC BRASS 168</t>
  </si>
  <si>
    <t>NNPC YOHO 064</t>
  </si>
  <si>
    <t>NNPC BRASS 169</t>
  </si>
  <si>
    <t>NNPC BRASS 170</t>
  </si>
  <si>
    <t>201400010285</t>
  </si>
  <si>
    <t>201401010080</t>
  </si>
  <si>
    <t>AWAITING 01</t>
  </si>
  <si>
    <t>40306109C48/301</t>
  </si>
  <si>
    <t>40306115C38/81</t>
  </si>
  <si>
    <t>41607105C38/82</t>
  </si>
  <si>
    <t>201400010541</t>
  </si>
  <si>
    <t>AWAITING 02</t>
  </si>
  <si>
    <t>41607109C48/308</t>
  </si>
  <si>
    <t>201400010309</t>
  </si>
  <si>
    <t>41607105C38/84A</t>
  </si>
  <si>
    <t>41607105C38/84B</t>
  </si>
  <si>
    <t>AWAITING 03</t>
  </si>
  <si>
    <t xml:space="preserve">MIDWESTERN OIL </t>
  </si>
  <si>
    <t>RATNA SHRADHA</t>
  </si>
  <si>
    <t>AEGEAN DIGNITY</t>
  </si>
  <si>
    <t>KAROLOS</t>
  </si>
  <si>
    <t>SOPHIE SCHULTE</t>
  </si>
  <si>
    <t>ARION</t>
  </si>
  <si>
    <t>PRINCIMAR TRUTH</t>
  </si>
  <si>
    <t>ONE OR MORE SAFE PORT(S), CHINA</t>
  </si>
  <si>
    <t>FINNART UK FOR ORDERS</t>
  </si>
  <si>
    <t>BRASS 520</t>
  </si>
  <si>
    <t>BRASS 521</t>
  </si>
  <si>
    <t>BRASS 522</t>
  </si>
  <si>
    <t>YOHO 106</t>
  </si>
  <si>
    <t>OKONO 077</t>
  </si>
  <si>
    <t>BRASS 523</t>
  </si>
  <si>
    <t>EBOK 022</t>
  </si>
  <si>
    <t>BRASS 524</t>
  </si>
  <si>
    <t>BRASS 525</t>
  </si>
  <si>
    <t>BRASS 526</t>
  </si>
  <si>
    <t>BRASS 527</t>
  </si>
  <si>
    <t>BRASS 528</t>
  </si>
  <si>
    <t>BRASS 529</t>
  </si>
  <si>
    <t>BRASS 530</t>
  </si>
  <si>
    <t>BRASS 531</t>
  </si>
  <si>
    <t>YOHO 107</t>
  </si>
  <si>
    <t>OYO 014</t>
  </si>
  <si>
    <t>BRASS 532</t>
  </si>
  <si>
    <t>BRASS 533</t>
  </si>
  <si>
    <t>BRASS 534</t>
  </si>
  <si>
    <t>MOBIL YOHO 041</t>
  </si>
  <si>
    <t>ORIENTAL EBOK 022</t>
  </si>
  <si>
    <t>PLATFORM BRASS 113</t>
  </si>
  <si>
    <t>PLATFORM BRASS 114</t>
  </si>
  <si>
    <t>PLATFORM BRASS 115</t>
  </si>
  <si>
    <t>PLATFORM BRASS 116</t>
  </si>
  <si>
    <t>ADDAX ANTAN 036</t>
  </si>
  <si>
    <t>ADDAX BRASS 012</t>
  </si>
  <si>
    <t>NNPC BRASS 174</t>
  </si>
  <si>
    <t>NNPC BRASS 175</t>
  </si>
  <si>
    <t>NNPC BRASS 176</t>
  </si>
  <si>
    <t>201400020015</t>
  </si>
  <si>
    <t>AWIATING A</t>
  </si>
  <si>
    <t>AWIATING B</t>
  </si>
  <si>
    <t>AWIATING C</t>
  </si>
  <si>
    <t>AWIATING D1</t>
  </si>
  <si>
    <t>AWIATING E</t>
  </si>
  <si>
    <t>AWIATING F</t>
  </si>
  <si>
    <t>41607105C79/1C</t>
  </si>
  <si>
    <t>41607105C79/1D</t>
  </si>
  <si>
    <t>41607105C79/1E</t>
  </si>
  <si>
    <t>AWIATING G1</t>
  </si>
  <si>
    <t>20149030009</t>
  </si>
  <si>
    <t>AWIATING H</t>
  </si>
  <si>
    <t>AWIATING I</t>
  </si>
  <si>
    <t>AWIATING J</t>
  </si>
  <si>
    <t>AWIATING K</t>
  </si>
  <si>
    <t>AWIATING L</t>
  </si>
  <si>
    <t>AWIATING M</t>
  </si>
  <si>
    <t>AWIATING N</t>
  </si>
  <si>
    <t>AWIATING P</t>
  </si>
  <si>
    <t>AWIATING Q</t>
  </si>
  <si>
    <t>AWIATING R</t>
  </si>
  <si>
    <t>AWIATING S</t>
  </si>
  <si>
    <t>AWIATING T</t>
  </si>
  <si>
    <t>MARAN CASSIOPEIA</t>
  </si>
  <si>
    <t>AEGEAN NAVIGATOR</t>
  </si>
  <si>
    <t>MONTE TOLEDO</t>
  </si>
  <si>
    <t>GEORGIOS</t>
  </si>
  <si>
    <t>YASA SOUTHERN CROSS</t>
  </si>
  <si>
    <t>FRONT ARIAKE</t>
  </si>
  <si>
    <t>MALAYSIA</t>
  </si>
  <si>
    <t>SPAIN FOR ORDERS</t>
  </si>
  <si>
    <t>ROTTERDAM THE NETHERLANDS FOR ORDERS</t>
  </si>
  <si>
    <t>PORTUGAL FOR ORDERS</t>
  </si>
  <si>
    <t>RELIANCE TERMINAL SIKKA PORT</t>
  </si>
  <si>
    <t>ANTAN 110</t>
  </si>
  <si>
    <t>ANTAN 111</t>
  </si>
  <si>
    <t>ANTAN 112</t>
  </si>
  <si>
    <t>ANTAN 113</t>
  </si>
  <si>
    <t>BRASS 535</t>
  </si>
  <si>
    <t>BRASS 536</t>
  </si>
  <si>
    <t>BRASS 537</t>
  </si>
  <si>
    <t>BRASS 538</t>
  </si>
  <si>
    <t>BRASS 539</t>
  </si>
  <si>
    <t>BRASS 540</t>
  </si>
  <si>
    <t>BRASS 541</t>
  </si>
  <si>
    <t>BRASS 542</t>
  </si>
  <si>
    <t>BRASS 543</t>
  </si>
  <si>
    <t>BRASS 544</t>
  </si>
  <si>
    <t>BRASS 545</t>
  </si>
  <si>
    <t>BRASS 546</t>
  </si>
  <si>
    <t>BRASS 547</t>
  </si>
  <si>
    <t>BRASS 548</t>
  </si>
  <si>
    <t>BRASS 549</t>
  </si>
  <si>
    <t>BRASS 550</t>
  </si>
  <si>
    <t>BRASS 551</t>
  </si>
  <si>
    <t>BRASS 552</t>
  </si>
  <si>
    <t>BRASS 553</t>
  </si>
  <si>
    <t>BRASS 554</t>
  </si>
  <si>
    <t>YOHO 108</t>
  </si>
  <si>
    <t>YOHO 109</t>
  </si>
  <si>
    <t>YOHO 110</t>
  </si>
  <si>
    <t>EBOK 023</t>
  </si>
  <si>
    <t>OKONO 078</t>
  </si>
  <si>
    <t>TOTAL LIFTED QTY WAS PREVIOUSLY REPORTED IN THE MONTH OF JUNE, 2014 AS 949,018 BBLS ON THE B/L  NO: ADX/359/ANT/487 WITH SERIAL NO: 085 BUT HAS BEEN RECALCULATED AS A RUSULT OF THE APPLICATION OF WRONG METER FACTOR AND AGREED BY ALL PARTIES TO BE 949,268 BBLS IN B/L NO: ADX/359/ANT/487 WITH SERIAL NO: 089</t>
  </si>
  <si>
    <t>COMPREHENSIVE INSPECTION REPORT FOR THE PERIOD OF JULY 2014 TO SEPTEMBERT 2014</t>
  </si>
  <si>
    <t>COMPLIANT INSPECTION REPORT FOR THE PERIOD OF JULY 2014 TO SEPTEMBER 2014</t>
  </si>
  <si>
    <t>NON-COMPLIANT INSPECTION REPORT FOR THE PERIOD OF JULY 2014 TO SEPTEMBER 2014</t>
  </si>
  <si>
    <t>REMARK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</si>
</sst>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0.0000"/>
    <numFmt numFmtId="165" formatCode="0000000"/>
    <numFmt numFmtId="166" formatCode="00000000000000"/>
    <numFmt numFmtId="167" formatCode="0.000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6"/>
      <name val="Calibri"/>
      <family val="2"/>
      <scheme val="minor"/>
    </font>
    <font>
      <sz val="5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1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2" fillId="2" borderId="1" applyNumberFormat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3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 wrapText="1"/>
    </xf>
    <xf numFmtId="164" fontId="6" fillId="0" borderId="4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6" fillId="0" borderId="4" xfId="0" applyNumberFormat="1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 wrapText="1"/>
    </xf>
    <xf numFmtId="0" fontId="6" fillId="0" borderId="5" xfId="0" applyFont="1" applyFill="1" applyBorder="1" applyAlignment="1">
      <alignment horizontal="center" wrapText="1"/>
    </xf>
    <xf numFmtId="1" fontId="6" fillId="0" borderId="5" xfId="0" applyNumberFormat="1" applyFont="1" applyFill="1" applyBorder="1" applyAlignment="1">
      <alignment horizontal="center" wrapText="1"/>
    </xf>
    <xf numFmtId="0" fontId="6" fillId="0" borderId="5" xfId="0" applyFont="1" applyFill="1" applyBorder="1" applyAlignment="1">
      <alignment horizontal="center" vertical="center" wrapText="1"/>
    </xf>
    <xf numFmtId="1" fontId="6" fillId="0" borderId="6" xfId="0" applyNumberFormat="1" applyFont="1" applyFill="1" applyBorder="1" applyAlignment="1">
      <alignment horizontal="center" wrapText="1"/>
    </xf>
    <xf numFmtId="0" fontId="6" fillId="0" borderId="6" xfId="0" applyFont="1" applyFill="1" applyBorder="1" applyAlignment="1">
      <alignment horizontal="center" wrapText="1"/>
    </xf>
    <xf numFmtId="0" fontId="6" fillId="0" borderId="6" xfId="0" applyFont="1" applyFill="1" applyBorder="1" applyAlignment="1">
      <alignment horizontal="center" vertical="center" wrapText="1"/>
    </xf>
    <xf numFmtId="14" fontId="6" fillId="0" borderId="5" xfId="0" applyNumberFormat="1" applyFont="1" applyFill="1" applyBorder="1" applyAlignment="1">
      <alignment horizontal="center" wrapText="1"/>
    </xf>
    <xf numFmtId="0" fontId="8" fillId="0" borderId="0" xfId="0" applyFont="1" applyFill="1"/>
    <xf numFmtId="0" fontId="8" fillId="0" borderId="0" xfId="0" applyFont="1" applyFill="1" applyAlignment="1">
      <alignment horizontal="center"/>
    </xf>
    <xf numFmtId="0" fontId="8" fillId="0" borderId="0" xfId="0" applyFont="1" applyFill="1" applyAlignment="1">
      <alignment horizontal="left"/>
    </xf>
    <xf numFmtId="0" fontId="9" fillId="0" borderId="0" xfId="0" applyFont="1" applyFill="1" applyAlignment="1">
      <alignment horizontal="left"/>
    </xf>
    <xf numFmtId="0" fontId="8" fillId="0" borderId="0" xfId="0" applyFont="1" applyFill="1" applyAlignment="1">
      <alignment horizontal="center" wrapText="1"/>
    </xf>
    <xf numFmtId="0" fontId="6" fillId="0" borderId="0" xfId="0" applyFont="1" applyFill="1" applyAlignment="1">
      <alignment horizontal="center" wrapText="1"/>
    </xf>
    <xf numFmtId="164" fontId="8" fillId="0" borderId="0" xfId="0" applyNumberFormat="1" applyFont="1" applyFill="1" applyAlignment="1">
      <alignment horizontal="center"/>
    </xf>
    <xf numFmtId="0" fontId="10" fillId="0" borderId="0" xfId="0" applyFont="1" applyFill="1"/>
    <xf numFmtId="0" fontId="11" fillId="0" borderId="2" xfId="2" applyFont="1" applyFill="1" applyBorder="1" applyAlignment="1">
      <alignment horizontal="center" vertical="center" wrapText="1"/>
    </xf>
    <xf numFmtId="0" fontId="11" fillId="0" borderId="3" xfId="2" applyFont="1" applyFill="1" applyBorder="1" applyAlignment="1">
      <alignment horizontal="center" vertical="center" wrapText="1"/>
    </xf>
    <xf numFmtId="49" fontId="11" fillId="0" borderId="3" xfId="2" applyNumberFormat="1" applyFont="1" applyFill="1" applyBorder="1" applyAlignment="1">
      <alignment horizontal="center" vertical="center"/>
    </xf>
    <xf numFmtId="49" fontId="11" fillId="0" borderId="3" xfId="2" applyNumberFormat="1" applyFont="1" applyFill="1" applyBorder="1" applyAlignment="1">
      <alignment horizontal="center" vertical="center" wrapText="1"/>
    </xf>
    <xf numFmtId="164" fontId="11" fillId="0" borderId="3" xfId="2" applyNumberFormat="1" applyFont="1" applyFill="1" applyBorder="1" applyAlignment="1">
      <alignment horizontal="center" vertical="center" wrapText="1"/>
    </xf>
    <xf numFmtId="0" fontId="6" fillId="0" borderId="5" xfId="0" applyFont="1" applyFill="1" applyBorder="1"/>
    <xf numFmtId="0" fontId="6" fillId="0" borderId="5" xfId="0" applyFont="1" applyFill="1" applyBorder="1" applyAlignment="1">
      <alignment horizontal="center"/>
    </xf>
    <xf numFmtId="14" fontId="6" fillId="0" borderId="4" xfId="0" applyNumberFormat="1" applyFont="1" applyFill="1" applyBorder="1" applyAlignment="1">
      <alignment horizontal="center" wrapText="1"/>
    </xf>
    <xf numFmtId="49" fontId="6" fillId="0" borderId="4" xfId="0" applyNumberFormat="1" applyFont="1" applyFill="1" applyBorder="1" applyAlignment="1">
      <alignment horizontal="center" wrapText="1"/>
    </xf>
    <xf numFmtId="164" fontId="6" fillId="0" borderId="5" xfId="0" applyNumberFormat="1" applyFont="1" applyFill="1" applyBorder="1" applyAlignment="1">
      <alignment horizontal="center" wrapText="1"/>
    </xf>
    <xf numFmtId="0" fontId="6" fillId="0" borderId="4" xfId="0" applyFont="1" applyFill="1" applyBorder="1" applyAlignment="1">
      <alignment horizontal="center" wrapText="1"/>
    </xf>
    <xf numFmtId="3" fontId="6" fillId="0" borderId="4" xfId="0" applyNumberFormat="1" applyFont="1" applyFill="1" applyBorder="1"/>
    <xf numFmtId="4" fontId="6" fillId="0" borderId="5" xfId="0" applyNumberFormat="1" applyFont="1" applyFill="1" applyBorder="1" applyAlignment="1">
      <alignment horizontal="right"/>
    </xf>
    <xf numFmtId="4" fontId="6" fillId="0" borderId="5" xfId="0" applyNumberFormat="1" applyFont="1" applyFill="1" applyBorder="1" applyAlignment="1">
      <alignment horizontal="center"/>
    </xf>
    <xf numFmtId="14" fontId="6" fillId="0" borderId="5" xfId="0" applyNumberFormat="1" applyFont="1" applyFill="1" applyBorder="1" applyAlignment="1">
      <alignment horizontal="center"/>
    </xf>
    <xf numFmtId="4" fontId="6" fillId="0" borderId="5" xfId="0" applyNumberFormat="1" applyFont="1" applyFill="1" applyBorder="1"/>
    <xf numFmtId="43" fontId="6" fillId="0" borderId="6" xfId="1" applyFont="1" applyFill="1" applyBorder="1"/>
    <xf numFmtId="0" fontId="6" fillId="0" borderId="11" xfId="0" applyFont="1" applyFill="1" applyBorder="1" applyAlignment="1">
      <alignment horizontal="center" wrapText="1"/>
    </xf>
    <xf numFmtId="164" fontId="6" fillId="0" borderId="5" xfId="4" applyNumberFormat="1" applyFont="1" applyFill="1" applyBorder="1" applyAlignment="1">
      <alignment horizontal="center"/>
    </xf>
    <xf numFmtId="43" fontId="6" fillId="0" borderId="5" xfId="1" applyFont="1" applyFill="1" applyBorder="1"/>
    <xf numFmtId="165" fontId="6" fillId="0" borderId="5" xfId="0" applyNumberFormat="1" applyFont="1" applyFill="1" applyBorder="1" applyAlignment="1">
      <alignment horizontal="center"/>
    </xf>
    <xf numFmtId="14" fontId="6" fillId="0" borderId="5" xfId="0" applyNumberFormat="1" applyFont="1" applyFill="1" applyBorder="1" applyAlignment="1">
      <alignment horizontal="center" vertical="center" wrapText="1"/>
    </xf>
    <xf numFmtId="0" fontId="6" fillId="0" borderId="5" xfId="4" applyNumberFormat="1" applyFont="1" applyFill="1" applyBorder="1" applyAlignment="1">
      <alignment horizontal="center"/>
    </xf>
    <xf numFmtId="2" fontId="6" fillId="0" borderId="5" xfId="0" applyNumberFormat="1" applyFont="1" applyFill="1" applyBorder="1"/>
    <xf numFmtId="3" fontId="6" fillId="0" borderId="6" xfId="0" applyNumberFormat="1" applyFont="1" applyFill="1" applyBorder="1" applyAlignment="1" applyProtection="1">
      <protection locked="0"/>
    </xf>
    <xf numFmtId="4" fontId="6" fillId="0" borderId="6" xfId="0" applyNumberFormat="1" applyFont="1" applyFill="1" applyBorder="1" applyAlignment="1">
      <alignment horizontal="right"/>
    </xf>
    <xf numFmtId="164" fontId="6" fillId="0" borderId="4" xfId="4" applyNumberFormat="1" applyFont="1" applyFill="1" applyBorder="1" applyAlignment="1">
      <alignment horizontal="center"/>
    </xf>
    <xf numFmtId="4" fontId="6" fillId="0" borderId="6" xfId="0" applyNumberFormat="1" applyFont="1" applyFill="1" applyBorder="1"/>
    <xf numFmtId="2" fontId="6" fillId="0" borderId="6" xfId="0" applyNumberFormat="1" applyFont="1" applyFill="1" applyBorder="1"/>
    <xf numFmtId="0" fontId="6" fillId="0" borderId="4" xfId="0" applyFont="1" applyFill="1" applyBorder="1" applyAlignment="1">
      <alignment horizontal="center" vertical="center" wrapText="1"/>
    </xf>
    <xf numFmtId="3" fontId="6" fillId="0" borderId="5" xfId="0" applyNumberFormat="1" applyFont="1" applyFill="1" applyBorder="1"/>
    <xf numFmtId="0" fontId="6" fillId="0" borderId="6" xfId="0" applyFont="1" applyFill="1" applyBorder="1"/>
    <xf numFmtId="14" fontId="6" fillId="0" borderId="6" xfId="0" applyNumberFormat="1" applyFont="1" applyFill="1" applyBorder="1" applyAlignment="1">
      <alignment horizontal="center" vertical="center" wrapText="1"/>
    </xf>
    <xf numFmtId="14" fontId="6" fillId="0" borderId="6" xfId="0" applyNumberFormat="1" applyFont="1" applyFill="1" applyBorder="1" applyAlignment="1">
      <alignment horizontal="center" wrapText="1"/>
    </xf>
    <xf numFmtId="164" fontId="6" fillId="0" borderId="6" xfId="0" applyNumberFormat="1" applyFont="1" applyFill="1" applyBorder="1" applyAlignment="1">
      <alignment horizontal="center" wrapText="1"/>
    </xf>
    <xf numFmtId="14" fontId="6" fillId="0" borderId="8" xfId="0" applyNumberFormat="1" applyFont="1" applyFill="1" applyBorder="1" applyAlignment="1">
      <alignment horizontal="center" wrapText="1"/>
    </xf>
    <xf numFmtId="0" fontId="6" fillId="0" borderId="8" xfId="0" applyFont="1" applyFill="1" applyBorder="1" applyAlignment="1">
      <alignment horizontal="center" wrapText="1"/>
    </xf>
    <xf numFmtId="0" fontId="6" fillId="0" borderId="12" xfId="0" applyFont="1" applyFill="1" applyBorder="1" applyAlignment="1">
      <alignment horizontal="center" wrapText="1"/>
    </xf>
    <xf numFmtId="49" fontId="6" fillId="0" borderId="5" xfId="0" applyNumberFormat="1" applyFont="1" applyFill="1" applyBorder="1" applyAlignment="1">
      <alignment horizontal="center" wrapText="1"/>
    </xf>
    <xf numFmtId="3" fontId="11" fillId="0" borderId="9" xfId="0" applyNumberFormat="1" applyFont="1" applyFill="1" applyBorder="1"/>
    <xf numFmtId="43" fontId="11" fillId="0" borderId="9" xfId="1" applyFont="1" applyFill="1" applyBorder="1"/>
    <xf numFmtId="0" fontId="11" fillId="0" borderId="0" xfId="0" applyFont="1" applyFill="1"/>
    <xf numFmtId="164" fontId="11" fillId="0" borderId="0" xfId="0" applyNumberFormat="1" applyFont="1" applyFill="1" applyAlignment="1">
      <alignment horizontal="center"/>
    </xf>
    <xf numFmtId="0" fontId="11" fillId="0" borderId="0" xfId="0" applyFont="1" applyFill="1" applyAlignment="1">
      <alignment horizontal="left"/>
    </xf>
    <xf numFmtId="0" fontId="11" fillId="0" borderId="0" xfId="0" applyFont="1" applyFill="1" applyAlignment="1">
      <alignment horizontal="center"/>
    </xf>
    <xf numFmtId="0" fontId="11" fillId="0" borderId="13" xfId="2" applyFont="1" applyFill="1" applyBorder="1" applyAlignment="1">
      <alignment horizontal="center" vertical="center" wrapText="1"/>
    </xf>
    <xf numFmtId="0" fontId="8" fillId="0" borderId="5" xfId="0" applyFont="1" applyFill="1" applyBorder="1"/>
    <xf numFmtId="0" fontId="6" fillId="0" borderId="4" xfId="0" applyFont="1" applyFill="1" applyBorder="1"/>
    <xf numFmtId="164" fontId="6" fillId="0" borderId="4" xfId="0" applyNumberFormat="1" applyFont="1" applyFill="1" applyBorder="1" applyAlignment="1">
      <alignment horizontal="center" wrapText="1"/>
    </xf>
    <xf numFmtId="4" fontId="6" fillId="0" borderId="4" xfId="0" applyNumberFormat="1" applyFont="1" applyFill="1" applyBorder="1" applyAlignment="1">
      <alignment horizontal="right"/>
    </xf>
    <xf numFmtId="4" fontId="6" fillId="0" borderId="4" xfId="0" applyNumberFormat="1" applyFont="1" applyFill="1" applyBorder="1" applyAlignment="1">
      <alignment horizontal="center"/>
    </xf>
    <xf numFmtId="14" fontId="6" fillId="0" borderId="4" xfId="0" applyNumberFormat="1" applyFont="1" applyFill="1" applyBorder="1" applyAlignment="1">
      <alignment horizontal="center"/>
    </xf>
    <xf numFmtId="4" fontId="6" fillId="0" borderId="4" xfId="0" applyNumberFormat="1" applyFont="1" applyFill="1" applyBorder="1"/>
    <xf numFmtId="0" fontId="6" fillId="0" borderId="4" xfId="0" applyFont="1" applyFill="1" applyBorder="1" applyAlignment="1">
      <alignment horizontal="center"/>
    </xf>
    <xf numFmtId="43" fontId="6" fillId="0" borderId="8" xfId="1" applyFont="1" applyFill="1" applyBorder="1"/>
    <xf numFmtId="0" fontId="8" fillId="0" borderId="4" xfId="0" applyFont="1" applyFill="1" applyBorder="1"/>
    <xf numFmtId="164" fontId="6" fillId="0" borderId="5" xfId="0" applyNumberFormat="1" applyFont="1" applyFill="1" applyBorder="1" applyAlignment="1">
      <alignment horizontal="center"/>
    </xf>
    <xf numFmtId="3" fontId="6" fillId="0" borderId="5" xfId="0" applyNumberFormat="1" applyFont="1" applyFill="1" applyBorder="1" applyAlignment="1" applyProtection="1">
      <protection locked="0"/>
    </xf>
    <xf numFmtId="3" fontId="6" fillId="0" borderId="5" xfId="0" applyNumberFormat="1" applyFont="1" applyFill="1" applyBorder="1" applyAlignment="1">
      <alignment horizontal="center" wrapText="1"/>
    </xf>
    <xf numFmtId="167" fontId="6" fillId="0" borderId="5" xfId="4" applyNumberFormat="1" applyFont="1" applyFill="1" applyBorder="1" applyAlignment="1">
      <alignment horizontal="center"/>
    </xf>
    <xf numFmtId="0" fontId="6" fillId="0" borderId="7" xfId="0" applyFont="1" applyFill="1" applyBorder="1" applyAlignment="1">
      <alignment horizontal="center" wrapText="1"/>
    </xf>
    <xf numFmtId="43" fontId="6" fillId="0" borderId="10" xfId="1" applyFont="1" applyFill="1" applyBorder="1"/>
    <xf numFmtId="166" fontId="6" fillId="0" borderId="4" xfId="0" applyNumberFormat="1" applyFont="1" applyFill="1" applyBorder="1" applyAlignment="1">
      <alignment horizontal="center"/>
    </xf>
    <xf numFmtId="43" fontId="6" fillId="0" borderId="4" xfId="1" applyFont="1" applyFill="1" applyBorder="1"/>
    <xf numFmtId="165" fontId="6" fillId="0" borderId="4" xfId="0" applyNumberFormat="1" applyFont="1" applyFill="1" applyBorder="1" applyAlignment="1">
      <alignment horizontal="center"/>
    </xf>
    <xf numFmtId="2" fontId="11" fillId="0" borderId="9" xfId="1" applyNumberFormat="1" applyFont="1" applyFill="1" applyBorder="1"/>
    <xf numFmtId="0" fontId="6" fillId="0" borderId="5" xfId="0" applyFont="1" applyFill="1" applyBorder="1" applyAlignment="1">
      <alignment horizontal="center" vertical="center" wrapText="1"/>
    </xf>
  </cellXfs>
  <cellStyles count="13">
    <cellStyle name="Check Cell" xfId="2" builtinId="23"/>
    <cellStyle name="Comma" xfId="1" builtinId="3"/>
    <cellStyle name="Comma 11" xfId="3"/>
    <cellStyle name="Comma 13" xfId="6"/>
    <cellStyle name="Comma 14" xfId="7"/>
    <cellStyle name="Comma 15" xfId="8"/>
    <cellStyle name="Comma 2" xfId="4"/>
    <cellStyle name="Comma 2 2" xfId="9"/>
    <cellStyle name="Comma 2 3" xfId="5"/>
    <cellStyle name="Comma 6" xfId="10"/>
    <cellStyle name="Comma 7" xfId="11"/>
    <cellStyle name="Comma 8" xfId="12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1</xdr:row>
      <xdr:rowOff>38099</xdr:rowOff>
    </xdr:from>
    <xdr:to>
      <xdr:col>3</xdr:col>
      <xdr:colOff>438150</xdr:colOff>
      <xdr:row>2</xdr:row>
      <xdr:rowOff>142875</xdr:rowOff>
    </xdr:to>
    <xdr:pic>
      <xdr:nvPicPr>
        <xdr:cNvPr id="2" name="Picture 1" descr="C:\Documents and Settings\Administrator.MASTER\Desktop\rilogo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38200" y="228599"/>
          <a:ext cx="400050" cy="3048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1</xdr:row>
      <xdr:rowOff>38099</xdr:rowOff>
    </xdr:from>
    <xdr:to>
      <xdr:col>3</xdr:col>
      <xdr:colOff>457200</xdr:colOff>
      <xdr:row>2</xdr:row>
      <xdr:rowOff>200025</xdr:rowOff>
    </xdr:to>
    <xdr:pic>
      <xdr:nvPicPr>
        <xdr:cNvPr id="2" name="Picture 1" descr="C:\Documents and Settings\Administrator.MASTER\Desktop\rilogo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62025" y="228599"/>
          <a:ext cx="419100" cy="3619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1</xdr:row>
      <xdr:rowOff>38099</xdr:rowOff>
    </xdr:from>
    <xdr:to>
      <xdr:col>3</xdr:col>
      <xdr:colOff>438150</xdr:colOff>
      <xdr:row>2</xdr:row>
      <xdr:rowOff>142875</xdr:rowOff>
    </xdr:to>
    <xdr:pic>
      <xdr:nvPicPr>
        <xdr:cNvPr id="2" name="Picture 1" descr="C:\Documents and Settings\Administrator.MASTER\Desktop\rilogo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14400" y="228599"/>
          <a:ext cx="400050" cy="3048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AB80"/>
  <sheetViews>
    <sheetView tabSelected="1" workbookViewId="0">
      <selection activeCell="F2" sqref="F2"/>
    </sheetView>
  </sheetViews>
  <sheetFormatPr defaultRowHeight="15"/>
  <cols>
    <col min="1" max="1" width="3.7109375" customWidth="1"/>
    <col min="2" max="2" width="4.140625" customWidth="1"/>
    <col min="3" max="3" width="5.28515625" style="3" customWidth="1"/>
    <col min="4" max="4" width="7.42578125" style="3" customWidth="1"/>
    <col min="5" max="5" width="5.85546875" style="3" customWidth="1"/>
    <col min="6" max="6" width="10.42578125" style="3" customWidth="1"/>
    <col min="7" max="7" width="9.5703125" style="3" customWidth="1"/>
    <col min="8" max="8" width="8" style="3" customWidth="1"/>
    <col min="9" max="9" width="9.140625" style="3" customWidth="1"/>
    <col min="10" max="10" width="5.7109375" customWidth="1"/>
    <col min="11" max="11" width="6.28515625" style="1" customWidth="1"/>
    <col min="12" max="12" width="8.140625" style="3" customWidth="1"/>
    <col min="13" max="13" width="5.42578125" style="3" customWidth="1"/>
    <col min="14" max="14" width="8.42578125" style="5" customWidth="1"/>
    <col min="15" max="15" width="10.140625" style="6" customWidth="1"/>
    <col min="16" max="16" width="8.42578125" customWidth="1"/>
    <col min="17" max="17" width="13.5703125" customWidth="1"/>
    <col min="18" max="18" width="4.5703125" customWidth="1"/>
    <col min="19" max="19" width="6.5703125" style="8" customWidth="1"/>
    <col min="20" max="20" width="5.7109375" style="1" customWidth="1"/>
    <col min="21" max="21" width="7.140625" style="3" customWidth="1"/>
    <col min="22" max="22" width="10.42578125" customWidth="1"/>
    <col min="23" max="23" width="5.5703125" customWidth="1"/>
    <col min="24" max="24" width="12.140625" customWidth="1"/>
    <col min="25" max="25" width="11.85546875" customWidth="1"/>
    <col min="26" max="26" width="5.5703125" customWidth="1"/>
    <col min="27" max="27" width="6.42578125" customWidth="1"/>
    <col min="28" max="28" width="5.5703125" customWidth="1"/>
  </cols>
  <sheetData>
    <row r="2" spans="2:28" ht="15.75">
      <c r="B2" s="18"/>
      <c r="C2" s="19"/>
      <c r="D2" s="19"/>
      <c r="E2" s="19"/>
      <c r="F2" s="19"/>
      <c r="G2" s="19"/>
      <c r="H2" s="19"/>
      <c r="I2" s="19"/>
      <c r="J2" s="18"/>
      <c r="K2" s="20"/>
      <c r="L2" s="21" t="s">
        <v>0</v>
      </c>
      <c r="M2" s="19"/>
      <c r="N2" s="22"/>
      <c r="O2" s="23"/>
      <c r="P2" s="18"/>
      <c r="Q2" s="18"/>
      <c r="R2" s="18"/>
      <c r="S2" s="24"/>
      <c r="T2" s="20"/>
      <c r="U2" s="19"/>
      <c r="V2" s="18"/>
      <c r="W2" s="18"/>
      <c r="X2" s="18"/>
      <c r="Y2" s="18"/>
      <c r="Z2" s="18"/>
      <c r="AA2" s="18"/>
      <c r="AB2" s="18"/>
    </row>
    <row r="3" spans="2:28" ht="23.25" customHeight="1" thickBot="1">
      <c r="B3" s="18"/>
      <c r="C3" s="19"/>
      <c r="D3" s="19"/>
      <c r="E3" s="19"/>
      <c r="F3" s="19"/>
      <c r="G3" s="19"/>
      <c r="H3" s="19"/>
      <c r="I3" s="19"/>
      <c r="J3" s="18"/>
      <c r="K3" s="20"/>
      <c r="L3" s="21" t="s">
        <v>440</v>
      </c>
      <c r="M3" s="19"/>
      <c r="N3" s="22"/>
      <c r="O3" s="23"/>
      <c r="P3" s="25"/>
      <c r="Q3" s="18"/>
      <c r="R3" s="18"/>
      <c r="S3" s="24"/>
      <c r="T3" s="20"/>
      <c r="U3" s="19"/>
      <c r="V3" s="18"/>
      <c r="W3" s="18"/>
      <c r="X3" s="18"/>
      <c r="Y3" s="18"/>
      <c r="Z3" s="18"/>
      <c r="AA3" s="18"/>
      <c r="AB3" s="18"/>
    </row>
    <row r="4" spans="2:28" s="3" customFormat="1" ht="42.6" customHeight="1" thickBot="1">
      <c r="B4" s="26" t="s">
        <v>1</v>
      </c>
      <c r="C4" s="27" t="s">
        <v>2</v>
      </c>
      <c r="D4" s="27" t="s">
        <v>3</v>
      </c>
      <c r="E4" s="27" t="s">
        <v>4</v>
      </c>
      <c r="F4" s="28" t="s">
        <v>5</v>
      </c>
      <c r="G4" s="29" t="s">
        <v>6</v>
      </c>
      <c r="H4" s="27" t="s">
        <v>7</v>
      </c>
      <c r="I4" s="27" t="s">
        <v>8</v>
      </c>
      <c r="J4" s="27" t="s">
        <v>9</v>
      </c>
      <c r="K4" s="27" t="s">
        <v>10</v>
      </c>
      <c r="L4" s="27" t="s">
        <v>11</v>
      </c>
      <c r="M4" s="27" t="s">
        <v>12</v>
      </c>
      <c r="N4" s="27" t="s">
        <v>13</v>
      </c>
      <c r="O4" s="27" t="s">
        <v>14</v>
      </c>
      <c r="P4" s="27" t="s">
        <v>15</v>
      </c>
      <c r="Q4" s="27" t="s">
        <v>16</v>
      </c>
      <c r="R4" s="27" t="s">
        <v>17</v>
      </c>
      <c r="S4" s="30" t="s">
        <v>18</v>
      </c>
      <c r="T4" s="27" t="s">
        <v>19</v>
      </c>
      <c r="U4" s="27" t="s">
        <v>20</v>
      </c>
      <c r="V4" s="27" t="s">
        <v>21</v>
      </c>
      <c r="W4" s="27" t="s">
        <v>22</v>
      </c>
      <c r="X4" s="27" t="s">
        <v>23</v>
      </c>
      <c r="Y4" s="27" t="s">
        <v>24</v>
      </c>
      <c r="Z4" s="27" t="s">
        <v>25</v>
      </c>
      <c r="AA4" s="27" t="s">
        <v>26</v>
      </c>
      <c r="AB4" s="71" t="s">
        <v>443</v>
      </c>
    </row>
    <row r="5" spans="2:28" ht="21.75" customHeight="1">
      <c r="B5" s="73">
        <v>1</v>
      </c>
      <c r="C5" s="36" t="s">
        <v>264</v>
      </c>
      <c r="D5" s="33" t="s">
        <v>224</v>
      </c>
      <c r="E5" s="33">
        <v>41851</v>
      </c>
      <c r="F5" s="34" t="s">
        <v>237</v>
      </c>
      <c r="G5" s="36" t="s">
        <v>117</v>
      </c>
      <c r="H5" s="36" t="s">
        <v>42</v>
      </c>
      <c r="I5" s="36" t="s">
        <v>97</v>
      </c>
      <c r="J5" s="74">
        <v>801.22</v>
      </c>
      <c r="K5" s="33">
        <v>41822</v>
      </c>
      <c r="L5" s="36" t="s">
        <v>257</v>
      </c>
      <c r="M5" s="36" t="s">
        <v>46</v>
      </c>
      <c r="N5" s="36" t="s">
        <v>120</v>
      </c>
      <c r="O5" s="55" t="s">
        <v>261</v>
      </c>
      <c r="P5" s="37">
        <v>150000</v>
      </c>
      <c r="Q5" s="75">
        <f t="shared" ref="Q5:Q59" si="0">SUM(P5*S5)</f>
        <v>16750650.000000002</v>
      </c>
      <c r="R5" s="76" t="s">
        <v>32</v>
      </c>
      <c r="S5" s="7">
        <v>111.67100000000001</v>
      </c>
      <c r="T5" s="77">
        <f t="shared" ref="T5:T20" si="1">SUM(K5)+89</f>
        <v>41911</v>
      </c>
      <c r="U5" s="36" t="s">
        <v>117</v>
      </c>
      <c r="V5" s="78">
        <f t="shared" ref="V5:V32" si="2">SUM(Q5*0.12%)</f>
        <v>20100.78</v>
      </c>
      <c r="W5" s="79">
        <v>155.72999999999999</v>
      </c>
      <c r="X5" s="75">
        <f t="shared" ref="X5:X34" si="3">SUM(V5*W5)</f>
        <v>3130294.4693999998</v>
      </c>
      <c r="Y5" s="80">
        <f t="shared" ref="Y5:Y16" si="4">X5</f>
        <v>3130294.4693999998</v>
      </c>
      <c r="Z5" s="79"/>
      <c r="AA5" s="79"/>
      <c r="AB5" s="81"/>
    </row>
    <row r="6" spans="2:28" ht="21.75" customHeight="1">
      <c r="B6" s="31">
        <f t="shared" ref="B6:B20" si="5">B5+1</f>
        <v>2</v>
      </c>
      <c r="C6" s="11" t="s">
        <v>265</v>
      </c>
      <c r="D6" s="17" t="s">
        <v>225</v>
      </c>
      <c r="E6" s="33">
        <v>41851</v>
      </c>
      <c r="F6" s="34" t="s">
        <v>238</v>
      </c>
      <c r="G6" s="11" t="s">
        <v>117</v>
      </c>
      <c r="H6" s="11" t="s">
        <v>42</v>
      </c>
      <c r="I6" s="11" t="s">
        <v>97</v>
      </c>
      <c r="J6" s="35">
        <v>801.22</v>
      </c>
      <c r="K6" s="33">
        <v>41822</v>
      </c>
      <c r="L6" s="36" t="s">
        <v>257</v>
      </c>
      <c r="M6" s="36" t="s">
        <v>46</v>
      </c>
      <c r="N6" s="11" t="s">
        <v>120</v>
      </c>
      <c r="O6" s="13" t="s">
        <v>261</v>
      </c>
      <c r="P6" s="37">
        <v>173483</v>
      </c>
      <c r="Q6" s="38">
        <f t="shared" si="0"/>
        <v>19373020.093000002</v>
      </c>
      <c r="R6" s="39" t="s">
        <v>32</v>
      </c>
      <c r="S6" s="7">
        <v>111.67100000000001</v>
      </c>
      <c r="T6" s="40">
        <f t="shared" si="1"/>
        <v>41911</v>
      </c>
      <c r="U6" s="11" t="s">
        <v>117</v>
      </c>
      <c r="V6" s="41">
        <f t="shared" si="2"/>
        <v>23247.624111600002</v>
      </c>
      <c r="W6" s="32">
        <v>155.72999999999999</v>
      </c>
      <c r="X6" s="38">
        <f t="shared" si="3"/>
        <v>3620352.5028994679</v>
      </c>
      <c r="Y6" s="42">
        <f t="shared" si="4"/>
        <v>3620352.5028994679</v>
      </c>
      <c r="Z6" s="32"/>
      <c r="AA6" s="32"/>
      <c r="AB6" s="72"/>
    </row>
    <row r="7" spans="2:28" ht="21.75" customHeight="1">
      <c r="B7" s="31">
        <f t="shared" si="5"/>
        <v>3</v>
      </c>
      <c r="C7" s="11" t="s">
        <v>266</v>
      </c>
      <c r="D7" s="17" t="s">
        <v>226</v>
      </c>
      <c r="E7" s="33">
        <v>41851</v>
      </c>
      <c r="F7" s="34" t="s">
        <v>239</v>
      </c>
      <c r="G7" s="11" t="s">
        <v>117</v>
      </c>
      <c r="H7" s="11" t="s">
        <v>42</v>
      </c>
      <c r="I7" s="11" t="s">
        <v>97</v>
      </c>
      <c r="J7" s="35">
        <v>801.22</v>
      </c>
      <c r="K7" s="33">
        <v>41822</v>
      </c>
      <c r="L7" s="36" t="s">
        <v>257</v>
      </c>
      <c r="M7" s="36" t="s">
        <v>46</v>
      </c>
      <c r="N7" s="11" t="s">
        <v>120</v>
      </c>
      <c r="O7" s="13" t="s">
        <v>261</v>
      </c>
      <c r="P7" s="37">
        <v>180000</v>
      </c>
      <c r="Q7" s="38">
        <f t="shared" si="0"/>
        <v>20100780</v>
      </c>
      <c r="R7" s="39" t="s">
        <v>32</v>
      </c>
      <c r="S7" s="7">
        <v>111.67100000000001</v>
      </c>
      <c r="T7" s="40">
        <f t="shared" si="1"/>
        <v>41911</v>
      </c>
      <c r="U7" s="11" t="s">
        <v>117</v>
      </c>
      <c r="V7" s="41">
        <f t="shared" si="2"/>
        <v>24120.935999999998</v>
      </c>
      <c r="W7" s="32">
        <v>155.72999999999999</v>
      </c>
      <c r="X7" s="38">
        <f t="shared" si="3"/>
        <v>3756353.3632799992</v>
      </c>
      <c r="Y7" s="42">
        <f t="shared" si="4"/>
        <v>3756353.3632799992</v>
      </c>
      <c r="Z7" s="32"/>
      <c r="AA7" s="32"/>
      <c r="AB7" s="72"/>
    </row>
    <row r="8" spans="2:28" ht="21.75" customHeight="1">
      <c r="B8" s="31">
        <f t="shared" si="5"/>
        <v>4</v>
      </c>
      <c r="C8" s="11" t="s">
        <v>267</v>
      </c>
      <c r="D8" s="17" t="s">
        <v>227</v>
      </c>
      <c r="E8" s="33">
        <v>41851</v>
      </c>
      <c r="F8" s="34" t="s">
        <v>240</v>
      </c>
      <c r="G8" s="11" t="s">
        <v>117</v>
      </c>
      <c r="H8" s="11" t="s">
        <v>42</v>
      </c>
      <c r="I8" s="11" t="s">
        <v>97</v>
      </c>
      <c r="J8" s="35">
        <v>801.22</v>
      </c>
      <c r="K8" s="33">
        <v>41822</v>
      </c>
      <c r="L8" s="36" t="s">
        <v>257</v>
      </c>
      <c r="M8" s="36" t="s">
        <v>46</v>
      </c>
      <c r="N8" s="11" t="s">
        <v>120</v>
      </c>
      <c r="O8" s="13" t="s">
        <v>261</v>
      </c>
      <c r="P8" s="37">
        <v>180000</v>
      </c>
      <c r="Q8" s="38">
        <f t="shared" si="0"/>
        <v>20100780</v>
      </c>
      <c r="R8" s="39" t="s">
        <v>32</v>
      </c>
      <c r="S8" s="7">
        <v>111.67100000000001</v>
      </c>
      <c r="T8" s="40">
        <f t="shared" si="1"/>
        <v>41911</v>
      </c>
      <c r="U8" s="11" t="s">
        <v>117</v>
      </c>
      <c r="V8" s="41">
        <f t="shared" si="2"/>
        <v>24120.935999999998</v>
      </c>
      <c r="W8" s="32">
        <v>155.72999999999999</v>
      </c>
      <c r="X8" s="38">
        <f t="shared" si="3"/>
        <v>3756353.3632799992</v>
      </c>
      <c r="Y8" s="42">
        <f t="shared" si="4"/>
        <v>3756353.3632799992</v>
      </c>
      <c r="Z8" s="32"/>
      <c r="AA8" s="32"/>
      <c r="AB8" s="72"/>
    </row>
    <row r="9" spans="2:28" ht="21.75" customHeight="1">
      <c r="B9" s="31">
        <f t="shared" si="5"/>
        <v>5</v>
      </c>
      <c r="C9" s="11" t="s">
        <v>268</v>
      </c>
      <c r="D9" s="17" t="s">
        <v>228</v>
      </c>
      <c r="E9" s="33">
        <v>41851</v>
      </c>
      <c r="F9" s="34" t="s">
        <v>241</v>
      </c>
      <c r="G9" s="11" t="s">
        <v>117</v>
      </c>
      <c r="H9" s="11" t="s">
        <v>42</v>
      </c>
      <c r="I9" s="11" t="s">
        <v>97</v>
      </c>
      <c r="J9" s="35">
        <v>801.22</v>
      </c>
      <c r="K9" s="33">
        <v>41822</v>
      </c>
      <c r="L9" s="36" t="s">
        <v>257</v>
      </c>
      <c r="M9" s="36" t="s">
        <v>46</v>
      </c>
      <c r="N9" s="11" t="s">
        <v>120</v>
      </c>
      <c r="O9" s="13" t="s">
        <v>261</v>
      </c>
      <c r="P9" s="37">
        <v>169000</v>
      </c>
      <c r="Q9" s="38">
        <f t="shared" si="0"/>
        <v>18872399</v>
      </c>
      <c r="R9" s="39" t="s">
        <v>32</v>
      </c>
      <c r="S9" s="7">
        <v>111.67100000000001</v>
      </c>
      <c r="T9" s="40">
        <f t="shared" si="1"/>
        <v>41911</v>
      </c>
      <c r="U9" s="11" t="s">
        <v>117</v>
      </c>
      <c r="V9" s="41">
        <f t="shared" si="2"/>
        <v>22646.878799999999</v>
      </c>
      <c r="W9" s="32">
        <v>155.72999999999999</v>
      </c>
      <c r="X9" s="38">
        <f t="shared" si="3"/>
        <v>3526798.4355239994</v>
      </c>
      <c r="Y9" s="42">
        <f t="shared" si="4"/>
        <v>3526798.4355239994</v>
      </c>
      <c r="Z9" s="32"/>
      <c r="AA9" s="32"/>
      <c r="AB9" s="72"/>
    </row>
    <row r="10" spans="2:28" ht="21.75" customHeight="1">
      <c r="B10" s="31">
        <f t="shared" si="5"/>
        <v>6</v>
      </c>
      <c r="C10" s="11" t="s">
        <v>269</v>
      </c>
      <c r="D10" s="17" t="s">
        <v>229</v>
      </c>
      <c r="E10" s="33">
        <v>41851</v>
      </c>
      <c r="F10" s="34" t="s">
        <v>242</v>
      </c>
      <c r="G10" s="11" t="s">
        <v>117</v>
      </c>
      <c r="H10" s="11" t="s">
        <v>42</v>
      </c>
      <c r="I10" s="11" t="s">
        <v>97</v>
      </c>
      <c r="J10" s="35">
        <v>801.22</v>
      </c>
      <c r="K10" s="33">
        <v>41822</v>
      </c>
      <c r="L10" s="36" t="s">
        <v>257</v>
      </c>
      <c r="M10" s="36" t="s">
        <v>46</v>
      </c>
      <c r="N10" s="11" t="s">
        <v>120</v>
      </c>
      <c r="O10" s="13" t="s">
        <v>261</v>
      </c>
      <c r="P10" s="37">
        <v>47000</v>
      </c>
      <c r="Q10" s="38">
        <f t="shared" si="0"/>
        <v>5248537</v>
      </c>
      <c r="R10" s="39" t="s">
        <v>32</v>
      </c>
      <c r="S10" s="7">
        <v>111.67100000000001</v>
      </c>
      <c r="T10" s="40">
        <f t="shared" si="1"/>
        <v>41911</v>
      </c>
      <c r="U10" s="11" t="s">
        <v>117</v>
      </c>
      <c r="V10" s="41">
        <f t="shared" si="2"/>
        <v>6298.2443999999996</v>
      </c>
      <c r="W10" s="32">
        <v>155.72999999999999</v>
      </c>
      <c r="X10" s="38">
        <f t="shared" si="3"/>
        <v>980825.60041199985</v>
      </c>
      <c r="Y10" s="42">
        <f t="shared" si="4"/>
        <v>980825.60041199985</v>
      </c>
      <c r="Z10" s="32"/>
      <c r="AA10" s="32"/>
      <c r="AB10" s="72"/>
    </row>
    <row r="11" spans="2:28" ht="21.75" customHeight="1">
      <c r="B11" s="31">
        <f t="shared" si="5"/>
        <v>7</v>
      </c>
      <c r="C11" s="11" t="s">
        <v>270</v>
      </c>
      <c r="D11" s="17" t="s">
        <v>230</v>
      </c>
      <c r="E11" s="33">
        <v>41851</v>
      </c>
      <c r="F11" s="34" t="s">
        <v>243</v>
      </c>
      <c r="G11" s="11" t="s">
        <v>117</v>
      </c>
      <c r="H11" s="11" t="s">
        <v>42</v>
      </c>
      <c r="I11" s="11" t="s">
        <v>97</v>
      </c>
      <c r="J11" s="35">
        <v>801.22</v>
      </c>
      <c r="K11" s="33">
        <v>41822</v>
      </c>
      <c r="L11" s="36" t="s">
        <v>257</v>
      </c>
      <c r="M11" s="36" t="s">
        <v>46</v>
      </c>
      <c r="N11" s="11" t="s">
        <v>120</v>
      </c>
      <c r="O11" s="13" t="s">
        <v>261</v>
      </c>
      <c r="P11" s="37">
        <v>50000</v>
      </c>
      <c r="Q11" s="38">
        <f t="shared" si="0"/>
        <v>5583550</v>
      </c>
      <c r="R11" s="39" t="s">
        <v>32</v>
      </c>
      <c r="S11" s="7">
        <v>111.67100000000001</v>
      </c>
      <c r="T11" s="40">
        <f t="shared" si="1"/>
        <v>41911</v>
      </c>
      <c r="U11" s="11" t="s">
        <v>117</v>
      </c>
      <c r="V11" s="41">
        <f t="shared" si="2"/>
        <v>6700.2599999999993</v>
      </c>
      <c r="W11" s="32">
        <v>155.72999999999999</v>
      </c>
      <c r="X11" s="38">
        <f t="shared" si="3"/>
        <v>1043431.4897999999</v>
      </c>
      <c r="Y11" s="42">
        <f t="shared" si="4"/>
        <v>1043431.4897999999</v>
      </c>
      <c r="Z11" s="32"/>
      <c r="AA11" s="32"/>
      <c r="AB11" s="72"/>
    </row>
    <row r="12" spans="2:28" ht="38.25" customHeight="1">
      <c r="B12" s="31">
        <f t="shared" si="5"/>
        <v>8</v>
      </c>
      <c r="C12" s="11" t="s">
        <v>283</v>
      </c>
      <c r="D12" s="17" t="s">
        <v>231</v>
      </c>
      <c r="E12" s="33">
        <v>41851</v>
      </c>
      <c r="F12" s="12" t="s">
        <v>244</v>
      </c>
      <c r="G12" s="11" t="s">
        <v>117</v>
      </c>
      <c r="H12" s="11" t="s">
        <v>42</v>
      </c>
      <c r="I12" s="11" t="s">
        <v>34</v>
      </c>
      <c r="J12" s="35">
        <v>801.22</v>
      </c>
      <c r="K12" s="33">
        <v>41823</v>
      </c>
      <c r="L12" s="36" t="s">
        <v>99</v>
      </c>
      <c r="M12" s="43" t="s">
        <v>35</v>
      </c>
      <c r="N12" s="11" t="s">
        <v>72</v>
      </c>
      <c r="O12" s="13" t="s">
        <v>262</v>
      </c>
      <c r="P12" s="37">
        <v>475646</v>
      </c>
      <c r="Q12" s="38">
        <f t="shared" si="0"/>
        <v>53307549.803999998</v>
      </c>
      <c r="R12" s="39" t="s">
        <v>32</v>
      </c>
      <c r="S12" s="44">
        <v>112.074</v>
      </c>
      <c r="T12" s="40">
        <f t="shared" si="1"/>
        <v>41912</v>
      </c>
      <c r="U12" s="11" t="s">
        <v>117</v>
      </c>
      <c r="V12" s="41">
        <f t="shared" si="2"/>
        <v>63969.059764799989</v>
      </c>
      <c r="W12" s="32">
        <v>155.72999999999999</v>
      </c>
      <c r="X12" s="38">
        <f t="shared" si="3"/>
        <v>9961901.6771723013</v>
      </c>
      <c r="Y12" s="42">
        <f t="shared" si="4"/>
        <v>9961901.6771723013</v>
      </c>
      <c r="Z12" s="32"/>
      <c r="AA12" s="32"/>
      <c r="AB12" s="92" t="s">
        <v>148</v>
      </c>
    </row>
    <row r="13" spans="2:28" ht="38.25" customHeight="1">
      <c r="B13" s="31">
        <f t="shared" si="5"/>
        <v>9</v>
      </c>
      <c r="C13" s="11" t="s">
        <v>284</v>
      </c>
      <c r="D13" s="17" t="s">
        <v>231</v>
      </c>
      <c r="E13" s="33">
        <v>41851</v>
      </c>
      <c r="F13" s="12" t="s">
        <v>291</v>
      </c>
      <c r="G13" s="11" t="s">
        <v>117</v>
      </c>
      <c r="H13" s="11" t="s">
        <v>42</v>
      </c>
      <c r="I13" s="11" t="s">
        <v>34</v>
      </c>
      <c r="J13" s="35">
        <v>801.22</v>
      </c>
      <c r="K13" s="33">
        <v>41823</v>
      </c>
      <c r="L13" s="36" t="s">
        <v>99</v>
      </c>
      <c r="M13" s="43" t="s">
        <v>35</v>
      </c>
      <c r="N13" s="11" t="s">
        <v>47</v>
      </c>
      <c r="O13" s="13" t="s">
        <v>74</v>
      </c>
      <c r="P13" s="37">
        <v>475000</v>
      </c>
      <c r="Q13" s="38">
        <f t="shared" si="0"/>
        <v>53235150</v>
      </c>
      <c r="R13" s="39" t="s">
        <v>32</v>
      </c>
      <c r="S13" s="44">
        <v>112.074</v>
      </c>
      <c r="T13" s="40">
        <f t="shared" si="1"/>
        <v>41912</v>
      </c>
      <c r="U13" s="11" t="s">
        <v>117</v>
      </c>
      <c r="V13" s="41">
        <f t="shared" si="2"/>
        <v>63882.179999999993</v>
      </c>
      <c r="W13" s="32">
        <v>155.72999999999999</v>
      </c>
      <c r="X13" s="38">
        <f t="shared" si="3"/>
        <v>9948371.8913999982</v>
      </c>
      <c r="Y13" s="42">
        <f t="shared" si="4"/>
        <v>9948371.8913999982</v>
      </c>
      <c r="Z13" s="32"/>
      <c r="AA13" s="32"/>
      <c r="AB13" s="92"/>
    </row>
    <row r="14" spans="2:28" ht="21.75" customHeight="1">
      <c r="B14" s="31">
        <f t="shared" si="5"/>
        <v>10</v>
      </c>
      <c r="C14" s="11" t="s">
        <v>286</v>
      </c>
      <c r="D14" s="17" t="s">
        <v>232</v>
      </c>
      <c r="E14" s="33">
        <v>41851</v>
      </c>
      <c r="F14" s="12" t="s">
        <v>245</v>
      </c>
      <c r="G14" s="11" t="s">
        <v>117</v>
      </c>
      <c r="H14" s="11" t="s">
        <v>42</v>
      </c>
      <c r="I14" s="11" t="s">
        <v>43</v>
      </c>
      <c r="J14" s="35">
        <v>801.22</v>
      </c>
      <c r="K14" s="33">
        <v>41830</v>
      </c>
      <c r="L14" s="36" t="s">
        <v>98</v>
      </c>
      <c r="M14" s="43" t="s">
        <v>44</v>
      </c>
      <c r="N14" s="11" t="s">
        <v>70</v>
      </c>
      <c r="O14" s="13" t="s">
        <v>130</v>
      </c>
      <c r="P14" s="37">
        <v>899827</v>
      </c>
      <c r="Q14" s="38">
        <f t="shared" si="0"/>
        <v>97880481.578999996</v>
      </c>
      <c r="R14" s="39" t="s">
        <v>32</v>
      </c>
      <c r="S14" s="44">
        <v>108.777</v>
      </c>
      <c r="T14" s="40">
        <f t="shared" si="1"/>
        <v>41919</v>
      </c>
      <c r="U14" s="11" t="s">
        <v>117</v>
      </c>
      <c r="V14" s="41">
        <f t="shared" si="2"/>
        <v>117456.57789479998</v>
      </c>
      <c r="W14" s="32">
        <v>155.72999999999999</v>
      </c>
      <c r="X14" s="38">
        <f t="shared" si="3"/>
        <v>18291512.875557199</v>
      </c>
      <c r="Y14" s="42">
        <f t="shared" si="4"/>
        <v>18291512.875557199</v>
      </c>
      <c r="Z14" s="32"/>
      <c r="AA14" s="32"/>
      <c r="AB14" s="72"/>
    </row>
    <row r="15" spans="2:28" ht="21.75" customHeight="1">
      <c r="B15" s="31">
        <f t="shared" si="5"/>
        <v>11</v>
      </c>
      <c r="C15" s="11" t="s">
        <v>271</v>
      </c>
      <c r="D15" s="17" t="s">
        <v>233</v>
      </c>
      <c r="E15" s="33">
        <v>41851</v>
      </c>
      <c r="F15" s="34" t="s">
        <v>246</v>
      </c>
      <c r="G15" s="11" t="s">
        <v>117</v>
      </c>
      <c r="H15" s="36" t="s">
        <v>42</v>
      </c>
      <c r="I15" s="11" t="s">
        <v>97</v>
      </c>
      <c r="J15" s="35">
        <v>801.22</v>
      </c>
      <c r="K15" s="33">
        <v>41832</v>
      </c>
      <c r="L15" s="36" t="s">
        <v>85</v>
      </c>
      <c r="M15" s="36" t="s">
        <v>46</v>
      </c>
      <c r="N15" s="11" t="s">
        <v>66</v>
      </c>
      <c r="O15" s="13" t="s">
        <v>67</v>
      </c>
      <c r="P15" s="37">
        <v>768328</v>
      </c>
      <c r="Q15" s="38">
        <f t="shared" si="0"/>
        <v>82171142.943999991</v>
      </c>
      <c r="R15" s="39" t="s">
        <v>32</v>
      </c>
      <c r="S15" s="44">
        <v>106.94799999999999</v>
      </c>
      <c r="T15" s="40">
        <f t="shared" si="1"/>
        <v>41921</v>
      </c>
      <c r="U15" s="11" t="s">
        <v>117</v>
      </c>
      <c r="V15" s="41">
        <f t="shared" si="2"/>
        <v>98605.371532799982</v>
      </c>
      <c r="W15" s="32">
        <v>155.72999999999999</v>
      </c>
      <c r="X15" s="38">
        <f t="shared" si="3"/>
        <v>15355814.508802939</v>
      </c>
      <c r="Y15" s="42">
        <f t="shared" si="4"/>
        <v>15355814.508802939</v>
      </c>
      <c r="Z15" s="32"/>
      <c r="AA15" s="32"/>
      <c r="AB15" s="72"/>
    </row>
    <row r="16" spans="2:28" ht="21.75" customHeight="1">
      <c r="B16" s="31">
        <f t="shared" si="5"/>
        <v>12</v>
      </c>
      <c r="C16" s="11" t="s">
        <v>272</v>
      </c>
      <c r="D16" s="17" t="s">
        <v>234</v>
      </c>
      <c r="E16" s="33">
        <v>41851</v>
      </c>
      <c r="F16" s="34" t="s">
        <v>247</v>
      </c>
      <c r="G16" s="11" t="s">
        <v>117</v>
      </c>
      <c r="H16" s="36" t="s">
        <v>42</v>
      </c>
      <c r="I16" s="11" t="s">
        <v>97</v>
      </c>
      <c r="J16" s="35">
        <v>801.22</v>
      </c>
      <c r="K16" s="33">
        <v>41832</v>
      </c>
      <c r="L16" s="36" t="s">
        <v>85</v>
      </c>
      <c r="M16" s="36" t="s">
        <v>46</v>
      </c>
      <c r="N16" s="11" t="s">
        <v>66</v>
      </c>
      <c r="O16" s="13" t="s">
        <v>67</v>
      </c>
      <c r="P16" s="37">
        <v>180000</v>
      </c>
      <c r="Q16" s="38">
        <f t="shared" si="0"/>
        <v>19250640</v>
      </c>
      <c r="R16" s="39" t="s">
        <v>32</v>
      </c>
      <c r="S16" s="44">
        <v>106.94799999999999</v>
      </c>
      <c r="T16" s="40">
        <f t="shared" si="1"/>
        <v>41921</v>
      </c>
      <c r="U16" s="11" t="s">
        <v>117</v>
      </c>
      <c r="V16" s="41">
        <f t="shared" si="2"/>
        <v>23100.767999999996</v>
      </c>
      <c r="W16" s="32">
        <v>155.72999999999999</v>
      </c>
      <c r="X16" s="38">
        <f t="shared" si="3"/>
        <v>3597482.6006399994</v>
      </c>
      <c r="Y16" s="42">
        <f t="shared" si="4"/>
        <v>3597482.6006399994</v>
      </c>
      <c r="Z16" s="32"/>
      <c r="AA16" s="32"/>
      <c r="AB16" s="72"/>
    </row>
    <row r="17" spans="2:28" ht="32.25" customHeight="1">
      <c r="B17" s="31">
        <f t="shared" si="5"/>
        <v>13</v>
      </c>
      <c r="C17" s="11" t="s">
        <v>287</v>
      </c>
      <c r="D17" s="17" t="s">
        <v>297</v>
      </c>
      <c r="E17" s="40">
        <v>41864</v>
      </c>
      <c r="F17" s="34" t="s">
        <v>290</v>
      </c>
      <c r="G17" s="11" t="s">
        <v>102</v>
      </c>
      <c r="H17" s="11" t="s">
        <v>118</v>
      </c>
      <c r="I17" s="11" t="s">
        <v>104</v>
      </c>
      <c r="J17" s="35">
        <v>801.22</v>
      </c>
      <c r="K17" s="33">
        <v>41841</v>
      </c>
      <c r="L17" s="36" t="s">
        <v>258</v>
      </c>
      <c r="M17" s="36" t="s">
        <v>105</v>
      </c>
      <c r="N17" s="11" t="s">
        <v>72</v>
      </c>
      <c r="O17" s="13" t="s">
        <v>108</v>
      </c>
      <c r="P17" s="37">
        <v>799844</v>
      </c>
      <c r="Q17" s="38">
        <f t="shared" si="0"/>
        <v>81660073.179999992</v>
      </c>
      <c r="R17" s="39" t="s">
        <v>32</v>
      </c>
      <c r="S17" s="44">
        <v>102.095</v>
      </c>
      <c r="T17" s="40">
        <f t="shared" si="1"/>
        <v>41930</v>
      </c>
      <c r="U17" s="13" t="s">
        <v>106</v>
      </c>
      <c r="V17" s="41">
        <f t="shared" si="2"/>
        <v>97992.087815999985</v>
      </c>
      <c r="W17" s="32">
        <v>155.72999999999999</v>
      </c>
      <c r="X17" s="38">
        <f t="shared" si="3"/>
        <v>15260307.835585676</v>
      </c>
      <c r="Y17" s="45">
        <v>15260308.18</v>
      </c>
      <c r="Z17" s="40">
        <v>41858</v>
      </c>
      <c r="AA17" s="46">
        <v>2174</v>
      </c>
      <c r="AB17" s="72"/>
    </row>
    <row r="18" spans="2:28" ht="21.75" customHeight="1">
      <c r="B18" s="31">
        <f t="shared" si="5"/>
        <v>14</v>
      </c>
      <c r="C18" s="11" t="s">
        <v>285</v>
      </c>
      <c r="D18" s="47" t="s">
        <v>65</v>
      </c>
      <c r="E18" s="17"/>
      <c r="F18" s="34" t="s">
        <v>314</v>
      </c>
      <c r="G18" s="11" t="s">
        <v>106</v>
      </c>
      <c r="H18" s="11" t="s">
        <v>33</v>
      </c>
      <c r="I18" s="11" t="s">
        <v>34</v>
      </c>
      <c r="J18" s="35">
        <v>801.22</v>
      </c>
      <c r="K18" s="33">
        <v>41844</v>
      </c>
      <c r="L18" s="36" t="s">
        <v>259</v>
      </c>
      <c r="M18" s="36" t="s">
        <v>35</v>
      </c>
      <c r="N18" s="11" t="s">
        <v>72</v>
      </c>
      <c r="O18" s="13" t="s">
        <v>79</v>
      </c>
      <c r="P18" s="37">
        <v>948707</v>
      </c>
      <c r="Q18" s="38">
        <f t="shared" si="0"/>
        <v>103592922.41659999</v>
      </c>
      <c r="R18" s="39" t="s">
        <v>32</v>
      </c>
      <c r="S18" s="48">
        <v>109.1938</v>
      </c>
      <c r="T18" s="40">
        <f t="shared" si="1"/>
        <v>41933</v>
      </c>
      <c r="U18" s="11" t="s">
        <v>37</v>
      </c>
      <c r="V18" s="41">
        <f t="shared" si="2"/>
        <v>124311.50689991997</v>
      </c>
      <c r="W18" s="32">
        <v>155.72999999999999</v>
      </c>
      <c r="X18" s="38">
        <f t="shared" si="3"/>
        <v>19359030.969524536</v>
      </c>
      <c r="Y18" s="49">
        <v>0</v>
      </c>
      <c r="Z18" s="32"/>
      <c r="AA18" s="32"/>
      <c r="AB18" s="72"/>
    </row>
    <row r="19" spans="2:28" ht="21.75" customHeight="1">
      <c r="B19" s="31">
        <f t="shared" si="5"/>
        <v>15</v>
      </c>
      <c r="C19" s="11" t="s">
        <v>288</v>
      </c>
      <c r="D19" s="17" t="s">
        <v>235</v>
      </c>
      <c r="E19" s="33">
        <v>41851</v>
      </c>
      <c r="F19" s="34" t="s">
        <v>248</v>
      </c>
      <c r="G19" s="11" t="s">
        <v>117</v>
      </c>
      <c r="H19" s="11" t="s">
        <v>42</v>
      </c>
      <c r="I19" s="11" t="s">
        <v>29</v>
      </c>
      <c r="J19" s="35">
        <v>801.22</v>
      </c>
      <c r="K19" s="33">
        <v>41844</v>
      </c>
      <c r="L19" s="36" t="s">
        <v>109</v>
      </c>
      <c r="M19" s="36" t="s">
        <v>30</v>
      </c>
      <c r="N19" s="11" t="s">
        <v>92</v>
      </c>
      <c r="O19" s="13" t="s">
        <v>93</v>
      </c>
      <c r="P19" s="37">
        <v>545992</v>
      </c>
      <c r="Q19" s="38">
        <f t="shared" si="0"/>
        <v>57916647.391999997</v>
      </c>
      <c r="R19" s="39" t="s">
        <v>32</v>
      </c>
      <c r="S19" s="44">
        <v>106.07599999999999</v>
      </c>
      <c r="T19" s="40">
        <f t="shared" si="1"/>
        <v>41933</v>
      </c>
      <c r="U19" s="11" t="s">
        <v>117</v>
      </c>
      <c r="V19" s="41">
        <f t="shared" si="2"/>
        <v>69499.976870399987</v>
      </c>
      <c r="W19" s="32">
        <v>155.72999999999999</v>
      </c>
      <c r="X19" s="38">
        <f t="shared" si="3"/>
        <v>10823231.398027388</v>
      </c>
      <c r="Y19" s="42">
        <f t="shared" ref="Y19:Y20" si="6">X19</f>
        <v>10823231.398027388</v>
      </c>
      <c r="Z19" s="32"/>
      <c r="AA19" s="32"/>
      <c r="AB19" s="72"/>
    </row>
    <row r="20" spans="2:28" ht="21.75" customHeight="1">
      <c r="B20" s="31">
        <f t="shared" si="5"/>
        <v>16</v>
      </c>
      <c r="C20" s="11" t="s">
        <v>289</v>
      </c>
      <c r="D20" s="17" t="s">
        <v>236</v>
      </c>
      <c r="E20" s="33">
        <v>41851</v>
      </c>
      <c r="F20" s="34" t="s">
        <v>249</v>
      </c>
      <c r="G20" s="11" t="s">
        <v>117</v>
      </c>
      <c r="H20" s="11" t="s">
        <v>42</v>
      </c>
      <c r="I20" s="11" t="s">
        <v>29</v>
      </c>
      <c r="J20" s="35">
        <v>801.22</v>
      </c>
      <c r="K20" s="33">
        <v>41844</v>
      </c>
      <c r="L20" s="36" t="s">
        <v>109</v>
      </c>
      <c r="M20" s="36" t="s">
        <v>30</v>
      </c>
      <c r="N20" s="11" t="s">
        <v>92</v>
      </c>
      <c r="O20" s="13" t="s">
        <v>93</v>
      </c>
      <c r="P20" s="37">
        <v>450000</v>
      </c>
      <c r="Q20" s="38">
        <f t="shared" si="0"/>
        <v>47734200</v>
      </c>
      <c r="R20" s="39" t="s">
        <v>32</v>
      </c>
      <c r="S20" s="44">
        <v>106.07599999999999</v>
      </c>
      <c r="T20" s="40">
        <f t="shared" si="1"/>
        <v>41933</v>
      </c>
      <c r="U20" s="11" t="s">
        <v>117</v>
      </c>
      <c r="V20" s="41">
        <f t="shared" si="2"/>
        <v>57281.039999999994</v>
      </c>
      <c r="W20" s="32">
        <v>155.72999999999999</v>
      </c>
      <c r="X20" s="38">
        <f t="shared" si="3"/>
        <v>8920376.3591999989</v>
      </c>
      <c r="Y20" s="42">
        <f t="shared" si="6"/>
        <v>8920376.3591999989</v>
      </c>
      <c r="Z20" s="32"/>
      <c r="AA20" s="32"/>
      <c r="AB20" s="72"/>
    </row>
    <row r="21" spans="2:28" ht="21.75" customHeight="1">
      <c r="B21" s="31">
        <f t="shared" ref="B21:B79" si="7">B20+1</f>
        <v>17</v>
      </c>
      <c r="C21" s="11" t="s">
        <v>273</v>
      </c>
      <c r="D21" s="47" t="s">
        <v>65</v>
      </c>
      <c r="E21" s="17"/>
      <c r="F21" s="34" t="s">
        <v>250</v>
      </c>
      <c r="G21" s="11" t="s">
        <v>94</v>
      </c>
      <c r="H21" s="36" t="s">
        <v>45</v>
      </c>
      <c r="I21" s="11" t="s">
        <v>97</v>
      </c>
      <c r="J21" s="35">
        <v>801.22</v>
      </c>
      <c r="K21" s="33">
        <v>41844</v>
      </c>
      <c r="L21" s="36" t="s">
        <v>260</v>
      </c>
      <c r="M21" s="36" t="s">
        <v>46</v>
      </c>
      <c r="N21" s="11" t="s">
        <v>40</v>
      </c>
      <c r="O21" s="13" t="s">
        <v>41</v>
      </c>
      <c r="P21" s="37">
        <v>80000</v>
      </c>
      <c r="Q21" s="38">
        <f t="shared" si="0"/>
        <v>8650080</v>
      </c>
      <c r="R21" s="39" t="s">
        <v>32</v>
      </c>
      <c r="S21" s="44">
        <v>108.126</v>
      </c>
      <c r="T21" s="40">
        <f t="shared" ref="T21:T79" si="8">SUM(K21)+89</f>
        <v>41933</v>
      </c>
      <c r="U21" s="13" t="s">
        <v>37</v>
      </c>
      <c r="V21" s="41">
        <f t="shared" si="2"/>
        <v>10380.096</v>
      </c>
      <c r="W21" s="32">
        <v>155.72999999999999</v>
      </c>
      <c r="X21" s="38">
        <f t="shared" si="3"/>
        <v>1616492.3500799998</v>
      </c>
      <c r="Y21" s="49">
        <v>0</v>
      </c>
      <c r="Z21" s="32"/>
      <c r="AA21" s="32"/>
      <c r="AB21" s="72"/>
    </row>
    <row r="22" spans="2:28" ht="21.75" customHeight="1">
      <c r="B22" s="31">
        <f t="shared" si="7"/>
        <v>18</v>
      </c>
      <c r="C22" s="11" t="s">
        <v>274</v>
      </c>
      <c r="D22" s="47" t="s">
        <v>65</v>
      </c>
      <c r="E22" s="17"/>
      <c r="F22" s="34" t="s">
        <v>251</v>
      </c>
      <c r="G22" s="11" t="s">
        <v>94</v>
      </c>
      <c r="H22" s="36" t="s">
        <v>50</v>
      </c>
      <c r="I22" s="11" t="s">
        <v>97</v>
      </c>
      <c r="J22" s="35">
        <v>801.22</v>
      </c>
      <c r="K22" s="33">
        <v>41844</v>
      </c>
      <c r="L22" s="36" t="s">
        <v>260</v>
      </c>
      <c r="M22" s="36" t="s">
        <v>46</v>
      </c>
      <c r="N22" s="11" t="s">
        <v>40</v>
      </c>
      <c r="O22" s="13" t="s">
        <v>41</v>
      </c>
      <c r="P22" s="37">
        <v>211324</v>
      </c>
      <c r="Q22" s="38">
        <f t="shared" si="0"/>
        <v>22849618.824000001</v>
      </c>
      <c r="R22" s="39" t="s">
        <v>32</v>
      </c>
      <c r="S22" s="44">
        <v>108.126</v>
      </c>
      <c r="T22" s="40">
        <f t="shared" si="8"/>
        <v>41933</v>
      </c>
      <c r="U22" s="13" t="s">
        <v>37</v>
      </c>
      <c r="V22" s="41">
        <f t="shared" si="2"/>
        <v>27419.542588799999</v>
      </c>
      <c r="W22" s="32">
        <v>155.72999999999999</v>
      </c>
      <c r="X22" s="38">
        <f t="shared" si="3"/>
        <v>4270045.367353824</v>
      </c>
      <c r="Y22" s="49">
        <v>0</v>
      </c>
      <c r="Z22" s="32"/>
      <c r="AA22" s="32"/>
      <c r="AB22" s="72"/>
    </row>
    <row r="23" spans="2:28" ht="21.75" customHeight="1">
      <c r="B23" s="31">
        <f t="shared" si="7"/>
        <v>19</v>
      </c>
      <c r="C23" s="11" t="s">
        <v>275</v>
      </c>
      <c r="D23" s="47" t="s">
        <v>65</v>
      </c>
      <c r="E23" s="17"/>
      <c r="F23" s="34" t="s">
        <v>252</v>
      </c>
      <c r="G23" s="11" t="s">
        <v>94</v>
      </c>
      <c r="H23" s="36" t="s">
        <v>50</v>
      </c>
      <c r="I23" s="11" t="s">
        <v>97</v>
      </c>
      <c r="J23" s="35">
        <v>801.22</v>
      </c>
      <c r="K23" s="33">
        <v>41844</v>
      </c>
      <c r="L23" s="36" t="s">
        <v>260</v>
      </c>
      <c r="M23" s="36" t="s">
        <v>46</v>
      </c>
      <c r="N23" s="11" t="s">
        <v>40</v>
      </c>
      <c r="O23" s="13" t="s">
        <v>41</v>
      </c>
      <c r="P23" s="37">
        <v>55500</v>
      </c>
      <c r="Q23" s="38">
        <f t="shared" si="0"/>
        <v>6000993</v>
      </c>
      <c r="R23" s="39" t="s">
        <v>32</v>
      </c>
      <c r="S23" s="44">
        <v>108.126</v>
      </c>
      <c r="T23" s="40">
        <f t="shared" si="8"/>
        <v>41933</v>
      </c>
      <c r="U23" s="13" t="s">
        <v>37</v>
      </c>
      <c r="V23" s="41">
        <f t="shared" si="2"/>
        <v>7201.1915999999992</v>
      </c>
      <c r="W23" s="32">
        <v>155.72999999999999</v>
      </c>
      <c r="X23" s="38">
        <f t="shared" si="3"/>
        <v>1121441.5678679999</v>
      </c>
      <c r="Y23" s="49">
        <v>0</v>
      </c>
      <c r="Z23" s="32"/>
      <c r="AA23" s="32"/>
      <c r="AB23" s="72"/>
    </row>
    <row r="24" spans="2:28" ht="21.75" customHeight="1">
      <c r="B24" s="31">
        <f t="shared" si="7"/>
        <v>20</v>
      </c>
      <c r="C24" s="11" t="s">
        <v>276</v>
      </c>
      <c r="D24" s="47" t="s">
        <v>65</v>
      </c>
      <c r="E24" s="17"/>
      <c r="F24" s="34" t="s">
        <v>253</v>
      </c>
      <c r="G24" s="11" t="s">
        <v>106</v>
      </c>
      <c r="H24" s="11" t="s">
        <v>182</v>
      </c>
      <c r="I24" s="11" t="s">
        <v>97</v>
      </c>
      <c r="J24" s="35">
        <v>801.22</v>
      </c>
      <c r="K24" s="33">
        <v>41844</v>
      </c>
      <c r="L24" s="36" t="s">
        <v>260</v>
      </c>
      <c r="M24" s="36" t="s">
        <v>46</v>
      </c>
      <c r="N24" s="11" t="s">
        <v>40</v>
      </c>
      <c r="O24" s="13" t="s">
        <v>41</v>
      </c>
      <c r="P24" s="37">
        <v>252934</v>
      </c>
      <c r="Q24" s="38">
        <f t="shared" si="0"/>
        <v>27244785.810000002</v>
      </c>
      <c r="R24" s="39" t="s">
        <v>32</v>
      </c>
      <c r="S24" s="44">
        <v>107.715</v>
      </c>
      <c r="T24" s="40">
        <f t="shared" si="8"/>
        <v>41933</v>
      </c>
      <c r="U24" s="11" t="s">
        <v>37</v>
      </c>
      <c r="V24" s="41">
        <f t="shared" si="2"/>
        <v>32693.742972</v>
      </c>
      <c r="W24" s="32">
        <v>155.72999999999999</v>
      </c>
      <c r="X24" s="38">
        <f t="shared" si="3"/>
        <v>5091396.5930295596</v>
      </c>
      <c r="Y24" s="49">
        <v>0</v>
      </c>
      <c r="Z24" s="32"/>
      <c r="AA24" s="32"/>
      <c r="AB24" s="72"/>
    </row>
    <row r="25" spans="2:28" ht="21.75" customHeight="1">
      <c r="B25" s="31">
        <f t="shared" si="7"/>
        <v>21</v>
      </c>
      <c r="C25" s="11" t="s">
        <v>277</v>
      </c>
      <c r="D25" s="47" t="s">
        <v>371</v>
      </c>
      <c r="E25" s="33">
        <v>41912</v>
      </c>
      <c r="F25" s="34" t="s">
        <v>254</v>
      </c>
      <c r="G25" s="11" t="s">
        <v>94</v>
      </c>
      <c r="H25" s="11" t="s">
        <v>28</v>
      </c>
      <c r="I25" s="11" t="s">
        <v>97</v>
      </c>
      <c r="J25" s="35">
        <v>801.22</v>
      </c>
      <c r="K25" s="33">
        <v>41844</v>
      </c>
      <c r="L25" s="36" t="s">
        <v>260</v>
      </c>
      <c r="M25" s="36" t="s">
        <v>46</v>
      </c>
      <c r="N25" s="11" t="s">
        <v>40</v>
      </c>
      <c r="O25" s="13" t="s">
        <v>41</v>
      </c>
      <c r="P25" s="37">
        <v>100000</v>
      </c>
      <c r="Q25" s="38">
        <f t="shared" si="0"/>
        <v>10771500</v>
      </c>
      <c r="R25" s="39" t="s">
        <v>32</v>
      </c>
      <c r="S25" s="44">
        <v>107.715</v>
      </c>
      <c r="T25" s="40">
        <f t="shared" si="8"/>
        <v>41933</v>
      </c>
      <c r="U25" s="13" t="s">
        <v>27</v>
      </c>
      <c r="V25" s="41">
        <f t="shared" si="2"/>
        <v>12925.8</v>
      </c>
      <c r="W25" s="32">
        <v>155.72999999999999</v>
      </c>
      <c r="X25" s="38">
        <f t="shared" si="3"/>
        <v>2012934.8339999998</v>
      </c>
      <c r="Y25" s="45">
        <v>2012934.83</v>
      </c>
      <c r="Z25" s="40">
        <v>41893</v>
      </c>
      <c r="AA25" s="46">
        <v>1622</v>
      </c>
      <c r="AB25" s="72"/>
    </row>
    <row r="26" spans="2:28" ht="21.75" customHeight="1">
      <c r="B26" s="31">
        <f t="shared" si="7"/>
        <v>22</v>
      </c>
      <c r="C26" s="11" t="s">
        <v>278</v>
      </c>
      <c r="D26" s="11" t="s">
        <v>311</v>
      </c>
      <c r="E26" s="17">
        <v>41879</v>
      </c>
      <c r="F26" s="34" t="s">
        <v>295</v>
      </c>
      <c r="G26" s="11" t="s">
        <v>38</v>
      </c>
      <c r="H26" s="11" t="s">
        <v>82</v>
      </c>
      <c r="I26" s="11" t="s">
        <v>97</v>
      </c>
      <c r="J26" s="35">
        <v>801.22</v>
      </c>
      <c r="K26" s="33">
        <v>41844</v>
      </c>
      <c r="L26" s="36" t="s">
        <v>260</v>
      </c>
      <c r="M26" s="36" t="s">
        <v>46</v>
      </c>
      <c r="N26" s="11" t="s">
        <v>40</v>
      </c>
      <c r="O26" s="13" t="s">
        <v>41</v>
      </c>
      <c r="P26" s="37">
        <v>47000</v>
      </c>
      <c r="Q26" s="38">
        <f t="shared" si="0"/>
        <v>5070219</v>
      </c>
      <c r="R26" s="39" t="s">
        <v>32</v>
      </c>
      <c r="S26" s="44">
        <v>107.877</v>
      </c>
      <c r="T26" s="40">
        <f t="shared" si="8"/>
        <v>41933</v>
      </c>
      <c r="U26" s="11" t="s">
        <v>38</v>
      </c>
      <c r="V26" s="41">
        <f t="shared" si="2"/>
        <v>6084.2627999999995</v>
      </c>
      <c r="W26" s="32">
        <v>155.72999999999999</v>
      </c>
      <c r="X26" s="38">
        <f t="shared" si="3"/>
        <v>947502.2458439999</v>
      </c>
      <c r="Y26" s="45">
        <v>947502.25</v>
      </c>
      <c r="Z26" s="40">
        <v>41877</v>
      </c>
      <c r="AA26" s="46">
        <v>4418</v>
      </c>
      <c r="AB26" s="72"/>
    </row>
    <row r="27" spans="2:28" ht="21.75" customHeight="1">
      <c r="B27" s="31">
        <f t="shared" si="7"/>
        <v>23</v>
      </c>
      <c r="C27" s="11" t="s">
        <v>279</v>
      </c>
      <c r="D27" s="11" t="s">
        <v>312</v>
      </c>
      <c r="E27" s="17">
        <v>41879</v>
      </c>
      <c r="F27" s="34" t="s">
        <v>296</v>
      </c>
      <c r="G27" s="11" t="s">
        <v>38</v>
      </c>
      <c r="H27" s="11" t="s">
        <v>82</v>
      </c>
      <c r="I27" s="11" t="s">
        <v>97</v>
      </c>
      <c r="J27" s="35">
        <v>801.22</v>
      </c>
      <c r="K27" s="33">
        <v>41844</v>
      </c>
      <c r="L27" s="36" t="s">
        <v>260</v>
      </c>
      <c r="M27" s="36" t="s">
        <v>46</v>
      </c>
      <c r="N27" s="11" t="s">
        <v>40</v>
      </c>
      <c r="O27" s="13" t="s">
        <v>41</v>
      </c>
      <c r="P27" s="37">
        <v>40000</v>
      </c>
      <c r="Q27" s="38">
        <f t="shared" si="0"/>
        <v>4315080</v>
      </c>
      <c r="R27" s="39" t="s">
        <v>32</v>
      </c>
      <c r="S27" s="44">
        <v>107.877</v>
      </c>
      <c r="T27" s="40">
        <f t="shared" si="8"/>
        <v>41933</v>
      </c>
      <c r="U27" s="11" t="s">
        <v>38</v>
      </c>
      <c r="V27" s="41">
        <f t="shared" si="2"/>
        <v>5178.0959999999995</v>
      </c>
      <c r="W27" s="32">
        <v>155.72999999999999</v>
      </c>
      <c r="X27" s="38">
        <f t="shared" si="3"/>
        <v>806384.89007999992</v>
      </c>
      <c r="Y27" s="45">
        <v>806384.89</v>
      </c>
      <c r="Z27" s="40">
        <v>41877</v>
      </c>
      <c r="AA27" s="46">
        <v>4419</v>
      </c>
      <c r="AB27" s="72"/>
    </row>
    <row r="28" spans="2:28" ht="21.75" customHeight="1">
      <c r="B28" s="31">
        <f t="shared" si="7"/>
        <v>24</v>
      </c>
      <c r="C28" s="11" t="s">
        <v>280</v>
      </c>
      <c r="D28" s="11" t="s">
        <v>313</v>
      </c>
      <c r="E28" s="17">
        <v>41879</v>
      </c>
      <c r="F28" s="34" t="s">
        <v>255</v>
      </c>
      <c r="G28" s="11" t="s">
        <v>113</v>
      </c>
      <c r="H28" s="11" t="s">
        <v>82</v>
      </c>
      <c r="I28" s="11" t="s">
        <v>97</v>
      </c>
      <c r="J28" s="35">
        <v>801.22</v>
      </c>
      <c r="K28" s="33">
        <v>41844</v>
      </c>
      <c r="L28" s="36" t="s">
        <v>260</v>
      </c>
      <c r="M28" s="36" t="s">
        <v>46</v>
      </c>
      <c r="N28" s="11" t="s">
        <v>40</v>
      </c>
      <c r="O28" s="13" t="s">
        <v>41</v>
      </c>
      <c r="P28" s="37">
        <v>54000</v>
      </c>
      <c r="Q28" s="38">
        <f t="shared" si="0"/>
        <v>5825358</v>
      </c>
      <c r="R28" s="39" t="s">
        <v>32</v>
      </c>
      <c r="S28" s="44">
        <v>107.877</v>
      </c>
      <c r="T28" s="40">
        <f t="shared" si="8"/>
        <v>41933</v>
      </c>
      <c r="U28" s="11" t="s">
        <v>38</v>
      </c>
      <c r="V28" s="41">
        <f t="shared" si="2"/>
        <v>6990.4295999999995</v>
      </c>
      <c r="W28" s="32">
        <v>155.72999999999999</v>
      </c>
      <c r="X28" s="38">
        <f t="shared" si="3"/>
        <v>1088619.6016079998</v>
      </c>
      <c r="Y28" s="45">
        <v>1088619.6000000001</v>
      </c>
      <c r="Z28" s="40">
        <v>41877</v>
      </c>
      <c r="AA28" s="46">
        <v>4420</v>
      </c>
      <c r="AB28" s="72"/>
    </row>
    <row r="29" spans="2:28" ht="21.75" customHeight="1">
      <c r="B29" s="31">
        <f t="shared" si="7"/>
        <v>25</v>
      </c>
      <c r="C29" s="11" t="s">
        <v>281</v>
      </c>
      <c r="D29" s="47" t="s">
        <v>65</v>
      </c>
      <c r="E29" s="17"/>
      <c r="F29" s="34" t="s">
        <v>256</v>
      </c>
      <c r="G29" s="11" t="s">
        <v>96</v>
      </c>
      <c r="H29" s="11" t="s">
        <v>83</v>
      </c>
      <c r="I29" s="11" t="s">
        <v>97</v>
      </c>
      <c r="J29" s="35">
        <v>801.22</v>
      </c>
      <c r="K29" s="33">
        <v>41844</v>
      </c>
      <c r="L29" s="36" t="s">
        <v>260</v>
      </c>
      <c r="M29" s="36" t="s">
        <v>46</v>
      </c>
      <c r="N29" s="11" t="s">
        <v>40</v>
      </c>
      <c r="O29" s="13" t="s">
        <v>41</v>
      </c>
      <c r="P29" s="37">
        <v>209000</v>
      </c>
      <c r="Q29" s="38">
        <f t="shared" si="0"/>
        <v>22598334</v>
      </c>
      <c r="R29" s="39" t="s">
        <v>32</v>
      </c>
      <c r="S29" s="44">
        <v>108.126</v>
      </c>
      <c r="T29" s="40">
        <f t="shared" si="8"/>
        <v>41933</v>
      </c>
      <c r="U29" s="11" t="s">
        <v>100</v>
      </c>
      <c r="V29" s="41">
        <f t="shared" si="2"/>
        <v>27118.000799999998</v>
      </c>
      <c r="W29" s="32">
        <v>155.72999999999999</v>
      </c>
      <c r="X29" s="38">
        <f t="shared" si="3"/>
        <v>4223086.2645839993</v>
      </c>
      <c r="Y29" s="49">
        <v>0</v>
      </c>
      <c r="Z29" s="32"/>
      <c r="AA29" s="32"/>
      <c r="AB29" s="72"/>
    </row>
    <row r="30" spans="2:28" ht="27.75" customHeight="1">
      <c r="B30" s="31">
        <f t="shared" si="7"/>
        <v>26</v>
      </c>
      <c r="C30" s="11" t="s">
        <v>282</v>
      </c>
      <c r="D30" s="47" t="s">
        <v>65</v>
      </c>
      <c r="E30" s="17"/>
      <c r="F30" s="34" t="s">
        <v>292</v>
      </c>
      <c r="G30" s="11" t="s">
        <v>94</v>
      </c>
      <c r="H30" s="36" t="s">
        <v>50</v>
      </c>
      <c r="I30" s="11" t="s">
        <v>97</v>
      </c>
      <c r="J30" s="35">
        <v>801.22</v>
      </c>
      <c r="K30" s="33">
        <v>41850</v>
      </c>
      <c r="L30" s="36" t="s">
        <v>57</v>
      </c>
      <c r="M30" s="36" t="s">
        <v>46</v>
      </c>
      <c r="N30" s="11" t="s">
        <v>56</v>
      </c>
      <c r="O30" s="13" t="s">
        <v>263</v>
      </c>
      <c r="P30" s="50">
        <v>722963</v>
      </c>
      <c r="Q30" s="51">
        <f t="shared" si="0"/>
        <v>77388851.371999994</v>
      </c>
      <c r="R30" s="39" t="s">
        <v>32</v>
      </c>
      <c r="S30" s="52">
        <v>107.044</v>
      </c>
      <c r="T30" s="40">
        <f t="shared" si="8"/>
        <v>41939</v>
      </c>
      <c r="U30" s="11" t="s">
        <v>37</v>
      </c>
      <c r="V30" s="53">
        <f t="shared" si="2"/>
        <v>92866.621646399988</v>
      </c>
      <c r="W30" s="32">
        <v>155.72999999999999</v>
      </c>
      <c r="X30" s="51">
        <f t="shared" si="3"/>
        <v>14462118.98899387</v>
      </c>
      <c r="Y30" s="54">
        <v>0</v>
      </c>
      <c r="Z30" s="32"/>
      <c r="AA30" s="32"/>
      <c r="AB30" s="72"/>
    </row>
    <row r="31" spans="2:28" ht="20.25" customHeight="1">
      <c r="B31" s="31">
        <f t="shared" si="7"/>
        <v>27</v>
      </c>
      <c r="C31" s="11" t="s">
        <v>344</v>
      </c>
      <c r="D31" s="47" t="s">
        <v>65</v>
      </c>
      <c r="E31" s="17"/>
      <c r="F31" s="34" t="s">
        <v>322</v>
      </c>
      <c r="G31" s="11" t="s">
        <v>106</v>
      </c>
      <c r="H31" s="11" t="s">
        <v>182</v>
      </c>
      <c r="I31" s="11" t="s">
        <v>97</v>
      </c>
      <c r="J31" s="35">
        <v>801.22</v>
      </c>
      <c r="K31" s="33">
        <v>41854</v>
      </c>
      <c r="L31" s="36" t="s">
        <v>336</v>
      </c>
      <c r="M31" s="36" t="s">
        <v>46</v>
      </c>
      <c r="N31" s="11" t="s">
        <v>52</v>
      </c>
      <c r="O31" s="55" t="s">
        <v>53</v>
      </c>
      <c r="P31" s="56">
        <v>627201</v>
      </c>
      <c r="Q31" s="51">
        <f t="shared" si="0"/>
        <v>64809306.531000003</v>
      </c>
      <c r="R31" s="39" t="s">
        <v>32</v>
      </c>
      <c r="S31" s="7">
        <v>103.331</v>
      </c>
      <c r="T31" s="40">
        <f t="shared" si="8"/>
        <v>41943</v>
      </c>
      <c r="U31" s="11" t="s">
        <v>37</v>
      </c>
      <c r="V31" s="53">
        <f t="shared" si="2"/>
        <v>77771.167837200002</v>
      </c>
      <c r="W31" s="32">
        <v>155.72999999999999</v>
      </c>
      <c r="X31" s="51">
        <f t="shared" si="3"/>
        <v>12111303.967287155</v>
      </c>
      <c r="Y31" s="54">
        <v>0</v>
      </c>
      <c r="Z31" s="32"/>
      <c r="AA31" s="32"/>
      <c r="AB31" s="72"/>
    </row>
    <row r="32" spans="2:28" ht="20.25" customHeight="1">
      <c r="B32" s="31">
        <f t="shared" si="7"/>
        <v>28</v>
      </c>
      <c r="C32" s="11" t="s">
        <v>345</v>
      </c>
      <c r="D32" s="11" t="s">
        <v>366</v>
      </c>
      <c r="E32" s="17">
        <v>41906</v>
      </c>
      <c r="F32" s="34" t="s">
        <v>323</v>
      </c>
      <c r="G32" s="11" t="s">
        <v>38</v>
      </c>
      <c r="H32" s="11" t="s">
        <v>82</v>
      </c>
      <c r="I32" s="11" t="s">
        <v>97</v>
      </c>
      <c r="J32" s="35">
        <v>801.22</v>
      </c>
      <c r="K32" s="33">
        <v>41854</v>
      </c>
      <c r="L32" s="36" t="s">
        <v>336</v>
      </c>
      <c r="M32" s="36" t="s">
        <v>46</v>
      </c>
      <c r="N32" s="11" t="s">
        <v>52</v>
      </c>
      <c r="O32" s="55" t="s">
        <v>53</v>
      </c>
      <c r="P32" s="56">
        <v>42000</v>
      </c>
      <c r="Q32" s="51">
        <f t="shared" si="0"/>
        <v>4263714</v>
      </c>
      <c r="R32" s="39" t="s">
        <v>32</v>
      </c>
      <c r="S32" s="7">
        <v>101.517</v>
      </c>
      <c r="T32" s="40">
        <f t="shared" si="8"/>
        <v>41943</v>
      </c>
      <c r="U32" s="11" t="s">
        <v>38</v>
      </c>
      <c r="V32" s="53">
        <f t="shared" si="2"/>
        <v>5116.4567999999999</v>
      </c>
      <c r="W32" s="32">
        <v>155.72999999999999</v>
      </c>
      <c r="X32" s="51">
        <f t="shared" si="3"/>
        <v>796785.81746399996</v>
      </c>
      <c r="Y32" s="42">
        <v>796785.82</v>
      </c>
      <c r="Z32" s="40">
        <v>41905</v>
      </c>
      <c r="AA32" s="46">
        <v>4424</v>
      </c>
      <c r="AB32" s="72"/>
    </row>
    <row r="33" spans="2:28" ht="20.25" customHeight="1">
      <c r="B33" s="31">
        <f t="shared" si="7"/>
        <v>29</v>
      </c>
      <c r="C33" s="11" t="s">
        <v>346</v>
      </c>
      <c r="D33" s="47" t="s">
        <v>65</v>
      </c>
      <c r="E33" s="17"/>
      <c r="F33" s="34" t="s">
        <v>324</v>
      </c>
      <c r="G33" s="11" t="s">
        <v>96</v>
      </c>
      <c r="H33" s="11" t="s">
        <v>76</v>
      </c>
      <c r="I33" s="11" t="s">
        <v>97</v>
      </c>
      <c r="J33" s="35">
        <v>801.22</v>
      </c>
      <c r="K33" s="33">
        <v>41854</v>
      </c>
      <c r="L33" s="36" t="s">
        <v>336</v>
      </c>
      <c r="M33" s="36" t="s">
        <v>46</v>
      </c>
      <c r="N33" s="11" t="s">
        <v>52</v>
      </c>
      <c r="O33" s="55" t="s">
        <v>53</v>
      </c>
      <c r="P33" s="56">
        <v>38000</v>
      </c>
      <c r="Q33" s="51">
        <f t="shared" si="0"/>
        <v>3921904</v>
      </c>
      <c r="R33" s="39" t="s">
        <v>32</v>
      </c>
      <c r="S33" s="7">
        <v>103.208</v>
      </c>
      <c r="T33" s="40">
        <f t="shared" si="8"/>
        <v>41943</v>
      </c>
      <c r="U33" s="11" t="s">
        <v>100</v>
      </c>
      <c r="V33" s="53">
        <f t="shared" ref="V33:V79" si="9">SUM(Q33*0.12%)</f>
        <v>4706.2847999999994</v>
      </c>
      <c r="W33" s="32">
        <v>155.72999999999999</v>
      </c>
      <c r="X33" s="51">
        <f t="shared" si="3"/>
        <v>732909.73190399981</v>
      </c>
      <c r="Y33" s="54">
        <v>0</v>
      </c>
      <c r="Z33" s="32"/>
      <c r="AA33" s="32"/>
      <c r="AB33" s="72"/>
    </row>
    <row r="34" spans="2:28" ht="20.25" customHeight="1">
      <c r="B34" s="31">
        <f t="shared" si="7"/>
        <v>30</v>
      </c>
      <c r="C34" s="11" t="s">
        <v>347</v>
      </c>
      <c r="D34" s="17" t="s">
        <v>316</v>
      </c>
      <c r="E34" s="17">
        <v>41882</v>
      </c>
      <c r="F34" s="34" t="s">
        <v>325</v>
      </c>
      <c r="G34" s="11" t="s">
        <v>117</v>
      </c>
      <c r="H34" s="11" t="s">
        <v>42</v>
      </c>
      <c r="I34" s="11" t="s">
        <v>34</v>
      </c>
      <c r="J34" s="35">
        <v>801.22</v>
      </c>
      <c r="K34" s="33">
        <v>41857</v>
      </c>
      <c r="L34" s="36" t="s">
        <v>337</v>
      </c>
      <c r="M34" s="36" t="s">
        <v>35</v>
      </c>
      <c r="N34" s="11" t="s">
        <v>70</v>
      </c>
      <c r="O34" s="13" t="s">
        <v>129</v>
      </c>
      <c r="P34" s="56">
        <v>950202</v>
      </c>
      <c r="Q34" s="51">
        <f t="shared" si="0"/>
        <v>98874219.311999992</v>
      </c>
      <c r="R34" s="39" t="s">
        <v>32</v>
      </c>
      <c r="S34" s="7">
        <v>104.056</v>
      </c>
      <c r="T34" s="40">
        <f t="shared" si="8"/>
        <v>41946</v>
      </c>
      <c r="U34" s="11" t="s">
        <v>117</v>
      </c>
      <c r="V34" s="53">
        <f t="shared" si="9"/>
        <v>118649.06317439998</v>
      </c>
      <c r="W34" s="32">
        <v>155.72999999999999</v>
      </c>
      <c r="X34" s="51">
        <f t="shared" si="3"/>
        <v>18477218.608149309</v>
      </c>
      <c r="Y34" s="42">
        <f t="shared" ref="Y34:Y36" si="10">X34</f>
        <v>18477218.608149309</v>
      </c>
      <c r="Z34" s="32"/>
      <c r="AA34" s="32"/>
      <c r="AB34" s="72"/>
    </row>
    <row r="35" spans="2:28" ht="20.25" customHeight="1">
      <c r="B35" s="31">
        <f t="shared" si="7"/>
        <v>31</v>
      </c>
      <c r="C35" s="11" t="s">
        <v>348</v>
      </c>
      <c r="D35" s="17" t="s">
        <v>317</v>
      </c>
      <c r="E35" s="17">
        <v>41882</v>
      </c>
      <c r="F35" s="64" t="s">
        <v>326</v>
      </c>
      <c r="G35" s="11" t="s">
        <v>117</v>
      </c>
      <c r="H35" s="11" t="s">
        <v>42</v>
      </c>
      <c r="I35" s="11" t="s">
        <v>43</v>
      </c>
      <c r="J35" s="35">
        <v>801.22</v>
      </c>
      <c r="K35" s="17">
        <v>41861</v>
      </c>
      <c r="L35" s="11" t="s">
        <v>338</v>
      </c>
      <c r="M35" s="11" t="s">
        <v>44</v>
      </c>
      <c r="N35" s="11" t="s">
        <v>77</v>
      </c>
      <c r="O35" s="13" t="s">
        <v>78</v>
      </c>
      <c r="P35" s="56">
        <v>899711</v>
      </c>
      <c r="Q35" s="38">
        <f t="shared" si="0"/>
        <v>93354013.359999999</v>
      </c>
      <c r="R35" s="39" t="s">
        <v>32</v>
      </c>
      <c r="S35" s="82">
        <v>103.76</v>
      </c>
      <c r="T35" s="40">
        <f t="shared" si="8"/>
        <v>41950</v>
      </c>
      <c r="U35" s="11" t="s">
        <v>117</v>
      </c>
      <c r="V35" s="41">
        <f t="shared" si="9"/>
        <v>112024.81603199999</v>
      </c>
      <c r="W35" s="32">
        <v>155.72999999999999</v>
      </c>
      <c r="X35" s="38">
        <f t="shared" ref="X35:X50" si="11">SUM(V35*W35)</f>
        <v>17445624.600663356</v>
      </c>
      <c r="Y35" s="45">
        <f t="shared" si="10"/>
        <v>17445624.600663356</v>
      </c>
      <c r="Z35" s="32"/>
      <c r="AA35" s="32"/>
      <c r="AB35" s="72"/>
    </row>
    <row r="36" spans="2:28" ht="24.75" customHeight="1">
      <c r="B36" s="31">
        <f t="shared" si="7"/>
        <v>32</v>
      </c>
      <c r="C36" s="11" t="s">
        <v>349</v>
      </c>
      <c r="D36" s="17" t="s">
        <v>318</v>
      </c>
      <c r="E36" s="17">
        <v>41882</v>
      </c>
      <c r="F36" s="64" t="s">
        <v>327</v>
      </c>
      <c r="G36" s="11" t="s">
        <v>117</v>
      </c>
      <c r="H36" s="11" t="s">
        <v>42</v>
      </c>
      <c r="I36" s="11" t="s">
        <v>97</v>
      </c>
      <c r="J36" s="35">
        <v>801.22</v>
      </c>
      <c r="K36" s="17">
        <v>41864</v>
      </c>
      <c r="L36" s="11" t="s">
        <v>64</v>
      </c>
      <c r="M36" s="11" t="s">
        <v>46</v>
      </c>
      <c r="N36" s="11" t="s">
        <v>31</v>
      </c>
      <c r="O36" s="13" t="s">
        <v>89</v>
      </c>
      <c r="P36" s="56">
        <v>949173</v>
      </c>
      <c r="Q36" s="38">
        <f t="shared" si="0"/>
        <v>96523300.715999991</v>
      </c>
      <c r="R36" s="39" t="s">
        <v>32</v>
      </c>
      <c r="S36" s="82">
        <v>101.69199999999999</v>
      </c>
      <c r="T36" s="40">
        <f t="shared" si="8"/>
        <v>41953</v>
      </c>
      <c r="U36" s="11" t="s">
        <v>117</v>
      </c>
      <c r="V36" s="41">
        <f t="shared" si="9"/>
        <v>115827.96085919999</v>
      </c>
      <c r="W36" s="32">
        <v>155.72999999999999</v>
      </c>
      <c r="X36" s="38">
        <f t="shared" si="11"/>
        <v>18037888.344603214</v>
      </c>
      <c r="Y36" s="45">
        <f t="shared" si="10"/>
        <v>18037888.344603214</v>
      </c>
      <c r="Z36" s="32"/>
      <c r="AA36" s="32"/>
      <c r="AB36" s="72"/>
    </row>
    <row r="37" spans="2:28" ht="36" customHeight="1">
      <c r="B37" s="31">
        <f>B36+1</f>
        <v>33</v>
      </c>
      <c r="C37" s="11" t="s">
        <v>350</v>
      </c>
      <c r="D37" s="47" t="s">
        <v>365</v>
      </c>
      <c r="E37" s="40">
        <v>41893</v>
      </c>
      <c r="F37" s="34" t="s">
        <v>328</v>
      </c>
      <c r="G37" s="11" t="s">
        <v>102</v>
      </c>
      <c r="H37" s="11" t="s">
        <v>118</v>
      </c>
      <c r="I37" s="11" t="s">
        <v>104</v>
      </c>
      <c r="J37" s="35">
        <v>801.22</v>
      </c>
      <c r="K37" s="33">
        <v>41867</v>
      </c>
      <c r="L37" s="36" t="s">
        <v>339</v>
      </c>
      <c r="M37" s="36" t="s">
        <v>105</v>
      </c>
      <c r="N37" s="11" t="s">
        <v>72</v>
      </c>
      <c r="O37" s="13" t="s">
        <v>108</v>
      </c>
      <c r="P37" s="56">
        <v>701101</v>
      </c>
      <c r="Q37" s="51">
        <f t="shared" si="0"/>
        <v>66076665.946999997</v>
      </c>
      <c r="R37" s="39" t="s">
        <v>32</v>
      </c>
      <c r="S37" s="7">
        <v>94.247</v>
      </c>
      <c r="T37" s="40">
        <f t="shared" si="8"/>
        <v>41956</v>
      </c>
      <c r="U37" s="11" t="s">
        <v>106</v>
      </c>
      <c r="V37" s="53">
        <f t="shared" si="9"/>
        <v>79291.999136399987</v>
      </c>
      <c r="W37" s="32">
        <v>155.72999999999999</v>
      </c>
      <c r="X37" s="51">
        <f t="shared" si="11"/>
        <v>12348143.025511568</v>
      </c>
      <c r="Y37" s="42">
        <v>12348143.029999999</v>
      </c>
      <c r="Z37" s="40">
        <v>41886</v>
      </c>
      <c r="AA37" s="46">
        <v>3613</v>
      </c>
      <c r="AB37" s="72"/>
    </row>
    <row r="38" spans="2:28" ht="25.5" customHeight="1">
      <c r="B38" s="31">
        <f t="shared" si="7"/>
        <v>34</v>
      </c>
      <c r="C38" s="11" t="s">
        <v>351</v>
      </c>
      <c r="D38" s="47" t="s">
        <v>65</v>
      </c>
      <c r="E38" s="17"/>
      <c r="F38" s="12">
        <v>201400020014</v>
      </c>
      <c r="G38" s="11" t="s">
        <v>94</v>
      </c>
      <c r="H38" s="11" t="s">
        <v>28</v>
      </c>
      <c r="I38" s="11" t="s">
        <v>29</v>
      </c>
      <c r="J38" s="35">
        <v>801.22</v>
      </c>
      <c r="K38" s="33">
        <v>41869</v>
      </c>
      <c r="L38" s="36" t="s">
        <v>340</v>
      </c>
      <c r="M38" s="43" t="s">
        <v>30</v>
      </c>
      <c r="N38" s="11" t="s">
        <v>84</v>
      </c>
      <c r="O38" s="13" t="s">
        <v>342</v>
      </c>
      <c r="P38" s="56">
        <v>948196</v>
      </c>
      <c r="Q38" s="51">
        <f t="shared" si="0"/>
        <v>93651422.527999997</v>
      </c>
      <c r="R38" s="39" t="s">
        <v>32</v>
      </c>
      <c r="S38" s="44">
        <v>98.768000000000001</v>
      </c>
      <c r="T38" s="40">
        <f t="shared" si="8"/>
        <v>41958</v>
      </c>
      <c r="U38" s="11" t="s">
        <v>27</v>
      </c>
      <c r="V38" s="53">
        <f t="shared" si="9"/>
        <v>112381.70703359999</v>
      </c>
      <c r="W38" s="32">
        <v>155.72999999999999</v>
      </c>
      <c r="X38" s="51">
        <f t="shared" si="11"/>
        <v>17501203.236342523</v>
      </c>
      <c r="Y38" s="54">
        <v>0</v>
      </c>
      <c r="Z38" s="32"/>
      <c r="AA38" s="32"/>
      <c r="AB38" s="72"/>
    </row>
    <row r="39" spans="2:28" ht="25.5" customHeight="1">
      <c r="B39" s="31">
        <f t="shared" si="7"/>
        <v>35</v>
      </c>
      <c r="C39" s="11" t="s">
        <v>352</v>
      </c>
      <c r="D39" s="47" t="s">
        <v>65</v>
      </c>
      <c r="E39" s="17"/>
      <c r="F39" s="12">
        <v>201400010342</v>
      </c>
      <c r="G39" s="11" t="s">
        <v>94</v>
      </c>
      <c r="H39" s="11" t="s">
        <v>45</v>
      </c>
      <c r="I39" s="11" t="s">
        <v>97</v>
      </c>
      <c r="J39" s="35">
        <v>801.22</v>
      </c>
      <c r="K39" s="33">
        <v>41873</v>
      </c>
      <c r="L39" s="36" t="s">
        <v>341</v>
      </c>
      <c r="M39" s="43" t="s">
        <v>46</v>
      </c>
      <c r="N39" s="11" t="s">
        <v>47</v>
      </c>
      <c r="O39" s="13" t="s">
        <v>68</v>
      </c>
      <c r="P39" s="56">
        <v>80000</v>
      </c>
      <c r="Q39" s="51">
        <f t="shared" si="0"/>
        <v>8049888</v>
      </c>
      <c r="R39" s="39" t="s">
        <v>32</v>
      </c>
      <c r="S39" s="44">
        <v>100.6236</v>
      </c>
      <c r="T39" s="40">
        <f t="shared" si="8"/>
        <v>41962</v>
      </c>
      <c r="U39" s="11" t="s">
        <v>37</v>
      </c>
      <c r="V39" s="53">
        <f t="shared" si="9"/>
        <v>9659.8655999999992</v>
      </c>
      <c r="W39" s="32">
        <v>155.72999999999999</v>
      </c>
      <c r="X39" s="51">
        <f t="shared" si="11"/>
        <v>1504330.8698879997</v>
      </c>
      <c r="Y39" s="54">
        <v>0</v>
      </c>
      <c r="Z39" s="32"/>
      <c r="AA39" s="32"/>
      <c r="AB39" s="72"/>
    </row>
    <row r="40" spans="2:28" ht="25.5" customHeight="1">
      <c r="B40" s="31">
        <f t="shared" si="7"/>
        <v>36</v>
      </c>
      <c r="C40" s="11" t="s">
        <v>353</v>
      </c>
      <c r="D40" s="47" t="s">
        <v>65</v>
      </c>
      <c r="E40" s="17"/>
      <c r="F40" s="12">
        <v>201400010343</v>
      </c>
      <c r="G40" s="11" t="s">
        <v>94</v>
      </c>
      <c r="H40" s="11" t="s">
        <v>50</v>
      </c>
      <c r="I40" s="11" t="s">
        <v>97</v>
      </c>
      <c r="J40" s="35">
        <v>801.22</v>
      </c>
      <c r="K40" s="33">
        <v>41873</v>
      </c>
      <c r="L40" s="36" t="s">
        <v>341</v>
      </c>
      <c r="M40" s="43" t="s">
        <v>46</v>
      </c>
      <c r="N40" s="11" t="s">
        <v>47</v>
      </c>
      <c r="O40" s="13" t="s">
        <v>68</v>
      </c>
      <c r="P40" s="56">
        <v>130000</v>
      </c>
      <c r="Q40" s="51">
        <f t="shared" si="0"/>
        <v>13081068</v>
      </c>
      <c r="R40" s="39" t="s">
        <v>32</v>
      </c>
      <c r="S40" s="44">
        <v>100.6236</v>
      </c>
      <c r="T40" s="40">
        <f t="shared" si="8"/>
        <v>41962</v>
      </c>
      <c r="U40" s="11" t="s">
        <v>37</v>
      </c>
      <c r="V40" s="53">
        <f t="shared" si="9"/>
        <v>15697.281599999998</v>
      </c>
      <c r="W40" s="32">
        <v>155.72999999999999</v>
      </c>
      <c r="X40" s="51">
        <f t="shared" si="11"/>
        <v>2444537.6635679994</v>
      </c>
      <c r="Y40" s="54">
        <v>0</v>
      </c>
      <c r="Z40" s="32"/>
      <c r="AA40" s="32"/>
      <c r="AB40" s="72"/>
    </row>
    <row r="41" spans="2:28" ht="25.5" customHeight="1">
      <c r="B41" s="31">
        <f t="shared" si="7"/>
        <v>37</v>
      </c>
      <c r="C41" s="11" t="s">
        <v>354</v>
      </c>
      <c r="D41" s="47" t="s">
        <v>65</v>
      </c>
      <c r="E41" s="17"/>
      <c r="F41" s="12">
        <v>201400010344</v>
      </c>
      <c r="G41" s="11" t="s">
        <v>94</v>
      </c>
      <c r="H41" s="11" t="s">
        <v>50</v>
      </c>
      <c r="I41" s="11" t="s">
        <v>97</v>
      </c>
      <c r="J41" s="35">
        <v>801.22</v>
      </c>
      <c r="K41" s="33">
        <v>41873</v>
      </c>
      <c r="L41" s="36" t="s">
        <v>341</v>
      </c>
      <c r="M41" s="43" t="s">
        <v>46</v>
      </c>
      <c r="N41" s="11" t="s">
        <v>47</v>
      </c>
      <c r="O41" s="13" t="s">
        <v>68</v>
      </c>
      <c r="P41" s="56">
        <v>461917</v>
      </c>
      <c r="Q41" s="51">
        <f t="shared" si="0"/>
        <v>46479751.441199996</v>
      </c>
      <c r="R41" s="39" t="s">
        <v>32</v>
      </c>
      <c r="S41" s="44">
        <v>100.6236</v>
      </c>
      <c r="T41" s="40">
        <f t="shared" si="8"/>
        <v>41962</v>
      </c>
      <c r="U41" s="11" t="s">
        <v>37</v>
      </c>
      <c r="V41" s="53">
        <f t="shared" si="9"/>
        <v>55775.701729439992</v>
      </c>
      <c r="W41" s="32">
        <v>155.72999999999999</v>
      </c>
      <c r="X41" s="51">
        <f t="shared" si="11"/>
        <v>8685950.0303256903</v>
      </c>
      <c r="Y41" s="54">
        <v>0</v>
      </c>
      <c r="Z41" s="32"/>
      <c r="AA41" s="32"/>
      <c r="AB41" s="72"/>
    </row>
    <row r="42" spans="2:28" ht="25.5" customHeight="1">
      <c r="B42" s="31">
        <f t="shared" si="7"/>
        <v>38</v>
      </c>
      <c r="C42" s="11" t="s">
        <v>355</v>
      </c>
      <c r="D42" s="11" t="s">
        <v>367</v>
      </c>
      <c r="E42" s="17">
        <v>41906</v>
      </c>
      <c r="F42" s="12">
        <v>201401010081</v>
      </c>
      <c r="G42" s="11" t="s">
        <v>38</v>
      </c>
      <c r="H42" s="11" t="s">
        <v>82</v>
      </c>
      <c r="I42" s="11" t="s">
        <v>97</v>
      </c>
      <c r="J42" s="35">
        <v>801.22</v>
      </c>
      <c r="K42" s="33">
        <v>41873</v>
      </c>
      <c r="L42" s="36" t="s">
        <v>341</v>
      </c>
      <c r="M42" s="43" t="s">
        <v>46</v>
      </c>
      <c r="N42" s="11" t="s">
        <v>47</v>
      </c>
      <c r="O42" s="13" t="s">
        <v>68</v>
      </c>
      <c r="P42" s="56">
        <v>34000</v>
      </c>
      <c r="Q42" s="51">
        <f t="shared" si="0"/>
        <v>3451578</v>
      </c>
      <c r="R42" s="39" t="s">
        <v>32</v>
      </c>
      <c r="S42" s="7">
        <v>101.517</v>
      </c>
      <c r="T42" s="40">
        <f t="shared" si="8"/>
        <v>41962</v>
      </c>
      <c r="U42" s="11" t="s">
        <v>38</v>
      </c>
      <c r="V42" s="53">
        <f t="shared" si="9"/>
        <v>4141.8935999999994</v>
      </c>
      <c r="W42" s="32">
        <v>155.72999999999999</v>
      </c>
      <c r="X42" s="51">
        <f t="shared" si="11"/>
        <v>645017.0903279999</v>
      </c>
      <c r="Y42" s="42">
        <v>645017.09</v>
      </c>
      <c r="Z42" s="40">
        <v>41886</v>
      </c>
      <c r="AA42" s="46">
        <v>4425</v>
      </c>
      <c r="AB42" s="72"/>
    </row>
    <row r="43" spans="2:28" ht="25.5" customHeight="1">
      <c r="B43" s="31">
        <f t="shared" si="7"/>
        <v>39</v>
      </c>
      <c r="C43" s="11" t="s">
        <v>356</v>
      </c>
      <c r="D43" s="11" t="s">
        <v>368</v>
      </c>
      <c r="E43" s="17">
        <v>41906</v>
      </c>
      <c r="F43" s="12">
        <v>201401010082</v>
      </c>
      <c r="G43" s="11" t="s">
        <v>38</v>
      </c>
      <c r="H43" s="11" t="s">
        <v>82</v>
      </c>
      <c r="I43" s="11" t="s">
        <v>97</v>
      </c>
      <c r="J43" s="35">
        <v>801.22</v>
      </c>
      <c r="K43" s="33">
        <v>41873</v>
      </c>
      <c r="L43" s="36" t="s">
        <v>341</v>
      </c>
      <c r="M43" s="43" t="s">
        <v>46</v>
      </c>
      <c r="N43" s="11" t="s">
        <v>47</v>
      </c>
      <c r="O43" s="13" t="s">
        <v>68</v>
      </c>
      <c r="P43" s="56">
        <v>19000</v>
      </c>
      <c r="Q43" s="51">
        <f t="shared" si="0"/>
        <v>1928823</v>
      </c>
      <c r="R43" s="39" t="s">
        <v>32</v>
      </c>
      <c r="S43" s="7">
        <v>101.517</v>
      </c>
      <c r="T43" s="40">
        <f t="shared" si="8"/>
        <v>41962</v>
      </c>
      <c r="U43" s="13" t="s">
        <v>38</v>
      </c>
      <c r="V43" s="53">
        <f t="shared" si="9"/>
        <v>2314.5875999999998</v>
      </c>
      <c r="W43" s="32">
        <v>155.72999999999999</v>
      </c>
      <c r="X43" s="51">
        <f t="shared" si="11"/>
        <v>360450.72694799997</v>
      </c>
      <c r="Y43" s="42">
        <v>360450.73</v>
      </c>
      <c r="Z43" s="40">
        <v>41886</v>
      </c>
      <c r="AA43" s="46">
        <v>4427</v>
      </c>
      <c r="AB43" s="72"/>
    </row>
    <row r="44" spans="2:28" ht="25.5" customHeight="1">
      <c r="B44" s="31">
        <f t="shared" si="7"/>
        <v>40</v>
      </c>
      <c r="C44" s="11" t="s">
        <v>357</v>
      </c>
      <c r="D44" s="11" t="s">
        <v>369</v>
      </c>
      <c r="E44" s="17">
        <v>41906</v>
      </c>
      <c r="F44" s="12">
        <v>20149030008</v>
      </c>
      <c r="G44" s="11" t="s">
        <v>113</v>
      </c>
      <c r="H44" s="11" t="s">
        <v>82</v>
      </c>
      <c r="I44" s="11" t="s">
        <v>97</v>
      </c>
      <c r="J44" s="35">
        <v>801.22</v>
      </c>
      <c r="K44" s="33">
        <v>41873</v>
      </c>
      <c r="L44" s="36" t="s">
        <v>341</v>
      </c>
      <c r="M44" s="43" t="s">
        <v>46</v>
      </c>
      <c r="N44" s="11" t="s">
        <v>47</v>
      </c>
      <c r="O44" s="13" t="s">
        <v>68</v>
      </c>
      <c r="P44" s="56">
        <v>65000</v>
      </c>
      <c r="Q44" s="51">
        <f t="shared" si="0"/>
        <v>6598605</v>
      </c>
      <c r="R44" s="39" t="s">
        <v>32</v>
      </c>
      <c r="S44" s="7">
        <v>101.517</v>
      </c>
      <c r="T44" s="40">
        <f t="shared" si="8"/>
        <v>41962</v>
      </c>
      <c r="U44" s="11" t="s">
        <v>38</v>
      </c>
      <c r="V44" s="53">
        <f t="shared" si="9"/>
        <v>7918.3259999999991</v>
      </c>
      <c r="W44" s="32">
        <v>155.72999999999999</v>
      </c>
      <c r="X44" s="51">
        <f t="shared" si="11"/>
        <v>1233120.9079799997</v>
      </c>
      <c r="Y44" s="42">
        <v>1233120.9099999999</v>
      </c>
      <c r="Z44" s="40">
        <v>41886</v>
      </c>
      <c r="AA44" s="46">
        <v>4426</v>
      </c>
      <c r="AB44" s="72"/>
    </row>
    <row r="45" spans="2:28" ht="25.5" customHeight="1">
      <c r="B45" s="57">
        <f t="shared" si="7"/>
        <v>41</v>
      </c>
      <c r="C45" s="11" t="s">
        <v>358</v>
      </c>
      <c r="D45" s="58" t="s">
        <v>65</v>
      </c>
      <c r="E45" s="59"/>
      <c r="F45" s="14" t="s">
        <v>329</v>
      </c>
      <c r="G45" s="15" t="s">
        <v>96</v>
      </c>
      <c r="H45" s="15" t="s">
        <v>335</v>
      </c>
      <c r="I45" s="15" t="s">
        <v>97</v>
      </c>
      <c r="J45" s="60">
        <v>801.22</v>
      </c>
      <c r="K45" s="61">
        <v>41873</v>
      </c>
      <c r="L45" s="62" t="s">
        <v>341</v>
      </c>
      <c r="M45" s="63" t="s">
        <v>46</v>
      </c>
      <c r="N45" s="15" t="s">
        <v>47</v>
      </c>
      <c r="O45" s="16" t="s">
        <v>68</v>
      </c>
      <c r="P45" s="56">
        <v>202000</v>
      </c>
      <c r="Q45" s="51">
        <f t="shared" si="0"/>
        <v>20325967.199999999</v>
      </c>
      <c r="R45" s="39" t="s">
        <v>32</v>
      </c>
      <c r="S45" s="44">
        <v>100.6236</v>
      </c>
      <c r="T45" s="40">
        <f t="shared" si="8"/>
        <v>41962</v>
      </c>
      <c r="U45" s="11" t="s">
        <v>100</v>
      </c>
      <c r="V45" s="53">
        <f t="shared" si="9"/>
        <v>24391.160639999998</v>
      </c>
      <c r="W45" s="32">
        <v>155.72999999999999</v>
      </c>
      <c r="X45" s="51">
        <f t="shared" si="11"/>
        <v>3798435.4464671994</v>
      </c>
      <c r="Y45" s="54">
        <v>0</v>
      </c>
      <c r="Z45" s="32"/>
      <c r="AA45" s="32"/>
      <c r="AB45" s="72"/>
    </row>
    <row r="46" spans="2:28" ht="25.5" customHeight="1">
      <c r="B46" s="31">
        <f t="shared" si="7"/>
        <v>42</v>
      </c>
      <c r="C46" s="11" t="s">
        <v>359</v>
      </c>
      <c r="D46" s="17" t="s">
        <v>319</v>
      </c>
      <c r="E46" s="17">
        <v>41882</v>
      </c>
      <c r="F46" s="12" t="s">
        <v>330</v>
      </c>
      <c r="G46" s="11" t="s">
        <v>117</v>
      </c>
      <c r="H46" s="11" t="s">
        <v>42</v>
      </c>
      <c r="I46" s="11" t="s">
        <v>34</v>
      </c>
      <c r="J46" s="35">
        <v>801.22</v>
      </c>
      <c r="K46" s="17">
        <v>41874</v>
      </c>
      <c r="L46" s="11" t="s">
        <v>95</v>
      </c>
      <c r="M46" s="11" t="s">
        <v>35</v>
      </c>
      <c r="N46" s="11" t="s">
        <v>72</v>
      </c>
      <c r="O46" s="13" t="s">
        <v>343</v>
      </c>
      <c r="P46" s="56">
        <v>950274</v>
      </c>
      <c r="Q46" s="51">
        <f t="shared" si="0"/>
        <v>96485690.480399996</v>
      </c>
      <c r="R46" s="39" t="s">
        <v>32</v>
      </c>
      <c r="S46" s="44">
        <v>101.5346</v>
      </c>
      <c r="T46" s="40">
        <f t="shared" si="8"/>
        <v>41963</v>
      </c>
      <c r="U46" s="11" t="s">
        <v>117</v>
      </c>
      <c r="V46" s="53">
        <f t="shared" si="9"/>
        <v>115782.82857647998</v>
      </c>
      <c r="W46" s="32">
        <v>155.72999999999999</v>
      </c>
      <c r="X46" s="51">
        <f t="shared" si="11"/>
        <v>18030859.894215226</v>
      </c>
      <c r="Y46" s="42">
        <f t="shared" ref="Y46" si="12">X46</f>
        <v>18030859.894215226</v>
      </c>
      <c r="Z46" s="32"/>
      <c r="AA46" s="32"/>
      <c r="AB46" s="72"/>
    </row>
    <row r="47" spans="2:28" ht="20.25" customHeight="1">
      <c r="B47" s="31">
        <f t="shared" si="7"/>
        <v>43</v>
      </c>
      <c r="C47" s="11" t="s">
        <v>360</v>
      </c>
      <c r="D47" s="47" t="s">
        <v>65</v>
      </c>
      <c r="E47" s="17"/>
      <c r="F47" s="64" t="s">
        <v>331</v>
      </c>
      <c r="G47" s="11" t="s">
        <v>49</v>
      </c>
      <c r="H47" s="11" t="s">
        <v>73</v>
      </c>
      <c r="I47" s="11" t="s">
        <v>54</v>
      </c>
      <c r="J47" s="35">
        <v>801.22</v>
      </c>
      <c r="K47" s="17">
        <v>41879</v>
      </c>
      <c r="L47" s="11" t="s">
        <v>110</v>
      </c>
      <c r="M47" s="11" t="s">
        <v>55</v>
      </c>
      <c r="N47" s="11" t="s">
        <v>70</v>
      </c>
      <c r="O47" s="13" t="s">
        <v>90</v>
      </c>
      <c r="P47" s="56">
        <v>254852</v>
      </c>
      <c r="Q47" s="51">
        <f t="shared" si="0"/>
        <v>25701059.643999998</v>
      </c>
      <c r="R47" s="39" t="s">
        <v>32</v>
      </c>
      <c r="S47" s="44">
        <v>100.84699999999999</v>
      </c>
      <c r="T47" s="40">
        <f t="shared" si="8"/>
        <v>41968</v>
      </c>
      <c r="U47" s="13" t="s">
        <v>49</v>
      </c>
      <c r="V47" s="53">
        <f t="shared" si="9"/>
        <v>30841.271572799993</v>
      </c>
      <c r="W47" s="32">
        <v>155.72999999999999</v>
      </c>
      <c r="X47" s="51">
        <f t="shared" si="11"/>
        <v>4802911.2220321428</v>
      </c>
      <c r="Y47" s="54">
        <v>0</v>
      </c>
      <c r="Z47" s="32"/>
      <c r="AA47" s="32"/>
      <c r="AB47" s="72"/>
    </row>
    <row r="48" spans="2:28" ht="20.25" customHeight="1">
      <c r="B48" s="31">
        <f t="shared" si="7"/>
        <v>44</v>
      </c>
      <c r="C48" s="11" t="s">
        <v>361</v>
      </c>
      <c r="D48" s="17" t="s">
        <v>320</v>
      </c>
      <c r="E48" s="17">
        <v>41882</v>
      </c>
      <c r="F48" s="64" t="s">
        <v>332</v>
      </c>
      <c r="G48" s="11" t="s">
        <v>117</v>
      </c>
      <c r="H48" s="11" t="s">
        <v>42</v>
      </c>
      <c r="I48" s="11" t="s">
        <v>97</v>
      </c>
      <c r="J48" s="35">
        <v>801.22</v>
      </c>
      <c r="K48" s="17">
        <v>41882</v>
      </c>
      <c r="L48" s="11" t="s">
        <v>81</v>
      </c>
      <c r="M48" s="11" t="s">
        <v>46</v>
      </c>
      <c r="N48" s="11" t="s">
        <v>69</v>
      </c>
      <c r="O48" s="13" t="s">
        <v>86</v>
      </c>
      <c r="P48" s="56">
        <v>24000</v>
      </c>
      <c r="Q48" s="51">
        <f t="shared" si="0"/>
        <v>2427648</v>
      </c>
      <c r="R48" s="39" t="s">
        <v>32</v>
      </c>
      <c r="S48" s="44">
        <v>101.152</v>
      </c>
      <c r="T48" s="40">
        <f t="shared" si="8"/>
        <v>41971</v>
      </c>
      <c r="U48" s="13" t="s">
        <v>117</v>
      </c>
      <c r="V48" s="53">
        <f t="shared" si="9"/>
        <v>2913.1775999999995</v>
      </c>
      <c r="W48" s="32">
        <v>155.72999999999999</v>
      </c>
      <c r="X48" s="51">
        <f t="shared" si="11"/>
        <v>453669.14764799993</v>
      </c>
      <c r="Y48" s="42">
        <f t="shared" ref="Y48:Y49" si="13">X48</f>
        <v>453669.14764799993</v>
      </c>
      <c r="Z48" s="32"/>
      <c r="AA48" s="32"/>
      <c r="AB48" s="72"/>
    </row>
    <row r="49" spans="2:28" ht="20.25" customHeight="1">
      <c r="B49" s="31">
        <f t="shared" si="7"/>
        <v>45</v>
      </c>
      <c r="C49" s="11" t="s">
        <v>362</v>
      </c>
      <c r="D49" s="17" t="s">
        <v>321</v>
      </c>
      <c r="E49" s="17">
        <v>41882</v>
      </c>
      <c r="F49" s="64" t="s">
        <v>333</v>
      </c>
      <c r="G49" s="11" t="s">
        <v>117</v>
      </c>
      <c r="H49" s="11" t="s">
        <v>42</v>
      </c>
      <c r="I49" s="11" t="s">
        <v>97</v>
      </c>
      <c r="J49" s="35">
        <v>801.22</v>
      </c>
      <c r="K49" s="17">
        <v>41882</v>
      </c>
      <c r="L49" s="11" t="s">
        <v>81</v>
      </c>
      <c r="M49" s="11" t="s">
        <v>46</v>
      </c>
      <c r="N49" s="11" t="s">
        <v>69</v>
      </c>
      <c r="O49" s="13" t="s">
        <v>86</v>
      </c>
      <c r="P49" s="56">
        <v>276000</v>
      </c>
      <c r="Q49" s="51">
        <f t="shared" si="0"/>
        <v>27917952</v>
      </c>
      <c r="R49" s="39" t="s">
        <v>32</v>
      </c>
      <c r="S49" s="44">
        <v>101.152</v>
      </c>
      <c r="T49" s="40">
        <f t="shared" si="8"/>
        <v>41971</v>
      </c>
      <c r="U49" s="13" t="s">
        <v>117</v>
      </c>
      <c r="V49" s="53">
        <f t="shared" si="9"/>
        <v>33501.542399999998</v>
      </c>
      <c r="W49" s="32">
        <v>155.72999999999999</v>
      </c>
      <c r="X49" s="51">
        <f t="shared" si="11"/>
        <v>5217195.1979519995</v>
      </c>
      <c r="Y49" s="42">
        <f t="shared" si="13"/>
        <v>5217195.1979519995</v>
      </c>
      <c r="Z49" s="32"/>
      <c r="AA49" s="32"/>
      <c r="AB49" s="72"/>
    </row>
    <row r="50" spans="2:28" ht="20.25" customHeight="1">
      <c r="B50" s="31">
        <f t="shared" si="7"/>
        <v>46</v>
      </c>
      <c r="C50" s="11" t="s">
        <v>363</v>
      </c>
      <c r="D50" s="47" t="s">
        <v>65</v>
      </c>
      <c r="E50" s="17"/>
      <c r="F50" s="12" t="s">
        <v>334</v>
      </c>
      <c r="G50" s="11" t="s">
        <v>117</v>
      </c>
      <c r="H50" s="11" t="s">
        <v>42</v>
      </c>
      <c r="I50" s="11" t="s">
        <v>97</v>
      </c>
      <c r="J50" s="35">
        <v>801.22</v>
      </c>
      <c r="K50" s="17">
        <v>41882</v>
      </c>
      <c r="L50" s="11" t="s">
        <v>81</v>
      </c>
      <c r="M50" s="11" t="s">
        <v>46</v>
      </c>
      <c r="N50" s="11" t="s">
        <v>69</v>
      </c>
      <c r="O50" s="13" t="s">
        <v>86</v>
      </c>
      <c r="P50" s="56">
        <v>99471</v>
      </c>
      <c r="Q50" s="51">
        <f t="shared" si="0"/>
        <v>10061690.592</v>
      </c>
      <c r="R50" s="39" t="s">
        <v>32</v>
      </c>
      <c r="S50" s="44">
        <v>101.152</v>
      </c>
      <c r="T50" s="40">
        <f t="shared" si="8"/>
        <v>41971</v>
      </c>
      <c r="U50" s="13" t="s">
        <v>117</v>
      </c>
      <c r="V50" s="53">
        <f t="shared" si="9"/>
        <v>12074.0287104</v>
      </c>
      <c r="W50" s="32">
        <v>155.72999999999999</v>
      </c>
      <c r="X50" s="51">
        <f t="shared" si="11"/>
        <v>1880288.4910705918</v>
      </c>
      <c r="Y50" s="54">
        <v>0</v>
      </c>
      <c r="Z50" s="32"/>
      <c r="AA50" s="32"/>
      <c r="AB50" s="72"/>
    </row>
    <row r="51" spans="2:28" ht="23.25" customHeight="1">
      <c r="B51" s="31">
        <f t="shared" si="7"/>
        <v>47</v>
      </c>
      <c r="C51" s="11" t="s">
        <v>410</v>
      </c>
      <c r="D51" s="47" t="s">
        <v>65</v>
      </c>
      <c r="E51" s="17"/>
      <c r="F51" s="34" t="s">
        <v>375</v>
      </c>
      <c r="G51" s="11" t="s">
        <v>94</v>
      </c>
      <c r="H51" s="11" t="s">
        <v>28</v>
      </c>
      <c r="I51" s="11" t="s">
        <v>29</v>
      </c>
      <c r="J51" s="35">
        <v>801.22</v>
      </c>
      <c r="K51" s="33">
        <v>41884</v>
      </c>
      <c r="L51" s="36" t="s">
        <v>399</v>
      </c>
      <c r="M51" s="36" t="s">
        <v>30</v>
      </c>
      <c r="N51" s="11" t="s">
        <v>66</v>
      </c>
      <c r="O51" s="55" t="s">
        <v>406</v>
      </c>
      <c r="P51" s="37">
        <v>949286</v>
      </c>
      <c r="Q51" s="38">
        <f t="shared" si="0"/>
        <v>94216635.5</v>
      </c>
      <c r="R51" s="39" t="s">
        <v>32</v>
      </c>
      <c r="S51" s="7">
        <v>99.25</v>
      </c>
      <c r="T51" s="40">
        <f t="shared" si="8"/>
        <v>41973</v>
      </c>
      <c r="U51" s="13" t="s">
        <v>27</v>
      </c>
      <c r="V51" s="53">
        <f t="shared" si="9"/>
        <v>113059.96259999998</v>
      </c>
      <c r="W51" s="32">
        <v>155.75</v>
      </c>
      <c r="X51" s="51">
        <f t="shared" ref="X51:X79" si="14">SUM(V51*W51)</f>
        <v>17609089.174949996</v>
      </c>
      <c r="Y51" s="54">
        <v>0</v>
      </c>
      <c r="Z51" s="32"/>
      <c r="AA51" s="32"/>
      <c r="AB51" s="72"/>
    </row>
    <row r="52" spans="2:28" ht="24.75">
      <c r="B52" s="31">
        <f t="shared" si="7"/>
        <v>48</v>
      </c>
      <c r="C52" s="11" t="s">
        <v>414</v>
      </c>
      <c r="D52" s="47" t="s">
        <v>65</v>
      </c>
      <c r="E52" s="17"/>
      <c r="F52" s="34" t="s">
        <v>376</v>
      </c>
      <c r="G52" s="11" t="s">
        <v>117</v>
      </c>
      <c r="H52" s="11" t="s">
        <v>42</v>
      </c>
      <c r="I52" s="11" t="s">
        <v>97</v>
      </c>
      <c r="J52" s="35">
        <v>801.22</v>
      </c>
      <c r="K52" s="33">
        <v>41886</v>
      </c>
      <c r="L52" s="36" t="s">
        <v>400</v>
      </c>
      <c r="M52" s="36" t="s">
        <v>46</v>
      </c>
      <c r="N52" s="11" t="s">
        <v>61</v>
      </c>
      <c r="O52" s="13" t="s">
        <v>62</v>
      </c>
      <c r="P52" s="37">
        <v>949507</v>
      </c>
      <c r="Q52" s="38">
        <f t="shared" si="0"/>
        <v>95159591.539999992</v>
      </c>
      <c r="R52" s="39" t="s">
        <v>32</v>
      </c>
      <c r="S52" s="7">
        <v>100.22</v>
      </c>
      <c r="T52" s="40">
        <f t="shared" si="8"/>
        <v>41975</v>
      </c>
      <c r="U52" s="11" t="s">
        <v>117</v>
      </c>
      <c r="V52" s="53">
        <f t="shared" si="9"/>
        <v>114191.50984799999</v>
      </c>
      <c r="W52" s="32">
        <v>155.75</v>
      </c>
      <c r="X52" s="51">
        <f t="shared" si="14"/>
        <v>17785327.658825997</v>
      </c>
      <c r="Y52" s="54">
        <v>0</v>
      </c>
      <c r="Z52" s="32"/>
      <c r="AA52" s="32"/>
      <c r="AB52" s="72"/>
    </row>
    <row r="53" spans="2:28" ht="21.75" customHeight="1">
      <c r="B53" s="31">
        <f t="shared" si="7"/>
        <v>49</v>
      </c>
      <c r="C53" s="11" t="s">
        <v>434</v>
      </c>
      <c r="D53" s="47" t="s">
        <v>65</v>
      </c>
      <c r="E53" s="17"/>
      <c r="F53" s="34" t="s">
        <v>377</v>
      </c>
      <c r="G53" s="11" t="s">
        <v>106</v>
      </c>
      <c r="H53" s="11" t="s">
        <v>33</v>
      </c>
      <c r="I53" s="11" t="s">
        <v>34</v>
      </c>
      <c r="J53" s="35">
        <v>801.22</v>
      </c>
      <c r="K53" s="33">
        <v>41892</v>
      </c>
      <c r="L53" s="36" t="s">
        <v>401</v>
      </c>
      <c r="M53" s="36" t="s">
        <v>35</v>
      </c>
      <c r="N53" s="11" t="s">
        <v>66</v>
      </c>
      <c r="O53" s="55" t="s">
        <v>87</v>
      </c>
      <c r="P53" s="37">
        <v>950071</v>
      </c>
      <c r="Q53" s="38">
        <f t="shared" si="0"/>
        <v>93099357.432000011</v>
      </c>
      <c r="R53" s="39" t="s">
        <v>32</v>
      </c>
      <c r="S53" s="7">
        <v>97.992000000000004</v>
      </c>
      <c r="T53" s="40">
        <f t="shared" si="8"/>
        <v>41981</v>
      </c>
      <c r="U53" s="11" t="s">
        <v>37</v>
      </c>
      <c r="V53" s="53">
        <f t="shared" si="9"/>
        <v>111719.2289184</v>
      </c>
      <c r="W53" s="32">
        <v>155.75</v>
      </c>
      <c r="X53" s="51">
        <f t="shared" si="14"/>
        <v>17400269.904040799</v>
      </c>
      <c r="Y53" s="54">
        <v>0</v>
      </c>
      <c r="Z53" s="32"/>
      <c r="AA53" s="32"/>
      <c r="AB53" s="72"/>
    </row>
    <row r="54" spans="2:28" ht="27" customHeight="1">
      <c r="B54" s="31">
        <f t="shared" si="7"/>
        <v>50</v>
      </c>
      <c r="C54" s="11" t="s">
        <v>415</v>
      </c>
      <c r="D54" s="47" t="s">
        <v>65</v>
      </c>
      <c r="E54" s="17"/>
      <c r="F54" s="34" t="s">
        <v>378</v>
      </c>
      <c r="G54" s="11" t="s">
        <v>117</v>
      </c>
      <c r="H54" s="11" t="s">
        <v>42</v>
      </c>
      <c r="I54" s="11" t="s">
        <v>97</v>
      </c>
      <c r="J54" s="35">
        <v>801.22</v>
      </c>
      <c r="K54" s="33">
        <v>41897</v>
      </c>
      <c r="L54" s="36" t="s">
        <v>402</v>
      </c>
      <c r="M54" s="36" t="s">
        <v>46</v>
      </c>
      <c r="N54" s="11" t="s">
        <v>47</v>
      </c>
      <c r="O54" s="13" t="s">
        <v>68</v>
      </c>
      <c r="P54" s="37">
        <v>949448</v>
      </c>
      <c r="Q54" s="38">
        <f t="shared" si="0"/>
        <v>91879981.856000006</v>
      </c>
      <c r="R54" s="39" t="s">
        <v>32</v>
      </c>
      <c r="S54" s="7">
        <v>96.772000000000006</v>
      </c>
      <c r="T54" s="40">
        <f t="shared" si="8"/>
        <v>41986</v>
      </c>
      <c r="U54" s="11" t="s">
        <v>117</v>
      </c>
      <c r="V54" s="53">
        <f t="shared" si="9"/>
        <v>110255.9782272</v>
      </c>
      <c r="W54" s="32">
        <v>155.75</v>
      </c>
      <c r="X54" s="51">
        <f t="shared" si="14"/>
        <v>17172368.608886398</v>
      </c>
      <c r="Y54" s="54">
        <v>0</v>
      </c>
      <c r="Z54" s="32"/>
      <c r="AA54" s="32"/>
      <c r="AB54" s="72"/>
    </row>
    <row r="55" spans="2:28" ht="31.5" customHeight="1">
      <c r="B55" s="31">
        <f t="shared" si="7"/>
        <v>51</v>
      </c>
      <c r="C55" s="11" t="s">
        <v>437</v>
      </c>
      <c r="D55" s="47" t="s">
        <v>65</v>
      </c>
      <c r="E55" s="17"/>
      <c r="F55" s="34" t="s">
        <v>379</v>
      </c>
      <c r="G55" s="11" t="s">
        <v>102</v>
      </c>
      <c r="H55" s="11" t="s">
        <v>118</v>
      </c>
      <c r="I55" s="11" t="s">
        <v>104</v>
      </c>
      <c r="J55" s="35">
        <v>801.22</v>
      </c>
      <c r="K55" s="33">
        <v>41898</v>
      </c>
      <c r="L55" s="36" t="s">
        <v>258</v>
      </c>
      <c r="M55" s="36" t="s">
        <v>105</v>
      </c>
      <c r="N55" s="11" t="s">
        <v>72</v>
      </c>
      <c r="O55" s="13" t="s">
        <v>108</v>
      </c>
      <c r="P55" s="37">
        <v>702451</v>
      </c>
      <c r="Q55" s="38">
        <f t="shared" si="0"/>
        <v>63712305.700000003</v>
      </c>
      <c r="R55" s="39" t="s">
        <v>32</v>
      </c>
      <c r="S55" s="7">
        <v>90.7</v>
      </c>
      <c r="T55" s="40">
        <f t="shared" si="8"/>
        <v>41987</v>
      </c>
      <c r="U55" s="13" t="s">
        <v>106</v>
      </c>
      <c r="V55" s="53">
        <f t="shared" si="9"/>
        <v>76454.766839999997</v>
      </c>
      <c r="W55" s="32">
        <v>155.75</v>
      </c>
      <c r="X55" s="51">
        <f t="shared" si="14"/>
        <v>11907829.93533</v>
      </c>
      <c r="Y55" s="54">
        <v>0</v>
      </c>
      <c r="Z55" s="32"/>
      <c r="AA55" s="32"/>
      <c r="AB55" s="72"/>
    </row>
    <row r="56" spans="2:28" ht="26.25" customHeight="1">
      <c r="B56" s="31">
        <f t="shared" si="7"/>
        <v>52</v>
      </c>
      <c r="C56" s="11" t="s">
        <v>411</v>
      </c>
      <c r="D56" s="47" t="s">
        <v>65</v>
      </c>
      <c r="E56" s="17"/>
      <c r="F56" s="34" t="s">
        <v>380</v>
      </c>
      <c r="G56" s="11" t="s">
        <v>117</v>
      </c>
      <c r="H56" s="11" t="s">
        <v>42</v>
      </c>
      <c r="I56" s="11" t="s">
        <v>29</v>
      </c>
      <c r="J56" s="35">
        <v>801.22</v>
      </c>
      <c r="K56" s="33">
        <v>41901</v>
      </c>
      <c r="L56" s="36" t="s">
        <v>64</v>
      </c>
      <c r="M56" s="36" t="s">
        <v>30</v>
      </c>
      <c r="N56" s="11" t="s">
        <v>405</v>
      </c>
      <c r="O56" s="13" t="s">
        <v>121</v>
      </c>
      <c r="P56" s="37">
        <v>400000</v>
      </c>
      <c r="Q56" s="38">
        <f t="shared" si="0"/>
        <v>37936400</v>
      </c>
      <c r="R56" s="39" t="s">
        <v>32</v>
      </c>
      <c r="S56" s="7">
        <v>94.840999999999994</v>
      </c>
      <c r="T56" s="40">
        <f t="shared" si="8"/>
        <v>41990</v>
      </c>
      <c r="U56" s="11" t="s">
        <v>117</v>
      </c>
      <c r="V56" s="53">
        <f t="shared" si="9"/>
        <v>45523.679999999993</v>
      </c>
      <c r="W56" s="32">
        <v>155.75</v>
      </c>
      <c r="X56" s="51">
        <f t="shared" si="14"/>
        <v>7090313.1599999992</v>
      </c>
      <c r="Y56" s="54">
        <v>0</v>
      </c>
      <c r="Z56" s="32"/>
      <c r="AA56" s="32"/>
      <c r="AB56" s="72"/>
    </row>
    <row r="57" spans="2:28" ht="26.25" customHeight="1">
      <c r="B57" s="31">
        <f t="shared" si="7"/>
        <v>53</v>
      </c>
      <c r="C57" s="11" t="s">
        <v>412</v>
      </c>
      <c r="D57" s="47" t="s">
        <v>65</v>
      </c>
      <c r="E57" s="17"/>
      <c r="F57" s="34" t="s">
        <v>381</v>
      </c>
      <c r="G57" s="11" t="s">
        <v>117</v>
      </c>
      <c r="H57" s="11" t="s">
        <v>42</v>
      </c>
      <c r="I57" s="11" t="s">
        <v>29</v>
      </c>
      <c r="J57" s="35">
        <v>801.22</v>
      </c>
      <c r="K57" s="33">
        <v>41901</v>
      </c>
      <c r="L57" s="36" t="s">
        <v>64</v>
      </c>
      <c r="M57" s="36" t="s">
        <v>30</v>
      </c>
      <c r="N57" s="11" t="s">
        <v>405</v>
      </c>
      <c r="O57" s="13" t="s">
        <v>121</v>
      </c>
      <c r="P57" s="37">
        <v>548710</v>
      </c>
      <c r="Q57" s="38">
        <f t="shared" si="0"/>
        <v>52040205.109999999</v>
      </c>
      <c r="R57" s="39" t="s">
        <v>32</v>
      </c>
      <c r="S57" s="7">
        <v>94.840999999999994</v>
      </c>
      <c r="T57" s="40">
        <f t="shared" si="8"/>
        <v>41990</v>
      </c>
      <c r="U57" s="11" t="s">
        <v>117</v>
      </c>
      <c r="V57" s="53">
        <f t="shared" si="9"/>
        <v>62448.246131999993</v>
      </c>
      <c r="W57" s="32">
        <v>155.75</v>
      </c>
      <c r="X57" s="51">
        <f t="shared" si="14"/>
        <v>9726314.3350589983</v>
      </c>
      <c r="Y57" s="54">
        <v>0</v>
      </c>
      <c r="Z57" s="32"/>
      <c r="AA57" s="32"/>
      <c r="AB57" s="72"/>
    </row>
    <row r="58" spans="2:28" ht="26.25" customHeight="1">
      <c r="B58" s="31">
        <f t="shared" si="7"/>
        <v>54</v>
      </c>
      <c r="C58" s="11" t="s">
        <v>416</v>
      </c>
      <c r="D58" s="17" t="s">
        <v>372</v>
      </c>
      <c r="E58" s="33">
        <v>41912</v>
      </c>
      <c r="F58" s="34" t="s">
        <v>382</v>
      </c>
      <c r="G58" s="11" t="s">
        <v>117</v>
      </c>
      <c r="H58" s="11" t="s">
        <v>42</v>
      </c>
      <c r="I58" s="11" t="s">
        <v>97</v>
      </c>
      <c r="J58" s="35">
        <v>801.22</v>
      </c>
      <c r="K58" s="33">
        <v>41901</v>
      </c>
      <c r="L58" s="36" t="s">
        <v>91</v>
      </c>
      <c r="M58" s="43" t="s">
        <v>46</v>
      </c>
      <c r="N58" s="11" t="s">
        <v>47</v>
      </c>
      <c r="O58" s="13" t="s">
        <v>68</v>
      </c>
      <c r="P58" s="37">
        <v>40000</v>
      </c>
      <c r="Q58" s="38">
        <f t="shared" si="0"/>
        <v>3861640</v>
      </c>
      <c r="R58" s="39" t="s">
        <v>32</v>
      </c>
      <c r="S58" s="44">
        <v>96.540999999999997</v>
      </c>
      <c r="T58" s="40">
        <f t="shared" si="8"/>
        <v>41990</v>
      </c>
      <c r="U58" s="11" t="s">
        <v>117</v>
      </c>
      <c r="V58" s="53">
        <f t="shared" si="9"/>
        <v>4633.9679999999998</v>
      </c>
      <c r="W58" s="32">
        <v>155.75</v>
      </c>
      <c r="X58" s="51">
        <f t="shared" si="14"/>
        <v>721740.51599999995</v>
      </c>
      <c r="Y58" s="42">
        <f t="shared" ref="Y58:Y60" si="15">X58</f>
        <v>721740.51599999995</v>
      </c>
      <c r="Z58" s="32"/>
      <c r="AA58" s="32"/>
      <c r="AB58" s="72"/>
    </row>
    <row r="59" spans="2:28" ht="26.25" customHeight="1">
      <c r="B59" s="31">
        <f t="shared" si="7"/>
        <v>55</v>
      </c>
      <c r="C59" s="11" t="s">
        <v>417</v>
      </c>
      <c r="D59" s="17" t="s">
        <v>373</v>
      </c>
      <c r="E59" s="33">
        <v>41912</v>
      </c>
      <c r="F59" s="34" t="s">
        <v>383</v>
      </c>
      <c r="G59" s="11" t="s">
        <v>117</v>
      </c>
      <c r="H59" s="11" t="s">
        <v>42</v>
      </c>
      <c r="I59" s="11" t="s">
        <v>97</v>
      </c>
      <c r="J59" s="35">
        <v>801.22</v>
      </c>
      <c r="K59" s="33">
        <v>41901</v>
      </c>
      <c r="L59" s="36" t="s">
        <v>91</v>
      </c>
      <c r="M59" s="43" t="s">
        <v>46</v>
      </c>
      <c r="N59" s="11" t="s">
        <v>47</v>
      </c>
      <c r="O59" s="13" t="s">
        <v>68</v>
      </c>
      <c r="P59" s="37">
        <v>63000</v>
      </c>
      <c r="Q59" s="38">
        <f t="shared" si="0"/>
        <v>6082083</v>
      </c>
      <c r="R59" s="39" t="s">
        <v>32</v>
      </c>
      <c r="S59" s="44">
        <v>96.540999999999997</v>
      </c>
      <c r="T59" s="40">
        <f t="shared" si="8"/>
        <v>41990</v>
      </c>
      <c r="U59" s="11" t="s">
        <v>117</v>
      </c>
      <c r="V59" s="53">
        <f t="shared" si="9"/>
        <v>7298.4995999999992</v>
      </c>
      <c r="W59" s="32">
        <v>155.75</v>
      </c>
      <c r="X59" s="51">
        <f t="shared" si="14"/>
        <v>1136741.3126999999</v>
      </c>
      <c r="Y59" s="42">
        <f t="shared" si="15"/>
        <v>1136741.3126999999</v>
      </c>
      <c r="Z59" s="32"/>
      <c r="AA59" s="32"/>
      <c r="AB59" s="72"/>
    </row>
    <row r="60" spans="2:28" ht="26.25" customHeight="1">
      <c r="B60" s="31">
        <f t="shared" si="7"/>
        <v>56</v>
      </c>
      <c r="C60" s="11" t="s">
        <v>418</v>
      </c>
      <c r="D60" s="17" t="s">
        <v>374</v>
      </c>
      <c r="E60" s="33">
        <v>41912</v>
      </c>
      <c r="F60" s="34" t="s">
        <v>384</v>
      </c>
      <c r="G60" s="11" t="s">
        <v>117</v>
      </c>
      <c r="H60" s="11" t="s">
        <v>42</v>
      </c>
      <c r="I60" s="11" t="s">
        <v>97</v>
      </c>
      <c r="J60" s="35">
        <v>801.22</v>
      </c>
      <c r="K60" s="33">
        <v>41901</v>
      </c>
      <c r="L60" s="36" t="s">
        <v>91</v>
      </c>
      <c r="M60" s="43" t="s">
        <v>46</v>
      </c>
      <c r="N60" s="11" t="s">
        <v>47</v>
      </c>
      <c r="O60" s="13" t="s">
        <v>68</v>
      </c>
      <c r="P60" s="37">
        <v>145110</v>
      </c>
      <c r="Q60" s="38">
        <f t="shared" ref="Q60:Q79" si="16">SUM(P60*S60)</f>
        <v>14009064.51</v>
      </c>
      <c r="R60" s="39" t="s">
        <v>32</v>
      </c>
      <c r="S60" s="44">
        <v>96.540999999999997</v>
      </c>
      <c r="T60" s="40">
        <f t="shared" si="8"/>
        <v>41990</v>
      </c>
      <c r="U60" s="11" t="s">
        <v>117</v>
      </c>
      <c r="V60" s="53">
        <f t="shared" si="9"/>
        <v>16810.877411999998</v>
      </c>
      <c r="W60" s="32">
        <v>155.75</v>
      </c>
      <c r="X60" s="51">
        <f t="shared" si="14"/>
        <v>2618294.1569189997</v>
      </c>
      <c r="Y60" s="42">
        <f t="shared" si="15"/>
        <v>2618294.1569189997</v>
      </c>
      <c r="Z60" s="32"/>
      <c r="AA60" s="32"/>
      <c r="AB60" s="72"/>
    </row>
    <row r="61" spans="2:28" ht="21.75" customHeight="1">
      <c r="B61" s="31">
        <f t="shared" si="7"/>
        <v>57</v>
      </c>
      <c r="C61" s="11" t="s">
        <v>438</v>
      </c>
      <c r="D61" s="47" t="s">
        <v>65</v>
      </c>
      <c r="E61" s="17"/>
      <c r="F61" s="34" t="s">
        <v>385</v>
      </c>
      <c r="G61" s="11" t="s">
        <v>117</v>
      </c>
      <c r="H61" s="11" t="s">
        <v>42</v>
      </c>
      <c r="I61" s="11" t="s">
        <v>43</v>
      </c>
      <c r="J61" s="35">
        <v>801.22</v>
      </c>
      <c r="K61" s="33">
        <v>41902</v>
      </c>
      <c r="L61" s="36" t="s">
        <v>128</v>
      </c>
      <c r="M61" s="36" t="s">
        <v>44</v>
      </c>
      <c r="N61" s="11" t="s">
        <v>66</v>
      </c>
      <c r="O61" s="13" t="s">
        <v>101</v>
      </c>
      <c r="P61" s="37">
        <v>899925</v>
      </c>
      <c r="Q61" s="38">
        <f t="shared" si="16"/>
        <v>87182934.150000006</v>
      </c>
      <c r="R61" s="39" t="s">
        <v>32</v>
      </c>
      <c r="S61" s="44">
        <v>96.878</v>
      </c>
      <c r="T61" s="40">
        <f t="shared" si="8"/>
        <v>41991</v>
      </c>
      <c r="U61" s="11" t="s">
        <v>117</v>
      </c>
      <c r="V61" s="53">
        <f t="shared" si="9"/>
        <v>104619.52098</v>
      </c>
      <c r="W61" s="32">
        <v>155.75</v>
      </c>
      <c r="X61" s="51">
        <f t="shared" si="14"/>
        <v>16294490.392635001</v>
      </c>
      <c r="Y61" s="54">
        <v>0</v>
      </c>
      <c r="Z61" s="32"/>
      <c r="AA61" s="32"/>
      <c r="AB61" s="72"/>
    </row>
    <row r="62" spans="2:28" ht="33" customHeight="1">
      <c r="B62" s="31">
        <f t="shared" si="7"/>
        <v>58</v>
      </c>
      <c r="C62" s="11" t="s">
        <v>419</v>
      </c>
      <c r="D62" s="47" t="s">
        <v>65</v>
      </c>
      <c r="E62" s="17"/>
      <c r="F62" s="12">
        <v>201400020016</v>
      </c>
      <c r="G62" s="11" t="s">
        <v>94</v>
      </c>
      <c r="H62" s="11" t="s">
        <v>28</v>
      </c>
      <c r="I62" s="11" t="s">
        <v>97</v>
      </c>
      <c r="J62" s="35">
        <v>801.22</v>
      </c>
      <c r="K62" s="33">
        <v>41904</v>
      </c>
      <c r="L62" s="36" t="s">
        <v>107</v>
      </c>
      <c r="M62" s="36" t="s">
        <v>46</v>
      </c>
      <c r="N62" s="11" t="s">
        <v>47</v>
      </c>
      <c r="O62" s="13" t="s">
        <v>407</v>
      </c>
      <c r="P62" s="37">
        <v>110000</v>
      </c>
      <c r="Q62" s="38">
        <f t="shared" si="16"/>
        <v>10484100</v>
      </c>
      <c r="R62" s="39" t="s">
        <v>32</v>
      </c>
      <c r="S62" s="7">
        <v>95.31</v>
      </c>
      <c r="T62" s="40">
        <f t="shared" si="8"/>
        <v>41993</v>
      </c>
      <c r="U62" s="13" t="s">
        <v>27</v>
      </c>
      <c r="V62" s="53">
        <f t="shared" si="9"/>
        <v>12580.919999999998</v>
      </c>
      <c r="W62" s="32">
        <v>155.75</v>
      </c>
      <c r="X62" s="51">
        <f t="shared" si="14"/>
        <v>1959478.2899999998</v>
      </c>
      <c r="Y62" s="54">
        <v>0</v>
      </c>
      <c r="Z62" s="32"/>
      <c r="AA62" s="32"/>
      <c r="AB62" s="72"/>
    </row>
    <row r="63" spans="2:28" ht="33" customHeight="1">
      <c r="B63" s="31">
        <f t="shared" si="7"/>
        <v>59</v>
      </c>
      <c r="C63" s="11" t="s">
        <v>420</v>
      </c>
      <c r="D63" s="47" t="s">
        <v>65</v>
      </c>
      <c r="E63" s="17"/>
      <c r="F63" s="12">
        <v>201400010332</v>
      </c>
      <c r="G63" s="11" t="s">
        <v>106</v>
      </c>
      <c r="H63" s="11" t="s">
        <v>59</v>
      </c>
      <c r="I63" s="11" t="s">
        <v>97</v>
      </c>
      <c r="J63" s="35">
        <v>801.22</v>
      </c>
      <c r="K63" s="17">
        <v>41904</v>
      </c>
      <c r="L63" s="11" t="s">
        <v>107</v>
      </c>
      <c r="M63" s="11" t="s">
        <v>46</v>
      </c>
      <c r="N63" s="11" t="s">
        <v>47</v>
      </c>
      <c r="O63" s="13" t="s">
        <v>407</v>
      </c>
      <c r="P63" s="56">
        <v>555586</v>
      </c>
      <c r="Q63" s="38">
        <f t="shared" si="16"/>
        <v>52952901.660000004</v>
      </c>
      <c r="R63" s="39" t="s">
        <v>32</v>
      </c>
      <c r="S63" s="82">
        <v>95.31</v>
      </c>
      <c r="T63" s="40">
        <f t="shared" si="8"/>
        <v>41993</v>
      </c>
      <c r="U63" s="13" t="s">
        <v>37</v>
      </c>
      <c r="V63" s="41">
        <f t="shared" si="9"/>
        <v>63543.481992000001</v>
      </c>
      <c r="W63" s="32">
        <v>155.75</v>
      </c>
      <c r="X63" s="38">
        <f t="shared" si="14"/>
        <v>9896897.3202539999</v>
      </c>
      <c r="Y63" s="49">
        <v>0</v>
      </c>
      <c r="Z63" s="32"/>
      <c r="AA63" s="32"/>
      <c r="AB63" s="72"/>
    </row>
    <row r="64" spans="2:28" ht="33" customHeight="1">
      <c r="B64" s="31">
        <f t="shared" si="7"/>
        <v>60</v>
      </c>
      <c r="C64" s="11" t="s">
        <v>421</v>
      </c>
      <c r="D64" s="47" t="s">
        <v>65</v>
      </c>
      <c r="E64" s="17"/>
      <c r="F64" s="12">
        <v>201400010402</v>
      </c>
      <c r="G64" s="11" t="s">
        <v>94</v>
      </c>
      <c r="H64" s="11" t="s">
        <v>50</v>
      </c>
      <c r="I64" s="11" t="s">
        <v>97</v>
      </c>
      <c r="J64" s="35">
        <v>801.22</v>
      </c>
      <c r="K64" s="17">
        <v>41904</v>
      </c>
      <c r="L64" s="11" t="s">
        <v>107</v>
      </c>
      <c r="M64" s="11" t="s">
        <v>46</v>
      </c>
      <c r="N64" s="11" t="s">
        <v>47</v>
      </c>
      <c r="O64" s="13" t="s">
        <v>407</v>
      </c>
      <c r="P64" s="56">
        <v>133872</v>
      </c>
      <c r="Q64" s="38">
        <f t="shared" si="16"/>
        <v>12759340.32</v>
      </c>
      <c r="R64" s="39" t="s">
        <v>32</v>
      </c>
      <c r="S64" s="82">
        <v>95.31</v>
      </c>
      <c r="T64" s="40">
        <f t="shared" si="8"/>
        <v>41993</v>
      </c>
      <c r="U64" s="11" t="s">
        <v>37</v>
      </c>
      <c r="V64" s="41">
        <f t="shared" si="9"/>
        <v>15311.208384</v>
      </c>
      <c r="W64" s="32">
        <v>155.75</v>
      </c>
      <c r="X64" s="38">
        <f t="shared" si="14"/>
        <v>2384720.7058079997</v>
      </c>
      <c r="Y64" s="49">
        <v>0</v>
      </c>
      <c r="Z64" s="32"/>
      <c r="AA64" s="32"/>
      <c r="AB64" s="72"/>
    </row>
    <row r="65" spans="2:28" ht="33" customHeight="1">
      <c r="B65" s="31">
        <f t="shared" si="7"/>
        <v>61</v>
      </c>
      <c r="C65" s="11" t="s">
        <v>422</v>
      </c>
      <c r="D65" s="47" t="s">
        <v>65</v>
      </c>
      <c r="E65" s="17"/>
      <c r="F65" s="12">
        <v>201401010087</v>
      </c>
      <c r="G65" s="11" t="s">
        <v>38</v>
      </c>
      <c r="H65" s="11" t="s">
        <v>82</v>
      </c>
      <c r="I65" s="11" t="s">
        <v>97</v>
      </c>
      <c r="J65" s="35">
        <v>801.22</v>
      </c>
      <c r="K65" s="17">
        <v>41904</v>
      </c>
      <c r="L65" s="11" t="s">
        <v>107</v>
      </c>
      <c r="M65" s="11" t="s">
        <v>46</v>
      </c>
      <c r="N65" s="11" t="s">
        <v>47</v>
      </c>
      <c r="O65" s="13" t="s">
        <v>407</v>
      </c>
      <c r="P65" s="56">
        <v>20000</v>
      </c>
      <c r="Q65" s="38">
        <f t="shared" si="16"/>
        <v>1906200</v>
      </c>
      <c r="R65" s="39" t="s">
        <v>32</v>
      </c>
      <c r="S65" s="82">
        <v>95.31</v>
      </c>
      <c r="T65" s="40">
        <f t="shared" si="8"/>
        <v>41993</v>
      </c>
      <c r="U65" s="11" t="s">
        <v>38</v>
      </c>
      <c r="V65" s="41">
        <f t="shared" si="9"/>
        <v>2287.4399999999996</v>
      </c>
      <c r="W65" s="32">
        <v>155.75</v>
      </c>
      <c r="X65" s="38">
        <f t="shared" si="14"/>
        <v>356268.77999999991</v>
      </c>
      <c r="Y65" s="49">
        <v>0</v>
      </c>
      <c r="Z65" s="32"/>
      <c r="AA65" s="32"/>
      <c r="AB65" s="72"/>
    </row>
    <row r="66" spans="2:28" ht="33" customHeight="1">
      <c r="B66" s="31">
        <f>B65+1</f>
        <v>62</v>
      </c>
      <c r="C66" s="11" t="s">
        <v>423</v>
      </c>
      <c r="D66" s="47" t="s">
        <v>65</v>
      </c>
      <c r="E66" s="17"/>
      <c r="F66" s="12">
        <v>201401010088</v>
      </c>
      <c r="G66" s="11" t="s">
        <v>38</v>
      </c>
      <c r="H66" s="11" t="s">
        <v>82</v>
      </c>
      <c r="I66" s="11" t="s">
        <v>97</v>
      </c>
      <c r="J66" s="35">
        <v>801.22</v>
      </c>
      <c r="K66" s="33">
        <v>41904</v>
      </c>
      <c r="L66" s="36" t="s">
        <v>107</v>
      </c>
      <c r="M66" s="36" t="s">
        <v>46</v>
      </c>
      <c r="N66" s="11" t="s">
        <v>47</v>
      </c>
      <c r="O66" s="13" t="s">
        <v>407</v>
      </c>
      <c r="P66" s="37">
        <v>18000</v>
      </c>
      <c r="Q66" s="38">
        <f t="shared" si="16"/>
        <v>1715580</v>
      </c>
      <c r="R66" s="39" t="s">
        <v>32</v>
      </c>
      <c r="S66" s="7">
        <v>95.31</v>
      </c>
      <c r="T66" s="40">
        <f t="shared" si="8"/>
        <v>41993</v>
      </c>
      <c r="U66" s="11" t="s">
        <v>38</v>
      </c>
      <c r="V66" s="53">
        <f t="shared" si="9"/>
        <v>2058.6959999999999</v>
      </c>
      <c r="W66" s="32">
        <v>155.75</v>
      </c>
      <c r="X66" s="51">
        <f t="shared" si="14"/>
        <v>320641.902</v>
      </c>
      <c r="Y66" s="54">
        <v>0</v>
      </c>
      <c r="Z66" s="32"/>
      <c r="AA66" s="32"/>
      <c r="AB66" s="72"/>
    </row>
    <row r="67" spans="2:28" ht="33" customHeight="1">
      <c r="B67" s="31">
        <f t="shared" si="7"/>
        <v>63</v>
      </c>
      <c r="C67" s="11" t="s">
        <v>424</v>
      </c>
      <c r="D67" s="47" t="s">
        <v>65</v>
      </c>
      <c r="E67" s="17"/>
      <c r="F67" s="34" t="s">
        <v>386</v>
      </c>
      <c r="G67" s="11" t="s">
        <v>113</v>
      </c>
      <c r="H67" s="11" t="s">
        <v>82</v>
      </c>
      <c r="I67" s="11" t="s">
        <v>97</v>
      </c>
      <c r="J67" s="35">
        <v>801.22</v>
      </c>
      <c r="K67" s="33">
        <v>41904</v>
      </c>
      <c r="L67" s="36" t="s">
        <v>107</v>
      </c>
      <c r="M67" s="36" t="s">
        <v>46</v>
      </c>
      <c r="N67" s="11" t="s">
        <v>47</v>
      </c>
      <c r="O67" s="13" t="s">
        <v>407</v>
      </c>
      <c r="P67" s="37">
        <v>24000</v>
      </c>
      <c r="Q67" s="38">
        <f t="shared" si="16"/>
        <v>2287440</v>
      </c>
      <c r="R67" s="39" t="s">
        <v>32</v>
      </c>
      <c r="S67" s="7">
        <v>95.31</v>
      </c>
      <c r="T67" s="40">
        <f t="shared" si="8"/>
        <v>41993</v>
      </c>
      <c r="U67" s="11" t="s">
        <v>38</v>
      </c>
      <c r="V67" s="53">
        <f t="shared" si="9"/>
        <v>2744.9279999999999</v>
      </c>
      <c r="W67" s="32">
        <v>155.75</v>
      </c>
      <c r="X67" s="51">
        <f t="shared" si="14"/>
        <v>427522.53599999996</v>
      </c>
      <c r="Y67" s="54">
        <v>0</v>
      </c>
      <c r="Z67" s="32"/>
      <c r="AA67" s="32"/>
      <c r="AB67" s="72"/>
    </row>
    <row r="68" spans="2:28" ht="33" customHeight="1">
      <c r="B68" s="31">
        <f t="shared" si="7"/>
        <v>64</v>
      </c>
      <c r="C68" s="11" t="s">
        <v>425</v>
      </c>
      <c r="D68" s="47" t="s">
        <v>65</v>
      </c>
      <c r="E68" s="17"/>
      <c r="F68" s="34" t="s">
        <v>387</v>
      </c>
      <c r="G68" s="11" t="s">
        <v>96</v>
      </c>
      <c r="H68" s="11" t="s">
        <v>335</v>
      </c>
      <c r="I68" s="11" t="s">
        <v>97</v>
      </c>
      <c r="J68" s="35">
        <v>801.22</v>
      </c>
      <c r="K68" s="33">
        <v>41904</v>
      </c>
      <c r="L68" s="36" t="s">
        <v>107</v>
      </c>
      <c r="M68" s="36" t="s">
        <v>46</v>
      </c>
      <c r="N68" s="11" t="s">
        <v>47</v>
      </c>
      <c r="O68" s="13" t="s">
        <v>407</v>
      </c>
      <c r="P68" s="37">
        <v>88000</v>
      </c>
      <c r="Q68" s="38">
        <f t="shared" si="16"/>
        <v>8387280</v>
      </c>
      <c r="R68" s="39" t="s">
        <v>32</v>
      </c>
      <c r="S68" s="7">
        <v>95.31</v>
      </c>
      <c r="T68" s="40">
        <f t="shared" si="8"/>
        <v>41993</v>
      </c>
      <c r="U68" s="13" t="s">
        <v>100</v>
      </c>
      <c r="V68" s="53">
        <f t="shared" si="9"/>
        <v>10064.735999999999</v>
      </c>
      <c r="W68" s="32">
        <v>155.75</v>
      </c>
      <c r="X68" s="51">
        <f t="shared" si="14"/>
        <v>1567582.6319999998</v>
      </c>
      <c r="Y68" s="54">
        <v>0</v>
      </c>
      <c r="Z68" s="32"/>
      <c r="AA68" s="32"/>
      <c r="AB68" s="72"/>
    </row>
    <row r="69" spans="2:28" ht="21.75" customHeight="1">
      <c r="B69" s="31">
        <f t="shared" si="7"/>
        <v>65</v>
      </c>
      <c r="C69" s="11" t="s">
        <v>435</v>
      </c>
      <c r="D69" s="47" t="s">
        <v>65</v>
      </c>
      <c r="E69" s="17"/>
      <c r="F69" s="34" t="s">
        <v>388</v>
      </c>
      <c r="G69" s="11" t="s">
        <v>117</v>
      </c>
      <c r="H69" s="11" t="s">
        <v>42</v>
      </c>
      <c r="I69" s="11" t="s">
        <v>34</v>
      </c>
      <c r="J69" s="35">
        <v>801.22</v>
      </c>
      <c r="K69" s="33">
        <v>41910</v>
      </c>
      <c r="L69" s="36" t="s">
        <v>111</v>
      </c>
      <c r="M69" s="36" t="s">
        <v>35</v>
      </c>
      <c r="N69" s="11" t="s">
        <v>47</v>
      </c>
      <c r="O69" s="13" t="s">
        <v>74</v>
      </c>
      <c r="P69" s="37">
        <v>474935</v>
      </c>
      <c r="Q69" s="38">
        <f t="shared" si="16"/>
        <v>45676873.625</v>
      </c>
      <c r="R69" s="39" t="s">
        <v>32</v>
      </c>
      <c r="S69" s="44">
        <v>96.174999999999997</v>
      </c>
      <c r="T69" s="40">
        <f t="shared" si="8"/>
        <v>41999</v>
      </c>
      <c r="U69" s="13" t="s">
        <v>117</v>
      </c>
      <c r="V69" s="53">
        <f t="shared" si="9"/>
        <v>54812.248349999994</v>
      </c>
      <c r="W69" s="32">
        <v>155.75</v>
      </c>
      <c r="X69" s="51">
        <f t="shared" si="14"/>
        <v>8537007.6805124991</v>
      </c>
      <c r="Y69" s="54">
        <v>0</v>
      </c>
      <c r="Z69" s="32"/>
      <c r="AA69" s="32"/>
      <c r="AB69" s="72"/>
    </row>
    <row r="70" spans="2:28" ht="21.75" customHeight="1">
      <c r="B70" s="31">
        <f t="shared" si="7"/>
        <v>66</v>
      </c>
      <c r="C70" s="11" t="s">
        <v>436</v>
      </c>
      <c r="D70" s="47" t="s">
        <v>65</v>
      </c>
      <c r="E70" s="17"/>
      <c r="F70" s="34" t="s">
        <v>389</v>
      </c>
      <c r="G70" s="11" t="s">
        <v>117</v>
      </c>
      <c r="H70" s="11" t="s">
        <v>42</v>
      </c>
      <c r="I70" s="11" t="s">
        <v>34</v>
      </c>
      <c r="J70" s="35">
        <v>801.22</v>
      </c>
      <c r="K70" s="33">
        <v>41910</v>
      </c>
      <c r="L70" s="36" t="s">
        <v>111</v>
      </c>
      <c r="M70" s="36" t="s">
        <v>35</v>
      </c>
      <c r="N70" s="11" t="s">
        <v>47</v>
      </c>
      <c r="O70" s="13" t="s">
        <v>74</v>
      </c>
      <c r="P70" s="37">
        <v>475000</v>
      </c>
      <c r="Q70" s="38">
        <f t="shared" si="16"/>
        <v>45683125</v>
      </c>
      <c r="R70" s="39" t="s">
        <v>32</v>
      </c>
      <c r="S70" s="44">
        <v>96.174999999999997</v>
      </c>
      <c r="T70" s="40">
        <f t="shared" si="8"/>
        <v>41999</v>
      </c>
      <c r="U70" s="13" t="s">
        <v>117</v>
      </c>
      <c r="V70" s="53">
        <f t="shared" si="9"/>
        <v>54819.749999999993</v>
      </c>
      <c r="W70" s="32">
        <v>155.75</v>
      </c>
      <c r="X70" s="51">
        <f t="shared" si="14"/>
        <v>8538176.0624999981</v>
      </c>
      <c r="Y70" s="54">
        <v>0</v>
      </c>
      <c r="Z70" s="32"/>
      <c r="AA70" s="32"/>
      <c r="AB70" s="72"/>
    </row>
    <row r="71" spans="2:28" ht="21.75" customHeight="1">
      <c r="B71" s="31">
        <f t="shared" si="7"/>
        <v>67</v>
      </c>
      <c r="C71" s="11" t="s">
        <v>413</v>
      </c>
      <c r="D71" s="47" t="s">
        <v>65</v>
      </c>
      <c r="E71" s="17"/>
      <c r="F71" s="34" t="s">
        <v>390</v>
      </c>
      <c r="G71" s="11" t="s">
        <v>38</v>
      </c>
      <c r="H71" s="11" t="s">
        <v>39</v>
      </c>
      <c r="I71" s="11" t="s">
        <v>29</v>
      </c>
      <c r="J71" s="35">
        <v>801.22</v>
      </c>
      <c r="K71" s="33">
        <v>41910</v>
      </c>
      <c r="L71" s="36" t="s">
        <v>403</v>
      </c>
      <c r="M71" s="36" t="s">
        <v>30</v>
      </c>
      <c r="N71" s="11" t="s">
        <v>51</v>
      </c>
      <c r="O71" s="13" t="s">
        <v>408</v>
      </c>
      <c r="P71" s="37">
        <v>398587</v>
      </c>
      <c r="Q71" s="38">
        <f t="shared" si="16"/>
        <v>37309736.134999998</v>
      </c>
      <c r="R71" s="39" t="s">
        <v>32</v>
      </c>
      <c r="S71" s="44">
        <v>93.605000000000004</v>
      </c>
      <c r="T71" s="40">
        <f t="shared" si="8"/>
        <v>41999</v>
      </c>
      <c r="U71" s="13" t="s">
        <v>38</v>
      </c>
      <c r="V71" s="53">
        <f t="shared" si="9"/>
        <v>44771.683361999996</v>
      </c>
      <c r="W71" s="32">
        <v>155.75</v>
      </c>
      <c r="X71" s="51">
        <f t="shared" si="14"/>
        <v>6973189.6836314993</v>
      </c>
      <c r="Y71" s="54">
        <v>0</v>
      </c>
      <c r="Z71" s="32"/>
      <c r="AA71" s="32"/>
      <c r="AB71" s="72"/>
    </row>
    <row r="72" spans="2:28" ht="24.75">
      <c r="B72" s="31">
        <f t="shared" si="7"/>
        <v>68</v>
      </c>
      <c r="C72" s="11" t="s">
        <v>426</v>
      </c>
      <c r="D72" s="47" t="s">
        <v>65</v>
      </c>
      <c r="E72" s="17"/>
      <c r="F72" s="34" t="s">
        <v>391</v>
      </c>
      <c r="G72" s="11" t="s">
        <v>117</v>
      </c>
      <c r="H72" s="11" t="s">
        <v>42</v>
      </c>
      <c r="I72" s="11" t="s">
        <v>97</v>
      </c>
      <c r="J72" s="35">
        <v>801.22</v>
      </c>
      <c r="K72" s="33">
        <v>41911</v>
      </c>
      <c r="L72" s="36" t="s">
        <v>404</v>
      </c>
      <c r="M72" s="36" t="s">
        <v>46</v>
      </c>
      <c r="N72" s="11" t="s">
        <v>63</v>
      </c>
      <c r="O72" s="13" t="s">
        <v>409</v>
      </c>
      <c r="P72" s="37">
        <v>60000</v>
      </c>
      <c r="Q72" s="38">
        <f t="shared" si="16"/>
        <v>5710560</v>
      </c>
      <c r="R72" s="39" t="s">
        <v>32</v>
      </c>
      <c r="S72" s="44">
        <v>95.176000000000002</v>
      </c>
      <c r="T72" s="40">
        <f t="shared" si="8"/>
        <v>42000</v>
      </c>
      <c r="U72" s="11" t="s">
        <v>117</v>
      </c>
      <c r="V72" s="53">
        <f t="shared" si="9"/>
        <v>6852.6719999999996</v>
      </c>
      <c r="W72" s="32">
        <v>155.75</v>
      </c>
      <c r="X72" s="51">
        <f t="shared" si="14"/>
        <v>1067303.6639999999</v>
      </c>
      <c r="Y72" s="54">
        <v>0</v>
      </c>
      <c r="Z72" s="32"/>
      <c r="AA72" s="32"/>
      <c r="AB72" s="72"/>
    </row>
    <row r="73" spans="2:28" ht="24.75">
      <c r="B73" s="31">
        <f t="shared" si="7"/>
        <v>69</v>
      </c>
      <c r="C73" s="11" t="s">
        <v>427</v>
      </c>
      <c r="D73" s="47" t="s">
        <v>65</v>
      </c>
      <c r="E73" s="17"/>
      <c r="F73" s="34" t="s">
        <v>392</v>
      </c>
      <c r="G73" s="11" t="s">
        <v>117</v>
      </c>
      <c r="H73" s="11" t="s">
        <v>42</v>
      </c>
      <c r="I73" s="11" t="s">
        <v>97</v>
      </c>
      <c r="J73" s="35">
        <v>801.22</v>
      </c>
      <c r="K73" s="33">
        <v>41911</v>
      </c>
      <c r="L73" s="36" t="s">
        <v>404</v>
      </c>
      <c r="M73" s="36" t="s">
        <v>46</v>
      </c>
      <c r="N73" s="11" t="s">
        <v>63</v>
      </c>
      <c r="O73" s="13" t="s">
        <v>409</v>
      </c>
      <c r="P73" s="37">
        <v>90000</v>
      </c>
      <c r="Q73" s="38">
        <f t="shared" si="16"/>
        <v>8565840</v>
      </c>
      <c r="R73" s="39" t="s">
        <v>32</v>
      </c>
      <c r="S73" s="44">
        <v>95.176000000000002</v>
      </c>
      <c r="T73" s="40">
        <f t="shared" si="8"/>
        <v>42000</v>
      </c>
      <c r="U73" s="11" t="s">
        <v>117</v>
      </c>
      <c r="V73" s="53">
        <f t="shared" si="9"/>
        <v>10279.008</v>
      </c>
      <c r="W73" s="32">
        <v>155.75</v>
      </c>
      <c r="X73" s="51">
        <f t="shared" si="14"/>
        <v>1600955.496</v>
      </c>
      <c r="Y73" s="54">
        <v>0</v>
      </c>
      <c r="Z73" s="32"/>
      <c r="AA73" s="32"/>
      <c r="AB73" s="72"/>
    </row>
    <row r="74" spans="2:28" ht="24.75">
      <c r="B74" s="31">
        <f t="shared" si="7"/>
        <v>70</v>
      </c>
      <c r="C74" s="11" t="s">
        <v>428</v>
      </c>
      <c r="D74" s="47" t="s">
        <v>65</v>
      </c>
      <c r="E74" s="17"/>
      <c r="F74" s="34" t="s">
        <v>393</v>
      </c>
      <c r="G74" s="11" t="s">
        <v>117</v>
      </c>
      <c r="H74" s="11" t="s">
        <v>42</v>
      </c>
      <c r="I74" s="11" t="s">
        <v>97</v>
      </c>
      <c r="J74" s="35">
        <v>801.22</v>
      </c>
      <c r="K74" s="33">
        <v>41911</v>
      </c>
      <c r="L74" s="36" t="s">
        <v>404</v>
      </c>
      <c r="M74" s="36" t="s">
        <v>46</v>
      </c>
      <c r="N74" s="11" t="s">
        <v>63</v>
      </c>
      <c r="O74" s="13" t="s">
        <v>409</v>
      </c>
      <c r="P74" s="37">
        <v>110000</v>
      </c>
      <c r="Q74" s="38">
        <f t="shared" si="16"/>
        <v>10469360</v>
      </c>
      <c r="R74" s="39" t="s">
        <v>32</v>
      </c>
      <c r="S74" s="44">
        <v>95.176000000000002</v>
      </c>
      <c r="T74" s="40">
        <f t="shared" si="8"/>
        <v>42000</v>
      </c>
      <c r="U74" s="11" t="s">
        <v>117</v>
      </c>
      <c r="V74" s="53">
        <f t="shared" si="9"/>
        <v>12563.231999999998</v>
      </c>
      <c r="W74" s="32">
        <v>155.75</v>
      </c>
      <c r="X74" s="51">
        <f t="shared" si="14"/>
        <v>1956723.3839999996</v>
      </c>
      <c r="Y74" s="54">
        <v>0</v>
      </c>
      <c r="Z74" s="32"/>
      <c r="AA74" s="32"/>
      <c r="AB74" s="72"/>
    </row>
    <row r="75" spans="2:28" ht="24.75">
      <c r="B75" s="31">
        <f t="shared" si="7"/>
        <v>71</v>
      </c>
      <c r="C75" s="11" t="s">
        <v>429</v>
      </c>
      <c r="D75" s="47" t="s">
        <v>65</v>
      </c>
      <c r="E75" s="17"/>
      <c r="F75" s="34" t="s">
        <v>394</v>
      </c>
      <c r="G75" s="11" t="s">
        <v>117</v>
      </c>
      <c r="H75" s="11" t="s">
        <v>42</v>
      </c>
      <c r="I75" s="11" t="s">
        <v>97</v>
      </c>
      <c r="J75" s="35">
        <v>801.22</v>
      </c>
      <c r="K75" s="33">
        <v>41911</v>
      </c>
      <c r="L75" s="36" t="s">
        <v>404</v>
      </c>
      <c r="M75" s="36" t="s">
        <v>46</v>
      </c>
      <c r="N75" s="11" t="s">
        <v>63</v>
      </c>
      <c r="O75" s="13" t="s">
        <v>409</v>
      </c>
      <c r="P75" s="37">
        <v>76000</v>
      </c>
      <c r="Q75" s="38">
        <f t="shared" si="16"/>
        <v>7233376</v>
      </c>
      <c r="R75" s="39" t="s">
        <v>32</v>
      </c>
      <c r="S75" s="44">
        <v>95.176000000000002</v>
      </c>
      <c r="T75" s="40">
        <f t="shared" si="8"/>
        <v>42000</v>
      </c>
      <c r="U75" s="11" t="s">
        <v>117</v>
      </c>
      <c r="V75" s="53">
        <f t="shared" si="9"/>
        <v>8680.0511999999999</v>
      </c>
      <c r="W75" s="32">
        <v>155.75</v>
      </c>
      <c r="X75" s="51">
        <f t="shared" si="14"/>
        <v>1351917.9743999999</v>
      </c>
      <c r="Y75" s="54">
        <v>0</v>
      </c>
      <c r="Z75" s="32"/>
      <c r="AA75" s="32"/>
      <c r="AB75" s="72"/>
    </row>
    <row r="76" spans="2:28" ht="24.75">
      <c r="B76" s="31">
        <f t="shared" si="7"/>
        <v>72</v>
      </c>
      <c r="C76" s="11" t="s">
        <v>430</v>
      </c>
      <c r="D76" s="47" t="s">
        <v>65</v>
      </c>
      <c r="E76" s="17"/>
      <c r="F76" s="34" t="s">
        <v>395</v>
      </c>
      <c r="G76" s="11" t="s">
        <v>117</v>
      </c>
      <c r="H76" s="11" t="s">
        <v>42</v>
      </c>
      <c r="I76" s="11" t="s">
        <v>97</v>
      </c>
      <c r="J76" s="35">
        <v>801.22</v>
      </c>
      <c r="K76" s="33">
        <v>41911</v>
      </c>
      <c r="L76" s="36" t="s">
        <v>404</v>
      </c>
      <c r="M76" s="36" t="s">
        <v>46</v>
      </c>
      <c r="N76" s="11" t="s">
        <v>63</v>
      </c>
      <c r="O76" s="13" t="s">
        <v>409</v>
      </c>
      <c r="P76" s="37">
        <v>200000</v>
      </c>
      <c r="Q76" s="38">
        <f t="shared" si="16"/>
        <v>19035200</v>
      </c>
      <c r="R76" s="39" t="s">
        <v>32</v>
      </c>
      <c r="S76" s="44">
        <v>95.176000000000002</v>
      </c>
      <c r="T76" s="40">
        <f t="shared" si="8"/>
        <v>42000</v>
      </c>
      <c r="U76" s="11" t="s">
        <v>117</v>
      </c>
      <c r="V76" s="53">
        <f t="shared" si="9"/>
        <v>22842.239999999998</v>
      </c>
      <c r="W76" s="32">
        <v>155.75</v>
      </c>
      <c r="X76" s="51">
        <f t="shared" si="14"/>
        <v>3557678.88</v>
      </c>
      <c r="Y76" s="54">
        <v>0</v>
      </c>
      <c r="Z76" s="32"/>
      <c r="AA76" s="32"/>
      <c r="AB76" s="72"/>
    </row>
    <row r="77" spans="2:28" ht="24.75">
      <c r="B77" s="31">
        <f t="shared" si="7"/>
        <v>73</v>
      </c>
      <c r="C77" s="11" t="s">
        <v>431</v>
      </c>
      <c r="D77" s="47" t="s">
        <v>65</v>
      </c>
      <c r="E77" s="17"/>
      <c r="F77" s="34" t="s">
        <v>396</v>
      </c>
      <c r="G77" s="11" t="s">
        <v>117</v>
      </c>
      <c r="H77" s="11" t="s">
        <v>42</v>
      </c>
      <c r="I77" s="11" t="s">
        <v>97</v>
      </c>
      <c r="J77" s="35">
        <v>801.22</v>
      </c>
      <c r="K77" s="33">
        <v>41911</v>
      </c>
      <c r="L77" s="36" t="s">
        <v>404</v>
      </c>
      <c r="M77" s="36" t="s">
        <v>46</v>
      </c>
      <c r="N77" s="11" t="s">
        <v>63</v>
      </c>
      <c r="O77" s="13" t="s">
        <v>409</v>
      </c>
      <c r="P77" s="37">
        <v>200000</v>
      </c>
      <c r="Q77" s="38">
        <f t="shared" si="16"/>
        <v>19035200</v>
      </c>
      <c r="R77" s="39" t="s">
        <v>32</v>
      </c>
      <c r="S77" s="44">
        <v>95.176000000000002</v>
      </c>
      <c r="T77" s="40">
        <f t="shared" si="8"/>
        <v>42000</v>
      </c>
      <c r="U77" s="11" t="s">
        <v>117</v>
      </c>
      <c r="V77" s="53">
        <f t="shared" si="9"/>
        <v>22842.239999999998</v>
      </c>
      <c r="W77" s="32">
        <v>155.75</v>
      </c>
      <c r="X77" s="51">
        <f t="shared" si="14"/>
        <v>3557678.88</v>
      </c>
      <c r="Y77" s="54">
        <v>0</v>
      </c>
      <c r="Z77" s="32"/>
      <c r="AA77" s="32"/>
      <c r="AB77" s="72"/>
    </row>
    <row r="78" spans="2:28" ht="24.75">
      <c r="B78" s="31">
        <f t="shared" si="7"/>
        <v>74</v>
      </c>
      <c r="C78" s="11" t="s">
        <v>432</v>
      </c>
      <c r="D78" s="47" t="s">
        <v>65</v>
      </c>
      <c r="E78" s="17"/>
      <c r="F78" s="34" t="s">
        <v>397</v>
      </c>
      <c r="G78" s="11" t="s">
        <v>117</v>
      </c>
      <c r="H78" s="11" t="s">
        <v>42</v>
      </c>
      <c r="I78" s="11" t="s">
        <v>97</v>
      </c>
      <c r="J78" s="35">
        <v>801.22</v>
      </c>
      <c r="K78" s="33">
        <v>41911</v>
      </c>
      <c r="L78" s="36" t="s">
        <v>404</v>
      </c>
      <c r="M78" s="36" t="s">
        <v>46</v>
      </c>
      <c r="N78" s="11" t="s">
        <v>63</v>
      </c>
      <c r="O78" s="13" t="s">
        <v>409</v>
      </c>
      <c r="P78" s="37">
        <v>200000</v>
      </c>
      <c r="Q78" s="38">
        <f t="shared" si="16"/>
        <v>19035200</v>
      </c>
      <c r="R78" s="39" t="s">
        <v>32</v>
      </c>
      <c r="S78" s="44">
        <v>95.176000000000002</v>
      </c>
      <c r="T78" s="40">
        <f t="shared" si="8"/>
        <v>42000</v>
      </c>
      <c r="U78" s="11" t="s">
        <v>117</v>
      </c>
      <c r="V78" s="41">
        <f t="shared" si="9"/>
        <v>22842.239999999998</v>
      </c>
      <c r="W78" s="32">
        <v>155.75</v>
      </c>
      <c r="X78" s="38">
        <f t="shared" si="14"/>
        <v>3557678.88</v>
      </c>
      <c r="Y78" s="49">
        <v>0</v>
      </c>
      <c r="Z78" s="32"/>
      <c r="AA78" s="32"/>
      <c r="AB78" s="72"/>
    </row>
    <row r="79" spans="2:28" ht="25.5" thickBot="1">
      <c r="B79" s="31">
        <f t="shared" si="7"/>
        <v>75</v>
      </c>
      <c r="C79" s="11" t="s">
        <v>433</v>
      </c>
      <c r="D79" s="47" t="s">
        <v>65</v>
      </c>
      <c r="E79" s="17"/>
      <c r="F79" s="34" t="s">
        <v>398</v>
      </c>
      <c r="G79" s="11" t="s">
        <v>117</v>
      </c>
      <c r="H79" s="11" t="s">
        <v>42</v>
      </c>
      <c r="I79" s="11" t="s">
        <v>97</v>
      </c>
      <c r="J79" s="35">
        <v>801.22</v>
      </c>
      <c r="K79" s="33">
        <v>41911</v>
      </c>
      <c r="L79" s="36" t="s">
        <v>404</v>
      </c>
      <c r="M79" s="36" t="s">
        <v>46</v>
      </c>
      <c r="N79" s="11" t="s">
        <v>63</v>
      </c>
      <c r="O79" s="13" t="s">
        <v>409</v>
      </c>
      <c r="P79" s="37">
        <v>13605</v>
      </c>
      <c r="Q79" s="38">
        <f t="shared" si="16"/>
        <v>1294869.48</v>
      </c>
      <c r="R79" s="39" t="s">
        <v>32</v>
      </c>
      <c r="S79" s="44">
        <v>95.176000000000002</v>
      </c>
      <c r="T79" s="40">
        <f t="shared" si="8"/>
        <v>42000</v>
      </c>
      <c r="U79" s="11" t="s">
        <v>117</v>
      </c>
      <c r="V79" s="41">
        <f t="shared" si="9"/>
        <v>1553.8433759999998</v>
      </c>
      <c r="W79" s="32">
        <v>155.75</v>
      </c>
      <c r="X79" s="38">
        <f t="shared" si="14"/>
        <v>242011.10581199997</v>
      </c>
      <c r="Y79" s="49">
        <v>0</v>
      </c>
      <c r="Z79" s="32"/>
      <c r="AA79" s="32"/>
      <c r="AB79" s="72"/>
    </row>
    <row r="80" spans="2:28" ht="15.75" thickBot="1">
      <c r="B80" s="18"/>
      <c r="C80" s="19"/>
      <c r="D80" s="19"/>
      <c r="E80" s="19"/>
      <c r="F80" s="19"/>
      <c r="G80" s="19"/>
      <c r="H80" s="19"/>
      <c r="I80" s="19"/>
      <c r="J80" s="18"/>
      <c r="K80" s="20"/>
      <c r="L80" s="19"/>
      <c r="M80" s="19"/>
      <c r="N80" s="22"/>
      <c r="O80" s="23"/>
      <c r="P80" s="65">
        <f>SUM(P5:P79)</f>
        <v>25862739</v>
      </c>
      <c r="Q80" s="66">
        <f>SUM(Q5:Q79)</f>
        <v>2626199992.1842008</v>
      </c>
      <c r="R80" s="67"/>
      <c r="S80" s="68"/>
      <c r="T80" s="69"/>
      <c r="U80" s="70"/>
      <c r="V80" s="66">
        <f>SUM(V5:V79)</f>
        <v>3151439.9906210406</v>
      </c>
      <c r="W80" s="67"/>
      <c r="X80" s="66">
        <f>SUM(X5:X79)</f>
        <v>490796519.07655883</v>
      </c>
      <c r="Y80" s="66">
        <f>SUM(Y5:Y79)</f>
        <v>214351599.64424539</v>
      </c>
      <c r="Z80" s="18"/>
      <c r="AA80" s="18"/>
      <c r="AB80" s="18"/>
    </row>
  </sheetData>
  <mergeCells count="1">
    <mergeCell ref="AB12:AB13"/>
  </mergeCells>
  <pageMargins left="0" right="0" top="0" bottom="0" header="0.31496062992125984" footer="0"/>
  <pageSetup paperSize="8" orientation="landscape" r:id="rId1"/>
  <ignoredErrors>
    <ignoredError sqref="F17:F18 F66:F79 F21:F36 F37:F65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2:AB74"/>
  <sheetViews>
    <sheetView workbookViewId="0">
      <selection activeCell="G3" sqref="G3"/>
    </sheetView>
  </sheetViews>
  <sheetFormatPr defaultRowHeight="15"/>
  <cols>
    <col min="1" max="1" width="3.85546875" customWidth="1"/>
    <col min="2" max="2" width="4.140625" customWidth="1"/>
    <col min="3" max="3" width="5.85546875" customWidth="1"/>
    <col min="4" max="4" width="7.5703125" style="3" customWidth="1"/>
    <col min="5" max="5" width="5.7109375" style="3" customWidth="1"/>
    <col min="6" max="6" width="10.42578125" style="3" customWidth="1"/>
    <col min="7" max="7" width="7" style="3" customWidth="1"/>
    <col min="8" max="8" width="8.140625" style="3" customWidth="1"/>
    <col min="9" max="9" width="9.140625" style="3" customWidth="1"/>
    <col min="10" max="10" width="6.28515625" customWidth="1"/>
    <col min="11" max="11" width="6.140625" style="1" customWidth="1"/>
    <col min="12" max="12" width="7.7109375" style="3" customWidth="1"/>
    <col min="13" max="13" width="5.7109375" style="1" customWidth="1"/>
    <col min="14" max="14" width="7.7109375" style="5" customWidth="1"/>
    <col min="15" max="15" width="9.140625" style="6" customWidth="1"/>
    <col min="16" max="16" width="8" customWidth="1"/>
    <col min="17" max="17" width="13" customWidth="1"/>
    <col min="18" max="18" width="5.85546875" customWidth="1"/>
    <col min="19" max="19" width="6.140625" style="8" customWidth="1"/>
    <col min="20" max="20" width="6" style="1" customWidth="1"/>
    <col min="21" max="21" width="7.5703125" style="3" customWidth="1"/>
    <col min="22" max="22" width="10.42578125" customWidth="1"/>
    <col min="23" max="23" width="5" customWidth="1"/>
    <col min="24" max="25" width="12.28515625" customWidth="1"/>
    <col min="26" max="26" width="6" customWidth="1"/>
    <col min="27" max="27" width="6.85546875" customWidth="1"/>
    <col min="28" max="28" width="8.28515625" customWidth="1"/>
  </cols>
  <sheetData>
    <row r="2" spans="2:28" ht="15.75">
      <c r="L2" s="4" t="s">
        <v>0</v>
      </c>
    </row>
    <row r="3" spans="2:28" ht="23.25" customHeight="1" thickBot="1">
      <c r="L3" s="4" t="s">
        <v>441</v>
      </c>
      <c r="P3" s="2"/>
    </row>
    <row r="4" spans="2:28" s="3" customFormat="1" ht="42.6" customHeight="1" thickBot="1">
      <c r="B4" s="26" t="s">
        <v>1</v>
      </c>
      <c r="C4" s="27" t="s">
        <v>2</v>
      </c>
      <c r="D4" s="27" t="s">
        <v>3</v>
      </c>
      <c r="E4" s="27" t="s">
        <v>4</v>
      </c>
      <c r="F4" s="28" t="s">
        <v>5</v>
      </c>
      <c r="G4" s="29" t="s">
        <v>6</v>
      </c>
      <c r="H4" s="27" t="s">
        <v>7</v>
      </c>
      <c r="I4" s="27" t="s">
        <v>8</v>
      </c>
      <c r="J4" s="27" t="s">
        <v>9</v>
      </c>
      <c r="K4" s="27" t="s">
        <v>10</v>
      </c>
      <c r="L4" s="27" t="s">
        <v>11</v>
      </c>
      <c r="M4" s="27" t="s">
        <v>12</v>
      </c>
      <c r="N4" s="27" t="s">
        <v>13</v>
      </c>
      <c r="O4" s="27" t="s">
        <v>14</v>
      </c>
      <c r="P4" s="27" t="s">
        <v>15</v>
      </c>
      <c r="Q4" s="27" t="s">
        <v>16</v>
      </c>
      <c r="R4" s="27" t="s">
        <v>17</v>
      </c>
      <c r="S4" s="30" t="s">
        <v>18</v>
      </c>
      <c r="T4" s="27" t="s">
        <v>19</v>
      </c>
      <c r="U4" s="27" t="s">
        <v>20</v>
      </c>
      <c r="V4" s="27" t="s">
        <v>21</v>
      </c>
      <c r="W4" s="27" t="s">
        <v>22</v>
      </c>
      <c r="X4" s="27" t="s">
        <v>23</v>
      </c>
      <c r="Y4" s="27" t="s">
        <v>24</v>
      </c>
      <c r="Z4" s="27" t="s">
        <v>25</v>
      </c>
      <c r="AA4" s="27" t="s">
        <v>26</v>
      </c>
      <c r="AB4" s="71" t="s">
        <v>443</v>
      </c>
    </row>
    <row r="5" spans="2:28" ht="20.25" customHeight="1">
      <c r="B5" s="73">
        <v>1</v>
      </c>
      <c r="C5" s="36" t="s">
        <v>125</v>
      </c>
      <c r="D5" s="36" t="s">
        <v>203</v>
      </c>
      <c r="E5" s="33">
        <v>41835</v>
      </c>
      <c r="F5" s="88">
        <v>201400010025</v>
      </c>
      <c r="G5" s="55" t="s">
        <v>94</v>
      </c>
      <c r="H5" s="55" t="s">
        <v>45</v>
      </c>
      <c r="I5" s="55" t="s">
        <v>97</v>
      </c>
      <c r="J5" s="74">
        <v>801.22</v>
      </c>
      <c r="K5" s="33">
        <v>41677</v>
      </c>
      <c r="L5" s="36" t="s">
        <v>123</v>
      </c>
      <c r="M5" s="36" t="s">
        <v>46</v>
      </c>
      <c r="N5" s="36" t="s">
        <v>36</v>
      </c>
      <c r="O5" s="36" t="s">
        <v>124</v>
      </c>
      <c r="P5" s="37">
        <v>90000</v>
      </c>
      <c r="Q5" s="75">
        <f t="shared" ref="Q5" si="0">SUM(P5*S5)</f>
        <v>9915300</v>
      </c>
      <c r="R5" s="76" t="s">
        <v>32</v>
      </c>
      <c r="S5" s="7">
        <v>110.17</v>
      </c>
      <c r="T5" s="77">
        <f t="shared" ref="T5" si="1">SUM(K5)+89</f>
        <v>41766</v>
      </c>
      <c r="U5" s="55" t="s">
        <v>37</v>
      </c>
      <c r="V5" s="78">
        <f t="shared" ref="V5:V50" si="2">SUM(Q5*0.12%)</f>
        <v>11898.359999999999</v>
      </c>
      <c r="W5" s="79">
        <v>155.75</v>
      </c>
      <c r="X5" s="75">
        <f t="shared" ref="X5" si="3">SUM(V5*W5)</f>
        <v>1853169.5699999998</v>
      </c>
      <c r="Y5" s="89">
        <v>1841271.21</v>
      </c>
      <c r="Z5" s="77">
        <v>41817</v>
      </c>
      <c r="AA5" s="90">
        <v>11210</v>
      </c>
      <c r="AB5" s="81"/>
    </row>
    <row r="6" spans="2:28" ht="22.5" customHeight="1">
      <c r="B6" s="31">
        <f t="shared" ref="B6:B53" si="4">B5+1</f>
        <v>2</v>
      </c>
      <c r="C6" s="11" t="s">
        <v>126</v>
      </c>
      <c r="D6" s="13" t="s">
        <v>201</v>
      </c>
      <c r="E6" s="17">
        <v>41835</v>
      </c>
      <c r="F6" s="12">
        <v>201400010026</v>
      </c>
      <c r="G6" s="13" t="s">
        <v>94</v>
      </c>
      <c r="H6" s="13" t="s">
        <v>50</v>
      </c>
      <c r="I6" s="13" t="s">
        <v>97</v>
      </c>
      <c r="J6" s="35">
        <v>801.22</v>
      </c>
      <c r="K6" s="17">
        <v>41677</v>
      </c>
      <c r="L6" s="11" t="s">
        <v>123</v>
      </c>
      <c r="M6" s="11" t="s">
        <v>46</v>
      </c>
      <c r="N6" s="11" t="s">
        <v>36</v>
      </c>
      <c r="O6" s="11" t="s">
        <v>124</v>
      </c>
      <c r="P6" s="56">
        <v>104779</v>
      </c>
      <c r="Q6" s="38">
        <f t="shared" ref="Q6:Q8" si="5">SUM(P6*S6)</f>
        <v>11579525.450200001</v>
      </c>
      <c r="R6" s="39" t="s">
        <v>32</v>
      </c>
      <c r="S6" s="7">
        <v>110.5138</v>
      </c>
      <c r="T6" s="40">
        <f t="shared" ref="T6:T11" si="6">SUM(K6)+89</f>
        <v>41766</v>
      </c>
      <c r="U6" s="13" t="s">
        <v>37</v>
      </c>
      <c r="V6" s="41">
        <f t="shared" si="2"/>
        <v>13895.43054024</v>
      </c>
      <c r="W6" s="32">
        <v>155.75</v>
      </c>
      <c r="X6" s="38">
        <f t="shared" ref="X6:X11" si="7">SUM(V6*W6)</f>
        <v>2164213.3066423801</v>
      </c>
      <c r="Y6" s="45">
        <v>2150317.79</v>
      </c>
      <c r="Z6" s="40">
        <v>41817</v>
      </c>
      <c r="AA6" s="46">
        <v>11206</v>
      </c>
      <c r="AB6" s="72"/>
    </row>
    <row r="7" spans="2:28" ht="23.25" customHeight="1">
      <c r="B7" s="31">
        <f t="shared" si="4"/>
        <v>3</v>
      </c>
      <c r="C7" s="11" t="s">
        <v>135</v>
      </c>
      <c r="D7" s="11" t="s">
        <v>204</v>
      </c>
      <c r="E7" s="17">
        <v>41835</v>
      </c>
      <c r="F7" s="34" t="s">
        <v>131</v>
      </c>
      <c r="G7" s="11" t="s">
        <v>94</v>
      </c>
      <c r="H7" s="11" t="s">
        <v>45</v>
      </c>
      <c r="I7" s="11" t="s">
        <v>97</v>
      </c>
      <c r="J7" s="35">
        <v>801.22</v>
      </c>
      <c r="K7" s="33">
        <v>41703</v>
      </c>
      <c r="L7" s="36" t="s">
        <v>88</v>
      </c>
      <c r="M7" s="36" t="s">
        <v>46</v>
      </c>
      <c r="N7" s="11" t="s">
        <v>40</v>
      </c>
      <c r="O7" s="13" t="s">
        <v>41</v>
      </c>
      <c r="P7" s="37">
        <v>80000</v>
      </c>
      <c r="Q7" s="51">
        <f t="shared" si="5"/>
        <v>8711920</v>
      </c>
      <c r="R7" s="39" t="s">
        <v>32</v>
      </c>
      <c r="S7" s="7">
        <v>108.899</v>
      </c>
      <c r="T7" s="40">
        <f t="shared" si="6"/>
        <v>41792</v>
      </c>
      <c r="U7" s="13" t="s">
        <v>37</v>
      </c>
      <c r="V7" s="53">
        <f t="shared" si="2"/>
        <v>10454.303999999998</v>
      </c>
      <c r="W7" s="32">
        <v>155.74</v>
      </c>
      <c r="X7" s="51">
        <f t="shared" si="7"/>
        <v>1628153.3049599999</v>
      </c>
      <c r="Y7" s="45">
        <v>1617802.93</v>
      </c>
      <c r="Z7" s="40">
        <v>41817</v>
      </c>
      <c r="AA7" s="46">
        <v>11212</v>
      </c>
      <c r="AB7" s="72"/>
    </row>
    <row r="8" spans="2:28" ht="23.25" customHeight="1">
      <c r="B8" s="31">
        <f t="shared" si="4"/>
        <v>4</v>
      </c>
      <c r="C8" s="11" t="s">
        <v>136</v>
      </c>
      <c r="D8" s="13" t="s">
        <v>202</v>
      </c>
      <c r="E8" s="17">
        <v>41835</v>
      </c>
      <c r="F8" s="64" t="s">
        <v>132</v>
      </c>
      <c r="G8" s="11" t="s">
        <v>94</v>
      </c>
      <c r="H8" s="11" t="s">
        <v>50</v>
      </c>
      <c r="I8" s="11" t="s">
        <v>97</v>
      </c>
      <c r="J8" s="35">
        <v>801.22</v>
      </c>
      <c r="K8" s="17">
        <v>41703</v>
      </c>
      <c r="L8" s="11" t="s">
        <v>88</v>
      </c>
      <c r="M8" s="11" t="s">
        <v>46</v>
      </c>
      <c r="N8" s="11" t="s">
        <v>40</v>
      </c>
      <c r="O8" s="13" t="s">
        <v>41</v>
      </c>
      <c r="P8" s="56">
        <v>377938</v>
      </c>
      <c r="Q8" s="38">
        <f t="shared" si="5"/>
        <v>41460478.888400003</v>
      </c>
      <c r="R8" s="39" t="s">
        <v>32</v>
      </c>
      <c r="S8" s="7">
        <v>109.70180000000001</v>
      </c>
      <c r="T8" s="40">
        <f t="shared" si="6"/>
        <v>41792</v>
      </c>
      <c r="U8" s="13" t="s">
        <v>37</v>
      </c>
      <c r="V8" s="41">
        <f t="shared" si="2"/>
        <v>49752.57466608</v>
      </c>
      <c r="W8" s="32">
        <v>155.74</v>
      </c>
      <c r="X8" s="38">
        <f t="shared" si="7"/>
        <v>7748465.9784952998</v>
      </c>
      <c r="Y8" s="45">
        <v>7699210.21</v>
      </c>
      <c r="Z8" s="40">
        <v>41817</v>
      </c>
      <c r="AA8" s="46">
        <v>11207</v>
      </c>
      <c r="AB8" s="72"/>
    </row>
    <row r="9" spans="2:28" ht="23.25" customHeight="1">
      <c r="B9" s="31">
        <f t="shared" si="4"/>
        <v>5</v>
      </c>
      <c r="C9" s="11" t="s">
        <v>138</v>
      </c>
      <c r="D9" s="11" t="s">
        <v>205</v>
      </c>
      <c r="E9" s="17">
        <v>41835</v>
      </c>
      <c r="F9" s="34" t="s">
        <v>140</v>
      </c>
      <c r="G9" s="11" t="s">
        <v>94</v>
      </c>
      <c r="H9" s="11" t="s">
        <v>45</v>
      </c>
      <c r="I9" s="11" t="s">
        <v>97</v>
      </c>
      <c r="J9" s="35">
        <v>801.22</v>
      </c>
      <c r="K9" s="17">
        <v>41729</v>
      </c>
      <c r="L9" s="11" t="s">
        <v>133</v>
      </c>
      <c r="M9" s="11" t="s">
        <v>46</v>
      </c>
      <c r="N9" s="11" t="s">
        <v>63</v>
      </c>
      <c r="O9" s="13" t="s">
        <v>134</v>
      </c>
      <c r="P9" s="83">
        <v>90000</v>
      </c>
      <c r="Q9" s="38">
        <f t="shared" ref="Q9:Q55" si="8">SUM(P9*S9)</f>
        <v>9800001</v>
      </c>
      <c r="R9" s="39" t="s">
        <v>32</v>
      </c>
      <c r="S9" s="44">
        <v>108.88890000000001</v>
      </c>
      <c r="T9" s="40">
        <f t="shared" si="6"/>
        <v>41818</v>
      </c>
      <c r="U9" s="11" t="s">
        <v>37</v>
      </c>
      <c r="V9" s="41">
        <f t="shared" si="2"/>
        <v>11760.001199999999</v>
      </c>
      <c r="W9" s="32">
        <v>155.74</v>
      </c>
      <c r="X9" s="38">
        <f t="shared" si="7"/>
        <v>1831502.5868879999</v>
      </c>
      <c r="Y9" s="45">
        <v>1819911.07</v>
      </c>
      <c r="Z9" s="40">
        <v>41817</v>
      </c>
      <c r="AA9" s="46">
        <v>11213</v>
      </c>
      <c r="AB9" s="72"/>
    </row>
    <row r="10" spans="2:28" ht="27.75" customHeight="1">
      <c r="B10" s="31">
        <f t="shared" si="4"/>
        <v>6</v>
      </c>
      <c r="C10" s="11" t="s">
        <v>186</v>
      </c>
      <c r="D10" s="47" t="s">
        <v>206</v>
      </c>
      <c r="E10" s="17">
        <v>41835</v>
      </c>
      <c r="F10" s="34" t="s">
        <v>200</v>
      </c>
      <c r="G10" s="11" t="s">
        <v>102</v>
      </c>
      <c r="H10" s="11" t="s">
        <v>118</v>
      </c>
      <c r="I10" s="11" t="s">
        <v>104</v>
      </c>
      <c r="J10" s="35">
        <v>801.22</v>
      </c>
      <c r="K10" s="33">
        <v>41792</v>
      </c>
      <c r="L10" s="36" t="s">
        <v>127</v>
      </c>
      <c r="M10" s="36" t="s">
        <v>105</v>
      </c>
      <c r="N10" s="11" t="s">
        <v>72</v>
      </c>
      <c r="O10" s="13" t="s">
        <v>108</v>
      </c>
      <c r="P10" s="37">
        <v>618102</v>
      </c>
      <c r="Q10" s="38">
        <f t="shared" si="8"/>
        <v>64946449.548</v>
      </c>
      <c r="R10" s="39" t="s">
        <v>32</v>
      </c>
      <c r="S10" s="7">
        <v>105.074</v>
      </c>
      <c r="T10" s="40">
        <f t="shared" si="6"/>
        <v>41881</v>
      </c>
      <c r="U10" s="11" t="s">
        <v>106</v>
      </c>
      <c r="V10" s="53">
        <f t="shared" si="2"/>
        <v>77935.739457599993</v>
      </c>
      <c r="W10" s="79">
        <v>155.72999999999999</v>
      </c>
      <c r="X10" s="38">
        <f t="shared" si="7"/>
        <v>12136932.705732046</v>
      </c>
      <c r="Y10" s="45">
        <v>12136932.710000001</v>
      </c>
      <c r="Z10" s="40">
        <v>41831</v>
      </c>
      <c r="AA10" s="46">
        <v>2470</v>
      </c>
      <c r="AB10" s="72"/>
    </row>
    <row r="11" spans="2:28" ht="24.75" customHeight="1">
      <c r="B11" s="31">
        <f t="shared" si="4"/>
        <v>7</v>
      </c>
      <c r="C11" s="11" t="s">
        <v>187</v>
      </c>
      <c r="D11" s="47" t="s">
        <v>207</v>
      </c>
      <c r="E11" s="17">
        <v>41835</v>
      </c>
      <c r="F11" s="34" t="s">
        <v>199</v>
      </c>
      <c r="G11" s="11" t="s">
        <v>102</v>
      </c>
      <c r="H11" s="11" t="s">
        <v>118</v>
      </c>
      <c r="I11" s="11" t="s">
        <v>104</v>
      </c>
      <c r="J11" s="35">
        <v>801.22</v>
      </c>
      <c r="K11" s="33">
        <v>41813</v>
      </c>
      <c r="L11" s="36" t="s">
        <v>184</v>
      </c>
      <c r="M11" s="36" t="s">
        <v>105</v>
      </c>
      <c r="N11" s="11" t="s">
        <v>72</v>
      </c>
      <c r="O11" s="13" t="s">
        <v>108</v>
      </c>
      <c r="P11" s="37">
        <v>702158</v>
      </c>
      <c r="Q11" s="38">
        <f t="shared" si="8"/>
        <v>76115331.516000003</v>
      </c>
      <c r="R11" s="39" t="s">
        <v>32</v>
      </c>
      <c r="S11" s="44">
        <v>108.402</v>
      </c>
      <c r="T11" s="40">
        <f t="shared" si="6"/>
        <v>41902</v>
      </c>
      <c r="U11" s="13" t="s">
        <v>106</v>
      </c>
      <c r="V11" s="53">
        <f t="shared" si="2"/>
        <v>91338.397819199992</v>
      </c>
      <c r="W11" s="32">
        <v>155.72999999999999</v>
      </c>
      <c r="X11" s="38">
        <f t="shared" si="7"/>
        <v>14224128.692384014</v>
      </c>
      <c r="Y11" s="45">
        <v>14224128.689999999</v>
      </c>
      <c r="Z11" s="40">
        <v>41831</v>
      </c>
      <c r="AA11" s="46">
        <v>2472</v>
      </c>
      <c r="AB11" s="72"/>
    </row>
    <row r="12" spans="2:28" ht="34.5" customHeight="1">
      <c r="B12" s="31">
        <f t="shared" si="4"/>
        <v>8</v>
      </c>
      <c r="C12" s="11" t="s">
        <v>146</v>
      </c>
      <c r="D12" s="11" t="s">
        <v>208</v>
      </c>
      <c r="E12" s="33">
        <v>41838</v>
      </c>
      <c r="F12" s="64" t="s">
        <v>142</v>
      </c>
      <c r="G12" s="11" t="s">
        <v>106</v>
      </c>
      <c r="H12" s="11" t="s">
        <v>59</v>
      </c>
      <c r="I12" s="11" t="s">
        <v>97</v>
      </c>
      <c r="J12" s="35">
        <v>801.22</v>
      </c>
      <c r="K12" s="17">
        <v>41747</v>
      </c>
      <c r="L12" s="11" t="s">
        <v>112</v>
      </c>
      <c r="M12" s="11" t="s">
        <v>46</v>
      </c>
      <c r="N12" s="11" t="s">
        <v>51</v>
      </c>
      <c r="O12" s="13" t="s">
        <v>75</v>
      </c>
      <c r="P12" s="83">
        <v>304000</v>
      </c>
      <c r="Q12" s="38">
        <f t="shared" si="8"/>
        <v>33768624</v>
      </c>
      <c r="R12" s="39" t="s">
        <v>32</v>
      </c>
      <c r="S12" s="7">
        <v>111.081</v>
      </c>
      <c r="T12" s="40">
        <f t="shared" ref="T12" si="9">SUM(K12)+89</f>
        <v>41836</v>
      </c>
      <c r="U12" s="13" t="s">
        <v>37</v>
      </c>
      <c r="V12" s="41">
        <f t="shared" si="2"/>
        <v>40522.3488</v>
      </c>
      <c r="W12" s="32">
        <v>155.72999999999999</v>
      </c>
      <c r="X12" s="38">
        <f t="shared" ref="X12" si="10">SUM(V12*W12)</f>
        <v>6310545.3786239997</v>
      </c>
      <c r="Y12" s="45">
        <v>6509105.0800000001</v>
      </c>
      <c r="Z12" s="40">
        <v>41836</v>
      </c>
      <c r="AA12" s="46">
        <v>8920</v>
      </c>
      <c r="AB12" s="72"/>
    </row>
    <row r="13" spans="2:28" ht="24.75">
      <c r="B13" s="31">
        <f t="shared" si="4"/>
        <v>9</v>
      </c>
      <c r="C13" s="11" t="s">
        <v>168</v>
      </c>
      <c r="D13" s="11" t="s">
        <v>209</v>
      </c>
      <c r="E13" s="17">
        <v>41841</v>
      </c>
      <c r="F13" s="64" t="s">
        <v>158</v>
      </c>
      <c r="G13" s="11" t="s">
        <v>38</v>
      </c>
      <c r="H13" s="11" t="s">
        <v>82</v>
      </c>
      <c r="I13" s="11" t="s">
        <v>97</v>
      </c>
      <c r="J13" s="35">
        <v>801.22</v>
      </c>
      <c r="K13" s="33">
        <v>41776</v>
      </c>
      <c r="L13" s="11" t="s">
        <v>161</v>
      </c>
      <c r="M13" s="11" t="s">
        <v>46</v>
      </c>
      <c r="N13" s="11" t="s">
        <v>40</v>
      </c>
      <c r="O13" s="13" t="s">
        <v>163</v>
      </c>
      <c r="P13" s="56">
        <v>18000</v>
      </c>
      <c r="Q13" s="38">
        <f t="shared" si="8"/>
        <v>2002572</v>
      </c>
      <c r="R13" s="39" t="s">
        <v>32</v>
      </c>
      <c r="S13" s="44">
        <v>111.254</v>
      </c>
      <c r="T13" s="40">
        <f t="shared" ref="T13:T19" si="11">SUM(K13)+89</f>
        <v>41865</v>
      </c>
      <c r="U13" s="13" t="s">
        <v>38</v>
      </c>
      <c r="V13" s="41">
        <f t="shared" si="2"/>
        <v>2403.0863999999997</v>
      </c>
      <c r="W13" s="32">
        <v>155.72999999999999</v>
      </c>
      <c r="X13" s="38">
        <f t="shared" ref="X13:X19" si="12">SUM(V13*W13)</f>
        <v>374232.64507199993</v>
      </c>
      <c r="Y13" s="45">
        <v>374232.65</v>
      </c>
      <c r="Z13" s="40">
        <v>41838</v>
      </c>
      <c r="AA13" s="46">
        <v>4410</v>
      </c>
      <c r="AB13" s="72"/>
    </row>
    <row r="14" spans="2:28" ht="24.75">
      <c r="B14" s="31">
        <f t="shared" si="4"/>
        <v>10</v>
      </c>
      <c r="C14" s="11" t="s">
        <v>169</v>
      </c>
      <c r="D14" s="11" t="s">
        <v>210</v>
      </c>
      <c r="E14" s="17">
        <v>41841</v>
      </c>
      <c r="F14" s="64" t="s">
        <v>159</v>
      </c>
      <c r="G14" s="11" t="s">
        <v>38</v>
      </c>
      <c r="H14" s="11" t="s">
        <v>82</v>
      </c>
      <c r="I14" s="11" t="s">
        <v>97</v>
      </c>
      <c r="J14" s="35">
        <v>801.22</v>
      </c>
      <c r="K14" s="33">
        <v>41776</v>
      </c>
      <c r="L14" s="11" t="s">
        <v>161</v>
      </c>
      <c r="M14" s="11" t="s">
        <v>46</v>
      </c>
      <c r="N14" s="11" t="s">
        <v>40</v>
      </c>
      <c r="O14" s="13" t="s">
        <v>163</v>
      </c>
      <c r="P14" s="56">
        <v>57000</v>
      </c>
      <c r="Q14" s="38">
        <f t="shared" si="8"/>
        <v>6341478</v>
      </c>
      <c r="R14" s="39" t="s">
        <v>32</v>
      </c>
      <c r="S14" s="44">
        <v>111.254</v>
      </c>
      <c r="T14" s="40">
        <f t="shared" si="11"/>
        <v>41865</v>
      </c>
      <c r="U14" s="13" t="s">
        <v>38</v>
      </c>
      <c r="V14" s="41">
        <f t="shared" si="2"/>
        <v>7609.7735999999995</v>
      </c>
      <c r="W14" s="32">
        <v>155.72999999999999</v>
      </c>
      <c r="X14" s="38">
        <f t="shared" si="12"/>
        <v>1185070.0427279999</v>
      </c>
      <c r="Y14" s="45">
        <v>1185070.04</v>
      </c>
      <c r="Z14" s="40">
        <v>41838</v>
      </c>
      <c r="AA14" s="46">
        <v>4411</v>
      </c>
      <c r="AB14" s="72"/>
    </row>
    <row r="15" spans="2:28" ht="24.75">
      <c r="B15" s="31">
        <f t="shared" si="4"/>
        <v>11</v>
      </c>
      <c r="C15" s="11" t="s">
        <v>170</v>
      </c>
      <c r="D15" s="11" t="s">
        <v>211</v>
      </c>
      <c r="E15" s="17">
        <v>41841</v>
      </c>
      <c r="F15" s="64" t="s">
        <v>160</v>
      </c>
      <c r="G15" s="11" t="s">
        <v>113</v>
      </c>
      <c r="H15" s="11" t="s">
        <v>82</v>
      </c>
      <c r="I15" s="11" t="s">
        <v>97</v>
      </c>
      <c r="J15" s="35">
        <v>801.22</v>
      </c>
      <c r="K15" s="33">
        <v>41776</v>
      </c>
      <c r="L15" s="11" t="s">
        <v>161</v>
      </c>
      <c r="M15" s="11" t="s">
        <v>46</v>
      </c>
      <c r="N15" s="11" t="s">
        <v>40</v>
      </c>
      <c r="O15" s="13" t="s">
        <v>163</v>
      </c>
      <c r="P15" s="56">
        <v>39000</v>
      </c>
      <c r="Q15" s="38">
        <f t="shared" si="8"/>
        <v>4338906</v>
      </c>
      <c r="R15" s="39" t="s">
        <v>32</v>
      </c>
      <c r="S15" s="44">
        <v>111.254</v>
      </c>
      <c r="T15" s="40">
        <f t="shared" si="11"/>
        <v>41865</v>
      </c>
      <c r="U15" s="13" t="s">
        <v>38</v>
      </c>
      <c r="V15" s="41">
        <f t="shared" si="2"/>
        <v>5206.6871999999994</v>
      </c>
      <c r="W15" s="32">
        <v>155.72999999999999</v>
      </c>
      <c r="X15" s="38">
        <f t="shared" si="12"/>
        <v>810837.39765599987</v>
      </c>
      <c r="Y15" s="45">
        <v>810837.4</v>
      </c>
      <c r="Z15" s="40">
        <v>41838</v>
      </c>
      <c r="AA15" s="46">
        <v>4412</v>
      </c>
      <c r="AB15" s="72"/>
    </row>
    <row r="16" spans="2:28" ht="27.75" customHeight="1">
      <c r="B16" s="31">
        <f t="shared" si="4"/>
        <v>12</v>
      </c>
      <c r="C16" s="11" t="s">
        <v>190</v>
      </c>
      <c r="D16" s="11" t="s">
        <v>212</v>
      </c>
      <c r="E16" s="17">
        <v>41841</v>
      </c>
      <c r="F16" s="34" t="s">
        <v>175</v>
      </c>
      <c r="G16" s="11" t="s">
        <v>38</v>
      </c>
      <c r="H16" s="11" t="s">
        <v>82</v>
      </c>
      <c r="I16" s="11" t="s">
        <v>97</v>
      </c>
      <c r="J16" s="35">
        <v>801.22</v>
      </c>
      <c r="K16" s="33">
        <v>41793</v>
      </c>
      <c r="L16" s="36" t="s">
        <v>115</v>
      </c>
      <c r="M16" s="36" t="s">
        <v>46</v>
      </c>
      <c r="N16" s="11" t="s">
        <v>61</v>
      </c>
      <c r="O16" s="13" t="s">
        <v>62</v>
      </c>
      <c r="P16" s="37">
        <v>32000</v>
      </c>
      <c r="Q16" s="38">
        <f t="shared" si="8"/>
        <v>3631328</v>
      </c>
      <c r="R16" s="39" t="s">
        <v>32</v>
      </c>
      <c r="S16" s="7">
        <v>113.479</v>
      </c>
      <c r="T16" s="40">
        <f t="shared" si="11"/>
        <v>41882</v>
      </c>
      <c r="U16" s="11" t="s">
        <v>38</v>
      </c>
      <c r="V16" s="53">
        <f t="shared" si="2"/>
        <v>4357.5935999999992</v>
      </c>
      <c r="W16" s="32">
        <v>155.72999999999999</v>
      </c>
      <c r="X16" s="38">
        <f t="shared" si="12"/>
        <v>678608.0513279998</v>
      </c>
      <c r="Y16" s="45">
        <v>678608.05</v>
      </c>
      <c r="Z16" s="40">
        <v>41838</v>
      </c>
      <c r="AA16" s="46">
        <v>4405</v>
      </c>
      <c r="AB16" s="72"/>
    </row>
    <row r="17" spans="2:28" ht="27.75" customHeight="1">
      <c r="B17" s="31">
        <f t="shared" si="4"/>
        <v>13</v>
      </c>
      <c r="C17" s="11" t="s">
        <v>191</v>
      </c>
      <c r="D17" s="11" t="s">
        <v>213</v>
      </c>
      <c r="E17" s="17">
        <v>41841</v>
      </c>
      <c r="F17" s="34" t="s">
        <v>176</v>
      </c>
      <c r="G17" s="11" t="s">
        <v>38</v>
      </c>
      <c r="H17" s="11" t="s">
        <v>82</v>
      </c>
      <c r="I17" s="11" t="s">
        <v>97</v>
      </c>
      <c r="J17" s="35">
        <v>801.22</v>
      </c>
      <c r="K17" s="33">
        <v>41793</v>
      </c>
      <c r="L17" s="36" t="s">
        <v>115</v>
      </c>
      <c r="M17" s="36" t="s">
        <v>46</v>
      </c>
      <c r="N17" s="11" t="s">
        <v>61</v>
      </c>
      <c r="O17" s="13" t="s">
        <v>62</v>
      </c>
      <c r="P17" s="37">
        <v>34000</v>
      </c>
      <c r="Q17" s="38">
        <f t="shared" si="8"/>
        <v>3858286</v>
      </c>
      <c r="R17" s="39" t="s">
        <v>32</v>
      </c>
      <c r="S17" s="7">
        <v>113.479</v>
      </c>
      <c r="T17" s="40">
        <f t="shared" si="11"/>
        <v>41882</v>
      </c>
      <c r="U17" s="11" t="s">
        <v>38</v>
      </c>
      <c r="V17" s="53">
        <f t="shared" si="2"/>
        <v>4629.9431999999997</v>
      </c>
      <c r="W17" s="32">
        <v>155.72999999999999</v>
      </c>
      <c r="X17" s="38">
        <f t="shared" si="12"/>
        <v>721021.05453599989</v>
      </c>
      <c r="Y17" s="45">
        <v>721021.05</v>
      </c>
      <c r="Z17" s="40">
        <v>41838</v>
      </c>
      <c r="AA17" s="46">
        <v>4406</v>
      </c>
      <c r="AB17" s="72"/>
    </row>
    <row r="18" spans="2:28" ht="27.75" customHeight="1">
      <c r="B18" s="31">
        <f t="shared" si="4"/>
        <v>14</v>
      </c>
      <c r="C18" s="11" t="s">
        <v>192</v>
      </c>
      <c r="D18" s="11" t="s">
        <v>214</v>
      </c>
      <c r="E18" s="17">
        <v>41841</v>
      </c>
      <c r="F18" s="12">
        <v>20149030006</v>
      </c>
      <c r="G18" s="11" t="s">
        <v>113</v>
      </c>
      <c r="H18" s="11" t="s">
        <v>82</v>
      </c>
      <c r="I18" s="11" t="s">
        <v>97</v>
      </c>
      <c r="J18" s="35">
        <v>801.22</v>
      </c>
      <c r="K18" s="33">
        <v>41793</v>
      </c>
      <c r="L18" s="36" t="s">
        <v>115</v>
      </c>
      <c r="M18" s="36" t="s">
        <v>46</v>
      </c>
      <c r="N18" s="11" t="s">
        <v>61</v>
      </c>
      <c r="O18" s="13" t="s">
        <v>62</v>
      </c>
      <c r="P18" s="37">
        <v>78000</v>
      </c>
      <c r="Q18" s="38">
        <f t="shared" si="8"/>
        <v>8851362</v>
      </c>
      <c r="R18" s="39" t="s">
        <v>32</v>
      </c>
      <c r="S18" s="7">
        <v>113.479</v>
      </c>
      <c r="T18" s="40">
        <f t="shared" si="11"/>
        <v>41882</v>
      </c>
      <c r="U18" s="11" t="s">
        <v>38</v>
      </c>
      <c r="V18" s="53">
        <f t="shared" si="2"/>
        <v>10621.634399999999</v>
      </c>
      <c r="W18" s="32">
        <v>155.72999999999999</v>
      </c>
      <c r="X18" s="38">
        <f t="shared" si="12"/>
        <v>1654107.1251119997</v>
      </c>
      <c r="Y18" s="45">
        <v>1654107.13</v>
      </c>
      <c r="Z18" s="40">
        <v>41838</v>
      </c>
      <c r="AA18" s="46">
        <v>4407</v>
      </c>
      <c r="AB18" s="72"/>
    </row>
    <row r="19" spans="2:28" ht="26.25" customHeight="1">
      <c r="B19" s="31">
        <f t="shared" si="4"/>
        <v>15</v>
      </c>
      <c r="C19" s="11" t="s">
        <v>197</v>
      </c>
      <c r="D19" s="11" t="s">
        <v>215</v>
      </c>
      <c r="E19" s="17">
        <v>41841</v>
      </c>
      <c r="F19" s="34" t="s">
        <v>181</v>
      </c>
      <c r="G19" s="11" t="s">
        <v>38</v>
      </c>
      <c r="H19" s="11" t="s">
        <v>82</v>
      </c>
      <c r="I19" s="11" t="s">
        <v>97</v>
      </c>
      <c r="J19" s="35">
        <v>801.22</v>
      </c>
      <c r="K19" s="33">
        <v>41812</v>
      </c>
      <c r="L19" s="36" t="s">
        <v>71</v>
      </c>
      <c r="M19" s="36" t="s">
        <v>46</v>
      </c>
      <c r="N19" s="11" t="s">
        <v>56</v>
      </c>
      <c r="O19" s="13" t="s">
        <v>114</v>
      </c>
      <c r="P19" s="37">
        <v>50000</v>
      </c>
      <c r="Q19" s="38">
        <f t="shared" si="8"/>
        <v>5673950</v>
      </c>
      <c r="R19" s="39" t="s">
        <v>32</v>
      </c>
      <c r="S19" s="7">
        <v>113.479</v>
      </c>
      <c r="T19" s="40">
        <f t="shared" si="11"/>
        <v>41901</v>
      </c>
      <c r="U19" s="13" t="s">
        <v>38</v>
      </c>
      <c r="V19" s="53">
        <f t="shared" si="2"/>
        <v>6808.74</v>
      </c>
      <c r="W19" s="32">
        <v>155.72999999999999</v>
      </c>
      <c r="X19" s="38">
        <f t="shared" si="12"/>
        <v>1060325.0802</v>
      </c>
      <c r="Y19" s="45">
        <v>1060325.08</v>
      </c>
      <c r="Z19" s="40">
        <v>41838</v>
      </c>
      <c r="AA19" s="46">
        <v>4409</v>
      </c>
      <c r="AB19" s="72"/>
    </row>
    <row r="20" spans="2:28" ht="21" customHeight="1">
      <c r="B20" s="31">
        <f t="shared" si="4"/>
        <v>16</v>
      </c>
      <c r="C20" s="11" t="s">
        <v>143</v>
      </c>
      <c r="D20" s="13" t="s">
        <v>217</v>
      </c>
      <c r="E20" s="33">
        <v>41842</v>
      </c>
      <c r="F20" s="34" t="s">
        <v>153</v>
      </c>
      <c r="G20" s="11" t="s">
        <v>94</v>
      </c>
      <c r="H20" s="11" t="s">
        <v>50</v>
      </c>
      <c r="I20" s="11" t="s">
        <v>97</v>
      </c>
      <c r="J20" s="35">
        <v>801.22</v>
      </c>
      <c r="K20" s="17">
        <v>41731</v>
      </c>
      <c r="L20" s="11" t="s">
        <v>133</v>
      </c>
      <c r="M20" s="11" t="s">
        <v>46</v>
      </c>
      <c r="N20" s="11" t="s">
        <v>63</v>
      </c>
      <c r="O20" s="13" t="s">
        <v>121</v>
      </c>
      <c r="P20" s="56">
        <v>227068</v>
      </c>
      <c r="Q20" s="38">
        <f t="shared" si="8"/>
        <v>24914218.8552</v>
      </c>
      <c r="R20" s="39" t="s">
        <v>32</v>
      </c>
      <c r="S20" s="7">
        <v>109.7214</v>
      </c>
      <c r="T20" s="40">
        <f t="shared" ref="T20:T25" si="13">SUM(K20)+89</f>
        <v>41820</v>
      </c>
      <c r="U20" s="13" t="s">
        <v>37</v>
      </c>
      <c r="V20" s="41">
        <f t="shared" si="2"/>
        <v>29897.062626239996</v>
      </c>
      <c r="W20" s="32">
        <v>155.72999999999999</v>
      </c>
      <c r="X20" s="38">
        <f t="shared" ref="X20:X25" si="14">SUM(V20*W20)</f>
        <v>4655869.5627843542</v>
      </c>
      <c r="Y20" s="45">
        <v>4626271.0599999996</v>
      </c>
      <c r="Z20" s="40">
        <v>41838</v>
      </c>
      <c r="AA20" s="46">
        <v>11231</v>
      </c>
      <c r="AB20" s="72"/>
    </row>
    <row r="21" spans="2:28" ht="20.25" customHeight="1">
      <c r="B21" s="31">
        <f t="shared" si="4"/>
        <v>17</v>
      </c>
      <c r="C21" s="11" t="s">
        <v>145</v>
      </c>
      <c r="D21" s="11" t="s">
        <v>216</v>
      </c>
      <c r="E21" s="33">
        <v>41842</v>
      </c>
      <c r="F21" s="64" t="s">
        <v>141</v>
      </c>
      <c r="G21" s="11" t="s">
        <v>94</v>
      </c>
      <c r="H21" s="11" t="s">
        <v>45</v>
      </c>
      <c r="I21" s="11" t="s">
        <v>97</v>
      </c>
      <c r="J21" s="35">
        <v>801.22</v>
      </c>
      <c r="K21" s="17">
        <v>41747</v>
      </c>
      <c r="L21" s="11" t="s">
        <v>112</v>
      </c>
      <c r="M21" s="11" t="s">
        <v>46</v>
      </c>
      <c r="N21" s="11" t="s">
        <v>51</v>
      </c>
      <c r="O21" s="13" t="s">
        <v>75</v>
      </c>
      <c r="P21" s="83">
        <v>80000</v>
      </c>
      <c r="Q21" s="38">
        <f t="shared" si="8"/>
        <v>8766640</v>
      </c>
      <c r="R21" s="39" t="s">
        <v>32</v>
      </c>
      <c r="S21" s="7">
        <v>109.583</v>
      </c>
      <c r="T21" s="40">
        <f t="shared" si="13"/>
        <v>41836</v>
      </c>
      <c r="U21" s="13" t="s">
        <v>37</v>
      </c>
      <c r="V21" s="41">
        <f t="shared" si="2"/>
        <v>10519.967999999999</v>
      </c>
      <c r="W21" s="32">
        <v>155.72999999999999</v>
      </c>
      <c r="X21" s="38">
        <f t="shared" si="14"/>
        <v>1638274.6166399997</v>
      </c>
      <c r="Y21" s="45">
        <v>1627754.96</v>
      </c>
      <c r="Z21" s="40">
        <v>41838</v>
      </c>
      <c r="AA21" s="46">
        <v>11233</v>
      </c>
      <c r="AB21" s="72"/>
    </row>
    <row r="22" spans="2:28" ht="36.75" customHeight="1">
      <c r="B22" s="31">
        <f t="shared" si="4"/>
        <v>18</v>
      </c>
      <c r="C22" s="11" t="s">
        <v>147</v>
      </c>
      <c r="D22" s="11" t="s">
        <v>221</v>
      </c>
      <c r="E22" s="17">
        <v>41842</v>
      </c>
      <c r="F22" s="34" t="s">
        <v>151</v>
      </c>
      <c r="G22" s="11" t="s">
        <v>106</v>
      </c>
      <c r="H22" s="11" t="s">
        <v>33</v>
      </c>
      <c r="I22" s="11" t="s">
        <v>34</v>
      </c>
      <c r="J22" s="35">
        <v>801.22</v>
      </c>
      <c r="K22" s="17">
        <v>41750</v>
      </c>
      <c r="L22" s="11" t="s">
        <v>80</v>
      </c>
      <c r="M22" s="11" t="s">
        <v>35</v>
      </c>
      <c r="N22" s="11" t="s">
        <v>36</v>
      </c>
      <c r="O22" s="13" t="s">
        <v>60</v>
      </c>
      <c r="P22" s="83">
        <v>950596</v>
      </c>
      <c r="Q22" s="38">
        <f t="shared" si="8"/>
        <v>104259277.96880001</v>
      </c>
      <c r="R22" s="39" t="s">
        <v>32</v>
      </c>
      <c r="S22" s="44">
        <v>109.6778</v>
      </c>
      <c r="T22" s="40">
        <f t="shared" ref="T22" si="15">SUM(K22)+89</f>
        <v>41839</v>
      </c>
      <c r="U22" s="13" t="s">
        <v>37</v>
      </c>
      <c r="V22" s="41">
        <f t="shared" si="2"/>
        <v>125111.13356256</v>
      </c>
      <c r="W22" s="32">
        <v>155.72999999999999</v>
      </c>
      <c r="X22" s="38">
        <f t="shared" ref="X22" si="16">SUM(V22*W22)</f>
        <v>19483556.829697467</v>
      </c>
      <c r="Y22" s="45">
        <v>19679656.02</v>
      </c>
      <c r="Z22" s="40">
        <v>41831</v>
      </c>
      <c r="AA22" s="46">
        <v>11220</v>
      </c>
      <c r="AB22" s="72"/>
    </row>
    <row r="23" spans="2:28" ht="21.75" customHeight="1">
      <c r="B23" s="31">
        <f t="shared" si="4"/>
        <v>19</v>
      </c>
      <c r="C23" s="11" t="s">
        <v>164</v>
      </c>
      <c r="D23" s="13" t="s">
        <v>218</v>
      </c>
      <c r="E23" s="33">
        <v>41842</v>
      </c>
      <c r="F23" s="64" t="s">
        <v>154</v>
      </c>
      <c r="G23" s="11" t="s">
        <v>94</v>
      </c>
      <c r="H23" s="11" t="s">
        <v>50</v>
      </c>
      <c r="I23" s="11" t="s">
        <v>97</v>
      </c>
      <c r="J23" s="35">
        <v>801.22</v>
      </c>
      <c r="K23" s="33">
        <v>41776</v>
      </c>
      <c r="L23" s="11" t="s">
        <v>161</v>
      </c>
      <c r="M23" s="11" t="s">
        <v>46</v>
      </c>
      <c r="N23" s="11" t="s">
        <v>162</v>
      </c>
      <c r="O23" s="13" t="s">
        <v>48</v>
      </c>
      <c r="P23" s="56">
        <v>101000</v>
      </c>
      <c r="Q23" s="38">
        <f t="shared" si="8"/>
        <v>11303667.5</v>
      </c>
      <c r="R23" s="39" t="s">
        <v>32</v>
      </c>
      <c r="S23" s="44">
        <v>111.9175</v>
      </c>
      <c r="T23" s="40">
        <f t="shared" si="13"/>
        <v>41865</v>
      </c>
      <c r="U23" s="13" t="s">
        <v>37</v>
      </c>
      <c r="V23" s="41">
        <f t="shared" si="2"/>
        <v>13564.400999999998</v>
      </c>
      <c r="W23" s="32">
        <v>155.72999999999999</v>
      </c>
      <c r="X23" s="38">
        <f t="shared" si="14"/>
        <v>2112384.1677299994</v>
      </c>
      <c r="Y23" s="45">
        <v>2098819.61</v>
      </c>
      <c r="Z23" s="40">
        <v>41838</v>
      </c>
      <c r="AA23" s="46">
        <v>11235</v>
      </c>
      <c r="AB23" s="72"/>
    </row>
    <row r="24" spans="2:28" ht="21.75" customHeight="1">
      <c r="B24" s="31">
        <f t="shared" si="4"/>
        <v>20</v>
      </c>
      <c r="C24" s="11" t="s">
        <v>165</v>
      </c>
      <c r="D24" s="13" t="s">
        <v>219</v>
      </c>
      <c r="E24" s="33">
        <v>41842</v>
      </c>
      <c r="F24" s="64" t="s">
        <v>155</v>
      </c>
      <c r="G24" s="11" t="s">
        <v>94</v>
      </c>
      <c r="H24" s="11" t="s">
        <v>50</v>
      </c>
      <c r="I24" s="11" t="s">
        <v>97</v>
      </c>
      <c r="J24" s="35">
        <v>801.22</v>
      </c>
      <c r="K24" s="33">
        <v>41776</v>
      </c>
      <c r="L24" s="11" t="s">
        <v>161</v>
      </c>
      <c r="M24" s="11" t="s">
        <v>46</v>
      </c>
      <c r="N24" s="11" t="s">
        <v>162</v>
      </c>
      <c r="O24" s="13" t="s">
        <v>48</v>
      </c>
      <c r="P24" s="56">
        <v>119592</v>
      </c>
      <c r="Q24" s="38">
        <f t="shared" si="8"/>
        <v>13384437.66</v>
      </c>
      <c r="R24" s="39" t="s">
        <v>32</v>
      </c>
      <c r="S24" s="44">
        <v>111.9175</v>
      </c>
      <c r="T24" s="40">
        <f t="shared" si="13"/>
        <v>41865</v>
      </c>
      <c r="U24" s="13" t="s">
        <v>37</v>
      </c>
      <c r="V24" s="41">
        <f t="shared" si="2"/>
        <v>16061.325191999998</v>
      </c>
      <c r="W24" s="32">
        <v>155.72999999999999</v>
      </c>
      <c r="X24" s="38">
        <f t="shared" si="14"/>
        <v>2501230.1721501597</v>
      </c>
      <c r="Y24" s="45">
        <v>2485169.59</v>
      </c>
      <c r="Z24" s="40">
        <v>41838</v>
      </c>
      <c r="AA24" s="46">
        <v>11234</v>
      </c>
      <c r="AB24" s="72"/>
    </row>
    <row r="25" spans="2:28" ht="21.75" customHeight="1">
      <c r="B25" s="31">
        <f t="shared" si="4"/>
        <v>21</v>
      </c>
      <c r="C25" s="11" t="s">
        <v>166</v>
      </c>
      <c r="D25" s="11" t="s">
        <v>220</v>
      </c>
      <c r="E25" s="33">
        <v>41842</v>
      </c>
      <c r="F25" s="64" t="s">
        <v>156</v>
      </c>
      <c r="G25" s="11" t="s">
        <v>94</v>
      </c>
      <c r="H25" s="11" t="s">
        <v>45</v>
      </c>
      <c r="I25" s="11" t="s">
        <v>97</v>
      </c>
      <c r="J25" s="35">
        <v>801.22</v>
      </c>
      <c r="K25" s="33">
        <v>41776</v>
      </c>
      <c r="L25" s="11" t="s">
        <v>161</v>
      </c>
      <c r="M25" s="11" t="s">
        <v>46</v>
      </c>
      <c r="N25" s="11" t="s">
        <v>162</v>
      </c>
      <c r="O25" s="13" t="s">
        <v>48</v>
      </c>
      <c r="P25" s="56">
        <v>70000</v>
      </c>
      <c r="Q25" s="38">
        <f t="shared" si="8"/>
        <v>7816830</v>
      </c>
      <c r="R25" s="39" t="s">
        <v>32</v>
      </c>
      <c r="S25" s="44">
        <v>111.669</v>
      </c>
      <c r="T25" s="40">
        <f t="shared" si="13"/>
        <v>41865</v>
      </c>
      <c r="U25" s="13" t="s">
        <v>37</v>
      </c>
      <c r="V25" s="41">
        <f t="shared" si="2"/>
        <v>9380.1959999999999</v>
      </c>
      <c r="W25" s="32">
        <v>155.72999999999999</v>
      </c>
      <c r="X25" s="38">
        <f t="shared" si="14"/>
        <v>1460777.9230799999</v>
      </c>
      <c r="Y25" s="45">
        <v>1451398.35</v>
      </c>
      <c r="Z25" s="40">
        <v>41838</v>
      </c>
      <c r="AA25" s="46">
        <v>11237</v>
      </c>
      <c r="AB25" s="72"/>
    </row>
    <row r="26" spans="2:28" ht="38.25" customHeight="1">
      <c r="B26" s="31">
        <f t="shared" si="4"/>
        <v>22</v>
      </c>
      <c r="C26" s="11" t="s">
        <v>167</v>
      </c>
      <c r="D26" s="11" t="s">
        <v>223</v>
      </c>
      <c r="E26" s="17">
        <v>41850</v>
      </c>
      <c r="F26" s="64" t="s">
        <v>157</v>
      </c>
      <c r="G26" s="11" t="s">
        <v>106</v>
      </c>
      <c r="H26" s="11" t="s">
        <v>59</v>
      </c>
      <c r="I26" s="11" t="s">
        <v>97</v>
      </c>
      <c r="J26" s="35">
        <v>801.22</v>
      </c>
      <c r="K26" s="33">
        <v>41776</v>
      </c>
      <c r="L26" s="11" t="s">
        <v>161</v>
      </c>
      <c r="M26" s="11" t="s">
        <v>46</v>
      </c>
      <c r="N26" s="11" t="s">
        <v>40</v>
      </c>
      <c r="O26" s="13" t="s">
        <v>163</v>
      </c>
      <c r="P26" s="56">
        <v>359000</v>
      </c>
      <c r="Q26" s="38">
        <f t="shared" si="8"/>
        <v>40551922</v>
      </c>
      <c r="R26" s="39" t="s">
        <v>32</v>
      </c>
      <c r="S26" s="44">
        <v>112.958</v>
      </c>
      <c r="T26" s="40">
        <f t="shared" ref="T26" si="17">SUM(K26)+89</f>
        <v>41865</v>
      </c>
      <c r="U26" s="13" t="s">
        <v>37</v>
      </c>
      <c r="V26" s="41">
        <f t="shared" si="2"/>
        <v>48662.306399999994</v>
      </c>
      <c r="W26" s="32">
        <v>155.72999999999999</v>
      </c>
      <c r="X26" s="38">
        <f t="shared" ref="X26" si="18">SUM(V26*W26)</f>
        <v>7578180.9756719982</v>
      </c>
      <c r="Y26" s="45">
        <v>7918817.7000000002</v>
      </c>
      <c r="Z26" s="40">
        <v>41845</v>
      </c>
      <c r="AA26" s="46">
        <v>8851</v>
      </c>
      <c r="AB26" s="72"/>
    </row>
    <row r="27" spans="2:28" ht="21.75" customHeight="1">
      <c r="B27" s="31">
        <f t="shared" si="4"/>
        <v>23</v>
      </c>
      <c r="C27" s="11" t="s">
        <v>264</v>
      </c>
      <c r="D27" s="17" t="s">
        <v>224</v>
      </c>
      <c r="E27" s="33">
        <v>41851</v>
      </c>
      <c r="F27" s="34" t="s">
        <v>237</v>
      </c>
      <c r="G27" s="11" t="s">
        <v>117</v>
      </c>
      <c r="H27" s="11" t="s">
        <v>42</v>
      </c>
      <c r="I27" s="11" t="s">
        <v>97</v>
      </c>
      <c r="J27" s="35">
        <v>801.22</v>
      </c>
      <c r="K27" s="33">
        <v>41822</v>
      </c>
      <c r="L27" s="36" t="s">
        <v>257</v>
      </c>
      <c r="M27" s="36" t="s">
        <v>46</v>
      </c>
      <c r="N27" s="11" t="s">
        <v>120</v>
      </c>
      <c r="O27" s="13" t="s">
        <v>261</v>
      </c>
      <c r="P27" s="37">
        <v>150000</v>
      </c>
      <c r="Q27" s="38">
        <f t="shared" si="8"/>
        <v>16750650.000000002</v>
      </c>
      <c r="R27" s="39" t="s">
        <v>32</v>
      </c>
      <c r="S27" s="7">
        <v>111.67100000000001</v>
      </c>
      <c r="T27" s="40">
        <f t="shared" ref="T27:T40" si="19">SUM(K27)+89</f>
        <v>41911</v>
      </c>
      <c r="U27" s="11" t="s">
        <v>117</v>
      </c>
      <c r="V27" s="41">
        <f t="shared" si="2"/>
        <v>20100.78</v>
      </c>
      <c r="W27" s="32">
        <v>155.72999999999999</v>
      </c>
      <c r="X27" s="38">
        <f t="shared" ref="X27:X40" si="20">SUM(V27*W27)</f>
        <v>3130294.4693999998</v>
      </c>
      <c r="Y27" s="42">
        <f t="shared" ref="Y27:Y40" si="21">X27</f>
        <v>3130294.4693999998</v>
      </c>
      <c r="Z27" s="32"/>
      <c r="AA27" s="32"/>
      <c r="AB27" s="72"/>
    </row>
    <row r="28" spans="2:28" ht="21.75" customHeight="1">
      <c r="B28" s="31">
        <f t="shared" si="4"/>
        <v>24</v>
      </c>
      <c r="C28" s="11" t="s">
        <v>265</v>
      </c>
      <c r="D28" s="17" t="s">
        <v>225</v>
      </c>
      <c r="E28" s="33">
        <v>41851</v>
      </c>
      <c r="F28" s="34" t="s">
        <v>238</v>
      </c>
      <c r="G28" s="11" t="s">
        <v>117</v>
      </c>
      <c r="H28" s="11" t="s">
        <v>42</v>
      </c>
      <c r="I28" s="11" t="s">
        <v>97</v>
      </c>
      <c r="J28" s="35">
        <v>801.22</v>
      </c>
      <c r="K28" s="33">
        <v>41822</v>
      </c>
      <c r="L28" s="36" t="s">
        <v>257</v>
      </c>
      <c r="M28" s="36" t="s">
        <v>46</v>
      </c>
      <c r="N28" s="11" t="s">
        <v>120</v>
      </c>
      <c r="O28" s="13" t="s">
        <v>261</v>
      </c>
      <c r="P28" s="37">
        <v>173483</v>
      </c>
      <c r="Q28" s="38">
        <f t="shared" si="8"/>
        <v>19373020.093000002</v>
      </c>
      <c r="R28" s="39" t="s">
        <v>32</v>
      </c>
      <c r="S28" s="7">
        <v>111.67100000000001</v>
      </c>
      <c r="T28" s="40">
        <f t="shared" si="19"/>
        <v>41911</v>
      </c>
      <c r="U28" s="11" t="s">
        <v>117</v>
      </c>
      <c r="V28" s="41">
        <f t="shared" si="2"/>
        <v>23247.624111600002</v>
      </c>
      <c r="W28" s="32">
        <v>155.72999999999999</v>
      </c>
      <c r="X28" s="38">
        <f t="shared" si="20"/>
        <v>3620352.5028994679</v>
      </c>
      <c r="Y28" s="42">
        <f t="shared" si="21"/>
        <v>3620352.5028994679</v>
      </c>
      <c r="Z28" s="32"/>
      <c r="AA28" s="32"/>
      <c r="AB28" s="72"/>
    </row>
    <row r="29" spans="2:28" ht="21.75" customHeight="1">
      <c r="B29" s="31">
        <f t="shared" si="4"/>
        <v>25</v>
      </c>
      <c r="C29" s="11" t="s">
        <v>266</v>
      </c>
      <c r="D29" s="17" t="s">
        <v>226</v>
      </c>
      <c r="E29" s="33">
        <v>41851</v>
      </c>
      <c r="F29" s="34" t="s">
        <v>239</v>
      </c>
      <c r="G29" s="11" t="s">
        <v>117</v>
      </c>
      <c r="H29" s="11" t="s">
        <v>42</v>
      </c>
      <c r="I29" s="11" t="s">
        <v>97</v>
      </c>
      <c r="J29" s="35">
        <v>801.22</v>
      </c>
      <c r="K29" s="33">
        <v>41822</v>
      </c>
      <c r="L29" s="36" t="s">
        <v>257</v>
      </c>
      <c r="M29" s="36" t="s">
        <v>46</v>
      </c>
      <c r="N29" s="11" t="s">
        <v>120</v>
      </c>
      <c r="O29" s="13" t="s">
        <v>261</v>
      </c>
      <c r="P29" s="37">
        <v>180000</v>
      </c>
      <c r="Q29" s="38">
        <f t="shared" si="8"/>
        <v>20100780</v>
      </c>
      <c r="R29" s="39" t="s">
        <v>32</v>
      </c>
      <c r="S29" s="7">
        <v>111.67100000000001</v>
      </c>
      <c r="T29" s="40">
        <f t="shared" si="19"/>
        <v>41911</v>
      </c>
      <c r="U29" s="11" t="s">
        <v>117</v>
      </c>
      <c r="V29" s="41">
        <f t="shared" si="2"/>
        <v>24120.935999999998</v>
      </c>
      <c r="W29" s="32">
        <v>155.72999999999999</v>
      </c>
      <c r="X29" s="38">
        <f t="shared" si="20"/>
        <v>3756353.3632799992</v>
      </c>
      <c r="Y29" s="42">
        <f t="shared" si="21"/>
        <v>3756353.3632799992</v>
      </c>
      <c r="Z29" s="32"/>
      <c r="AA29" s="32"/>
      <c r="AB29" s="72"/>
    </row>
    <row r="30" spans="2:28" ht="21.75" customHeight="1">
      <c r="B30" s="31">
        <f t="shared" si="4"/>
        <v>26</v>
      </c>
      <c r="C30" s="11" t="s">
        <v>267</v>
      </c>
      <c r="D30" s="17" t="s">
        <v>227</v>
      </c>
      <c r="E30" s="33">
        <v>41851</v>
      </c>
      <c r="F30" s="34" t="s">
        <v>240</v>
      </c>
      <c r="G30" s="11" t="s">
        <v>117</v>
      </c>
      <c r="H30" s="11" t="s">
        <v>42</v>
      </c>
      <c r="I30" s="11" t="s">
        <v>97</v>
      </c>
      <c r="J30" s="35">
        <v>801.22</v>
      </c>
      <c r="K30" s="33">
        <v>41822</v>
      </c>
      <c r="L30" s="36" t="s">
        <v>257</v>
      </c>
      <c r="M30" s="36" t="s">
        <v>46</v>
      </c>
      <c r="N30" s="11" t="s">
        <v>120</v>
      </c>
      <c r="O30" s="13" t="s">
        <v>261</v>
      </c>
      <c r="P30" s="37">
        <v>180000</v>
      </c>
      <c r="Q30" s="38">
        <f t="shared" si="8"/>
        <v>20100780</v>
      </c>
      <c r="R30" s="39" t="s">
        <v>32</v>
      </c>
      <c r="S30" s="7">
        <v>111.67100000000001</v>
      </c>
      <c r="T30" s="40">
        <f t="shared" si="19"/>
        <v>41911</v>
      </c>
      <c r="U30" s="11" t="s">
        <v>117</v>
      </c>
      <c r="V30" s="41">
        <f t="shared" si="2"/>
        <v>24120.935999999998</v>
      </c>
      <c r="W30" s="32">
        <v>155.72999999999999</v>
      </c>
      <c r="X30" s="38">
        <f t="shared" si="20"/>
        <v>3756353.3632799992</v>
      </c>
      <c r="Y30" s="42">
        <f t="shared" si="21"/>
        <v>3756353.3632799992</v>
      </c>
      <c r="Z30" s="32"/>
      <c r="AA30" s="32"/>
      <c r="AB30" s="72"/>
    </row>
    <row r="31" spans="2:28" ht="21.75" customHeight="1">
      <c r="B31" s="31">
        <f t="shared" si="4"/>
        <v>27</v>
      </c>
      <c r="C31" s="11" t="s">
        <v>268</v>
      </c>
      <c r="D31" s="17" t="s">
        <v>228</v>
      </c>
      <c r="E31" s="33">
        <v>41851</v>
      </c>
      <c r="F31" s="34" t="s">
        <v>241</v>
      </c>
      <c r="G31" s="11" t="s">
        <v>117</v>
      </c>
      <c r="H31" s="11" t="s">
        <v>42</v>
      </c>
      <c r="I31" s="11" t="s">
        <v>97</v>
      </c>
      <c r="J31" s="35">
        <v>801.22</v>
      </c>
      <c r="K31" s="33">
        <v>41822</v>
      </c>
      <c r="L31" s="36" t="s">
        <v>257</v>
      </c>
      <c r="M31" s="36" t="s">
        <v>46</v>
      </c>
      <c r="N31" s="11" t="s">
        <v>120</v>
      </c>
      <c r="O31" s="13" t="s">
        <v>261</v>
      </c>
      <c r="P31" s="37">
        <v>169000</v>
      </c>
      <c r="Q31" s="38">
        <f t="shared" si="8"/>
        <v>18872399</v>
      </c>
      <c r="R31" s="39" t="s">
        <v>32</v>
      </c>
      <c r="S31" s="7">
        <v>111.67100000000001</v>
      </c>
      <c r="T31" s="40">
        <f t="shared" si="19"/>
        <v>41911</v>
      </c>
      <c r="U31" s="11" t="s">
        <v>117</v>
      </c>
      <c r="V31" s="41">
        <f t="shared" si="2"/>
        <v>22646.878799999999</v>
      </c>
      <c r="W31" s="32">
        <v>155.72999999999999</v>
      </c>
      <c r="X31" s="38">
        <f t="shared" si="20"/>
        <v>3526798.4355239994</v>
      </c>
      <c r="Y31" s="42">
        <f t="shared" si="21"/>
        <v>3526798.4355239994</v>
      </c>
      <c r="Z31" s="32"/>
      <c r="AA31" s="32"/>
      <c r="AB31" s="72"/>
    </row>
    <row r="32" spans="2:28" ht="21.75" customHeight="1">
      <c r="B32" s="31">
        <f t="shared" si="4"/>
        <v>28</v>
      </c>
      <c r="C32" s="11" t="s">
        <v>269</v>
      </c>
      <c r="D32" s="17" t="s">
        <v>229</v>
      </c>
      <c r="E32" s="17">
        <v>41851</v>
      </c>
      <c r="F32" s="64" t="s">
        <v>242</v>
      </c>
      <c r="G32" s="11" t="s">
        <v>117</v>
      </c>
      <c r="H32" s="11" t="s">
        <v>42</v>
      </c>
      <c r="I32" s="11" t="s">
        <v>97</v>
      </c>
      <c r="J32" s="35">
        <v>801.22</v>
      </c>
      <c r="K32" s="17">
        <v>41822</v>
      </c>
      <c r="L32" s="11" t="s">
        <v>257</v>
      </c>
      <c r="M32" s="11" t="s">
        <v>46</v>
      </c>
      <c r="N32" s="11" t="s">
        <v>120</v>
      </c>
      <c r="O32" s="13" t="s">
        <v>261</v>
      </c>
      <c r="P32" s="56">
        <v>47000</v>
      </c>
      <c r="Q32" s="38">
        <f t="shared" si="8"/>
        <v>5248537</v>
      </c>
      <c r="R32" s="39" t="s">
        <v>32</v>
      </c>
      <c r="S32" s="82">
        <v>111.67100000000001</v>
      </c>
      <c r="T32" s="40">
        <f t="shared" si="19"/>
        <v>41911</v>
      </c>
      <c r="U32" s="11" t="s">
        <v>117</v>
      </c>
      <c r="V32" s="41">
        <f t="shared" si="2"/>
        <v>6298.2443999999996</v>
      </c>
      <c r="W32" s="32">
        <v>155.72999999999999</v>
      </c>
      <c r="X32" s="38">
        <f t="shared" si="20"/>
        <v>980825.60041199985</v>
      </c>
      <c r="Y32" s="45">
        <f t="shared" si="21"/>
        <v>980825.60041199985</v>
      </c>
      <c r="Z32" s="32"/>
      <c r="AA32" s="32"/>
      <c r="AB32" s="72"/>
    </row>
    <row r="33" spans="2:28" ht="21.75" customHeight="1">
      <c r="B33" s="31">
        <f t="shared" si="4"/>
        <v>29</v>
      </c>
      <c r="C33" s="11" t="s">
        <v>270</v>
      </c>
      <c r="D33" s="17" t="s">
        <v>230</v>
      </c>
      <c r="E33" s="17">
        <v>41851</v>
      </c>
      <c r="F33" s="64" t="s">
        <v>243</v>
      </c>
      <c r="G33" s="11" t="s">
        <v>117</v>
      </c>
      <c r="H33" s="11" t="s">
        <v>42</v>
      </c>
      <c r="I33" s="11" t="s">
        <v>97</v>
      </c>
      <c r="J33" s="35">
        <v>801.22</v>
      </c>
      <c r="K33" s="17">
        <v>41822</v>
      </c>
      <c r="L33" s="11" t="s">
        <v>257</v>
      </c>
      <c r="M33" s="11" t="s">
        <v>46</v>
      </c>
      <c r="N33" s="11" t="s">
        <v>120</v>
      </c>
      <c r="O33" s="13" t="s">
        <v>261</v>
      </c>
      <c r="P33" s="56">
        <v>50000</v>
      </c>
      <c r="Q33" s="38">
        <f t="shared" si="8"/>
        <v>5583550</v>
      </c>
      <c r="R33" s="39" t="s">
        <v>32</v>
      </c>
      <c r="S33" s="82">
        <v>111.67100000000001</v>
      </c>
      <c r="T33" s="40">
        <f t="shared" si="19"/>
        <v>41911</v>
      </c>
      <c r="U33" s="11" t="s">
        <v>117</v>
      </c>
      <c r="V33" s="41">
        <f t="shared" si="2"/>
        <v>6700.2599999999993</v>
      </c>
      <c r="W33" s="32">
        <v>155.72999999999999</v>
      </c>
      <c r="X33" s="38">
        <f t="shared" si="20"/>
        <v>1043431.4897999999</v>
      </c>
      <c r="Y33" s="45">
        <f t="shared" si="21"/>
        <v>1043431.4897999999</v>
      </c>
      <c r="Z33" s="32"/>
      <c r="AA33" s="32"/>
      <c r="AB33" s="72"/>
    </row>
    <row r="34" spans="2:28" ht="21.75" customHeight="1">
      <c r="B34" s="31">
        <f>B33+1</f>
        <v>30</v>
      </c>
      <c r="C34" s="11" t="s">
        <v>283</v>
      </c>
      <c r="D34" s="17" t="s">
        <v>231</v>
      </c>
      <c r="E34" s="33">
        <v>41851</v>
      </c>
      <c r="F34" s="12" t="s">
        <v>244</v>
      </c>
      <c r="G34" s="11" t="s">
        <v>117</v>
      </c>
      <c r="H34" s="11" t="s">
        <v>42</v>
      </c>
      <c r="I34" s="11" t="s">
        <v>34</v>
      </c>
      <c r="J34" s="35">
        <v>801.22</v>
      </c>
      <c r="K34" s="33">
        <v>41823</v>
      </c>
      <c r="L34" s="36" t="s">
        <v>99</v>
      </c>
      <c r="M34" s="43" t="s">
        <v>35</v>
      </c>
      <c r="N34" s="11" t="s">
        <v>72</v>
      </c>
      <c r="O34" s="13" t="s">
        <v>262</v>
      </c>
      <c r="P34" s="37">
        <v>475646</v>
      </c>
      <c r="Q34" s="38">
        <f t="shared" si="8"/>
        <v>53307549.803999998</v>
      </c>
      <c r="R34" s="39" t="s">
        <v>32</v>
      </c>
      <c r="S34" s="44">
        <v>112.074</v>
      </c>
      <c r="T34" s="40">
        <f t="shared" si="19"/>
        <v>41912</v>
      </c>
      <c r="U34" s="11" t="s">
        <v>117</v>
      </c>
      <c r="V34" s="41">
        <f t="shared" si="2"/>
        <v>63969.059764799989</v>
      </c>
      <c r="W34" s="32">
        <v>155.72999999999999</v>
      </c>
      <c r="X34" s="38">
        <f t="shared" si="20"/>
        <v>9961901.6771723013</v>
      </c>
      <c r="Y34" s="42">
        <f t="shared" si="21"/>
        <v>9961901.6771723013</v>
      </c>
      <c r="Z34" s="32"/>
      <c r="AA34" s="32"/>
      <c r="AB34" s="92" t="s">
        <v>148</v>
      </c>
    </row>
    <row r="35" spans="2:28" ht="21" customHeight="1">
      <c r="B35" s="31">
        <f>B34+1</f>
        <v>31</v>
      </c>
      <c r="C35" s="11" t="s">
        <v>284</v>
      </c>
      <c r="D35" s="17" t="s">
        <v>231</v>
      </c>
      <c r="E35" s="33">
        <v>41851</v>
      </c>
      <c r="F35" s="12" t="s">
        <v>291</v>
      </c>
      <c r="G35" s="11" t="s">
        <v>117</v>
      </c>
      <c r="H35" s="11" t="s">
        <v>42</v>
      </c>
      <c r="I35" s="11" t="s">
        <v>34</v>
      </c>
      <c r="J35" s="35">
        <v>801.22</v>
      </c>
      <c r="K35" s="33">
        <v>41823</v>
      </c>
      <c r="L35" s="36" t="s">
        <v>99</v>
      </c>
      <c r="M35" s="43" t="s">
        <v>35</v>
      </c>
      <c r="N35" s="11" t="s">
        <v>47</v>
      </c>
      <c r="O35" s="13" t="s">
        <v>74</v>
      </c>
      <c r="P35" s="37">
        <v>475000</v>
      </c>
      <c r="Q35" s="38">
        <f t="shared" si="8"/>
        <v>53235150</v>
      </c>
      <c r="R35" s="39" t="s">
        <v>32</v>
      </c>
      <c r="S35" s="44">
        <v>112.074</v>
      </c>
      <c r="T35" s="40">
        <f t="shared" si="19"/>
        <v>41912</v>
      </c>
      <c r="U35" s="11" t="s">
        <v>117</v>
      </c>
      <c r="V35" s="41">
        <f t="shared" si="2"/>
        <v>63882.179999999993</v>
      </c>
      <c r="W35" s="32">
        <v>155.72999999999999</v>
      </c>
      <c r="X35" s="38">
        <f t="shared" si="20"/>
        <v>9948371.8913999982</v>
      </c>
      <c r="Y35" s="42">
        <f t="shared" si="21"/>
        <v>9948371.8913999982</v>
      </c>
      <c r="Z35" s="32"/>
      <c r="AA35" s="32"/>
      <c r="AB35" s="92"/>
    </row>
    <row r="36" spans="2:28" ht="21.75" customHeight="1">
      <c r="B36" s="31">
        <f t="shared" si="4"/>
        <v>32</v>
      </c>
      <c r="C36" s="11" t="s">
        <v>286</v>
      </c>
      <c r="D36" s="17" t="s">
        <v>232</v>
      </c>
      <c r="E36" s="33">
        <v>41851</v>
      </c>
      <c r="F36" s="12" t="s">
        <v>245</v>
      </c>
      <c r="G36" s="11" t="s">
        <v>117</v>
      </c>
      <c r="H36" s="11" t="s">
        <v>42</v>
      </c>
      <c r="I36" s="11" t="s">
        <v>43</v>
      </c>
      <c r="J36" s="35">
        <v>801.22</v>
      </c>
      <c r="K36" s="33">
        <v>41830</v>
      </c>
      <c r="L36" s="36" t="s">
        <v>98</v>
      </c>
      <c r="M36" s="43" t="s">
        <v>44</v>
      </c>
      <c r="N36" s="11" t="s">
        <v>70</v>
      </c>
      <c r="O36" s="13" t="s">
        <v>130</v>
      </c>
      <c r="P36" s="37">
        <v>899827</v>
      </c>
      <c r="Q36" s="38">
        <f t="shared" si="8"/>
        <v>97880481.578999996</v>
      </c>
      <c r="R36" s="39" t="s">
        <v>32</v>
      </c>
      <c r="S36" s="44">
        <v>108.777</v>
      </c>
      <c r="T36" s="40">
        <f t="shared" si="19"/>
        <v>41919</v>
      </c>
      <c r="U36" s="11" t="s">
        <v>117</v>
      </c>
      <c r="V36" s="41">
        <f t="shared" si="2"/>
        <v>117456.57789479998</v>
      </c>
      <c r="W36" s="32">
        <v>155.72999999999999</v>
      </c>
      <c r="X36" s="38">
        <f t="shared" si="20"/>
        <v>18291512.875557199</v>
      </c>
      <c r="Y36" s="42">
        <f t="shared" si="21"/>
        <v>18291512.875557199</v>
      </c>
      <c r="Z36" s="32"/>
      <c r="AA36" s="32"/>
      <c r="AB36" s="72"/>
    </row>
    <row r="37" spans="2:28" ht="21.75" customHeight="1">
      <c r="B37" s="31">
        <f t="shared" si="4"/>
        <v>33</v>
      </c>
      <c r="C37" s="11" t="s">
        <v>271</v>
      </c>
      <c r="D37" s="17" t="s">
        <v>233</v>
      </c>
      <c r="E37" s="33">
        <v>41851</v>
      </c>
      <c r="F37" s="34" t="s">
        <v>246</v>
      </c>
      <c r="G37" s="11" t="s">
        <v>117</v>
      </c>
      <c r="H37" s="36" t="s">
        <v>42</v>
      </c>
      <c r="I37" s="11" t="s">
        <v>97</v>
      </c>
      <c r="J37" s="35">
        <v>801.22</v>
      </c>
      <c r="K37" s="33">
        <v>41832</v>
      </c>
      <c r="L37" s="36" t="s">
        <v>85</v>
      </c>
      <c r="M37" s="36" t="s">
        <v>46</v>
      </c>
      <c r="N37" s="11" t="s">
        <v>66</v>
      </c>
      <c r="O37" s="13" t="s">
        <v>67</v>
      </c>
      <c r="P37" s="37">
        <v>768328</v>
      </c>
      <c r="Q37" s="38">
        <f t="shared" si="8"/>
        <v>82171142.943999991</v>
      </c>
      <c r="R37" s="39" t="s">
        <v>32</v>
      </c>
      <c r="S37" s="44">
        <v>106.94799999999999</v>
      </c>
      <c r="T37" s="40">
        <f t="shared" si="19"/>
        <v>41921</v>
      </c>
      <c r="U37" s="11" t="s">
        <v>117</v>
      </c>
      <c r="V37" s="41">
        <f t="shared" si="2"/>
        <v>98605.371532799982</v>
      </c>
      <c r="W37" s="32">
        <v>155.72999999999999</v>
      </c>
      <c r="X37" s="38">
        <f t="shared" si="20"/>
        <v>15355814.508802939</v>
      </c>
      <c r="Y37" s="42">
        <f t="shared" si="21"/>
        <v>15355814.508802939</v>
      </c>
      <c r="Z37" s="32"/>
      <c r="AA37" s="32"/>
      <c r="AB37" s="72"/>
    </row>
    <row r="38" spans="2:28" ht="21.75" customHeight="1">
      <c r="B38" s="31">
        <f t="shared" si="4"/>
        <v>34</v>
      </c>
      <c r="C38" s="11" t="s">
        <v>272</v>
      </c>
      <c r="D38" s="17" t="s">
        <v>234</v>
      </c>
      <c r="E38" s="33">
        <v>41851</v>
      </c>
      <c r="F38" s="34" t="s">
        <v>247</v>
      </c>
      <c r="G38" s="11" t="s">
        <v>117</v>
      </c>
      <c r="H38" s="36" t="s">
        <v>42</v>
      </c>
      <c r="I38" s="11" t="s">
        <v>97</v>
      </c>
      <c r="J38" s="35">
        <v>801.22</v>
      </c>
      <c r="K38" s="33">
        <v>41832</v>
      </c>
      <c r="L38" s="36" t="s">
        <v>85</v>
      </c>
      <c r="M38" s="36" t="s">
        <v>46</v>
      </c>
      <c r="N38" s="11" t="s">
        <v>66</v>
      </c>
      <c r="O38" s="13" t="s">
        <v>67</v>
      </c>
      <c r="P38" s="37">
        <v>180000</v>
      </c>
      <c r="Q38" s="38">
        <f t="shared" si="8"/>
        <v>19250640</v>
      </c>
      <c r="R38" s="39" t="s">
        <v>32</v>
      </c>
      <c r="S38" s="44">
        <v>106.94799999999999</v>
      </c>
      <c r="T38" s="40">
        <f t="shared" si="19"/>
        <v>41921</v>
      </c>
      <c r="U38" s="11" t="s">
        <v>117</v>
      </c>
      <c r="V38" s="41">
        <f t="shared" si="2"/>
        <v>23100.767999999996</v>
      </c>
      <c r="W38" s="32">
        <v>155.72999999999999</v>
      </c>
      <c r="X38" s="38">
        <f t="shared" si="20"/>
        <v>3597482.6006399994</v>
      </c>
      <c r="Y38" s="42">
        <f t="shared" si="21"/>
        <v>3597482.6006399994</v>
      </c>
      <c r="Z38" s="32"/>
      <c r="AA38" s="32"/>
      <c r="AB38" s="72"/>
    </row>
    <row r="39" spans="2:28" ht="21.75" customHeight="1">
      <c r="B39" s="31">
        <f t="shared" si="4"/>
        <v>35</v>
      </c>
      <c r="C39" s="11" t="s">
        <v>288</v>
      </c>
      <c r="D39" s="17" t="s">
        <v>235</v>
      </c>
      <c r="E39" s="33">
        <v>41851</v>
      </c>
      <c r="F39" s="34" t="s">
        <v>248</v>
      </c>
      <c r="G39" s="11" t="s">
        <v>117</v>
      </c>
      <c r="H39" s="11" t="s">
        <v>42</v>
      </c>
      <c r="I39" s="11" t="s">
        <v>29</v>
      </c>
      <c r="J39" s="35">
        <v>801.22</v>
      </c>
      <c r="K39" s="33">
        <v>41844</v>
      </c>
      <c r="L39" s="36" t="s">
        <v>109</v>
      </c>
      <c r="M39" s="36" t="s">
        <v>30</v>
      </c>
      <c r="N39" s="11" t="s">
        <v>92</v>
      </c>
      <c r="O39" s="13" t="s">
        <v>93</v>
      </c>
      <c r="P39" s="37">
        <v>545992</v>
      </c>
      <c r="Q39" s="38">
        <f t="shared" si="8"/>
        <v>57916647.391999997</v>
      </c>
      <c r="R39" s="39" t="s">
        <v>32</v>
      </c>
      <c r="S39" s="44">
        <v>106.07599999999999</v>
      </c>
      <c r="T39" s="40">
        <f t="shared" si="19"/>
        <v>41933</v>
      </c>
      <c r="U39" s="11" t="s">
        <v>117</v>
      </c>
      <c r="V39" s="41">
        <f t="shared" si="2"/>
        <v>69499.976870399987</v>
      </c>
      <c r="W39" s="32">
        <v>155.72999999999999</v>
      </c>
      <c r="X39" s="38">
        <f t="shared" si="20"/>
        <v>10823231.398027388</v>
      </c>
      <c r="Y39" s="42">
        <f t="shared" si="21"/>
        <v>10823231.398027388</v>
      </c>
      <c r="Z39" s="32"/>
      <c r="AA39" s="32"/>
      <c r="AB39" s="72"/>
    </row>
    <row r="40" spans="2:28" ht="21.75" customHeight="1">
      <c r="B40" s="31">
        <f t="shared" si="4"/>
        <v>36</v>
      </c>
      <c r="C40" s="11" t="s">
        <v>289</v>
      </c>
      <c r="D40" s="17" t="s">
        <v>236</v>
      </c>
      <c r="E40" s="33">
        <v>41851</v>
      </c>
      <c r="F40" s="34" t="s">
        <v>249</v>
      </c>
      <c r="G40" s="11" t="s">
        <v>117</v>
      </c>
      <c r="H40" s="11" t="s">
        <v>42</v>
      </c>
      <c r="I40" s="11" t="s">
        <v>29</v>
      </c>
      <c r="J40" s="35">
        <v>801.22</v>
      </c>
      <c r="K40" s="33">
        <v>41844</v>
      </c>
      <c r="L40" s="36" t="s">
        <v>109</v>
      </c>
      <c r="M40" s="36" t="s">
        <v>30</v>
      </c>
      <c r="N40" s="11" t="s">
        <v>92</v>
      </c>
      <c r="O40" s="13" t="s">
        <v>93</v>
      </c>
      <c r="P40" s="37">
        <v>450000</v>
      </c>
      <c r="Q40" s="38">
        <f t="shared" si="8"/>
        <v>47734200</v>
      </c>
      <c r="R40" s="39" t="s">
        <v>32</v>
      </c>
      <c r="S40" s="44">
        <v>106.07599999999999</v>
      </c>
      <c r="T40" s="40">
        <f t="shared" si="19"/>
        <v>41933</v>
      </c>
      <c r="U40" s="11" t="s">
        <v>117</v>
      </c>
      <c r="V40" s="41">
        <f t="shared" si="2"/>
        <v>57281.039999999994</v>
      </c>
      <c r="W40" s="32">
        <v>155.72999999999999</v>
      </c>
      <c r="X40" s="38">
        <f t="shared" si="20"/>
        <v>8920376.3591999989</v>
      </c>
      <c r="Y40" s="42">
        <f t="shared" si="21"/>
        <v>8920376.3591999989</v>
      </c>
      <c r="Z40" s="32"/>
      <c r="AA40" s="32"/>
      <c r="AB40" s="72"/>
    </row>
    <row r="41" spans="2:28" ht="18.75" customHeight="1">
      <c r="B41" s="31">
        <f t="shared" si="4"/>
        <v>37</v>
      </c>
      <c r="C41" s="11" t="s">
        <v>139</v>
      </c>
      <c r="D41" s="13" t="s">
        <v>293</v>
      </c>
      <c r="E41" s="33">
        <v>41863</v>
      </c>
      <c r="F41" s="34" t="s">
        <v>152</v>
      </c>
      <c r="G41" s="11" t="s">
        <v>94</v>
      </c>
      <c r="H41" s="11" t="s">
        <v>50</v>
      </c>
      <c r="I41" s="11" t="s">
        <v>97</v>
      </c>
      <c r="J41" s="35">
        <v>801.22</v>
      </c>
      <c r="K41" s="17">
        <v>41729</v>
      </c>
      <c r="L41" s="11" t="s">
        <v>133</v>
      </c>
      <c r="M41" s="11" t="s">
        <v>46</v>
      </c>
      <c r="N41" s="11" t="s">
        <v>63</v>
      </c>
      <c r="O41" s="13" t="s">
        <v>134</v>
      </c>
      <c r="P41" s="83">
        <v>125030</v>
      </c>
      <c r="Q41" s="38">
        <f t="shared" si="8"/>
        <v>13716878.761</v>
      </c>
      <c r="R41" s="39" t="s">
        <v>32</v>
      </c>
      <c r="S41" s="48">
        <v>109.70869999999999</v>
      </c>
      <c r="T41" s="40">
        <f t="shared" ref="T41:T42" si="22">SUM(K41)+89</f>
        <v>41818</v>
      </c>
      <c r="U41" s="11" t="s">
        <v>37</v>
      </c>
      <c r="V41" s="41">
        <f t="shared" si="2"/>
        <v>16460.254513199998</v>
      </c>
      <c r="W41" s="32">
        <v>155.74</v>
      </c>
      <c r="X41" s="38">
        <f t="shared" ref="X41:X42" si="23">SUM(V41*W41)</f>
        <v>2563520.0378857679</v>
      </c>
      <c r="Y41" s="45">
        <v>2547059.09</v>
      </c>
      <c r="Z41" s="40">
        <v>41817</v>
      </c>
      <c r="AA41" s="46">
        <v>11208</v>
      </c>
      <c r="AB41" s="72"/>
    </row>
    <row r="42" spans="2:28" ht="105" customHeight="1">
      <c r="B42" s="31">
        <f t="shared" si="4"/>
        <v>38</v>
      </c>
      <c r="C42" s="11" t="s">
        <v>144</v>
      </c>
      <c r="D42" s="11" t="s">
        <v>294</v>
      </c>
      <c r="E42" s="33">
        <v>41863</v>
      </c>
      <c r="F42" s="34" t="s">
        <v>149</v>
      </c>
      <c r="G42" s="11" t="s">
        <v>94</v>
      </c>
      <c r="H42" s="11" t="s">
        <v>50</v>
      </c>
      <c r="I42" s="11" t="s">
        <v>97</v>
      </c>
      <c r="J42" s="35">
        <v>801.22</v>
      </c>
      <c r="K42" s="17">
        <v>41747</v>
      </c>
      <c r="L42" s="11" t="s">
        <v>112</v>
      </c>
      <c r="M42" s="11" t="s">
        <v>46</v>
      </c>
      <c r="N42" s="11" t="s">
        <v>51</v>
      </c>
      <c r="O42" s="11" t="s">
        <v>75</v>
      </c>
      <c r="P42" s="83">
        <v>345399</v>
      </c>
      <c r="Q42" s="38">
        <f t="shared" si="8"/>
        <v>37898283.5568</v>
      </c>
      <c r="R42" s="39" t="s">
        <v>32</v>
      </c>
      <c r="S42" s="9">
        <v>109.72320000000001</v>
      </c>
      <c r="T42" s="40">
        <f t="shared" si="22"/>
        <v>41836</v>
      </c>
      <c r="U42" s="11" t="s">
        <v>37</v>
      </c>
      <c r="V42" s="41">
        <f t="shared" si="2"/>
        <v>45477.940268159997</v>
      </c>
      <c r="W42" s="32">
        <v>155.72999999999999</v>
      </c>
      <c r="X42" s="38">
        <f t="shared" si="23"/>
        <v>7082279.637960556</v>
      </c>
      <c r="Y42" s="45">
        <v>7036801.6600000001</v>
      </c>
      <c r="Z42" s="40">
        <v>41838</v>
      </c>
      <c r="AA42" s="46">
        <v>11232</v>
      </c>
      <c r="AB42" s="11" t="s">
        <v>150</v>
      </c>
    </row>
    <row r="43" spans="2:28" ht="29.25" customHeight="1">
      <c r="B43" s="31">
        <f t="shared" si="4"/>
        <v>39</v>
      </c>
      <c r="C43" s="11" t="s">
        <v>287</v>
      </c>
      <c r="D43" s="17" t="s">
        <v>297</v>
      </c>
      <c r="E43" s="40">
        <v>41864</v>
      </c>
      <c r="F43" s="34" t="s">
        <v>290</v>
      </c>
      <c r="G43" s="11" t="s">
        <v>102</v>
      </c>
      <c r="H43" s="11" t="s">
        <v>118</v>
      </c>
      <c r="I43" s="11" t="s">
        <v>104</v>
      </c>
      <c r="J43" s="35">
        <v>801.22</v>
      </c>
      <c r="K43" s="33">
        <v>41841</v>
      </c>
      <c r="L43" s="36" t="s">
        <v>258</v>
      </c>
      <c r="M43" s="36" t="s">
        <v>105</v>
      </c>
      <c r="N43" s="11" t="s">
        <v>72</v>
      </c>
      <c r="O43" s="13" t="s">
        <v>108</v>
      </c>
      <c r="P43" s="37">
        <v>799844</v>
      </c>
      <c r="Q43" s="38">
        <f t="shared" si="8"/>
        <v>81660073.179999992</v>
      </c>
      <c r="R43" s="39" t="s">
        <v>32</v>
      </c>
      <c r="S43" s="44">
        <v>102.095</v>
      </c>
      <c r="T43" s="40">
        <f t="shared" ref="T43" si="24">SUM(K43)+89</f>
        <v>41930</v>
      </c>
      <c r="U43" s="13" t="s">
        <v>106</v>
      </c>
      <c r="V43" s="41">
        <f t="shared" si="2"/>
        <v>97992.087815999985</v>
      </c>
      <c r="W43" s="32">
        <v>155.72999999999999</v>
      </c>
      <c r="X43" s="38">
        <f t="shared" ref="X43" si="25">SUM(V43*W43)</f>
        <v>15260307.835585676</v>
      </c>
      <c r="Y43" s="45">
        <v>15260308.18</v>
      </c>
      <c r="Z43" s="40">
        <v>41858</v>
      </c>
      <c r="AA43" s="46">
        <v>2174</v>
      </c>
      <c r="AB43" s="72"/>
    </row>
    <row r="44" spans="2:28" ht="27.75" customHeight="1">
      <c r="B44" s="31">
        <f t="shared" si="4"/>
        <v>40</v>
      </c>
      <c r="C44" s="11" t="s">
        <v>171</v>
      </c>
      <c r="D44" s="84" t="s">
        <v>299</v>
      </c>
      <c r="E44" s="33">
        <v>41869</v>
      </c>
      <c r="F44" s="34" t="s">
        <v>298</v>
      </c>
      <c r="G44" s="11" t="s">
        <v>96</v>
      </c>
      <c r="H44" s="11" t="s">
        <v>76</v>
      </c>
      <c r="I44" s="11" t="s">
        <v>97</v>
      </c>
      <c r="J44" s="35">
        <v>801.22</v>
      </c>
      <c r="K44" s="33">
        <v>41776</v>
      </c>
      <c r="L44" s="11" t="s">
        <v>161</v>
      </c>
      <c r="M44" s="11" t="s">
        <v>46</v>
      </c>
      <c r="N44" s="11" t="s">
        <v>40</v>
      </c>
      <c r="O44" s="13" t="s">
        <v>163</v>
      </c>
      <c r="P44" s="56">
        <v>177000</v>
      </c>
      <c r="Q44" s="38">
        <f t="shared" si="8"/>
        <v>19727358</v>
      </c>
      <c r="R44" s="39" t="s">
        <v>32</v>
      </c>
      <c r="S44" s="44">
        <v>111.45399999999999</v>
      </c>
      <c r="T44" s="40">
        <f t="shared" ref="T44:T45" si="26">SUM(K44)+89</f>
        <v>41865</v>
      </c>
      <c r="U44" s="11" t="s">
        <v>100</v>
      </c>
      <c r="V44" s="41">
        <f t="shared" si="2"/>
        <v>23672.829599999997</v>
      </c>
      <c r="W44" s="32">
        <v>155.72999999999999</v>
      </c>
      <c r="X44" s="38">
        <f t="shared" ref="X44:X45" si="27">SUM(V44*W44)</f>
        <v>3686569.7536079995</v>
      </c>
      <c r="Y44" s="45">
        <v>3686569.76</v>
      </c>
      <c r="Z44" s="40">
        <v>41863</v>
      </c>
      <c r="AA44" s="46">
        <v>28284</v>
      </c>
      <c r="AB44" s="92" t="s">
        <v>148</v>
      </c>
    </row>
    <row r="45" spans="2:28" ht="26.25" customHeight="1">
      <c r="B45" s="31">
        <f t="shared" si="4"/>
        <v>41</v>
      </c>
      <c r="C45" s="11" t="s">
        <v>172</v>
      </c>
      <c r="D45" s="84" t="s">
        <v>299</v>
      </c>
      <c r="E45" s="33">
        <v>41869</v>
      </c>
      <c r="F45" s="34" t="s">
        <v>302</v>
      </c>
      <c r="G45" s="11" t="s">
        <v>96</v>
      </c>
      <c r="H45" s="11" t="s">
        <v>76</v>
      </c>
      <c r="I45" s="11" t="s">
        <v>97</v>
      </c>
      <c r="J45" s="35">
        <v>801.22</v>
      </c>
      <c r="K45" s="33">
        <v>41776</v>
      </c>
      <c r="L45" s="11" t="s">
        <v>161</v>
      </c>
      <c r="M45" s="11" t="s">
        <v>46</v>
      </c>
      <c r="N45" s="11" t="s">
        <v>162</v>
      </c>
      <c r="O45" s="13" t="s">
        <v>48</v>
      </c>
      <c r="P45" s="56">
        <v>59000</v>
      </c>
      <c r="Q45" s="38">
        <f t="shared" si="8"/>
        <v>6575786</v>
      </c>
      <c r="R45" s="39" t="s">
        <v>32</v>
      </c>
      <c r="S45" s="44">
        <v>111.45399999999999</v>
      </c>
      <c r="T45" s="40">
        <f t="shared" si="26"/>
        <v>41865</v>
      </c>
      <c r="U45" s="11" t="s">
        <v>100</v>
      </c>
      <c r="V45" s="41">
        <f t="shared" si="2"/>
        <v>7890.9431999999997</v>
      </c>
      <c r="W45" s="32">
        <v>155.72999999999999</v>
      </c>
      <c r="X45" s="38">
        <f t="shared" si="27"/>
        <v>1228856.5845359999</v>
      </c>
      <c r="Y45" s="45">
        <v>1228856.58</v>
      </c>
      <c r="Z45" s="40">
        <v>41863</v>
      </c>
      <c r="AA45" s="46">
        <v>28284</v>
      </c>
      <c r="AB45" s="92"/>
    </row>
    <row r="46" spans="2:28" ht="19.5" customHeight="1">
      <c r="B46" s="31">
        <f t="shared" si="4"/>
        <v>42</v>
      </c>
      <c r="C46" s="11" t="s">
        <v>195</v>
      </c>
      <c r="D46" s="11" t="s">
        <v>300</v>
      </c>
      <c r="E46" s="17">
        <v>41869</v>
      </c>
      <c r="F46" s="34" t="s">
        <v>179</v>
      </c>
      <c r="G46" s="11" t="s">
        <v>106</v>
      </c>
      <c r="H46" s="11" t="s">
        <v>182</v>
      </c>
      <c r="I46" s="11" t="s">
        <v>97</v>
      </c>
      <c r="J46" s="35">
        <v>801.22</v>
      </c>
      <c r="K46" s="33">
        <v>41812</v>
      </c>
      <c r="L46" s="36" t="s">
        <v>71</v>
      </c>
      <c r="M46" s="36" t="s">
        <v>46</v>
      </c>
      <c r="N46" s="11" t="s">
        <v>56</v>
      </c>
      <c r="O46" s="13" t="s">
        <v>58</v>
      </c>
      <c r="P46" s="37">
        <v>208000</v>
      </c>
      <c r="Q46" s="38">
        <f t="shared" si="8"/>
        <v>23904400</v>
      </c>
      <c r="R46" s="39" t="s">
        <v>32</v>
      </c>
      <c r="S46" s="44">
        <v>114.925</v>
      </c>
      <c r="T46" s="40">
        <f t="shared" ref="T46:T47" si="28">SUM(K46)+89</f>
        <v>41901</v>
      </c>
      <c r="U46" s="13" t="s">
        <v>37</v>
      </c>
      <c r="V46" s="53">
        <f t="shared" si="2"/>
        <v>28685.279999999999</v>
      </c>
      <c r="W46" s="32">
        <v>155.72999999999999</v>
      </c>
      <c r="X46" s="38">
        <f t="shared" ref="X46:X47" si="29">SUM(V46*W46)</f>
        <v>4467158.6543999994</v>
      </c>
      <c r="Y46" s="45">
        <v>4674266.38</v>
      </c>
      <c r="Z46" s="40">
        <v>41865</v>
      </c>
      <c r="AA46" s="46">
        <v>8867</v>
      </c>
      <c r="AB46" s="72"/>
    </row>
    <row r="47" spans="2:28" ht="34.5" customHeight="1">
      <c r="B47" s="31">
        <f t="shared" si="4"/>
        <v>43</v>
      </c>
      <c r="C47" s="11" t="s">
        <v>196</v>
      </c>
      <c r="D47" s="11" t="s">
        <v>301</v>
      </c>
      <c r="E47" s="17">
        <v>41869</v>
      </c>
      <c r="F47" s="34" t="s">
        <v>180</v>
      </c>
      <c r="G47" s="11" t="s">
        <v>106</v>
      </c>
      <c r="H47" s="11" t="s">
        <v>182</v>
      </c>
      <c r="I47" s="11" t="s">
        <v>97</v>
      </c>
      <c r="J47" s="35">
        <v>801.22</v>
      </c>
      <c r="K47" s="33">
        <v>41812</v>
      </c>
      <c r="L47" s="36" t="s">
        <v>71</v>
      </c>
      <c r="M47" s="36" t="s">
        <v>46</v>
      </c>
      <c r="N47" s="11" t="s">
        <v>56</v>
      </c>
      <c r="O47" s="13" t="s">
        <v>114</v>
      </c>
      <c r="P47" s="37">
        <v>124000</v>
      </c>
      <c r="Q47" s="38">
        <f t="shared" si="8"/>
        <v>14250700</v>
      </c>
      <c r="R47" s="39" t="s">
        <v>32</v>
      </c>
      <c r="S47" s="44">
        <v>114.925</v>
      </c>
      <c r="T47" s="40">
        <f t="shared" si="28"/>
        <v>41901</v>
      </c>
      <c r="U47" s="13" t="s">
        <v>37</v>
      </c>
      <c r="V47" s="53">
        <f t="shared" si="2"/>
        <v>17100.84</v>
      </c>
      <c r="W47" s="32">
        <v>155.72999999999999</v>
      </c>
      <c r="X47" s="38">
        <f t="shared" si="29"/>
        <v>2663113.8131999997</v>
      </c>
      <c r="Y47" s="45">
        <v>2786581.87</v>
      </c>
      <c r="Z47" s="40">
        <v>41865</v>
      </c>
      <c r="AA47" s="46">
        <v>8867</v>
      </c>
      <c r="AB47" s="72"/>
    </row>
    <row r="48" spans="2:28" ht="34.5" customHeight="1">
      <c r="B48" s="31">
        <f t="shared" si="4"/>
        <v>44</v>
      </c>
      <c r="C48" s="11" t="s">
        <v>198</v>
      </c>
      <c r="D48" s="84" t="s">
        <v>304</v>
      </c>
      <c r="E48" s="59">
        <v>41876</v>
      </c>
      <c r="F48" s="34" t="s">
        <v>303</v>
      </c>
      <c r="G48" s="11" t="s">
        <v>96</v>
      </c>
      <c r="H48" s="11" t="s">
        <v>83</v>
      </c>
      <c r="I48" s="11" t="s">
        <v>97</v>
      </c>
      <c r="J48" s="35">
        <v>801.22</v>
      </c>
      <c r="K48" s="33">
        <v>41812</v>
      </c>
      <c r="L48" s="36" t="s">
        <v>71</v>
      </c>
      <c r="M48" s="36" t="s">
        <v>46</v>
      </c>
      <c r="N48" s="11" t="s">
        <v>56</v>
      </c>
      <c r="O48" s="13" t="s">
        <v>114</v>
      </c>
      <c r="P48" s="37">
        <v>326000</v>
      </c>
      <c r="Q48" s="38">
        <f t="shared" si="8"/>
        <v>37059354</v>
      </c>
      <c r="R48" s="39" t="s">
        <v>32</v>
      </c>
      <c r="S48" s="44">
        <v>113.679</v>
      </c>
      <c r="T48" s="40">
        <f t="shared" ref="T48:T51" si="30">SUM(K48)+89</f>
        <v>41901</v>
      </c>
      <c r="U48" s="13" t="s">
        <v>100</v>
      </c>
      <c r="V48" s="53">
        <f t="shared" si="2"/>
        <v>44471.224799999996</v>
      </c>
      <c r="W48" s="32">
        <v>155.72999999999999</v>
      </c>
      <c r="X48" s="38">
        <f t="shared" ref="X48:X51" si="31">SUM(V48*W48)</f>
        <v>6925503.8381039994</v>
      </c>
      <c r="Y48" s="45">
        <v>6925503.8399999999</v>
      </c>
      <c r="Z48" s="40">
        <v>41872</v>
      </c>
      <c r="AA48" s="46">
        <v>28292</v>
      </c>
      <c r="AB48" s="72"/>
    </row>
    <row r="49" spans="2:28" ht="24.75" customHeight="1">
      <c r="B49" s="31">
        <f t="shared" si="4"/>
        <v>45</v>
      </c>
      <c r="C49" s="11" t="s">
        <v>189</v>
      </c>
      <c r="D49" s="13" t="s">
        <v>305</v>
      </c>
      <c r="E49" s="17">
        <v>41876</v>
      </c>
      <c r="F49" s="34" t="s">
        <v>174</v>
      </c>
      <c r="G49" s="11" t="s">
        <v>94</v>
      </c>
      <c r="H49" s="11" t="s">
        <v>50</v>
      </c>
      <c r="I49" s="11" t="s">
        <v>97</v>
      </c>
      <c r="J49" s="35">
        <v>801.22</v>
      </c>
      <c r="K49" s="33">
        <v>41793</v>
      </c>
      <c r="L49" s="36" t="s">
        <v>115</v>
      </c>
      <c r="M49" s="36" t="s">
        <v>46</v>
      </c>
      <c r="N49" s="11" t="s">
        <v>61</v>
      </c>
      <c r="O49" s="13" t="s">
        <v>62</v>
      </c>
      <c r="P49" s="37">
        <v>149638</v>
      </c>
      <c r="Q49" s="38">
        <f t="shared" si="8"/>
        <v>16966854.267999999</v>
      </c>
      <c r="R49" s="39" t="s">
        <v>32</v>
      </c>
      <c r="S49" s="7">
        <v>113.386</v>
      </c>
      <c r="T49" s="40">
        <f t="shared" si="30"/>
        <v>41882</v>
      </c>
      <c r="U49" s="11" t="s">
        <v>37</v>
      </c>
      <c r="V49" s="53">
        <f t="shared" si="2"/>
        <v>20360.225121599997</v>
      </c>
      <c r="W49" s="32">
        <v>155.72999999999999</v>
      </c>
      <c r="X49" s="38">
        <f t="shared" si="31"/>
        <v>3170697.8581867674</v>
      </c>
      <c r="Y49" s="45">
        <v>3150338.38</v>
      </c>
      <c r="Z49" s="40">
        <v>41873</v>
      </c>
      <c r="AA49" s="46">
        <v>11240</v>
      </c>
      <c r="AB49" s="72"/>
    </row>
    <row r="50" spans="2:28" ht="19.5" customHeight="1">
      <c r="B50" s="31">
        <f t="shared" si="4"/>
        <v>46</v>
      </c>
      <c r="C50" s="11" t="s">
        <v>193</v>
      </c>
      <c r="D50" s="13" t="s">
        <v>306</v>
      </c>
      <c r="E50" s="40">
        <v>41876</v>
      </c>
      <c r="F50" s="34" t="s">
        <v>177</v>
      </c>
      <c r="G50" s="11" t="s">
        <v>94</v>
      </c>
      <c r="H50" s="36" t="s">
        <v>45</v>
      </c>
      <c r="I50" s="11" t="s">
        <v>97</v>
      </c>
      <c r="J50" s="35">
        <v>801.22</v>
      </c>
      <c r="K50" s="33">
        <v>41812</v>
      </c>
      <c r="L50" s="36" t="s">
        <v>71</v>
      </c>
      <c r="M50" s="36" t="s">
        <v>46</v>
      </c>
      <c r="N50" s="11" t="s">
        <v>56</v>
      </c>
      <c r="O50" s="13" t="s">
        <v>58</v>
      </c>
      <c r="P50" s="37">
        <v>80000</v>
      </c>
      <c r="Q50" s="38">
        <f t="shared" si="8"/>
        <v>9096720</v>
      </c>
      <c r="R50" s="39" t="s">
        <v>32</v>
      </c>
      <c r="S50" s="44">
        <v>113.709</v>
      </c>
      <c r="T50" s="40">
        <f t="shared" si="30"/>
        <v>41901</v>
      </c>
      <c r="U50" s="13" t="s">
        <v>37</v>
      </c>
      <c r="V50" s="53">
        <f t="shared" si="2"/>
        <v>10916.063999999998</v>
      </c>
      <c r="W50" s="32">
        <v>155.72999999999999</v>
      </c>
      <c r="X50" s="38">
        <f t="shared" si="31"/>
        <v>1699958.6467199996</v>
      </c>
      <c r="Y50" s="45">
        <v>1689041.96</v>
      </c>
      <c r="Z50" s="40">
        <v>41873</v>
      </c>
      <c r="AA50" s="46">
        <v>11242</v>
      </c>
      <c r="AB50" s="72"/>
    </row>
    <row r="51" spans="2:28" ht="21.75" customHeight="1">
      <c r="B51" s="31">
        <f t="shared" si="4"/>
        <v>47</v>
      </c>
      <c r="C51" s="11" t="s">
        <v>194</v>
      </c>
      <c r="D51" s="13" t="s">
        <v>307</v>
      </c>
      <c r="E51" s="17">
        <v>41876</v>
      </c>
      <c r="F51" s="34" t="s">
        <v>178</v>
      </c>
      <c r="G51" s="11" t="s">
        <v>94</v>
      </c>
      <c r="H51" s="36" t="s">
        <v>50</v>
      </c>
      <c r="I51" s="11" t="s">
        <v>97</v>
      </c>
      <c r="J51" s="35">
        <v>801.22</v>
      </c>
      <c r="K51" s="33">
        <v>41812</v>
      </c>
      <c r="L51" s="36" t="s">
        <v>71</v>
      </c>
      <c r="M51" s="36" t="s">
        <v>46</v>
      </c>
      <c r="N51" s="11" t="s">
        <v>56</v>
      </c>
      <c r="O51" s="13" t="s">
        <v>58</v>
      </c>
      <c r="P51" s="37">
        <v>242344</v>
      </c>
      <c r="Q51" s="38">
        <f t="shared" si="8"/>
        <v>27462349.376800001</v>
      </c>
      <c r="R51" s="39" t="s">
        <v>32</v>
      </c>
      <c r="S51" s="85">
        <v>113.3197</v>
      </c>
      <c r="T51" s="40">
        <f t="shared" si="30"/>
        <v>41901</v>
      </c>
      <c r="U51" s="13" t="s">
        <v>37</v>
      </c>
      <c r="V51" s="53">
        <f t="shared" ref="V51:V56" si="32">SUM(Q51*0.12%)</f>
        <v>32954.819252159999</v>
      </c>
      <c r="W51" s="32">
        <v>155.72999999999999</v>
      </c>
      <c r="X51" s="38">
        <f t="shared" si="31"/>
        <v>5132054.0021388764</v>
      </c>
      <c r="Y51" s="45">
        <v>5099099.29</v>
      </c>
      <c r="Z51" s="40">
        <v>41873</v>
      </c>
      <c r="AA51" s="46">
        <v>11241</v>
      </c>
      <c r="AB51" s="72"/>
    </row>
    <row r="52" spans="2:28" ht="102" customHeight="1">
      <c r="B52" s="31">
        <f t="shared" si="4"/>
        <v>48</v>
      </c>
      <c r="C52" s="11" t="s">
        <v>137</v>
      </c>
      <c r="D52" s="11" t="s">
        <v>310</v>
      </c>
      <c r="E52" s="33">
        <v>41879</v>
      </c>
      <c r="F52" s="64" t="s">
        <v>308</v>
      </c>
      <c r="G52" s="11" t="s">
        <v>106</v>
      </c>
      <c r="H52" s="11" t="s">
        <v>59</v>
      </c>
      <c r="I52" s="11" t="s">
        <v>97</v>
      </c>
      <c r="J52" s="35">
        <v>801.22</v>
      </c>
      <c r="K52" s="17">
        <v>41729</v>
      </c>
      <c r="L52" s="11" t="s">
        <v>133</v>
      </c>
      <c r="M52" s="11" t="s">
        <v>46</v>
      </c>
      <c r="N52" s="11" t="s">
        <v>63</v>
      </c>
      <c r="O52" s="11" t="s">
        <v>134</v>
      </c>
      <c r="P52" s="56">
        <v>355000</v>
      </c>
      <c r="Q52" s="38">
        <f t="shared" si="8"/>
        <v>37800045</v>
      </c>
      <c r="R52" s="39" t="s">
        <v>32</v>
      </c>
      <c r="S52" s="44">
        <v>106.479</v>
      </c>
      <c r="T52" s="40">
        <f t="shared" ref="T52" si="33">SUM(K52)+89</f>
        <v>41818</v>
      </c>
      <c r="U52" s="11" t="s">
        <v>37</v>
      </c>
      <c r="V52" s="41">
        <f t="shared" si="32"/>
        <v>45360.053999999996</v>
      </c>
      <c r="W52" s="32">
        <v>155.74</v>
      </c>
      <c r="X52" s="38">
        <f t="shared" ref="X52:X65" si="34">SUM(V52*W52)</f>
        <v>7064374.8099600002</v>
      </c>
      <c r="Y52" s="45">
        <v>7286180.9400000004</v>
      </c>
      <c r="Z52" s="40">
        <v>41787</v>
      </c>
      <c r="AA52" s="46">
        <v>7715</v>
      </c>
      <c r="AB52" s="11" t="s">
        <v>309</v>
      </c>
    </row>
    <row r="53" spans="2:28" ht="21.75" customHeight="1">
      <c r="B53" s="31">
        <f t="shared" si="4"/>
        <v>49</v>
      </c>
      <c r="C53" s="11" t="s">
        <v>278</v>
      </c>
      <c r="D53" s="11" t="s">
        <v>311</v>
      </c>
      <c r="E53" s="17">
        <v>41879</v>
      </c>
      <c r="F53" s="34" t="s">
        <v>295</v>
      </c>
      <c r="G53" s="11" t="s">
        <v>38</v>
      </c>
      <c r="H53" s="11" t="s">
        <v>82</v>
      </c>
      <c r="I53" s="11" t="s">
        <v>97</v>
      </c>
      <c r="J53" s="35">
        <v>801.22</v>
      </c>
      <c r="K53" s="33">
        <v>41844</v>
      </c>
      <c r="L53" s="36" t="s">
        <v>260</v>
      </c>
      <c r="M53" s="36" t="s">
        <v>46</v>
      </c>
      <c r="N53" s="11" t="s">
        <v>40</v>
      </c>
      <c r="O53" s="13" t="s">
        <v>41</v>
      </c>
      <c r="P53" s="37">
        <v>47000</v>
      </c>
      <c r="Q53" s="38">
        <f t="shared" si="8"/>
        <v>5070219</v>
      </c>
      <c r="R53" s="39" t="s">
        <v>32</v>
      </c>
      <c r="S53" s="44">
        <v>107.877</v>
      </c>
      <c r="T53" s="40">
        <f t="shared" ref="T53:T55" si="35">SUM(K53)+89</f>
        <v>41933</v>
      </c>
      <c r="U53" s="11" t="s">
        <v>38</v>
      </c>
      <c r="V53" s="41">
        <f t="shared" si="32"/>
        <v>6084.2627999999995</v>
      </c>
      <c r="W53" s="32">
        <v>155.72999999999999</v>
      </c>
      <c r="X53" s="38">
        <f t="shared" si="34"/>
        <v>947502.2458439999</v>
      </c>
      <c r="Y53" s="45">
        <v>947502.25</v>
      </c>
      <c r="Z53" s="40">
        <v>41877</v>
      </c>
      <c r="AA53" s="46">
        <v>4418</v>
      </c>
      <c r="AB53" s="72"/>
    </row>
    <row r="54" spans="2:28" ht="21.75" customHeight="1">
      <c r="B54" s="31">
        <f t="shared" ref="B54:B73" si="36">B53+1</f>
        <v>50</v>
      </c>
      <c r="C54" s="11" t="s">
        <v>279</v>
      </c>
      <c r="D54" s="11" t="s">
        <v>312</v>
      </c>
      <c r="E54" s="17">
        <v>41879</v>
      </c>
      <c r="F54" s="34" t="s">
        <v>296</v>
      </c>
      <c r="G54" s="11" t="s">
        <v>38</v>
      </c>
      <c r="H54" s="11" t="s">
        <v>82</v>
      </c>
      <c r="I54" s="11" t="s">
        <v>97</v>
      </c>
      <c r="J54" s="35">
        <v>801.22</v>
      </c>
      <c r="K54" s="33">
        <v>41844</v>
      </c>
      <c r="L54" s="36" t="s">
        <v>260</v>
      </c>
      <c r="M54" s="36" t="s">
        <v>46</v>
      </c>
      <c r="N54" s="11" t="s">
        <v>40</v>
      </c>
      <c r="O54" s="13" t="s">
        <v>41</v>
      </c>
      <c r="P54" s="37">
        <v>40000</v>
      </c>
      <c r="Q54" s="38">
        <f t="shared" si="8"/>
        <v>4315080</v>
      </c>
      <c r="R54" s="39" t="s">
        <v>32</v>
      </c>
      <c r="S54" s="44">
        <v>107.877</v>
      </c>
      <c r="T54" s="40">
        <f t="shared" si="35"/>
        <v>41933</v>
      </c>
      <c r="U54" s="11" t="s">
        <v>38</v>
      </c>
      <c r="V54" s="41">
        <f t="shared" si="32"/>
        <v>5178.0959999999995</v>
      </c>
      <c r="W54" s="32">
        <v>155.72999999999999</v>
      </c>
      <c r="X54" s="38">
        <f t="shared" si="34"/>
        <v>806384.89007999992</v>
      </c>
      <c r="Y54" s="45">
        <v>806384.89</v>
      </c>
      <c r="Z54" s="40">
        <v>41877</v>
      </c>
      <c r="AA54" s="46">
        <v>4419</v>
      </c>
      <c r="AB54" s="72"/>
    </row>
    <row r="55" spans="2:28" ht="21.75" customHeight="1">
      <c r="B55" s="31">
        <f t="shared" si="36"/>
        <v>51</v>
      </c>
      <c r="C55" s="11" t="s">
        <v>280</v>
      </c>
      <c r="D55" s="11" t="s">
        <v>313</v>
      </c>
      <c r="E55" s="17">
        <v>41879</v>
      </c>
      <c r="F55" s="34" t="s">
        <v>255</v>
      </c>
      <c r="G55" s="11" t="s">
        <v>113</v>
      </c>
      <c r="H55" s="11" t="s">
        <v>82</v>
      </c>
      <c r="I55" s="11" t="s">
        <v>97</v>
      </c>
      <c r="J55" s="35">
        <v>801.22</v>
      </c>
      <c r="K55" s="33">
        <v>41844</v>
      </c>
      <c r="L55" s="36" t="s">
        <v>260</v>
      </c>
      <c r="M55" s="36" t="s">
        <v>46</v>
      </c>
      <c r="N55" s="11" t="s">
        <v>40</v>
      </c>
      <c r="O55" s="13" t="s">
        <v>41</v>
      </c>
      <c r="P55" s="37">
        <v>54000</v>
      </c>
      <c r="Q55" s="38">
        <f t="shared" si="8"/>
        <v>5825358</v>
      </c>
      <c r="R55" s="39" t="s">
        <v>32</v>
      </c>
      <c r="S55" s="44">
        <v>107.877</v>
      </c>
      <c r="T55" s="40">
        <f t="shared" si="35"/>
        <v>41933</v>
      </c>
      <c r="U55" s="11" t="s">
        <v>38</v>
      </c>
      <c r="V55" s="41">
        <f t="shared" si="32"/>
        <v>6990.4295999999995</v>
      </c>
      <c r="W55" s="32">
        <v>155.72999999999999</v>
      </c>
      <c r="X55" s="38">
        <f t="shared" si="34"/>
        <v>1088619.6016079998</v>
      </c>
      <c r="Y55" s="45">
        <v>1088619.6000000001</v>
      </c>
      <c r="Z55" s="40">
        <v>41877</v>
      </c>
      <c r="AA55" s="46">
        <v>4420</v>
      </c>
      <c r="AB55" s="72"/>
    </row>
    <row r="56" spans="2:28" ht="20.25" customHeight="1">
      <c r="B56" s="31">
        <f t="shared" si="36"/>
        <v>52</v>
      </c>
      <c r="C56" s="11" t="s">
        <v>122</v>
      </c>
      <c r="D56" s="13" t="s">
        <v>315</v>
      </c>
      <c r="E56" s="33">
        <v>41880</v>
      </c>
      <c r="F56" s="64" t="s">
        <v>116</v>
      </c>
      <c r="G56" s="11" t="s">
        <v>94</v>
      </c>
      <c r="H56" s="11" t="s">
        <v>50</v>
      </c>
      <c r="I56" s="11" t="s">
        <v>97</v>
      </c>
      <c r="J56" s="35">
        <v>801.22</v>
      </c>
      <c r="K56" s="17">
        <v>41655</v>
      </c>
      <c r="L56" s="11" t="s">
        <v>119</v>
      </c>
      <c r="M56" s="11" t="s">
        <v>46</v>
      </c>
      <c r="N56" s="11" t="s">
        <v>31</v>
      </c>
      <c r="O56" s="13" t="s">
        <v>89</v>
      </c>
      <c r="P56" s="56">
        <v>120284</v>
      </c>
      <c r="Q56" s="38">
        <f t="shared" ref="Q56:Q73" si="37">SUM(P56*S56)</f>
        <v>13193711.392000001</v>
      </c>
      <c r="R56" s="39" t="s">
        <v>32</v>
      </c>
      <c r="S56" s="7">
        <v>109.688</v>
      </c>
      <c r="T56" s="40">
        <f t="shared" ref="T56" si="38">SUM(K56)+89</f>
        <v>41744</v>
      </c>
      <c r="U56" s="11" t="s">
        <v>37</v>
      </c>
      <c r="V56" s="41">
        <f t="shared" si="32"/>
        <v>15832.4536704</v>
      </c>
      <c r="W56" s="32">
        <v>155.75</v>
      </c>
      <c r="X56" s="38">
        <f t="shared" si="34"/>
        <v>2465904.6591647998</v>
      </c>
      <c r="Y56" s="45">
        <v>2449596.66</v>
      </c>
      <c r="Z56" s="40">
        <v>41719</v>
      </c>
      <c r="AA56" s="46">
        <v>9345</v>
      </c>
      <c r="AB56" s="72"/>
    </row>
    <row r="57" spans="2:28" ht="20.25" customHeight="1">
      <c r="B57" s="31">
        <f t="shared" si="36"/>
        <v>53</v>
      </c>
      <c r="C57" s="11" t="s">
        <v>347</v>
      </c>
      <c r="D57" s="17" t="s">
        <v>316</v>
      </c>
      <c r="E57" s="17">
        <v>41882</v>
      </c>
      <c r="F57" s="64" t="s">
        <v>325</v>
      </c>
      <c r="G57" s="11" t="s">
        <v>117</v>
      </c>
      <c r="H57" s="11" t="s">
        <v>42</v>
      </c>
      <c r="I57" s="11" t="s">
        <v>34</v>
      </c>
      <c r="J57" s="35">
        <v>801.22</v>
      </c>
      <c r="K57" s="17">
        <v>41857</v>
      </c>
      <c r="L57" s="11" t="s">
        <v>337</v>
      </c>
      <c r="M57" s="11" t="s">
        <v>35</v>
      </c>
      <c r="N57" s="11" t="s">
        <v>70</v>
      </c>
      <c r="O57" s="13" t="s">
        <v>129</v>
      </c>
      <c r="P57" s="56">
        <v>950202</v>
      </c>
      <c r="Q57" s="38">
        <f t="shared" si="37"/>
        <v>98874219.311999992</v>
      </c>
      <c r="R57" s="39" t="s">
        <v>32</v>
      </c>
      <c r="S57" s="82">
        <v>104.056</v>
      </c>
      <c r="T57" s="40">
        <f t="shared" ref="T57:T62" si="39">SUM(K57)+89</f>
        <v>41946</v>
      </c>
      <c r="U57" s="11" t="s">
        <v>117</v>
      </c>
      <c r="V57" s="41">
        <f t="shared" ref="V57:V62" si="40">SUM(Q57*0.12%)</f>
        <v>118649.06317439998</v>
      </c>
      <c r="W57" s="32">
        <v>155.72999999999999</v>
      </c>
      <c r="X57" s="38">
        <f t="shared" si="34"/>
        <v>18477218.608149309</v>
      </c>
      <c r="Y57" s="45">
        <f t="shared" ref="Y57:Y62" si="41">X57</f>
        <v>18477218.608149309</v>
      </c>
      <c r="Z57" s="32"/>
      <c r="AA57" s="32"/>
      <c r="AB57" s="72"/>
    </row>
    <row r="58" spans="2:28" ht="20.25" customHeight="1">
      <c r="B58" s="31">
        <f t="shared" si="36"/>
        <v>54</v>
      </c>
      <c r="C58" s="11" t="s">
        <v>348</v>
      </c>
      <c r="D58" s="17" t="s">
        <v>317</v>
      </c>
      <c r="E58" s="17">
        <v>41882</v>
      </c>
      <c r="F58" s="64" t="s">
        <v>326</v>
      </c>
      <c r="G58" s="11" t="s">
        <v>117</v>
      </c>
      <c r="H58" s="11" t="s">
        <v>42</v>
      </c>
      <c r="I58" s="11" t="s">
        <v>43</v>
      </c>
      <c r="J58" s="35">
        <v>801.22</v>
      </c>
      <c r="K58" s="17">
        <v>41861</v>
      </c>
      <c r="L58" s="11" t="s">
        <v>338</v>
      </c>
      <c r="M58" s="11" t="s">
        <v>44</v>
      </c>
      <c r="N58" s="11" t="s">
        <v>77</v>
      </c>
      <c r="O58" s="13" t="s">
        <v>78</v>
      </c>
      <c r="P58" s="56">
        <v>899711</v>
      </c>
      <c r="Q58" s="38">
        <f t="shared" si="37"/>
        <v>93354013.359999999</v>
      </c>
      <c r="R58" s="39" t="s">
        <v>32</v>
      </c>
      <c r="S58" s="82">
        <v>103.76</v>
      </c>
      <c r="T58" s="40">
        <f t="shared" si="39"/>
        <v>41950</v>
      </c>
      <c r="U58" s="11" t="s">
        <v>117</v>
      </c>
      <c r="V58" s="41">
        <f t="shared" si="40"/>
        <v>112024.81603199999</v>
      </c>
      <c r="W58" s="32">
        <v>155.72999999999999</v>
      </c>
      <c r="X58" s="38">
        <f t="shared" si="34"/>
        <v>17445624.600663356</v>
      </c>
      <c r="Y58" s="45">
        <f t="shared" si="41"/>
        <v>17445624.600663356</v>
      </c>
      <c r="Z58" s="32"/>
      <c r="AA58" s="32"/>
      <c r="AB58" s="72"/>
    </row>
    <row r="59" spans="2:28" ht="20.25" customHeight="1">
      <c r="B59" s="31">
        <f t="shared" si="36"/>
        <v>55</v>
      </c>
      <c r="C59" s="11" t="s">
        <v>349</v>
      </c>
      <c r="D59" s="17" t="s">
        <v>318</v>
      </c>
      <c r="E59" s="17">
        <v>41882</v>
      </c>
      <c r="F59" s="64" t="s">
        <v>327</v>
      </c>
      <c r="G59" s="11" t="s">
        <v>117</v>
      </c>
      <c r="H59" s="11" t="s">
        <v>42</v>
      </c>
      <c r="I59" s="11" t="s">
        <v>97</v>
      </c>
      <c r="J59" s="35">
        <v>801.22</v>
      </c>
      <c r="K59" s="17">
        <v>41864</v>
      </c>
      <c r="L59" s="11" t="s">
        <v>64</v>
      </c>
      <c r="M59" s="11" t="s">
        <v>46</v>
      </c>
      <c r="N59" s="11" t="s">
        <v>31</v>
      </c>
      <c r="O59" s="13" t="s">
        <v>89</v>
      </c>
      <c r="P59" s="56">
        <v>949173</v>
      </c>
      <c r="Q59" s="38">
        <f t="shared" si="37"/>
        <v>96523300.715999991</v>
      </c>
      <c r="R59" s="39" t="s">
        <v>32</v>
      </c>
      <c r="S59" s="82">
        <v>101.69199999999999</v>
      </c>
      <c r="T59" s="40">
        <f t="shared" si="39"/>
        <v>41953</v>
      </c>
      <c r="U59" s="11" t="s">
        <v>117</v>
      </c>
      <c r="V59" s="41">
        <f t="shared" si="40"/>
        <v>115827.96085919999</v>
      </c>
      <c r="W59" s="32">
        <v>155.72999999999999</v>
      </c>
      <c r="X59" s="38">
        <f t="shared" si="34"/>
        <v>18037888.344603214</v>
      </c>
      <c r="Y59" s="45">
        <f t="shared" si="41"/>
        <v>18037888.344603214</v>
      </c>
      <c r="Z59" s="32"/>
      <c r="AA59" s="32"/>
      <c r="AB59" s="72"/>
    </row>
    <row r="60" spans="2:28" ht="20.25" customHeight="1">
      <c r="B60" s="31">
        <f>B59+1</f>
        <v>56</v>
      </c>
      <c r="C60" s="11" t="s">
        <v>359</v>
      </c>
      <c r="D60" s="17" t="s">
        <v>319</v>
      </c>
      <c r="E60" s="17">
        <v>41882</v>
      </c>
      <c r="F60" s="12" t="s">
        <v>330</v>
      </c>
      <c r="G60" s="11" t="s">
        <v>117</v>
      </c>
      <c r="H60" s="11" t="s">
        <v>42</v>
      </c>
      <c r="I60" s="11" t="s">
        <v>34</v>
      </c>
      <c r="J60" s="35">
        <v>801.22</v>
      </c>
      <c r="K60" s="17">
        <v>41874</v>
      </c>
      <c r="L60" s="11" t="s">
        <v>95</v>
      </c>
      <c r="M60" s="11" t="s">
        <v>35</v>
      </c>
      <c r="N60" s="11" t="s">
        <v>72</v>
      </c>
      <c r="O60" s="13" t="s">
        <v>343</v>
      </c>
      <c r="P60" s="56">
        <v>950274</v>
      </c>
      <c r="Q60" s="51">
        <f t="shared" si="37"/>
        <v>96485690.480399996</v>
      </c>
      <c r="R60" s="39" t="s">
        <v>32</v>
      </c>
      <c r="S60" s="44">
        <v>101.5346</v>
      </c>
      <c r="T60" s="40">
        <f t="shared" si="39"/>
        <v>41963</v>
      </c>
      <c r="U60" s="11" t="s">
        <v>117</v>
      </c>
      <c r="V60" s="53">
        <f t="shared" si="40"/>
        <v>115782.82857647998</v>
      </c>
      <c r="W60" s="32">
        <v>155.72999999999999</v>
      </c>
      <c r="X60" s="51">
        <f t="shared" si="34"/>
        <v>18030859.894215226</v>
      </c>
      <c r="Y60" s="42">
        <f t="shared" si="41"/>
        <v>18030859.894215226</v>
      </c>
      <c r="Z60" s="32"/>
      <c r="AA60" s="32"/>
      <c r="AB60" s="72"/>
    </row>
    <row r="61" spans="2:28" ht="20.25" customHeight="1">
      <c r="B61" s="31">
        <f t="shared" si="36"/>
        <v>57</v>
      </c>
      <c r="C61" s="11" t="s">
        <v>361</v>
      </c>
      <c r="D61" s="17" t="s">
        <v>320</v>
      </c>
      <c r="E61" s="17">
        <v>41882</v>
      </c>
      <c r="F61" s="64" t="s">
        <v>332</v>
      </c>
      <c r="G61" s="11" t="s">
        <v>117</v>
      </c>
      <c r="H61" s="11" t="s">
        <v>42</v>
      </c>
      <c r="I61" s="11" t="s">
        <v>97</v>
      </c>
      <c r="J61" s="35">
        <v>801.22</v>
      </c>
      <c r="K61" s="17">
        <v>41882</v>
      </c>
      <c r="L61" s="11" t="s">
        <v>81</v>
      </c>
      <c r="M61" s="11" t="s">
        <v>46</v>
      </c>
      <c r="N61" s="11" t="s">
        <v>69</v>
      </c>
      <c r="O61" s="13" t="s">
        <v>86</v>
      </c>
      <c r="P61" s="56">
        <v>24000</v>
      </c>
      <c r="Q61" s="51">
        <f t="shared" si="37"/>
        <v>2427648</v>
      </c>
      <c r="R61" s="39" t="s">
        <v>32</v>
      </c>
      <c r="S61" s="44">
        <v>101.152</v>
      </c>
      <c r="T61" s="40">
        <f t="shared" si="39"/>
        <v>41971</v>
      </c>
      <c r="U61" s="13" t="s">
        <v>117</v>
      </c>
      <c r="V61" s="53">
        <f t="shared" si="40"/>
        <v>2913.1775999999995</v>
      </c>
      <c r="W61" s="32">
        <v>155.72999999999999</v>
      </c>
      <c r="X61" s="51">
        <f t="shared" si="34"/>
        <v>453669.14764799993</v>
      </c>
      <c r="Y61" s="42">
        <f t="shared" si="41"/>
        <v>453669.14764799993</v>
      </c>
      <c r="Z61" s="32"/>
      <c r="AA61" s="32"/>
      <c r="AB61" s="72"/>
    </row>
    <row r="62" spans="2:28" ht="20.25" customHeight="1">
      <c r="B62" s="31">
        <f t="shared" si="36"/>
        <v>58</v>
      </c>
      <c r="C62" s="11" t="s">
        <v>362</v>
      </c>
      <c r="D62" s="17" t="s">
        <v>321</v>
      </c>
      <c r="E62" s="17">
        <v>41882</v>
      </c>
      <c r="F62" s="64" t="s">
        <v>333</v>
      </c>
      <c r="G62" s="11" t="s">
        <v>117</v>
      </c>
      <c r="H62" s="11" t="s">
        <v>42</v>
      </c>
      <c r="I62" s="11" t="s">
        <v>97</v>
      </c>
      <c r="J62" s="35">
        <v>801.22</v>
      </c>
      <c r="K62" s="17">
        <v>41882</v>
      </c>
      <c r="L62" s="11" t="s">
        <v>81</v>
      </c>
      <c r="M62" s="11" t="s">
        <v>46</v>
      </c>
      <c r="N62" s="11" t="s">
        <v>69</v>
      </c>
      <c r="O62" s="13" t="s">
        <v>86</v>
      </c>
      <c r="P62" s="56">
        <v>276000</v>
      </c>
      <c r="Q62" s="51">
        <f t="shared" si="37"/>
        <v>27917952</v>
      </c>
      <c r="R62" s="39" t="s">
        <v>32</v>
      </c>
      <c r="S62" s="44">
        <v>101.152</v>
      </c>
      <c r="T62" s="40">
        <f t="shared" si="39"/>
        <v>41971</v>
      </c>
      <c r="U62" s="13" t="s">
        <v>117</v>
      </c>
      <c r="V62" s="53">
        <f t="shared" si="40"/>
        <v>33501.542399999998</v>
      </c>
      <c r="W62" s="32">
        <v>155.72999999999999</v>
      </c>
      <c r="X62" s="51">
        <f t="shared" si="34"/>
        <v>5217195.1979519995</v>
      </c>
      <c r="Y62" s="42">
        <f t="shared" si="41"/>
        <v>5217195.1979519995</v>
      </c>
      <c r="Z62" s="32"/>
      <c r="AA62" s="32"/>
      <c r="AB62" s="72"/>
    </row>
    <row r="63" spans="2:28" ht="36" customHeight="1">
      <c r="B63" s="31">
        <f t="shared" si="36"/>
        <v>59</v>
      </c>
      <c r="C63" s="11" t="s">
        <v>185</v>
      </c>
      <c r="D63" s="11" t="s">
        <v>364</v>
      </c>
      <c r="E63" s="17">
        <v>41891</v>
      </c>
      <c r="F63" s="34" t="s">
        <v>222</v>
      </c>
      <c r="G63" s="11" t="s">
        <v>106</v>
      </c>
      <c r="H63" s="11" t="s">
        <v>33</v>
      </c>
      <c r="I63" s="11" t="s">
        <v>34</v>
      </c>
      <c r="J63" s="35">
        <v>801.22</v>
      </c>
      <c r="K63" s="33">
        <v>41791</v>
      </c>
      <c r="L63" s="36" t="s">
        <v>103</v>
      </c>
      <c r="M63" s="36" t="s">
        <v>35</v>
      </c>
      <c r="N63" s="11" t="s">
        <v>61</v>
      </c>
      <c r="O63" s="13" t="s">
        <v>62</v>
      </c>
      <c r="P63" s="56">
        <v>950125</v>
      </c>
      <c r="Q63" s="38">
        <f t="shared" si="37"/>
        <v>108661615.7</v>
      </c>
      <c r="R63" s="39" t="s">
        <v>32</v>
      </c>
      <c r="S63" s="7">
        <v>114.3656</v>
      </c>
      <c r="T63" s="40">
        <f t="shared" ref="T63" si="42">SUM(K63)+89</f>
        <v>41880</v>
      </c>
      <c r="U63" s="86" t="s">
        <v>37</v>
      </c>
      <c r="V63" s="53">
        <f t="shared" ref="V63:V64" si="43">SUM(Q63*0.12%)</f>
        <v>130393.93883999999</v>
      </c>
      <c r="W63" s="32">
        <v>155.72999999999999</v>
      </c>
      <c r="X63" s="38">
        <f t="shared" si="34"/>
        <v>20306248.095553197</v>
      </c>
      <c r="Y63" s="87">
        <v>20509310.579999998</v>
      </c>
      <c r="Z63" s="40">
        <v>41887</v>
      </c>
      <c r="AA63" s="46">
        <v>10317</v>
      </c>
      <c r="AB63" s="72"/>
    </row>
    <row r="64" spans="2:28" ht="29.25" customHeight="1">
      <c r="B64" s="31">
        <f t="shared" si="36"/>
        <v>60</v>
      </c>
      <c r="C64" s="11" t="s">
        <v>350</v>
      </c>
      <c r="D64" s="47" t="s">
        <v>365</v>
      </c>
      <c r="E64" s="40">
        <v>41893</v>
      </c>
      <c r="F64" s="34" t="s">
        <v>328</v>
      </c>
      <c r="G64" s="11" t="s">
        <v>102</v>
      </c>
      <c r="H64" s="11" t="s">
        <v>118</v>
      </c>
      <c r="I64" s="11" t="s">
        <v>104</v>
      </c>
      <c r="J64" s="35">
        <v>801.22</v>
      </c>
      <c r="K64" s="33">
        <v>41867</v>
      </c>
      <c r="L64" s="36" t="s">
        <v>339</v>
      </c>
      <c r="M64" s="36" t="s">
        <v>105</v>
      </c>
      <c r="N64" s="11" t="s">
        <v>72</v>
      </c>
      <c r="O64" s="13" t="s">
        <v>108</v>
      </c>
      <c r="P64" s="56">
        <v>701101</v>
      </c>
      <c r="Q64" s="51">
        <f t="shared" si="37"/>
        <v>66076665.946999997</v>
      </c>
      <c r="R64" s="39" t="s">
        <v>32</v>
      </c>
      <c r="S64" s="7">
        <v>94.247</v>
      </c>
      <c r="T64" s="40">
        <f t="shared" ref="T64" si="44">SUM(K64)+89</f>
        <v>41956</v>
      </c>
      <c r="U64" s="11" t="s">
        <v>106</v>
      </c>
      <c r="V64" s="53">
        <f t="shared" si="43"/>
        <v>79291.999136399987</v>
      </c>
      <c r="W64" s="32">
        <v>155.72999999999999</v>
      </c>
      <c r="X64" s="51">
        <f t="shared" si="34"/>
        <v>12348143.025511568</v>
      </c>
      <c r="Y64" s="42">
        <v>12348143.029999999</v>
      </c>
      <c r="Z64" s="40">
        <v>41886</v>
      </c>
      <c r="AA64" s="46">
        <v>3613</v>
      </c>
      <c r="AB64" s="72"/>
    </row>
    <row r="65" spans="2:28" ht="20.25" customHeight="1">
      <c r="B65" s="31">
        <f t="shared" si="36"/>
        <v>61</v>
      </c>
      <c r="C65" s="11" t="s">
        <v>345</v>
      </c>
      <c r="D65" s="11" t="s">
        <v>366</v>
      </c>
      <c r="E65" s="17">
        <v>41906</v>
      </c>
      <c r="F65" s="34" t="s">
        <v>323</v>
      </c>
      <c r="G65" s="11" t="s">
        <v>38</v>
      </c>
      <c r="H65" s="11" t="s">
        <v>82</v>
      </c>
      <c r="I65" s="11" t="s">
        <v>97</v>
      </c>
      <c r="J65" s="35">
        <v>801.22</v>
      </c>
      <c r="K65" s="33">
        <v>41854</v>
      </c>
      <c r="L65" s="36" t="s">
        <v>336</v>
      </c>
      <c r="M65" s="36" t="s">
        <v>46</v>
      </c>
      <c r="N65" s="11" t="s">
        <v>52</v>
      </c>
      <c r="O65" s="55" t="s">
        <v>53</v>
      </c>
      <c r="P65" s="56">
        <v>42000</v>
      </c>
      <c r="Q65" s="51">
        <f t="shared" si="37"/>
        <v>4263714</v>
      </c>
      <c r="R65" s="39" t="s">
        <v>32</v>
      </c>
      <c r="S65" s="7">
        <v>101.517</v>
      </c>
      <c r="T65" s="40">
        <f t="shared" ref="T65:T68" si="45">SUM(K65)+89</f>
        <v>41943</v>
      </c>
      <c r="U65" s="11" t="s">
        <v>38</v>
      </c>
      <c r="V65" s="53">
        <f t="shared" ref="V65:V70" si="46">SUM(Q65*0.12%)</f>
        <v>5116.4567999999999</v>
      </c>
      <c r="W65" s="32">
        <v>155.72999999999999</v>
      </c>
      <c r="X65" s="51">
        <f t="shared" si="34"/>
        <v>796785.81746399996</v>
      </c>
      <c r="Y65" s="42">
        <v>796785.82</v>
      </c>
      <c r="Z65" s="40">
        <v>41905</v>
      </c>
      <c r="AA65" s="46">
        <v>4424</v>
      </c>
      <c r="AB65" s="72"/>
    </row>
    <row r="66" spans="2:28" ht="20.25" customHeight="1">
      <c r="B66" s="31">
        <f t="shared" si="36"/>
        <v>62</v>
      </c>
      <c r="C66" s="11" t="s">
        <v>355</v>
      </c>
      <c r="D66" s="11" t="s">
        <v>367</v>
      </c>
      <c r="E66" s="17">
        <v>41906</v>
      </c>
      <c r="F66" s="12">
        <v>201401010081</v>
      </c>
      <c r="G66" s="11" t="s">
        <v>38</v>
      </c>
      <c r="H66" s="11" t="s">
        <v>82</v>
      </c>
      <c r="I66" s="11" t="s">
        <v>97</v>
      </c>
      <c r="J66" s="35">
        <v>801.22</v>
      </c>
      <c r="K66" s="33">
        <v>41873</v>
      </c>
      <c r="L66" s="36" t="s">
        <v>341</v>
      </c>
      <c r="M66" s="43" t="s">
        <v>46</v>
      </c>
      <c r="N66" s="11" t="s">
        <v>47</v>
      </c>
      <c r="O66" s="13" t="s">
        <v>68</v>
      </c>
      <c r="P66" s="56">
        <v>34000</v>
      </c>
      <c r="Q66" s="51">
        <f t="shared" si="37"/>
        <v>3451578</v>
      </c>
      <c r="R66" s="39" t="s">
        <v>32</v>
      </c>
      <c r="S66" s="7">
        <v>101.517</v>
      </c>
      <c r="T66" s="40">
        <f t="shared" si="45"/>
        <v>41962</v>
      </c>
      <c r="U66" s="11" t="s">
        <v>38</v>
      </c>
      <c r="V66" s="53">
        <f t="shared" si="46"/>
        <v>4141.8935999999994</v>
      </c>
      <c r="W66" s="32">
        <v>155.72999999999999</v>
      </c>
      <c r="X66" s="51">
        <f t="shared" ref="X66:X70" si="47">SUM(V66*W66)</f>
        <v>645017.0903279999</v>
      </c>
      <c r="Y66" s="42">
        <v>645017.09</v>
      </c>
      <c r="Z66" s="40">
        <v>41886</v>
      </c>
      <c r="AA66" s="46">
        <v>4425</v>
      </c>
      <c r="AB66" s="72"/>
    </row>
    <row r="67" spans="2:28" ht="20.25" customHeight="1">
      <c r="B67" s="31">
        <f t="shared" si="36"/>
        <v>63</v>
      </c>
      <c r="C67" s="11" t="s">
        <v>356</v>
      </c>
      <c r="D67" s="11" t="s">
        <v>368</v>
      </c>
      <c r="E67" s="17">
        <v>41906</v>
      </c>
      <c r="F67" s="12">
        <v>201401010082</v>
      </c>
      <c r="G67" s="11" t="s">
        <v>38</v>
      </c>
      <c r="H67" s="11" t="s">
        <v>82</v>
      </c>
      <c r="I67" s="11" t="s">
        <v>97</v>
      </c>
      <c r="J67" s="35">
        <v>801.22</v>
      </c>
      <c r="K67" s="33">
        <v>41873</v>
      </c>
      <c r="L67" s="36" t="s">
        <v>341</v>
      </c>
      <c r="M67" s="43" t="s">
        <v>46</v>
      </c>
      <c r="N67" s="11" t="s">
        <v>47</v>
      </c>
      <c r="O67" s="13" t="s">
        <v>68</v>
      </c>
      <c r="P67" s="56">
        <v>19000</v>
      </c>
      <c r="Q67" s="51">
        <f t="shared" si="37"/>
        <v>1928823</v>
      </c>
      <c r="R67" s="39" t="s">
        <v>32</v>
      </c>
      <c r="S67" s="7">
        <v>101.517</v>
      </c>
      <c r="T67" s="40">
        <f t="shared" si="45"/>
        <v>41962</v>
      </c>
      <c r="U67" s="13" t="s">
        <v>38</v>
      </c>
      <c r="V67" s="53">
        <f t="shared" si="46"/>
        <v>2314.5875999999998</v>
      </c>
      <c r="W67" s="32">
        <v>155.72999999999999</v>
      </c>
      <c r="X67" s="51">
        <f t="shared" si="47"/>
        <v>360450.72694799997</v>
      </c>
      <c r="Y67" s="42">
        <v>360450.73</v>
      </c>
      <c r="Z67" s="40">
        <v>41886</v>
      </c>
      <c r="AA67" s="46">
        <v>4427</v>
      </c>
      <c r="AB67" s="72"/>
    </row>
    <row r="68" spans="2:28" ht="20.25" customHeight="1">
      <c r="B68" s="31">
        <f t="shared" si="36"/>
        <v>64</v>
      </c>
      <c r="C68" s="11" t="s">
        <v>357</v>
      </c>
      <c r="D68" s="11" t="s">
        <v>369</v>
      </c>
      <c r="E68" s="17">
        <v>41906</v>
      </c>
      <c r="F68" s="12">
        <v>20149030008</v>
      </c>
      <c r="G68" s="11" t="s">
        <v>113</v>
      </c>
      <c r="H68" s="11" t="s">
        <v>82</v>
      </c>
      <c r="I68" s="11" t="s">
        <v>97</v>
      </c>
      <c r="J68" s="35">
        <v>801.22</v>
      </c>
      <c r="K68" s="33">
        <v>41873</v>
      </c>
      <c r="L68" s="36" t="s">
        <v>341</v>
      </c>
      <c r="M68" s="43" t="s">
        <v>46</v>
      </c>
      <c r="N68" s="11" t="s">
        <v>47</v>
      </c>
      <c r="O68" s="13" t="s">
        <v>68</v>
      </c>
      <c r="P68" s="56">
        <v>65000</v>
      </c>
      <c r="Q68" s="51">
        <f t="shared" si="37"/>
        <v>6598605</v>
      </c>
      <c r="R68" s="39" t="s">
        <v>32</v>
      </c>
      <c r="S68" s="7">
        <v>101.517</v>
      </c>
      <c r="T68" s="40">
        <f t="shared" si="45"/>
        <v>41962</v>
      </c>
      <c r="U68" s="11" t="s">
        <v>38</v>
      </c>
      <c r="V68" s="53">
        <f t="shared" si="46"/>
        <v>7918.3259999999991</v>
      </c>
      <c r="W68" s="32">
        <v>155.72999999999999</v>
      </c>
      <c r="X68" s="51">
        <f t="shared" si="47"/>
        <v>1233120.9079799997</v>
      </c>
      <c r="Y68" s="42">
        <v>1233120.9099999999</v>
      </c>
      <c r="Z68" s="40">
        <v>41886</v>
      </c>
      <c r="AA68" s="46">
        <v>4426</v>
      </c>
      <c r="AB68" s="72"/>
    </row>
    <row r="69" spans="2:28" ht="145.5" customHeight="1">
      <c r="B69" s="31">
        <f t="shared" si="36"/>
        <v>65</v>
      </c>
      <c r="C69" s="11" t="s">
        <v>188</v>
      </c>
      <c r="D69" s="17" t="s">
        <v>370</v>
      </c>
      <c r="E69" s="33">
        <v>41912</v>
      </c>
      <c r="F69" s="34" t="s">
        <v>173</v>
      </c>
      <c r="G69" s="11" t="s">
        <v>94</v>
      </c>
      <c r="H69" s="11" t="s">
        <v>28</v>
      </c>
      <c r="I69" s="11" t="s">
        <v>29</v>
      </c>
      <c r="J69" s="35">
        <v>801.22</v>
      </c>
      <c r="K69" s="33">
        <v>41793</v>
      </c>
      <c r="L69" s="36" t="s">
        <v>183</v>
      </c>
      <c r="M69" s="36" t="s">
        <v>30</v>
      </c>
      <c r="N69" s="11" t="s">
        <v>47</v>
      </c>
      <c r="O69" s="11" t="s">
        <v>68</v>
      </c>
      <c r="P69" s="37">
        <v>949268</v>
      </c>
      <c r="Q69" s="38">
        <f t="shared" si="37"/>
        <v>103690442.176</v>
      </c>
      <c r="R69" s="39" t="s">
        <v>32</v>
      </c>
      <c r="S69" s="7">
        <v>109.232</v>
      </c>
      <c r="T69" s="40">
        <f t="shared" ref="T69" si="48">SUM(K69)+89</f>
        <v>41882</v>
      </c>
      <c r="U69" s="11" t="s">
        <v>27</v>
      </c>
      <c r="V69" s="53">
        <f t="shared" si="46"/>
        <v>124428.53061119998</v>
      </c>
      <c r="W69" s="32">
        <v>155.72999999999999</v>
      </c>
      <c r="X69" s="38">
        <f t="shared" si="47"/>
        <v>19377255.072082173</v>
      </c>
      <c r="Y69" s="45">
        <v>19377254.98</v>
      </c>
      <c r="Z69" s="40">
        <v>41899</v>
      </c>
      <c r="AA69" s="46">
        <v>1691</v>
      </c>
      <c r="AB69" s="10" t="s">
        <v>439</v>
      </c>
    </row>
    <row r="70" spans="2:28" ht="21.75" customHeight="1">
      <c r="B70" s="31">
        <f t="shared" si="36"/>
        <v>66</v>
      </c>
      <c r="C70" s="11" t="s">
        <v>277</v>
      </c>
      <c r="D70" s="47" t="s">
        <v>371</v>
      </c>
      <c r="E70" s="33">
        <v>41912</v>
      </c>
      <c r="F70" s="34" t="s">
        <v>254</v>
      </c>
      <c r="G70" s="11" t="s">
        <v>94</v>
      </c>
      <c r="H70" s="11" t="s">
        <v>28</v>
      </c>
      <c r="I70" s="11" t="s">
        <v>97</v>
      </c>
      <c r="J70" s="35">
        <v>801.22</v>
      </c>
      <c r="K70" s="33">
        <v>41844</v>
      </c>
      <c r="L70" s="36" t="s">
        <v>260</v>
      </c>
      <c r="M70" s="36" t="s">
        <v>46</v>
      </c>
      <c r="N70" s="11" t="s">
        <v>40</v>
      </c>
      <c r="O70" s="13" t="s">
        <v>41</v>
      </c>
      <c r="P70" s="37">
        <v>100000</v>
      </c>
      <c r="Q70" s="38">
        <f t="shared" si="37"/>
        <v>10771500</v>
      </c>
      <c r="R70" s="39" t="s">
        <v>32</v>
      </c>
      <c r="S70" s="44">
        <v>107.715</v>
      </c>
      <c r="T70" s="40">
        <f t="shared" ref="T70" si="49">SUM(K70)+89</f>
        <v>41933</v>
      </c>
      <c r="U70" s="13" t="s">
        <v>27</v>
      </c>
      <c r="V70" s="41">
        <f t="shared" si="46"/>
        <v>12925.8</v>
      </c>
      <c r="W70" s="32">
        <v>155.72999999999999</v>
      </c>
      <c r="X70" s="38">
        <f t="shared" si="47"/>
        <v>2012934.8339999998</v>
      </c>
      <c r="Y70" s="45">
        <v>2012934.83</v>
      </c>
      <c r="Z70" s="40">
        <v>41893</v>
      </c>
      <c r="AA70" s="46">
        <v>1622</v>
      </c>
      <c r="AB70" s="72"/>
    </row>
    <row r="71" spans="2:28" ht="21.75" customHeight="1">
      <c r="B71" s="31">
        <f t="shared" si="36"/>
        <v>67</v>
      </c>
      <c r="C71" s="11" t="s">
        <v>416</v>
      </c>
      <c r="D71" s="17" t="s">
        <v>372</v>
      </c>
      <c r="E71" s="33">
        <v>41912</v>
      </c>
      <c r="F71" s="34" t="s">
        <v>382</v>
      </c>
      <c r="G71" s="11" t="s">
        <v>117</v>
      </c>
      <c r="H71" s="11" t="s">
        <v>42</v>
      </c>
      <c r="I71" s="11" t="s">
        <v>97</v>
      </c>
      <c r="J71" s="35">
        <v>801.22</v>
      </c>
      <c r="K71" s="33">
        <v>41901</v>
      </c>
      <c r="L71" s="36" t="s">
        <v>91</v>
      </c>
      <c r="M71" s="43" t="s">
        <v>46</v>
      </c>
      <c r="N71" s="11" t="s">
        <v>47</v>
      </c>
      <c r="O71" s="13" t="s">
        <v>68</v>
      </c>
      <c r="P71" s="37">
        <v>40000</v>
      </c>
      <c r="Q71" s="38">
        <f t="shared" si="37"/>
        <v>3861640</v>
      </c>
      <c r="R71" s="39" t="s">
        <v>32</v>
      </c>
      <c r="S71" s="44">
        <v>96.540999999999997</v>
      </c>
      <c r="T71" s="40">
        <f t="shared" ref="T71:T73" si="50">SUM(K71)+89</f>
        <v>41990</v>
      </c>
      <c r="U71" s="11" t="s">
        <v>117</v>
      </c>
      <c r="V71" s="53">
        <f t="shared" ref="V71:V73" si="51">SUM(Q71*0.12%)</f>
        <v>4633.9679999999998</v>
      </c>
      <c r="W71" s="32">
        <v>155.75</v>
      </c>
      <c r="X71" s="51">
        <f t="shared" ref="X71:X73" si="52">SUM(V71*W71)</f>
        <v>721740.51599999995</v>
      </c>
      <c r="Y71" s="42">
        <f t="shared" ref="Y71:Y73" si="53">X71</f>
        <v>721740.51599999995</v>
      </c>
      <c r="Z71" s="32"/>
      <c r="AA71" s="32"/>
      <c r="AB71" s="72"/>
    </row>
    <row r="72" spans="2:28" ht="21.75" customHeight="1">
      <c r="B72" s="31">
        <f t="shared" si="36"/>
        <v>68</v>
      </c>
      <c r="C72" s="11" t="s">
        <v>417</v>
      </c>
      <c r="D72" s="17" t="s">
        <v>373</v>
      </c>
      <c r="E72" s="33">
        <v>41912</v>
      </c>
      <c r="F72" s="34" t="s">
        <v>383</v>
      </c>
      <c r="G72" s="11" t="s">
        <v>117</v>
      </c>
      <c r="H72" s="11" t="s">
        <v>42</v>
      </c>
      <c r="I72" s="11" t="s">
        <v>97</v>
      </c>
      <c r="J72" s="35">
        <v>801.22</v>
      </c>
      <c r="K72" s="33">
        <v>41901</v>
      </c>
      <c r="L72" s="36" t="s">
        <v>91</v>
      </c>
      <c r="M72" s="43" t="s">
        <v>46</v>
      </c>
      <c r="N72" s="11" t="s">
        <v>47</v>
      </c>
      <c r="O72" s="13" t="s">
        <v>68</v>
      </c>
      <c r="P72" s="37">
        <v>63000</v>
      </c>
      <c r="Q72" s="38">
        <f t="shared" si="37"/>
        <v>6082083</v>
      </c>
      <c r="R72" s="39" t="s">
        <v>32</v>
      </c>
      <c r="S72" s="44">
        <v>96.540999999999997</v>
      </c>
      <c r="T72" s="40">
        <f t="shared" si="50"/>
        <v>41990</v>
      </c>
      <c r="U72" s="11" t="s">
        <v>117</v>
      </c>
      <c r="V72" s="53">
        <f t="shared" si="51"/>
        <v>7298.4995999999992</v>
      </c>
      <c r="W72" s="32">
        <v>155.75</v>
      </c>
      <c r="X72" s="51">
        <f t="shared" si="52"/>
        <v>1136741.3126999999</v>
      </c>
      <c r="Y72" s="42">
        <f t="shared" si="53"/>
        <v>1136741.3126999999</v>
      </c>
      <c r="Z72" s="32"/>
      <c r="AA72" s="32"/>
      <c r="AB72" s="72"/>
    </row>
    <row r="73" spans="2:28" ht="21.75" customHeight="1" thickBot="1">
      <c r="B73" s="31">
        <f t="shared" si="36"/>
        <v>69</v>
      </c>
      <c r="C73" s="11" t="s">
        <v>418</v>
      </c>
      <c r="D73" s="17" t="s">
        <v>374</v>
      </c>
      <c r="E73" s="33">
        <v>41912</v>
      </c>
      <c r="F73" s="34" t="s">
        <v>384</v>
      </c>
      <c r="G73" s="11" t="s">
        <v>117</v>
      </c>
      <c r="H73" s="11" t="s">
        <v>42</v>
      </c>
      <c r="I73" s="11" t="s">
        <v>97</v>
      </c>
      <c r="J73" s="35">
        <v>801.22</v>
      </c>
      <c r="K73" s="33">
        <v>41901</v>
      </c>
      <c r="L73" s="36" t="s">
        <v>91</v>
      </c>
      <c r="M73" s="43" t="s">
        <v>46</v>
      </c>
      <c r="N73" s="11" t="s">
        <v>47</v>
      </c>
      <c r="O73" s="13" t="s">
        <v>68</v>
      </c>
      <c r="P73" s="37">
        <v>145110</v>
      </c>
      <c r="Q73" s="38">
        <f t="shared" si="37"/>
        <v>14009064.51</v>
      </c>
      <c r="R73" s="39" t="s">
        <v>32</v>
      </c>
      <c r="S73" s="44">
        <v>96.540999999999997</v>
      </c>
      <c r="T73" s="40">
        <f t="shared" si="50"/>
        <v>41990</v>
      </c>
      <c r="U73" s="11" t="s">
        <v>117</v>
      </c>
      <c r="V73" s="53">
        <f t="shared" si="51"/>
        <v>16810.877411999998</v>
      </c>
      <c r="W73" s="32">
        <v>155.75</v>
      </c>
      <c r="X73" s="51">
        <f t="shared" si="52"/>
        <v>2618294.1569189997</v>
      </c>
      <c r="Y73" s="42">
        <f t="shared" si="53"/>
        <v>2618294.1569189997</v>
      </c>
      <c r="Z73" s="32"/>
      <c r="AA73" s="32"/>
      <c r="AB73" s="72"/>
    </row>
    <row r="74" spans="2:28" ht="15.75" thickBot="1">
      <c r="B74" s="18"/>
      <c r="C74" s="18"/>
      <c r="D74" s="19"/>
      <c r="E74" s="19"/>
      <c r="F74" s="19"/>
      <c r="G74" s="19"/>
      <c r="H74" s="19"/>
      <c r="I74" s="19"/>
      <c r="J74" s="18"/>
      <c r="K74" s="20"/>
      <c r="L74" s="19"/>
      <c r="M74" s="20"/>
      <c r="N74" s="22"/>
      <c r="O74" s="23"/>
      <c r="P74" s="65">
        <f>SUM(P5:P73)</f>
        <v>19737012</v>
      </c>
      <c r="Q74" s="66">
        <f>SUM(Q5:Q73)</f>
        <v>2119019759.9346001</v>
      </c>
      <c r="R74" s="67"/>
      <c r="S74" s="68"/>
      <c r="T74" s="69"/>
      <c r="U74" s="70"/>
      <c r="V74" s="66">
        <f>SUM(V5:V73)</f>
        <v>2542823.7119215196</v>
      </c>
      <c r="W74" s="67"/>
      <c r="X74" s="66">
        <f>SUM(X5:X73)</f>
        <v>395996681.92120647</v>
      </c>
      <c r="Y74" s="66">
        <f>SUM(Y5:Y73)</f>
        <v>397168829.99424529</v>
      </c>
      <c r="Z74" s="18"/>
      <c r="AA74" s="18"/>
      <c r="AB74" s="18"/>
    </row>
  </sheetData>
  <mergeCells count="2">
    <mergeCell ref="AB34:AB35"/>
    <mergeCell ref="AB44:AB45"/>
  </mergeCells>
  <pageMargins left="0" right="0" top="0" bottom="0" header="0.31496062992125984" footer="0"/>
  <pageSetup paperSize="8" orientation="landscape" r:id="rId1"/>
  <ignoredErrors>
    <ignoredError sqref="F22:F26 F7:F21 F41:F43 F44 F46:F48 F49:F56 F63:F65 F69:F70" numberStoredAsText="1"/>
    <ignoredError sqref="T22:X22 T52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B2:AA47"/>
  <sheetViews>
    <sheetView workbookViewId="0">
      <selection activeCell="G3" sqref="G3"/>
    </sheetView>
  </sheetViews>
  <sheetFormatPr defaultRowHeight="15"/>
  <cols>
    <col min="1" max="1" width="3.7109375" customWidth="1"/>
    <col min="2" max="2" width="4.140625" customWidth="1"/>
    <col min="3" max="3" width="5.28515625" style="3" customWidth="1"/>
    <col min="4" max="4" width="7.42578125" style="3" customWidth="1"/>
    <col min="5" max="5" width="5.85546875" style="3" customWidth="1"/>
    <col min="6" max="6" width="10.42578125" style="3" customWidth="1"/>
    <col min="7" max="7" width="9.5703125" style="3" customWidth="1"/>
    <col min="8" max="8" width="8" style="3" customWidth="1"/>
    <col min="9" max="9" width="9.140625" style="3" customWidth="1"/>
    <col min="10" max="10" width="5.7109375" customWidth="1"/>
    <col min="11" max="11" width="6.28515625" style="1" customWidth="1"/>
    <col min="12" max="12" width="8.140625" style="3" customWidth="1"/>
    <col min="13" max="13" width="5.42578125" style="3" customWidth="1"/>
    <col min="14" max="14" width="8.42578125" style="5" customWidth="1"/>
    <col min="15" max="15" width="10.140625" style="6" customWidth="1"/>
    <col min="16" max="16" width="8.42578125" customWidth="1"/>
    <col min="17" max="17" width="13.5703125" customWidth="1"/>
    <col min="18" max="18" width="4.5703125" customWidth="1"/>
    <col min="19" max="19" width="6.5703125" style="8" customWidth="1"/>
    <col min="20" max="20" width="5.7109375" style="1" customWidth="1"/>
    <col min="21" max="21" width="7.140625" style="3" customWidth="1"/>
    <col min="22" max="22" width="10.42578125" customWidth="1"/>
    <col min="23" max="23" width="5.5703125" customWidth="1"/>
    <col min="24" max="24" width="12.140625" customWidth="1"/>
    <col min="25" max="25" width="11.85546875" customWidth="1"/>
    <col min="26" max="27" width="5.5703125" customWidth="1"/>
  </cols>
  <sheetData>
    <row r="2" spans="2:27" ht="15.75">
      <c r="B2" s="18"/>
      <c r="C2" s="19"/>
      <c r="D2" s="19"/>
      <c r="E2" s="19"/>
      <c r="F2" s="19"/>
      <c r="G2" s="19"/>
      <c r="H2" s="19"/>
      <c r="I2" s="19"/>
      <c r="J2" s="18"/>
      <c r="K2" s="20"/>
      <c r="L2" s="21" t="s">
        <v>0</v>
      </c>
      <c r="M2" s="19"/>
      <c r="N2" s="22"/>
      <c r="O2" s="23"/>
      <c r="P2" s="18"/>
      <c r="Q2" s="18"/>
      <c r="R2" s="18"/>
      <c r="S2" s="24"/>
      <c r="T2" s="20"/>
      <c r="U2" s="19"/>
      <c r="V2" s="18"/>
      <c r="W2" s="18"/>
      <c r="X2" s="18"/>
      <c r="Y2" s="18"/>
      <c r="Z2" s="18"/>
      <c r="AA2" s="18"/>
    </row>
    <row r="3" spans="2:27" ht="23.25" customHeight="1" thickBot="1">
      <c r="B3" s="18"/>
      <c r="C3" s="19"/>
      <c r="D3" s="19"/>
      <c r="E3" s="19"/>
      <c r="F3" s="19"/>
      <c r="G3" s="19"/>
      <c r="H3" s="19"/>
      <c r="I3" s="19"/>
      <c r="J3" s="18"/>
      <c r="K3" s="20"/>
      <c r="L3" s="4" t="s">
        <v>442</v>
      </c>
      <c r="M3" s="19"/>
      <c r="N3" s="22"/>
      <c r="O3" s="23"/>
      <c r="P3" s="25"/>
      <c r="Q3" s="18"/>
      <c r="R3" s="18"/>
      <c r="S3" s="24"/>
      <c r="T3" s="20"/>
      <c r="U3" s="19"/>
      <c r="V3" s="18"/>
      <c r="W3" s="18"/>
      <c r="X3" s="18"/>
      <c r="Y3" s="18"/>
      <c r="Z3" s="18"/>
      <c r="AA3" s="18"/>
    </row>
    <row r="4" spans="2:27" s="3" customFormat="1" ht="42.6" customHeight="1" thickBot="1">
      <c r="B4" s="26" t="s">
        <v>1</v>
      </c>
      <c r="C4" s="27" t="s">
        <v>2</v>
      </c>
      <c r="D4" s="27" t="s">
        <v>3</v>
      </c>
      <c r="E4" s="27" t="s">
        <v>4</v>
      </c>
      <c r="F4" s="28" t="s">
        <v>5</v>
      </c>
      <c r="G4" s="29" t="s">
        <v>6</v>
      </c>
      <c r="H4" s="27" t="s">
        <v>7</v>
      </c>
      <c r="I4" s="27" t="s">
        <v>8</v>
      </c>
      <c r="J4" s="27" t="s">
        <v>9</v>
      </c>
      <c r="K4" s="27" t="s">
        <v>10</v>
      </c>
      <c r="L4" s="27" t="s">
        <v>11</v>
      </c>
      <c r="M4" s="27" t="s">
        <v>12</v>
      </c>
      <c r="N4" s="27" t="s">
        <v>13</v>
      </c>
      <c r="O4" s="27" t="s">
        <v>14</v>
      </c>
      <c r="P4" s="27" t="s">
        <v>15</v>
      </c>
      <c r="Q4" s="27" t="s">
        <v>16</v>
      </c>
      <c r="R4" s="27" t="s">
        <v>17</v>
      </c>
      <c r="S4" s="30" t="s">
        <v>18</v>
      </c>
      <c r="T4" s="27" t="s">
        <v>19</v>
      </c>
      <c r="U4" s="27" t="s">
        <v>20</v>
      </c>
      <c r="V4" s="27" t="s">
        <v>21</v>
      </c>
      <c r="W4" s="27" t="s">
        <v>22</v>
      </c>
      <c r="X4" s="27" t="s">
        <v>23</v>
      </c>
      <c r="Y4" s="27" t="s">
        <v>24</v>
      </c>
      <c r="Z4" s="27" t="s">
        <v>25</v>
      </c>
      <c r="AA4" s="27" t="s">
        <v>26</v>
      </c>
    </row>
    <row r="5" spans="2:27" ht="21.75" customHeight="1">
      <c r="B5" s="31">
        <v>1</v>
      </c>
      <c r="C5" s="11" t="s">
        <v>285</v>
      </c>
      <c r="D5" s="47" t="s">
        <v>65</v>
      </c>
      <c r="E5" s="17"/>
      <c r="F5" s="34" t="s">
        <v>314</v>
      </c>
      <c r="G5" s="11" t="s">
        <v>106</v>
      </c>
      <c r="H5" s="11" t="s">
        <v>33</v>
      </c>
      <c r="I5" s="11" t="s">
        <v>34</v>
      </c>
      <c r="J5" s="35">
        <v>801.22</v>
      </c>
      <c r="K5" s="33">
        <v>41844</v>
      </c>
      <c r="L5" s="36" t="s">
        <v>259</v>
      </c>
      <c r="M5" s="36" t="s">
        <v>35</v>
      </c>
      <c r="N5" s="11" t="s">
        <v>72</v>
      </c>
      <c r="O5" s="13" t="s">
        <v>79</v>
      </c>
      <c r="P5" s="37">
        <v>948707</v>
      </c>
      <c r="Q5" s="38">
        <f t="shared" ref="Q5:Q27" si="0">SUM(P5*S5)</f>
        <v>103592922.41659999</v>
      </c>
      <c r="R5" s="39" t="s">
        <v>32</v>
      </c>
      <c r="S5" s="48">
        <v>109.1938</v>
      </c>
      <c r="T5" s="40">
        <f t="shared" ref="T5" si="1">SUM(K5)+89</f>
        <v>41933</v>
      </c>
      <c r="U5" s="11" t="s">
        <v>37</v>
      </c>
      <c r="V5" s="41">
        <f t="shared" ref="V5:V32" si="2">SUM(Q5*0.12%)</f>
        <v>124311.50689991997</v>
      </c>
      <c r="W5" s="32">
        <v>155.72999999999999</v>
      </c>
      <c r="X5" s="38">
        <f t="shared" ref="X5:X20" si="3">SUM(V5*W5)</f>
        <v>19359030.969524536</v>
      </c>
      <c r="Y5" s="49">
        <v>0</v>
      </c>
      <c r="Z5" s="32"/>
      <c r="AA5" s="72"/>
    </row>
    <row r="6" spans="2:27" ht="21.75" customHeight="1">
      <c r="B6" s="31">
        <f>B5+1</f>
        <v>2</v>
      </c>
      <c r="C6" s="11" t="s">
        <v>273</v>
      </c>
      <c r="D6" s="47" t="s">
        <v>65</v>
      </c>
      <c r="E6" s="17"/>
      <c r="F6" s="34" t="s">
        <v>250</v>
      </c>
      <c r="G6" s="11" t="s">
        <v>94</v>
      </c>
      <c r="H6" s="36" t="s">
        <v>45</v>
      </c>
      <c r="I6" s="11" t="s">
        <v>97</v>
      </c>
      <c r="J6" s="35">
        <v>801.22</v>
      </c>
      <c r="K6" s="33">
        <v>41844</v>
      </c>
      <c r="L6" s="36" t="s">
        <v>260</v>
      </c>
      <c r="M6" s="36" t="s">
        <v>46</v>
      </c>
      <c r="N6" s="11" t="s">
        <v>40</v>
      </c>
      <c r="O6" s="13" t="s">
        <v>41</v>
      </c>
      <c r="P6" s="37">
        <v>80000</v>
      </c>
      <c r="Q6" s="38">
        <f t="shared" si="0"/>
        <v>8650080</v>
      </c>
      <c r="R6" s="39" t="s">
        <v>32</v>
      </c>
      <c r="S6" s="44">
        <v>108.126</v>
      </c>
      <c r="T6" s="40">
        <f t="shared" ref="T6:T46" si="4">SUM(K6)+89</f>
        <v>41933</v>
      </c>
      <c r="U6" s="13" t="s">
        <v>37</v>
      </c>
      <c r="V6" s="41">
        <f t="shared" si="2"/>
        <v>10380.096</v>
      </c>
      <c r="W6" s="32">
        <v>155.72999999999999</v>
      </c>
      <c r="X6" s="38">
        <f t="shared" si="3"/>
        <v>1616492.3500799998</v>
      </c>
      <c r="Y6" s="49">
        <v>0</v>
      </c>
      <c r="Z6" s="32"/>
      <c r="AA6" s="72"/>
    </row>
    <row r="7" spans="2:27" ht="21.75" customHeight="1">
      <c r="B7" s="31">
        <f t="shared" ref="B7:B46" si="5">B6+1</f>
        <v>3</v>
      </c>
      <c r="C7" s="11" t="s">
        <v>274</v>
      </c>
      <c r="D7" s="47" t="s">
        <v>65</v>
      </c>
      <c r="E7" s="17"/>
      <c r="F7" s="34" t="s">
        <v>251</v>
      </c>
      <c r="G7" s="11" t="s">
        <v>94</v>
      </c>
      <c r="H7" s="36" t="s">
        <v>50</v>
      </c>
      <c r="I7" s="11" t="s">
        <v>97</v>
      </c>
      <c r="J7" s="35">
        <v>801.22</v>
      </c>
      <c r="K7" s="33">
        <v>41844</v>
      </c>
      <c r="L7" s="36" t="s">
        <v>260</v>
      </c>
      <c r="M7" s="36" t="s">
        <v>46</v>
      </c>
      <c r="N7" s="11" t="s">
        <v>40</v>
      </c>
      <c r="O7" s="13" t="s">
        <v>41</v>
      </c>
      <c r="P7" s="37">
        <v>211324</v>
      </c>
      <c r="Q7" s="38">
        <f t="shared" si="0"/>
        <v>22849618.824000001</v>
      </c>
      <c r="R7" s="39" t="s">
        <v>32</v>
      </c>
      <c r="S7" s="44">
        <v>108.126</v>
      </c>
      <c r="T7" s="40">
        <f t="shared" si="4"/>
        <v>41933</v>
      </c>
      <c r="U7" s="13" t="s">
        <v>37</v>
      </c>
      <c r="V7" s="41">
        <f t="shared" si="2"/>
        <v>27419.542588799999</v>
      </c>
      <c r="W7" s="32">
        <v>155.72999999999999</v>
      </c>
      <c r="X7" s="38">
        <f t="shared" si="3"/>
        <v>4270045.367353824</v>
      </c>
      <c r="Y7" s="49">
        <v>0</v>
      </c>
      <c r="Z7" s="32"/>
      <c r="AA7" s="72"/>
    </row>
    <row r="8" spans="2:27" ht="21.75" customHeight="1">
      <c r="B8" s="31">
        <f t="shared" si="5"/>
        <v>4</v>
      </c>
      <c r="C8" s="11" t="s">
        <v>275</v>
      </c>
      <c r="D8" s="47" t="s">
        <v>65</v>
      </c>
      <c r="E8" s="17"/>
      <c r="F8" s="34" t="s">
        <v>252</v>
      </c>
      <c r="G8" s="11" t="s">
        <v>94</v>
      </c>
      <c r="H8" s="36" t="s">
        <v>50</v>
      </c>
      <c r="I8" s="11" t="s">
        <v>97</v>
      </c>
      <c r="J8" s="35">
        <v>801.22</v>
      </c>
      <c r="K8" s="33">
        <v>41844</v>
      </c>
      <c r="L8" s="36" t="s">
        <v>260</v>
      </c>
      <c r="M8" s="36" t="s">
        <v>46</v>
      </c>
      <c r="N8" s="11" t="s">
        <v>40</v>
      </c>
      <c r="O8" s="13" t="s">
        <v>41</v>
      </c>
      <c r="P8" s="37">
        <v>55500</v>
      </c>
      <c r="Q8" s="38">
        <f t="shared" si="0"/>
        <v>6000993</v>
      </c>
      <c r="R8" s="39" t="s">
        <v>32</v>
      </c>
      <c r="S8" s="44">
        <v>108.126</v>
      </c>
      <c r="T8" s="40">
        <f t="shared" si="4"/>
        <v>41933</v>
      </c>
      <c r="U8" s="13" t="s">
        <v>37</v>
      </c>
      <c r="V8" s="41">
        <f t="shared" si="2"/>
        <v>7201.1915999999992</v>
      </c>
      <c r="W8" s="32">
        <v>155.72999999999999</v>
      </c>
      <c r="X8" s="38">
        <f t="shared" si="3"/>
        <v>1121441.5678679999</v>
      </c>
      <c r="Y8" s="49">
        <v>0</v>
      </c>
      <c r="Z8" s="32"/>
      <c r="AA8" s="72"/>
    </row>
    <row r="9" spans="2:27" ht="21.75" customHeight="1">
      <c r="B9" s="31">
        <f t="shared" si="5"/>
        <v>5</v>
      </c>
      <c r="C9" s="11" t="s">
        <v>276</v>
      </c>
      <c r="D9" s="47" t="s">
        <v>65</v>
      </c>
      <c r="E9" s="17"/>
      <c r="F9" s="34" t="s">
        <v>253</v>
      </c>
      <c r="G9" s="11" t="s">
        <v>106</v>
      </c>
      <c r="H9" s="11" t="s">
        <v>182</v>
      </c>
      <c r="I9" s="11" t="s">
        <v>97</v>
      </c>
      <c r="J9" s="35">
        <v>801.22</v>
      </c>
      <c r="K9" s="33">
        <v>41844</v>
      </c>
      <c r="L9" s="36" t="s">
        <v>260</v>
      </c>
      <c r="M9" s="36" t="s">
        <v>46</v>
      </c>
      <c r="N9" s="11" t="s">
        <v>40</v>
      </c>
      <c r="O9" s="13" t="s">
        <v>41</v>
      </c>
      <c r="P9" s="37">
        <v>252934</v>
      </c>
      <c r="Q9" s="38">
        <f t="shared" si="0"/>
        <v>27244785.810000002</v>
      </c>
      <c r="R9" s="39" t="s">
        <v>32</v>
      </c>
      <c r="S9" s="44">
        <v>107.715</v>
      </c>
      <c r="T9" s="40">
        <f t="shared" si="4"/>
        <v>41933</v>
      </c>
      <c r="U9" s="11" t="s">
        <v>37</v>
      </c>
      <c r="V9" s="41">
        <f t="shared" si="2"/>
        <v>32693.742972</v>
      </c>
      <c r="W9" s="32">
        <v>155.72999999999999</v>
      </c>
      <c r="X9" s="38">
        <f t="shared" si="3"/>
        <v>5091396.5930295596</v>
      </c>
      <c r="Y9" s="49">
        <v>0</v>
      </c>
      <c r="Z9" s="32"/>
      <c r="AA9" s="72"/>
    </row>
    <row r="10" spans="2:27" ht="21.75" customHeight="1">
      <c r="B10" s="31">
        <f t="shared" si="5"/>
        <v>6</v>
      </c>
      <c r="C10" s="11" t="s">
        <v>281</v>
      </c>
      <c r="D10" s="47" t="s">
        <v>65</v>
      </c>
      <c r="E10" s="17"/>
      <c r="F10" s="34" t="s">
        <v>256</v>
      </c>
      <c r="G10" s="11" t="s">
        <v>96</v>
      </c>
      <c r="H10" s="11" t="s">
        <v>83</v>
      </c>
      <c r="I10" s="11" t="s">
        <v>97</v>
      </c>
      <c r="J10" s="35">
        <v>801.22</v>
      </c>
      <c r="K10" s="33">
        <v>41844</v>
      </c>
      <c r="L10" s="36" t="s">
        <v>260</v>
      </c>
      <c r="M10" s="36" t="s">
        <v>46</v>
      </c>
      <c r="N10" s="11" t="s">
        <v>40</v>
      </c>
      <c r="O10" s="13" t="s">
        <v>41</v>
      </c>
      <c r="P10" s="37">
        <v>209000</v>
      </c>
      <c r="Q10" s="38">
        <f t="shared" si="0"/>
        <v>22598334</v>
      </c>
      <c r="R10" s="39" t="s">
        <v>32</v>
      </c>
      <c r="S10" s="44">
        <v>108.126</v>
      </c>
      <c r="T10" s="40">
        <f t="shared" si="4"/>
        <v>41933</v>
      </c>
      <c r="U10" s="11" t="s">
        <v>100</v>
      </c>
      <c r="V10" s="41">
        <f t="shared" si="2"/>
        <v>27118.000799999998</v>
      </c>
      <c r="W10" s="32">
        <v>155.72999999999999</v>
      </c>
      <c r="X10" s="38">
        <f t="shared" si="3"/>
        <v>4223086.2645839993</v>
      </c>
      <c r="Y10" s="49">
        <v>0</v>
      </c>
      <c r="Z10" s="32"/>
      <c r="AA10" s="72"/>
    </row>
    <row r="11" spans="2:27" ht="27.75" customHeight="1">
      <c r="B11" s="31">
        <f t="shared" si="5"/>
        <v>7</v>
      </c>
      <c r="C11" s="11" t="s">
        <v>282</v>
      </c>
      <c r="D11" s="47" t="s">
        <v>65</v>
      </c>
      <c r="E11" s="17"/>
      <c r="F11" s="34" t="s">
        <v>292</v>
      </c>
      <c r="G11" s="11" t="s">
        <v>94</v>
      </c>
      <c r="H11" s="36" t="s">
        <v>50</v>
      </c>
      <c r="I11" s="11" t="s">
        <v>97</v>
      </c>
      <c r="J11" s="35">
        <v>801.22</v>
      </c>
      <c r="K11" s="33">
        <v>41850</v>
      </c>
      <c r="L11" s="36" t="s">
        <v>57</v>
      </c>
      <c r="M11" s="36" t="s">
        <v>46</v>
      </c>
      <c r="N11" s="11" t="s">
        <v>56</v>
      </c>
      <c r="O11" s="13" t="s">
        <v>263</v>
      </c>
      <c r="P11" s="50">
        <v>722963</v>
      </c>
      <c r="Q11" s="51">
        <f t="shared" si="0"/>
        <v>77388851.371999994</v>
      </c>
      <c r="R11" s="39" t="s">
        <v>32</v>
      </c>
      <c r="S11" s="52">
        <v>107.044</v>
      </c>
      <c r="T11" s="40">
        <f t="shared" si="4"/>
        <v>41939</v>
      </c>
      <c r="U11" s="11" t="s">
        <v>37</v>
      </c>
      <c r="V11" s="53">
        <f t="shared" si="2"/>
        <v>92866.621646399988</v>
      </c>
      <c r="W11" s="32">
        <v>155.72999999999999</v>
      </c>
      <c r="X11" s="51">
        <f t="shared" si="3"/>
        <v>14462118.98899387</v>
      </c>
      <c r="Y11" s="54">
        <v>0</v>
      </c>
      <c r="Z11" s="32"/>
      <c r="AA11" s="72"/>
    </row>
    <row r="12" spans="2:27" ht="20.25" customHeight="1">
      <c r="B12" s="31">
        <f t="shared" si="5"/>
        <v>8</v>
      </c>
      <c r="C12" s="11" t="s">
        <v>344</v>
      </c>
      <c r="D12" s="47" t="s">
        <v>65</v>
      </c>
      <c r="E12" s="17"/>
      <c r="F12" s="34" t="s">
        <v>322</v>
      </c>
      <c r="G12" s="11" t="s">
        <v>106</v>
      </c>
      <c r="H12" s="11" t="s">
        <v>182</v>
      </c>
      <c r="I12" s="11" t="s">
        <v>97</v>
      </c>
      <c r="J12" s="35">
        <v>801.22</v>
      </c>
      <c r="K12" s="33">
        <v>41854</v>
      </c>
      <c r="L12" s="36" t="s">
        <v>336</v>
      </c>
      <c r="M12" s="36" t="s">
        <v>46</v>
      </c>
      <c r="N12" s="11" t="s">
        <v>52</v>
      </c>
      <c r="O12" s="55" t="s">
        <v>53</v>
      </c>
      <c r="P12" s="56">
        <v>627201</v>
      </c>
      <c r="Q12" s="51">
        <f t="shared" si="0"/>
        <v>64809306.531000003</v>
      </c>
      <c r="R12" s="39" t="s">
        <v>32</v>
      </c>
      <c r="S12" s="7">
        <v>103.331</v>
      </c>
      <c r="T12" s="40">
        <f t="shared" si="4"/>
        <v>41943</v>
      </c>
      <c r="U12" s="11" t="s">
        <v>37</v>
      </c>
      <c r="V12" s="53">
        <f t="shared" si="2"/>
        <v>77771.167837200002</v>
      </c>
      <c r="W12" s="32">
        <v>155.72999999999999</v>
      </c>
      <c r="X12" s="51">
        <f t="shared" si="3"/>
        <v>12111303.967287155</v>
      </c>
      <c r="Y12" s="54">
        <v>0</v>
      </c>
      <c r="Z12" s="32"/>
      <c r="AA12" s="72"/>
    </row>
    <row r="13" spans="2:27" ht="20.25" customHeight="1">
      <c r="B13" s="31">
        <f t="shared" si="5"/>
        <v>9</v>
      </c>
      <c r="C13" s="11" t="s">
        <v>346</v>
      </c>
      <c r="D13" s="47" t="s">
        <v>65</v>
      </c>
      <c r="E13" s="17"/>
      <c r="F13" s="34" t="s">
        <v>324</v>
      </c>
      <c r="G13" s="11" t="s">
        <v>96</v>
      </c>
      <c r="H13" s="11" t="s">
        <v>76</v>
      </c>
      <c r="I13" s="11" t="s">
        <v>97</v>
      </c>
      <c r="J13" s="35">
        <v>801.22</v>
      </c>
      <c r="K13" s="33">
        <v>41854</v>
      </c>
      <c r="L13" s="36" t="s">
        <v>336</v>
      </c>
      <c r="M13" s="36" t="s">
        <v>46</v>
      </c>
      <c r="N13" s="11" t="s">
        <v>52</v>
      </c>
      <c r="O13" s="55" t="s">
        <v>53</v>
      </c>
      <c r="P13" s="56">
        <v>38000</v>
      </c>
      <c r="Q13" s="51">
        <f t="shared" si="0"/>
        <v>3921904</v>
      </c>
      <c r="R13" s="39" t="s">
        <v>32</v>
      </c>
      <c r="S13" s="7">
        <v>103.208</v>
      </c>
      <c r="T13" s="40">
        <f t="shared" si="4"/>
        <v>41943</v>
      </c>
      <c r="U13" s="11" t="s">
        <v>100</v>
      </c>
      <c r="V13" s="53">
        <f t="shared" si="2"/>
        <v>4706.2847999999994</v>
      </c>
      <c r="W13" s="32">
        <v>155.72999999999999</v>
      </c>
      <c r="X13" s="51">
        <f t="shared" si="3"/>
        <v>732909.73190399981</v>
      </c>
      <c r="Y13" s="54">
        <v>0</v>
      </c>
      <c r="Z13" s="32"/>
      <c r="AA13" s="72"/>
    </row>
    <row r="14" spans="2:27" ht="25.5" customHeight="1">
      <c r="B14" s="31">
        <f t="shared" si="5"/>
        <v>10</v>
      </c>
      <c r="C14" s="11" t="s">
        <v>351</v>
      </c>
      <c r="D14" s="47" t="s">
        <v>65</v>
      </c>
      <c r="E14" s="17"/>
      <c r="F14" s="12">
        <v>201400020014</v>
      </c>
      <c r="G14" s="11" t="s">
        <v>94</v>
      </c>
      <c r="H14" s="11" t="s">
        <v>28</v>
      </c>
      <c r="I14" s="11" t="s">
        <v>29</v>
      </c>
      <c r="J14" s="35">
        <v>801.22</v>
      </c>
      <c r="K14" s="33">
        <v>41869</v>
      </c>
      <c r="L14" s="36" t="s">
        <v>340</v>
      </c>
      <c r="M14" s="43" t="s">
        <v>30</v>
      </c>
      <c r="N14" s="11" t="s">
        <v>84</v>
      </c>
      <c r="O14" s="13" t="s">
        <v>342</v>
      </c>
      <c r="P14" s="56">
        <v>948196</v>
      </c>
      <c r="Q14" s="51">
        <f t="shared" si="0"/>
        <v>93651422.527999997</v>
      </c>
      <c r="R14" s="39" t="s">
        <v>32</v>
      </c>
      <c r="S14" s="44">
        <v>98.768000000000001</v>
      </c>
      <c r="T14" s="40">
        <f t="shared" si="4"/>
        <v>41958</v>
      </c>
      <c r="U14" s="11" t="s">
        <v>27</v>
      </c>
      <c r="V14" s="53">
        <f t="shared" si="2"/>
        <v>112381.70703359999</v>
      </c>
      <c r="W14" s="32">
        <v>155.72999999999999</v>
      </c>
      <c r="X14" s="51">
        <f t="shared" si="3"/>
        <v>17501203.236342523</v>
      </c>
      <c r="Y14" s="54">
        <v>0</v>
      </c>
      <c r="Z14" s="32"/>
      <c r="AA14" s="72"/>
    </row>
    <row r="15" spans="2:27" ht="25.5" customHeight="1">
      <c r="B15" s="31">
        <f t="shared" si="5"/>
        <v>11</v>
      </c>
      <c r="C15" s="11" t="s">
        <v>352</v>
      </c>
      <c r="D15" s="47" t="s">
        <v>65</v>
      </c>
      <c r="E15" s="17"/>
      <c r="F15" s="12">
        <v>201400010342</v>
      </c>
      <c r="G15" s="11" t="s">
        <v>94</v>
      </c>
      <c r="H15" s="11" t="s">
        <v>45</v>
      </c>
      <c r="I15" s="11" t="s">
        <v>97</v>
      </c>
      <c r="J15" s="35">
        <v>801.22</v>
      </c>
      <c r="K15" s="33">
        <v>41873</v>
      </c>
      <c r="L15" s="36" t="s">
        <v>341</v>
      </c>
      <c r="M15" s="43" t="s">
        <v>46</v>
      </c>
      <c r="N15" s="11" t="s">
        <v>47</v>
      </c>
      <c r="O15" s="13" t="s">
        <v>68</v>
      </c>
      <c r="P15" s="56">
        <v>80000</v>
      </c>
      <c r="Q15" s="51">
        <f t="shared" si="0"/>
        <v>8049888</v>
      </c>
      <c r="R15" s="39" t="s">
        <v>32</v>
      </c>
      <c r="S15" s="44">
        <v>100.6236</v>
      </c>
      <c r="T15" s="40">
        <f t="shared" si="4"/>
        <v>41962</v>
      </c>
      <c r="U15" s="11" t="s">
        <v>37</v>
      </c>
      <c r="V15" s="53">
        <f t="shared" si="2"/>
        <v>9659.8655999999992</v>
      </c>
      <c r="W15" s="32">
        <v>155.72999999999999</v>
      </c>
      <c r="X15" s="51">
        <f t="shared" si="3"/>
        <v>1504330.8698879997</v>
      </c>
      <c r="Y15" s="54">
        <v>0</v>
      </c>
      <c r="Z15" s="32"/>
      <c r="AA15" s="72"/>
    </row>
    <row r="16" spans="2:27" ht="25.5" customHeight="1">
      <c r="B16" s="31">
        <f t="shared" si="5"/>
        <v>12</v>
      </c>
      <c r="C16" s="11" t="s">
        <v>353</v>
      </c>
      <c r="D16" s="47" t="s">
        <v>65</v>
      </c>
      <c r="E16" s="17"/>
      <c r="F16" s="12">
        <v>201400010343</v>
      </c>
      <c r="G16" s="11" t="s">
        <v>94</v>
      </c>
      <c r="H16" s="11" t="s">
        <v>50</v>
      </c>
      <c r="I16" s="11" t="s">
        <v>97</v>
      </c>
      <c r="J16" s="35">
        <v>801.22</v>
      </c>
      <c r="K16" s="33">
        <v>41873</v>
      </c>
      <c r="L16" s="36" t="s">
        <v>341</v>
      </c>
      <c r="M16" s="43" t="s">
        <v>46</v>
      </c>
      <c r="N16" s="11" t="s">
        <v>47</v>
      </c>
      <c r="O16" s="13" t="s">
        <v>68</v>
      </c>
      <c r="P16" s="56">
        <v>130000</v>
      </c>
      <c r="Q16" s="51">
        <f t="shared" si="0"/>
        <v>13081068</v>
      </c>
      <c r="R16" s="39" t="s">
        <v>32</v>
      </c>
      <c r="S16" s="44">
        <v>100.6236</v>
      </c>
      <c r="T16" s="40">
        <f t="shared" si="4"/>
        <v>41962</v>
      </c>
      <c r="U16" s="11" t="s">
        <v>37</v>
      </c>
      <c r="V16" s="53">
        <f t="shared" si="2"/>
        <v>15697.281599999998</v>
      </c>
      <c r="W16" s="32">
        <v>155.72999999999999</v>
      </c>
      <c r="X16" s="51">
        <f t="shared" si="3"/>
        <v>2444537.6635679994</v>
      </c>
      <c r="Y16" s="54">
        <v>0</v>
      </c>
      <c r="Z16" s="32"/>
      <c r="AA16" s="72"/>
    </row>
    <row r="17" spans="2:27" ht="25.5" customHeight="1">
      <c r="B17" s="31">
        <f t="shared" si="5"/>
        <v>13</v>
      </c>
      <c r="C17" s="11" t="s">
        <v>354</v>
      </c>
      <c r="D17" s="47" t="s">
        <v>65</v>
      </c>
      <c r="E17" s="17"/>
      <c r="F17" s="12">
        <v>201400010344</v>
      </c>
      <c r="G17" s="11" t="s">
        <v>94</v>
      </c>
      <c r="H17" s="11" t="s">
        <v>50</v>
      </c>
      <c r="I17" s="11" t="s">
        <v>97</v>
      </c>
      <c r="J17" s="35">
        <v>801.22</v>
      </c>
      <c r="K17" s="33">
        <v>41873</v>
      </c>
      <c r="L17" s="36" t="s">
        <v>341</v>
      </c>
      <c r="M17" s="43" t="s">
        <v>46</v>
      </c>
      <c r="N17" s="11" t="s">
        <v>47</v>
      </c>
      <c r="O17" s="13" t="s">
        <v>68</v>
      </c>
      <c r="P17" s="56">
        <v>461917</v>
      </c>
      <c r="Q17" s="51">
        <f t="shared" si="0"/>
        <v>46479751.441199996</v>
      </c>
      <c r="R17" s="39" t="s">
        <v>32</v>
      </c>
      <c r="S17" s="44">
        <v>100.6236</v>
      </c>
      <c r="T17" s="40">
        <f t="shared" si="4"/>
        <v>41962</v>
      </c>
      <c r="U17" s="11" t="s">
        <v>37</v>
      </c>
      <c r="V17" s="53">
        <f t="shared" si="2"/>
        <v>55775.701729439992</v>
      </c>
      <c r="W17" s="32">
        <v>155.72999999999999</v>
      </c>
      <c r="X17" s="51">
        <f t="shared" si="3"/>
        <v>8685950.0303256903</v>
      </c>
      <c r="Y17" s="54">
        <v>0</v>
      </c>
      <c r="Z17" s="32"/>
      <c r="AA17" s="72"/>
    </row>
    <row r="18" spans="2:27" ht="25.5" customHeight="1">
      <c r="B18" s="31">
        <f t="shared" si="5"/>
        <v>14</v>
      </c>
      <c r="C18" s="11" t="s">
        <v>358</v>
      </c>
      <c r="D18" s="58" t="s">
        <v>65</v>
      </c>
      <c r="E18" s="59"/>
      <c r="F18" s="14" t="s">
        <v>329</v>
      </c>
      <c r="G18" s="15" t="s">
        <v>96</v>
      </c>
      <c r="H18" s="15" t="s">
        <v>335</v>
      </c>
      <c r="I18" s="15" t="s">
        <v>97</v>
      </c>
      <c r="J18" s="60">
        <v>801.22</v>
      </c>
      <c r="K18" s="61">
        <v>41873</v>
      </c>
      <c r="L18" s="62" t="s">
        <v>341</v>
      </c>
      <c r="M18" s="63" t="s">
        <v>46</v>
      </c>
      <c r="N18" s="15" t="s">
        <v>47</v>
      </c>
      <c r="O18" s="16" t="s">
        <v>68</v>
      </c>
      <c r="P18" s="56">
        <v>202000</v>
      </c>
      <c r="Q18" s="51">
        <f t="shared" si="0"/>
        <v>20325967.199999999</v>
      </c>
      <c r="R18" s="39" t="s">
        <v>32</v>
      </c>
      <c r="S18" s="44">
        <v>100.6236</v>
      </c>
      <c r="T18" s="40">
        <f t="shared" si="4"/>
        <v>41962</v>
      </c>
      <c r="U18" s="11" t="s">
        <v>100</v>
      </c>
      <c r="V18" s="53">
        <f t="shared" si="2"/>
        <v>24391.160639999998</v>
      </c>
      <c r="W18" s="32">
        <v>155.72999999999999</v>
      </c>
      <c r="X18" s="51">
        <f t="shared" si="3"/>
        <v>3798435.4464671994</v>
      </c>
      <c r="Y18" s="54">
        <v>0</v>
      </c>
      <c r="Z18" s="32"/>
      <c r="AA18" s="72"/>
    </row>
    <row r="19" spans="2:27" ht="20.25" customHeight="1">
      <c r="B19" s="31">
        <f t="shared" si="5"/>
        <v>15</v>
      </c>
      <c r="C19" s="11" t="s">
        <v>360</v>
      </c>
      <c r="D19" s="47" t="s">
        <v>65</v>
      </c>
      <c r="E19" s="17"/>
      <c r="F19" s="64" t="s">
        <v>331</v>
      </c>
      <c r="G19" s="11" t="s">
        <v>49</v>
      </c>
      <c r="H19" s="11" t="s">
        <v>73</v>
      </c>
      <c r="I19" s="11" t="s">
        <v>54</v>
      </c>
      <c r="J19" s="35">
        <v>801.22</v>
      </c>
      <c r="K19" s="17">
        <v>41879</v>
      </c>
      <c r="L19" s="11" t="s">
        <v>110</v>
      </c>
      <c r="M19" s="11" t="s">
        <v>55</v>
      </c>
      <c r="N19" s="11" t="s">
        <v>70</v>
      </c>
      <c r="O19" s="13" t="s">
        <v>90</v>
      </c>
      <c r="P19" s="56">
        <v>254852</v>
      </c>
      <c r="Q19" s="51">
        <f t="shared" si="0"/>
        <v>25701059.643999998</v>
      </c>
      <c r="R19" s="39" t="s">
        <v>32</v>
      </c>
      <c r="S19" s="44">
        <v>100.84699999999999</v>
      </c>
      <c r="T19" s="40">
        <f t="shared" si="4"/>
        <v>41968</v>
      </c>
      <c r="U19" s="13" t="s">
        <v>49</v>
      </c>
      <c r="V19" s="53">
        <f t="shared" si="2"/>
        <v>30841.271572799993</v>
      </c>
      <c r="W19" s="32">
        <v>155.72999999999999</v>
      </c>
      <c r="X19" s="51">
        <f t="shared" si="3"/>
        <v>4802911.2220321428</v>
      </c>
      <c r="Y19" s="54">
        <v>0</v>
      </c>
      <c r="Z19" s="32"/>
      <c r="AA19" s="72"/>
    </row>
    <row r="20" spans="2:27" ht="20.25" customHeight="1">
      <c r="B20" s="31">
        <f t="shared" si="5"/>
        <v>16</v>
      </c>
      <c r="C20" s="11" t="s">
        <v>363</v>
      </c>
      <c r="D20" s="47" t="s">
        <v>65</v>
      </c>
      <c r="E20" s="17"/>
      <c r="F20" s="12" t="s">
        <v>334</v>
      </c>
      <c r="G20" s="11" t="s">
        <v>117</v>
      </c>
      <c r="H20" s="11" t="s">
        <v>42</v>
      </c>
      <c r="I20" s="11" t="s">
        <v>97</v>
      </c>
      <c r="J20" s="35">
        <v>801.22</v>
      </c>
      <c r="K20" s="17">
        <v>41882</v>
      </c>
      <c r="L20" s="11" t="s">
        <v>81</v>
      </c>
      <c r="M20" s="11" t="s">
        <v>46</v>
      </c>
      <c r="N20" s="11" t="s">
        <v>69</v>
      </c>
      <c r="O20" s="13" t="s">
        <v>86</v>
      </c>
      <c r="P20" s="56">
        <v>99471</v>
      </c>
      <c r="Q20" s="51">
        <f t="shared" si="0"/>
        <v>10061690.592</v>
      </c>
      <c r="R20" s="39" t="s">
        <v>32</v>
      </c>
      <c r="S20" s="44">
        <v>101.152</v>
      </c>
      <c r="T20" s="40">
        <f t="shared" si="4"/>
        <v>41971</v>
      </c>
      <c r="U20" s="13" t="s">
        <v>117</v>
      </c>
      <c r="V20" s="53">
        <f t="shared" si="2"/>
        <v>12074.0287104</v>
      </c>
      <c r="W20" s="32">
        <v>155.72999999999999</v>
      </c>
      <c r="X20" s="51">
        <f t="shared" si="3"/>
        <v>1880288.4910705918</v>
      </c>
      <c r="Y20" s="54">
        <v>0</v>
      </c>
      <c r="Z20" s="32"/>
      <c r="AA20" s="72"/>
    </row>
    <row r="21" spans="2:27" ht="23.25" customHeight="1">
      <c r="B21" s="31">
        <f t="shared" si="5"/>
        <v>17</v>
      </c>
      <c r="C21" s="11" t="s">
        <v>410</v>
      </c>
      <c r="D21" s="47" t="s">
        <v>65</v>
      </c>
      <c r="E21" s="17"/>
      <c r="F21" s="34" t="s">
        <v>375</v>
      </c>
      <c r="G21" s="11" t="s">
        <v>94</v>
      </c>
      <c r="H21" s="11" t="s">
        <v>28</v>
      </c>
      <c r="I21" s="11" t="s">
        <v>29</v>
      </c>
      <c r="J21" s="35">
        <v>801.22</v>
      </c>
      <c r="K21" s="33">
        <v>41884</v>
      </c>
      <c r="L21" s="36" t="s">
        <v>399</v>
      </c>
      <c r="M21" s="36" t="s">
        <v>30</v>
      </c>
      <c r="N21" s="11" t="s">
        <v>66</v>
      </c>
      <c r="O21" s="55" t="s">
        <v>406</v>
      </c>
      <c r="P21" s="37">
        <v>949286</v>
      </c>
      <c r="Q21" s="38">
        <f t="shared" si="0"/>
        <v>94216635.5</v>
      </c>
      <c r="R21" s="39" t="s">
        <v>32</v>
      </c>
      <c r="S21" s="7">
        <v>99.25</v>
      </c>
      <c r="T21" s="40">
        <f t="shared" si="4"/>
        <v>41973</v>
      </c>
      <c r="U21" s="13" t="s">
        <v>27</v>
      </c>
      <c r="V21" s="53">
        <f t="shared" si="2"/>
        <v>113059.96259999998</v>
      </c>
      <c r="W21" s="32">
        <v>155.75</v>
      </c>
      <c r="X21" s="51">
        <f t="shared" ref="X21:X46" si="6">SUM(V21*W21)</f>
        <v>17609089.174949996</v>
      </c>
      <c r="Y21" s="54">
        <v>0</v>
      </c>
      <c r="Z21" s="32"/>
      <c r="AA21" s="72"/>
    </row>
    <row r="22" spans="2:27" ht="24.75">
      <c r="B22" s="31">
        <f t="shared" si="5"/>
        <v>18</v>
      </c>
      <c r="C22" s="11" t="s">
        <v>414</v>
      </c>
      <c r="D22" s="47" t="s">
        <v>65</v>
      </c>
      <c r="E22" s="17"/>
      <c r="F22" s="34" t="s">
        <v>376</v>
      </c>
      <c r="G22" s="11" t="s">
        <v>117</v>
      </c>
      <c r="H22" s="11" t="s">
        <v>42</v>
      </c>
      <c r="I22" s="11" t="s">
        <v>97</v>
      </c>
      <c r="J22" s="35">
        <v>801.22</v>
      </c>
      <c r="K22" s="33">
        <v>41886</v>
      </c>
      <c r="L22" s="36" t="s">
        <v>400</v>
      </c>
      <c r="M22" s="36" t="s">
        <v>46</v>
      </c>
      <c r="N22" s="11" t="s">
        <v>61</v>
      </c>
      <c r="O22" s="13" t="s">
        <v>62</v>
      </c>
      <c r="P22" s="37">
        <v>949507</v>
      </c>
      <c r="Q22" s="38">
        <f t="shared" si="0"/>
        <v>95159591.539999992</v>
      </c>
      <c r="R22" s="39" t="s">
        <v>32</v>
      </c>
      <c r="S22" s="7">
        <v>100.22</v>
      </c>
      <c r="T22" s="40">
        <f t="shared" si="4"/>
        <v>41975</v>
      </c>
      <c r="U22" s="11" t="s">
        <v>117</v>
      </c>
      <c r="V22" s="53">
        <f t="shared" si="2"/>
        <v>114191.50984799999</v>
      </c>
      <c r="W22" s="32">
        <v>155.75</v>
      </c>
      <c r="X22" s="51">
        <f t="shared" si="6"/>
        <v>17785327.658825997</v>
      </c>
      <c r="Y22" s="54">
        <v>0</v>
      </c>
      <c r="Z22" s="32"/>
      <c r="AA22" s="72"/>
    </row>
    <row r="23" spans="2:27" ht="21.75" customHeight="1">
      <c r="B23" s="31">
        <f t="shared" si="5"/>
        <v>19</v>
      </c>
      <c r="C23" s="11" t="s">
        <v>434</v>
      </c>
      <c r="D23" s="47" t="s">
        <v>65</v>
      </c>
      <c r="E23" s="17"/>
      <c r="F23" s="34" t="s">
        <v>377</v>
      </c>
      <c r="G23" s="11" t="s">
        <v>106</v>
      </c>
      <c r="H23" s="11" t="s">
        <v>33</v>
      </c>
      <c r="I23" s="11" t="s">
        <v>34</v>
      </c>
      <c r="J23" s="35">
        <v>801.22</v>
      </c>
      <c r="K23" s="33">
        <v>41892</v>
      </c>
      <c r="L23" s="36" t="s">
        <v>401</v>
      </c>
      <c r="M23" s="36" t="s">
        <v>35</v>
      </c>
      <c r="N23" s="11" t="s">
        <v>66</v>
      </c>
      <c r="O23" s="55" t="s">
        <v>87</v>
      </c>
      <c r="P23" s="37">
        <v>950071</v>
      </c>
      <c r="Q23" s="38">
        <f t="shared" si="0"/>
        <v>93099357.432000011</v>
      </c>
      <c r="R23" s="39" t="s">
        <v>32</v>
      </c>
      <c r="S23" s="7">
        <v>97.992000000000004</v>
      </c>
      <c r="T23" s="40">
        <f t="shared" si="4"/>
        <v>41981</v>
      </c>
      <c r="U23" s="11" t="s">
        <v>37</v>
      </c>
      <c r="V23" s="53">
        <f t="shared" si="2"/>
        <v>111719.2289184</v>
      </c>
      <c r="W23" s="32">
        <v>155.75</v>
      </c>
      <c r="X23" s="51">
        <f t="shared" si="6"/>
        <v>17400269.904040799</v>
      </c>
      <c r="Y23" s="54">
        <v>0</v>
      </c>
      <c r="Z23" s="32"/>
      <c r="AA23" s="72"/>
    </row>
    <row r="24" spans="2:27" ht="27" customHeight="1">
      <c r="B24" s="31">
        <f t="shared" si="5"/>
        <v>20</v>
      </c>
      <c r="C24" s="11" t="s">
        <v>415</v>
      </c>
      <c r="D24" s="47" t="s">
        <v>65</v>
      </c>
      <c r="E24" s="17"/>
      <c r="F24" s="34" t="s">
        <v>378</v>
      </c>
      <c r="G24" s="11" t="s">
        <v>117</v>
      </c>
      <c r="H24" s="11" t="s">
        <v>42</v>
      </c>
      <c r="I24" s="11" t="s">
        <v>97</v>
      </c>
      <c r="J24" s="35">
        <v>801.22</v>
      </c>
      <c r="K24" s="33">
        <v>41897</v>
      </c>
      <c r="L24" s="36" t="s">
        <v>402</v>
      </c>
      <c r="M24" s="36" t="s">
        <v>46</v>
      </c>
      <c r="N24" s="11" t="s">
        <v>47</v>
      </c>
      <c r="O24" s="13" t="s">
        <v>68</v>
      </c>
      <c r="P24" s="37">
        <v>949448</v>
      </c>
      <c r="Q24" s="38">
        <f t="shared" si="0"/>
        <v>91879981.856000006</v>
      </c>
      <c r="R24" s="39" t="s">
        <v>32</v>
      </c>
      <c r="S24" s="7">
        <v>96.772000000000006</v>
      </c>
      <c r="T24" s="40">
        <f t="shared" si="4"/>
        <v>41986</v>
      </c>
      <c r="U24" s="11" t="s">
        <v>117</v>
      </c>
      <c r="V24" s="53">
        <f t="shared" si="2"/>
        <v>110255.9782272</v>
      </c>
      <c r="W24" s="32">
        <v>155.75</v>
      </c>
      <c r="X24" s="51">
        <f t="shared" si="6"/>
        <v>17172368.608886398</v>
      </c>
      <c r="Y24" s="54">
        <v>0</v>
      </c>
      <c r="Z24" s="32"/>
      <c r="AA24" s="72"/>
    </row>
    <row r="25" spans="2:27" ht="31.5" customHeight="1">
      <c r="B25" s="31">
        <f t="shared" si="5"/>
        <v>21</v>
      </c>
      <c r="C25" s="11" t="s">
        <v>437</v>
      </c>
      <c r="D25" s="47" t="s">
        <v>65</v>
      </c>
      <c r="E25" s="17"/>
      <c r="F25" s="34" t="s">
        <v>379</v>
      </c>
      <c r="G25" s="11" t="s">
        <v>102</v>
      </c>
      <c r="H25" s="11" t="s">
        <v>118</v>
      </c>
      <c r="I25" s="11" t="s">
        <v>104</v>
      </c>
      <c r="J25" s="35">
        <v>801.22</v>
      </c>
      <c r="K25" s="33">
        <v>41898</v>
      </c>
      <c r="L25" s="36" t="s">
        <v>258</v>
      </c>
      <c r="M25" s="36" t="s">
        <v>105</v>
      </c>
      <c r="N25" s="11" t="s">
        <v>72</v>
      </c>
      <c r="O25" s="13" t="s">
        <v>108</v>
      </c>
      <c r="P25" s="37">
        <v>702451</v>
      </c>
      <c r="Q25" s="38">
        <f t="shared" si="0"/>
        <v>63712305.700000003</v>
      </c>
      <c r="R25" s="39" t="s">
        <v>32</v>
      </c>
      <c r="S25" s="7">
        <v>90.7</v>
      </c>
      <c r="T25" s="40">
        <f t="shared" si="4"/>
        <v>41987</v>
      </c>
      <c r="U25" s="13" t="s">
        <v>106</v>
      </c>
      <c r="V25" s="53">
        <f t="shared" si="2"/>
        <v>76454.766839999997</v>
      </c>
      <c r="W25" s="32">
        <v>155.75</v>
      </c>
      <c r="X25" s="51">
        <f t="shared" si="6"/>
        <v>11907829.93533</v>
      </c>
      <c r="Y25" s="54">
        <v>0</v>
      </c>
      <c r="Z25" s="32"/>
      <c r="AA25" s="72"/>
    </row>
    <row r="26" spans="2:27" ht="26.25" customHeight="1">
      <c r="B26" s="31">
        <f t="shared" si="5"/>
        <v>22</v>
      </c>
      <c r="C26" s="11" t="s">
        <v>411</v>
      </c>
      <c r="D26" s="47" t="s">
        <v>65</v>
      </c>
      <c r="E26" s="17"/>
      <c r="F26" s="34" t="s">
        <v>380</v>
      </c>
      <c r="G26" s="11" t="s">
        <v>117</v>
      </c>
      <c r="H26" s="11" t="s">
        <v>42</v>
      </c>
      <c r="I26" s="11" t="s">
        <v>29</v>
      </c>
      <c r="J26" s="35">
        <v>801.22</v>
      </c>
      <c r="K26" s="33">
        <v>41901</v>
      </c>
      <c r="L26" s="36" t="s">
        <v>64</v>
      </c>
      <c r="M26" s="36" t="s">
        <v>30</v>
      </c>
      <c r="N26" s="11" t="s">
        <v>405</v>
      </c>
      <c r="O26" s="13" t="s">
        <v>121</v>
      </c>
      <c r="P26" s="37">
        <v>400000</v>
      </c>
      <c r="Q26" s="38">
        <f t="shared" si="0"/>
        <v>37936400</v>
      </c>
      <c r="R26" s="39" t="s">
        <v>32</v>
      </c>
      <c r="S26" s="7">
        <v>94.840999999999994</v>
      </c>
      <c r="T26" s="40">
        <f t="shared" si="4"/>
        <v>41990</v>
      </c>
      <c r="U26" s="11" t="s">
        <v>117</v>
      </c>
      <c r="V26" s="53">
        <f t="shared" si="2"/>
        <v>45523.679999999993</v>
      </c>
      <c r="W26" s="32">
        <v>155.75</v>
      </c>
      <c r="X26" s="51">
        <f t="shared" si="6"/>
        <v>7090313.1599999992</v>
      </c>
      <c r="Y26" s="54">
        <v>0</v>
      </c>
      <c r="Z26" s="32"/>
      <c r="AA26" s="72"/>
    </row>
    <row r="27" spans="2:27" ht="26.25" customHeight="1">
      <c r="B27" s="31">
        <f t="shared" si="5"/>
        <v>23</v>
      </c>
      <c r="C27" s="11" t="s">
        <v>412</v>
      </c>
      <c r="D27" s="47" t="s">
        <v>65</v>
      </c>
      <c r="E27" s="17"/>
      <c r="F27" s="34" t="s">
        <v>381</v>
      </c>
      <c r="G27" s="11" t="s">
        <v>117</v>
      </c>
      <c r="H27" s="11" t="s">
        <v>42</v>
      </c>
      <c r="I27" s="11" t="s">
        <v>29</v>
      </c>
      <c r="J27" s="35">
        <v>801.22</v>
      </c>
      <c r="K27" s="33">
        <v>41901</v>
      </c>
      <c r="L27" s="36" t="s">
        <v>64</v>
      </c>
      <c r="M27" s="36" t="s">
        <v>30</v>
      </c>
      <c r="N27" s="11" t="s">
        <v>405</v>
      </c>
      <c r="O27" s="13" t="s">
        <v>121</v>
      </c>
      <c r="P27" s="37">
        <v>548710</v>
      </c>
      <c r="Q27" s="38">
        <f t="shared" si="0"/>
        <v>52040205.109999999</v>
      </c>
      <c r="R27" s="39" t="s">
        <v>32</v>
      </c>
      <c r="S27" s="7">
        <v>94.840999999999994</v>
      </c>
      <c r="T27" s="40">
        <f t="shared" si="4"/>
        <v>41990</v>
      </c>
      <c r="U27" s="11" t="s">
        <v>117</v>
      </c>
      <c r="V27" s="53">
        <f t="shared" si="2"/>
        <v>62448.246131999993</v>
      </c>
      <c r="W27" s="32">
        <v>155.75</v>
      </c>
      <c r="X27" s="51">
        <f t="shared" si="6"/>
        <v>9726314.3350589983</v>
      </c>
      <c r="Y27" s="54">
        <v>0</v>
      </c>
      <c r="Z27" s="32"/>
      <c r="AA27" s="72"/>
    </row>
    <row r="28" spans="2:27" ht="21.75" customHeight="1">
      <c r="B28" s="31">
        <f t="shared" si="5"/>
        <v>24</v>
      </c>
      <c r="C28" s="11" t="s">
        <v>438</v>
      </c>
      <c r="D28" s="47" t="s">
        <v>65</v>
      </c>
      <c r="E28" s="17"/>
      <c r="F28" s="34" t="s">
        <v>385</v>
      </c>
      <c r="G28" s="11" t="s">
        <v>117</v>
      </c>
      <c r="H28" s="11" t="s">
        <v>42</v>
      </c>
      <c r="I28" s="11" t="s">
        <v>43</v>
      </c>
      <c r="J28" s="35">
        <v>801.22</v>
      </c>
      <c r="K28" s="33">
        <v>41902</v>
      </c>
      <c r="L28" s="36" t="s">
        <v>128</v>
      </c>
      <c r="M28" s="36" t="s">
        <v>44</v>
      </c>
      <c r="N28" s="11" t="s">
        <v>66</v>
      </c>
      <c r="O28" s="13" t="s">
        <v>101</v>
      </c>
      <c r="P28" s="37">
        <v>899925</v>
      </c>
      <c r="Q28" s="38">
        <f t="shared" ref="Q28:Q46" si="7">SUM(P28*S28)</f>
        <v>87182934.150000006</v>
      </c>
      <c r="R28" s="39" t="s">
        <v>32</v>
      </c>
      <c r="S28" s="44">
        <v>96.878</v>
      </c>
      <c r="T28" s="40">
        <f t="shared" si="4"/>
        <v>41991</v>
      </c>
      <c r="U28" s="11" t="s">
        <v>117</v>
      </c>
      <c r="V28" s="53">
        <f t="shared" si="2"/>
        <v>104619.52098</v>
      </c>
      <c r="W28" s="32">
        <v>155.75</v>
      </c>
      <c r="X28" s="51">
        <f t="shared" si="6"/>
        <v>16294490.392635001</v>
      </c>
      <c r="Y28" s="54">
        <v>0</v>
      </c>
      <c r="Z28" s="32"/>
      <c r="AA28" s="72"/>
    </row>
    <row r="29" spans="2:27" ht="33" customHeight="1">
      <c r="B29" s="31">
        <f t="shared" si="5"/>
        <v>25</v>
      </c>
      <c r="C29" s="11" t="s">
        <v>419</v>
      </c>
      <c r="D29" s="47" t="s">
        <v>65</v>
      </c>
      <c r="E29" s="17"/>
      <c r="F29" s="12">
        <v>201400020016</v>
      </c>
      <c r="G29" s="11" t="s">
        <v>94</v>
      </c>
      <c r="H29" s="11" t="s">
        <v>28</v>
      </c>
      <c r="I29" s="11" t="s">
        <v>97</v>
      </c>
      <c r="J29" s="35">
        <v>801.22</v>
      </c>
      <c r="K29" s="33">
        <v>41904</v>
      </c>
      <c r="L29" s="36" t="s">
        <v>107</v>
      </c>
      <c r="M29" s="36" t="s">
        <v>46</v>
      </c>
      <c r="N29" s="11" t="s">
        <v>47</v>
      </c>
      <c r="O29" s="13" t="s">
        <v>407</v>
      </c>
      <c r="P29" s="37">
        <v>110000</v>
      </c>
      <c r="Q29" s="38">
        <f t="shared" si="7"/>
        <v>10484100</v>
      </c>
      <c r="R29" s="39" t="s">
        <v>32</v>
      </c>
      <c r="S29" s="7">
        <v>95.31</v>
      </c>
      <c r="T29" s="40">
        <f t="shared" si="4"/>
        <v>41993</v>
      </c>
      <c r="U29" s="13" t="s">
        <v>27</v>
      </c>
      <c r="V29" s="53">
        <f t="shared" si="2"/>
        <v>12580.919999999998</v>
      </c>
      <c r="W29" s="32">
        <v>155.75</v>
      </c>
      <c r="X29" s="51">
        <f t="shared" si="6"/>
        <v>1959478.2899999998</v>
      </c>
      <c r="Y29" s="54">
        <v>0</v>
      </c>
      <c r="Z29" s="32"/>
      <c r="AA29" s="72"/>
    </row>
    <row r="30" spans="2:27" ht="33" customHeight="1">
      <c r="B30" s="31">
        <f t="shared" si="5"/>
        <v>26</v>
      </c>
      <c r="C30" s="11" t="s">
        <v>420</v>
      </c>
      <c r="D30" s="47" t="s">
        <v>65</v>
      </c>
      <c r="E30" s="17"/>
      <c r="F30" s="12">
        <v>201400010332</v>
      </c>
      <c r="G30" s="11" t="s">
        <v>106</v>
      </c>
      <c r="H30" s="11" t="s">
        <v>59</v>
      </c>
      <c r="I30" s="11" t="s">
        <v>97</v>
      </c>
      <c r="J30" s="35">
        <v>801.22</v>
      </c>
      <c r="K30" s="17">
        <v>41904</v>
      </c>
      <c r="L30" s="11" t="s">
        <v>107</v>
      </c>
      <c r="M30" s="11" t="s">
        <v>46</v>
      </c>
      <c r="N30" s="11" t="s">
        <v>47</v>
      </c>
      <c r="O30" s="13" t="s">
        <v>407</v>
      </c>
      <c r="P30" s="56">
        <v>555586</v>
      </c>
      <c r="Q30" s="38">
        <f t="shared" si="7"/>
        <v>52952901.660000004</v>
      </c>
      <c r="R30" s="39" t="s">
        <v>32</v>
      </c>
      <c r="S30" s="82">
        <v>95.31</v>
      </c>
      <c r="T30" s="40">
        <f t="shared" si="4"/>
        <v>41993</v>
      </c>
      <c r="U30" s="13" t="s">
        <v>37</v>
      </c>
      <c r="V30" s="41">
        <f t="shared" si="2"/>
        <v>63543.481992000001</v>
      </c>
      <c r="W30" s="32">
        <v>155.75</v>
      </c>
      <c r="X30" s="38">
        <f t="shared" si="6"/>
        <v>9896897.3202539999</v>
      </c>
      <c r="Y30" s="49">
        <v>0</v>
      </c>
      <c r="Z30" s="32"/>
      <c r="AA30" s="72"/>
    </row>
    <row r="31" spans="2:27" ht="33" customHeight="1">
      <c r="B31" s="31">
        <f t="shared" si="5"/>
        <v>27</v>
      </c>
      <c r="C31" s="11" t="s">
        <v>421</v>
      </c>
      <c r="D31" s="47" t="s">
        <v>65</v>
      </c>
      <c r="E31" s="17"/>
      <c r="F31" s="12">
        <v>201400010402</v>
      </c>
      <c r="G31" s="11" t="s">
        <v>94</v>
      </c>
      <c r="H31" s="11" t="s">
        <v>50</v>
      </c>
      <c r="I31" s="11" t="s">
        <v>97</v>
      </c>
      <c r="J31" s="35">
        <v>801.22</v>
      </c>
      <c r="K31" s="17">
        <v>41904</v>
      </c>
      <c r="L31" s="11" t="s">
        <v>107</v>
      </c>
      <c r="M31" s="11" t="s">
        <v>46</v>
      </c>
      <c r="N31" s="11" t="s">
        <v>47</v>
      </c>
      <c r="O31" s="13" t="s">
        <v>407</v>
      </c>
      <c r="P31" s="56">
        <v>133872</v>
      </c>
      <c r="Q31" s="38">
        <f t="shared" si="7"/>
        <v>12759340.32</v>
      </c>
      <c r="R31" s="39" t="s">
        <v>32</v>
      </c>
      <c r="S31" s="82">
        <v>95.31</v>
      </c>
      <c r="T31" s="40">
        <f t="shared" si="4"/>
        <v>41993</v>
      </c>
      <c r="U31" s="11" t="s">
        <v>37</v>
      </c>
      <c r="V31" s="41">
        <f t="shared" si="2"/>
        <v>15311.208384</v>
      </c>
      <c r="W31" s="32">
        <v>155.75</v>
      </c>
      <c r="X31" s="38">
        <f t="shared" si="6"/>
        <v>2384720.7058079997</v>
      </c>
      <c r="Y31" s="49">
        <v>0</v>
      </c>
      <c r="Z31" s="32"/>
      <c r="AA31" s="72"/>
    </row>
    <row r="32" spans="2:27" ht="33" customHeight="1">
      <c r="B32" s="31">
        <f t="shared" si="5"/>
        <v>28</v>
      </c>
      <c r="C32" s="11" t="s">
        <v>422</v>
      </c>
      <c r="D32" s="47" t="s">
        <v>65</v>
      </c>
      <c r="E32" s="17"/>
      <c r="F32" s="12">
        <v>201401010087</v>
      </c>
      <c r="G32" s="11" t="s">
        <v>38</v>
      </c>
      <c r="H32" s="11" t="s">
        <v>82</v>
      </c>
      <c r="I32" s="11" t="s">
        <v>97</v>
      </c>
      <c r="J32" s="35">
        <v>801.22</v>
      </c>
      <c r="K32" s="17">
        <v>41904</v>
      </c>
      <c r="L32" s="11" t="s">
        <v>107</v>
      </c>
      <c r="M32" s="11" t="s">
        <v>46</v>
      </c>
      <c r="N32" s="11" t="s">
        <v>47</v>
      </c>
      <c r="O32" s="13" t="s">
        <v>407</v>
      </c>
      <c r="P32" s="56">
        <v>20000</v>
      </c>
      <c r="Q32" s="38">
        <f t="shared" si="7"/>
        <v>1906200</v>
      </c>
      <c r="R32" s="39" t="s">
        <v>32</v>
      </c>
      <c r="S32" s="82">
        <v>95.31</v>
      </c>
      <c r="T32" s="40">
        <f t="shared" si="4"/>
        <v>41993</v>
      </c>
      <c r="U32" s="11" t="s">
        <v>38</v>
      </c>
      <c r="V32" s="41">
        <f t="shared" si="2"/>
        <v>2287.4399999999996</v>
      </c>
      <c r="W32" s="32">
        <v>155.75</v>
      </c>
      <c r="X32" s="38">
        <f t="shared" si="6"/>
        <v>356268.77999999991</v>
      </c>
      <c r="Y32" s="49">
        <v>0</v>
      </c>
      <c r="Z32" s="32"/>
      <c r="AA32" s="72"/>
    </row>
    <row r="33" spans="2:27" ht="33" customHeight="1">
      <c r="B33" s="31">
        <f t="shared" si="5"/>
        <v>29</v>
      </c>
      <c r="C33" s="11" t="s">
        <v>423</v>
      </c>
      <c r="D33" s="47" t="s">
        <v>65</v>
      </c>
      <c r="E33" s="17"/>
      <c r="F33" s="12">
        <v>201401010088</v>
      </c>
      <c r="G33" s="11" t="s">
        <v>38</v>
      </c>
      <c r="H33" s="11" t="s">
        <v>82</v>
      </c>
      <c r="I33" s="11" t="s">
        <v>97</v>
      </c>
      <c r="J33" s="35">
        <v>801.22</v>
      </c>
      <c r="K33" s="17">
        <v>41904</v>
      </c>
      <c r="L33" s="11" t="s">
        <v>107</v>
      </c>
      <c r="M33" s="11" t="s">
        <v>46</v>
      </c>
      <c r="N33" s="11" t="s">
        <v>47</v>
      </c>
      <c r="O33" s="13" t="s">
        <v>407</v>
      </c>
      <c r="P33" s="56">
        <v>18000</v>
      </c>
      <c r="Q33" s="38">
        <f t="shared" si="7"/>
        <v>1715580</v>
      </c>
      <c r="R33" s="39" t="s">
        <v>32</v>
      </c>
      <c r="S33" s="82">
        <v>95.31</v>
      </c>
      <c r="T33" s="40">
        <f t="shared" si="4"/>
        <v>41993</v>
      </c>
      <c r="U33" s="11" t="s">
        <v>38</v>
      </c>
      <c r="V33" s="41">
        <f t="shared" ref="V33:V46" si="8">SUM(Q33*0.12%)</f>
        <v>2058.6959999999999</v>
      </c>
      <c r="W33" s="32">
        <v>155.75</v>
      </c>
      <c r="X33" s="38">
        <f t="shared" si="6"/>
        <v>320641.902</v>
      </c>
      <c r="Y33" s="49">
        <v>0</v>
      </c>
      <c r="Z33" s="32"/>
      <c r="AA33" s="72"/>
    </row>
    <row r="34" spans="2:27" ht="33" customHeight="1">
      <c r="B34" s="31">
        <f>B33+1</f>
        <v>30</v>
      </c>
      <c r="C34" s="11" t="s">
        <v>424</v>
      </c>
      <c r="D34" s="47" t="s">
        <v>65</v>
      </c>
      <c r="E34" s="17"/>
      <c r="F34" s="34" t="s">
        <v>386</v>
      </c>
      <c r="G34" s="11" t="s">
        <v>113</v>
      </c>
      <c r="H34" s="11" t="s">
        <v>82</v>
      </c>
      <c r="I34" s="11" t="s">
        <v>97</v>
      </c>
      <c r="J34" s="35">
        <v>801.22</v>
      </c>
      <c r="K34" s="33">
        <v>41904</v>
      </c>
      <c r="L34" s="36" t="s">
        <v>107</v>
      </c>
      <c r="M34" s="36" t="s">
        <v>46</v>
      </c>
      <c r="N34" s="11" t="s">
        <v>47</v>
      </c>
      <c r="O34" s="13" t="s">
        <v>407</v>
      </c>
      <c r="P34" s="37">
        <v>24000</v>
      </c>
      <c r="Q34" s="38">
        <f t="shared" si="7"/>
        <v>2287440</v>
      </c>
      <c r="R34" s="39" t="s">
        <v>32</v>
      </c>
      <c r="S34" s="7">
        <v>95.31</v>
      </c>
      <c r="T34" s="40">
        <f t="shared" si="4"/>
        <v>41993</v>
      </c>
      <c r="U34" s="11" t="s">
        <v>38</v>
      </c>
      <c r="V34" s="53">
        <f t="shared" si="8"/>
        <v>2744.9279999999999</v>
      </c>
      <c r="W34" s="32">
        <v>155.75</v>
      </c>
      <c r="X34" s="51">
        <f t="shared" si="6"/>
        <v>427522.53599999996</v>
      </c>
      <c r="Y34" s="54">
        <v>0</v>
      </c>
      <c r="Z34" s="32"/>
      <c r="AA34" s="72"/>
    </row>
    <row r="35" spans="2:27" ht="33" customHeight="1">
      <c r="B35" s="31">
        <f t="shared" si="5"/>
        <v>31</v>
      </c>
      <c r="C35" s="11" t="s">
        <v>425</v>
      </c>
      <c r="D35" s="47" t="s">
        <v>65</v>
      </c>
      <c r="E35" s="17"/>
      <c r="F35" s="34" t="s">
        <v>387</v>
      </c>
      <c r="G35" s="11" t="s">
        <v>96</v>
      </c>
      <c r="H35" s="11" t="s">
        <v>335</v>
      </c>
      <c r="I35" s="11" t="s">
        <v>97</v>
      </c>
      <c r="J35" s="35">
        <v>801.22</v>
      </c>
      <c r="K35" s="33">
        <v>41904</v>
      </c>
      <c r="L35" s="36" t="s">
        <v>107</v>
      </c>
      <c r="M35" s="36" t="s">
        <v>46</v>
      </c>
      <c r="N35" s="11" t="s">
        <v>47</v>
      </c>
      <c r="O35" s="13" t="s">
        <v>407</v>
      </c>
      <c r="P35" s="37">
        <v>88000</v>
      </c>
      <c r="Q35" s="38">
        <f t="shared" si="7"/>
        <v>8387280</v>
      </c>
      <c r="R35" s="39" t="s">
        <v>32</v>
      </c>
      <c r="S35" s="7">
        <v>95.31</v>
      </c>
      <c r="T35" s="40">
        <f t="shared" si="4"/>
        <v>41993</v>
      </c>
      <c r="U35" s="13" t="s">
        <v>100</v>
      </c>
      <c r="V35" s="53">
        <f t="shared" si="8"/>
        <v>10064.735999999999</v>
      </c>
      <c r="W35" s="32">
        <v>155.75</v>
      </c>
      <c r="X35" s="51">
        <f t="shared" si="6"/>
        <v>1567582.6319999998</v>
      </c>
      <c r="Y35" s="54">
        <v>0</v>
      </c>
      <c r="Z35" s="32"/>
      <c r="AA35" s="72"/>
    </row>
    <row r="36" spans="2:27" ht="21.75" customHeight="1">
      <c r="B36" s="31">
        <f t="shared" si="5"/>
        <v>32</v>
      </c>
      <c r="C36" s="11" t="s">
        <v>435</v>
      </c>
      <c r="D36" s="47" t="s">
        <v>65</v>
      </c>
      <c r="E36" s="17"/>
      <c r="F36" s="34" t="s">
        <v>388</v>
      </c>
      <c r="G36" s="11" t="s">
        <v>117</v>
      </c>
      <c r="H36" s="11" t="s">
        <v>42</v>
      </c>
      <c r="I36" s="11" t="s">
        <v>34</v>
      </c>
      <c r="J36" s="35">
        <v>801.22</v>
      </c>
      <c r="K36" s="33">
        <v>41910</v>
      </c>
      <c r="L36" s="36" t="s">
        <v>111</v>
      </c>
      <c r="M36" s="36" t="s">
        <v>35</v>
      </c>
      <c r="N36" s="11" t="s">
        <v>47</v>
      </c>
      <c r="O36" s="13" t="s">
        <v>74</v>
      </c>
      <c r="P36" s="37">
        <v>474935</v>
      </c>
      <c r="Q36" s="38">
        <f t="shared" si="7"/>
        <v>45676873.625</v>
      </c>
      <c r="R36" s="39" t="s">
        <v>32</v>
      </c>
      <c r="S36" s="44">
        <v>96.174999999999997</v>
      </c>
      <c r="T36" s="40">
        <f t="shared" si="4"/>
        <v>41999</v>
      </c>
      <c r="U36" s="13" t="s">
        <v>117</v>
      </c>
      <c r="V36" s="53">
        <f t="shared" si="8"/>
        <v>54812.248349999994</v>
      </c>
      <c r="W36" s="32">
        <v>155.75</v>
      </c>
      <c r="X36" s="51">
        <f t="shared" si="6"/>
        <v>8537007.6805124991</v>
      </c>
      <c r="Y36" s="54">
        <v>0</v>
      </c>
      <c r="Z36" s="32"/>
      <c r="AA36" s="72"/>
    </row>
    <row r="37" spans="2:27" ht="21.75" customHeight="1">
      <c r="B37" s="31">
        <f t="shared" si="5"/>
        <v>33</v>
      </c>
      <c r="C37" s="11" t="s">
        <v>436</v>
      </c>
      <c r="D37" s="47" t="s">
        <v>65</v>
      </c>
      <c r="E37" s="17"/>
      <c r="F37" s="34" t="s">
        <v>389</v>
      </c>
      <c r="G37" s="11" t="s">
        <v>117</v>
      </c>
      <c r="H37" s="11" t="s">
        <v>42</v>
      </c>
      <c r="I37" s="11" t="s">
        <v>34</v>
      </c>
      <c r="J37" s="35">
        <v>801.22</v>
      </c>
      <c r="K37" s="33">
        <v>41910</v>
      </c>
      <c r="L37" s="36" t="s">
        <v>111</v>
      </c>
      <c r="M37" s="36" t="s">
        <v>35</v>
      </c>
      <c r="N37" s="11" t="s">
        <v>47</v>
      </c>
      <c r="O37" s="13" t="s">
        <v>74</v>
      </c>
      <c r="P37" s="37">
        <v>475000</v>
      </c>
      <c r="Q37" s="38">
        <f t="shared" si="7"/>
        <v>45683125</v>
      </c>
      <c r="R37" s="39" t="s">
        <v>32</v>
      </c>
      <c r="S37" s="44">
        <v>96.174999999999997</v>
      </c>
      <c r="T37" s="40">
        <f t="shared" si="4"/>
        <v>41999</v>
      </c>
      <c r="U37" s="13" t="s">
        <v>117</v>
      </c>
      <c r="V37" s="53">
        <f t="shared" si="8"/>
        <v>54819.749999999993</v>
      </c>
      <c r="W37" s="32">
        <v>155.75</v>
      </c>
      <c r="X37" s="51">
        <f t="shared" si="6"/>
        <v>8538176.0624999981</v>
      </c>
      <c r="Y37" s="54">
        <v>0</v>
      </c>
      <c r="Z37" s="32"/>
      <c r="AA37" s="72"/>
    </row>
    <row r="38" spans="2:27" ht="21.75" customHeight="1">
      <c r="B38" s="31">
        <f t="shared" si="5"/>
        <v>34</v>
      </c>
      <c r="C38" s="11" t="s">
        <v>413</v>
      </c>
      <c r="D38" s="47" t="s">
        <v>65</v>
      </c>
      <c r="E38" s="17"/>
      <c r="F38" s="34" t="s">
        <v>390</v>
      </c>
      <c r="G38" s="11" t="s">
        <v>38</v>
      </c>
      <c r="H38" s="11" t="s">
        <v>39</v>
      </c>
      <c r="I38" s="11" t="s">
        <v>29</v>
      </c>
      <c r="J38" s="35">
        <v>801.22</v>
      </c>
      <c r="K38" s="33">
        <v>41910</v>
      </c>
      <c r="L38" s="36" t="s">
        <v>403</v>
      </c>
      <c r="M38" s="36" t="s">
        <v>30</v>
      </c>
      <c r="N38" s="11" t="s">
        <v>51</v>
      </c>
      <c r="O38" s="13" t="s">
        <v>408</v>
      </c>
      <c r="P38" s="37">
        <v>398587</v>
      </c>
      <c r="Q38" s="38">
        <f t="shared" si="7"/>
        <v>37309736.134999998</v>
      </c>
      <c r="R38" s="39" t="s">
        <v>32</v>
      </c>
      <c r="S38" s="44">
        <v>93.605000000000004</v>
      </c>
      <c r="T38" s="40">
        <f t="shared" si="4"/>
        <v>41999</v>
      </c>
      <c r="U38" s="13" t="s">
        <v>38</v>
      </c>
      <c r="V38" s="53">
        <f t="shared" si="8"/>
        <v>44771.683361999996</v>
      </c>
      <c r="W38" s="32">
        <v>155.75</v>
      </c>
      <c r="X38" s="51">
        <f t="shared" si="6"/>
        <v>6973189.6836314993</v>
      </c>
      <c r="Y38" s="54">
        <v>0</v>
      </c>
      <c r="Z38" s="32"/>
      <c r="AA38" s="72"/>
    </row>
    <row r="39" spans="2:27" ht="24.75">
      <c r="B39" s="31">
        <f t="shared" si="5"/>
        <v>35</v>
      </c>
      <c r="C39" s="11" t="s">
        <v>426</v>
      </c>
      <c r="D39" s="47" t="s">
        <v>65</v>
      </c>
      <c r="E39" s="17"/>
      <c r="F39" s="34" t="s">
        <v>391</v>
      </c>
      <c r="G39" s="11" t="s">
        <v>117</v>
      </c>
      <c r="H39" s="11" t="s">
        <v>42</v>
      </c>
      <c r="I39" s="11" t="s">
        <v>97</v>
      </c>
      <c r="J39" s="35">
        <v>801.22</v>
      </c>
      <c r="K39" s="33">
        <v>41911</v>
      </c>
      <c r="L39" s="36" t="s">
        <v>404</v>
      </c>
      <c r="M39" s="36" t="s">
        <v>46</v>
      </c>
      <c r="N39" s="11" t="s">
        <v>63</v>
      </c>
      <c r="O39" s="13" t="s">
        <v>409</v>
      </c>
      <c r="P39" s="37">
        <v>60000</v>
      </c>
      <c r="Q39" s="38">
        <f t="shared" si="7"/>
        <v>5710560</v>
      </c>
      <c r="R39" s="39" t="s">
        <v>32</v>
      </c>
      <c r="S39" s="44">
        <v>95.176000000000002</v>
      </c>
      <c r="T39" s="40">
        <f t="shared" si="4"/>
        <v>42000</v>
      </c>
      <c r="U39" s="11" t="s">
        <v>117</v>
      </c>
      <c r="V39" s="53">
        <f t="shared" si="8"/>
        <v>6852.6719999999996</v>
      </c>
      <c r="W39" s="32">
        <v>155.75</v>
      </c>
      <c r="X39" s="51">
        <f t="shared" si="6"/>
        <v>1067303.6639999999</v>
      </c>
      <c r="Y39" s="54">
        <v>0</v>
      </c>
      <c r="Z39" s="32"/>
      <c r="AA39" s="72"/>
    </row>
    <row r="40" spans="2:27" ht="24.75">
      <c r="B40" s="31">
        <f t="shared" si="5"/>
        <v>36</v>
      </c>
      <c r="C40" s="11" t="s">
        <v>427</v>
      </c>
      <c r="D40" s="47" t="s">
        <v>65</v>
      </c>
      <c r="E40" s="17"/>
      <c r="F40" s="34" t="s">
        <v>392</v>
      </c>
      <c r="G40" s="11" t="s">
        <v>117</v>
      </c>
      <c r="H40" s="11" t="s">
        <v>42</v>
      </c>
      <c r="I40" s="11" t="s">
        <v>97</v>
      </c>
      <c r="J40" s="35">
        <v>801.22</v>
      </c>
      <c r="K40" s="33">
        <v>41911</v>
      </c>
      <c r="L40" s="36" t="s">
        <v>404</v>
      </c>
      <c r="M40" s="36" t="s">
        <v>46</v>
      </c>
      <c r="N40" s="11" t="s">
        <v>63</v>
      </c>
      <c r="O40" s="13" t="s">
        <v>409</v>
      </c>
      <c r="P40" s="37">
        <v>90000</v>
      </c>
      <c r="Q40" s="38">
        <f t="shared" si="7"/>
        <v>8565840</v>
      </c>
      <c r="R40" s="39" t="s">
        <v>32</v>
      </c>
      <c r="S40" s="44">
        <v>95.176000000000002</v>
      </c>
      <c r="T40" s="40">
        <f t="shared" si="4"/>
        <v>42000</v>
      </c>
      <c r="U40" s="11" t="s">
        <v>117</v>
      </c>
      <c r="V40" s="53">
        <f t="shared" si="8"/>
        <v>10279.008</v>
      </c>
      <c r="W40" s="32">
        <v>155.75</v>
      </c>
      <c r="X40" s="51">
        <f t="shared" si="6"/>
        <v>1600955.496</v>
      </c>
      <c r="Y40" s="54">
        <v>0</v>
      </c>
      <c r="Z40" s="32"/>
      <c r="AA40" s="72"/>
    </row>
    <row r="41" spans="2:27" ht="24.75">
      <c r="B41" s="31">
        <f t="shared" si="5"/>
        <v>37</v>
      </c>
      <c r="C41" s="11" t="s">
        <v>428</v>
      </c>
      <c r="D41" s="47" t="s">
        <v>65</v>
      </c>
      <c r="E41" s="17"/>
      <c r="F41" s="34" t="s">
        <v>393</v>
      </c>
      <c r="G41" s="11" t="s">
        <v>117</v>
      </c>
      <c r="H41" s="11" t="s">
        <v>42</v>
      </c>
      <c r="I41" s="11" t="s">
        <v>97</v>
      </c>
      <c r="J41" s="35">
        <v>801.22</v>
      </c>
      <c r="K41" s="33">
        <v>41911</v>
      </c>
      <c r="L41" s="36" t="s">
        <v>404</v>
      </c>
      <c r="M41" s="36" t="s">
        <v>46</v>
      </c>
      <c r="N41" s="11" t="s">
        <v>63</v>
      </c>
      <c r="O41" s="13" t="s">
        <v>409</v>
      </c>
      <c r="P41" s="37">
        <v>110000</v>
      </c>
      <c r="Q41" s="38">
        <f t="shared" si="7"/>
        <v>10469360</v>
      </c>
      <c r="R41" s="39" t="s">
        <v>32</v>
      </c>
      <c r="S41" s="44">
        <v>95.176000000000002</v>
      </c>
      <c r="T41" s="40">
        <f t="shared" si="4"/>
        <v>42000</v>
      </c>
      <c r="U41" s="11" t="s">
        <v>117</v>
      </c>
      <c r="V41" s="53">
        <f t="shared" si="8"/>
        <v>12563.231999999998</v>
      </c>
      <c r="W41" s="32">
        <v>155.75</v>
      </c>
      <c r="X41" s="51">
        <f t="shared" si="6"/>
        <v>1956723.3839999996</v>
      </c>
      <c r="Y41" s="54">
        <v>0</v>
      </c>
      <c r="Z41" s="32"/>
      <c r="AA41" s="72"/>
    </row>
    <row r="42" spans="2:27" ht="24.75">
      <c r="B42" s="31">
        <f t="shared" si="5"/>
        <v>38</v>
      </c>
      <c r="C42" s="11" t="s">
        <v>429</v>
      </c>
      <c r="D42" s="47" t="s">
        <v>65</v>
      </c>
      <c r="E42" s="17"/>
      <c r="F42" s="34" t="s">
        <v>394</v>
      </c>
      <c r="G42" s="11" t="s">
        <v>117</v>
      </c>
      <c r="H42" s="11" t="s">
        <v>42</v>
      </c>
      <c r="I42" s="11" t="s">
        <v>97</v>
      </c>
      <c r="J42" s="35">
        <v>801.22</v>
      </c>
      <c r="K42" s="33">
        <v>41911</v>
      </c>
      <c r="L42" s="36" t="s">
        <v>404</v>
      </c>
      <c r="M42" s="36" t="s">
        <v>46</v>
      </c>
      <c r="N42" s="11" t="s">
        <v>63</v>
      </c>
      <c r="O42" s="13" t="s">
        <v>409</v>
      </c>
      <c r="P42" s="37">
        <v>76000</v>
      </c>
      <c r="Q42" s="38">
        <f t="shared" si="7"/>
        <v>7233376</v>
      </c>
      <c r="R42" s="39" t="s">
        <v>32</v>
      </c>
      <c r="S42" s="44">
        <v>95.176000000000002</v>
      </c>
      <c r="T42" s="40">
        <f t="shared" si="4"/>
        <v>42000</v>
      </c>
      <c r="U42" s="11" t="s">
        <v>117</v>
      </c>
      <c r="V42" s="53">
        <f t="shared" si="8"/>
        <v>8680.0511999999999</v>
      </c>
      <c r="W42" s="32">
        <v>155.75</v>
      </c>
      <c r="X42" s="51">
        <f t="shared" si="6"/>
        <v>1351917.9743999999</v>
      </c>
      <c r="Y42" s="54">
        <v>0</v>
      </c>
      <c r="Z42" s="32"/>
      <c r="AA42" s="72"/>
    </row>
    <row r="43" spans="2:27" ht="24.75">
      <c r="B43" s="31">
        <f t="shared" si="5"/>
        <v>39</v>
      </c>
      <c r="C43" s="11" t="s">
        <v>430</v>
      </c>
      <c r="D43" s="47" t="s">
        <v>65</v>
      </c>
      <c r="E43" s="17"/>
      <c r="F43" s="34" t="s">
        <v>395</v>
      </c>
      <c r="G43" s="11" t="s">
        <v>117</v>
      </c>
      <c r="H43" s="11" t="s">
        <v>42</v>
      </c>
      <c r="I43" s="11" t="s">
        <v>97</v>
      </c>
      <c r="J43" s="35">
        <v>801.22</v>
      </c>
      <c r="K43" s="33">
        <v>41911</v>
      </c>
      <c r="L43" s="36" t="s">
        <v>404</v>
      </c>
      <c r="M43" s="36" t="s">
        <v>46</v>
      </c>
      <c r="N43" s="11" t="s">
        <v>63</v>
      </c>
      <c r="O43" s="13" t="s">
        <v>409</v>
      </c>
      <c r="P43" s="37">
        <v>200000</v>
      </c>
      <c r="Q43" s="38">
        <f t="shared" si="7"/>
        <v>19035200</v>
      </c>
      <c r="R43" s="39" t="s">
        <v>32</v>
      </c>
      <c r="S43" s="44">
        <v>95.176000000000002</v>
      </c>
      <c r="T43" s="40">
        <f t="shared" si="4"/>
        <v>42000</v>
      </c>
      <c r="U43" s="11" t="s">
        <v>117</v>
      </c>
      <c r="V43" s="53">
        <f t="shared" si="8"/>
        <v>22842.239999999998</v>
      </c>
      <c r="W43" s="32">
        <v>155.75</v>
      </c>
      <c r="X43" s="51">
        <f t="shared" si="6"/>
        <v>3557678.88</v>
      </c>
      <c r="Y43" s="54">
        <v>0</v>
      </c>
      <c r="Z43" s="32"/>
      <c r="AA43" s="72"/>
    </row>
    <row r="44" spans="2:27" ht="24.75">
      <c r="B44" s="31">
        <f t="shared" si="5"/>
        <v>40</v>
      </c>
      <c r="C44" s="11" t="s">
        <v>431</v>
      </c>
      <c r="D44" s="47" t="s">
        <v>65</v>
      </c>
      <c r="E44" s="17"/>
      <c r="F44" s="34" t="s">
        <v>396</v>
      </c>
      <c r="G44" s="11" t="s">
        <v>117</v>
      </c>
      <c r="H44" s="11" t="s">
        <v>42</v>
      </c>
      <c r="I44" s="11" t="s">
        <v>97</v>
      </c>
      <c r="J44" s="35">
        <v>801.22</v>
      </c>
      <c r="K44" s="33">
        <v>41911</v>
      </c>
      <c r="L44" s="36" t="s">
        <v>404</v>
      </c>
      <c r="M44" s="36" t="s">
        <v>46</v>
      </c>
      <c r="N44" s="11" t="s">
        <v>63</v>
      </c>
      <c r="O44" s="13" t="s">
        <v>409</v>
      </c>
      <c r="P44" s="37">
        <v>200000</v>
      </c>
      <c r="Q44" s="38">
        <f t="shared" si="7"/>
        <v>19035200</v>
      </c>
      <c r="R44" s="39" t="s">
        <v>32</v>
      </c>
      <c r="S44" s="44">
        <v>95.176000000000002</v>
      </c>
      <c r="T44" s="40">
        <f t="shared" si="4"/>
        <v>42000</v>
      </c>
      <c r="U44" s="11" t="s">
        <v>117</v>
      </c>
      <c r="V44" s="53">
        <f t="shared" si="8"/>
        <v>22842.239999999998</v>
      </c>
      <c r="W44" s="32">
        <v>155.75</v>
      </c>
      <c r="X44" s="51">
        <f t="shared" si="6"/>
        <v>3557678.88</v>
      </c>
      <c r="Y44" s="54">
        <v>0</v>
      </c>
      <c r="Z44" s="32"/>
      <c r="AA44" s="72"/>
    </row>
    <row r="45" spans="2:27" ht="24.75">
      <c r="B45" s="31">
        <f t="shared" si="5"/>
        <v>41</v>
      </c>
      <c r="C45" s="11" t="s">
        <v>432</v>
      </c>
      <c r="D45" s="47" t="s">
        <v>65</v>
      </c>
      <c r="E45" s="17"/>
      <c r="F45" s="34" t="s">
        <v>397</v>
      </c>
      <c r="G45" s="11" t="s">
        <v>117</v>
      </c>
      <c r="H45" s="11" t="s">
        <v>42</v>
      </c>
      <c r="I45" s="11" t="s">
        <v>97</v>
      </c>
      <c r="J45" s="35">
        <v>801.22</v>
      </c>
      <c r="K45" s="33">
        <v>41911</v>
      </c>
      <c r="L45" s="36" t="s">
        <v>404</v>
      </c>
      <c r="M45" s="36" t="s">
        <v>46</v>
      </c>
      <c r="N45" s="11" t="s">
        <v>63</v>
      </c>
      <c r="O45" s="13" t="s">
        <v>409</v>
      </c>
      <c r="P45" s="37">
        <v>200000</v>
      </c>
      <c r="Q45" s="38">
        <f t="shared" si="7"/>
        <v>19035200</v>
      </c>
      <c r="R45" s="39" t="s">
        <v>32</v>
      </c>
      <c r="S45" s="44">
        <v>95.176000000000002</v>
      </c>
      <c r="T45" s="40">
        <f t="shared" si="4"/>
        <v>42000</v>
      </c>
      <c r="U45" s="11" t="s">
        <v>117</v>
      </c>
      <c r="V45" s="41">
        <f t="shared" si="8"/>
        <v>22842.239999999998</v>
      </c>
      <c r="W45" s="32">
        <v>155.75</v>
      </c>
      <c r="X45" s="38">
        <f t="shared" si="6"/>
        <v>3557678.88</v>
      </c>
      <c r="Y45" s="49">
        <v>0</v>
      </c>
      <c r="Z45" s="32"/>
      <c r="AA45" s="72"/>
    </row>
    <row r="46" spans="2:27" ht="25.5" thickBot="1">
      <c r="B46" s="31">
        <f t="shared" si="5"/>
        <v>42</v>
      </c>
      <c r="C46" s="11" t="s">
        <v>433</v>
      </c>
      <c r="D46" s="47" t="s">
        <v>65</v>
      </c>
      <c r="E46" s="17"/>
      <c r="F46" s="34" t="s">
        <v>398</v>
      </c>
      <c r="G46" s="11" t="s">
        <v>117</v>
      </c>
      <c r="H46" s="11" t="s">
        <v>42</v>
      </c>
      <c r="I46" s="11" t="s">
        <v>97</v>
      </c>
      <c r="J46" s="35">
        <v>801.22</v>
      </c>
      <c r="K46" s="33">
        <v>41911</v>
      </c>
      <c r="L46" s="36" t="s">
        <v>404</v>
      </c>
      <c r="M46" s="36" t="s">
        <v>46</v>
      </c>
      <c r="N46" s="11" t="s">
        <v>63</v>
      </c>
      <c r="O46" s="13" t="s">
        <v>409</v>
      </c>
      <c r="P46" s="37">
        <v>13605</v>
      </c>
      <c r="Q46" s="38">
        <f t="shared" si="7"/>
        <v>1294869.48</v>
      </c>
      <c r="R46" s="39" t="s">
        <v>32</v>
      </c>
      <c r="S46" s="44">
        <v>95.176000000000002</v>
      </c>
      <c r="T46" s="40">
        <f t="shared" si="4"/>
        <v>42000</v>
      </c>
      <c r="U46" s="11" t="s">
        <v>117</v>
      </c>
      <c r="V46" s="41">
        <f t="shared" si="8"/>
        <v>1553.8433759999998</v>
      </c>
      <c r="W46" s="32">
        <v>155.75</v>
      </c>
      <c r="X46" s="38">
        <f t="shared" si="6"/>
        <v>242011.10581199997</v>
      </c>
      <c r="Y46" s="49">
        <v>0</v>
      </c>
      <c r="Z46" s="32"/>
      <c r="AA46" s="72"/>
    </row>
    <row r="47" spans="2:27" ht="15.75" thickBot="1">
      <c r="B47" s="18"/>
      <c r="C47" s="19"/>
      <c r="D47" s="19"/>
      <c r="E47" s="19"/>
      <c r="F47" s="19"/>
      <c r="G47" s="19"/>
      <c r="H47" s="19"/>
      <c r="I47" s="19"/>
      <c r="J47" s="18"/>
      <c r="K47" s="20"/>
      <c r="L47" s="19"/>
      <c r="M47" s="19"/>
      <c r="N47" s="22"/>
      <c r="O47" s="23"/>
      <c r="P47" s="65">
        <f>SUM(P5:P46)</f>
        <v>14919048</v>
      </c>
      <c r="Q47" s="66">
        <f>SUM(Q5:Q46)</f>
        <v>1479177236.8668001</v>
      </c>
      <c r="R47" s="67"/>
      <c r="S47" s="68"/>
      <c r="T47" s="69"/>
      <c r="U47" s="70"/>
      <c r="V47" s="66">
        <f>SUM(V5:V46)</f>
        <v>1775012.6842401598</v>
      </c>
      <c r="W47" s="67"/>
      <c r="X47" s="66">
        <f>SUM(X5:X46)</f>
        <v>276444919.7869643</v>
      </c>
      <c r="Y47" s="91">
        <f>SUM(Y5:Y46)</f>
        <v>0</v>
      </c>
      <c r="Z47" s="18"/>
      <c r="AA47" s="18"/>
    </row>
  </sheetData>
  <pageMargins left="0" right="0" top="0" bottom="0" header="0.31496062992125984" footer="0"/>
  <pageSetup paperSize="8" orientation="landscape" r:id="rId1"/>
  <ignoredErrors>
    <ignoredError sqref="F5:F33 F34:F69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COMPREHENSIVE (3RD QTR'14)</vt:lpstr>
      <vt:lpstr>COMPLIANT (3RD QTR'14)</vt:lpstr>
      <vt:lpstr>NON-COMPLIANT (3RD QTR'14)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2014-10-16T10:50:20Z</cp:lastPrinted>
  <dcterms:created xsi:type="dcterms:W3CDTF">2013-10-09T11:18:50Z</dcterms:created>
  <dcterms:modified xsi:type="dcterms:W3CDTF">2014-10-24T12:05:49Z</dcterms:modified>
</cp:coreProperties>
</file>