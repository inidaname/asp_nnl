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60" yWindow="930" windowWidth="19335" windowHeight="7080"/>
  </bookViews>
  <sheets>
    <sheet name="COMPREHENSIVE (JUL'14)" sheetId="3" r:id="rId1"/>
    <sheet name="COMPLIANT (JUL'14)" sheetId="2" r:id="rId2"/>
    <sheet name="NON-COMPLIANT (JUL'14)" sheetId="5" r:id="rId3"/>
  </sheets>
  <calcPr calcId="125725"/>
</workbook>
</file>

<file path=xl/calcChain.xml><?xml version="1.0" encoding="utf-8"?>
<calcChain xmlns="http://schemas.openxmlformats.org/spreadsheetml/2006/main">
  <c r="P17" i="5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/>
  <c r="Q11"/>
  <c r="V11" s="1"/>
  <c r="X11" s="1"/>
  <c r="T10"/>
  <c r="Q10"/>
  <c r="V10" s="1"/>
  <c r="X10" s="1"/>
  <c r="T9"/>
  <c r="Q9"/>
  <c r="V9" s="1"/>
  <c r="X9" s="1"/>
  <c r="T8"/>
  <c r="Q8"/>
  <c r="V8" s="1"/>
  <c r="X8" s="1"/>
  <c r="T7"/>
  <c r="Q7"/>
  <c r="V7" s="1"/>
  <c r="X7" s="1"/>
  <c r="T6"/>
  <c r="Q6"/>
  <c r="V6" s="1"/>
  <c r="X6" s="1"/>
  <c r="T5"/>
  <c r="Q5"/>
  <c r="V5" s="1"/>
  <c r="X5" s="1"/>
  <c r="B6"/>
  <c r="B7" s="1"/>
  <c r="B8" s="1"/>
  <c r="B9" s="1"/>
  <c r="B10" s="1"/>
  <c r="B11" s="1"/>
  <c r="B12" s="1"/>
  <c r="B13" s="1"/>
  <c r="B14" s="1"/>
  <c r="B15" s="1"/>
  <c r="B16" s="1"/>
  <c r="Q17"/>
  <c r="P31" i="3"/>
  <c r="T30"/>
  <c r="Q30"/>
  <c r="V30" s="1"/>
  <c r="X30" s="1"/>
  <c r="T29"/>
  <c r="Q29"/>
  <c r="V29" s="1"/>
  <c r="X29" s="1"/>
  <c r="T28"/>
  <c r="Q28"/>
  <c r="V28" s="1"/>
  <c r="X28" s="1"/>
  <c r="T27"/>
  <c r="Q27"/>
  <c r="V27" s="1"/>
  <c r="X27" s="1"/>
  <c r="T26"/>
  <c r="Q26"/>
  <c r="V26" s="1"/>
  <c r="X26" s="1"/>
  <c r="T25"/>
  <c r="Q25"/>
  <c r="V25" s="1"/>
  <c r="X25" s="1"/>
  <c r="T24"/>
  <c r="Q24"/>
  <c r="V24" s="1"/>
  <c r="X24" s="1"/>
  <c r="T23"/>
  <c r="Q23"/>
  <c r="V23" s="1"/>
  <c r="X23" s="1"/>
  <c r="T22"/>
  <c r="Q22"/>
  <c r="V22" s="1"/>
  <c r="X22" s="1"/>
  <c r="T21"/>
  <c r="Q21"/>
  <c r="V21" s="1"/>
  <c r="X21" s="1"/>
  <c r="T20"/>
  <c r="Q20"/>
  <c r="V20" s="1"/>
  <c r="X20" s="1"/>
  <c r="Y20" s="1"/>
  <c r="T19"/>
  <c r="Q19"/>
  <c r="V19" s="1"/>
  <c r="X19" s="1"/>
  <c r="Y19" s="1"/>
  <c r="T18"/>
  <c r="Q18"/>
  <c r="V18" s="1"/>
  <c r="X18" s="1"/>
  <c r="T17"/>
  <c r="Q17"/>
  <c r="V17" s="1"/>
  <c r="X17" s="1"/>
  <c r="T16"/>
  <c r="Q16"/>
  <c r="V16" s="1"/>
  <c r="X16" s="1"/>
  <c r="Y16" s="1"/>
  <c r="T15"/>
  <c r="Q15"/>
  <c r="V15" s="1"/>
  <c r="X15" s="1"/>
  <c r="Y15" s="1"/>
  <c r="T14"/>
  <c r="Q14"/>
  <c r="V14" s="1"/>
  <c r="X14" s="1"/>
  <c r="Y14" s="1"/>
  <c r="T13"/>
  <c r="Q13"/>
  <c r="V13" s="1"/>
  <c r="X13" s="1"/>
  <c r="Y13" s="1"/>
  <c r="T12"/>
  <c r="Q12"/>
  <c r="V12" s="1"/>
  <c r="X12" s="1"/>
  <c r="Y12" s="1"/>
  <c r="T11"/>
  <c r="Q11"/>
  <c r="V11" s="1"/>
  <c r="X11" s="1"/>
  <c r="Y11" s="1"/>
  <c r="T10"/>
  <c r="Q10"/>
  <c r="V10" s="1"/>
  <c r="X10" s="1"/>
  <c r="Y10" s="1"/>
  <c r="T9"/>
  <c r="Q9"/>
  <c r="V9" s="1"/>
  <c r="X9" s="1"/>
  <c r="Y9" s="1"/>
  <c r="T8"/>
  <c r="Q8"/>
  <c r="V8" s="1"/>
  <c r="X8" s="1"/>
  <c r="Y8" s="1"/>
  <c r="T7"/>
  <c r="Q7"/>
  <c r="V7" s="1"/>
  <c r="X7" s="1"/>
  <c r="Y7" s="1"/>
  <c r="T6"/>
  <c r="Q6"/>
  <c r="V6" s="1"/>
  <c r="X6" s="1"/>
  <c r="Y6" s="1"/>
  <c r="T5"/>
  <c r="Q5"/>
  <c r="V5" s="1"/>
  <c r="X5" s="1"/>
  <c r="Y5" s="1"/>
  <c r="Y31" s="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P41" i="2"/>
  <c r="T40"/>
  <c r="Q40"/>
  <c r="V40" s="1"/>
  <c r="X40" s="1"/>
  <c r="Y40" s="1"/>
  <c r="T39"/>
  <c r="Q39"/>
  <c r="V39" s="1"/>
  <c r="X39" s="1"/>
  <c r="Y39" s="1"/>
  <c r="T38"/>
  <c r="Q38"/>
  <c r="V38" s="1"/>
  <c r="X38" s="1"/>
  <c r="Y38" s="1"/>
  <c r="T37"/>
  <c r="Q37"/>
  <c r="V37" s="1"/>
  <c r="X37" s="1"/>
  <c r="Y37" s="1"/>
  <c r="T36"/>
  <c r="Q36"/>
  <c r="V36" s="1"/>
  <c r="X36" s="1"/>
  <c r="Y36" s="1"/>
  <c r="T35"/>
  <c r="Q35"/>
  <c r="V35" s="1"/>
  <c r="X35" s="1"/>
  <c r="Y35" s="1"/>
  <c r="T34"/>
  <c r="Q34"/>
  <c r="V34" s="1"/>
  <c r="X34" s="1"/>
  <c r="Y34" s="1"/>
  <c r="T33"/>
  <c r="Q33"/>
  <c r="V33" s="1"/>
  <c r="X33" s="1"/>
  <c r="Y33" s="1"/>
  <c r="T32"/>
  <c r="Q32"/>
  <c r="V32" s="1"/>
  <c r="X32" s="1"/>
  <c r="Y32" s="1"/>
  <c r="T31"/>
  <c r="Q31"/>
  <c r="V31" s="1"/>
  <c r="X31" s="1"/>
  <c r="Y31" s="1"/>
  <c r="T30"/>
  <c r="Q30"/>
  <c r="V30" s="1"/>
  <c r="X30" s="1"/>
  <c r="Y30" s="1"/>
  <c r="T29"/>
  <c r="Q29"/>
  <c r="V29" s="1"/>
  <c r="X29" s="1"/>
  <c r="Y29" s="1"/>
  <c r="T28"/>
  <c r="Q28"/>
  <c r="V28" s="1"/>
  <c r="X28" s="1"/>
  <c r="Y28" s="1"/>
  <c r="T27"/>
  <c r="Q27"/>
  <c r="V27" s="1"/>
  <c r="X27" s="1"/>
  <c r="Y27" s="1"/>
  <c r="Y41" s="1"/>
  <c r="T26"/>
  <c r="Q26"/>
  <c r="V26" s="1"/>
  <c r="X26" s="1"/>
  <c r="Q31" i="3" l="1"/>
  <c r="T22" i="2"/>
  <c r="Q22"/>
  <c r="V22" s="1"/>
  <c r="X22" s="1"/>
  <c r="V17" i="5" l="1"/>
  <c r="V31" i="3"/>
  <c r="X31"/>
  <c r="T25" i="2"/>
  <c r="Q25"/>
  <c r="V25" s="1"/>
  <c r="X25" s="1"/>
  <c r="T24"/>
  <c r="Q24"/>
  <c r="V24" s="1"/>
  <c r="X24" s="1"/>
  <c r="T23"/>
  <c r="Q23"/>
  <c r="V23" s="1"/>
  <c r="X23" s="1"/>
  <c r="T21"/>
  <c r="Q21"/>
  <c r="V21" s="1"/>
  <c r="X21" s="1"/>
  <c r="T20"/>
  <c r="Q20"/>
  <c r="V20" s="1"/>
  <c r="X20" s="1"/>
  <c r="X17" i="5" l="1"/>
  <c r="Y17"/>
  <c r="T19" i="2"/>
  <c r="Q19"/>
  <c r="V19" s="1"/>
  <c r="X19" s="1"/>
  <c r="T18"/>
  <c r="Q18"/>
  <c r="V18" s="1"/>
  <c r="X18" s="1"/>
  <c r="T17"/>
  <c r="Q17"/>
  <c r="V17" s="1"/>
  <c r="X17" s="1"/>
  <c r="T16"/>
  <c r="Q16"/>
  <c r="V16" s="1"/>
  <c r="X16" s="1"/>
  <c r="T15"/>
  <c r="Q15"/>
  <c r="V15" s="1"/>
  <c r="X15" s="1"/>
  <c r="T14"/>
  <c r="Q14"/>
  <c r="V14" s="1"/>
  <c r="X14" s="1"/>
  <c r="T13"/>
  <c r="Q13"/>
  <c r="V13" s="1"/>
  <c r="X13" s="1"/>
  <c r="T12"/>
  <c r="Q12"/>
  <c r="V12" s="1"/>
  <c r="X12" s="1"/>
  <c r="T11" l="1"/>
  <c r="Q11"/>
  <c r="V11" s="1"/>
  <c r="X11" s="1"/>
  <c r="T10"/>
  <c r="Q10"/>
  <c r="V10" s="1"/>
  <c r="X10" s="1"/>
  <c r="T9"/>
  <c r="Q9"/>
  <c r="V9" s="1"/>
  <c r="X9" s="1"/>
  <c r="T7"/>
  <c r="Q7"/>
  <c r="V7" s="1"/>
  <c r="X7" s="1"/>
  <c r="T5" l="1"/>
  <c r="Q5"/>
  <c r="T8"/>
  <c r="Q8"/>
  <c r="V8" s="1"/>
  <c r="X8" s="1"/>
  <c r="T6"/>
  <c r="Q6"/>
  <c r="V6" s="1"/>
  <c r="X6" s="1"/>
  <c r="V5" l="1"/>
  <c r="Q41"/>
  <c r="B6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X5" l="1"/>
  <c r="X41" s="1"/>
  <c r="V41"/>
  <c r="B22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B37" s="1"/>
  <c r="B38" s="1"/>
  <c r="B39" s="1"/>
  <c r="B40" s="1"/>
</calcChain>
</file>

<file path=xl/sharedStrings.xml><?xml version="1.0" encoding="utf-8"?>
<sst xmlns="http://schemas.openxmlformats.org/spreadsheetml/2006/main" count="974" uniqueCount="243">
  <si>
    <t>ROBINSON INTERNATIONAL ENERGY LIMITED</t>
  </si>
  <si>
    <t>S/N</t>
  </si>
  <si>
    <t>REF NO</t>
  </si>
  <si>
    <t>CCI NO.</t>
  </si>
  <si>
    <t>CCI DATE</t>
  </si>
  <si>
    <t>NXP NO</t>
  </si>
  <si>
    <t>NXP ISSUING BANK</t>
  </si>
  <si>
    <t>EXPORTER NAME</t>
  </si>
  <si>
    <t>CRUDE OIL TYPE</t>
  </si>
  <si>
    <t>HS CODE</t>
  </si>
  <si>
    <t>BILL OF LADING DATE</t>
  </si>
  <si>
    <t>VESSEL</t>
  </si>
  <si>
    <t>TERMINAL</t>
  </si>
  <si>
    <t>DESTINATION</t>
  </si>
  <si>
    <t>POINT OF EXIT</t>
  </si>
  <si>
    <t>QUANTITY IN BARREL</t>
  </si>
  <si>
    <t>FOB Value ($)</t>
  </si>
  <si>
    <t>FOB CURRENCY (CCY)</t>
  </si>
  <si>
    <t>PRICE PER BARREL</t>
  </si>
  <si>
    <t>REPATRIATION DUE DATE</t>
  </si>
  <si>
    <t>DESIGNATED BANK</t>
  </si>
  <si>
    <t>NESS FEE PAYABLE  ($)</t>
  </si>
  <si>
    <t>EXCHANGE RATE APPLIED BY PIA</t>
  </si>
  <si>
    <t>NESS FEE PAYABLE (NAIRA)</t>
  </si>
  <si>
    <t>NESS FEE PAID (NAIRA)</t>
  </si>
  <si>
    <t>RECEIPT DATE</t>
  </si>
  <si>
    <t>RECEIPT NO</t>
  </si>
  <si>
    <t>C182</t>
  </si>
  <si>
    <t>USA</t>
  </si>
  <si>
    <t>UBA</t>
  </si>
  <si>
    <t>GERMANY</t>
  </si>
  <si>
    <t>WILHELMSHAVEN</t>
  </si>
  <si>
    <t>AGIP ENERGY</t>
  </si>
  <si>
    <t>BRASS</t>
  </si>
  <si>
    <t>NIGERIAN AGIP</t>
  </si>
  <si>
    <t>INDIA</t>
  </si>
  <si>
    <t>UNITED KINGDOM</t>
  </si>
  <si>
    <t>SKS SINNI</t>
  </si>
  <si>
    <t>CITI BANK OF NIG</t>
  </si>
  <si>
    <t>BRASS BLEND CRUDE OIL</t>
  </si>
  <si>
    <t>STANBIC IBTC</t>
  </si>
  <si>
    <t>EBOK BLEND CRUDE OIL</t>
  </si>
  <si>
    <t>EBOK</t>
  </si>
  <si>
    <t>STANDARD CHARTERED</t>
  </si>
  <si>
    <t>TETNEY</t>
  </si>
  <si>
    <t>ORIENTAL ENERGY</t>
  </si>
  <si>
    <t>AFRA HAWTHORN</t>
  </si>
  <si>
    <t>PORTLAND, MAINE</t>
  </si>
  <si>
    <t>BRASS 442</t>
  </si>
  <si>
    <t>BRASS 443</t>
  </si>
  <si>
    <t>PHOENIX STRENGTH</t>
  </si>
  <si>
    <t>00201400010064</t>
  </si>
  <si>
    <t>201400010071</t>
  </si>
  <si>
    <t>FLEVES</t>
  </si>
  <si>
    <t>OMSP, INDIA</t>
  </si>
  <si>
    <t>BRASS 451</t>
  </si>
  <si>
    <t>BRASS 452</t>
  </si>
  <si>
    <t>BRASS 455</t>
  </si>
  <si>
    <t>201400010122</t>
  </si>
  <si>
    <t>EVERGLADES</t>
  </si>
  <si>
    <t>EBOK 019</t>
  </si>
  <si>
    <t>EBOK 020</t>
  </si>
  <si>
    <t>201400010413</t>
  </si>
  <si>
    <t>201400010414</t>
  </si>
  <si>
    <t>AGIP BRASS 067</t>
  </si>
  <si>
    <t>AGIP BRASS 068</t>
  </si>
  <si>
    <t>ENERGY BRASS 035</t>
  </si>
  <si>
    <t>ENERGY BRASS 036</t>
  </si>
  <si>
    <t>ENERGY BRASS 037</t>
  </si>
  <si>
    <t>ORIENTAL EBOK 019</t>
  </si>
  <si>
    <t>ORIENTAL EBOK 020</t>
  </si>
  <si>
    <t>COMPLIANT INSPECTION REPORT FOR THE PERIOD OF JULY 2014</t>
  </si>
  <si>
    <t>BRASS 469</t>
  </si>
  <si>
    <t>PHILIPS BRASS 044</t>
  </si>
  <si>
    <t>201400010133</t>
  </si>
  <si>
    <t>PHILLIPS OIL</t>
  </si>
  <si>
    <t>TOLEDO SPIRIT</t>
  </si>
  <si>
    <t>PORTUGAL</t>
  </si>
  <si>
    <t>SINES</t>
  </si>
  <si>
    <t>BRASS 482</t>
  </si>
  <si>
    <t>PLATFORM BRASS 103</t>
  </si>
  <si>
    <t>201401010069</t>
  </si>
  <si>
    <t>SKYE BANK</t>
  </si>
  <si>
    <t>PLATFORM PETROLEUM</t>
  </si>
  <si>
    <t>EUROVISION</t>
  </si>
  <si>
    <t>BRUNSBUETTEL, GERMANY FOR ORDERS</t>
  </si>
  <si>
    <t>BRASS 483</t>
  </si>
  <si>
    <t>PLATFORM BRASS 104</t>
  </si>
  <si>
    <t>201401010070</t>
  </si>
  <si>
    <t>BRASS 484</t>
  </si>
  <si>
    <t>PLATFORM BRASS 105</t>
  </si>
  <si>
    <t>20149030005</t>
  </si>
  <si>
    <t>STERLING BANK</t>
  </si>
  <si>
    <t>BRASS 489</t>
  </si>
  <si>
    <t>PLATFORM BRASS 106</t>
  </si>
  <si>
    <t>201401010072</t>
  </si>
  <si>
    <t>EXPLORER</t>
  </si>
  <si>
    <t>BRAZIL</t>
  </si>
  <si>
    <t>ONE OR MORE SAFE PORTS, BRAZIL</t>
  </si>
  <si>
    <t>BRASS 490</t>
  </si>
  <si>
    <t>PLATFORM BRASS 107</t>
  </si>
  <si>
    <t>201401010073</t>
  </si>
  <si>
    <t>BRASS 491</t>
  </si>
  <si>
    <t>PLATFORM BRASS 108</t>
  </si>
  <si>
    <t>BRASS 499</t>
  </si>
  <si>
    <t>PLATFORM BRASS 109</t>
  </si>
  <si>
    <t>201401010075</t>
  </si>
  <si>
    <t>SEAVOYAGER</t>
  </si>
  <si>
    <t>ITALY</t>
  </si>
  <si>
    <t>QUILIANO (ITALY) FOR ORDERS</t>
  </si>
  <si>
    <t>BRASS 457</t>
  </si>
  <si>
    <t>AGIP BRASS 070</t>
  </si>
  <si>
    <t>201400010124</t>
  </si>
  <si>
    <t>ONE OR MORE SAFE PORT(S)</t>
  </si>
  <si>
    <t>BRASS 468</t>
  </si>
  <si>
    <t>ENERGY BRASS 038</t>
  </si>
  <si>
    <t>201400010150</t>
  </si>
  <si>
    <t>BRASS 478</t>
  </si>
  <si>
    <t>AGIP BRASS 072</t>
  </si>
  <si>
    <t>201400010188</t>
  </si>
  <si>
    <t>NETHERLSNDS</t>
  </si>
  <si>
    <t>ROTTERDAM</t>
  </si>
  <si>
    <t>BRASS 479</t>
  </si>
  <si>
    <t>AGIP BRASS 073</t>
  </si>
  <si>
    <t>201400010189</t>
  </si>
  <si>
    <t>BRASS 480</t>
  </si>
  <si>
    <t>ENERGY BRASS 039</t>
  </si>
  <si>
    <t>201400010190</t>
  </si>
  <si>
    <t>YOHO 099</t>
  </si>
  <si>
    <t>MOBIL YOHO 040</t>
  </si>
  <si>
    <t>201400010196</t>
  </si>
  <si>
    <t>MOBIL PRODUCING</t>
  </si>
  <si>
    <t>YOHO BLEND CRUDE OIL</t>
  </si>
  <si>
    <t>AUTHENTIC</t>
  </si>
  <si>
    <t>YOHO</t>
  </si>
  <si>
    <t>PHILADELPHIA</t>
  </si>
  <si>
    <t>BRASS 481</t>
  </si>
  <si>
    <t>PHILLIPS BRASS 045</t>
  </si>
  <si>
    <t>201400010163</t>
  </si>
  <si>
    <t>BRASS 501</t>
  </si>
  <si>
    <t>NNPC BRASS 159</t>
  </si>
  <si>
    <t>40306105C12/4A</t>
  </si>
  <si>
    <t>CENTRAL BANK</t>
  </si>
  <si>
    <t>NNPC</t>
  </si>
  <si>
    <t>SONANGOL PORTO AMBOIM</t>
  </si>
  <si>
    <t>SWEDEN</t>
  </si>
  <si>
    <t>BROFJORDEN</t>
  </si>
  <si>
    <t>BRASS 502</t>
  </si>
  <si>
    <t>NNPC BRASS 160</t>
  </si>
  <si>
    <t>40306105C12/4B</t>
  </si>
  <si>
    <t>BRASS 503</t>
  </si>
  <si>
    <t>NNPC BRASS 161</t>
  </si>
  <si>
    <t>40306105C12/4C</t>
  </si>
  <si>
    <t>BRASS 504</t>
  </si>
  <si>
    <t>NNPC BRASS 162</t>
  </si>
  <si>
    <t>40306105C12/4D</t>
  </si>
  <si>
    <t>BRASS 505</t>
  </si>
  <si>
    <t>NNPC BRASS 163</t>
  </si>
  <si>
    <t>40306105C12/4E</t>
  </si>
  <si>
    <t>BRASS 506</t>
  </si>
  <si>
    <t>NNPC BRASS 164</t>
  </si>
  <si>
    <t>40306105C12/4F</t>
  </si>
  <si>
    <t>BRASS 507</t>
  </si>
  <si>
    <t>NNPC BRASS 165</t>
  </si>
  <si>
    <t>40306105C12/4G</t>
  </si>
  <si>
    <t>YOHO 103</t>
  </si>
  <si>
    <t>NNPC YOHO 062</t>
  </si>
  <si>
    <t>1405109C48/291</t>
  </si>
  <si>
    <t>GENMAR KARA G</t>
  </si>
  <si>
    <t>IMMINGHAN</t>
  </si>
  <si>
    <t>YOHO 104</t>
  </si>
  <si>
    <t>NETHERLANDS</t>
  </si>
  <si>
    <t xml:space="preserve">ROTTERDAM </t>
  </si>
  <si>
    <t>OKONO 076</t>
  </si>
  <si>
    <t>NNPC OKONO 062</t>
  </si>
  <si>
    <t>40306116C5/11</t>
  </si>
  <si>
    <t>OKONO BLEND CRUDE OIL</t>
  </si>
  <si>
    <t>MOUNT FUJI</t>
  </si>
  <si>
    <t>OKONO</t>
  </si>
  <si>
    <t>FRANCE</t>
  </si>
  <si>
    <t>FOS, LAVERA</t>
  </si>
  <si>
    <t>BRASS 508</t>
  </si>
  <si>
    <t>NNPC BRASS 166</t>
  </si>
  <si>
    <t>40306105C2/11A</t>
  </si>
  <si>
    <t>CAPE BOWEN</t>
  </si>
  <si>
    <t>SPAIN</t>
  </si>
  <si>
    <t>TENERIFE</t>
  </si>
  <si>
    <t>BRASS 509</t>
  </si>
  <si>
    <t>NNPC BRASS 167</t>
  </si>
  <si>
    <t>40306105C2/11B</t>
  </si>
  <si>
    <t>ANTAN 108</t>
  </si>
  <si>
    <t>NNPC ANTAN 052</t>
  </si>
  <si>
    <t>40306111C17/12A</t>
  </si>
  <si>
    <t>ANTAN BLEND CRUDE OIL</t>
  </si>
  <si>
    <t>MINERVA DOXA</t>
  </si>
  <si>
    <t>ANTAN</t>
  </si>
  <si>
    <t>DENMARK</t>
  </si>
  <si>
    <t>KALUNDBORG</t>
  </si>
  <si>
    <t>ANTAN 109</t>
  </si>
  <si>
    <t>NNPC ANTAN 053</t>
  </si>
  <si>
    <t>40306111C17/12B</t>
  </si>
  <si>
    <t>CITI BANK</t>
  </si>
  <si>
    <t>ADDAX PETROLEUM</t>
  </si>
  <si>
    <t>SEAPACIS</t>
  </si>
  <si>
    <t>NOT YET ISSUED</t>
  </si>
  <si>
    <t>FINNART</t>
  </si>
  <si>
    <t>MIDWESTERN OIL &amp; GAS</t>
  </si>
  <si>
    <t>GUARANTY TRUST BANK</t>
  </si>
  <si>
    <t>GTB</t>
  </si>
  <si>
    <t xml:space="preserve">PHILLPS OIL </t>
  </si>
  <si>
    <t>EBOK 021</t>
  </si>
  <si>
    <t>RIDGEBURY CAPTAIN DROGIN</t>
  </si>
  <si>
    <t>YOHO 105</t>
  </si>
  <si>
    <t>AWAITING 2</t>
  </si>
  <si>
    <t>DHT TARGET</t>
  </si>
  <si>
    <t>BRASS 510</t>
  </si>
  <si>
    <t>201400010312</t>
  </si>
  <si>
    <t>ALMI VOYAGER</t>
  </si>
  <si>
    <t>BRASS 511</t>
  </si>
  <si>
    <t>201400010313</t>
  </si>
  <si>
    <t>BRASS 512</t>
  </si>
  <si>
    <t>201400010314</t>
  </si>
  <si>
    <t>BRASS 513</t>
  </si>
  <si>
    <t>201400010252</t>
  </si>
  <si>
    <t>BRASS 514</t>
  </si>
  <si>
    <t>201400020012</t>
  </si>
  <si>
    <t>BRASS 515</t>
  </si>
  <si>
    <t>2014001010078</t>
  </si>
  <si>
    <t>BRASS 516</t>
  </si>
  <si>
    <t>2014001010079</t>
  </si>
  <si>
    <t>BRASS 517</t>
  </si>
  <si>
    <t>201409030007</t>
  </si>
  <si>
    <t>BRASS 518</t>
  </si>
  <si>
    <t>AWAITING 3</t>
  </si>
  <si>
    <t>BRASS 519</t>
  </si>
  <si>
    <t>QUILIANO, ITALY FOR ORDERS</t>
  </si>
  <si>
    <t>COMPREHENSIVE INSPECTION REPORT FOR THE PERIOD OF JULY 2014</t>
  </si>
  <si>
    <t>NON-COMPLIANT INSPECTION REPORT FOR THE PERIOD OF JULY 2014</t>
  </si>
  <si>
    <t>201400010512</t>
  </si>
  <si>
    <t>Issued with 1(One) CCI for these 2(Two) split inspections</t>
  </si>
  <si>
    <t>1405109C48/ 291</t>
  </si>
  <si>
    <t>201400010321</t>
  </si>
  <si>
    <t>REMARK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</si>
</sst>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0.0000"/>
    <numFmt numFmtId="165" formatCode="0000000"/>
    <numFmt numFmtId="166" formatCode="0000000000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5" fillId="0" borderId="0" xfId="0" applyFont="1" applyAlignment="1">
      <alignment horizontal="center" wrapText="1"/>
    </xf>
    <xf numFmtId="164" fontId="6" fillId="0" borderId="4" xfId="0" applyNumberFormat="1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6" fillId="0" borderId="5" xfId="0" applyFont="1" applyFill="1" applyBorder="1" applyAlignment="1">
      <alignment horizontal="center" wrapText="1"/>
    </xf>
    <xf numFmtId="1" fontId="6" fillId="0" borderId="5" xfId="0" applyNumberFormat="1" applyFont="1" applyFill="1" applyBorder="1" applyAlignment="1">
      <alignment horizont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2" xfId="2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49" fontId="7" fillId="0" borderId="3" xfId="2" applyNumberFormat="1" applyFont="1" applyFill="1" applyBorder="1" applyAlignment="1">
      <alignment horizontal="center" vertical="center"/>
    </xf>
    <xf numFmtId="49" fontId="7" fillId="0" borderId="3" xfId="2" applyNumberFormat="1" applyFont="1" applyFill="1" applyBorder="1" applyAlignment="1">
      <alignment horizontal="center" vertical="center" wrapText="1"/>
    </xf>
    <xf numFmtId="164" fontId="7" fillId="0" borderId="3" xfId="2" applyNumberFormat="1" applyFont="1" applyFill="1" applyBorder="1" applyAlignment="1">
      <alignment horizontal="center" vertical="center" wrapText="1"/>
    </xf>
    <xf numFmtId="0" fontId="8" fillId="0" borderId="0" xfId="0" applyFont="1" applyFill="1" applyAlignment="1">
      <alignment horizontal="center"/>
    </xf>
    <xf numFmtId="0" fontId="6" fillId="0" borderId="5" xfId="0" applyFont="1" applyFill="1" applyBorder="1"/>
    <xf numFmtId="0" fontId="6" fillId="0" borderId="5" xfId="0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wrapText="1"/>
    </xf>
    <xf numFmtId="14" fontId="6" fillId="0" borderId="4" xfId="0" applyNumberFormat="1" applyFont="1" applyFill="1" applyBorder="1" applyAlignment="1">
      <alignment horizontal="center" wrapText="1"/>
    </xf>
    <xf numFmtId="49" fontId="6" fillId="0" borderId="4" xfId="0" applyNumberFormat="1" applyFont="1" applyFill="1" applyBorder="1" applyAlignment="1">
      <alignment horizontal="center" wrapText="1"/>
    </xf>
    <xf numFmtId="164" fontId="6" fillId="0" borderId="5" xfId="0" applyNumberFormat="1" applyFont="1" applyFill="1" applyBorder="1" applyAlignment="1">
      <alignment horizontal="center" wrapText="1"/>
    </xf>
    <xf numFmtId="0" fontId="6" fillId="0" borderId="4" xfId="0" applyFont="1" applyFill="1" applyBorder="1" applyAlignment="1">
      <alignment horizontal="center" wrapText="1"/>
    </xf>
    <xf numFmtId="3" fontId="6" fillId="0" borderId="4" xfId="0" applyNumberFormat="1" applyFont="1" applyFill="1" applyBorder="1"/>
    <xf numFmtId="4" fontId="6" fillId="0" borderId="5" xfId="0" applyNumberFormat="1" applyFont="1" applyFill="1" applyBorder="1" applyAlignment="1">
      <alignment horizontal="right"/>
    </xf>
    <xf numFmtId="4" fontId="6" fillId="0" borderId="5" xfId="0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/>
    </xf>
    <xf numFmtId="4" fontId="6" fillId="0" borderId="5" xfId="0" applyNumberFormat="1" applyFont="1" applyFill="1" applyBorder="1"/>
    <xf numFmtId="43" fontId="6" fillId="0" borderId="6" xfId="1" applyFont="1" applyFill="1" applyBorder="1"/>
    <xf numFmtId="0" fontId="8" fillId="0" borderId="0" xfId="0" applyFont="1" applyFill="1"/>
    <xf numFmtId="0" fontId="6" fillId="0" borderId="8" xfId="0" applyFont="1" applyFill="1" applyBorder="1" applyAlignment="1">
      <alignment horizontal="center" wrapText="1"/>
    </xf>
    <xf numFmtId="164" fontId="6" fillId="0" borderId="5" xfId="4" applyNumberFormat="1" applyFont="1" applyFill="1" applyBorder="1" applyAlignment="1">
      <alignment horizontal="center"/>
    </xf>
    <xf numFmtId="14" fontId="6" fillId="0" borderId="5" xfId="0" applyNumberFormat="1" applyFont="1" applyFill="1" applyBorder="1" applyAlignment="1">
      <alignment horizontal="center" vertical="center" wrapText="1"/>
    </xf>
    <xf numFmtId="2" fontId="6" fillId="0" borderId="5" xfId="0" applyNumberFormat="1" applyFont="1" applyFill="1" applyBorder="1"/>
    <xf numFmtId="3" fontId="6" fillId="0" borderId="6" xfId="0" applyNumberFormat="1" applyFont="1" applyFill="1" applyBorder="1" applyAlignment="1" applyProtection="1">
      <protection locked="0"/>
    </xf>
    <xf numFmtId="4" fontId="6" fillId="0" borderId="6" xfId="0" applyNumberFormat="1" applyFont="1" applyFill="1" applyBorder="1" applyAlignment="1">
      <alignment horizontal="right"/>
    </xf>
    <xf numFmtId="164" fontId="6" fillId="0" borderId="4" xfId="4" applyNumberFormat="1" applyFont="1" applyFill="1" applyBorder="1" applyAlignment="1">
      <alignment horizontal="center"/>
    </xf>
    <xf numFmtId="4" fontId="6" fillId="0" borderId="6" xfId="0" applyNumberFormat="1" applyFont="1" applyFill="1" applyBorder="1"/>
    <xf numFmtId="2" fontId="6" fillId="0" borderId="6" xfId="0" applyNumberFormat="1" applyFont="1" applyFill="1" applyBorder="1"/>
    <xf numFmtId="0" fontId="8" fillId="0" borderId="0" xfId="0" applyFont="1" applyFill="1" applyAlignment="1">
      <alignment horizontal="left"/>
    </xf>
    <xf numFmtId="0" fontId="8" fillId="0" borderId="0" xfId="0" applyFont="1" applyFill="1" applyAlignment="1">
      <alignment horizontal="center" wrapText="1"/>
    </xf>
    <xf numFmtId="0" fontId="6" fillId="0" borderId="0" xfId="0" applyFont="1" applyFill="1" applyAlignment="1">
      <alignment horizontal="center" wrapText="1"/>
    </xf>
    <xf numFmtId="3" fontId="7" fillId="0" borderId="7" xfId="0" applyNumberFormat="1" applyFont="1" applyFill="1" applyBorder="1"/>
    <xf numFmtId="4" fontId="7" fillId="0" borderId="7" xfId="0" applyNumberFormat="1" applyFont="1" applyFill="1" applyBorder="1"/>
    <xf numFmtId="0" fontId="7" fillId="0" borderId="0" xfId="0" applyFont="1" applyFill="1"/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center"/>
    </xf>
    <xf numFmtId="43" fontId="7" fillId="0" borderId="7" xfId="0" applyNumberFormat="1" applyFont="1" applyFill="1" applyBorder="1"/>
    <xf numFmtId="3" fontId="6" fillId="0" borderId="5" xfId="0" applyNumberFormat="1" applyFont="1" applyFill="1" applyBorder="1"/>
    <xf numFmtId="43" fontId="6" fillId="0" borderId="5" xfId="1" applyFont="1" applyFill="1" applyBorder="1"/>
    <xf numFmtId="165" fontId="6" fillId="0" borderId="5" xfId="0" applyNumberFormat="1" applyFont="1" applyFill="1" applyBorder="1" applyAlignment="1">
      <alignment horizontal="center"/>
    </xf>
    <xf numFmtId="49" fontId="6" fillId="0" borderId="5" xfId="0" applyNumberFormat="1" applyFont="1" applyFill="1" applyBorder="1" applyAlignment="1">
      <alignment horizontal="center" wrapText="1"/>
    </xf>
    <xf numFmtId="3" fontId="6" fillId="0" borderId="5" xfId="0" applyNumberFormat="1" applyFont="1" applyFill="1" applyBorder="1" applyAlignment="1" applyProtection="1">
      <protection locked="0"/>
    </xf>
    <xf numFmtId="0" fontId="6" fillId="0" borderId="4" xfId="0" applyFont="1" applyFill="1" applyBorder="1" applyAlignment="1">
      <alignment horizontal="center"/>
    </xf>
    <xf numFmtId="43" fontId="7" fillId="0" borderId="7" xfId="1" applyFont="1" applyFill="1" applyBorder="1"/>
    <xf numFmtId="0" fontId="7" fillId="0" borderId="9" xfId="2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/>
    <xf numFmtId="0" fontId="6" fillId="0" borderId="4" xfId="0" applyFont="1" applyFill="1" applyBorder="1"/>
    <xf numFmtId="166" fontId="6" fillId="0" borderId="4" xfId="0" applyNumberFormat="1" applyFont="1" applyFill="1" applyBorder="1" applyAlignment="1">
      <alignment horizontal="center"/>
    </xf>
    <xf numFmtId="164" fontId="6" fillId="0" borderId="4" xfId="0" applyNumberFormat="1" applyFont="1" applyFill="1" applyBorder="1" applyAlignment="1">
      <alignment horizontal="center" wrapText="1"/>
    </xf>
    <xf numFmtId="4" fontId="6" fillId="0" borderId="4" xfId="0" applyNumberFormat="1" applyFont="1" applyFill="1" applyBorder="1" applyAlignment="1">
      <alignment horizontal="right"/>
    </xf>
    <xf numFmtId="4" fontId="6" fillId="0" borderId="4" xfId="0" applyNumberFormat="1" applyFont="1" applyFill="1" applyBorder="1" applyAlignment="1">
      <alignment horizontal="center"/>
    </xf>
    <xf numFmtId="14" fontId="6" fillId="0" borderId="4" xfId="0" applyNumberFormat="1" applyFont="1" applyFill="1" applyBorder="1" applyAlignment="1">
      <alignment horizontal="center"/>
    </xf>
    <xf numFmtId="4" fontId="6" fillId="0" borderId="4" xfId="0" applyNumberFormat="1" applyFont="1" applyFill="1" applyBorder="1"/>
    <xf numFmtId="43" fontId="6" fillId="0" borderId="4" xfId="1" applyFont="1" applyFill="1" applyBorder="1"/>
    <xf numFmtId="165" fontId="6" fillId="0" borderId="4" xfId="0" applyNumberFormat="1" applyFont="1" applyFill="1" applyBorder="1" applyAlignment="1">
      <alignment horizontal="center"/>
    </xf>
    <xf numFmtId="0" fontId="8" fillId="0" borderId="4" xfId="0" applyFont="1" applyFill="1" applyBorder="1"/>
    <xf numFmtId="2" fontId="7" fillId="0" borderId="7" xfId="0" applyNumberFormat="1" applyFont="1" applyFill="1" applyBorder="1"/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</cellXfs>
  <cellStyles count="13">
    <cellStyle name="Check Cell" xfId="2" builtinId="23"/>
    <cellStyle name="Comma" xfId="1" builtinId="3"/>
    <cellStyle name="Comma 11" xfId="3"/>
    <cellStyle name="Comma 13" xfId="6"/>
    <cellStyle name="Comma 14" xfId="7"/>
    <cellStyle name="Comma 15" xfId="8"/>
    <cellStyle name="Comma 2" xfId="4"/>
    <cellStyle name="Comma 2 2" xfId="9"/>
    <cellStyle name="Comma 2 3" xfId="5"/>
    <cellStyle name="Comma 6" xfId="10"/>
    <cellStyle name="Comma 7" xfId="11"/>
    <cellStyle name="Comma 8" xfId="12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1</xdr:row>
      <xdr:rowOff>104775</xdr:rowOff>
    </xdr:from>
    <xdr:to>
      <xdr:col>3</xdr:col>
      <xdr:colOff>504825</xdr:colOff>
      <xdr:row>2</xdr:row>
      <xdr:rowOff>180976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" y="295275"/>
          <a:ext cx="409575" cy="2762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1</xdr:row>
      <xdr:rowOff>38099</xdr:rowOff>
    </xdr:from>
    <xdr:to>
      <xdr:col>3</xdr:col>
      <xdr:colOff>495300</xdr:colOff>
      <xdr:row>2</xdr:row>
      <xdr:rowOff>161925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52500" y="228599"/>
          <a:ext cx="457200" cy="32385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1</xdr:row>
      <xdr:rowOff>9525</xdr:rowOff>
    </xdr:from>
    <xdr:to>
      <xdr:col>4</xdr:col>
      <xdr:colOff>0</xdr:colOff>
      <xdr:row>2</xdr:row>
      <xdr:rowOff>85726</xdr:rowOff>
    </xdr:to>
    <xdr:pic>
      <xdr:nvPicPr>
        <xdr:cNvPr id="2" name="Picture 1" descr="C:\Documents and Settings\Administrator.MASTER\Desktop\rilogo.jpg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62025" y="200025"/>
          <a:ext cx="409575" cy="2762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AB31"/>
  <sheetViews>
    <sheetView tabSelected="1" workbookViewId="0">
      <selection activeCell="G33" sqref="G33"/>
    </sheetView>
  </sheetViews>
  <sheetFormatPr defaultRowHeight="15"/>
  <cols>
    <col min="1" max="1" width="3.42578125" customWidth="1"/>
    <col min="2" max="2" width="4.140625" customWidth="1"/>
    <col min="3" max="3" width="5.28515625" style="3" customWidth="1"/>
    <col min="4" max="4" width="7.7109375" style="3" customWidth="1"/>
    <col min="5" max="5" width="5.42578125" style="3" customWidth="1"/>
    <col min="6" max="6" width="10.7109375" style="3" customWidth="1"/>
    <col min="7" max="7" width="8.5703125" style="3" customWidth="1"/>
    <col min="8" max="8" width="8" style="3" customWidth="1"/>
    <col min="9" max="9" width="8.85546875" style="3" customWidth="1"/>
    <col min="10" max="10" width="6.140625" customWidth="1"/>
    <col min="11" max="11" width="6" style="1" customWidth="1"/>
    <col min="12" max="12" width="10.28515625" style="3" customWidth="1"/>
    <col min="13" max="13" width="5.28515625" style="3" customWidth="1"/>
    <col min="14" max="14" width="7.28515625" style="5" customWidth="1"/>
    <col min="15" max="15" width="8.7109375" style="6" customWidth="1"/>
    <col min="16" max="16" width="7.5703125" customWidth="1"/>
    <col min="17" max="17" width="10.5703125" customWidth="1"/>
    <col min="18" max="18" width="6.140625" customWidth="1"/>
    <col min="19" max="19" width="6.85546875" style="8" customWidth="1"/>
    <col min="20" max="20" width="7" style="1" customWidth="1"/>
    <col min="21" max="21" width="7.5703125" style="3" customWidth="1"/>
    <col min="22" max="22" width="9.140625" customWidth="1"/>
    <col min="23" max="23" width="5.28515625" customWidth="1"/>
    <col min="24" max="24" width="11.28515625" customWidth="1"/>
    <col min="25" max="25" width="11" customWidth="1"/>
    <col min="26" max="27" width="5.28515625" customWidth="1"/>
  </cols>
  <sheetData>
    <row r="2" spans="2:28" ht="15.75">
      <c r="L2" s="4" t="s">
        <v>0</v>
      </c>
    </row>
    <row r="3" spans="2:28" ht="23.25" customHeight="1" thickBot="1">
      <c r="L3" s="4" t="s">
        <v>236</v>
      </c>
      <c r="P3" s="2"/>
    </row>
    <row r="4" spans="2:28" s="3" customFormat="1" ht="42.6" customHeight="1" thickBot="1">
      <c r="B4" s="12" t="s">
        <v>1</v>
      </c>
      <c r="C4" s="13" t="s">
        <v>2</v>
      </c>
      <c r="D4" s="13" t="s">
        <v>3</v>
      </c>
      <c r="E4" s="13" t="s">
        <v>4</v>
      </c>
      <c r="F4" s="14" t="s">
        <v>5</v>
      </c>
      <c r="G4" s="15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6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58" t="s">
        <v>242</v>
      </c>
    </row>
    <row r="5" spans="2:28" ht="21.75" customHeight="1">
      <c r="B5" s="18">
        <v>1</v>
      </c>
      <c r="C5" s="9" t="s">
        <v>139</v>
      </c>
      <c r="D5" s="20" t="s">
        <v>140</v>
      </c>
      <c r="E5" s="21">
        <v>41851</v>
      </c>
      <c r="F5" s="22" t="s">
        <v>141</v>
      </c>
      <c r="G5" s="9" t="s">
        <v>142</v>
      </c>
      <c r="H5" s="9" t="s">
        <v>143</v>
      </c>
      <c r="I5" s="9" t="s">
        <v>39</v>
      </c>
      <c r="J5" s="23">
        <v>801.22</v>
      </c>
      <c r="K5" s="21">
        <v>41822</v>
      </c>
      <c r="L5" s="24" t="s">
        <v>144</v>
      </c>
      <c r="M5" s="24" t="s">
        <v>33</v>
      </c>
      <c r="N5" s="9" t="s">
        <v>145</v>
      </c>
      <c r="O5" s="11" t="s">
        <v>146</v>
      </c>
      <c r="P5" s="25">
        <v>150000</v>
      </c>
      <c r="Q5" s="26">
        <f t="shared" ref="Q5:Q30" si="0">SUM(P5*S5)</f>
        <v>16750650.000000002</v>
      </c>
      <c r="R5" s="27" t="s">
        <v>27</v>
      </c>
      <c r="S5" s="7">
        <v>111.67100000000001</v>
      </c>
      <c r="T5" s="28">
        <f t="shared" ref="T5:T20" si="1">SUM(K5)+89</f>
        <v>41911</v>
      </c>
      <c r="U5" s="9" t="s">
        <v>142</v>
      </c>
      <c r="V5" s="29">
        <f t="shared" ref="V5:V29" si="2">SUM(Q5*0.12%)</f>
        <v>20100.78</v>
      </c>
      <c r="W5" s="19">
        <v>155.72999999999999</v>
      </c>
      <c r="X5" s="26">
        <f t="shared" ref="X5:X30" si="3">SUM(V5*W5)</f>
        <v>3130294.4693999998</v>
      </c>
      <c r="Y5" s="30">
        <f t="shared" ref="Y5:Y16" si="4">X5</f>
        <v>3130294.4693999998</v>
      </c>
      <c r="Z5" s="19"/>
      <c r="AA5" s="19"/>
      <c r="AB5" s="19"/>
    </row>
    <row r="6" spans="2:28" ht="21.75" customHeight="1">
      <c r="B6" s="18">
        <f t="shared" ref="B6:B20" si="5">B5+1</f>
        <v>2</v>
      </c>
      <c r="C6" s="9" t="s">
        <v>147</v>
      </c>
      <c r="D6" s="20" t="s">
        <v>148</v>
      </c>
      <c r="E6" s="21">
        <v>41851</v>
      </c>
      <c r="F6" s="22" t="s">
        <v>149</v>
      </c>
      <c r="G6" s="9" t="s">
        <v>142</v>
      </c>
      <c r="H6" s="9" t="s">
        <v>143</v>
      </c>
      <c r="I6" s="9" t="s">
        <v>39</v>
      </c>
      <c r="J6" s="23">
        <v>801.22</v>
      </c>
      <c r="K6" s="21">
        <v>41822</v>
      </c>
      <c r="L6" s="24" t="s">
        <v>144</v>
      </c>
      <c r="M6" s="24" t="s">
        <v>33</v>
      </c>
      <c r="N6" s="9" t="s">
        <v>145</v>
      </c>
      <c r="O6" s="11" t="s">
        <v>146</v>
      </c>
      <c r="P6" s="25">
        <v>173483</v>
      </c>
      <c r="Q6" s="26">
        <f t="shared" si="0"/>
        <v>19373020.093000002</v>
      </c>
      <c r="R6" s="27" t="s">
        <v>27</v>
      </c>
      <c r="S6" s="7">
        <v>111.67100000000001</v>
      </c>
      <c r="T6" s="28">
        <f t="shared" si="1"/>
        <v>41911</v>
      </c>
      <c r="U6" s="9" t="s">
        <v>142</v>
      </c>
      <c r="V6" s="29">
        <f t="shared" si="2"/>
        <v>23247.624111600002</v>
      </c>
      <c r="W6" s="19">
        <v>155.72999999999999</v>
      </c>
      <c r="X6" s="26">
        <f t="shared" si="3"/>
        <v>3620352.5028994679</v>
      </c>
      <c r="Y6" s="30">
        <f t="shared" si="4"/>
        <v>3620352.5028994679</v>
      </c>
      <c r="Z6" s="19"/>
      <c r="AA6" s="19"/>
      <c r="AB6" s="19"/>
    </row>
    <row r="7" spans="2:28" ht="21.75" customHeight="1">
      <c r="B7" s="18">
        <f t="shared" si="5"/>
        <v>3</v>
      </c>
      <c r="C7" s="9" t="s">
        <v>150</v>
      </c>
      <c r="D7" s="20" t="s">
        <v>151</v>
      </c>
      <c r="E7" s="21">
        <v>41851</v>
      </c>
      <c r="F7" s="22" t="s">
        <v>152</v>
      </c>
      <c r="G7" s="9" t="s">
        <v>142</v>
      </c>
      <c r="H7" s="9" t="s">
        <v>143</v>
      </c>
      <c r="I7" s="9" t="s">
        <v>39</v>
      </c>
      <c r="J7" s="23">
        <v>801.22</v>
      </c>
      <c r="K7" s="21">
        <v>41822</v>
      </c>
      <c r="L7" s="24" t="s">
        <v>144</v>
      </c>
      <c r="M7" s="24" t="s">
        <v>33</v>
      </c>
      <c r="N7" s="9" t="s">
        <v>145</v>
      </c>
      <c r="O7" s="11" t="s">
        <v>146</v>
      </c>
      <c r="P7" s="25">
        <v>180000</v>
      </c>
      <c r="Q7" s="26">
        <f t="shared" si="0"/>
        <v>20100780</v>
      </c>
      <c r="R7" s="27" t="s">
        <v>27</v>
      </c>
      <c r="S7" s="7">
        <v>111.67100000000001</v>
      </c>
      <c r="T7" s="28">
        <f t="shared" si="1"/>
        <v>41911</v>
      </c>
      <c r="U7" s="9" t="s">
        <v>142</v>
      </c>
      <c r="V7" s="29">
        <f t="shared" si="2"/>
        <v>24120.935999999998</v>
      </c>
      <c r="W7" s="19">
        <v>155.72999999999999</v>
      </c>
      <c r="X7" s="26">
        <f t="shared" si="3"/>
        <v>3756353.3632799992</v>
      </c>
      <c r="Y7" s="30">
        <f t="shared" si="4"/>
        <v>3756353.3632799992</v>
      </c>
      <c r="Z7" s="19"/>
      <c r="AA7" s="19"/>
      <c r="AB7" s="19"/>
    </row>
    <row r="8" spans="2:28" ht="21.75" customHeight="1">
      <c r="B8" s="18">
        <f t="shared" si="5"/>
        <v>4</v>
      </c>
      <c r="C8" s="9" t="s">
        <v>153</v>
      </c>
      <c r="D8" s="20" t="s">
        <v>154</v>
      </c>
      <c r="E8" s="21">
        <v>41851</v>
      </c>
      <c r="F8" s="22" t="s">
        <v>155</v>
      </c>
      <c r="G8" s="9" t="s">
        <v>142</v>
      </c>
      <c r="H8" s="9" t="s">
        <v>143</v>
      </c>
      <c r="I8" s="9" t="s">
        <v>39</v>
      </c>
      <c r="J8" s="23">
        <v>801.22</v>
      </c>
      <c r="K8" s="21">
        <v>41822</v>
      </c>
      <c r="L8" s="24" t="s">
        <v>144</v>
      </c>
      <c r="M8" s="24" t="s">
        <v>33</v>
      </c>
      <c r="N8" s="9" t="s">
        <v>145</v>
      </c>
      <c r="O8" s="11" t="s">
        <v>146</v>
      </c>
      <c r="P8" s="25">
        <v>180000</v>
      </c>
      <c r="Q8" s="26">
        <f t="shared" si="0"/>
        <v>20100780</v>
      </c>
      <c r="R8" s="27" t="s">
        <v>27</v>
      </c>
      <c r="S8" s="7">
        <v>111.67100000000001</v>
      </c>
      <c r="T8" s="28">
        <f t="shared" si="1"/>
        <v>41911</v>
      </c>
      <c r="U8" s="9" t="s">
        <v>142</v>
      </c>
      <c r="V8" s="29">
        <f t="shared" si="2"/>
        <v>24120.935999999998</v>
      </c>
      <c r="W8" s="19">
        <v>155.72999999999999</v>
      </c>
      <c r="X8" s="26">
        <f t="shared" si="3"/>
        <v>3756353.3632799992</v>
      </c>
      <c r="Y8" s="30">
        <f t="shared" si="4"/>
        <v>3756353.3632799992</v>
      </c>
      <c r="Z8" s="19"/>
      <c r="AA8" s="19"/>
      <c r="AB8" s="19"/>
    </row>
    <row r="9" spans="2:28" ht="21.75" customHeight="1">
      <c r="B9" s="18">
        <f t="shared" si="5"/>
        <v>5</v>
      </c>
      <c r="C9" s="9" t="s">
        <v>156</v>
      </c>
      <c r="D9" s="20" t="s">
        <v>157</v>
      </c>
      <c r="E9" s="21">
        <v>41851</v>
      </c>
      <c r="F9" s="22" t="s">
        <v>158</v>
      </c>
      <c r="G9" s="9" t="s">
        <v>142</v>
      </c>
      <c r="H9" s="9" t="s">
        <v>143</v>
      </c>
      <c r="I9" s="9" t="s">
        <v>39</v>
      </c>
      <c r="J9" s="23">
        <v>801.22</v>
      </c>
      <c r="K9" s="21">
        <v>41822</v>
      </c>
      <c r="L9" s="24" t="s">
        <v>144</v>
      </c>
      <c r="M9" s="24" t="s">
        <v>33</v>
      </c>
      <c r="N9" s="9" t="s">
        <v>145</v>
      </c>
      <c r="O9" s="11" t="s">
        <v>146</v>
      </c>
      <c r="P9" s="25">
        <v>169000</v>
      </c>
      <c r="Q9" s="26">
        <f t="shared" si="0"/>
        <v>18872399</v>
      </c>
      <c r="R9" s="27" t="s">
        <v>27</v>
      </c>
      <c r="S9" s="7">
        <v>111.67100000000001</v>
      </c>
      <c r="T9" s="28">
        <f t="shared" si="1"/>
        <v>41911</v>
      </c>
      <c r="U9" s="9" t="s">
        <v>142</v>
      </c>
      <c r="V9" s="29">
        <f t="shared" si="2"/>
        <v>22646.878799999999</v>
      </c>
      <c r="W9" s="19">
        <v>155.72999999999999</v>
      </c>
      <c r="X9" s="26">
        <f t="shared" si="3"/>
        <v>3526798.4355239994</v>
      </c>
      <c r="Y9" s="30">
        <f t="shared" si="4"/>
        <v>3526798.4355239994</v>
      </c>
      <c r="Z9" s="19"/>
      <c r="AA9" s="19"/>
      <c r="AB9" s="19"/>
    </row>
    <row r="10" spans="2:28" ht="21.75" customHeight="1">
      <c r="B10" s="18">
        <f t="shared" si="5"/>
        <v>6</v>
      </c>
      <c r="C10" s="9" t="s">
        <v>159</v>
      </c>
      <c r="D10" s="20" t="s">
        <v>160</v>
      </c>
      <c r="E10" s="21">
        <v>41851</v>
      </c>
      <c r="F10" s="22" t="s">
        <v>161</v>
      </c>
      <c r="G10" s="9" t="s">
        <v>142</v>
      </c>
      <c r="H10" s="9" t="s">
        <v>143</v>
      </c>
      <c r="I10" s="9" t="s">
        <v>39</v>
      </c>
      <c r="J10" s="23">
        <v>801.22</v>
      </c>
      <c r="K10" s="21">
        <v>41822</v>
      </c>
      <c r="L10" s="24" t="s">
        <v>144</v>
      </c>
      <c r="M10" s="24" t="s">
        <v>33</v>
      </c>
      <c r="N10" s="9" t="s">
        <v>145</v>
      </c>
      <c r="O10" s="11" t="s">
        <v>146</v>
      </c>
      <c r="P10" s="25">
        <v>47000</v>
      </c>
      <c r="Q10" s="26">
        <f t="shared" si="0"/>
        <v>5248537</v>
      </c>
      <c r="R10" s="27" t="s">
        <v>27</v>
      </c>
      <c r="S10" s="7">
        <v>111.67100000000001</v>
      </c>
      <c r="T10" s="28">
        <f t="shared" si="1"/>
        <v>41911</v>
      </c>
      <c r="U10" s="9" t="s">
        <v>142</v>
      </c>
      <c r="V10" s="29">
        <f t="shared" si="2"/>
        <v>6298.2443999999996</v>
      </c>
      <c r="W10" s="19">
        <v>155.72999999999999</v>
      </c>
      <c r="X10" s="26">
        <f t="shared" si="3"/>
        <v>980825.60041199985</v>
      </c>
      <c r="Y10" s="30">
        <f t="shared" si="4"/>
        <v>980825.60041199985</v>
      </c>
      <c r="Z10" s="19"/>
      <c r="AA10" s="19"/>
      <c r="AB10" s="19"/>
    </row>
    <row r="11" spans="2:28" ht="21.75" customHeight="1">
      <c r="B11" s="18">
        <f t="shared" si="5"/>
        <v>7</v>
      </c>
      <c r="C11" s="9" t="s">
        <v>162</v>
      </c>
      <c r="D11" s="20" t="s">
        <v>163</v>
      </c>
      <c r="E11" s="21">
        <v>41851</v>
      </c>
      <c r="F11" s="22" t="s">
        <v>164</v>
      </c>
      <c r="G11" s="9" t="s">
        <v>142</v>
      </c>
      <c r="H11" s="9" t="s">
        <v>143</v>
      </c>
      <c r="I11" s="9" t="s">
        <v>39</v>
      </c>
      <c r="J11" s="23">
        <v>801.22</v>
      </c>
      <c r="K11" s="21">
        <v>41822</v>
      </c>
      <c r="L11" s="24" t="s">
        <v>144</v>
      </c>
      <c r="M11" s="24" t="s">
        <v>33</v>
      </c>
      <c r="N11" s="9" t="s">
        <v>145</v>
      </c>
      <c r="O11" s="11" t="s">
        <v>146</v>
      </c>
      <c r="P11" s="25">
        <v>50000</v>
      </c>
      <c r="Q11" s="26">
        <f t="shared" si="0"/>
        <v>5583550</v>
      </c>
      <c r="R11" s="27" t="s">
        <v>27</v>
      </c>
      <c r="S11" s="7">
        <v>111.67100000000001</v>
      </c>
      <c r="T11" s="28">
        <f t="shared" si="1"/>
        <v>41911</v>
      </c>
      <c r="U11" s="9" t="s">
        <v>142</v>
      </c>
      <c r="V11" s="29">
        <f t="shared" si="2"/>
        <v>6700.2599999999993</v>
      </c>
      <c r="W11" s="19">
        <v>155.72999999999999</v>
      </c>
      <c r="X11" s="26">
        <f t="shared" si="3"/>
        <v>1043431.4897999999</v>
      </c>
      <c r="Y11" s="30">
        <f t="shared" si="4"/>
        <v>1043431.4897999999</v>
      </c>
      <c r="Z11" s="19"/>
      <c r="AA11" s="19"/>
      <c r="AB11" s="19"/>
    </row>
    <row r="12" spans="2:28" ht="21.75" customHeight="1">
      <c r="B12" s="18">
        <f t="shared" si="5"/>
        <v>8</v>
      </c>
      <c r="C12" s="9" t="s">
        <v>165</v>
      </c>
      <c r="D12" s="20" t="s">
        <v>166</v>
      </c>
      <c r="E12" s="21">
        <v>41851</v>
      </c>
      <c r="F12" s="10" t="s">
        <v>167</v>
      </c>
      <c r="G12" s="9" t="s">
        <v>142</v>
      </c>
      <c r="H12" s="9" t="s">
        <v>143</v>
      </c>
      <c r="I12" s="9" t="s">
        <v>132</v>
      </c>
      <c r="J12" s="23">
        <v>801.22</v>
      </c>
      <c r="K12" s="21">
        <v>41823</v>
      </c>
      <c r="L12" s="24" t="s">
        <v>168</v>
      </c>
      <c r="M12" s="32" t="s">
        <v>134</v>
      </c>
      <c r="N12" s="9" t="s">
        <v>36</v>
      </c>
      <c r="O12" s="11" t="s">
        <v>169</v>
      </c>
      <c r="P12" s="25">
        <v>475646</v>
      </c>
      <c r="Q12" s="26">
        <f t="shared" si="0"/>
        <v>53307549.803999998</v>
      </c>
      <c r="R12" s="27" t="s">
        <v>27</v>
      </c>
      <c r="S12" s="33">
        <v>112.074</v>
      </c>
      <c r="T12" s="28">
        <f t="shared" si="1"/>
        <v>41912</v>
      </c>
      <c r="U12" s="9" t="s">
        <v>142</v>
      </c>
      <c r="V12" s="29">
        <f t="shared" si="2"/>
        <v>63969.059764799989</v>
      </c>
      <c r="W12" s="19">
        <v>155.72999999999999</v>
      </c>
      <c r="X12" s="26">
        <f t="shared" si="3"/>
        <v>9961901.6771723013</v>
      </c>
      <c r="Y12" s="30">
        <f t="shared" si="4"/>
        <v>9961901.6771723013</v>
      </c>
      <c r="Z12" s="19"/>
      <c r="AA12" s="19"/>
      <c r="AB12" s="72" t="s">
        <v>239</v>
      </c>
    </row>
    <row r="13" spans="2:28" ht="21.75" customHeight="1">
      <c r="B13" s="18">
        <f t="shared" si="5"/>
        <v>9</v>
      </c>
      <c r="C13" s="9" t="s">
        <v>170</v>
      </c>
      <c r="D13" s="20" t="s">
        <v>166</v>
      </c>
      <c r="E13" s="21">
        <v>41851</v>
      </c>
      <c r="F13" s="10" t="s">
        <v>240</v>
      </c>
      <c r="G13" s="9" t="s">
        <v>142</v>
      </c>
      <c r="H13" s="9" t="s">
        <v>143</v>
      </c>
      <c r="I13" s="9" t="s">
        <v>132</v>
      </c>
      <c r="J13" s="23">
        <v>801.22</v>
      </c>
      <c r="K13" s="21">
        <v>41823</v>
      </c>
      <c r="L13" s="24" t="s">
        <v>168</v>
      </c>
      <c r="M13" s="32" t="s">
        <v>134</v>
      </c>
      <c r="N13" s="9" t="s">
        <v>171</v>
      </c>
      <c r="O13" s="11" t="s">
        <v>172</v>
      </c>
      <c r="P13" s="25">
        <v>475000</v>
      </c>
      <c r="Q13" s="26">
        <f t="shared" si="0"/>
        <v>53235150</v>
      </c>
      <c r="R13" s="27" t="s">
        <v>27</v>
      </c>
      <c r="S13" s="33">
        <v>112.074</v>
      </c>
      <c r="T13" s="28">
        <f t="shared" si="1"/>
        <v>41912</v>
      </c>
      <c r="U13" s="9" t="s">
        <v>142</v>
      </c>
      <c r="V13" s="29">
        <f t="shared" si="2"/>
        <v>63882.179999999993</v>
      </c>
      <c r="W13" s="19">
        <v>155.72999999999999</v>
      </c>
      <c r="X13" s="26">
        <f t="shared" si="3"/>
        <v>9948371.8913999982</v>
      </c>
      <c r="Y13" s="30">
        <f t="shared" si="4"/>
        <v>9948371.8913999982</v>
      </c>
      <c r="Z13" s="19"/>
      <c r="AA13" s="19"/>
      <c r="AB13" s="73"/>
    </row>
    <row r="14" spans="2:28" ht="21.75" customHeight="1">
      <c r="B14" s="18">
        <f t="shared" si="5"/>
        <v>10</v>
      </c>
      <c r="C14" s="9" t="s">
        <v>173</v>
      </c>
      <c r="D14" s="20" t="s">
        <v>174</v>
      </c>
      <c r="E14" s="21">
        <v>41851</v>
      </c>
      <c r="F14" s="10" t="s">
        <v>175</v>
      </c>
      <c r="G14" s="9" t="s">
        <v>142</v>
      </c>
      <c r="H14" s="9" t="s">
        <v>143</v>
      </c>
      <c r="I14" s="9" t="s">
        <v>176</v>
      </c>
      <c r="J14" s="23">
        <v>801.22</v>
      </c>
      <c r="K14" s="21">
        <v>41830</v>
      </c>
      <c r="L14" s="24" t="s">
        <v>177</v>
      </c>
      <c r="M14" s="32" t="s">
        <v>178</v>
      </c>
      <c r="N14" s="9" t="s">
        <v>179</v>
      </c>
      <c r="O14" s="11" t="s">
        <v>180</v>
      </c>
      <c r="P14" s="25">
        <v>899827</v>
      </c>
      <c r="Q14" s="26">
        <f t="shared" si="0"/>
        <v>97880481.578999996</v>
      </c>
      <c r="R14" s="27" t="s">
        <v>27</v>
      </c>
      <c r="S14" s="33">
        <v>108.777</v>
      </c>
      <c r="T14" s="28">
        <f t="shared" si="1"/>
        <v>41919</v>
      </c>
      <c r="U14" s="9" t="s">
        <v>142</v>
      </c>
      <c r="V14" s="29">
        <f t="shared" si="2"/>
        <v>117456.57789479998</v>
      </c>
      <c r="W14" s="19">
        <v>155.72999999999999</v>
      </c>
      <c r="X14" s="26">
        <f t="shared" si="3"/>
        <v>18291512.875557199</v>
      </c>
      <c r="Y14" s="30">
        <f t="shared" si="4"/>
        <v>18291512.875557199</v>
      </c>
      <c r="Z14" s="19"/>
      <c r="AA14" s="19"/>
      <c r="AB14" s="19"/>
    </row>
    <row r="15" spans="2:28" ht="21.75" customHeight="1">
      <c r="B15" s="18">
        <f t="shared" si="5"/>
        <v>11</v>
      </c>
      <c r="C15" s="9" t="s">
        <v>181</v>
      </c>
      <c r="D15" s="20" t="s">
        <v>182</v>
      </c>
      <c r="E15" s="21">
        <v>41851</v>
      </c>
      <c r="F15" s="22" t="s">
        <v>183</v>
      </c>
      <c r="G15" s="9" t="s">
        <v>142</v>
      </c>
      <c r="H15" s="24" t="s">
        <v>143</v>
      </c>
      <c r="I15" s="9" t="s">
        <v>39</v>
      </c>
      <c r="J15" s="23">
        <v>801.22</v>
      </c>
      <c r="K15" s="21">
        <v>41832</v>
      </c>
      <c r="L15" s="24" t="s">
        <v>184</v>
      </c>
      <c r="M15" s="24" t="s">
        <v>33</v>
      </c>
      <c r="N15" s="9" t="s">
        <v>185</v>
      </c>
      <c r="O15" s="11" t="s">
        <v>186</v>
      </c>
      <c r="P15" s="25">
        <v>768328</v>
      </c>
      <c r="Q15" s="26">
        <f t="shared" si="0"/>
        <v>82171142.943999991</v>
      </c>
      <c r="R15" s="27" t="s">
        <v>27</v>
      </c>
      <c r="S15" s="33">
        <v>106.94799999999999</v>
      </c>
      <c r="T15" s="28">
        <f t="shared" si="1"/>
        <v>41921</v>
      </c>
      <c r="U15" s="9" t="s">
        <v>142</v>
      </c>
      <c r="V15" s="29">
        <f t="shared" si="2"/>
        <v>98605.371532799982</v>
      </c>
      <c r="W15" s="19">
        <v>155.72999999999999</v>
      </c>
      <c r="X15" s="26">
        <f t="shared" si="3"/>
        <v>15355814.508802939</v>
      </c>
      <c r="Y15" s="30">
        <f t="shared" si="4"/>
        <v>15355814.508802939</v>
      </c>
      <c r="Z15" s="19"/>
      <c r="AA15" s="19"/>
      <c r="AB15" s="19"/>
    </row>
    <row r="16" spans="2:28" ht="21.75" customHeight="1">
      <c r="B16" s="18">
        <f t="shared" si="5"/>
        <v>12</v>
      </c>
      <c r="C16" s="9" t="s">
        <v>187</v>
      </c>
      <c r="D16" s="20" t="s">
        <v>188</v>
      </c>
      <c r="E16" s="21">
        <v>41851</v>
      </c>
      <c r="F16" s="22" t="s">
        <v>189</v>
      </c>
      <c r="G16" s="9" t="s">
        <v>142</v>
      </c>
      <c r="H16" s="24" t="s">
        <v>143</v>
      </c>
      <c r="I16" s="9" t="s">
        <v>39</v>
      </c>
      <c r="J16" s="23">
        <v>801.22</v>
      </c>
      <c r="K16" s="21">
        <v>41832</v>
      </c>
      <c r="L16" s="24" t="s">
        <v>184</v>
      </c>
      <c r="M16" s="24" t="s">
        <v>33</v>
      </c>
      <c r="N16" s="9" t="s">
        <v>185</v>
      </c>
      <c r="O16" s="11" t="s">
        <v>186</v>
      </c>
      <c r="P16" s="25">
        <v>180000</v>
      </c>
      <c r="Q16" s="26">
        <f t="shared" si="0"/>
        <v>19250640</v>
      </c>
      <c r="R16" s="27" t="s">
        <v>27</v>
      </c>
      <c r="S16" s="33">
        <v>106.94799999999999</v>
      </c>
      <c r="T16" s="28">
        <f t="shared" si="1"/>
        <v>41921</v>
      </c>
      <c r="U16" s="9" t="s">
        <v>142</v>
      </c>
      <c r="V16" s="29">
        <f t="shared" si="2"/>
        <v>23100.767999999996</v>
      </c>
      <c r="W16" s="19">
        <v>155.72999999999999</v>
      </c>
      <c r="X16" s="26">
        <f t="shared" si="3"/>
        <v>3597482.6006399994</v>
      </c>
      <c r="Y16" s="30">
        <f t="shared" si="4"/>
        <v>3597482.6006399994</v>
      </c>
      <c r="Z16" s="19"/>
      <c r="AA16" s="19"/>
      <c r="AB16" s="19"/>
    </row>
    <row r="17" spans="2:28" ht="29.25" customHeight="1">
      <c r="B17" s="18">
        <f t="shared" si="5"/>
        <v>13</v>
      </c>
      <c r="C17" s="9" t="s">
        <v>210</v>
      </c>
      <c r="D17" s="34" t="s">
        <v>204</v>
      </c>
      <c r="E17" s="20"/>
      <c r="F17" s="22" t="s">
        <v>238</v>
      </c>
      <c r="G17" s="9" t="s">
        <v>40</v>
      </c>
      <c r="H17" s="9" t="s">
        <v>45</v>
      </c>
      <c r="I17" s="9" t="s">
        <v>41</v>
      </c>
      <c r="J17" s="23">
        <v>801.22</v>
      </c>
      <c r="K17" s="21">
        <v>41841</v>
      </c>
      <c r="L17" s="24" t="s">
        <v>211</v>
      </c>
      <c r="M17" s="24" t="s">
        <v>42</v>
      </c>
      <c r="N17" s="9" t="s">
        <v>36</v>
      </c>
      <c r="O17" s="11" t="s">
        <v>44</v>
      </c>
      <c r="P17" s="25">
        <v>799844</v>
      </c>
      <c r="Q17" s="26">
        <f t="shared" si="0"/>
        <v>81392125.439999998</v>
      </c>
      <c r="R17" s="27" t="s">
        <v>27</v>
      </c>
      <c r="S17" s="33">
        <v>101.76</v>
      </c>
      <c r="T17" s="28">
        <f t="shared" si="1"/>
        <v>41930</v>
      </c>
      <c r="U17" s="11" t="s">
        <v>43</v>
      </c>
      <c r="V17" s="29">
        <f t="shared" si="2"/>
        <v>97670.550527999992</v>
      </c>
      <c r="W17" s="19">
        <v>155.72999999999999</v>
      </c>
      <c r="X17" s="26">
        <f t="shared" si="3"/>
        <v>15210234.833725438</v>
      </c>
      <c r="Y17" s="35">
        <v>0</v>
      </c>
      <c r="Z17" s="19"/>
      <c r="AA17" s="19"/>
      <c r="AB17" s="19"/>
    </row>
    <row r="18" spans="2:28" ht="21.75" customHeight="1">
      <c r="B18" s="18">
        <f t="shared" si="5"/>
        <v>14</v>
      </c>
      <c r="C18" s="9" t="s">
        <v>212</v>
      </c>
      <c r="D18" s="34" t="s">
        <v>204</v>
      </c>
      <c r="E18" s="20"/>
      <c r="F18" s="22" t="s">
        <v>213</v>
      </c>
      <c r="G18" s="9" t="s">
        <v>43</v>
      </c>
      <c r="H18" s="9" t="s">
        <v>131</v>
      </c>
      <c r="I18" s="9" t="s">
        <v>132</v>
      </c>
      <c r="J18" s="23">
        <v>801.22</v>
      </c>
      <c r="K18" s="21">
        <v>41844</v>
      </c>
      <c r="L18" s="24" t="s">
        <v>214</v>
      </c>
      <c r="M18" s="24" t="s">
        <v>134</v>
      </c>
      <c r="N18" s="9" t="s">
        <v>36</v>
      </c>
      <c r="O18" s="11" t="s">
        <v>205</v>
      </c>
      <c r="P18" s="25">
        <v>948707</v>
      </c>
      <c r="Q18" s="26">
        <f t="shared" si="0"/>
        <v>103338858.682</v>
      </c>
      <c r="R18" s="27" t="s">
        <v>27</v>
      </c>
      <c r="S18" s="33">
        <v>108.926</v>
      </c>
      <c r="T18" s="28">
        <f t="shared" si="1"/>
        <v>41933</v>
      </c>
      <c r="U18" s="9" t="s">
        <v>29</v>
      </c>
      <c r="V18" s="29">
        <f t="shared" si="2"/>
        <v>124006.63041839999</v>
      </c>
      <c r="W18" s="19">
        <v>155.72999999999999</v>
      </c>
      <c r="X18" s="26">
        <f t="shared" si="3"/>
        <v>19311552.555057429</v>
      </c>
      <c r="Y18" s="35">
        <v>0</v>
      </c>
      <c r="Z18" s="19"/>
      <c r="AA18" s="19"/>
      <c r="AB18" s="19"/>
    </row>
    <row r="19" spans="2:28" ht="21.75" customHeight="1">
      <c r="B19" s="18">
        <f t="shared" si="5"/>
        <v>15</v>
      </c>
      <c r="C19" s="9" t="s">
        <v>190</v>
      </c>
      <c r="D19" s="20" t="s">
        <v>191</v>
      </c>
      <c r="E19" s="21">
        <v>41851</v>
      </c>
      <c r="F19" s="22" t="s">
        <v>192</v>
      </c>
      <c r="G19" s="9" t="s">
        <v>142</v>
      </c>
      <c r="H19" s="9" t="s">
        <v>143</v>
      </c>
      <c r="I19" s="9" t="s">
        <v>193</v>
      </c>
      <c r="J19" s="23">
        <v>801.22</v>
      </c>
      <c r="K19" s="21">
        <v>41844</v>
      </c>
      <c r="L19" s="24" t="s">
        <v>194</v>
      </c>
      <c r="M19" s="24" t="s">
        <v>195</v>
      </c>
      <c r="N19" s="9" t="s">
        <v>196</v>
      </c>
      <c r="O19" s="11" t="s">
        <v>197</v>
      </c>
      <c r="P19" s="25">
        <v>545992</v>
      </c>
      <c r="Q19" s="26">
        <f t="shared" si="0"/>
        <v>57916647.391999997</v>
      </c>
      <c r="R19" s="27" t="s">
        <v>27</v>
      </c>
      <c r="S19" s="33">
        <v>106.07599999999999</v>
      </c>
      <c r="T19" s="28">
        <f t="shared" si="1"/>
        <v>41933</v>
      </c>
      <c r="U19" s="9" t="s">
        <v>142</v>
      </c>
      <c r="V19" s="29">
        <f t="shared" si="2"/>
        <v>69499.976870399987</v>
      </c>
      <c r="W19" s="19">
        <v>155.72999999999999</v>
      </c>
      <c r="X19" s="26">
        <f t="shared" si="3"/>
        <v>10823231.398027388</v>
      </c>
      <c r="Y19" s="30">
        <f t="shared" ref="Y19:Y20" si="6">X19</f>
        <v>10823231.398027388</v>
      </c>
      <c r="Z19" s="19"/>
      <c r="AA19" s="19"/>
      <c r="AB19" s="19"/>
    </row>
    <row r="20" spans="2:28" ht="21.75" customHeight="1">
      <c r="B20" s="18">
        <f t="shared" si="5"/>
        <v>16</v>
      </c>
      <c r="C20" s="9" t="s">
        <v>198</v>
      </c>
      <c r="D20" s="20" t="s">
        <v>199</v>
      </c>
      <c r="E20" s="21">
        <v>41851</v>
      </c>
      <c r="F20" s="22" t="s">
        <v>200</v>
      </c>
      <c r="G20" s="9" t="s">
        <v>142</v>
      </c>
      <c r="H20" s="9" t="s">
        <v>143</v>
      </c>
      <c r="I20" s="9" t="s">
        <v>193</v>
      </c>
      <c r="J20" s="23">
        <v>801.22</v>
      </c>
      <c r="K20" s="21">
        <v>41844</v>
      </c>
      <c r="L20" s="24" t="s">
        <v>194</v>
      </c>
      <c r="M20" s="24" t="s">
        <v>195</v>
      </c>
      <c r="N20" s="9" t="s">
        <v>196</v>
      </c>
      <c r="O20" s="11" t="s">
        <v>197</v>
      </c>
      <c r="P20" s="25">
        <v>450000</v>
      </c>
      <c r="Q20" s="26">
        <f t="shared" si="0"/>
        <v>47734200</v>
      </c>
      <c r="R20" s="27" t="s">
        <v>27</v>
      </c>
      <c r="S20" s="33">
        <v>106.07599999999999</v>
      </c>
      <c r="T20" s="28">
        <f t="shared" si="1"/>
        <v>41933</v>
      </c>
      <c r="U20" s="9" t="s">
        <v>142</v>
      </c>
      <c r="V20" s="29">
        <f t="shared" si="2"/>
        <v>57281.039999999994</v>
      </c>
      <c r="W20" s="19">
        <v>155.72999999999999</v>
      </c>
      <c r="X20" s="26">
        <f t="shared" si="3"/>
        <v>8920376.3591999989</v>
      </c>
      <c r="Y20" s="30">
        <f t="shared" si="6"/>
        <v>8920376.3591999989</v>
      </c>
      <c r="Z20" s="19"/>
      <c r="AA20" s="19"/>
      <c r="AB20" s="19"/>
    </row>
    <row r="21" spans="2:28" ht="21.75" customHeight="1">
      <c r="B21" s="18">
        <f t="shared" ref="B21:B30" si="7">B20+1</f>
        <v>17</v>
      </c>
      <c r="C21" s="9" t="s">
        <v>215</v>
      </c>
      <c r="D21" s="34" t="s">
        <v>204</v>
      </c>
      <c r="E21" s="20"/>
      <c r="F21" s="22" t="s">
        <v>216</v>
      </c>
      <c r="G21" s="9" t="s">
        <v>38</v>
      </c>
      <c r="H21" s="24" t="s">
        <v>32</v>
      </c>
      <c r="I21" s="9" t="s">
        <v>39</v>
      </c>
      <c r="J21" s="23">
        <v>801.22</v>
      </c>
      <c r="K21" s="21">
        <v>41844</v>
      </c>
      <c r="L21" s="24" t="s">
        <v>217</v>
      </c>
      <c r="M21" s="24" t="s">
        <v>33</v>
      </c>
      <c r="N21" s="9" t="s">
        <v>30</v>
      </c>
      <c r="O21" s="11" t="s">
        <v>31</v>
      </c>
      <c r="P21" s="25">
        <v>80000</v>
      </c>
      <c r="Q21" s="26">
        <f t="shared" si="0"/>
        <v>8650080</v>
      </c>
      <c r="R21" s="27" t="s">
        <v>27</v>
      </c>
      <c r="S21" s="33">
        <v>108.126</v>
      </c>
      <c r="T21" s="28">
        <f t="shared" ref="T21:T30" si="8">SUM(K21)+89</f>
        <v>41933</v>
      </c>
      <c r="U21" s="11" t="s">
        <v>29</v>
      </c>
      <c r="V21" s="29">
        <f t="shared" si="2"/>
        <v>10380.096</v>
      </c>
      <c r="W21" s="19">
        <v>155.72999999999999</v>
      </c>
      <c r="X21" s="26">
        <f t="shared" si="3"/>
        <v>1616492.3500799998</v>
      </c>
      <c r="Y21" s="35">
        <v>0</v>
      </c>
      <c r="Z21" s="19"/>
      <c r="AA21" s="19"/>
      <c r="AB21" s="19"/>
    </row>
    <row r="22" spans="2:28" ht="21.75" customHeight="1">
      <c r="B22" s="18">
        <f t="shared" si="7"/>
        <v>18</v>
      </c>
      <c r="C22" s="9" t="s">
        <v>218</v>
      </c>
      <c r="D22" s="34" t="s">
        <v>204</v>
      </c>
      <c r="E22" s="20"/>
      <c r="F22" s="22" t="s">
        <v>219</v>
      </c>
      <c r="G22" s="9" t="s">
        <v>38</v>
      </c>
      <c r="H22" s="24" t="s">
        <v>34</v>
      </c>
      <c r="I22" s="9" t="s">
        <v>39</v>
      </c>
      <c r="J22" s="23">
        <v>801.22</v>
      </c>
      <c r="K22" s="21">
        <v>41844</v>
      </c>
      <c r="L22" s="24" t="s">
        <v>217</v>
      </c>
      <c r="M22" s="24" t="s">
        <v>33</v>
      </c>
      <c r="N22" s="9" t="s">
        <v>30</v>
      </c>
      <c r="O22" s="11" t="s">
        <v>31</v>
      </c>
      <c r="P22" s="25">
        <v>211324</v>
      </c>
      <c r="Q22" s="26">
        <f t="shared" si="0"/>
        <v>22849618.824000001</v>
      </c>
      <c r="R22" s="27" t="s">
        <v>27</v>
      </c>
      <c r="S22" s="33">
        <v>108.126</v>
      </c>
      <c r="T22" s="28">
        <f t="shared" si="8"/>
        <v>41933</v>
      </c>
      <c r="U22" s="11" t="s">
        <v>29</v>
      </c>
      <c r="V22" s="29">
        <f t="shared" si="2"/>
        <v>27419.542588799999</v>
      </c>
      <c r="W22" s="19">
        <v>155.72999999999999</v>
      </c>
      <c r="X22" s="26">
        <f t="shared" si="3"/>
        <v>4270045.367353824</v>
      </c>
      <c r="Y22" s="35">
        <v>0</v>
      </c>
      <c r="Z22" s="19"/>
      <c r="AA22" s="19"/>
      <c r="AB22" s="19"/>
    </row>
    <row r="23" spans="2:28" ht="21.75" customHeight="1">
      <c r="B23" s="18">
        <f t="shared" si="7"/>
        <v>19</v>
      </c>
      <c r="C23" s="9" t="s">
        <v>220</v>
      </c>
      <c r="D23" s="34" t="s">
        <v>204</v>
      </c>
      <c r="E23" s="20"/>
      <c r="F23" s="22" t="s">
        <v>221</v>
      </c>
      <c r="G23" s="9" t="s">
        <v>38</v>
      </c>
      <c r="H23" s="24" t="s">
        <v>34</v>
      </c>
      <c r="I23" s="9" t="s">
        <v>39</v>
      </c>
      <c r="J23" s="23">
        <v>801.22</v>
      </c>
      <c r="K23" s="21">
        <v>41844</v>
      </c>
      <c r="L23" s="24" t="s">
        <v>217</v>
      </c>
      <c r="M23" s="24" t="s">
        <v>33</v>
      </c>
      <c r="N23" s="9" t="s">
        <v>30</v>
      </c>
      <c r="O23" s="11" t="s">
        <v>31</v>
      </c>
      <c r="P23" s="25">
        <v>55500</v>
      </c>
      <c r="Q23" s="26">
        <f t="shared" si="0"/>
        <v>6000993</v>
      </c>
      <c r="R23" s="27" t="s">
        <v>27</v>
      </c>
      <c r="S23" s="33">
        <v>108.126</v>
      </c>
      <c r="T23" s="28">
        <f t="shared" si="8"/>
        <v>41933</v>
      </c>
      <c r="U23" s="11" t="s">
        <v>29</v>
      </c>
      <c r="V23" s="29">
        <f t="shared" si="2"/>
        <v>7201.1915999999992</v>
      </c>
      <c r="W23" s="19">
        <v>155.72999999999999</v>
      </c>
      <c r="X23" s="26">
        <f t="shared" si="3"/>
        <v>1121441.5678679999</v>
      </c>
      <c r="Y23" s="35">
        <v>0</v>
      </c>
      <c r="Z23" s="19"/>
      <c r="AA23" s="19"/>
      <c r="AB23" s="19"/>
    </row>
    <row r="24" spans="2:28" ht="21.75" customHeight="1">
      <c r="B24" s="18">
        <f t="shared" si="7"/>
        <v>20</v>
      </c>
      <c r="C24" s="9" t="s">
        <v>222</v>
      </c>
      <c r="D24" s="34" t="s">
        <v>204</v>
      </c>
      <c r="E24" s="20"/>
      <c r="F24" s="22" t="s">
        <v>223</v>
      </c>
      <c r="G24" s="9" t="s">
        <v>43</v>
      </c>
      <c r="H24" s="9" t="s">
        <v>209</v>
      </c>
      <c r="I24" s="9" t="s">
        <v>39</v>
      </c>
      <c r="J24" s="23">
        <v>801.22</v>
      </c>
      <c r="K24" s="21">
        <v>41844</v>
      </c>
      <c r="L24" s="24" t="s">
        <v>217</v>
      </c>
      <c r="M24" s="24" t="s">
        <v>33</v>
      </c>
      <c r="N24" s="9" t="s">
        <v>30</v>
      </c>
      <c r="O24" s="11" t="s">
        <v>31</v>
      </c>
      <c r="P24" s="25">
        <v>252934</v>
      </c>
      <c r="Q24" s="26">
        <f t="shared" si="0"/>
        <v>27348741.684</v>
      </c>
      <c r="R24" s="27" t="s">
        <v>27</v>
      </c>
      <c r="S24" s="33">
        <v>108.126</v>
      </c>
      <c r="T24" s="28">
        <f t="shared" si="8"/>
        <v>41933</v>
      </c>
      <c r="U24" s="9" t="s">
        <v>29</v>
      </c>
      <c r="V24" s="29">
        <f t="shared" si="2"/>
        <v>32818.490020799996</v>
      </c>
      <c r="W24" s="19">
        <v>155.72999999999999</v>
      </c>
      <c r="X24" s="26">
        <f t="shared" si="3"/>
        <v>5110823.4509391831</v>
      </c>
      <c r="Y24" s="35">
        <v>0</v>
      </c>
      <c r="Z24" s="19"/>
      <c r="AA24" s="19"/>
      <c r="AB24" s="19"/>
    </row>
    <row r="25" spans="2:28" ht="21.75" customHeight="1">
      <c r="B25" s="18">
        <f t="shared" si="7"/>
        <v>21</v>
      </c>
      <c r="C25" s="9" t="s">
        <v>224</v>
      </c>
      <c r="D25" s="34" t="s">
        <v>204</v>
      </c>
      <c r="E25" s="20"/>
      <c r="F25" s="22" t="s">
        <v>225</v>
      </c>
      <c r="G25" s="9" t="s">
        <v>38</v>
      </c>
      <c r="H25" s="9" t="s">
        <v>202</v>
      </c>
      <c r="I25" s="9" t="s">
        <v>39</v>
      </c>
      <c r="J25" s="23">
        <v>801.22</v>
      </c>
      <c r="K25" s="21">
        <v>41844</v>
      </c>
      <c r="L25" s="24" t="s">
        <v>217</v>
      </c>
      <c r="M25" s="24" t="s">
        <v>33</v>
      </c>
      <c r="N25" s="9" t="s">
        <v>30</v>
      </c>
      <c r="O25" s="11" t="s">
        <v>31</v>
      </c>
      <c r="P25" s="25">
        <v>100000</v>
      </c>
      <c r="Q25" s="26">
        <f t="shared" si="0"/>
        <v>10812600</v>
      </c>
      <c r="R25" s="27" t="s">
        <v>27</v>
      </c>
      <c r="S25" s="33">
        <v>108.126</v>
      </c>
      <c r="T25" s="28">
        <f t="shared" si="8"/>
        <v>41933</v>
      </c>
      <c r="U25" s="11" t="s">
        <v>201</v>
      </c>
      <c r="V25" s="29">
        <f t="shared" si="2"/>
        <v>12975.119999999999</v>
      </c>
      <c r="W25" s="19">
        <v>155.72999999999999</v>
      </c>
      <c r="X25" s="26">
        <f t="shared" si="3"/>
        <v>2020615.4375999996</v>
      </c>
      <c r="Y25" s="35">
        <v>0</v>
      </c>
      <c r="Z25" s="19"/>
      <c r="AA25" s="19"/>
      <c r="AB25" s="19"/>
    </row>
    <row r="26" spans="2:28" ht="21.75" customHeight="1">
      <c r="B26" s="18">
        <f t="shared" si="7"/>
        <v>22</v>
      </c>
      <c r="C26" s="9" t="s">
        <v>226</v>
      </c>
      <c r="D26" s="34" t="s">
        <v>204</v>
      </c>
      <c r="E26" s="20"/>
      <c r="F26" s="22" t="s">
        <v>227</v>
      </c>
      <c r="G26" s="9" t="s">
        <v>82</v>
      </c>
      <c r="H26" s="9" t="s">
        <v>83</v>
      </c>
      <c r="I26" s="9" t="s">
        <v>39</v>
      </c>
      <c r="J26" s="23">
        <v>801.22</v>
      </c>
      <c r="K26" s="21">
        <v>41844</v>
      </c>
      <c r="L26" s="24" t="s">
        <v>217</v>
      </c>
      <c r="M26" s="24" t="s">
        <v>33</v>
      </c>
      <c r="N26" s="9" t="s">
        <v>30</v>
      </c>
      <c r="O26" s="11" t="s">
        <v>31</v>
      </c>
      <c r="P26" s="25">
        <v>47000</v>
      </c>
      <c r="Q26" s="26">
        <f t="shared" si="0"/>
        <v>5081922</v>
      </c>
      <c r="R26" s="27" t="s">
        <v>27</v>
      </c>
      <c r="S26" s="33">
        <v>108.126</v>
      </c>
      <c r="T26" s="28">
        <f t="shared" si="8"/>
        <v>41933</v>
      </c>
      <c r="U26" s="9" t="s">
        <v>82</v>
      </c>
      <c r="V26" s="29">
        <f t="shared" si="2"/>
        <v>6098.3063999999995</v>
      </c>
      <c r="W26" s="19">
        <v>155.72999999999999</v>
      </c>
      <c r="X26" s="26">
        <f t="shared" si="3"/>
        <v>949689.25567199988</v>
      </c>
      <c r="Y26" s="35">
        <v>0</v>
      </c>
      <c r="Z26" s="19"/>
      <c r="AA26" s="19"/>
      <c r="AB26" s="19"/>
    </row>
    <row r="27" spans="2:28" ht="21.75" customHeight="1">
      <c r="B27" s="18">
        <f t="shared" si="7"/>
        <v>23</v>
      </c>
      <c r="C27" s="9" t="s">
        <v>228</v>
      </c>
      <c r="D27" s="34" t="s">
        <v>204</v>
      </c>
      <c r="E27" s="20"/>
      <c r="F27" s="22" t="s">
        <v>229</v>
      </c>
      <c r="G27" s="9" t="s">
        <v>82</v>
      </c>
      <c r="H27" s="9" t="s">
        <v>83</v>
      </c>
      <c r="I27" s="9" t="s">
        <v>39</v>
      </c>
      <c r="J27" s="23">
        <v>801.22</v>
      </c>
      <c r="K27" s="21">
        <v>41844</v>
      </c>
      <c r="L27" s="24" t="s">
        <v>217</v>
      </c>
      <c r="M27" s="24" t="s">
        <v>33</v>
      </c>
      <c r="N27" s="9" t="s">
        <v>30</v>
      </c>
      <c r="O27" s="11" t="s">
        <v>31</v>
      </c>
      <c r="P27" s="25">
        <v>40000</v>
      </c>
      <c r="Q27" s="26">
        <f t="shared" si="0"/>
        <v>4325040</v>
      </c>
      <c r="R27" s="27" t="s">
        <v>27</v>
      </c>
      <c r="S27" s="33">
        <v>108.126</v>
      </c>
      <c r="T27" s="28">
        <f t="shared" si="8"/>
        <v>41933</v>
      </c>
      <c r="U27" s="9" t="s">
        <v>82</v>
      </c>
      <c r="V27" s="29">
        <f t="shared" si="2"/>
        <v>5190.0479999999998</v>
      </c>
      <c r="W27" s="19">
        <v>155.72999999999999</v>
      </c>
      <c r="X27" s="26">
        <f t="shared" si="3"/>
        <v>808246.17503999989</v>
      </c>
      <c r="Y27" s="35">
        <v>0</v>
      </c>
      <c r="Z27" s="19"/>
      <c r="AA27" s="19"/>
      <c r="AB27" s="19"/>
    </row>
    <row r="28" spans="2:28" ht="21.75" customHeight="1">
      <c r="B28" s="18">
        <f t="shared" si="7"/>
        <v>24</v>
      </c>
      <c r="C28" s="9" t="s">
        <v>230</v>
      </c>
      <c r="D28" s="34" t="s">
        <v>204</v>
      </c>
      <c r="E28" s="20"/>
      <c r="F28" s="22" t="s">
        <v>231</v>
      </c>
      <c r="G28" s="9" t="s">
        <v>92</v>
      </c>
      <c r="H28" s="9" t="s">
        <v>83</v>
      </c>
      <c r="I28" s="9" t="s">
        <v>39</v>
      </c>
      <c r="J28" s="23">
        <v>801.22</v>
      </c>
      <c r="K28" s="21">
        <v>41844</v>
      </c>
      <c r="L28" s="24" t="s">
        <v>217</v>
      </c>
      <c r="M28" s="24" t="s">
        <v>33</v>
      </c>
      <c r="N28" s="9" t="s">
        <v>30</v>
      </c>
      <c r="O28" s="11" t="s">
        <v>31</v>
      </c>
      <c r="P28" s="25">
        <v>54000</v>
      </c>
      <c r="Q28" s="26">
        <f t="shared" si="0"/>
        <v>5838804</v>
      </c>
      <c r="R28" s="27" t="s">
        <v>27</v>
      </c>
      <c r="S28" s="33">
        <v>108.126</v>
      </c>
      <c r="T28" s="28">
        <f t="shared" si="8"/>
        <v>41933</v>
      </c>
      <c r="U28" s="9" t="s">
        <v>82</v>
      </c>
      <c r="V28" s="29">
        <f t="shared" si="2"/>
        <v>7006.5647999999992</v>
      </c>
      <c r="W28" s="19">
        <v>155.72999999999999</v>
      </c>
      <c r="X28" s="26">
        <f t="shared" si="3"/>
        <v>1091132.3363039999</v>
      </c>
      <c r="Y28" s="35">
        <v>0</v>
      </c>
      <c r="Z28" s="19"/>
      <c r="AA28" s="19"/>
      <c r="AB28" s="19"/>
    </row>
    <row r="29" spans="2:28" ht="21.75" customHeight="1">
      <c r="B29" s="18">
        <f t="shared" si="7"/>
        <v>25</v>
      </c>
      <c r="C29" s="9" t="s">
        <v>232</v>
      </c>
      <c r="D29" s="34" t="s">
        <v>204</v>
      </c>
      <c r="E29" s="20"/>
      <c r="F29" s="22" t="s">
        <v>233</v>
      </c>
      <c r="G29" s="9" t="s">
        <v>207</v>
      </c>
      <c r="H29" s="9" t="s">
        <v>206</v>
      </c>
      <c r="I29" s="9" t="s">
        <v>39</v>
      </c>
      <c r="J29" s="23">
        <v>801.22</v>
      </c>
      <c r="K29" s="21">
        <v>41844</v>
      </c>
      <c r="L29" s="24" t="s">
        <v>217</v>
      </c>
      <c r="M29" s="24" t="s">
        <v>33</v>
      </c>
      <c r="N29" s="9" t="s">
        <v>30</v>
      </c>
      <c r="O29" s="11" t="s">
        <v>31</v>
      </c>
      <c r="P29" s="25">
        <v>209000</v>
      </c>
      <c r="Q29" s="26">
        <f t="shared" si="0"/>
        <v>22598334</v>
      </c>
      <c r="R29" s="27" t="s">
        <v>27</v>
      </c>
      <c r="S29" s="33">
        <v>108.126</v>
      </c>
      <c r="T29" s="28">
        <f t="shared" si="8"/>
        <v>41933</v>
      </c>
      <c r="U29" s="9" t="s">
        <v>208</v>
      </c>
      <c r="V29" s="29">
        <f t="shared" si="2"/>
        <v>27118.000799999998</v>
      </c>
      <c r="W29" s="19">
        <v>155.72999999999999</v>
      </c>
      <c r="X29" s="26">
        <f t="shared" si="3"/>
        <v>4223086.2645839993</v>
      </c>
      <c r="Y29" s="35">
        <v>0</v>
      </c>
      <c r="Z29" s="19"/>
      <c r="AA29" s="19"/>
      <c r="AB29" s="19"/>
    </row>
    <row r="30" spans="2:28" ht="26.25" customHeight="1" thickBot="1">
      <c r="B30" s="18">
        <f t="shared" si="7"/>
        <v>26</v>
      </c>
      <c r="C30" s="9" t="s">
        <v>234</v>
      </c>
      <c r="D30" s="34" t="s">
        <v>204</v>
      </c>
      <c r="E30" s="20"/>
      <c r="F30" s="22" t="s">
        <v>241</v>
      </c>
      <c r="G30" s="9" t="s">
        <v>38</v>
      </c>
      <c r="H30" s="24" t="s">
        <v>34</v>
      </c>
      <c r="I30" s="9" t="s">
        <v>39</v>
      </c>
      <c r="J30" s="23">
        <v>801.22</v>
      </c>
      <c r="K30" s="21">
        <v>41850</v>
      </c>
      <c r="L30" s="24" t="s">
        <v>203</v>
      </c>
      <c r="M30" s="24" t="s">
        <v>33</v>
      </c>
      <c r="N30" s="9" t="s">
        <v>108</v>
      </c>
      <c r="O30" s="11" t="s">
        <v>235</v>
      </c>
      <c r="P30" s="36">
        <v>722963</v>
      </c>
      <c r="Q30" s="37">
        <f t="shared" si="0"/>
        <v>77388851.371999994</v>
      </c>
      <c r="R30" s="27" t="s">
        <v>27</v>
      </c>
      <c r="S30" s="38">
        <v>107.044</v>
      </c>
      <c r="T30" s="28">
        <f t="shared" si="8"/>
        <v>41939</v>
      </c>
      <c r="U30" s="9" t="s">
        <v>29</v>
      </c>
      <c r="V30" s="39">
        <f t="shared" ref="V30" si="9">SUM(Q30*0.12%)</f>
        <v>92866.621646399988</v>
      </c>
      <c r="W30" s="19">
        <v>155.72999999999999</v>
      </c>
      <c r="X30" s="37">
        <f t="shared" si="3"/>
        <v>14462118.98899387</v>
      </c>
      <c r="Y30" s="40">
        <v>0</v>
      </c>
      <c r="Z30" s="19"/>
      <c r="AA30" s="19"/>
      <c r="AB30" s="19"/>
    </row>
    <row r="31" spans="2:28" ht="15.75" thickBot="1">
      <c r="B31" s="31"/>
      <c r="C31" s="17"/>
      <c r="D31" s="17"/>
      <c r="E31" s="17"/>
      <c r="F31" s="17"/>
      <c r="G31" s="17"/>
      <c r="H31" s="17"/>
      <c r="I31" s="17"/>
      <c r="J31" s="31"/>
      <c r="K31" s="41"/>
      <c r="L31" s="17"/>
      <c r="M31" s="17"/>
      <c r="N31" s="42"/>
      <c r="O31" s="43"/>
      <c r="P31" s="44">
        <f>SUM(P5:P30)</f>
        <v>8265548</v>
      </c>
      <c r="Q31" s="45">
        <f>SUM(Q5:Q30)</f>
        <v>893151496.81399989</v>
      </c>
      <c r="R31" s="46"/>
      <c r="S31" s="47"/>
      <c r="T31" s="48"/>
      <c r="U31" s="49"/>
      <c r="V31" s="45">
        <f>SUM(V5:V30)</f>
        <v>1071781.7961768</v>
      </c>
      <c r="W31" s="46"/>
      <c r="X31" s="45">
        <f>SUM(X5:X30)</f>
        <v>166908579.11861303</v>
      </c>
      <c r="Y31" s="50">
        <f>SUM(Y5:Y30)</f>
        <v>96713100.53539528</v>
      </c>
      <c r="Z31" s="31"/>
      <c r="AA31" s="31"/>
      <c r="AB31" s="31"/>
    </row>
  </sheetData>
  <mergeCells count="1">
    <mergeCell ref="AB12:AB13"/>
  </mergeCells>
  <pageMargins left="0" right="0" top="0" bottom="0" header="0.31496062992125984" footer="0"/>
  <pageSetup paperSize="8" orientation="landscape" r:id="rId1"/>
  <ignoredErrors>
    <ignoredError sqref="F21:F28 F17 F30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AB41"/>
  <sheetViews>
    <sheetView topLeftCell="A4" workbookViewId="0">
      <selection activeCell="A73" sqref="A73:XFD82"/>
    </sheetView>
  </sheetViews>
  <sheetFormatPr defaultRowHeight="15"/>
  <cols>
    <col min="1" max="1" width="3.85546875" customWidth="1"/>
    <col min="2" max="2" width="4.140625" customWidth="1"/>
    <col min="3" max="3" width="5.7109375" customWidth="1"/>
    <col min="4" max="4" width="7.7109375" style="3" customWidth="1"/>
    <col min="5" max="5" width="5.42578125" style="3" customWidth="1"/>
    <col min="6" max="6" width="10.28515625" style="3" customWidth="1"/>
    <col min="7" max="7" width="8.28515625" style="3" customWidth="1"/>
    <col min="8" max="9" width="8.42578125" style="3" customWidth="1"/>
    <col min="10" max="10" width="6" customWidth="1"/>
    <col min="11" max="11" width="5.7109375" style="1" customWidth="1"/>
    <col min="12" max="12" width="8.140625" style="3" customWidth="1"/>
    <col min="13" max="13" width="5.7109375" style="1" customWidth="1"/>
    <col min="14" max="14" width="6.7109375" style="5" customWidth="1"/>
    <col min="15" max="15" width="9.28515625" style="6" customWidth="1"/>
    <col min="16" max="16" width="7.85546875" customWidth="1"/>
    <col min="17" max="17" width="13.28515625" customWidth="1"/>
    <col min="18" max="18" width="5.42578125" customWidth="1"/>
    <col min="19" max="19" width="6" style="8" customWidth="1"/>
    <col min="20" max="20" width="6.28515625" style="1" customWidth="1"/>
    <col min="21" max="21" width="8.140625" style="3" customWidth="1"/>
    <col min="22" max="22" width="10.5703125" customWidth="1"/>
    <col min="23" max="23" width="5.85546875" customWidth="1"/>
    <col min="24" max="24" width="12.140625" customWidth="1"/>
    <col min="25" max="25" width="12.28515625" customWidth="1"/>
    <col min="26" max="26" width="6.140625" customWidth="1"/>
    <col min="27" max="27" width="5.7109375" customWidth="1"/>
  </cols>
  <sheetData>
    <row r="2" spans="2:28" ht="15.75">
      <c r="L2" s="4" t="s">
        <v>0</v>
      </c>
    </row>
    <row r="3" spans="2:28" ht="23.25" customHeight="1" thickBot="1">
      <c r="L3" s="4" t="s">
        <v>71</v>
      </c>
      <c r="P3" s="2"/>
    </row>
    <row r="4" spans="2:28" s="3" customFormat="1" ht="42.6" customHeight="1" thickBot="1">
      <c r="B4" s="12" t="s">
        <v>1</v>
      </c>
      <c r="C4" s="13" t="s">
        <v>2</v>
      </c>
      <c r="D4" s="13" t="s">
        <v>3</v>
      </c>
      <c r="E4" s="13" t="s">
        <v>4</v>
      </c>
      <c r="F4" s="14" t="s">
        <v>5</v>
      </c>
      <c r="G4" s="15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6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58" t="s">
        <v>242</v>
      </c>
    </row>
    <row r="5" spans="2:28" ht="27.75" customHeight="1">
      <c r="B5" s="61">
        <v>1</v>
      </c>
      <c r="C5" s="24" t="s">
        <v>48</v>
      </c>
      <c r="D5" s="24" t="s">
        <v>66</v>
      </c>
      <c r="E5" s="21">
        <v>41835</v>
      </c>
      <c r="F5" s="62">
        <v>201400010025</v>
      </c>
      <c r="G5" s="59" t="s">
        <v>38</v>
      </c>
      <c r="H5" s="59" t="s">
        <v>32</v>
      </c>
      <c r="I5" s="59" t="s">
        <v>39</v>
      </c>
      <c r="J5" s="63">
        <v>801.22</v>
      </c>
      <c r="K5" s="21">
        <v>41677</v>
      </c>
      <c r="L5" s="24" t="s">
        <v>46</v>
      </c>
      <c r="M5" s="24" t="s">
        <v>33</v>
      </c>
      <c r="N5" s="24" t="s">
        <v>28</v>
      </c>
      <c r="O5" s="24" t="s">
        <v>47</v>
      </c>
      <c r="P5" s="25">
        <v>90000</v>
      </c>
      <c r="Q5" s="64">
        <f t="shared" ref="Q5" si="0">SUM(P5*S5)</f>
        <v>9915300</v>
      </c>
      <c r="R5" s="65" t="s">
        <v>27</v>
      </c>
      <c r="S5" s="7">
        <v>110.17</v>
      </c>
      <c r="T5" s="66">
        <f t="shared" ref="T5" si="1">SUM(K5)+89</f>
        <v>41766</v>
      </c>
      <c r="U5" s="59" t="s">
        <v>29</v>
      </c>
      <c r="V5" s="67">
        <f t="shared" ref="V5:V26" si="2">SUM(Q5*0.12%)</f>
        <v>11898.359999999999</v>
      </c>
      <c r="W5" s="56">
        <v>155.75</v>
      </c>
      <c r="X5" s="64">
        <f t="shared" ref="X5" si="3">SUM(V5*W5)</f>
        <v>1853169.5699999998</v>
      </c>
      <c r="Y5" s="68">
        <v>1841271.21</v>
      </c>
      <c r="Z5" s="66">
        <v>41817</v>
      </c>
      <c r="AA5" s="69">
        <v>11210</v>
      </c>
      <c r="AB5" s="70"/>
    </row>
    <row r="6" spans="2:28" ht="27" customHeight="1">
      <c r="B6" s="18">
        <f t="shared" ref="B6:B40" si="4">B5+1</f>
        <v>2</v>
      </c>
      <c r="C6" s="9" t="s">
        <v>49</v>
      </c>
      <c r="D6" s="11" t="s">
        <v>64</v>
      </c>
      <c r="E6" s="20">
        <v>41835</v>
      </c>
      <c r="F6" s="10">
        <v>201400010026</v>
      </c>
      <c r="G6" s="11" t="s">
        <v>38</v>
      </c>
      <c r="H6" s="11" t="s">
        <v>34</v>
      </c>
      <c r="I6" s="11" t="s">
        <v>39</v>
      </c>
      <c r="J6" s="23">
        <v>801.22</v>
      </c>
      <c r="K6" s="20">
        <v>41677</v>
      </c>
      <c r="L6" s="9" t="s">
        <v>46</v>
      </c>
      <c r="M6" s="9" t="s">
        <v>33</v>
      </c>
      <c r="N6" s="9" t="s">
        <v>28</v>
      </c>
      <c r="O6" s="9" t="s">
        <v>47</v>
      </c>
      <c r="P6" s="51">
        <v>104779</v>
      </c>
      <c r="Q6" s="26">
        <f t="shared" ref="Q6:Q8" si="5">SUM(P6*S6)</f>
        <v>11579525.450200001</v>
      </c>
      <c r="R6" s="27" t="s">
        <v>27</v>
      </c>
      <c r="S6" s="7">
        <v>110.5138</v>
      </c>
      <c r="T6" s="28">
        <f t="shared" ref="T6:T11" si="6">SUM(K6)+89</f>
        <v>41766</v>
      </c>
      <c r="U6" s="11" t="s">
        <v>29</v>
      </c>
      <c r="V6" s="29">
        <f t="shared" si="2"/>
        <v>13895.43054024</v>
      </c>
      <c r="W6" s="19">
        <v>155.75</v>
      </c>
      <c r="X6" s="26">
        <f t="shared" ref="X6:X11" si="7">SUM(V6*W6)</f>
        <v>2164213.3066423801</v>
      </c>
      <c r="Y6" s="52">
        <v>2150317.79</v>
      </c>
      <c r="Z6" s="28">
        <v>41817</v>
      </c>
      <c r="AA6" s="53">
        <v>11206</v>
      </c>
      <c r="AB6" s="60"/>
    </row>
    <row r="7" spans="2:28" ht="21.75" customHeight="1">
      <c r="B7" s="18">
        <f t="shared" si="4"/>
        <v>3</v>
      </c>
      <c r="C7" s="9" t="s">
        <v>55</v>
      </c>
      <c r="D7" s="9" t="s">
        <v>67</v>
      </c>
      <c r="E7" s="20">
        <v>41835</v>
      </c>
      <c r="F7" s="22" t="s">
        <v>51</v>
      </c>
      <c r="G7" s="9" t="s">
        <v>38</v>
      </c>
      <c r="H7" s="9" t="s">
        <v>32</v>
      </c>
      <c r="I7" s="9" t="s">
        <v>39</v>
      </c>
      <c r="J7" s="23">
        <v>801.22</v>
      </c>
      <c r="K7" s="21">
        <v>41703</v>
      </c>
      <c r="L7" s="24" t="s">
        <v>37</v>
      </c>
      <c r="M7" s="24" t="s">
        <v>33</v>
      </c>
      <c r="N7" s="9" t="s">
        <v>30</v>
      </c>
      <c r="O7" s="11" t="s">
        <v>31</v>
      </c>
      <c r="P7" s="25">
        <v>80000</v>
      </c>
      <c r="Q7" s="37">
        <f t="shared" si="5"/>
        <v>8711920</v>
      </c>
      <c r="R7" s="27" t="s">
        <v>27</v>
      </c>
      <c r="S7" s="7">
        <v>108.899</v>
      </c>
      <c r="T7" s="28">
        <f t="shared" si="6"/>
        <v>41792</v>
      </c>
      <c r="U7" s="11" t="s">
        <v>29</v>
      </c>
      <c r="V7" s="39">
        <f t="shared" si="2"/>
        <v>10454.303999999998</v>
      </c>
      <c r="W7" s="19">
        <v>155.74</v>
      </c>
      <c r="X7" s="37">
        <f t="shared" si="7"/>
        <v>1628153.3049599999</v>
      </c>
      <c r="Y7" s="52">
        <v>1617802.93</v>
      </c>
      <c r="Z7" s="28">
        <v>41817</v>
      </c>
      <c r="AA7" s="53">
        <v>11212</v>
      </c>
      <c r="AB7" s="60"/>
    </row>
    <row r="8" spans="2:28" ht="21.75" customHeight="1">
      <c r="B8" s="18">
        <f t="shared" si="4"/>
        <v>4</v>
      </c>
      <c r="C8" s="9" t="s">
        <v>56</v>
      </c>
      <c r="D8" s="11" t="s">
        <v>65</v>
      </c>
      <c r="E8" s="20">
        <v>41835</v>
      </c>
      <c r="F8" s="54" t="s">
        <v>52</v>
      </c>
      <c r="G8" s="9" t="s">
        <v>38</v>
      </c>
      <c r="H8" s="9" t="s">
        <v>34</v>
      </c>
      <c r="I8" s="9" t="s">
        <v>39</v>
      </c>
      <c r="J8" s="23">
        <v>801.22</v>
      </c>
      <c r="K8" s="20">
        <v>41703</v>
      </c>
      <c r="L8" s="9" t="s">
        <v>37</v>
      </c>
      <c r="M8" s="9" t="s">
        <v>33</v>
      </c>
      <c r="N8" s="9" t="s">
        <v>30</v>
      </c>
      <c r="O8" s="11" t="s">
        <v>31</v>
      </c>
      <c r="P8" s="51">
        <v>377938</v>
      </c>
      <c r="Q8" s="26">
        <f t="shared" si="5"/>
        <v>41460478.888400003</v>
      </c>
      <c r="R8" s="27" t="s">
        <v>27</v>
      </c>
      <c r="S8" s="7">
        <v>109.70180000000001</v>
      </c>
      <c r="T8" s="28">
        <f t="shared" si="6"/>
        <v>41792</v>
      </c>
      <c r="U8" s="11" t="s">
        <v>29</v>
      </c>
      <c r="V8" s="29">
        <f t="shared" si="2"/>
        <v>49752.57466608</v>
      </c>
      <c r="W8" s="19">
        <v>155.74</v>
      </c>
      <c r="X8" s="26">
        <f t="shared" si="7"/>
        <v>7748465.9784952998</v>
      </c>
      <c r="Y8" s="52">
        <v>7699210.21</v>
      </c>
      <c r="Z8" s="28">
        <v>41817</v>
      </c>
      <c r="AA8" s="53">
        <v>11207</v>
      </c>
      <c r="AB8" s="60"/>
    </row>
    <row r="9" spans="2:28" ht="21.75" customHeight="1">
      <c r="B9" s="18">
        <f t="shared" si="4"/>
        <v>5</v>
      </c>
      <c r="C9" s="9" t="s">
        <v>57</v>
      </c>
      <c r="D9" s="9" t="s">
        <v>68</v>
      </c>
      <c r="E9" s="20">
        <v>41835</v>
      </c>
      <c r="F9" s="22" t="s">
        <v>58</v>
      </c>
      <c r="G9" s="9" t="s">
        <v>38</v>
      </c>
      <c r="H9" s="9" t="s">
        <v>32</v>
      </c>
      <c r="I9" s="9" t="s">
        <v>39</v>
      </c>
      <c r="J9" s="23">
        <v>801.22</v>
      </c>
      <c r="K9" s="20">
        <v>41729</v>
      </c>
      <c r="L9" s="9" t="s">
        <v>53</v>
      </c>
      <c r="M9" s="9" t="s">
        <v>33</v>
      </c>
      <c r="N9" s="9" t="s">
        <v>35</v>
      </c>
      <c r="O9" s="11" t="s">
        <v>54</v>
      </c>
      <c r="P9" s="55">
        <v>90000</v>
      </c>
      <c r="Q9" s="26">
        <f t="shared" ref="Q9:Q40" si="8">SUM(P9*S9)</f>
        <v>9800001</v>
      </c>
      <c r="R9" s="27" t="s">
        <v>27</v>
      </c>
      <c r="S9" s="33">
        <v>108.88890000000001</v>
      </c>
      <c r="T9" s="28">
        <f t="shared" si="6"/>
        <v>41818</v>
      </c>
      <c r="U9" s="9" t="s">
        <v>29</v>
      </c>
      <c r="V9" s="29">
        <f t="shared" si="2"/>
        <v>11760.001199999999</v>
      </c>
      <c r="W9" s="19">
        <v>155.74</v>
      </c>
      <c r="X9" s="26">
        <f t="shared" si="7"/>
        <v>1831502.5868879999</v>
      </c>
      <c r="Y9" s="52">
        <v>1819911.07</v>
      </c>
      <c r="Z9" s="28">
        <v>41817</v>
      </c>
      <c r="AA9" s="53">
        <v>11213</v>
      </c>
      <c r="AB9" s="60"/>
    </row>
    <row r="10" spans="2:28" ht="27" customHeight="1">
      <c r="B10" s="18">
        <f t="shared" si="4"/>
        <v>6</v>
      </c>
      <c r="C10" s="9" t="s">
        <v>60</v>
      </c>
      <c r="D10" s="34" t="s">
        <v>69</v>
      </c>
      <c r="E10" s="20">
        <v>41835</v>
      </c>
      <c r="F10" s="22" t="s">
        <v>63</v>
      </c>
      <c r="G10" s="9" t="s">
        <v>40</v>
      </c>
      <c r="H10" s="9" t="s">
        <v>45</v>
      </c>
      <c r="I10" s="9" t="s">
        <v>41</v>
      </c>
      <c r="J10" s="23">
        <v>801.22</v>
      </c>
      <c r="K10" s="21">
        <v>41792</v>
      </c>
      <c r="L10" s="24" t="s">
        <v>50</v>
      </c>
      <c r="M10" s="24" t="s">
        <v>42</v>
      </c>
      <c r="N10" s="9" t="s">
        <v>36</v>
      </c>
      <c r="O10" s="11" t="s">
        <v>44</v>
      </c>
      <c r="P10" s="25">
        <v>618102</v>
      </c>
      <c r="Q10" s="26">
        <f t="shared" si="8"/>
        <v>64946449.548</v>
      </c>
      <c r="R10" s="27" t="s">
        <v>27</v>
      </c>
      <c r="S10" s="7">
        <v>105.074</v>
      </c>
      <c r="T10" s="28">
        <f t="shared" si="6"/>
        <v>41881</v>
      </c>
      <c r="U10" s="9" t="s">
        <v>43</v>
      </c>
      <c r="V10" s="39">
        <f t="shared" si="2"/>
        <v>77935.739457599993</v>
      </c>
      <c r="W10" s="56">
        <v>155.72999999999999</v>
      </c>
      <c r="X10" s="26">
        <f t="shared" si="7"/>
        <v>12136932.705732046</v>
      </c>
      <c r="Y10" s="52">
        <v>12136932.710000001</v>
      </c>
      <c r="Z10" s="28">
        <v>41831</v>
      </c>
      <c r="AA10" s="53">
        <v>2470</v>
      </c>
      <c r="AB10" s="60"/>
    </row>
    <row r="11" spans="2:28" ht="27" customHeight="1">
      <c r="B11" s="18">
        <f t="shared" si="4"/>
        <v>7</v>
      </c>
      <c r="C11" s="9" t="s">
        <v>61</v>
      </c>
      <c r="D11" s="34" t="s">
        <v>70</v>
      </c>
      <c r="E11" s="20">
        <v>41835</v>
      </c>
      <c r="F11" s="22" t="s">
        <v>62</v>
      </c>
      <c r="G11" s="9" t="s">
        <v>40</v>
      </c>
      <c r="H11" s="9" t="s">
        <v>45</v>
      </c>
      <c r="I11" s="9" t="s">
        <v>41</v>
      </c>
      <c r="J11" s="23">
        <v>801.22</v>
      </c>
      <c r="K11" s="21">
        <v>41813</v>
      </c>
      <c r="L11" s="24" t="s">
        <v>59</v>
      </c>
      <c r="M11" s="24" t="s">
        <v>42</v>
      </c>
      <c r="N11" s="9" t="s">
        <v>36</v>
      </c>
      <c r="O11" s="11" t="s">
        <v>44</v>
      </c>
      <c r="P11" s="25">
        <v>702158</v>
      </c>
      <c r="Q11" s="26">
        <f t="shared" si="8"/>
        <v>76115331.516000003</v>
      </c>
      <c r="R11" s="27" t="s">
        <v>27</v>
      </c>
      <c r="S11" s="33">
        <v>108.402</v>
      </c>
      <c r="T11" s="28">
        <f t="shared" si="6"/>
        <v>41902</v>
      </c>
      <c r="U11" s="11" t="s">
        <v>43</v>
      </c>
      <c r="V11" s="39">
        <f t="shared" si="2"/>
        <v>91338.397819199992</v>
      </c>
      <c r="W11" s="19">
        <v>155.72999999999999</v>
      </c>
      <c r="X11" s="26">
        <f t="shared" si="7"/>
        <v>14224128.692384014</v>
      </c>
      <c r="Y11" s="52">
        <v>14224128.689999999</v>
      </c>
      <c r="Z11" s="28">
        <v>41831</v>
      </c>
      <c r="AA11" s="53">
        <v>2472</v>
      </c>
      <c r="AB11" s="60"/>
    </row>
    <row r="12" spans="2:28" ht="20.25" customHeight="1">
      <c r="B12" s="18">
        <f t="shared" si="4"/>
        <v>8</v>
      </c>
      <c r="C12" s="9" t="s">
        <v>72</v>
      </c>
      <c r="D12" s="9" t="s">
        <v>73</v>
      </c>
      <c r="E12" s="21">
        <v>41838</v>
      </c>
      <c r="F12" s="54" t="s">
        <v>74</v>
      </c>
      <c r="G12" s="9" t="s">
        <v>43</v>
      </c>
      <c r="H12" s="9" t="s">
        <v>75</v>
      </c>
      <c r="I12" s="9" t="s">
        <v>39</v>
      </c>
      <c r="J12" s="23">
        <v>801.22</v>
      </c>
      <c r="K12" s="20">
        <v>41747</v>
      </c>
      <c r="L12" s="9" t="s">
        <v>76</v>
      </c>
      <c r="M12" s="9" t="s">
        <v>33</v>
      </c>
      <c r="N12" s="9" t="s">
        <v>77</v>
      </c>
      <c r="O12" s="11" t="s">
        <v>78</v>
      </c>
      <c r="P12" s="55">
        <v>304000</v>
      </c>
      <c r="Q12" s="26">
        <f t="shared" si="8"/>
        <v>33768624</v>
      </c>
      <c r="R12" s="27" t="s">
        <v>27</v>
      </c>
      <c r="S12" s="7">
        <v>111.081</v>
      </c>
      <c r="T12" s="28">
        <f t="shared" ref="T12" si="9">SUM(K12)+89</f>
        <v>41836</v>
      </c>
      <c r="U12" s="11" t="s">
        <v>29</v>
      </c>
      <c r="V12" s="29">
        <f t="shared" si="2"/>
        <v>40522.3488</v>
      </c>
      <c r="W12" s="19">
        <v>155.72999999999999</v>
      </c>
      <c r="X12" s="26">
        <f t="shared" ref="X12" si="10">SUM(V12*W12)</f>
        <v>6310545.3786239997</v>
      </c>
      <c r="Y12" s="52">
        <v>6509105.0800000001</v>
      </c>
      <c r="Z12" s="28">
        <v>41836</v>
      </c>
      <c r="AA12" s="53">
        <v>8920</v>
      </c>
      <c r="AB12" s="60"/>
    </row>
    <row r="13" spans="2:28" ht="26.25" customHeight="1">
      <c r="B13" s="18">
        <f t="shared" si="4"/>
        <v>9</v>
      </c>
      <c r="C13" s="9" t="s">
        <v>79</v>
      </c>
      <c r="D13" s="9" t="s">
        <v>80</v>
      </c>
      <c r="E13" s="20">
        <v>41841</v>
      </c>
      <c r="F13" s="54" t="s">
        <v>81</v>
      </c>
      <c r="G13" s="9" t="s">
        <v>82</v>
      </c>
      <c r="H13" s="9" t="s">
        <v>83</v>
      </c>
      <c r="I13" s="9" t="s">
        <v>39</v>
      </c>
      <c r="J13" s="23">
        <v>801.22</v>
      </c>
      <c r="K13" s="21">
        <v>41776</v>
      </c>
      <c r="L13" s="9" t="s">
        <v>84</v>
      </c>
      <c r="M13" s="9" t="s">
        <v>33</v>
      </c>
      <c r="N13" s="9" t="s">
        <v>30</v>
      </c>
      <c r="O13" s="11" t="s">
        <v>85</v>
      </c>
      <c r="P13" s="51">
        <v>18000</v>
      </c>
      <c r="Q13" s="26">
        <f t="shared" si="8"/>
        <v>2002572</v>
      </c>
      <c r="R13" s="27" t="s">
        <v>27</v>
      </c>
      <c r="S13" s="33">
        <v>111.254</v>
      </c>
      <c r="T13" s="28">
        <f t="shared" ref="T13:T19" si="11">SUM(K13)+89</f>
        <v>41865</v>
      </c>
      <c r="U13" s="11" t="s">
        <v>82</v>
      </c>
      <c r="V13" s="29">
        <f t="shared" si="2"/>
        <v>2403.0863999999997</v>
      </c>
      <c r="W13" s="19">
        <v>155.72999999999999</v>
      </c>
      <c r="X13" s="26">
        <f t="shared" ref="X13:X19" si="12">SUM(V13*W13)</f>
        <v>374232.64507199993</v>
      </c>
      <c r="Y13" s="52">
        <v>374232.65</v>
      </c>
      <c r="Z13" s="28">
        <v>41838</v>
      </c>
      <c r="AA13" s="53">
        <v>4410</v>
      </c>
      <c r="AB13" s="60"/>
    </row>
    <row r="14" spans="2:28" ht="26.25" customHeight="1">
      <c r="B14" s="18">
        <f t="shared" si="4"/>
        <v>10</v>
      </c>
      <c r="C14" s="9" t="s">
        <v>86</v>
      </c>
      <c r="D14" s="9" t="s">
        <v>87</v>
      </c>
      <c r="E14" s="20">
        <v>41841</v>
      </c>
      <c r="F14" s="54" t="s">
        <v>88</v>
      </c>
      <c r="G14" s="9" t="s">
        <v>82</v>
      </c>
      <c r="H14" s="9" t="s">
        <v>83</v>
      </c>
      <c r="I14" s="9" t="s">
        <v>39</v>
      </c>
      <c r="J14" s="23">
        <v>801.22</v>
      </c>
      <c r="K14" s="21">
        <v>41776</v>
      </c>
      <c r="L14" s="9" t="s">
        <v>84</v>
      </c>
      <c r="M14" s="9" t="s">
        <v>33</v>
      </c>
      <c r="N14" s="9" t="s">
        <v>30</v>
      </c>
      <c r="O14" s="11" t="s">
        <v>85</v>
      </c>
      <c r="P14" s="51">
        <v>57000</v>
      </c>
      <c r="Q14" s="26">
        <f t="shared" si="8"/>
        <v>6341478</v>
      </c>
      <c r="R14" s="27" t="s">
        <v>27</v>
      </c>
      <c r="S14" s="33">
        <v>111.254</v>
      </c>
      <c r="T14" s="28">
        <f t="shared" si="11"/>
        <v>41865</v>
      </c>
      <c r="U14" s="11" t="s">
        <v>82</v>
      </c>
      <c r="V14" s="29">
        <f t="shared" si="2"/>
        <v>7609.7735999999995</v>
      </c>
      <c r="W14" s="19">
        <v>155.72999999999999</v>
      </c>
      <c r="X14" s="26">
        <f t="shared" si="12"/>
        <v>1185070.0427279999</v>
      </c>
      <c r="Y14" s="52">
        <v>1185070.04</v>
      </c>
      <c r="Z14" s="28">
        <v>41838</v>
      </c>
      <c r="AA14" s="53">
        <v>4411</v>
      </c>
      <c r="AB14" s="60"/>
    </row>
    <row r="15" spans="2:28" ht="26.25" customHeight="1">
      <c r="B15" s="18">
        <f t="shared" si="4"/>
        <v>11</v>
      </c>
      <c r="C15" s="9" t="s">
        <v>89</v>
      </c>
      <c r="D15" s="9" t="s">
        <v>90</v>
      </c>
      <c r="E15" s="20">
        <v>41841</v>
      </c>
      <c r="F15" s="54" t="s">
        <v>91</v>
      </c>
      <c r="G15" s="9" t="s">
        <v>92</v>
      </c>
      <c r="H15" s="9" t="s">
        <v>83</v>
      </c>
      <c r="I15" s="9" t="s">
        <v>39</v>
      </c>
      <c r="J15" s="23">
        <v>801.22</v>
      </c>
      <c r="K15" s="21">
        <v>41776</v>
      </c>
      <c r="L15" s="9" t="s">
        <v>84</v>
      </c>
      <c r="M15" s="9" t="s">
        <v>33</v>
      </c>
      <c r="N15" s="9" t="s">
        <v>30</v>
      </c>
      <c r="O15" s="11" t="s">
        <v>85</v>
      </c>
      <c r="P15" s="51">
        <v>39000</v>
      </c>
      <c r="Q15" s="26">
        <f t="shared" si="8"/>
        <v>4338906</v>
      </c>
      <c r="R15" s="27" t="s">
        <v>27</v>
      </c>
      <c r="S15" s="33">
        <v>111.254</v>
      </c>
      <c r="T15" s="28">
        <f t="shared" si="11"/>
        <v>41865</v>
      </c>
      <c r="U15" s="11" t="s">
        <v>82</v>
      </c>
      <c r="V15" s="29">
        <f t="shared" si="2"/>
        <v>5206.6871999999994</v>
      </c>
      <c r="W15" s="19">
        <v>155.72999999999999</v>
      </c>
      <c r="X15" s="26">
        <f t="shared" si="12"/>
        <v>810837.39765599987</v>
      </c>
      <c r="Y15" s="52">
        <v>810837.4</v>
      </c>
      <c r="Z15" s="28">
        <v>41838</v>
      </c>
      <c r="AA15" s="53">
        <v>4412</v>
      </c>
      <c r="AB15" s="60"/>
    </row>
    <row r="16" spans="2:28" ht="26.25" customHeight="1">
      <c r="B16" s="18">
        <f t="shared" si="4"/>
        <v>12</v>
      </c>
      <c r="C16" s="9" t="s">
        <v>93</v>
      </c>
      <c r="D16" s="9" t="s">
        <v>94</v>
      </c>
      <c r="E16" s="20">
        <v>41841</v>
      </c>
      <c r="F16" s="22" t="s">
        <v>95</v>
      </c>
      <c r="G16" s="9" t="s">
        <v>82</v>
      </c>
      <c r="H16" s="9" t="s">
        <v>83</v>
      </c>
      <c r="I16" s="9" t="s">
        <v>39</v>
      </c>
      <c r="J16" s="23">
        <v>801.22</v>
      </c>
      <c r="K16" s="21">
        <v>41793</v>
      </c>
      <c r="L16" s="24" t="s">
        <v>96</v>
      </c>
      <c r="M16" s="24" t="s">
        <v>33</v>
      </c>
      <c r="N16" s="9" t="s">
        <v>97</v>
      </c>
      <c r="O16" s="11" t="s">
        <v>98</v>
      </c>
      <c r="P16" s="25">
        <v>32000</v>
      </c>
      <c r="Q16" s="26">
        <f t="shared" si="8"/>
        <v>3631328</v>
      </c>
      <c r="R16" s="27" t="s">
        <v>27</v>
      </c>
      <c r="S16" s="7">
        <v>113.479</v>
      </c>
      <c r="T16" s="28">
        <f t="shared" si="11"/>
        <v>41882</v>
      </c>
      <c r="U16" s="9" t="s">
        <v>82</v>
      </c>
      <c r="V16" s="39">
        <f t="shared" si="2"/>
        <v>4357.5935999999992</v>
      </c>
      <c r="W16" s="19">
        <v>155.72999999999999</v>
      </c>
      <c r="X16" s="26">
        <f t="shared" si="12"/>
        <v>678608.0513279998</v>
      </c>
      <c r="Y16" s="52">
        <v>678608.05</v>
      </c>
      <c r="Z16" s="28">
        <v>41838</v>
      </c>
      <c r="AA16" s="53">
        <v>4405</v>
      </c>
      <c r="AB16" s="60"/>
    </row>
    <row r="17" spans="2:28" ht="27" customHeight="1">
      <c r="B17" s="18">
        <f t="shared" si="4"/>
        <v>13</v>
      </c>
      <c r="C17" s="9" t="s">
        <v>99</v>
      </c>
      <c r="D17" s="9" t="s">
        <v>100</v>
      </c>
      <c r="E17" s="20">
        <v>41841</v>
      </c>
      <c r="F17" s="22" t="s">
        <v>101</v>
      </c>
      <c r="G17" s="9" t="s">
        <v>82</v>
      </c>
      <c r="H17" s="9" t="s">
        <v>83</v>
      </c>
      <c r="I17" s="9" t="s">
        <v>39</v>
      </c>
      <c r="J17" s="23">
        <v>801.22</v>
      </c>
      <c r="K17" s="21">
        <v>41793</v>
      </c>
      <c r="L17" s="24" t="s">
        <v>96</v>
      </c>
      <c r="M17" s="24" t="s">
        <v>33</v>
      </c>
      <c r="N17" s="9" t="s">
        <v>97</v>
      </c>
      <c r="O17" s="11" t="s">
        <v>98</v>
      </c>
      <c r="P17" s="25">
        <v>34000</v>
      </c>
      <c r="Q17" s="26">
        <f t="shared" si="8"/>
        <v>3858286</v>
      </c>
      <c r="R17" s="27" t="s">
        <v>27</v>
      </c>
      <c r="S17" s="7">
        <v>113.479</v>
      </c>
      <c r="T17" s="28">
        <f t="shared" si="11"/>
        <v>41882</v>
      </c>
      <c r="U17" s="9" t="s">
        <v>82</v>
      </c>
      <c r="V17" s="39">
        <f t="shared" si="2"/>
        <v>4629.9431999999997</v>
      </c>
      <c r="W17" s="19">
        <v>155.72999999999999</v>
      </c>
      <c r="X17" s="26">
        <f t="shared" si="12"/>
        <v>721021.05453599989</v>
      </c>
      <c r="Y17" s="52">
        <v>721021.05</v>
      </c>
      <c r="Z17" s="28">
        <v>41838</v>
      </c>
      <c r="AA17" s="53">
        <v>4406</v>
      </c>
      <c r="AB17" s="60"/>
    </row>
    <row r="18" spans="2:28" ht="27" customHeight="1">
      <c r="B18" s="18">
        <f t="shared" si="4"/>
        <v>14</v>
      </c>
      <c r="C18" s="9" t="s">
        <v>102</v>
      </c>
      <c r="D18" s="9" t="s">
        <v>103</v>
      </c>
      <c r="E18" s="20">
        <v>41841</v>
      </c>
      <c r="F18" s="10">
        <v>20149030006</v>
      </c>
      <c r="G18" s="9" t="s">
        <v>92</v>
      </c>
      <c r="H18" s="9" t="s">
        <v>83</v>
      </c>
      <c r="I18" s="9" t="s">
        <v>39</v>
      </c>
      <c r="J18" s="23">
        <v>801.22</v>
      </c>
      <c r="K18" s="21">
        <v>41793</v>
      </c>
      <c r="L18" s="24" t="s">
        <v>96</v>
      </c>
      <c r="M18" s="24" t="s">
        <v>33</v>
      </c>
      <c r="N18" s="9" t="s">
        <v>97</v>
      </c>
      <c r="O18" s="11" t="s">
        <v>98</v>
      </c>
      <c r="P18" s="25">
        <v>78000</v>
      </c>
      <c r="Q18" s="26">
        <f t="shared" si="8"/>
        <v>8851362</v>
      </c>
      <c r="R18" s="27" t="s">
        <v>27</v>
      </c>
      <c r="S18" s="7">
        <v>113.479</v>
      </c>
      <c r="T18" s="28">
        <f t="shared" si="11"/>
        <v>41882</v>
      </c>
      <c r="U18" s="9" t="s">
        <v>82</v>
      </c>
      <c r="V18" s="39">
        <f t="shared" si="2"/>
        <v>10621.634399999999</v>
      </c>
      <c r="W18" s="19">
        <v>155.72999999999999</v>
      </c>
      <c r="X18" s="26">
        <f t="shared" si="12"/>
        <v>1654107.1251119997</v>
      </c>
      <c r="Y18" s="52">
        <v>1654107.13</v>
      </c>
      <c r="Z18" s="28">
        <v>41838</v>
      </c>
      <c r="AA18" s="53">
        <v>4407</v>
      </c>
      <c r="AB18" s="60"/>
    </row>
    <row r="19" spans="2:28" ht="27" customHeight="1">
      <c r="B19" s="18">
        <f t="shared" si="4"/>
        <v>15</v>
      </c>
      <c r="C19" s="9" t="s">
        <v>104</v>
      </c>
      <c r="D19" s="9" t="s">
        <v>105</v>
      </c>
      <c r="E19" s="20">
        <v>41841</v>
      </c>
      <c r="F19" s="22" t="s">
        <v>106</v>
      </c>
      <c r="G19" s="9" t="s">
        <v>82</v>
      </c>
      <c r="H19" s="9" t="s">
        <v>83</v>
      </c>
      <c r="I19" s="9" t="s">
        <v>39</v>
      </c>
      <c r="J19" s="23">
        <v>801.22</v>
      </c>
      <c r="K19" s="21">
        <v>41812</v>
      </c>
      <c r="L19" s="24" t="s">
        <v>107</v>
      </c>
      <c r="M19" s="24" t="s">
        <v>33</v>
      </c>
      <c r="N19" s="9" t="s">
        <v>108</v>
      </c>
      <c r="O19" s="11" t="s">
        <v>109</v>
      </c>
      <c r="P19" s="25">
        <v>50000</v>
      </c>
      <c r="Q19" s="26">
        <f t="shared" si="8"/>
        <v>5673950</v>
      </c>
      <c r="R19" s="27" t="s">
        <v>27</v>
      </c>
      <c r="S19" s="7">
        <v>113.479</v>
      </c>
      <c r="T19" s="28">
        <f t="shared" si="11"/>
        <v>41901</v>
      </c>
      <c r="U19" s="11" t="s">
        <v>82</v>
      </c>
      <c r="V19" s="39">
        <f t="shared" si="2"/>
        <v>6808.74</v>
      </c>
      <c r="W19" s="19">
        <v>155.72999999999999</v>
      </c>
      <c r="X19" s="26">
        <f t="shared" si="12"/>
        <v>1060325.0802</v>
      </c>
      <c r="Y19" s="52">
        <v>1060325.08</v>
      </c>
      <c r="Z19" s="28">
        <v>41838</v>
      </c>
      <c r="AA19" s="53">
        <v>4409</v>
      </c>
      <c r="AB19" s="60"/>
    </row>
    <row r="20" spans="2:28" ht="21" customHeight="1">
      <c r="B20" s="18">
        <f t="shared" si="4"/>
        <v>16</v>
      </c>
      <c r="C20" s="9" t="s">
        <v>110</v>
      </c>
      <c r="D20" s="11" t="s">
        <v>111</v>
      </c>
      <c r="E20" s="21">
        <v>41842</v>
      </c>
      <c r="F20" s="22" t="s">
        <v>112</v>
      </c>
      <c r="G20" s="9" t="s">
        <v>38</v>
      </c>
      <c r="H20" s="9" t="s">
        <v>34</v>
      </c>
      <c r="I20" s="9" t="s">
        <v>39</v>
      </c>
      <c r="J20" s="23">
        <v>801.22</v>
      </c>
      <c r="K20" s="20">
        <v>41731</v>
      </c>
      <c r="L20" s="9" t="s">
        <v>53</v>
      </c>
      <c r="M20" s="9" t="s">
        <v>33</v>
      </c>
      <c r="N20" s="9" t="s">
        <v>35</v>
      </c>
      <c r="O20" s="11" t="s">
        <v>113</v>
      </c>
      <c r="P20" s="51">
        <v>227068</v>
      </c>
      <c r="Q20" s="26">
        <f t="shared" si="8"/>
        <v>24914218.8552</v>
      </c>
      <c r="R20" s="27" t="s">
        <v>27</v>
      </c>
      <c r="S20" s="7">
        <v>109.7214</v>
      </c>
      <c r="T20" s="28">
        <f t="shared" ref="T20:T25" si="13">SUM(K20)+89</f>
        <v>41820</v>
      </c>
      <c r="U20" s="11" t="s">
        <v>29</v>
      </c>
      <c r="V20" s="29">
        <f t="shared" si="2"/>
        <v>29897.062626239996</v>
      </c>
      <c r="W20" s="19">
        <v>155.72999999999999</v>
      </c>
      <c r="X20" s="26">
        <f t="shared" ref="X20:X25" si="14">SUM(V20*W20)</f>
        <v>4655869.5627843542</v>
      </c>
      <c r="Y20" s="52">
        <v>4626271.0599999996</v>
      </c>
      <c r="Z20" s="28">
        <v>41838</v>
      </c>
      <c r="AA20" s="53">
        <v>11231</v>
      </c>
      <c r="AB20" s="60"/>
    </row>
    <row r="21" spans="2:28" ht="20.25" customHeight="1">
      <c r="B21" s="18">
        <f t="shared" si="4"/>
        <v>17</v>
      </c>
      <c r="C21" s="9" t="s">
        <v>114</v>
      </c>
      <c r="D21" s="9" t="s">
        <v>115</v>
      </c>
      <c r="E21" s="21">
        <v>41842</v>
      </c>
      <c r="F21" s="54" t="s">
        <v>116</v>
      </c>
      <c r="G21" s="9" t="s">
        <v>38</v>
      </c>
      <c r="H21" s="9" t="s">
        <v>32</v>
      </c>
      <c r="I21" s="9" t="s">
        <v>39</v>
      </c>
      <c r="J21" s="23">
        <v>801.22</v>
      </c>
      <c r="K21" s="20">
        <v>41747</v>
      </c>
      <c r="L21" s="9" t="s">
        <v>76</v>
      </c>
      <c r="M21" s="9" t="s">
        <v>33</v>
      </c>
      <c r="N21" s="9" t="s">
        <v>77</v>
      </c>
      <c r="O21" s="11" t="s">
        <v>78</v>
      </c>
      <c r="P21" s="55">
        <v>80000</v>
      </c>
      <c r="Q21" s="26">
        <f t="shared" si="8"/>
        <v>8766640</v>
      </c>
      <c r="R21" s="27" t="s">
        <v>27</v>
      </c>
      <c r="S21" s="7">
        <v>109.583</v>
      </c>
      <c r="T21" s="28">
        <f t="shared" si="13"/>
        <v>41836</v>
      </c>
      <c r="U21" s="11" t="s">
        <v>29</v>
      </c>
      <c r="V21" s="29">
        <f t="shared" si="2"/>
        <v>10519.967999999999</v>
      </c>
      <c r="W21" s="19">
        <v>155.72999999999999</v>
      </c>
      <c r="X21" s="26">
        <f t="shared" si="14"/>
        <v>1638274.6166399997</v>
      </c>
      <c r="Y21" s="52">
        <v>1627754.96</v>
      </c>
      <c r="Z21" s="28">
        <v>41838</v>
      </c>
      <c r="AA21" s="53">
        <v>11233</v>
      </c>
      <c r="AB21" s="60"/>
    </row>
    <row r="22" spans="2:28" ht="24" customHeight="1">
      <c r="B22" s="18">
        <f t="shared" si="4"/>
        <v>18</v>
      </c>
      <c r="C22" s="9" t="s">
        <v>128</v>
      </c>
      <c r="D22" s="9" t="s">
        <v>129</v>
      </c>
      <c r="E22" s="20">
        <v>41842</v>
      </c>
      <c r="F22" s="22" t="s">
        <v>130</v>
      </c>
      <c r="G22" s="9" t="s">
        <v>43</v>
      </c>
      <c r="H22" s="9" t="s">
        <v>131</v>
      </c>
      <c r="I22" s="9" t="s">
        <v>132</v>
      </c>
      <c r="J22" s="23">
        <v>801.22</v>
      </c>
      <c r="K22" s="20">
        <v>41750</v>
      </c>
      <c r="L22" s="9" t="s">
        <v>133</v>
      </c>
      <c r="M22" s="9" t="s">
        <v>134</v>
      </c>
      <c r="N22" s="9" t="s">
        <v>28</v>
      </c>
      <c r="O22" s="11" t="s">
        <v>135</v>
      </c>
      <c r="P22" s="55">
        <v>950596</v>
      </c>
      <c r="Q22" s="26">
        <f t="shared" si="8"/>
        <v>104259277.96880001</v>
      </c>
      <c r="R22" s="27" t="s">
        <v>27</v>
      </c>
      <c r="S22" s="33">
        <v>109.6778</v>
      </c>
      <c r="T22" s="28">
        <f t="shared" ref="T22" si="15">SUM(K22)+89</f>
        <v>41839</v>
      </c>
      <c r="U22" s="11" t="s">
        <v>29</v>
      </c>
      <c r="V22" s="29">
        <f t="shared" ref="V22" si="16">SUM(Q22*0.12%)</f>
        <v>125111.13356256</v>
      </c>
      <c r="W22" s="19">
        <v>155.72999999999999</v>
      </c>
      <c r="X22" s="26">
        <f t="shared" ref="X22" si="17">SUM(V22*W22)</f>
        <v>19483556.829697467</v>
      </c>
      <c r="Y22" s="52">
        <v>19679656.02</v>
      </c>
      <c r="Z22" s="28">
        <v>41831</v>
      </c>
      <c r="AA22" s="53">
        <v>11220</v>
      </c>
      <c r="AB22" s="60"/>
    </row>
    <row r="23" spans="2:28" ht="21.75" customHeight="1">
      <c r="B23" s="18">
        <f t="shared" si="4"/>
        <v>19</v>
      </c>
      <c r="C23" s="9" t="s">
        <v>117</v>
      </c>
      <c r="D23" s="11" t="s">
        <v>118</v>
      </c>
      <c r="E23" s="21">
        <v>41842</v>
      </c>
      <c r="F23" s="54" t="s">
        <v>119</v>
      </c>
      <c r="G23" s="9" t="s">
        <v>38</v>
      </c>
      <c r="H23" s="9" t="s">
        <v>34</v>
      </c>
      <c r="I23" s="9" t="s">
        <v>39</v>
      </c>
      <c r="J23" s="23">
        <v>801.22</v>
      </c>
      <c r="K23" s="21">
        <v>41776</v>
      </c>
      <c r="L23" s="9" t="s">
        <v>84</v>
      </c>
      <c r="M23" s="9" t="s">
        <v>33</v>
      </c>
      <c r="N23" s="9" t="s">
        <v>120</v>
      </c>
      <c r="O23" s="11" t="s">
        <v>121</v>
      </c>
      <c r="P23" s="51">
        <v>101000</v>
      </c>
      <c r="Q23" s="26">
        <f t="shared" si="8"/>
        <v>11303667.5</v>
      </c>
      <c r="R23" s="27" t="s">
        <v>27</v>
      </c>
      <c r="S23" s="33">
        <v>111.9175</v>
      </c>
      <c r="T23" s="28">
        <f t="shared" si="13"/>
        <v>41865</v>
      </c>
      <c r="U23" s="11" t="s">
        <v>29</v>
      </c>
      <c r="V23" s="29">
        <f t="shared" si="2"/>
        <v>13564.400999999998</v>
      </c>
      <c r="W23" s="19">
        <v>155.72999999999999</v>
      </c>
      <c r="X23" s="26">
        <f t="shared" si="14"/>
        <v>2112384.1677299994</v>
      </c>
      <c r="Y23" s="52">
        <v>2098819.61</v>
      </c>
      <c r="Z23" s="28">
        <v>41838</v>
      </c>
      <c r="AA23" s="53">
        <v>11235</v>
      </c>
      <c r="AB23" s="60"/>
    </row>
    <row r="24" spans="2:28" ht="21.75" customHeight="1">
      <c r="B24" s="18">
        <f t="shared" si="4"/>
        <v>20</v>
      </c>
      <c r="C24" s="9" t="s">
        <v>122</v>
      </c>
      <c r="D24" s="11" t="s">
        <v>123</v>
      </c>
      <c r="E24" s="21">
        <v>41842</v>
      </c>
      <c r="F24" s="54" t="s">
        <v>124</v>
      </c>
      <c r="G24" s="9" t="s">
        <v>38</v>
      </c>
      <c r="H24" s="9" t="s">
        <v>34</v>
      </c>
      <c r="I24" s="9" t="s">
        <v>39</v>
      </c>
      <c r="J24" s="23">
        <v>801.22</v>
      </c>
      <c r="K24" s="21">
        <v>41776</v>
      </c>
      <c r="L24" s="9" t="s">
        <v>84</v>
      </c>
      <c r="M24" s="9" t="s">
        <v>33</v>
      </c>
      <c r="N24" s="9" t="s">
        <v>120</v>
      </c>
      <c r="O24" s="11" t="s">
        <v>121</v>
      </c>
      <c r="P24" s="51">
        <v>119592</v>
      </c>
      <c r="Q24" s="26">
        <f t="shared" si="8"/>
        <v>13384437.66</v>
      </c>
      <c r="R24" s="27" t="s">
        <v>27</v>
      </c>
      <c r="S24" s="33">
        <v>111.9175</v>
      </c>
      <c r="T24" s="28">
        <f t="shared" si="13"/>
        <v>41865</v>
      </c>
      <c r="U24" s="11" t="s">
        <v>29</v>
      </c>
      <c r="V24" s="29">
        <f t="shared" si="2"/>
        <v>16061.325191999998</v>
      </c>
      <c r="W24" s="19">
        <v>155.72999999999999</v>
      </c>
      <c r="X24" s="26">
        <f t="shared" si="14"/>
        <v>2501230.1721501597</v>
      </c>
      <c r="Y24" s="52">
        <v>2485169.59</v>
      </c>
      <c r="Z24" s="28">
        <v>41838</v>
      </c>
      <c r="AA24" s="53">
        <v>11234</v>
      </c>
      <c r="AB24" s="60"/>
    </row>
    <row r="25" spans="2:28" ht="21.75" customHeight="1">
      <c r="B25" s="18">
        <f t="shared" si="4"/>
        <v>21</v>
      </c>
      <c r="C25" s="9" t="s">
        <v>125</v>
      </c>
      <c r="D25" s="9" t="s">
        <v>126</v>
      </c>
      <c r="E25" s="21">
        <v>41842</v>
      </c>
      <c r="F25" s="54" t="s">
        <v>127</v>
      </c>
      <c r="G25" s="9" t="s">
        <v>38</v>
      </c>
      <c r="H25" s="9" t="s">
        <v>32</v>
      </c>
      <c r="I25" s="9" t="s">
        <v>39</v>
      </c>
      <c r="J25" s="23">
        <v>801.22</v>
      </c>
      <c r="K25" s="21">
        <v>41776</v>
      </c>
      <c r="L25" s="9" t="s">
        <v>84</v>
      </c>
      <c r="M25" s="9" t="s">
        <v>33</v>
      </c>
      <c r="N25" s="9" t="s">
        <v>120</v>
      </c>
      <c r="O25" s="11" t="s">
        <v>121</v>
      </c>
      <c r="P25" s="51">
        <v>70000</v>
      </c>
      <c r="Q25" s="26">
        <f t="shared" si="8"/>
        <v>7816830</v>
      </c>
      <c r="R25" s="27" t="s">
        <v>27</v>
      </c>
      <c r="S25" s="33">
        <v>111.669</v>
      </c>
      <c r="T25" s="28">
        <f t="shared" si="13"/>
        <v>41865</v>
      </c>
      <c r="U25" s="11" t="s">
        <v>29</v>
      </c>
      <c r="V25" s="29">
        <f t="shared" si="2"/>
        <v>9380.1959999999999</v>
      </c>
      <c r="W25" s="19">
        <v>155.72999999999999</v>
      </c>
      <c r="X25" s="26">
        <f t="shared" si="14"/>
        <v>1460777.9230799999</v>
      </c>
      <c r="Y25" s="52">
        <v>1451398.35</v>
      </c>
      <c r="Z25" s="28">
        <v>41838</v>
      </c>
      <c r="AA25" s="53">
        <v>11237</v>
      </c>
      <c r="AB25" s="60"/>
    </row>
    <row r="26" spans="2:28" ht="27" customHeight="1">
      <c r="B26" s="18">
        <f t="shared" si="4"/>
        <v>22</v>
      </c>
      <c r="C26" s="9" t="s">
        <v>136</v>
      </c>
      <c r="D26" s="9" t="s">
        <v>137</v>
      </c>
      <c r="E26" s="20">
        <v>41850</v>
      </c>
      <c r="F26" s="54" t="s">
        <v>138</v>
      </c>
      <c r="G26" s="9" t="s">
        <v>43</v>
      </c>
      <c r="H26" s="9" t="s">
        <v>75</v>
      </c>
      <c r="I26" s="9" t="s">
        <v>39</v>
      </c>
      <c r="J26" s="23">
        <v>801.22</v>
      </c>
      <c r="K26" s="21">
        <v>41776</v>
      </c>
      <c r="L26" s="9" t="s">
        <v>84</v>
      </c>
      <c r="M26" s="9" t="s">
        <v>33</v>
      </c>
      <c r="N26" s="9" t="s">
        <v>30</v>
      </c>
      <c r="O26" s="11" t="s">
        <v>85</v>
      </c>
      <c r="P26" s="51">
        <v>359000</v>
      </c>
      <c r="Q26" s="26">
        <f t="shared" si="8"/>
        <v>40551922</v>
      </c>
      <c r="R26" s="27" t="s">
        <v>27</v>
      </c>
      <c r="S26" s="33">
        <v>112.958</v>
      </c>
      <c r="T26" s="28">
        <f t="shared" ref="T26" si="18">SUM(K26)+89</f>
        <v>41865</v>
      </c>
      <c r="U26" s="11" t="s">
        <v>29</v>
      </c>
      <c r="V26" s="29">
        <f t="shared" si="2"/>
        <v>48662.306399999994</v>
      </c>
      <c r="W26" s="19">
        <v>155.72999999999999</v>
      </c>
      <c r="X26" s="26">
        <f t="shared" ref="X26" si="19">SUM(V26*W26)</f>
        <v>7578180.9756719982</v>
      </c>
      <c r="Y26" s="52">
        <v>7918817.7000000002</v>
      </c>
      <c r="Z26" s="28">
        <v>41845</v>
      </c>
      <c r="AA26" s="53">
        <v>8851</v>
      </c>
      <c r="AB26" s="60"/>
    </row>
    <row r="27" spans="2:28" ht="21.75" customHeight="1">
      <c r="B27" s="18">
        <f t="shared" si="4"/>
        <v>23</v>
      </c>
      <c r="C27" s="9" t="s">
        <v>139</v>
      </c>
      <c r="D27" s="20" t="s">
        <v>140</v>
      </c>
      <c r="E27" s="21">
        <v>41851</v>
      </c>
      <c r="F27" s="22" t="s">
        <v>141</v>
      </c>
      <c r="G27" s="9" t="s">
        <v>142</v>
      </c>
      <c r="H27" s="9" t="s">
        <v>143</v>
      </c>
      <c r="I27" s="9" t="s">
        <v>39</v>
      </c>
      <c r="J27" s="23">
        <v>801.22</v>
      </c>
      <c r="K27" s="21">
        <v>41822</v>
      </c>
      <c r="L27" s="24" t="s">
        <v>144</v>
      </c>
      <c r="M27" s="24" t="s">
        <v>33</v>
      </c>
      <c r="N27" s="9" t="s">
        <v>145</v>
      </c>
      <c r="O27" s="11" t="s">
        <v>146</v>
      </c>
      <c r="P27" s="25">
        <v>150000</v>
      </c>
      <c r="Q27" s="26">
        <f t="shared" si="8"/>
        <v>16750650.000000002</v>
      </c>
      <c r="R27" s="27" t="s">
        <v>27</v>
      </c>
      <c r="S27" s="7">
        <v>111.67100000000001</v>
      </c>
      <c r="T27" s="28">
        <f t="shared" ref="T27:T40" si="20">SUM(K27)+89</f>
        <v>41911</v>
      </c>
      <c r="U27" s="9" t="s">
        <v>142</v>
      </c>
      <c r="V27" s="29">
        <f t="shared" ref="V27:V40" si="21">SUM(Q27*0.12%)</f>
        <v>20100.78</v>
      </c>
      <c r="W27" s="19">
        <v>155.72999999999999</v>
      </c>
      <c r="X27" s="26">
        <f t="shared" ref="X27:X40" si="22">SUM(V27*W27)</f>
        <v>3130294.4693999998</v>
      </c>
      <c r="Y27" s="30">
        <f t="shared" ref="Y27:Y40" si="23">X27</f>
        <v>3130294.4693999998</v>
      </c>
      <c r="Z27" s="19"/>
      <c r="AA27" s="19"/>
      <c r="AB27" s="60"/>
    </row>
    <row r="28" spans="2:28" ht="21.75" customHeight="1">
      <c r="B28" s="18">
        <f t="shared" si="4"/>
        <v>24</v>
      </c>
      <c r="C28" s="9" t="s">
        <v>147</v>
      </c>
      <c r="D28" s="20" t="s">
        <v>148</v>
      </c>
      <c r="E28" s="21">
        <v>41851</v>
      </c>
      <c r="F28" s="22" t="s">
        <v>149</v>
      </c>
      <c r="G28" s="9" t="s">
        <v>142</v>
      </c>
      <c r="H28" s="9" t="s">
        <v>143</v>
      </c>
      <c r="I28" s="9" t="s">
        <v>39</v>
      </c>
      <c r="J28" s="23">
        <v>801.22</v>
      </c>
      <c r="K28" s="21">
        <v>41822</v>
      </c>
      <c r="L28" s="24" t="s">
        <v>144</v>
      </c>
      <c r="M28" s="24" t="s">
        <v>33</v>
      </c>
      <c r="N28" s="9" t="s">
        <v>145</v>
      </c>
      <c r="O28" s="11" t="s">
        <v>146</v>
      </c>
      <c r="P28" s="25">
        <v>173483</v>
      </c>
      <c r="Q28" s="26">
        <f t="shared" si="8"/>
        <v>19373020.093000002</v>
      </c>
      <c r="R28" s="27" t="s">
        <v>27</v>
      </c>
      <c r="S28" s="7">
        <v>111.67100000000001</v>
      </c>
      <c r="T28" s="28">
        <f t="shared" si="20"/>
        <v>41911</v>
      </c>
      <c r="U28" s="9" t="s">
        <v>142</v>
      </c>
      <c r="V28" s="29">
        <f t="shared" si="21"/>
        <v>23247.624111600002</v>
      </c>
      <c r="W28" s="19">
        <v>155.72999999999999</v>
      </c>
      <c r="X28" s="26">
        <f t="shared" si="22"/>
        <v>3620352.5028994679</v>
      </c>
      <c r="Y28" s="30">
        <f t="shared" si="23"/>
        <v>3620352.5028994679</v>
      </c>
      <c r="Z28" s="19"/>
      <c r="AA28" s="19"/>
      <c r="AB28" s="60"/>
    </row>
    <row r="29" spans="2:28" ht="21.75" customHeight="1">
      <c r="B29" s="18">
        <f t="shared" si="4"/>
        <v>25</v>
      </c>
      <c r="C29" s="9" t="s">
        <v>150</v>
      </c>
      <c r="D29" s="20" t="s">
        <v>151</v>
      </c>
      <c r="E29" s="21">
        <v>41851</v>
      </c>
      <c r="F29" s="22" t="s">
        <v>152</v>
      </c>
      <c r="G29" s="9" t="s">
        <v>142</v>
      </c>
      <c r="H29" s="9" t="s">
        <v>143</v>
      </c>
      <c r="I29" s="9" t="s">
        <v>39</v>
      </c>
      <c r="J29" s="23">
        <v>801.22</v>
      </c>
      <c r="K29" s="21">
        <v>41822</v>
      </c>
      <c r="L29" s="24" t="s">
        <v>144</v>
      </c>
      <c r="M29" s="24" t="s">
        <v>33</v>
      </c>
      <c r="N29" s="9" t="s">
        <v>145</v>
      </c>
      <c r="O29" s="11" t="s">
        <v>146</v>
      </c>
      <c r="P29" s="25">
        <v>180000</v>
      </c>
      <c r="Q29" s="26">
        <f t="shared" si="8"/>
        <v>20100780</v>
      </c>
      <c r="R29" s="27" t="s">
        <v>27</v>
      </c>
      <c r="S29" s="7">
        <v>111.67100000000001</v>
      </c>
      <c r="T29" s="28">
        <f t="shared" si="20"/>
        <v>41911</v>
      </c>
      <c r="U29" s="9" t="s">
        <v>142</v>
      </c>
      <c r="V29" s="29">
        <f t="shared" si="21"/>
        <v>24120.935999999998</v>
      </c>
      <c r="W29" s="19">
        <v>155.72999999999999</v>
      </c>
      <c r="X29" s="26">
        <f t="shared" si="22"/>
        <v>3756353.3632799992</v>
      </c>
      <c r="Y29" s="30">
        <f t="shared" si="23"/>
        <v>3756353.3632799992</v>
      </c>
      <c r="Z29" s="19"/>
      <c r="AA29" s="19"/>
      <c r="AB29" s="60"/>
    </row>
    <row r="30" spans="2:28" ht="21.75" customHeight="1">
      <c r="B30" s="18">
        <f t="shared" si="4"/>
        <v>26</v>
      </c>
      <c r="C30" s="9" t="s">
        <v>153</v>
      </c>
      <c r="D30" s="20" t="s">
        <v>154</v>
      </c>
      <c r="E30" s="21">
        <v>41851</v>
      </c>
      <c r="F30" s="22" t="s">
        <v>155</v>
      </c>
      <c r="G30" s="9" t="s">
        <v>142</v>
      </c>
      <c r="H30" s="9" t="s">
        <v>143</v>
      </c>
      <c r="I30" s="9" t="s">
        <v>39</v>
      </c>
      <c r="J30" s="23">
        <v>801.22</v>
      </c>
      <c r="K30" s="21">
        <v>41822</v>
      </c>
      <c r="L30" s="24" t="s">
        <v>144</v>
      </c>
      <c r="M30" s="24" t="s">
        <v>33</v>
      </c>
      <c r="N30" s="9" t="s">
        <v>145</v>
      </c>
      <c r="O30" s="11" t="s">
        <v>146</v>
      </c>
      <c r="P30" s="25">
        <v>180000</v>
      </c>
      <c r="Q30" s="26">
        <f t="shared" si="8"/>
        <v>20100780</v>
      </c>
      <c r="R30" s="27" t="s">
        <v>27</v>
      </c>
      <c r="S30" s="7">
        <v>111.67100000000001</v>
      </c>
      <c r="T30" s="28">
        <f t="shared" si="20"/>
        <v>41911</v>
      </c>
      <c r="U30" s="9" t="s">
        <v>142</v>
      </c>
      <c r="V30" s="29">
        <f t="shared" si="21"/>
        <v>24120.935999999998</v>
      </c>
      <c r="W30" s="19">
        <v>155.72999999999999</v>
      </c>
      <c r="X30" s="26">
        <f t="shared" si="22"/>
        <v>3756353.3632799992</v>
      </c>
      <c r="Y30" s="30">
        <f t="shared" si="23"/>
        <v>3756353.3632799992</v>
      </c>
      <c r="Z30" s="19"/>
      <c r="AA30" s="19"/>
      <c r="AB30" s="60"/>
    </row>
    <row r="31" spans="2:28" ht="21.75" customHeight="1">
      <c r="B31" s="18">
        <f t="shared" si="4"/>
        <v>27</v>
      </c>
      <c r="C31" s="9" t="s">
        <v>156</v>
      </c>
      <c r="D31" s="20" t="s">
        <v>157</v>
      </c>
      <c r="E31" s="21">
        <v>41851</v>
      </c>
      <c r="F31" s="22" t="s">
        <v>158</v>
      </c>
      <c r="G31" s="9" t="s">
        <v>142</v>
      </c>
      <c r="H31" s="9" t="s">
        <v>143</v>
      </c>
      <c r="I31" s="9" t="s">
        <v>39</v>
      </c>
      <c r="J31" s="23">
        <v>801.22</v>
      </c>
      <c r="K31" s="21">
        <v>41822</v>
      </c>
      <c r="L31" s="24" t="s">
        <v>144</v>
      </c>
      <c r="M31" s="24" t="s">
        <v>33</v>
      </c>
      <c r="N31" s="9" t="s">
        <v>145</v>
      </c>
      <c r="O31" s="11" t="s">
        <v>146</v>
      </c>
      <c r="P31" s="25">
        <v>169000</v>
      </c>
      <c r="Q31" s="26">
        <f t="shared" si="8"/>
        <v>18872399</v>
      </c>
      <c r="R31" s="27" t="s">
        <v>27</v>
      </c>
      <c r="S31" s="7">
        <v>111.67100000000001</v>
      </c>
      <c r="T31" s="28">
        <f t="shared" si="20"/>
        <v>41911</v>
      </c>
      <c r="U31" s="9" t="s">
        <v>142</v>
      </c>
      <c r="V31" s="29">
        <f t="shared" si="21"/>
        <v>22646.878799999999</v>
      </c>
      <c r="W31" s="19">
        <v>155.72999999999999</v>
      </c>
      <c r="X31" s="26">
        <f t="shared" si="22"/>
        <v>3526798.4355239994</v>
      </c>
      <c r="Y31" s="30">
        <f t="shared" si="23"/>
        <v>3526798.4355239994</v>
      </c>
      <c r="Z31" s="19"/>
      <c r="AA31" s="19"/>
      <c r="AB31" s="60"/>
    </row>
    <row r="32" spans="2:28" ht="21.75" customHeight="1">
      <c r="B32" s="18">
        <f t="shared" si="4"/>
        <v>28</v>
      </c>
      <c r="C32" s="9" t="s">
        <v>159</v>
      </c>
      <c r="D32" s="20" t="s">
        <v>160</v>
      </c>
      <c r="E32" s="21">
        <v>41851</v>
      </c>
      <c r="F32" s="22" t="s">
        <v>161</v>
      </c>
      <c r="G32" s="9" t="s">
        <v>142</v>
      </c>
      <c r="H32" s="9" t="s">
        <v>143</v>
      </c>
      <c r="I32" s="9" t="s">
        <v>39</v>
      </c>
      <c r="J32" s="23">
        <v>801.22</v>
      </c>
      <c r="K32" s="21">
        <v>41822</v>
      </c>
      <c r="L32" s="24" t="s">
        <v>144</v>
      </c>
      <c r="M32" s="24" t="s">
        <v>33</v>
      </c>
      <c r="N32" s="9" t="s">
        <v>145</v>
      </c>
      <c r="O32" s="11" t="s">
        <v>146</v>
      </c>
      <c r="P32" s="25">
        <v>47000</v>
      </c>
      <c r="Q32" s="26">
        <f t="shared" si="8"/>
        <v>5248537</v>
      </c>
      <c r="R32" s="27" t="s">
        <v>27</v>
      </c>
      <c r="S32" s="7">
        <v>111.67100000000001</v>
      </c>
      <c r="T32" s="28">
        <f t="shared" si="20"/>
        <v>41911</v>
      </c>
      <c r="U32" s="9" t="s">
        <v>142</v>
      </c>
      <c r="V32" s="29">
        <f t="shared" si="21"/>
        <v>6298.2443999999996</v>
      </c>
      <c r="W32" s="19">
        <v>155.72999999999999</v>
      </c>
      <c r="X32" s="26">
        <f t="shared" si="22"/>
        <v>980825.60041199985</v>
      </c>
      <c r="Y32" s="30">
        <f t="shared" si="23"/>
        <v>980825.60041199985</v>
      </c>
      <c r="Z32" s="19"/>
      <c r="AA32" s="19"/>
      <c r="AB32" s="60"/>
    </row>
    <row r="33" spans="2:28" ht="21.75" customHeight="1">
      <c r="B33" s="18">
        <f t="shared" si="4"/>
        <v>29</v>
      </c>
      <c r="C33" s="9" t="s">
        <v>162</v>
      </c>
      <c r="D33" s="20" t="s">
        <v>163</v>
      </c>
      <c r="E33" s="21">
        <v>41851</v>
      </c>
      <c r="F33" s="22" t="s">
        <v>164</v>
      </c>
      <c r="G33" s="9" t="s">
        <v>142</v>
      </c>
      <c r="H33" s="9" t="s">
        <v>143</v>
      </c>
      <c r="I33" s="9" t="s">
        <v>39</v>
      </c>
      <c r="J33" s="23">
        <v>801.22</v>
      </c>
      <c r="K33" s="21">
        <v>41822</v>
      </c>
      <c r="L33" s="24" t="s">
        <v>144</v>
      </c>
      <c r="M33" s="24" t="s">
        <v>33</v>
      </c>
      <c r="N33" s="9" t="s">
        <v>145</v>
      </c>
      <c r="O33" s="11" t="s">
        <v>146</v>
      </c>
      <c r="P33" s="25">
        <v>50000</v>
      </c>
      <c r="Q33" s="26">
        <f t="shared" si="8"/>
        <v>5583550</v>
      </c>
      <c r="R33" s="27" t="s">
        <v>27</v>
      </c>
      <c r="S33" s="7">
        <v>111.67100000000001</v>
      </c>
      <c r="T33" s="28">
        <f t="shared" si="20"/>
        <v>41911</v>
      </c>
      <c r="U33" s="9" t="s">
        <v>142</v>
      </c>
      <c r="V33" s="29">
        <f t="shared" si="21"/>
        <v>6700.2599999999993</v>
      </c>
      <c r="W33" s="19">
        <v>155.72999999999999</v>
      </c>
      <c r="X33" s="26">
        <f t="shared" si="22"/>
        <v>1043431.4897999999</v>
      </c>
      <c r="Y33" s="30">
        <f t="shared" si="23"/>
        <v>1043431.4897999999</v>
      </c>
      <c r="Z33" s="19"/>
      <c r="AA33" s="19"/>
      <c r="AB33" s="60"/>
    </row>
    <row r="34" spans="2:28" ht="21.75" customHeight="1">
      <c r="B34" s="18">
        <f t="shared" si="4"/>
        <v>30</v>
      </c>
      <c r="C34" s="9" t="s">
        <v>165</v>
      </c>
      <c r="D34" s="20" t="s">
        <v>166</v>
      </c>
      <c r="E34" s="20">
        <v>41851</v>
      </c>
      <c r="F34" s="10" t="s">
        <v>167</v>
      </c>
      <c r="G34" s="9" t="s">
        <v>142</v>
      </c>
      <c r="H34" s="9" t="s">
        <v>143</v>
      </c>
      <c r="I34" s="9" t="s">
        <v>132</v>
      </c>
      <c r="J34" s="23">
        <v>801.22</v>
      </c>
      <c r="K34" s="20">
        <v>41823</v>
      </c>
      <c r="L34" s="9" t="s">
        <v>168</v>
      </c>
      <c r="M34" s="9" t="s">
        <v>134</v>
      </c>
      <c r="N34" s="9" t="s">
        <v>36</v>
      </c>
      <c r="O34" s="11" t="s">
        <v>169</v>
      </c>
      <c r="P34" s="51">
        <v>475646</v>
      </c>
      <c r="Q34" s="26">
        <f t="shared" si="8"/>
        <v>53307549.803999998</v>
      </c>
      <c r="R34" s="27" t="s">
        <v>27</v>
      </c>
      <c r="S34" s="33">
        <v>112.074</v>
      </c>
      <c r="T34" s="28">
        <f t="shared" si="20"/>
        <v>41912</v>
      </c>
      <c r="U34" s="9" t="s">
        <v>142</v>
      </c>
      <c r="V34" s="29">
        <f t="shared" si="21"/>
        <v>63969.059764799989</v>
      </c>
      <c r="W34" s="19">
        <v>155.72999999999999</v>
      </c>
      <c r="X34" s="26">
        <f t="shared" si="22"/>
        <v>9961901.6771723013</v>
      </c>
      <c r="Y34" s="52">
        <f t="shared" si="23"/>
        <v>9961901.6771723013</v>
      </c>
      <c r="Z34" s="19"/>
      <c r="AA34" s="19"/>
      <c r="AB34" s="74" t="s">
        <v>239</v>
      </c>
    </row>
    <row r="35" spans="2:28" ht="21.75" customHeight="1">
      <c r="B35" s="18">
        <f>B34+1</f>
        <v>31</v>
      </c>
      <c r="C35" s="9" t="s">
        <v>170</v>
      </c>
      <c r="D35" s="20" t="s">
        <v>166</v>
      </c>
      <c r="E35" s="20">
        <v>41851</v>
      </c>
      <c r="F35" s="10" t="s">
        <v>240</v>
      </c>
      <c r="G35" s="9" t="s">
        <v>142</v>
      </c>
      <c r="H35" s="9" t="s">
        <v>143</v>
      </c>
      <c r="I35" s="9" t="s">
        <v>132</v>
      </c>
      <c r="J35" s="23">
        <v>801.22</v>
      </c>
      <c r="K35" s="20">
        <v>41823</v>
      </c>
      <c r="L35" s="9" t="s">
        <v>168</v>
      </c>
      <c r="M35" s="9" t="s">
        <v>134</v>
      </c>
      <c r="N35" s="9" t="s">
        <v>171</v>
      </c>
      <c r="O35" s="11" t="s">
        <v>172</v>
      </c>
      <c r="P35" s="51">
        <v>475000</v>
      </c>
      <c r="Q35" s="26">
        <f t="shared" si="8"/>
        <v>53235150</v>
      </c>
      <c r="R35" s="27" t="s">
        <v>27</v>
      </c>
      <c r="S35" s="33">
        <v>112.074</v>
      </c>
      <c r="T35" s="28">
        <f t="shared" si="20"/>
        <v>41912</v>
      </c>
      <c r="U35" s="9" t="s">
        <v>142</v>
      </c>
      <c r="V35" s="29">
        <f t="shared" si="21"/>
        <v>63882.179999999993</v>
      </c>
      <c r="W35" s="19">
        <v>155.72999999999999</v>
      </c>
      <c r="X35" s="26">
        <f t="shared" si="22"/>
        <v>9948371.8913999982</v>
      </c>
      <c r="Y35" s="52">
        <f t="shared" si="23"/>
        <v>9948371.8913999982</v>
      </c>
      <c r="Z35" s="19"/>
      <c r="AA35" s="19"/>
      <c r="AB35" s="74"/>
    </row>
    <row r="36" spans="2:28" ht="21.75" customHeight="1">
      <c r="B36" s="18">
        <f>B35+1</f>
        <v>32</v>
      </c>
      <c r="C36" s="9" t="s">
        <v>173</v>
      </c>
      <c r="D36" s="20" t="s">
        <v>174</v>
      </c>
      <c r="E36" s="21">
        <v>41851</v>
      </c>
      <c r="F36" s="10" t="s">
        <v>175</v>
      </c>
      <c r="G36" s="9" t="s">
        <v>142</v>
      </c>
      <c r="H36" s="9" t="s">
        <v>143</v>
      </c>
      <c r="I36" s="9" t="s">
        <v>176</v>
      </c>
      <c r="J36" s="23">
        <v>801.22</v>
      </c>
      <c r="K36" s="21">
        <v>41830</v>
      </c>
      <c r="L36" s="24" t="s">
        <v>177</v>
      </c>
      <c r="M36" s="32" t="s">
        <v>178</v>
      </c>
      <c r="N36" s="9" t="s">
        <v>179</v>
      </c>
      <c r="O36" s="11" t="s">
        <v>180</v>
      </c>
      <c r="P36" s="25">
        <v>899827</v>
      </c>
      <c r="Q36" s="26">
        <f t="shared" si="8"/>
        <v>97880481.578999996</v>
      </c>
      <c r="R36" s="27" t="s">
        <v>27</v>
      </c>
      <c r="S36" s="33">
        <v>108.777</v>
      </c>
      <c r="T36" s="28">
        <f t="shared" si="20"/>
        <v>41919</v>
      </c>
      <c r="U36" s="9" t="s">
        <v>142</v>
      </c>
      <c r="V36" s="29">
        <f t="shared" si="21"/>
        <v>117456.57789479998</v>
      </c>
      <c r="W36" s="19">
        <v>155.72999999999999</v>
      </c>
      <c r="X36" s="26">
        <f t="shared" si="22"/>
        <v>18291512.875557199</v>
      </c>
      <c r="Y36" s="30">
        <f t="shared" si="23"/>
        <v>18291512.875557199</v>
      </c>
      <c r="Z36" s="19"/>
      <c r="AA36" s="19"/>
      <c r="AB36" s="60"/>
    </row>
    <row r="37" spans="2:28" ht="21.75" customHeight="1">
      <c r="B37" s="18">
        <f t="shared" si="4"/>
        <v>33</v>
      </c>
      <c r="C37" s="9" t="s">
        <v>181</v>
      </c>
      <c r="D37" s="20" t="s">
        <v>182</v>
      </c>
      <c r="E37" s="21">
        <v>41851</v>
      </c>
      <c r="F37" s="22" t="s">
        <v>183</v>
      </c>
      <c r="G37" s="9" t="s">
        <v>142</v>
      </c>
      <c r="H37" s="24" t="s">
        <v>143</v>
      </c>
      <c r="I37" s="9" t="s">
        <v>39</v>
      </c>
      <c r="J37" s="23">
        <v>801.22</v>
      </c>
      <c r="K37" s="21">
        <v>41832</v>
      </c>
      <c r="L37" s="24" t="s">
        <v>184</v>
      </c>
      <c r="M37" s="24" t="s">
        <v>33</v>
      </c>
      <c r="N37" s="9" t="s">
        <v>185</v>
      </c>
      <c r="O37" s="11" t="s">
        <v>186</v>
      </c>
      <c r="P37" s="25">
        <v>768328</v>
      </c>
      <c r="Q37" s="26">
        <f t="shared" si="8"/>
        <v>82171142.943999991</v>
      </c>
      <c r="R37" s="27" t="s">
        <v>27</v>
      </c>
      <c r="S37" s="33">
        <v>106.94799999999999</v>
      </c>
      <c r="T37" s="28">
        <f t="shared" si="20"/>
        <v>41921</v>
      </c>
      <c r="U37" s="9" t="s">
        <v>142</v>
      </c>
      <c r="V37" s="29">
        <f t="shared" si="21"/>
        <v>98605.371532799982</v>
      </c>
      <c r="W37" s="19">
        <v>155.72999999999999</v>
      </c>
      <c r="X37" s="26">
        <f t="shared" si="22"/>
        <v>15355814.508802939</v>
      </c>
      <c r="Y37" s="30">
        <f t="shared" si="23"/>
        <v>15355814.508802939</v>
      </c>
      <c r="Z37" s="19"/>
      <c r="AA37" s="19"/>
      <c r="AB37" s="60"/>
    </row>
    <row r="38" spans="2:28" ht="21.75" customHeight="1">
      <c r="B38" s="18">
        <f t="shared" si="4"/>
        <v>34</v>
      </c>
      <c r="C38" s="9" t="s">
        <v>187</v>
      </c>
      <c r="D38" s="20" t="s">
        <v>188</v>
      </c>
      <c r="E38" s="21">
        <v>41851</v>
      </c>
      <c r="F38" s="22" t="s">
        <v>189</v>
      </c>
      <c r="G38" s="9" t="s">
        <v>142</v>
      </c>
      <c r="H38" s="24" t="s">
        <v>143</v>
      </c>
      <c r="I38" s="9" t="s">
        <v>39</v>
      </c>
      <c r="J38" s="23">
        <v>801.22</v>
      </c>
      <c r="K38" s="21">
        <v>41832</v>
      </c>
      <c r="L38" s="24" t="s">
        <v>184</v>
      </c>
      <c r="M38" s="24" t="s">
        <v>33</v>
      </c>
      <c r="N38" s="9" t="s">
        <v>185</v>
      </c>
      <c r="O38" s="11" t="s">
        <v>186</v>
      </c>
      <c r="P38" s="25">
        <v>180000</v>
      </c>
      <c r="Q38" s="26">
        <f t="shared" si="8"/>
        <v>19250640</v>
      </c>
      <c r="R38" s="27" t="s">
        <v>27</v>
      </c>
      <c r="S38" s="33">
        <v>106.94799999999999</v>
      </c>
      <c r="T38" s="28">
        <f t="shared" si="20"/>
        <v>41921</v>
      </c>
      <c r="U38" s="9" t="s">
        <v>142</v>
      </c>
      <c r="V38" s="29">
        <f t="shared" si="21"/>
        <v>23100.767999999996</v>
      </c>
      <c r="W38" s="19">
        <v>155.72999999999999</v>
      </c>
      <c r="X38" s="26">
        <f t="shared" si="22"/>
        <v>3597482.6006399994</v>
      </c>
      <c r="Y38" s="30">
        <f t="shared" si="23"/>
        <v>3597482.6006399994</v>
      </c>
      <c r="Z38" s="19"/>
      <c r="AA38" s="19"/>
      <c r="AB38" s="60"/>
    </row>
    <row r="39" spans="2:28" ht="21.75" customHeight="1">
      <c r="B39" s="18">
        <f t="shared" si="4"/>
        <v>35</v>
      </c>
      <c r="C39" s="9" t="s">
        <v>190</v>
      </c>
      <c r="D39" s="20" t="s">
        <v>191</v>
      </c>
      <c r="E39" s="21">
        <v>41851</v>
      </c>
      <c r="F39" s="22" t="s">
        <v>192</v>
      </c>
      <c r="G39" s="9" t="s">
        <v>142</v>
      </c>
      <c r="H39" s="9" t="s">
        <v>143</v>
      </c>
      <c r="I39" s="9" t="s">
        <v>193</v>
      </c>
      <c r="J39" s="23">
        <v>801.22</v>
      </c>
      <c r="K39" s="21">
        <v>41844</v>
      </c>
      <c r="L39" s="24" t="s">
        <v>194</v>
      </c>
      <c r="M39" s="24" t="s">
        <v>195</v>
      </c>
      <c r="N39" s="9" t="s">
        <v>196</v>
      </c>
      <c r="O39" s="11" t="s">
        <v>197</v>
      </c>
      <c r="P39" s="25">
        <v>545992</v>
      </c>
      <c r="Q39" s="26">
        <f t="shared" si="8"/>
        <v>57916647.391999997</v>
      </c>
      <c r="R39" s="27" t="s">
        <v>27</v>
      </c>
      <c r="S39" s="33">
        <v>106.07599999999999</v>
      </c>
      <c r="T39" s="28">
        <f t="shared" si="20"/>
        <v>41933</v>
      </c>
      <c r="U39" s="9" t="s">
        <v>142</v>
      </c>
      <c r="V39" s="29">
        <f t="shared" si="21"/>
        <v>69499.976870399987</v>
      </c>
      <c r="W39" s="19">
        <v>155.72999999999999</v>
      </c>
      <c r="X39" s="26">
        <f t="shared" si="22"/>
        <v>10823231.398027388</v>
      </c>
      <c r="Y39" s="30">
        <f t="shared" si="23"/>
        <v>10823231.398027388</v>
      </c>
      <c r="Z39" s="19"/>
      <c r="AA39" s="19"/>
      <c r="AB39" s="60"/>
    </row>
    <row r="40" spans="2:28" ht="21.75" customHeight="1" thickBot="1">
      <c r="B40" s="18">
        <f t="shared" si="4"/>
        <v>36</v>
      </c>
      <c r="C40" s="9" t="s">
        <v>198</v>
      </c>
      <c r="D40" s="20" t="s">
        <v>199</v>
      </c>
      <c r="E40" s="21">
        <v>41851</v>
      </c>
      <c r="F40" s="22" t="s">
        <v>200</v>
      </c>
      <c r="G40" s="9" t="s">
        <v>142</v>
      </c>
      <c r="H40" s="9" t="s">
        <v>143</v>
      </c>
      <c r="I40" s="9" t="s">
        <v>193</v>
      </c>
      <c r="J40" s="23">
        <v>801.22</v>
      </c>
      <c r="K40" s="21">
        <v>41844</v>
      </c>
      <c r="L40" s="24" t="s">
        <v>194</v>
      </c>
      <c r="M40" s="24" t="s">
        <v>195</v>
      </c>
      <c r="N40" s="9" t="s">
        <v>196</v>
      </c>
      <c r="O40" s="11" t="s">
        <v>197</v>
      </c>
      <c r="P40" s="25">
        <v>450000</v>
      </c>
      <c r="Q40" s="26">
        <f t="shared" si="8"/>
        <v>47734200</v>
      </c>
      <c r="R40" s="27" t="s">
        <v>27</v>
      </c>
      <c r="S40" s="33">
        <v>106.07599999999999</v>
      </c>
      <c r="T40" s="28">
        <f t="shared" si="20"/>
        <v>41933</v>
      </c>
      <c r="U40" s="9" t="s">
        <v>142</v>
      </c>
      <c r="V40" s="29">
        <f t="shared" si="21"/>
        <v>57281.039999999994</v>
      </c>
      <c r="W40" s="19">
        <v>155.72999999999999</v>
      </c>
      <c r="X40" s="26">
        <f t="shared" si="22"/>
        <v>8920376.3591999989</v>
      </c>
      <c r="Y40" s="30">
        <f t="shared" si="23"/>
        <v>8920376.3591999989</v>
      </c>
      <c r="Z40" s="19"/>
      <c r="AA40" s="19"/>
      <c r="AB40" s="60"/>
    </row>
    <row r="41" spans="2:28" ht="15.75" thickBot="1">
      <c r="B41" s="31"/>
      <c r="C41" s="31"/>
      <c r="D41" s="17"/>
      <c r="E41" s="17"/>
      <c r="F41" s="17"/>
      <c r="G41" s="17"/>
      <c r="H41" s="17"/>
      <c r="I41" s="17"/>
      <c r="J41" s="31"/>
      <c r="K41" s="41"/>
      <c r="L41" s="17"/>
      <c r="M41" s="41"/>
      <c r="N41" s="42"/>
      <c r="O41" s="43"/>
      <c r="P41" s="44">
        <f>SUM(P5:P40)</f>
        <v>9326509</v>
      </c>
      <c r="Q41" s="57">
        <f>SUM(Q5:Q40)</f>
        <v>1019518034.1986001</v>
      </c>
      <c r="R41" s="46"/>
      <c r="S41" s="47"/>
      <c r="T41" s="48"/>
      <c r="U41" s="49"/>
      <c r="V41" s="57">
        <f>SUM(V5:V40)</f>
        <v>1223421.6410383198</v>
      </c>
      <c r="W41" s="46"/>
      <c r="X41" s="57">
        <f t="shared" ref="X41:Y41" si="24">SUM(X5:X40)</f>
        <v>190524687.70350704</v>
      </c>
      <c r="Y41" s="57">
        <f t="shared" si="24"/>
        <v>191083868.91539529</v>
      </c>
      <c r="Z41" s="31"/>
      <c r="AA41" s="31"/>
      <c r="AB41" s="31"/>
    </row>
  </sheetData>
  <mergeCells count="1">
    <mergeCell ref="AB34:AB35"/>
  </mergeCells>
  <pageMargins left="0" right="0" top="0" bottom="0" header="0.31496062992125984" footer="0"/>
  <pageSetup paperSize="8" orientation="landscape" r:id="rId1"/>
  <ignoredErrors>
    <ignoredError sqref="F22:F26 F7:F21" numberStoredAsText="1"/>
    <ignoredError sqref="T22:X22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AB17"/>
  <sheetViews>
    <sheetView workbookViewId="0">
      <selection activeCell="A42" sqref="A42:XFD51"/>
    </sheetView>
  </sheetViews>
  <sheetFormatPr defaultRowHeight="15"/>
  <cols>
    <col min="1" max="1" width="3.42578125" customWidth="1"/>
    <col min="2" max="2" width="4.140625" customWidth="1"/>
    <col min="3" max="3" width="5.28515625" style="3" customWidth="1"/>
    <col min="4" max="4" width="7.7109375" style="3" customWidth="1"/>
    <col min="5" max="5" width="5.42578125" style="3" customWidth="1"/>
    <col min="6" max="6" width="10.7109375" style="3" customWidth="1"/>
    <col min="7" max="7" width="8.5703125" style="3" customWidth="1"/>
    <col min="8" max="8" width="8" style="3" customWidth="1"/>
    <col min="9" max="9" width="8.85546875" style="3" customWidth="1"/>
    <col min="10" max="10" width="6.140625" customWidth="1"/>
    <col min="11" max="11" width="6" style="1" customWidth="1"/>
    <col min="12" max="12" width="10.28515625" style="3" customWidth="1"/>
    <col min="13" max="13" width="5.28515625" style="3" customWidth="1"/>
    <col min="14" max="14" width="7.28515625" style="5" customWidth="1"/>
    <col min="15" max="15" width="8.7109375" style="6" customWidth="1"/>
    <col min="16" max="16" width="7.5703125" customWidth="1"/>
    <col min="17" max="17" width="11.28515625" customWidth="1"/>
    <col min="18" max="18" width="6.140625" customWidth="1"/>
    <col min="19" max="19" width="6.85546875" style="8" customWidth="1"/>
    <col min="20" max="20" width="7" style="1" customWidth="1"/>
    <col min="21" max="21" width="7.5703125" style="3" customWidth="1"/>
    <col min="22" max="22" width="9.140625" customWidth="1"/>
    <col min="23" max="23" width="5.28515625" customWidth="1"/>
    <col min="24" max="24" width="11.28515625" customWidth="1"/>
    <col min="25" max="25" width="11" customWidth="1"/>
    <col min="26" max="27" width="5.28515625" customWidth="1"/>
  </cols>
  <sheetData>
    <row r="2" spans="2:28" ht="15.75">
      <c r="L2" s="4" t="s">
        <v>0</v>
      </c>
    </row>
    <row r="3" spans="2:28" ht="23.25" customHeight="1" thickBot="1">
      <c r="L3" s="4" t="s">
        <v>237</v>
      </c>
      <c r="P3" s="2"/>
    </row>
    <row r="4" spans="2:28" s="3" customFormat="1" ht="42.6" customHeight="1" thickBot="1">
      <c r="B4" s="12" t="s">
        <v>1</v>
      </c>
      <c r="C4" s="13" t="s">
        <v>2</v>
      </c>
      <c r="D4" s="13" t="s">
        <v>3</v>
      </c>
      <c r="E4" s="13" t="s">
        <v>4</v>
      </c>
      <c r="F4" s="14" t="s">
        <v>5</v>
      </c>
      <c r="G4" s="15" t="s">
        <v>6</v>
      </c>
      <c r="H4" s="13" t="s">
        <v>7</v>
      </c>
      <c r="I4" s="13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N4" s="13" t="s">
        <v>13</v>
      </c>
      <c r="O4" s="13" t="s">
        <v>14</v>
      </c>
      <c r="P4" s="13" t="s">
        <v>15</v>
      </c>
      <c r="Q4" s="13" t="s">
        <v>16</v>
      </c>
      <c r="R4" s="13" t="s">
        <v>17</v>
      </c>
      <c r="S4" s="16" t="s">
        <v>18</v>
      </c>
      <c r="T4" s="13" t="s">
        <v>19</v>
      </c>
      <c r="U4" s="13" t="s">
        <v>20</v>
      </c>
      <c r="V4" s="13" t="s">
        <v>21</v>
      </c>
      <c r="W4" s="13" t="s">
        <v>22</v>
      </c>
      <c r="X4" s="13" t="s">
        <v>23</v>
      </c>
      <c r="Y4" s="13" t="s">
        <v>24</v>
      </c>
      <c r="Z4" s="13" t="s">
        <v>25</v>
      </c>
      <c r="AA4" s="13" t="s">
        <v>26</v>
      </c>
      <c r="AB4" s="58" t="s">
        <v>242</v>
      </c>
    </row>
    <row r="5" spans="2:28" ht="29.25" customHeight="1">
      <c r="B5" s="18">
        <v>1</v>
      </c>
      <c r="C5" s="9" t="s">
        <v>210</v>
      </c>
      <c r="D5" s="34" t="s">
        <v>204</v>
      </c>
      <c r="E5" s="20"/>
      <c r="F5" s="22" t="s">
        <v>238</v>
      </c>
      <c r="G5" s="9" t="s">
        <v>40</v>
      </c>
      <c r="H5" s="9" t="s">
        <v>45</v>
      </c>
      <c r="I5" s="9" t="s">
        <v>41</v>
      </c>
      <c r="J5" s="23">
        <v>801.22</v>
      </c>
      <c r="K5" s="21">
        <v>41841</v>
      </c>
      <c r="L5" s="24" t="s">
        <v>211</v>
      </c>
      <c r="M5" s="24" t="s">
        <v>42</v>
      </c>
      <c r="N5" s="9" t="s">
        <v>36</v>
      </c>
      <c r="O5" s="11" t="s">
        <v>44</v>
      </c>
      <c r="P5" s="25">
        <v>799844</v>
      </c>
      <c r="Q5" s="26">
        <f t="shared" ref="Q5:Q16" si="0">SUM(P5*S5)</f>
        <v>81392125.439999998</v>
      </c>
      <c r="R5" s="27" t="s">
        <v>27</v>
      </c>
      <c r="S5" s="33">
        <v>101.76</v>
      </c>
      <c r="T5" s="28">
        <f t="shared" ref="T5:T6" si="1">SUM(K5)+89</f>
        <v>41930</v>
      </c>
      <c r="U5" s="11" t="s">
        <v>43</v>
      </c>
      <c r="V5" s="29">
        <f t="shared" ref="V5:V16" si="2">SUM(Q5*0.12%)</f>
        <v>97670.550527999992</v>
      </c>
      <c r="W5" s="19">
        <v>155.72999999999999</v>
      </c>
      <c r="X5" s="26">
        <f t="shared" ref="X5:X16" si="3">SUM(V5*W5)</f>
        <v>15210234.833725438</v>
      </c>
      <c r="Y5" s="35">
        <v>0</v>
      </c>
      <c r="Z5" s="19"/>
      <c r="AA5" s="19"/>
      <c r="AB5" s="19"/>
    </row>
    <row r="6" spans="2:28" ht="21.75" customHeight="1">
      <c r="B6" s="18">
        <f t="shared" ref="B6:B16" si="4">B5+1</f>
        <v>2</v>
      </c>
      <c r="C6" s="9" t="s">
        <v>212</v>
      </c>
      <c r="D6" s="34" t="s">
        <v>204</v>
      </c>
      <c r="E6" s="20"/>
      <c r="F6" s="22" t="s">
        <v>213</v>
      </c>
      <c r="G6" s="9" t="s">
        <v>43</v>
      </c>
      <c r="H6" s="9" t="s">
        <v>131</v>
      </c>
      <c r="I6" s="9" t="s">
        <v>132</v>
      </c>
      <c r="J6" s="23">
        <v>801.22</v>
      </c>
      <c r="K6" s="21">
        <v>41844</v>
      </c>
      <c r="L6" s="24" t="s">
        <v>214</v>
      </c>
      <c r="M6" s="24" t="s">
        <v>134</v>
      </c>
      <c r="N6" s="9" t="s">
        <v>36</v>
      </c>
      <c r="O6" s="11" t="s">
        <v>205</v>
      </c>
      <c r="P6" s="25">
        <v>948707</v>
      </c>
      <c r="Q6" s="26">
        <f t="shared" si="0"/>
        <v>103338858.682</v>
      </c>
      <c r="R6" s="27" t="s">
        <v>27</v>
      </c>
      <c r="S6" s="33">
        <v>108.926</v>
      </c>
      <c r="T6" s="28">
        <f t="shared" si="1"/>
        <v>41933</v>
      </c>
      <c r="U6" s="9" t="s">
        <v>29</v>
      </c>
      <c r="V6" s="29">
        <f t="shared" si="2"/>
        <v>124006.63041839999</v>
      </c>
      <c r="W6" s="19">
        <v>155.72999999999999</v>
      </c>
      <c r="X6" s="26">
        <f t="shared" si="3"/>
        <v>19311552.555057429</v>
      </c>
      <c r="Y6" s="35">
        <v>0</v>
      </c>
      <c r="Z6" s="19"/>
      <c r="AA6" s="19"/>
      <c r="AB6" s="19"/>
    </row>
    <row r="7" spans="2:28" ht="21.75" customHeight="1">
      <c r="B7" s="18">
        <f t="shared" si="4"/>
        <v>3</v>
      </c>
      <c r="C7" s="9" t="s">
        <v>215</v>
      </c>
      <c r="D7" s="34" t="s">
        <v>204</v>
      </c>
      <c r="E7" s="20"/>
      <c r="F7" s="22" t="s">
        <v>216</v>
      </c>
      <c r="G7" s="9" t="s">
        <v>38</v>
      </c>
      <c r="H7" s="24" t="s">
        <v>32</v>
      </c>
      <c r="I7" s="9" t="s">
        <v>39</v>
      </c>
      <c r="J7" s="23">
        <v>801.22</v>
      </c>
      <c r="K7" s="21">
        <v>41844</v>
      </c>
      <c r="L7" s="24" t="s">
        <v>217</v>
      </c>
      <c r="M7" s="24" t="s">
        <v>33</v>
      </c>
      <c r="N7" s="9" t="s">
        <v>30</v>
      </c>
      <c r="O7" s="11" t="s">
        <v>31</v>
      </c>
      <c r="P7" s="25">
        <v>80000</v>
      </c>
      <c r="Q7" s="26">
        <f t="shared" si="0"/>
        <v>8650080</v>
      </c>
      <c r="R7" s="27" t="s">
        <v>27</v>
      </c>
      <c r="S7" s="33">
        <v>108.126</v>
      </c>
      <c r="T7" s="28">
        <f t="shared" ref="T7:T16" si="5">SUM(K7)+89</f>
        <v>41933</v>
      </c>
      <c r="U7" s="11" t="s">
        <v>29</v>
      </c>
      <c r="V7" s="29">
        <f t="shared" si="2"/>
        <v>10380.096</v>
      </c>
      <c r="W7" s="19">
        <v>155.72999999999999</v>
      </c>
      <c r="X7" s="26">
        <f t="shared" si="3"/>
        <v>1616492.3500799998</v>
      </c>
      <c r="Y7" s="35">
        <v>0</v>
      </c>
      <c r="Z7" s="19"/>
      <c r="AA7" s="19"/>
      <c r="AB7" s="19"/>
    </row>
    <row r="8" spans="2:28" ht="21.75" customHeight="1">
      <c r="B8" s="18">
        <f t="shared" si="4"/>
        <v>4</v>
      </c>
      <c r="C8" s="9" t="s">
        <v>218</v>
      </c>
      <c r="D8" s="34" t="s">
        <v>204</v>
      </c>
      <c r="E8" s="20"/>
      <c r="F8" s="22" t="s">
        <v>219</v>
      </c>
      <c r="G8" s="9" t="s">
        <v>38</v>
      </c>
      <c r="H8" s="24" t="s">
        <v>34</v>
      </c>
      <c r="I8" s="9" t="s">
        <v>39</v>
      </c>
      <c r="J8" s="23">
        <v>801.22</v>
      </c>
      <c r="K8" s="21">
        <v>41844</v>
      </c>
      <c r="L8" s="24" t="s">
        <v>217</v>
      </c>
      <c r="M8" s="24" t="s">
        <v>33</v>
      </c>
      <c r="N8" s="9" t="s">
        <v>30</v>
      </c>
      <c r="O8" s="11" t="s">
        <v>31</v>
      </c>
      <c r="P8" s="25">
        <v>211324</v>
      </c>
      <c r="Q8" s="26">
        <f t="shared" si="0"/>
        <v>22849618.824000001</v>
      </c>
      <c r="R8" s="27" t="s">
        <v>27</v>
      </c>
      <c r="S8" s="33">
        <v>108.126</v>
      </c>
      <c r="T8" s="28">
        <f t="shared" si="5"/>
        <v>41933</v>
      </c>
      <c r="U8" s="11" t="s">
        <v>29</v>
      </c>
      <c r="V8" s="29">
        <f t="shared" si="2"/>
        <v>27419.542588799999</v>
      </c>
      <c r="W8" s="19">
        <v>155.72999999999999</v>
      </c>
      <c r="X8" s="26">
        <f t="shared" si="3"/>
        <v>4270045.367353824</v>
      </c>
      <c r="Y8" s="35">
        <v>0</v>
      </c>
      <c r="Z8" s="19"/>
      <c r="AA8" s="19"/>
      <c r="AB8" s="19"/>
    </row>
    <row r="9" spans="2:28" ht="21.75" customHeight="1">
      <c r="B9" s="18">
        <f t="shared" si="4"/>
        <v>5</v>
      </c>
      <c r="C9" s="9" t="s">
        <v>220</v>
      </c>
      <c r="D9" s="34" t="s">
        <v>204</v>
      </c>
      <c r="E9" s="20"/>
      <c r="F9" s="22" t="s">
        <v>221</v>
      </c>
      <c r="G9" s="9" t="s">
        <v>38</v>
      </c>
      <c r="H9" s="24" t="s">
        <v>34</v>
      </c>
      <c r="I9" s="9" t="s">
        <v>39</v>
      </c>
      <c r="J9" s="23">
        <v>801.22</v>
      </c>
      <c r="K9" s="21">
        <v>41844</v>
      </c>
      <c r="L9" s="24" t="s">
        <v>217</v>
      </c>
      <c r="M9" s="24" t="s">
        <v>33</v>
      </c>
      <c r="N9" s="9" t="s">
        <v>30</v>
      </c>
      <c r="O9" s="11" t="s">
        <v>31</v>
      </c>
      <c r="P9" s="25">
        <v>55500</v>
      </c>
      <c r="Q9" s="26">
        <f t="shared" si="0"/>
        <v>6000993</v>
      </c>
      <c r="R9" s="27" t="s">
        <v>27</v>
      </c>
      <c r="S9" s="33">
        <v>108.126</v>
      </c>
      <c r="T9" s="28">
        <f t="shared" si="5"/>
        <v>41933</v>
      </c>
      <c r="U9" s="11" t="s">
        <v>29</v>
      </c>
      <c r="V9" s="29">
        <f t="shared" si="2"/>
        <v>7201.1915999999992</v>
      </c>
      <c r="W9" s="19">
        <v>155.72999999999999</v>
      </c>
      <c r="X9" s="26">
        <f t="shared" si="3"/>
        <v>1121441.5678679999</v>
      </c>
      <c r="Y9" s="35">
        <v>0</v>
      </c>
      <c r="Z9" s="19"/>
      <c r="AA9" s="19"/>
      <c r="AB9" s="19"/>
    </row>
    <row r="10" spans="2:28" ht="21.75" customHeight="1">
      <c r="B10" s="18">
        <f t="shared" si="4"/>
        <v>6</v>
      </c>
      <c r="C10" s="9" t="s">
        <v>222</v>
      </c>
      <c r="D10" s="34" t="s">
        <v>204</v>
      </c>
      <c r="E10" s="20"/>
      <c r="F10" s="22" t="s">
        <v>223</v>
      </c>
      <c r="G10" s="9" t="s">
        <v>43</v>
      </c>
      <c r="H10" s="9" t="s">
        <v>209</v>
      </c>
      <c r="I10" s="9" t="s">
        <v>39</v>
      </c>
      <c r="J10" s="23">
        <v>801.22</v>
      </c>
      <c r="K10" s="21">
        <v>41844</v>
      </c>
      <c r="L10" s="24" t="s">
        <v>217</v>
      </c>
      <c r="M10" s="24" t="s">
        <v>33</v>
      </c>
      <c r="N10" s="9" t="s">
        <v>30</v>
      </c>
      <c r="O10" s="11" t="s">
        <v>31</v>
      </c>
      <c r="P10" s="25">
        <v>252934</v>
      </c>
      <c r="Q10" s="26">
        <f t="shared" si="0"/>
        <v>27348741.684</v>
      </c>
      <c r="R10" s="27" t="s">
        <v>27</v>
      </c>
      <c r="S10" s="33">
        <v>108.126</v>
      </c>
      <c r="T10" s="28">
        <f t="shared" si="5"/>
        <v>41933</v>
      </c>
      <c r="U10" s="9" t="s">
        <v>29</v>
      </c>
      <c r="V10" s="29">
        <f t="shared" si="2"/>
        <v>32818.490020799996</v>
      </c>
      <c r="W10" s="19">
        <v>155.72999999999999</v>
      </c>
      <c r="X10" s="26">
        <f t="shared" si="3"/>
        <v>5110823.4509391831</v>
      </c>
      <c r="Y10" s="35">
        <v>0</v>
      </c>
      <c r="Z10" s="19"/>
      <c r="AA10" s="19"/>
      <c r="AB10" s="19"/>
    </row>
    <row r="11" spans="2:28" ht="21.75" customHeight="1">
      <c r="B11" s="18">
        <f t="shared" si="4"/>
        <v>7</v>
      </c>
      <c r="C11" s="9" t="s">
        <v>224</v>
      </c>
      <c r="D11" s="34" t="s">
        <v>204</v>
      </c>
      <c r="E11" s="20"/>
      <c r="F11" s="22" t="s">
        <v>225</v>
      </c>
      <c r="G11" s="9" t="s">
        <v>38</v>
      </c>
      <c r="H11" s="9" t="s">
        <v>202</v>
      </c>
      <c r="I11" s="9" t="s">
        <v>39</v>
      </c>
      <c r="J11" s="23">
        <v>801.22</v>
      </c>
      <c r="K11" s="21">
        <v>41844</v>
      </c>
      <c r="L11" s="24" t="s">
        <v>217</v>
      </c>
      <c r="M11" s="24" t="s">
        <v>33</v>
      </c>
      <c r="N11" s="9" t="s">
        <v>30</v>
      </c>
      <c r="O11" s="11" t="s">
        <v>31</v>
      </c>
      <c r="P11" s="25">
        <v>100000</v>
      </c>
      <c r="Q11" s="26">
        <f t="shared" si="0"/>
        <v>10812600</v>
      </c>
      <c r="R11" s="27" t="s">
        <v>27</v>
      </c>
      <c r="S11" s="33">
        <v>108.126</v>
      </c>
      <c r="T11" s="28">
        <f t="shared" si="5"/>
        <v>41933</v>
      </c>
      <c r="U11" s="11" t="s">
        <v>201</v>
      </c>
      <c r="V11" s="29">
        <f t="shared" si="2"/>
        <v>12975.119999999999</v>
      </c>
      <c r="W11" s="19">
        <v>155.72999999999999</v>
      </c>
      <c r="X11" s="26">
        <f t="shared" si="3"/>
        <v>2020615.4375999996</v>
      </c>
      <c r="Y11" s="35">
        <v>0</v>
      </c>
      <c r="Z11" s="19"/>
      <c r="AA11" s="19"/>
      <c r="AB11" s="19"/>
    </row>
    <row r="12" spans="2:28" ht="21.75" customHeight="1">
      <c r="B12" s="18">
        <f t="shared" si="4"/>
        <v>8</v>
      </c>
      <c r="C12" s="9" t="s">
        <v>226</v>
      </c>
      <c r="D12" s="34" t="s">
        <v>204</v>
      </c>
      <c r="E12" s="20"/>
      <c r="F12" s="22" t="s">
        <v>227</v>
      </c>
      <c r="G12" s="9" t="s">
        <v>82</v>
      </c>
      <c r="H12" s="9" t="s">
        <v>83</v>
      </c>
      <c r="I12" s="9" t="s">
        <v>39</v>
      </c>
      <c r="J12" s="23">
        <v>801.22</v>
      </c>
      <c r="K12" s="21">
        <v>41844</v>
      </c>
      <c r="L12" s="24" t="s">
        <v>217</v>
      </c>
      <c r="M12" s="24" t="s">
        <v>33</v>
      </c>
      <c r="N12" s="9" t="s">
        <v>30</v>
      </c>
      <c r="O12" s="11" t="s">
        <v>31</v>
      </c>
      <c r="P12" s="25">
        <v>47000</v>
      </c>
      <c r="Q12" s="26">
        <f t="shared" si="0"/>
        <v>5081922</v>
      </c>
      <c r="R12" s="27" t="s">
        <v>27</v>
      </c>
      <c r="S12" s="33">
        <v>108.126</v>
      </c>
      <c r="T12" s="28">
        <f t="shared" si="5"/>
        <v>41933</v>
      </c>
      <c r="U12" s="9" t="s">
        <v>82</v>
      </c>
      <c r="V12" s="29">
        <f t="shared" si="2"/>
        <v>6098.3063999999995</v>
      </c>
      <c r="W12" s="19">
        <v>155.72999999999999</v>
      </c>
      <c r="X12" s="26">
        <f t="shared" si="3"/>
        <v>949689.25567199988</v>
      </c>
      <c r="Y12" s="35">
        <v>0</v>
      </c>
      <c r="Z12" s="19"/>
      <c r="AA12" s="19"/>
      <c r="AB12" s="19"/>
    </row>
    <row r="13" spans="2:28" ht="21.75" customHeight="1">
      <c r="B13" s="18">
        <f t="shared" si="4"/>
        <v>9</v>
      </c>
      <c r="C13" s="9" t="s">
        <v>228</v>
      </c>
      <c r="D13" s="34" t="s">
        <v>204</v>
      </c>
      <c r="E13" s="20"/>
      <c r="F13" s="22" t="s">
        <v>229</v>
      </c>
      <c r="G13" s="9" t="s">
        <v>82</v>
      </c>
      <c r="H13" s="9" t="s">
        <v>83</v>
      </c>
      <c r="I13" s="9" t="s">
        <v>39</v>
      </c>
      <c r="J13" s="23">
        <v>801.22</v>
      </c>
      <c r="K13" s="21">
        <v>41844</v>
      </c>
      <c r="L13" s="24" t="s">
        <v>217</v>
      </c>
      <c r="M13" s="24" t="s">
        <v>33</v>
      </c>
      <c r="N13" s="9" t="s">
        <v>30</v>
      </c>
      <c r="O13" s="11" t="s">
        <v>31</v>
      </c>
      <c r="P13" s="25">
        <v>40000</v>
      </c>
      <c r="Q13" s="26">
        <f t="shared" si="0"/>
        <v>4325040</v>
      </c>
      <c r="R13" s="27" t="s">
        <v>27</v>
      </c>
      <c r="S13" s="33">
        <v>108.126</v>
      </c>
      <c r="T13" s="28">
        <f t="shared" si="5"/>
        <v>41933</v>
      </c>
      <c r="U13" s="9" t="s">
        <v>82</v>
      </c>
      <c r="V13" s="29">
        <f t="shared" si="2"/>
        <v>5190.0479999999998</v>
      </c>
      <c r="W13" s="19">
        <v>155.72999999999999</v>
      </c>
      <c r="X13" s="26">
        <f t="shared" si="3"/>
        <v>808246.17503999989</v>
      </c>
      <c r="Y13" s="35">
        <v>0</v>
      </c>
      <c r="Z13" s="19"/>
      <c r="AA13" s="19"/>
      <c r="AB13" s="19"/>
    </row>
    <row r="14" spans="2:28" ht="21.75" customHeight="1">
      <c r="B14" s="18">
        <f t="shared" si="4"/>
        <v>10</v>
      </c>
      <c r="C14" s="9" t="s">
        <v>230</v>
      </c>
      <c r="D14" s="34" t="s">
        <v>204</v>
      </c>
      <c r="E14" s="20"/>
      <c r="F14" s="22" t="s">
        <v>231</v>
      </c>
      <c r="G14" s="9" t="s">
        <v>92</v>
      </c>
      <c r="H14" s="9" t="s">
        <v>83</v>
      </c>
      <c r="I14" s="9" t="s">
        <v>39</v>
      </c>
      <c r="J14" s="23">
        <v>801.22</v>
      </c>
      <c r="K14" s="21">
        <v>41844</v>
      </c>
      <c r="L14" s="24" t="s">
        <v>217</v>
      </c>
      <c r="M14" s="24" t="s">
        <v>33</v>
      </c>
      <c r="N14" s="9" t="s">
        <v>30</v>
      </c>
      <c r="O14" s="11" t="s">
        <v>31</v>
      </c>
      <c r="P14" s="25">
        <v>54000</v>
      </c>
      <c r="Q14" s="26">
        <f t="shared" si="0"/>
        <v>5838804</v>
      </c>
      <c r="R14" s="27" t="s">
        <v>27</v>
      </c>
      <c r="S14" s="33">
        <v>108.126</v>
      </c>
      <c r="T14" s="28">
        <f t="shared" si="5"/>
        <v>41933</v>
      </c>
      <c r="U14" s="9" t="s">
        <v>82</v>
      </c>
      <c r="V14" s="29">
        <f t="shared" si="2"/>
        <v>7006.5647999999992</v>
      </c>
      <c r="W14" s="19">
        <v>155.72999999999999</v>
      </c>
      <c r="X14" s="26">
        <f t="shared" si="3"/>
        <v>1091132.3363039999</v>
      </c>
      <c r="Y14" s="35">
        <v>0</v>
      </c>
      <c r="Z14" s="19"/>
      <c r="AA14" s="19"/>
      <c r="AB14" s="19"/>
    </row>
    <row r="15" spans="2:28" ht="21.75" customHeight="1">
      <c r="B15" s="18">
        <f t="shared" si="4"/>
        <v>11</v>
      </c>
      <c r="C15" s="9" t="s">
        <v>232</v>
      </c>
      <c r="D15" s="34" t="s">
        <v>204</v>
      </c>
      <c r="E15" s="20"/>
      <c r="F15" s="22" t="s">
        <v>233</v>
      </c>
      <c r="G15" s="9" t="s">
        <v>207</v>
      </c>
      <c r="H15" s="9" t="s">
        <v>206</v>
      </c>
      <c r="I15" s="9" t="s">
        <v>39</v>
      </c>
      <c r="J15" s="23">
        <v>801.22</v>
      </c>
      <c r="K15" s="21">
        <v>41844</v>
      </c>
      <c r="L15" s="24" t="s">
        <v>217</v>
      </c>
      <c r="M15" s="24" t="s">
        <v>33</v>
      </c>
      <c r="N15" s="9" t="s">
        <v>30</v>
      </c>
      <c r="O15" s="11" t="s">
        <v>31</v>
      </c>
      <c r="P15" s="25">
        <v>209000</v>
      </c>
      <c r="Q15" s="26">
        <f t="shared" si="0"/>
        <v>22598334</v>
      </c>
      <c r="R15" s="27" t="s">
        <v>27</v>
      </c>
      <c r="S15" s="33">
        <v>108.126</v>
      </c>
      <c r="T15" s="28">
        <f t="shared" si="5"/>
        <v>41933</v>
      </c>
      <c r="U15" s="9" t="s">
        <v>208</v>
      </c>
      <c r="V15" s="29">
        <f t="shared" si="2"/>
        <v>27118.000799999998</v>
      </c>
      <c r="W15" s="19">
        <v>155.72999999999999</v>
      </c>
      <c r="X15" s="26">
        <f t="shared" si="3"/>
        <v>4223086.2645839993</v>
      </c>
      <c r="Y15" s="35">
        <v>0</v>
      </c>
      <c r="Z15" s="19"/>
      <c r="AA15" s="19"/>
      <c r="AB15" s="19"/>
    </row>
    <row r="16" spans="2:28" ht="26.25" customHeight="1" thickBot="1">
      <c r="B16" s="18">
        <f t="shared" si="4"/>
        <v>12</v>
      </c>
      <c r="C16" s="9" t="s">
        <v>234</v>
      </c>
      <c r="D16" s="34" t="s">
        <v>204</v>
      </c>
      <c r="E16" s="20"/>
      <c r="F16" s="22" t="s">
        <v>241</v>
      </c>
      <c r="G16" s="9" t="s">
        <v>38</v>
      </c>
      <c r="H16" s="24" t="s">
        <v>34</v>
      </c>
      <c r="I16" s="9" t="s">
        <v>39</v>
      </c>
      <c r="J16" s="23">
        <v>801.22</v>
      </c>
      <c r="K16" s="21">
        <v>41850</v>
      </c>
      <c r="L16" s="24" t="s">
        <v>203</v>
      </c>
      <c r="M16" s="24" t="s">
        <v>33</v>
      </c>
      <c r="N16" s="9" t="s">
        <v>108</v>
      </c>
      <c r="O16" s="11" t="s">
        <v>235</v>
      </c>
      <c r="P16" s="36">
        <v>722963</v>
      </c>
      <c r="Q16" s="37">
        <f t="shared" si="0"/>
        <v>77388851.371999994</v>
      </c>
      <c r="R16" s="27" t="s">
        <v>27</v>
      </c>
      <c r="S16" s="38">
        <v>107.044</v>
      </c>
      <c r="T16" s="28">
        <f t="shared" si="5"/>
        <v>41939</v>
      </c>
      <c r="U16" s="9" t="s">
        <v>29</v>
      </c>
      <c r="V16" s="39">
        <f t="shared" si="2"/>
        <v>92866.621646399988</v>
      </c>
      <c r="W16" s="19">
        <v>155.72999999999999</v>
      </c>
      <c r="X16" s="37">
        <f t="shared" si="3"/>
        <v>14462118.98899387</v>
      </c>
      <c r="Y16" s="40">
        <v>0</v>
      </c>
      <c r="Z16" s="19"/>
      <c r="AA16" s="19"/>
      <c r="AB16" s="19"/>
    </row>
    <row r="17" spans="2:28" ht="15.75" thickBot="1">
      <c r="B17" s="31"/>
      <c r="C17" s="17"/>
      <c r="D17" s="17"/>
      <c r="E17" s="17"/>
      <c r="F17" s="17"/>
      <c r="G17" s="17"/>
      <c r="H17" s="17"/>
      <c r="I17" s="17"/>
      <c r="J17" s="31"/>
      <c r="K17" s="41"/>
      <c r="L17" s="17"/>
      <c r="M17" s="17"/>
      <c r="N17" s="42"/>
      <c r="O17" s="43"/>
      <c r="P17" s="44">
        <f>SUM(P5:P16)</f>
        <v>3521272</v>
      </c>
      <c r="Q17" s="45">
        <f>SUM(Q5:Q16)</f>
        <v>375625969.00199997</v>
      </c>
      <c r="R17" s="46"/>
      <c r="S17" s="47"/>
      <c r="T17" s="48"/>
      <c r="U17" s="49"/>
      <c r="V17" s="45">
        <f>SUM(V5:V16)</f>
        <v>450751.16280239995</v>
      </c>
      <c r="W17" s="46"/>
      <c r="X17" s="45">
        <f>SUM(X5:X16)</f>
        <v>70195478.583217755</v>
      </c>
      <c r="Y17" s="71">
        <f>SUM(Y5:Y16)</f>
        <v>0</v>
      </c>
      <c r="Z17" s="31"/>
      <c r="AA17" s="31"/>
      <c r="AB17" s="31"/>
    </row>
  </sheetData>
  <pageMargins left="0" right="0" top="0" bottom="0" header="0.31496062992125984" footer="0"/>
  <pageSetup paperSize="8" orientation="landscape" r:id="rId1"/>
  <ignoredErrors>
    <ignoredError sqref="F5:F1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COMPREHENSIVE (JUL'14)</vt:lpstr>
      <vt:lpstr>COMPLIANT (JUL'14)</vt:lpstr>
      <vt:lpstr>NON-COMPLIANT (JUL'14)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2014-08-08T13:15:40Z</cp:lastPrinted>
  <dcterms:created xsi:type="dcterms:W3CDTF">2013-10-09T11:18:50Z</dcterms:created>
  <dcterms:modified xsi:type="dcterms:W3CDTF">2014-08-13T10:23:13Z</dcterms:modified>
</cp:coreProperties>
</file>