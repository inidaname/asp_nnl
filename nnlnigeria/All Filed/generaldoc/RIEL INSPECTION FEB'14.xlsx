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/>
  </bookViews>
  <sheets>
    <sheet name="COMPREHENSIVE (FEB'14)" sheetId="3" r:id="rId1"/>
    <sheet name="COMPLIANT (FEB'14)" sheetId="2" r:id="rId2"/>
    <sheet name="NON-COMPLIANT (FEB'14)" sheetId="5" r:id="rId3"/>
  </sheets>
  <calcPr calcId="125725"/>
</workbook>
</file>

<file path=xl/calcChain.xml><?xml version="1.0" encoding="utf-8"?>
<calcChain xmlns="http://schemas.openxmlformats.org/spreadsheetml/2006/main">
  <c r="B6" i="2"/>
  <c r="Q6"/>
  <c r="T6"/>
  <c r="V6"/>
  <c r="X6" s="1"/>
  <c r="B7"/>
  <c r="Q7"/>
  <c r="T7"/>
  <c r="V7"/>
  <c r="X7"/>
  <c r="B8"/>
  <c r="Q8"/>
  <c r="T8"/>
  <c r="V8"/>
  <c r="X8" s="1"/>
  <c r="B9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Q9"/>
  <c r="T9"/>
  <c r="V9"/>
  <c r="X9"/>
  <c r="Q10"/>
  <c r="T10"/>
  <c r="V10"/>
  <c r="X10" s="1"/>
  <c r="Q11"/>
  <c r="T11"/>
  <c r="V11"/>
  <c r="X11"/>
  <c r="Q12"/>
  <c r="T12"/>
  <c r="V12"/>
  <c r="X12" s="1"/>
  <c r="Q13"/>
  <c r="T13"/>
  <c r="V13"/>
  <c r="X13"/>
  <c r="Q14"/>
  <c r="T14"/>
  <c r="V14"/>
  <c r="X14" s="1"/>
  <c r="Q15"/>
  <c r="T15"/>
  <c r="V15"/>
  <c r="X15"/>
  <c r="Q16"/>
  <c r="T16"/>
  <c r="V16"/>
  <c r="X16" s="1"/>
  <c r="Q17"/>
  <c r="T17"/>
  <c r="V17"/>
  <c r="X17"/>
  <c r="Q18"/>
  <c r="T18"/>
  <c r="V18"/>
  <c r="X18" s="1"/>
  <c r="Q19"/>
  <c r="T19"/>
  <c r="V19"/>
  <c r="X19"/>
  <c r="Q20"/>
  <c r="T20"/>
  <c r="V20"/>
  <c r="X20" s="1"/>
  <c r="Q21"/>
  <c r="T21"/>
  <c r="V21"/>
  <c r="X21"/>
  <c r="Q22"/>
  <c r="T22"/>
  <c r="V22"/>
  <c r="X22" s="1"/>
  <c r="Q23"/>
  <c r="T23"/>
  <c r="V23"/>
  <c r="X23"/>
  <c r="Q25"/>
  <c r="T25"/>
  <c r="V25"/>
  <c r="X25" s="1"/>
  <c r="Y25" s="1"/>
  <c r="Q26"/>
  <c r="T26"/>
  <c r="V26"/>
  <c r="X26" s="1"/>
  <c r="Y26" s="1"/>
  <c r="Q27"/>
  <c r="T27"/>
  <c r="V27"/>
  <c r="X27" s="1"/>
  <c r="Q28"/>
  <c r="T28"/>
  <c r="V28"/>
  <c r="X28" s="1"/>
  <c r="Y28" s="1"/>
  <c r="Q29"/>
  <c r="T29"/>
  <c r="V29"/>
  <c r="X29" s="1"/>
  <c r="Y29" s="1"/>
  <c r="Q30"/>
  <c r="T30"/>
  <c r="V30"/>
  <c r="X30" s="1"/>
  <c r="Y30" s="1"/>
  <c r="Q5"/>
  <c r="T5"/>
  <c r="V5"/>
  <c r="X5" s="1"/>
  <c r="Q24"/>
  <c r="T24"/>
  <c r="V24"/>
  <c r="X24" s="1"/>
  <c r="B12" i="5" l="1"/>
  <c r="B13" s="1"/>
  <c r="B14" s="1"/>
  <c r="B15" s="1"/>
  <c r="B16" s="1"/>
  <c r="B17" s="1"/>
  <c r="B18" s="1"/>
  <c r="P19"/>
  <c r="Y19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B6"/>
  <c r="B7" s="1"/>
  <c r="B8" s="1"/>
  <c r="B9" s="1"/>
  <c r="B10" s="1"/>
  <c r="B11" s="1"/>
  <c r="T5"/>
  <c r="Q5"/>
  <c r="Q19" s="1"/>
  <c r="P25" i="3"/>
  <c r="T24"/>
  <c r="Q24"/>
  <c r="V24" s="1"/>
  <c r="X24" s="1"/>
  <c r="Y24" s="1"/>
  <c r="T23"/>
  <c r="Q23"/>
  <c r="V23" s="1"/>
  <c r="X23" s="1"/>
  <c r="T22"/>
  <c r="Q22"/>
  <c r="V22" s="1"/>
  <c r="X22" s="1"/>
  <c r="T21"/>
  <c r="Q21"/>
  <c r="V21" s="1"/>
  <c r="X21" s="1"/>
  <c r="T20"/>
  <c r="Q20"/>
  <c r="V20" s="1"/>
  <c r="X20" s="1"/>
  <c r="T19"/>
  <c r="Q19"/>
  <c r="V19" s="1"/>
  <c r="X19" s="1"/>
  <c r="T18"/>
  <c r="Q18"/>
  <c r="V18" s="1"/>
  <c r="X18" s="1"/>
  <c r="T17"/>
  <c r="Q17"/>
  <c r="V17" s="1"/>
  <c r="X17" s="1"/>
  <c r="Y17" s="1"/>
  <c r="T16"/>
  <c r="Q16"/>
  <c r="V16" s="1"/>
  <c r="X16" s="1"/>
  <c r="Y16" s="1"/>
  <c r="T15"/>
  <c r="Q15"/>
  <c r="V15" s="1"/>
  <c r="X15" s="1"/>
  <c r="T14"/>
  <c r="Q14"/>
  <c r="V14" s="1"/>
  <c r="X14" s="1"/>
  <c r="T13"/>
  <c r="Q13"/>
  <c r="V13" s="1"/>
  <c r="X13" s="1"/>
  <c r="Y13" s="1"/>
  <c r="T12"/>
  <c r="Q12"/>
  <c r="V12" s="1"/>
  <c r="X12" s="1"/>
  <c r="Y12" s="1"/>
  <c r="Y25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P31" i="2"/>
  <c r="Y31"/>
  <c r="V5" i="5" l="1"/>
  <c r="Q25" i="3"/>
  <c r="X5" i="5" l="1"/>
  <c r="X19" s="1"/>
  <c r="V19"/>
  <c r="V25" i="3"/>
  <c r="X25"/>
  <c r="Q31" i="2" l="1"/>
  <c r="X31" l="1"/>
  <c r="V31"/>
</calcChain>
</file>

<file path=xl/sharedStrings.xml><?xml version="1.0" encoding="utf-8"?>
<sst xmlns="http://schemas.openxmlformats.org/spreadsheetml/2006/main" count="796" uniqueCount="205">
  <si>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</si>
  <si>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</si>
  <si>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</si>
  <si>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</si>
  <si>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</si>
  <si>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</si>
  <si>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</si>
  <si>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</si>
  <si>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</si>
  <si>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</si>
  <si>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</si>
  <si>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</si>
  <si>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</si>
  <si>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</si>
  <si>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</si>
  <si>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</si>
  <si>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</si>
  <si>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</si>
  <si>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</si>
  <si>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</si>
  <si>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</si>
  <si>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</si>
  <si>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</si>
  <si>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</si>
  <si>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</si>
  <si>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</si>
  <si>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</si>
  <si>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C182</t>
  </si>
  <si>
    <t>UBA</t>
  </si>
  <si>
    <t>SKYE BANK</t>
  </si>
  <si>
    <t>OKONO BLEND CRUDE OIL</t>
  </si>
  <si>
    <t>OKONO</t>
  </si>
  <si>
    <t>AGIP ENERGY</t>
  </si>
  <si>
    <t>BRASS</t>
  </si>
  <si>
    <t>NIGERIAN AGIP</t>
  </si>
  <si>
    <t>ITALY</t>
  </si>
  <si>
    <t>TRIESTE</t>
  </si>
  <si>
    <t>INDIA</t>
  </si>
  <si>
    <t>ONE OR MORE SAFE PORTS, INDIA</t>
  </si>
  <si>
    <t>SPAIN</t>
  </si>
  <si>
    <t>PLATFORM PETROLEUM</t>
  </si>
  <si>
    <t>ONE OR MORE SAFE PORT(S), THAILAND</t>
  </si>
  <si>
    <t>HUELVA</t>
  </si>
  <si>
    <t>CITI BANK OF NIG</t>
  </si>
  <si>
    <t>BRASS BLEND CRUDE OIL</t>
  </si>
  <si>
    <t>THAILAND</t>
  </si>
  <si>
    <t>ELENI</t>
  </si>
  <si>
    <t>BRASS 340</t>
  </si>
  <si>
    <t>STANBIC IBTC</t>
  </si>
  <si>
    <t>EBOK BLEND CRUDE OIL</t>
  </si>
  <si>
    <t>EBOK</t>
  </si>
  <si>
    <t>GENOA</t>
  </si>
  <si>
    <t>STANDARD CHARTERED</t>
  </si>
  <si>
    <t>201301010039</t>
  </si>
  <si>
    <t>201301010040</t>
  </si>
  <si>
    <t>201301010041</t>
  </si>
  <si>
    <t>201300010319</t>
  </si>
  <si>
    <t>201300010320</t>
  </si>
  <si>
    <t>STERLING BANK</t>
  </si>
  <si>
    <t>FOUR SMILE</t>
  </si>
  <si>
    <t>TURKEY</t>
  </si>
  <si>
    <t>IZMIT/TUTUNCIFTLIK REFINERY</t>
  </si>
  <si>
    <t>QUILIANO (ITALY) FOR ORDERS</t>
  </si>
  <si>
    <t>BRASS 400</t>
  </si>
  <si>
    <t>BRASS 401</t>
  </si>
  <si>
    <t>BRASS 402</t>
  </si>
  <si>
    <t>BRASS 404</t>
  </si>
  <si>
    <t>BRASS 405</t>
  </si>
  <si>
    <t>BRASS 411</t>
  </si>
  <si>
    <t>BRASS 412</t>
  </si>
  <si>
    <t>BRASS 413</t>
  </si>
  <si>
    <t>201300010349</t>
  </si>
  <si>
    <t>201300010350</t>
  </si>
  <si>
    <t>201301010045</t>
  </si>
  <si>
    <t>201301010046</t>
  </si>
  <si>
    <t>20139030002</t>
  </si>
  <si>
    <t>00201300010370</t>
  </si>
  <si>
    <t>00201300010398</t>
  </si>
  <si>
    <t>201300010399</t>
  </si>
  <si>
    <t>201300010400</t>
  </si>
  <si>
    <t>ITHAKI</t>
  </si>
  <si>
    <t>CAP ROMUALD</t>
  </si>
  <si>
    <t>EXPLORER</t>
  </si>
  <si>
    <t>BRASS 415</t>
  </si>
  <si>
    <t>BRASS 416</t>
  </si>
  <si>
    <t>BRASS 417</t>
  </si>
  <si>
    <t>BRASS 418</t>
  </si>
  <si>
    <t>BRASS 419</t>
  </si>
  <si>
    <t>BRASS 422</t>
  </si>
  <si>
    <t>BRASS 423</t>
  </si>
  <si>
    <t>BRASS 424</t>
  </si>
  <si>
    <t>OKONO 067</t>
  </si>
  <si>
    <t>ORIENTAL ENERGY</t>
  </si>
  <si>
    <t>SC SARA</t>
  </si>
  <si>
    <t>EBOK 013</t>
  </si>
  <si>
    <t>201400010066</t>
  </si>
  <si>
    <t>ENERGY BRASS 028</t>
  </si>
  <si>
    <t>PLATFORM BRASS 083</t>
  </si>
  <si>
    <t>PLATFORM BRASS 084</t>
  </si>
  <si>
    <t>PLATFORM BRASS 085</t>
  </si>
  <si>
    <t>PLATFORM BRASS 086</t>
  </si>
  <si>
    <t>PLATFORM BRASS 087</t>
  </si>
  <si>
    <t>PLATFORM BRASS 088</t>
  </si>
  <si>
    <t>AGIP BRASS 060</t>
  </si>
  <si>
    <t>ENERGY BRASS 033</t>
  </si>
  <si>
    <t>PLATFORM BRASS 089</t>
  </si>
  <si>
    <t>PLATFORM BRASS 090</t>
  </si>
  <si>
    <t>PLATFORM BRASS 091</t>
  </si>
  <si>
    <t>AGIP BRASS 062</t>
  </si>
  <si>
    <t>AGIP BRASS 063</t>
  </si>
  <si>
    <t>ENERGY OKONO 008</t>
  </si>
  <si>
    <t>AGIP BRASS 064</t>
  </si>
  <si>
    <t>AGIP BRASS 065</t>
  </si>
  <si>
    <t>ENERGY BRASS 034</t>
  </si>
  <si>
    <t>ORIENTAL EBOK 013</t>
  </si>
  <si>
    <t>COMPLIANT INSPECTION REPORT FOR THE PERIOD OF  FEBRUARY 2014</t>
  </si>
  <si>
    <t>BRASS 352</t>
  </si>
  <si>
    <t>NNPC BRASS 122</t>
  </si>
  <si>
    <t>40412116C54/4D</t>
  </si>
  <si>
    <t>NNPC</t>
  </si>
  <si>
    <t xml:space="preserve">STENA PRESIDENT </t>
  </si>
  <si>
    <t>GHANA</t>
  </si>
  <si>
    <t>TEMA</t>
  </si>
  <si>
    <t>CBN</t>
  </si>
  <si>
    <t>OKONO 070</t>
  </si>
  <si>
    <t>NNPC OKONO 055</t>
  </si>
  <si>
    <t>41301115C40/34</t>
  </si>
  <si>
    <t>CENTRAL BANK</t>
  </si>
  <si>
    <t>MAERSK HEIWA</t>
  </si>
  <si>
    <t>SINGAPORE</t>
  </si>
  <si>
    <t>SINGAPORE FOR ORDERS</t>
  </si>
  <si>
    <t>YOHO 095</t>
  </si>
  <si>
    <t>NNPC YOHO 057</t>
  </si>
  <si>
    <t>41301109C48/240</t>
  </si>
  <si>
    <t>YOHO BLEND CRUDE OIL</t>
  </si>
  <si>
    <t>PHOENIX VANGUARD</t>
  </si>
  <si>
    <t>YOHO</t>
  </si>
  <si>
    <t>NETHERLANDS</t>
  </si>
  <si>
    <t>ROTTERDAM</t>
  </si>
  <si>
    <t>EBOK 014</t>
  </si>
  <si>
    <t>ORIENTAL EBOK 014</t>
  </si>
  <si>
    <t>201400010091</t>
  </si>
  <si>
    <t>PHOENIX STRENGTH</t>
  </si>
  <si>
    <t>USA</t>
  </si>
  <si>
    <t>CORPUS CHRISTI</t>
  </si>
  <si>
    <t>ANTAN 094</t>
  </si>
  <si>
    <t>NNPC ANTAN 043</t>
  </si>
  <si>
    <t>41301111C39/12A</t>
  </si>
  <si>
    <t>ANTAN BLEND CRUDE OIL</t>
  </si>
  <si>
    <t>DELTA TOLMI</t>
  </si>
  <si>
    <t>ANTAN</t>
  </si>
  <si>
    <t>PORTUGAL</t>
  </si>
  <si>
    <t>LEIXOES</t>
  </si>
  <si>
    <t>ANTAN 095</t>
  </si>
  <si>
    <t>NNPC ANTAN 044</t>
  </si>
  <si>
    <t>41301111C39/12B</t>
  </si>
  <si>
    <t>OKONO 071</t>
  </si>
  <si>
    <t>NNPC OKONO 056</t>
  </si>
  <si>
    <t>41301115C38/65</t>
  </si>
  <si>
    <t>NORDIC APOLLO</t>
  </si>
  <si>
    <t>FRANCE</t>
  </si>
  <si>
    <t>FOS, LAVERA</t>
  </si>
  <si>
    <t>MOBIL PRODUCING</t>
  </si>
  <si>
    <t>DELTA HARMONY</t>
  </si>
  <si>
    <t>PHILLIPS OIL</t>
  </si>
  <si>
    <t>NOT YET ISSUED</t>
  </si>
  <si>
    <t>UNITED KINGDOM</t>
  </si>
  <si>
    <t>MIDWESTERN OIL</t>
  </si>
  <si>
    <t>NIPPON PRINCESS</t>
  </si>
  <si>
    <t>GUARANTY TRUST BANK</t>
  </si>
  <si>
    <t>TETNEY</t>
  </si>
  <si>
    <t>BRASS 437</t>
  </si>
  <si>
    <t>201400010025</t>
  </si>
  <si>
    <t>AFRA HAWTHORN</t>
  </si>
  <si>
    <t>PORTLAND, MAINE</t>
  </si>
  <si>
    <t>BRASS 438</t>
  </si>
  <si>
    <t>201401010058</t>
  </si>
  <si>
    <t>BRASS 439</t>
  </si>
  <si>
    <t>201401010059</t>
  </si>
  <si>
    <t>BRASS 440</t>
  </si>
  <si>
    <t>20149030002</t>
  </si>
  <si>
    <t>BRASS 441</t>
  </si>
  <si>
    <t>YET RECEIVED 1A</t>
  </si>
  <si>
    <t>BRASS 442</t>
  </si>
  <si>
    <t>BRASS 443</t>
  </si>
  <si>
    <t>BRASS 444</t>
  </si>
  <si>
    <t>YET RECEIVED 7A</t>
  </si>
  <si>
    <t>HS MEDEA</t>
  </si>
  <si>
    <t>BRASS 445</t>
  </si>
  <si>
    <t>YET RECEIVED 8A</t>
  </si>
  <si>
    <t>BRASS 446</t>
  </si>
  <si>
    <t>YET RECEIVED 2A</t>
  </si>
  <si>
    <t>NORDIC ZENITH</t>
  </si>
  <si>
    <t>LAVERA</t>
  </si>
  <si>
    <t>BRASS 447</t>
  </si>
  <si>
    <t>YET RECEIVED 3A</t>
  </si>
  <si>
    <t>BRASS 448</t>
  </si>
  <si>
    <t>YET RECEIVED 4A</t>
  </si>
  <si>
    <t>YOHO 096</t>
  </si>
  <si>
    <t>YET RECEIVED 5A</t>
  </si>
  <si>
    <t>FRONT KATHRINE</t>
  </si>
  <si>
    <t>EBOK 015</t>
  </si>
  <si>
    <t>YET RECEIVED 6A</t>
  </si>
  <si>
    <t>COMPREHENSIVE INSPECTION REPORT FOR THE PERIOD OF  FEBRUARY 2014</t>
  </si>
  <si>
    <t>NON-COMPLIANT INSPECTION REPORT FOR THE PERIOD OF  FEBRUARY 2014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</si>
</sst>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000"/>
    <numFmt numFmtId="165" formatCode="0000000"/>
    <numFmt numFmtId="166" formatCode="00000000000000"/>
    <numFmt numFmtId="167" formatCode="_-* #,##0_-;\-* #,##0_-;_-* &quot;-&quot;??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6" fillId="0" borderId="6" xfId="0" applyNumberFormat="1" applyFont="1" applyFill="1" applyBorder="1" applyAlignment="1">
      <alignment horizontal="center"/>
    </xf>
    <xf numFmtId="164" fontId="6" fillId="0" borderId="5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6" fontId="6" fillId="0" borderId="6" xfId="0" applyNumberFormat="1" applyFont="1" applyFill="1" applyBorder="1" applyAlignment="1">
      <alignment horizontal="center"/>
    </xf>
    <xf numFmtId="1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wrapText="1"/>
    </xf>
    <xf numFmtId="3" fontId="6" fillId="0" borderId="6" xfId="0" applyNumberFormat="1" applyFont="1" applyFill="1" applyBorder="1"/>
    <xf numFmtId="0" fontId="7" fillId="0" borderId="2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49" fontId="7" fillId="0" borderId="3" xfId="2" applyNumberFormat="1" applyFont="1" applyFill="1" applyBorder="1" applyAlignment="1">
      <alignment horizontal="center" vertical="center"/>
    </xf>
    <xf numFmtId="49" fontId="7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6" fillId="0" borderId="6" xfId="0" applyFont="1" applyFill="1" applyBorder="1"/>
    <xf numFmtId="0" fontId="6" fillId="0" borderId="6" xfId="0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>
      <alignment horizontal="center" wrapText="1"/>
    </xf>
    <xf numFmtId="164" fontId="6" fillId="0" borderId="6" xfId="0" applyNumberFormat="1" applyFont="1" applyFill="1" applyBorder="1" applyAlignment="1">
      <alignment horizontal="center" wrapText="1"/>
    </xf>
    <xf numFmtId="4" fontId="6" fillId="0" borderId="6" xfId="0" applyNumberFormat="1" applyFont="1" applyFill="1" applyBorder="1" applyAlignment="1">
      <alignment horizontal="right"/>
    </xf>
    <xf numFmtId="4" fontId="6" fillId="0" borderId="6" xfId="0" applyNumberFormat="1" applyFont="1" applyFill="1" applyBorder="1" applyAlignment="1">
      <alignment horizontal="center"/>
    </xf>
    <xf numFmtId="14" fontId="6" fillId="0" borderId="6" xfId="0" applyNumberFormat="1" applyFont="1" applyFill="1" applyBorder="1" applyAlignment="1">
      <alignment horizontal="center"/>
    </xf>
    <xf numFmtId="4" fontId="6" fillId="0" borderId="6" xfId="0" applyNumberFormat="1" applyFont="1" applyFill="1" applyBorder="1"/>
    <xf numFmtId="2" fontId="6" fillId="0" borderId="6" xfId="0" applyNumberFormat="1" applyFont="1" applyFill="1" applyBorder="1"/>
    <xf numFmtId="4" fontId="6" fillId="0" borderId="6" xfId="0" applyNumberFormat="1" applyFont="1" applyFill="1" applyBorder="1" applyAlignment="1">
      <alignment horizontal="center" vertical="center" wrapText="1"/>
    </xf>
    <xf numFmtId="43" fontId="6" fillId="0" borderId="6" xfId="1" applyFont="1" applyFill="1" applyBorder="1"/>
    <xf numFmtId="164" fontId="6" fillId="0" borderId="6" xfId="4" applyNumberFormat="1" applyFont="1" applyFill="1" applyBorder="1" applyAlignment="1">
      <alignment horizontal="center"/>
    </xf>
    <xf numFmtId="165" fontId="6" fillId="0" borderId="6" xfId="0" applyNumberFormat="1" applyFont="1" applyFill="1" applyBorder="1" applyAlignment="1">
      <alignment horizontal="center"/>
    </xf>
    <xf numFmtId="167" fontId="6" fillId="0" borderId="8" xfId="5" applyNumberFormat="1" applyFont="1" applyFill="1" applyBorder="1"/>
    <xf numFmtId="4" fontId="6" fillId="0" borderId="8" xfId="0" applyNumberFormat="1" applyFont="1" applyFill="1" applyBorder="1" applyAlignment="1">
      <alignment horizontal="right"/>
    </xf>
    <xf numFmtId="4" fontId="6" fillId="0" borderId="8" xfId="0" applyNumberFormat="1" applyFont="1" applyFill="1" applyBorder="1"/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3" fontId="7" fillId="0" borderId="7" xfId="0" applyNumberFormat="1" applyFont="1" applyFill="1" applyBorder="1"/>
    <xf numFmtId="4" fontId="7" fillId="0" borderId="7" xfId="0" applyNumberFormat="1" applyFont="1" applyFill="1" applyBorder="1"/>
    <xf numFmtId="0" fontId="6" fillId="0" borderId="0" xfId="0" applyFont="1" applyFill="1"/>
    <xf numFmtId="164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43" fontId="7" fillId="0" borderId="7" xfId="0" applyNumberFormat="1" applyFont="1" applyFill="1" applyBorder="1"/>
    <xf numFmtId="0" fontId="9" fillId="0" borderId="0" xfId="0" applyFont="1" applyFill="1" applyAlignment="1">
      <alignment horizontal="left"/>
    </xf>
    <xf numFmtId="164" fontId="8" fillId="0" borderId="0" xfId="0" applyNumberFormat="1" applyFont="1" applyFill="1" applyAlignment="1">
      <alignment horizontal="center"/>
    </xf>
    <xf numFmtId="0" fontId="10" fillId="0" borderId="0" xfId="0" applyFont="1" applyFill="1"/>
    <xf numFmtId="164" fontId="6" fillId="0" borderId="5" xfId="4" applyNumberFormat="1" applyFont="1" applyFill="1" applyBorder="1" applyAlignment="1">
      <alignment horizontal="center"/>
    </xf>
    <xf numFmtId="4" fontId="6" fillId="0" borderId="6" xfId="0" applyNumberFormat="1" applyFont="1" applyFill="1" applyBorder="1" applyAlignment="1">
      <alignment horizontal="center" wrapText="1"/>
    </xf>
    <xf numFmtId="167" fontId="6" fillId="0" borderId="6" xfId="5" applyNumberFormat="1" applyFont="1" applyFill="1" applyBorder="1"/>
    <xf numFmtId="2" fontId="6" fillId="0" borderId="6" xfId="0" applyNumberFormat="1" applyFont="1" applyFill="1" applyBorder="1" applyAlignment="1">
      <alignment horizontal="center"/>
    </xf>
    <xf numFmtId="0" fontId="7" fillId="0" borderId="0" xfId="0" applyFont="1" applyFill="1"/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14" fontId="6" fillId="0" borderId="5" xfId="0" applyNumberFormat="1" applyFont="1" applyFill="1" applyBorder="1" applyAlignment="1">
      <alignment horizontal="center" vertical="center" wrapText="1"/>
    </xf>
    <xf numFmtId="1" fontId="6" fillId="0" borderId="6" xfId="0" applyNumberFormat="1" applyFont="1" applyFill="1" applyBorder="1" applyAlignment="1">
      <alignment horizontal="center" vertical="center"/>
    </xf>
    <xf numFmtId="164" fontId="6" fillId="0" borderId="6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49" fontId="6" fillId="0" borderId="5" xfId="0" applyNumberFormat="1" applyFont="1" applyFill="1" applyBorder="1" applyAlignment="1">
      <alignment horizontal="center" vertical="center" wrapText="1"/>
    </xf>
    <xf numFmtId="0" fontId="11" fillId="0" borderId="0" xfId="0" applyFont="1" applyFill="1"/>
    <xf numFmtId="0" fontId="12" fillId="0" borderId="0" xfId="0" applyFont="1" applyAlignment="1">
      <alignment horizontal="center" wrapText="1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104775</xdr:rowOff>
    </xdr:from>
    <xdr:to>
      <xdr:col>3</xdr:col>
      <xdr:colOff>514350</xdr:colOff>
      <xdr:row>2</xdr:row>
      <xdr:rowOff>85726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85825" y="104775"/>
          <a:ext cx="476250" cy="371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0</xdr:row>
      <xdr:rowOff>104774</xdr:rowOff>
    </xdr:from>
    <xdr:to>
      <xdr:col>3</xdr:col>
      <xdr:colOff>495300</xdr:colOff>
      <xdr:row>2</xdr:row>
      <xdr:rowOff>95250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8225" y="104774"/>
          <a:ext cx="466725" cy="38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114300</xdr:rowOff>
    </xdr:from>
    <xdr:to>
      <xdr:col>3</xdr:col>
      <xdr:colOff>438150</xdr:colOff>
      <xdr:row>2</xdr:row>
      <xdr:rowOff>95251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5" y="114300"/>
          <a:ext cx="438150" cy="3714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A42"/>
  <sheetViews>
    <sheetView tabSelected="1" workbookViewId="0">
      <selection activeCell="N43" sqref="N43"/>
    </sheetView>
  </sheetViews>
  <sheetFormatPr defaultRowHeight="15"/>
  <cols>
    <col min="1" max="1" width="3.5703125" customWidth="1"/>
    <col min="2" max="2" width="4.140625" customWidth="1"/>
    <col min="3" max="3" width="5" style="3" customWidth="1"/>
    <col min="4" max="4" width="8.85546875" style="3" customWidth="1"/>
    <col min="5" max="5" width="5.7109375" style="3" customWidth="1"/>
    <col min="6" max="6" width="11" style="3" customWidth="1"/>
    <col min="7" max="7" width="9.140625" style="3" customWidth="1"/>
    <col min="8" max="8" width="8.28515625" style="3" customWidth="1"/>
    <col min="9" max="9" width="9.140625" style="3" customWidth="1"/>
    <col min="10" max="10" width="6.42578125" customWidth="1"/>
    <col min="11" max="11" width="6.140625" style="1" customWidth="1"/>
    <col min="12" max="12" width="8.5703125" style="3" customWidth="1"/>
    <col min="13" max="13" width="5.85546875" style="3" customWidth="1"/>
    <col min="14" max="14" width="8.42578125" style="5" customWidth="1"/>
    <col min="15" max="15" width="9.42578125" style="6" customWidth="1"/>
    <col min="16" max="16" width="7.7109375" customWidth="1"/>
    <col min="17" max="17" width="11.28515625" customWidth="1"/>
    <col min="18" max="18" width="7.140625" customWidth="1"/>
    <col min="19" max="19" width="6.28515625" style="9" customWidth="1"/>
    <col min="20" max="20" width="7.140625" style="1" customWidth="1"/>
    <col min="21" max="21" width="10.28515625" style="3" customWidth="1"/>
    <col min="22" max="22" width="9.85546875" customWidth="1"/>
    <col min="23" max="23" width="5.85546875" customWidth="1"/>
    <col min="24" max="25" width="11.140625" customWidth="1"/>
    <col min="26" max="27" width="6" customWidth="1"/>
  </cols>
  <sheetData>
    <row r="2" spans="2:27" ht="15.75">
      <c r="L2" s="4" t="s">
        <v>0</v>
      </c>
    </row>
    <row r="3" spans="2:27" ht="23.25" customHeight="1" thickBot="1">
      <c r="L3" s="4" t="s">
        <v>203</v>
      </c>
      <c r="P3" s="2"/>
    </row>
    <row r="4" spans="2:27" s="3" customFormat="1" ht="50.25" customHeight="1" thickBot="1">
      <c r="B4" s="16" t="s">
        <v>1</v>
      </c>
      <c r="C4" s="17" t="s">
        <v>2</v>
      </c>
      <c r="D4" s="17" t="s">
        <v>3</v>
      </c>
      <c r="E4" s="17" t="s">
        <v>4</v>
      </c>
      <c r="F4" s="18" t="s">
        <v>5</v>
      </c>
      <c r="G4" s="19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20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7" t="s">
        <v>23</v>
      </c>
      <c r="Y4" s="17" t="s">
        <v>24</v>
      </c>
      <c r="Z4" s="17" t="s">
        <v>25</v>
      </c>
      <c r="AA4" s="21" t="s">
        <v>26</v>
      </c>
    </row>
    <row r="5" spans="2:27" s="2" customFormat="1" ht="21" customHeight="1">
      <c r="B5" s="22">
        <v>1</v>
      </c>
      <c r="C5" s="14" t="s">
        <v>171</v>
      </c>
      <c r="D5" s="24" t="s">
        <v>165</v>
      </c>
      <c r="E5" s="13"/>
      <c r="F5" s="25" t="s">
        <v>172</v>
      </c>
      <c r="G5" s="12" t="s">
        <v>52</v>
      </c>
      <c r="H5" s="12" t="s">
        <v>164</v>
      </c>
      <c r="I5" s="12" t="s">
        <v>44</v>
      </c>
      <c r="J5" s="26">
        <v>801.22</v>
      </c>
      <c r="K5" s="13">
        <v>41677</v>
      </c>
      <c r="L5" s="14" t="s">
        <v>173</v>
      </c>
      <c r="M5" s="14" t="s">
        <v>33</v>
      </c>
      <c r="N5" s="14" t="s">
        <v>143</v>
      </c>
      <c r="O5" s="14" t="s">
        <v>174</v>
      </c>
      <c r="P5" s="15">
        <v>255000</v>
      </c>
      <c r="Q5" s="27">
        <f t="shared" ref="Q5" si="0">SUM(P5*S5)</f>
        <v>28085190</v>
      </c>
      <c r="R5" s="28" t="s">
        <v>27</v>
      </c>
      <c r="S5" s="7">
        <v>110.13800000000001</v>
      </c>
      <c r="T5" s="29">
        <f t="shared" ref="T5:T24" si="1">SUM(K5)+89</f>
        <v>41766</v>
      </c>
      <c r="U5" s="12" t="s">
        <v>28</v>
      </c>
      <c r="V5" s="30">
        <f t="shared" ref="V5:V24" si="2">SUM(Q5*0.12%)</f>
        <v>33702.227999999996</v>
      </c>
      <c r="W5" s="23">
        <v>155.75</v>
      </c>
      <c r="X5" s="27">
        <f t="shared" ref="X5:X6" si="3">SUM(V5*W5)</f>
        <v>5249122.010999999</v>
      </c>
      <c r="Y5" s="31">
        <v>0</v>
      </c>
      <c r="Z5" s="23"/>
      <c r="AA5" s="23"/>
    </row>
    <row r="6" spans="2:27" ht="21" customHeight="1">
      <c r="B6" s="22">
        <f t="shared" ref="B6:B24" si="4">B5+1</f>
        <v>2</v>
      </c>
      <c r="C6" s="14" t="s">
        <v>175</v>
      </c>
      <c r="D6" s="24" t="s">
        <v>165</v>
      </c>
      <c r="E6" s="13"/>
      <c r="F6" s="25" t="s">
        <v>176</v>
      </c>
      <c r="G6" s="32" t="s">
        <v>29</v>
      </c>
      <c r="H6" s="12" t="s">
        <v>40</v>
      </c>
      <c r="I6" s="12" t="s">
        <v>44</v>
      </c>
      <c r="J6" s="26">
        <v>801.22</v>
      </c>
      <c r="K6" s="13">
        <v>41677</v>
      </c>
      <c r="L6" s="14" t="s">
        <v>173</v>
      </c>
      <c r="M6" s="14" t="s">
        <v>33</v>
      </c>
      <c r="N6" s="14" t="s">
        <v>143</v>
      </c>
      <c r="O6" s="14" t="s">
        <v>174</v>
      </c>
      <c r="P6" s="15">
        <v>24000</v>
      </c>
      <c r="Q6" s="27">
        <f t="shared" ref="Q6:Q24" si="5">SUM(P6*S6)</f>
        <v>2643312</v>
      </c>
      <c r="R6" s="28" t="s">
        <v>27</v>
      </c>
      <c r="S6" s="7">
        <v>110.13800000000001</v>
      </c>
      <c r="T6" s="29">
        <f t="shared" si="1"/>
        <v>41766</v>
      </c>
      <c r="U6" s="12" t="s">
        <v>29</v>
      </c>
      <c r="V6" s="30">
        <f t="shared" si="2"/>
        <v>3171.9743999999996</v>
      </c>
      <c r="W6" s="23">
        <v>155.75</v>
      </c>
      <c r="X6" s="27">
        <f t="shared" si="3"/>
        <v>494035.01279999991</v>
      </c>
      <c r="Y6" s="31">
        <v>0</v>
      </c>
      <c r="Z6" s="23"/>
      <c r="AA6" s="23"/>
    </row>
    <row r="7" spans="2:27" ht="21" customHeight="1">
      <c r="B7" s="22">
        <f t="shared" si="4"/>
        <v>3</v>
      </c>
      <c r="C7" s="14" t="s">
        <v>177</v>
      </c>
      <c r="D7" s="24" t="s">
        <v>165</v>
      </c>
      <c r="E7" s="13"/>
      <c r="F7" s="25" t="s">
        <v>178</v>
      </c>
      <c r="G7" s="32" t="s">
        <v>29</v>
      </c>
      <c r="H7" s="12" t="s">
        <v>40</v>
      </c>
      <c r="I7" s="12" t="s">
        <v>44</v>
      </c>
      <c r="J7" s="26">
        <v>801.22</v>
      </c>
      <c r="K7" s="13">
        <v>41677</v>
      </c>
      <c r="L7" s="14" t="s">
        <v>173</v>
      </c>
      <c r="M7" s="14" t="s">
        <v>33</v>
      </c>
      <c r="N7" s="14" t="s">
        <v>143</v>
      </c>
      <c r="O7" s="14" t="s">
        <v>174</v>
      </c>
      <c r="P7" s="15">
        <v>36000</v>
      </c>
      <c r="Q7" s="27">
        <f t="shared" si="5"/>
        <v>3964968</v>
      </c>
      <c r="R7" s="28" t="s">
        <v>27</v>
      </c>
      <c r="S7" s="7">
        <v>110.13800000000001</v>
      </c>
      <c r="T7" s="29">
        <f t="shared" si="1"/>
        <v>41766</v>
      </c>
      <c r="U7" s="12" t="s">
        <v>29</v>
      </c>
      <c r="V7" s="30">
        <f t="shared" si="2"/>
        <v>4757.9615999999996</v>
      </c>
      <c r="W7" s="23">
        <v>155.75</v>
      </c>
      <c r="X7" s="27">
        <f t="shared" ref="X7:X24" si="6">SUM(V7*W7)</f>
        <v>741052.51919999998</v>
      </c>
      <c r="Y7" s="31">
        <v>0</v>
      </c>
      <c r="Z7" s="23"/>
      <c r="AA7" s="23"/>
    </row>
    <row r="8" spans="2:27" ht="21" customHeight="1">
      <c r="B8" s="22">
        <f t="shared" si="4"/>
        <v>4</v>
      </c>
      <c r="C8" s="14" t="s">
        <v>179</v>
      </c>
      <c r="D8" s="24" t="s">
        <v>165</v>
      </c>
      <c r="E8" s="13"/>
      <c r="F8" s="25" t="s">
        <v>180</v>
      </c>
      <c r="G8" s="12" t="s">
        <v>58</v>
      </c>
      <c r="H8" s="12" t="s">
        <v>40</v>
      </c>
      <c r="I8" s="12" t="s">
        <v>44</v>
      </c>
      <c r="J8" s="26">
        <v>801.22</v>
      </c>
      <c r="K8" s="13">
        <v>41677</v>
      </c>
      <c r="L8" s="14" t="s">
        <v>173</v>
      </c>
      <c r="M8" s="14" t="s">
        <v>33</v>
      </c>
      <c r="N8" s="14" t="s">
        <v>143</v>
      </c>
      <c r="O8" s="14" t="s">
        <v>174</v>
      </c>
      <c r="P8" s="15">
        <v>30000</v>
      </c>
      <c r="Q8" s="27">
        <f t="shared" si="5"/>
        <v>3304140</v>
      </c>
      <c r="R8" s="28" t="s">
        <v>27</v>
      </c>
      <c r="S8" s="7">
        <v>110.13800000000001</v>
      </c>
      <c r="T8" s="29">
        <f t="shared" si="1"/>
        <v>41766</v>
      </c>
      <c r="U8" s="12" t="s">
        <v>29</v>
      </c>
      <c r="V8" s="30">
        <f t="shared" si="2"/>
        <v>3964.9679999999998</v>
      </c>
      <c r="W8" s="23">
        <v>155.75</v>
      </c>
      <c r="X8" s="27">
        <f t="shared" si="6"/>
        <v>617543.76599999995</v>
      </c>
      <c r="Y8" s="31">
        <v>0</v>
      </c>
      <c r="Z8" s="23"/>
      <c r="AA8" s="23"/>
    </row>
    <row r="9" spans="2:27" ht="21" customHeight="1">
      <c r="B9" s="22">
        <f t="shared" si="4"/>
        <v>5</v>
      </c>
      <c r="C9" s="14" t="s">
        <v>181</v>
      </c>
      <c r="D9" s="24" t="s">
        <v>165</v>
      </c>
      <c r="E9" s="13"/>
      <c r="F9" s="25" t="s">
        <v>182</v>
      </c>
      <c r="G9" s="12" t="s">
        <v>169</v>
      </c>
      <c r="H9" s="12" t="s">
        <v>167</v>
      </c>
      <c r="I9" s="12" t="s">
        <v>44</v>
      </c>
      <c r="J9" s="26">
        <v>801.22</v>
      </c>
      <c r="K9" s="13">
        <v>41677</v>
      </c>
      <c r="L9" s="14" t="s">
        <v>173</v>
      </c>
      <c r="M9" s="14" t="s">
        <v>33</v>
      </c>
      <c r="N9" s="14" t="s">
        <v>143</v>
      </c>
      <c r="O9" s="14" t="s">
        <v>174</v>
      </c>
      <c r="P9" s="15">
        <v>110000</v>
      </c>
      <c r="Q9" s="27">
        <f t="shared" si="5"/>
        <v>12115180</v>
      </c>
      <c r="R9" s="28" t="s">
        <v>27</v>
      </c>
      <c r="S9" s="7">
        <v>110.13800000000001</v>
      </c>
      <c r="T9" s="29">
        <f t="shared" si="1"/>
        <v>41766</v>
      </c>
      <c r="U9" s="12" t="s">
        <v>169</v>
      </c>
      <c r="V9" s="30">
        <f t="shared" si="2"/>
        <v>14538.215999999999</v>
      </c>
      <c r="W9" s="23">
        <v>155.75</v>
      </c>
      <c r="X9" s="27">
        <f t="shared" si="6"/>
        <v>2264327.142</v>
      </c>
      <c r="Y9" s="31">
        <v>0</v>
      </c>
      <c r="Z9" s="23"/>
      <c r="AA9" s="23"/>
    </row>
    <row r="10" spans="2:27" ht="21" customHeight="1">
      <c r="B10" s="22">
        <f t="shared" si="4"/>
        <v>6</v>
      </c>
      <c r="C10" s="14" t="s">
        <v>183</v>
      </c>
      <c r="D10" s="24" t="s">
        <v>165</v>
      </c>
      <c r="E10" s="13"/>
      <c r="F10" s="10">
        <v>201400010025</v>
      </c>
      <c r="G10" s="12" t="s">
        <v>43</v>
      </c>
      <c r="H10" s="12" t="s">
        <v>32</v>
      </c>
      <c r="I10" s="12" t="s">
        <v>44</v>
      </c>
      <c r="J10" s="26">
        <v>801.22</v>
      </c>
      <c r="K10" s="13">
        <v>41677</v>
      </c>
      <c r="L10" s="14" t="s">
        <v>173</v>
      </c>
      <c r="M10" s="14" t="s">
        <v>33</v>
      </c>
      <c r="N10" s="14" t="s">
        <v>143</v>
      </c>
      <c r="O10" s="14" t="s">
        <v>174</v>
      </c>
      <c r="P10" s="15">
        <v>90000</v>
      </c>
      <c r="Q10" s="27">
        <f t="shared" si="5"/>
        <v>9912420</v>
      </c>
      <c r="R10" s="28" t="s">
        <v>27</v>
      </c>
      <c r="S10" s="7">
        <v>110.13800000000001</v>
      </c>
      <c r="T10" s="29">
        <f t="shared" si="1"/>
        <v>41766</v>
      </c>
      <c r="U10" s="12" t="s">
        <v>28</v>
      </c>
      <c r="V10" s="30">
        <f t="shared" si="2"/>
        <v>11894.903999999999</v>
      </c>
      <c r="W10" s="23">
        <v>155.75</v>
      </c>
      <c r="X10" s="27">
        <f t="shared" si="6"/>
        <v>1852631.2979999997</v>
      </c>
      <c r="Y10" s="31">
        <v>0</v>
      </c>
      <c r="Z10" s="23"/>
      <c r="AA10" s="23"/>
    </row>
    <row r="11" spans="2:27" ht="21" customHeight="1">
      <c r="B11" s="22">
        <f t="shared" si="4"/>
        <v>7</v>
      </c>
      <c r="C11" s="14" t="s">
        <v>184</v>
      </c>
      <c r="D11" s="24" t="s">
        <v>165</v>
      </c>
      <c r="E11" s="13"/>
      <c r="F11" s="11">
        <v>201400010026</v>
      </c>
      <c r="G11" s="12" t="s">
        <v>43</v>
      </c>
      <c r="H11" s="12" t="s">
        <v>34</v>
      </c>
      <c r="I11" s="12" t="s">
        <v>44</v>
      </c>
      <c r="J11" s="26">
        <v>801.22</v>
      </c>
      <c r="K11" s="13">
        <v>41677</v>
      </c>
      <c r="L11" s="14" t="s">
        <v>173</v>
      </c>
      <c r="M11" s="14" t="s">
        <v>33</v>
      </c>
      <c r="N11" s="14" t="s">
        <v>143</v>
      </c>
      <c r="O11" s="14" t="s">
        <v>174</v>
      </c>
      <c r="P11" s="15">
        <v>104779</v>
      </c>
      <c r="Q11" s="27">
        <f t="shared" si="5"/>
        <v>11540149.502</v>
      </c>
      <c r="R11" s="28" t="s">
        <v>27</v>
      </c>
      <c r="S11" s="7">
        <v>110.13800000000001</v>
      </c>
      <c r="T11" s="29">
        <f t="shared" si="1"/>
        <v>41766</v>
      </c>
      <c r="U11" s="12" t="s">
        <v>28</v>
      </c>
      <c r="V11" s="30">
        <f t="shared" si="2"/>
        <v>13848.179402399999</v>
      </c>
      <c r="W11" s="23">
        <v>155.75</v>
      </c>
      <c r="X11" s="27">
        <f t="shared" si="6"/>
        <v>2156853.9419237999</v>
      </c>
      <c r="Y11" s="31">
        <v>0</v>
      </c>
      <c r="Z11" s="23"/>
      <c r="AA11" s="23"/>
    </row>
    <row r="12" spans="2:27" ht="21" customHeight="1">
      <c r="B12" s="22">
        <f t="shared" si="4"/>
        <v>8</v>
      </c>
      <c r="C12" s="14" t="s">
        <v>124</v>
      </c>
      <c r="D12" s="24" t="s">
        <v>125</v>
      </c>
      <c r="E12" s="13">
        <v>41698</v>
      </c>
      <c r="F12" s="25" t="s">
        <v>126</v>
      </c>
      <c r="G12" s="12" t="s">
        <v>127</v>
      </c>
      <c r="H12" s="12" t="s">
        <v>119</v>
      </c>
      <c r="I12" s="12" t="s">
        <v>30</v>
      </c>
      <c r="J12" s="26">
        <v>801.22</v>
      </c>
      <c r="K12" s="13">
        <v>41679</v>
      </c>
      <c r="L12" s="14" t="s">
        <v>128</v>
      </c>
      <c r="M12" s="14" t="s">
        <v>31</v>
      </c>
      <c r="N12" s="14" t="s">
        <v>129</v>
      </c>
      <c r="O12" s="12" t="s">
        <v>130</v>
      </c>
      <c r="P12" s="15">
        <v>855919</v>
      </c>
      <c r="Q12" s="27">
        <f t="shared" si="5"/>
        <v>95472628.936000004</v>
      </c>
      <c r="R12" s="28" t="s">
        <v>27</v>
      </c>
      <c r="S12" s="7">
        <v>111.544</v>
      </c>
      <c r="T12" s="29">
        <f t="shared" si="1"/>
        <v>41768</v>
      </c>
      <c r="U12" s="12" t="s">
        <v>127</v>
      </c>
      <c r="V12" s="30">
        <f t="shared" si="2"/>
        <v>114567.1547232</v>
      </c>
      <c r="W12" s="23">
        <v>155.75</v>
      </c>
      <c r="X12" s="27">
        <f t="shared" si="6"/>
        <v>17843834.348138399</v>
      </c>
      <c r="Y12" s="33">
        <f t="shared" ref="Y12:Y13" si="7">X12</f>
        <v>17843834.348138399</v>
      </c>
      <c r="Z12" s="23"/>
      <c r="AA12" s="23"/>
    </row>
    <row r="13" spans="2:27" ht="21" customHeight="1">
      <c r="B13" s="22">
        <f t="shared" si="4"/>
        <v>9</v>
      </c>
      <c r="C13" s="14" t="s">
        <v>131</v>
      </c>
      <c r="D13" s="24" t="s">
        <v>132</v>
      </c>
      <c r="E13" s="13">
        <v>41698</v>
      </c>
      <c r="F13" s="25" t="s">
        <v>133</v>
      </c>
      <c r="G13" s="12" t="s">
        <v>127</v>
      </c>
      <c r="H13" s="12" t="s">
        <v>119</v>
      </c>
      <c r="I13" s="12" t="s">
        <v>134</v>
      </c>
      <c r="J13" s="26">
        <v>801.22</v>
      </c>
      <c r="K13" s="13">
        <v>41680</v>
      </c>
      <c r="L13" s="12" t="s">
        <v>135</v>
      </c>
      <c r="M13" s="14" t="s">
        <v>136</v>
      </c>
      <c r="N13" s="14" t="s">
        <v>137</v>
      </c>
      <c r="O13" s="14" t="s">
        <v>138</v>
      </c>
      <c r="P13" s="15">
        <v>953126</v>
      </c>
      <c r="Q13" s="27">
        <f t="shared" si="5"/>
        <v>106299283.402</v>
      </c>
      <c r="R13" s="28" t="s">
        <v>27</v>
      </c>
      <c r="S13" s="7">
        <v>111.527</v>
      </c>
      <c r="T13" s="29">
        <f t="shared" si="1"/>
        <v>41769</v>
      </c>
      <c r="U13" s="12" t="s">
        <v>127</v>
      </c>
      <c r="V13" s="30">
        <f t="shared" si="2"/>
        <v>127559.14008239999</v>
      </c>
      <c r="W13" s="23">
        <v>155.75</v>
      </c>
      <c r="X13" s="27">
        <f t="shared" si="6"/>
        <v>19867336.067833796</v>
      </c>
      <c r="Y13" s="33">
        <f t="shared" si="7"/>
        <v>19867336.067833796</v>
      </c>
      <c r="Z13" s="23"/>
      <c r="AA13" s="23"/>
    </row>
    <row r="14" spans="2:27" ht="21" customHeight="1">
      <c r="B14" s="22">
        <f t="shared" si="4"/>
        <v>10</v>
      </c>
      <c r="C14" s="14" t="s">
        <v>139</v>
      </c>
      <c r="D14" s="24" t="s">
        <v>140</v>
      </c>
      <c r="E14" s="13">
        <v>41698</v>
      </c>
      <c r="F14" s="25" t="s">
        <v>141</v>
      </c>
      <c r="G14" s="12" t="s">
        <v>48</v>
      </c>
      <c r="H14" s="12" t="s">
        <v>92</v>
      </c>
      <c r="I14" s="12" t="s">
        <v>49</v>
      </c>
      <c r="J14" s="26">
        <v>801.22</v>
      </c>
      <c r="K14" s="13">
        <v>41681</v>
      </c>
      <c r="L14" s="12" t="s">
        <v>142</v>
      </c>
      <c r="M14" s="14" t="s">
        <v>50</v>
      </c>
      <c r="N14" s="14" t="s">
        <v>143</v>
      </c>
      <c r="O14" s="14" t="s">
        <v>144</v>
      </c>
      <c r="P14" s="15">
        <v>499379</v>
      </c>
      <c r="Q14" s="27">
        <f t="shared" si="5"/>
        <v>51896963.817000002</v>
      </c>
      <c r="R14" s="28" t="s">
        <v>27</v>
      </c>
      <c r="S14" s="34">
        <v>103.923</v>
      </c>
      <c r="T14" s="29">
        <f t="shared" si="1"/>
        <v>41770</v>
      </c>
      <c r="U14" s="12" t="s">
        <v>52</v>
      </c>
      <c r="V14" s="30">
        <f t="shared" si="2"/>
        <v>62276.356580399995</v>
      </c>
      <c r="W14" s="23">
        <v>155.75</v>
      </c>
      <c r="X14" s="27">
        <f t="shared" si="6"/>
        <v>9699542.537397299</v>
      </c>
      <c r="Y14" s="33">
        <v>9699543.0700000003</v>
      </c>
      <c r="Z14" s="29">
        <v>41697</v>
      </c>
      <c r="AA14" s="35">
        <v>4608</v>
      </c>
    </row>
    <row r="15" spans="2:27" ht="21" customHeight="1">
      <c r="B15" s="22">
        <f t="shared" si="4"/>
        <v>11</v>
      </c>
      <c r="C15" s="14" t="s">
        <v>185</v>
      </c>
      <c r="D15" s="24" t="s">
        <v>165</v>
      </c>
      <c r="E15" s="13"/>
      <c r="F15" s="25" t="s">
        <v>186</v>
      </c>
      <c r="G15" s="12" t="s">
        <v>127</v>
      </c>
      <c r="H15" s="12" t="s">
        <v>119</v>
      </c>
      <c r="I15" s="12" t="s">
        <v>44</v>
      </c>
      <c r="J15" s="26">
        <v>801.22</v>
      </c>
      <c r="K15" s="13">
        <v>41690</v>
      </c>
      <c r="L15" s="14" t="s">
        <v>187</v>
      </c>
      <c r="M15" s="14" t="s">
        <v>33</v>
      </c>
      <c r="N15" s="14" t="s">
        <v>121</v>
      </c>
      <c r="O15" s="14" t="s">
        <v>122</v>
      </c>
      <c r="P15" s="15">
        <v>499863</v>
      </c>
      <c r="Q15" s="27">
        <f t="shared" si="5"/>
        <v>55397316.975000001</v>
      </c>
      <c r="R15" s="28" t="s">
        <v>27</v>
      </c>
      <c r="S15" s="34">
        <v>110.825</v>
      </c>
      <c r="T15" s="29">
        <f t="shared" si="1"/>
        <v>41779</v>
      </c>
      <c r="U15" s="12" t="s">
        <v>127</v>
      </c>
      <c r="V15" s="30">
        <f t="shared" si="2"/>
        <v>66476.780369999993</v>
      </c>
      <c r="W15" s="23">
        <v>155.75</v>
      </c>
      <c r="X15" s="27">
        <f t="shared" si="6"/>
        <v>10353758.542627499</v>
      </c>
      <c r="Y15" s="31">
        <v>0</v>
      </c>
      <c r="Z15" s="23"/>
      <c r="AA15" s="23"/>
    </row>
    <row r="16" spans="2:27" ht="21" customHeight="1">
      <c r="B16" s="22">
        <f t="shared" si="4"/>
        <v>12</v>
      </c>
      <c r="C16" s="14" t="s">
        <v>145</v>
      </c>
      <c r="D16" s="24" t="s">
        <v>146</v>
      </c>
      <c r="E16" s="13">
        <v>41698</v>
      </c>
      <c r="F16" s="25" t="s">
        <v>147</v>
      </c>
      <c r="G16" s="12" t="s">
        <v>127</v>
      </c>
      <c r="H16" s="12" t="s">
        <v>119</v>
      </c>
      <c r="I16" s="12" t="s">
        <v>148</v>
      </c>
      <c r="J16" s="26">
        <v>801.22</v>
      </c>
      <c r="K16" s="13">
        <v>41693</v>
      </c>
      <c r="L16" s="14" t="s">
        <v>149</v>
      </c>
      <c r="M16" s="14" t="s">
        <v>150</v>
      </c>
      <c r="N16" s="14" t="s">
        <v>151</v>
      </c>
      <c r="O16" s="14" t="s">
        <v>152</v>
      </c>
      <c r="P16" s="15">
        <v>548044</v>
      </c>
      <c r="Q16" s="27">
        <f t="shared" si="5"/>
        <v>59980675.579999998</v>
      </c>
      <c r="R16" s="28" t="s">
        <v>27</v>
      </c>
      <c r="S16" s="34">
        <v>109.44499999999999</v>
      </c>
      <c r="T16" s="29">
        <f t="shared" si="1"/>
        <v>41782</v>
      </c>
      <c r="U16" s="12" t="s">
        <v>127</v>
      </c>
      <c r="V16" s="30">
        <f t="shared" si="2"/>
        <v>71976.810695999986</v>
      </c>
      <c r="W16" s="23">
        <v>155.75</v>
      </c>
      <c r="X16" s="27">
        <f t="shared" si="6"/>
        <v>11210388.265901998</v>
      </c>
      <c r="Y16" s="33">
        <f t="shared" ref="Y16:Y17" si="8">X16</f>
        <v>11210388.265901998</v>
      </c>
      <c r="Z16" s="23"/>
      <c r="AA16" s="23"/>
    </row>
    <row r="17" spans="2:27" ht="21" customHeight="1">
      <c r="B17" s="22">
        <f t="shared" si="4"/>
        <v>13</v>
      </c>
      <c r="C17" s="14" t="s">
        <v>153</v>
      </c>
      <c r="D17" s="24" t="s">
        <v>154</v>
      </c>
      <c r="E17" s="13">
        <v>41698</v>
      </c>
      <c r="F17" s="25" t="s">
        <v>155</v>
      </c>
      <c r="G17" s="12" t="s">
        <v>127</v>
      </c>
      <c r="H17" s="12" t="s">
        <v>119</v>
      </c>
      <c r="I17" s="12" t="s">
        <v>148</v>
      </c>
      <c r="J17" s="26">
        <v>801.22</v>
      </c>
      <c r="K17" s="13">
        <v>41693</v>
      </c>
      <c r="L17" s="14" t="s">
        <v>149</v>
      </c>
      <c r="M17" s="14" t="s">
        <v>150</v>
      </c>
      <c r="N17" s="14" t="s">
        <v>151</v>
      </c>
      <c r="O17" s="14" t="s">
        <v>152</v>
      </c>
      <c r="P17" s="15">
        <v>400000</v>
      </c>
      <c r="Q17" s="27">
        <f t="shared" si="5"/>
        <v>43778000</v>
      </c>
      <c r="R17" s="28" t="s">
        <v>27</v>
      </c>
      <c r="S17" s="34">
        <v>109.44499999999999</v>
      </c>
      <c r="T17" s="29">
        <f t="shared" si="1"/>
        <v>41782</v>
      </c>
      <c r="U17" s="12" t="s">
        <v>127</v>
      </c>
      <c r="V17" s="30">
        <f t="shared" si="2"/>
        <v>52533.599999999999</v>
      </c>
      <c r="W17" s="23">
        <v>155.75</v>
      </c>
      <c r="X17" s="27">
        <f t="shared" si="6"/>
        <v>8182108.2000000002</v>
      </c>
      <c r="Y17" s="33">
        <f t="shared" si="8"/>
        <v>8182108.2000000002</v>
      </c>
      <c r="Z17" s="23"/>
      <c r="AA17" s="23"/>
    </row>
    <row r="18" spans="2:27" ht="21" customHeight="1">
      <c r="B18" s="22">
        <f t="shared" si="4"/>
        <v>14</v>
      </c>
      <c r="C18" s="14" t="s">
        <v>188</v>
      </c>
      <c r="D18" s="24" t="s">
        <v>165</v>
      </c>
      <c r="E18" s="13"/>
      <c r="F18" s="25" t="s">
        <v>189</v>
      </c>
      <c r="G18" s="12" t="s">
        <v>127</v>
      </c>
      <c r="H18" s="12" t="s">
        <v>119</v>
      </c>
      <c r="I18" s="12" t="s">
        <v>44</v>
      </c>
      <c r="J18" s="26">
        <v>801.22</v>
      </c>
      <c r="K18" s="13">
        <v>41693</v>
      </c>
      <c r="L18" s="14" t="s">
        <v>168</v>
      </c>
      <c r="M18" s="14" t="s">
        <v>33</v>
      </c>
      <c r="N18" s="14" t="s">
        <v>121</v>
      </c>
      <c r="O18" s="14" t="s">
        <v>122</v>
      </c>
      <c r="P18" s="15">
        <v>421023</v>
      </c>
      <c r="Q18" s="27">
        <f t="shared" si="5"/>
        <v>46563038.685000002</v>
      </c>
      <c r="R18" s="28" t="s">
        <v>27</v>
      </c>
      <c r="S18" s="7">
        <v>110.595</v>
      </c>
      <c r="T18" s="29">
        <f t="shared" si="1"/>
        <v>41782</v>
      </c>
      <c r="U18" s="12" t="s">
        <v>127</v>
      </c>
      <c r="V18" s="30">
        <f t="shared" si="2"/>
        <v>55875.646421999998</v>
      </c>
      <c r="W18" s="23">
        <v>155.75</v>
      </c>
      <c r="X18" s="27">
        <f t="shared" si="6"/>
        <v>8702631.9302264992</v>
      </c>
      <c r="Y18" s="31">
        <v>0</v>
      </c>
      <c r="Z18" s="23"/>
      <c r="AA18" s="23"/>
    </row>
    <row r="19" spans="2:27" ht="21" customHeight="1">
      <c r="B19" s="22">
        <f t="shared" si="4"/>
        <v>15</v>
      </c>
      <c r="C19" s="14" t="s">
        <v>190</v>
      </c>
      <c r="D19" s="24" t="s">
        <v>165</v>
      </c>
      <c r="E19" s="13"/>
      <c r="F19" s="25" t="s">
        <v>191</v>
      </c>
      <c r="G19" s="12" t="s">
        <v>127</v>
      </c>
      <c r="H19" s="12" t="s">
        <v>119</v>
      </c>
      <c r="I19" s="12" t="s">
        <v>44</v>
      </c>
      <c r="J19" s="26">
        <v>801.22</v>
      </c>
      <c r="K19" s="13">
        <v>41695</v>
      </c>
      <c r="L19" s="14" t="s">
        <v>192</v>
      </c>
      <c r="M19" s="14" t="s">
        <v>33</v>
      </c>
      <c r="N19" s="14" t="s">
        <v>160</v>
      </c>
      <c r="O19" s="14" t="s">
        <v>193</v>
      </c>
      <c r="P19" s="15">
        <v>63000</v>
      </c>
      <c r="Q19" s="27">
        <f t="shared" si="5"/>
        <v>6969564</v>
      </c>
      <c r="R19" s="28" t="s">
        <v>27</v>
      </c>
      <c r="S19" s="34">
        <v>110.628</v>
      </c>
      <c r="T19" s="29">
        <f t="shared" si="1"/>
        <v>41784</v>
      </c>
      <c r="U19" s="12" t="s">
        <v>127</v>
      </c>
      <c r="V19" s="30">
        <f t="shared" si="2"/>
        <v>8363.4767999999985</v>
      </c>
      <c r="W19" s="23">
        <v>155.75</v>
      </c>
      <c r="X19" s="27">
        <f t="shared" si="6"/>
        <v>1302611.5115999999</v>
      </c>
      <c r="Y19" s="31">
        <v>0</v>
      </c>
      <c r="Z19" s="23"/>
      <c r="AA19" s="23"/>
    </row>
    <row r="20" spans="2:27" ht="21" customHeight="1">
      <c r="B20" s="22">
        <f t="shared" si="4"/>
        <v>16</v>
      </c>
      <c r="C20" s="14" t="s">
        <v>194</v>
      </c>
      <c r="D20" s="24" t="s">
        <v>165</v>
      </c>
      <c r="E20" s="13"/>
      <c r="F20" s="25" t="s">
        <v>195</v>
      </c>
      <c r="G20" s="12" t="s">
        <v>127</v>
      </c>
      <c r="H20" s="12" t="s">
        <v>119</v>
      </c>
      <c r="I20" s="12" t="s">
        <v>44</v>
      </c>
      <c r="J20" s="26">
        <v>801.22</v>
      </c>
      <c r="K20" s="13">
        <v>41695</v>
      </c>
      <c r="L20" s="14" t="s">
        <v>192</v>
      </c>
      <c r="M20" s="14" t="s">
        <v>33</v>
      </c>
      <c r="N20" s="14" t="s">
        <v>160</v>
      </c>
      <c r="O20" s="14" t="s">
        <v>193</v>
      </c>
      <c r="P20" s="15">
        <v>42000</v>
      </c>
      <c r="Q20" s="27">
        <f t="shared" si="5"/>
        <v>4646376</v>
      </c>
      <c r="R20" s="28" t="s">
        <v>27</v>
      </c>
      <c r="S20" s="34">
        <v>110.628</v>
      </c>
      <c r="T20" s="29">
        <f t="shared" si="1"/>
        <v>41784</v>
      </c>
      <c r="U20" s="12" t="s">
        <v>127</v>
      </c>
      <c r="V20" s="30">
        <f t="shared" si="2"/>
        <v>5575.6511999999993</v>
      </c>
      <c r="W20" s="23">
        <v>155.75</v>
      </c>
      <c r="X20" s="27">
        <f t="shared" si="6"/>
        <v>868407.6743999999</v>
      </c>
      <c r="Y20" s="31">
        <v>0</v>
      </c>
      <c r="Z20" s="23"/>
      <c r="AA20" s="23"/>
    </row>
    <row r="21" spans="2:27" ht="21" customHeight="1">
      <c r="B21" s="22">
        <f t="shared" si="4"/>
        <v>17</v>
      </c>
      <c r="C21" s="14" t="s">
        <v>196</v>
      </c>
      <c r="D21" s="24" t="s">
        <v>165</v>
      </c>
      <c r="E21" s="13"/>
      <c r="F21" s="25" t="s">
        <v>197</v>
      </c>
      <c r="G21" s="12" t="s">
        <v>127</v>
      </c>
      <c r="H21" s="12" t="s">
        <v>119</v>
      </c>
      <c r="I21" s="12" t="s">
        <v>44</v>
      </c>
      <c r="J21" s="26">
        <v>801.22</v>
      </c>
      <c r="K21" s="13">
        <v>41695</v>
      </c>
      <c r="L21" s="14" t="s">
        <v>192</v>
      </c>
      <c r="M21" s="14" t="s">
        <v>33</v>
      </c>
      <c r="N21" s="14" t="s">
        <v>160</v>
      </c>
      <c r="O21" s="14" t="s">
        <v>193</v>
      </c>
      <c r="P21" s="15">
        <v>144472</v>
      </c>
      <c r="Q21" s="27">
        <f t="shared" si="5"/>
        <v>15982648.415999999</v>
      </c>
      <c r="R21" s="28" t="s">
        <v>27</v>
      </c>
      <c r="S21" s="34">
        <v>110.628</v>
      </c>
      <c r="T21" s="29">
        <f t="shared" si="1"/>
        <v>41784</v>
      </c>
      <c r="U21" s="12" t="s">
        <v>127</v>
      </c>
      <c r="V21" s="30">
        <f t="shared" si="2"/>
        <v>19179.178099199999</v>
      </c>
      <c r="W21" s="23">
        <v>155.75</v>
      </c>
      <c r="X21" s="27">
        <f t="shared" si="6"/>
        <v>2987156.9889503997</v>
      </c>
      <c r="Y21" s="31">
        <v>0</v>
      </c>
      <c r="Z21" s="23"/>
      <c r="AA21" s="23"/>
    </row>
    <row r="22" spans="2:27" ht="21" customHeight="1">
      <c r="B22" s="22">
        <f t="shared" si="4"/>
        <v>18</v>
      </c>
      <c r="C22" s="14" t="s">
        <v>198</v>
      </c>
      <c r="D22" s="24" t="s">
        <v>165</v>
      </c>
      <c r="E22" s="13"/>
      <c r="F22" s="25" t="s">
        <v>199</v>
      </c>
      <c r="G22" s="12" t="s">
        <v>52</v>
      </c>
      <c r="H22" s="12" t="s">
        <v>162</v>
      </c>
      <c r="I22" s="12" t="s">
        <v>134</v>
      </c>
      <c r="J22" s="26">
        <v>801.22</v>
      </c>
      <c r="K22" s="13">
        <v>41696</v>
      </c>
      <c r="L22" s="14" t="s">
        <v>200</v>
      </c>
      <c r="M22" s="14" t="s">
        <v>136</v>
      </c>
      <c r="N22" s="14" t="s">
        <v>137</v>
      </c>
      <c r="O22" s="14" t="s">
        <v>138</v>
      </c>
      <c r="P22" s="15">
        <v>945742</v>
      </c>
      <c r="Q22" s="27">
        <f t="shared" si="5"/>
        <v>104995331.098</v>
      </c>
      <c r="R22" s="28" t="s">
        <v>27</v>
      </c>
      <c r="S22" s="34">
        <v>111.01900000000001</v>
      </c>
      <c r="T22" s="29">
        <f t="shared" si="1"/>
        <v>41785</v>
      </c>
      <c r="U22" s="12" t="s">
        <v>28</v>
      </c>
      <c r="V22" s="30">
        <f t="shared" si="2"/>
        <v>125994.3973176</v>
      </c>
      <c r="W22" s="23">
        <v>155.75</v>
      </c>
      <c r="X22" s="27">
        <f t="shared" si="6"/>
        <v>19623627.3822162</v>
      </c>
      <c r="Y22" s="31">
        <v>0</v>
      </c>
      <c r="Z22" s="23"/>
      <c r="AA22" s="23"/>
    </row>
    <row r="23" spans="2:27" ht="21" customHeight="1">
      <c r="B23" s="22">
        <f t="shared" si="4"/>
        <v>19</v>
      </c>
      <c r="C23" s="14" t="s">
        <v>201</v>
      </c>
      <c r="D23" s="24" t="s">
        <v>165</v>
      </c>
      <c r="E23" s="13"/>
      <c r="F23" s="25" t="s">
        <v>202</v>
      </c>
      <c r="G23" s="12" t="s">
        <v>48</v>
      </c>
      <c r="H23" s="12" t="s">
        <v>92</v>
      </c>
      <c r="I23" s="12" t="s">
        <v>49</v>
      </c>
      <c r="J23" s="26">
        <v>801.22</v>
      </c>
      <c r="K23" s="13">
        <v>41697</v>
      </c>
      <c r="L23" s="14" t="s">
        <v>163</v>
      </c>
      <c r="M23" s="14" t="s">
        <v>50</v>
      </c>
      <c r="N23" s="12" t="s">
        <v>166</v>
      </c>
      <c r="O23" s="14" t="s">
        <v>170</v>
      </c>
      <c r="P23" s="15">
        <v>698289</v>
      </c>
      <c r="Q23" s="27">
        <f t="shared" si="5"/>
        <v>72978183.390000001</v>
      </c>
      <c r="R23" s="28" t="s">
        <v>27</v>
      </c>
      <c r="S23" s="34">
        <v>104.51</v>
      </c>
      <c r="T23" s="29">
        <f t="shared" si="1"/>
        <v>41786</v>
      </c>
      <c r="U23" s="12" t="s">
        <v>52</v>
      </c>
      <c r="V23" s="30">
        <f t="shared" si="2"/>
        <v>87573.820067999986</v>
      </c>
      <c r="W23" s="23">
        <v>155.75</v>
      </c>
      <c r="X23" s="27">
        <f t="shared" si="6"/>
        <v>13639622.475590998</v>
      </c>
      <c r="Y23" s="31">
        <v>0</v>
      </c>
      <c r="Z23" s="23"/>
      <c r="AA23" s="23"/>
    </row>
    <row r="24" spans="2:27" ht="21" customHeight="1" thickBot="1">
      <c r="B24" s="22">
        <f t="shared" si="4"/>
        <v>20</v>
      </c>
      <c r="C24" s="14" t="s">
        <v>156</v>
      </c>
      <c r="D24" s="24" t="s">
        <v>157</v>
      </c>
      <c r="E24" s="13">
        <v>41698</v>
      </c>
      <c r="F24" s="25" t="s">
        <v>158</v>
      </c>
      <c r="G24" s="12" t="s">
        <v>127</v>
      </c>
      <c r="H24" s="12" t="s">
        <v>119</v>
      </c>
      <c r="I24" s="12" t="s">
        <v>30</v>
      </c>
      <c r="J24" s="26">
        <v>801.22</v>
      </c>
      <c r="K24" s="13">
        <v>41698</v>
      </c>
      <c r="L24" s="14" t="s">
        <v>159</v>
      </c>
      <c r="M24" s="14" t="s">
        <v>31</v>
      </c>
      <c r="N24" s="14" t="s">
        <v>160</v>
      </c>
      <c r="O24" s="14" t="s">
        <v>161</v>
      </c>
      <c r="P24" s="36">
        <v>899814</v>
      </c>
      <c r="Q24" s="37">
        <f t="shared" si="5"/>
        <v>100105207.31400001</v>
      </c>
      <c r="R24" s="28" t="s">
        <v>27</v>
      </c>
      <c r="S24" s="34">
        <v>111.251</v>
      </c>
      <c r="T24" s="29">
        <f t="shared" si="1"/>
        <v>41787</v>
      </c>
      <c r="U24" s="12" t="s">
        <v>127</v>
      </c>
      <c r="V24" s="38">
        <f t="shared" si="2"/>
        <v>120126.2487768</v>
      </c>
      <c r="W24" s="23">
        <v>155.75</v>
      </c>
      <c r="X24" s="37">
        <f t="shared" si="6"/>
        <v>18709663.246986602</v>
      </c>
      <c r="Y24" s="33">
        <f t="shared" ref="Y24" si="9">X24</f>
        <v>18709663.246986602</v>
      </c>
      <c r="Z24" s="23"/>
      <c r="AA24" s="23"/>
    </row>
    <row r="25" spans="2:27" ht="15.75" thickBot="1">
      <c r="B25" s="39"/>
      <c r="C25" s="40"/>
      <c r="D25" s="40"/>
      <c r="E25" s="40"/>
      <c r="F25" s="40"/>
      <c r="G25" s="40"/>
      <c r="H25" s="40"/>
      <c r="I25" s="40"/>
      <c r="J25" s="39"/>
      <c r="K25" s="41"/>
      <c r="L25" s="40"/>
      <c r="M25" s="40"/>
      <c r="N25" s="42"/>
      <c r="O25" s="43"/>
      <c r="P25" s="44">
        <f>SUM(P5:P24)</f>
        <v>7620450</v>
      </c>
      <c r="Q25" s="45">
        <f>SUM(Q5:Q24)</f>
        <v>836630577.11500013</v>
      </c>
      <c r="R25" s="46"/>
      <c r="S25" s="47"/>
      <c r="T25" s="48"/>
      <c r="U25" s="49"/>
      <c r="V25" s="45">
        <f>SUM(V5:V24)</f>
        <v>1003956.6925379998</v>
      </c>
      <c r="W25" s="46"/>
      <c r="X25" s="45">
        <f>SUM(X5:X24)</f>
        <v>156366254.86279351</v>
      </c>
      <c r="Y25" s="50">
        <f>SUM(Y5:Y24)</f>
        <v>85512873.198860794</v>
      </c>
      <c r="Z25" s="39"/>
      <c r="AA25" s="39"/>
    </row>
    <row r="30" spans="2:27">
      <c r="D30" s="69"/>
    </row>
    <row r="31" spans="2:27">
      <c r="D31" s="69"/>
    </row>
    <row r="32" spans="2:27">
      <c r="D32" s="69"/>
    </row>
    <row r="33" spans="4:15">
      <c r="D33" s="69"/>
    </row>
    <row r="42" spans="4:15" ht="23.25">
      <c r="O42" s="70"/>
    </row>
  </sheetData>
  <pageMargins left="0" right="0" top="0" bottom="0" header="0.31496062992125984" footer="0"/>
  <pageSetup paperSize="8" orientation="landscape" r:id="rId1"/>
  <ignoredErrors>
    <ignoredError sqref="F14 F5:F8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A44"/>
  <sheetViews>
    <sheetView topLeftCell="D26" workbookViewId="0">
      <selection activeCell="O44" sqref="O44"/>
    </sheetView>
  </sheetViews>
  <sheetFormatPr defaultRowHeight="15"/>
  <cols>
    <col min="1" max="1" width="3.140625" style="39" customWidth="1"/>
    <col min="2" max="2" width="4.140625" style="39" customWidth="1"/>
    <col min="3" max="3" width="5.5703125" style="39" customWidth="1"/>
    <col min="4" max="4" width="7.85546875" style="40" customWidth="1"/>
    <col min="5" max="5" width="5.5703125" style="40" customWidth="1"/>
    <col min="6" max="6" width="10.42578125" style="40" customWidth="1"/>
    <col min="7" max="7" width="9.5703125" style="40" customWidth="1"/>
    <col min="8" max="8" width="8" style="40" customWidth="1"/>
    <col min="9" max="9" width="9.42578125" style="40" customWidth="1"/>
    <col min="10" max="10" width="6.28515625" style="39" customWidth="1"/>
    <col min="11" max="11" width="6" style="41" customWidth="1"/>
    <col min="12" max="12" width="8.140625" style="40" customWidth="1"/>
    <col min="13" max="13" width="6.140625" style="41" customWidth="1"/>
    <col min="14" max="14" width="7.85546875" style="42" customWidth="1"/>
    <col min="15" max="15" width="12.42578125" style="43" customWidth="1"/>
    <col min="16" max="16" width="7.7109375" style="39" customWidth="1"/>
    <col min="17" max="17" width="11.140625" style="39" customWidth="1"/>
    <col min="18" max="18" width="7.28515625" style="39" customWidth="1"/>
    <col min="19" max="19" width="7.140625" style="52" customWidth="1"/>
    <col min="20" max="20" width="6.140625" style="41" customWidth="1"/>
    <col min="21" max="21" width="8.5703125" style="40" customWidth="1"/>
    <col min="22" max="22" width="7.85546875" style="39" customWidth="1"/>
    <col min="23" max="23" width="6.85546875" style="39" customWidth="1"/>
    <col min="24" max="24" width="11.140625" style="39" customWidth="1"/>
    <col min="25" max="25" width="11.5703125" style="39" customWidth="1"/>
    <col min="26" max="26" width="5.7109375" style="39" customWidth="1"/>
    <col min="27" max="27" width="6.42578125" style="39" customWidth="1"/>
    <col min="28" max="16384" width="9.140625" style="39"/>
  </cols>
  <sheetData>
    <row r="2" spans="2:27" ht="15.75">
      <c r="L2" s="51" t="s">
        <v>0</v>
      </c>
    </row>
    <row r="3" spans="2:27" ht="23.25" customHeight="1" thickBot="1">
      <c r="L3" s="51" t="s">
        <v>115</v>
      </c>
      <c r="P3" s="53"/>
    </row>
    <row r="4" spans="2:27" s="40" customFormat="1" ht="40.5" customHeight="1" thickBot="1">
      <c r="B4" s="16" t="s">
        <v>1</v>
      </c>
      <c r="C4" s="17" t="s">
        <v>2</v>
      </c>
      <c r="D4" s="17" t="s">
        <v>3</v>
      </c>
      <c r="E4" s="17" t="s">
        <v>4</v>
      </c>
      <c r="F4" s="18" t="s">
        <v>5</v>
      </c>
      <c r="G4" s="19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20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7" t="s">
        <v>23</v>
      </c>
      <c r="Y4" s="17" t="s">
        <v>24</v>
      </c>
      <c r="Z4" s="17" t="s">
        <v>25</v>
      </c>
      <c r="AA4" s="21" t="s">
        <v>26</v>
      </c>
    </row>
    <row r="5" spans="2:27" ht="22.5" customHeight="1">
      <c r="B5" s="22">
        <v>1</v>
      </c>
      <c r="C5" s="12" t="s">
        <v>47</v>
      </c>
      <c r="D5" s="12" t="s">
        <v>96</v>
      </c>
      <c r="E5" s="62">
        <v>41688</v>
      </c>
      <c r="F5" s="63">
        <v>201300010143</v>
      </c>
      <c r="G5" s="12" t="s">
        <v>43</v>
      </c>
      <c r="H5" s="12" t="s">
        <v>32</v>
      </c>
      <c r="I5" s="12" t="s">
        <v>44</v>
      </c>
      <c r="J5" s="64">
        <v>801.22</v>
      </c>
      <c r="K5" s="24">
        <v>41402</v>
      </c>
      <c r="L5" s="12" t="s">
        <v>46</v>
      </c>
      <c r="M5" s="12" t="s">
        <v>33</v>
      </c>
      <c r="N5" s="12" t="s">
        <v>35</v>
      </c>
      <c r="O5" s="12" t="s">
        <v>36</v>
      </c>
      <c r="P5" s="15">
        <v>130000</v>
      </c>
      <c r="Q5" s="27">
        <f t="shared" ref="Q5" si="0">SUM(P5*S5)</f>
        <v>13713960</v>
      </c>
      <c r="R5" s="28" t="s">
        <v>27</v>
      </c>
      <c r="S5" s="54">
        <v>105.492</v>
      </c>
      <c r="T5" s="29">
        <f t="shared" ref="T5:T23" si="1">SUM(K5)+89</f>
        <v>41491</v>
      </c>
      <c r="U5" s="55" t="s">
        <v>28</v>
      </c>
      <c r="V5" s="30">
        <f t="shared" ref="V5:V23" si="2">SUM(Q5*0.12%)</f>
        <v>16456.751999999997</v>
      </c>
      <c r="W5" s="23">
        <v>155.74</v>
      </c>
      <c r="X5" s="27">
        <f t="shared" ref="X5:X30" si="3">SUM(V5*W5)</f>
        <v>2562974.5564799998</v>
      </c>
      <c r="Y5" s="33">
        <v>2563138.81</v>
      </c>
      <c r="Z5" s="29">
        <v>41472</v>
      </c>
      <c r="AA5" s="35">
        <v>9205</v>
      </c>
    </row>
    <row r="6" spans="2:27" ht="18.75" customHeight="1">
      <c r="B6" s="22">
        <f>B5+1</f>
        <v>2</v>
      </c>
      <c r="C6" s="12" t="s">
        <v>63</v>
      </c>
      <c r="D6" s="12" t="s">
        <v>97</v>
      </c>
      <c r="E6" s="62">
        <v>41688</v>
      </c>
      <c r="F6" s="65" t="s">
        <v>53</v>
      </c>
      <c r="G6" s="32" t="s">
        <v>29</v>
      </c>
      <c r="H6" s="12" t="s">
        <v>40</v>
      </c>
      <c r="I6" s="12" t="s">
        <v>44</v>
      </c>
      <c r="J6" s="64">
        <v>801.22</v>
      </c>
      <c r="K6" s="24">
        <v>41584</v>
      </c>
      <c r="L6" s="12" t="s">
        <v>59</v>
      </c>
      <c r="M6" s="12" t="s">
        <v>33</v>
      </c>
      <c r="N6" s="12" t="s">
        <v>60</v>
      </c>
      <c r="O6" s="12" t="s">
        <v>61</v>
      </c>
      <c r="P6" s="15">
        <v>28000</v>
      </c>
      <c r="Q6" s="27">
        <f t="shared" ref="Q6:Q13" si="4">SUM(P6*S6)</f>
        <v>3078348</v>
      </c>
      <c r="R6" s="28" t="s">
        <v>27</v>
      </c>
      <c r="S6" s="34">
        <v>109.941</v>
      </c>
      <c r="T6" s="29">
        <f t="shared" si="1"/>
        <v>41673</v>
      </c>
      <c r="U6" s="23" t="s">
        <v>29</v>
      </c>
      <c r="V6" s="30">
        <f t="shared" si="2"/>
        <v>3694.0175999999997</v>
      </c>
      <c r="W6" s="23">
        <v>155.72</v>
      </c>
      <c r="X6" s="27">
        <f t="shared" si="3"/>
        <v>575232.42067199992</v>
      </c>
      <c r="Y6" s="33">
        <v>575232.42000000004</v>
      </c>
      <c r="Z6" s="29">
        <v>41683</v>
      </c>
      <c r="AA6" s="35">
        <v>3574</v>
      </c>
    </row>
    <row r="7" spans="2:27" ht="18.75" customHeight="1">
      <c r="B7" s="22">
        <f t="shared" ref="B7:B30" si="5">B6+1</f>
        <v>3</v>
      </c>
      <c r="C7" s="12" t="s">
        <v>64</v>
      </c>
      <c r="D7" s="12" t="s">
        <v>98</v>
      </c>
      <c r="E7" s="62">
        <v>41688</v>
      </c>
      <c r="F7" s="65" t="s">
        <v>54</v>
      </c>
      <c r="G7" s="32" t="s">
        <v>29</v>
      </c>
      <c r="H7" s="12" t="s">
        <v>40</v>
      </c>
      <c r="I7" s="12" t="s">
        <v>44</v>
      </c>
      <c r="J7" s="64">
        <v>801.22</v>
      </c>
      <c r="K7" s="24">
        <v>41584</v>
      </c>
      <c r="L7" s="12" t="s">
        <v>59</v>
      </c>
      <c r="M7" s="12" t="s">
        <v>33</v>
      </c>
      <c r="N7" s="12" t="s">
        <v>60</v>
      </c>
      <c r="O7" s="12" t="s">
        <v>61</v>
      </c>
      <c r="P7" s="15">
        <v>75000</v>
      </c>
      <c r="Q7" s="27">
        <f t="shared" si="4"/>
        <v>8245575</v>
      </c>
      <c r="R7" s="28" t="s">
        <v>27</v>
      </c>
      <c r="S7" s="34">
        <v>109.941</v>
      </c>
      <c r="T7" s="29">
        <f t="shared" si="1"/>
        <v>41673</v>
      </c>
      <c r="U7" s="23" t="s">
        <v>29</v>
      </c>
      <c r="V7" s="30">
        <f t="shared" si="2"/>
        <v>9894.6899999999987</v>
      </c>
      <c r="W7" s="23">
        <v>155.72</v>
      </c>
      <c r="X7" s="27">
        <f t="shared" si="3"/>
        <v>1540801.1267999997</v>
      </c>
      <c r="Y7" s="33">
        <v>1540801.13</v>
      </c>
      <c r="Z7" s="29">
        <v>41683</v>
      </c>
      <c r="AA7" s="35">
        <v>3569</v>
      </c>
    </row>
    <row r="8" spans="2:27" ht="18.75" customHeight="1">
      <c r="B8" s="22">
        <f t="shared" si="5"/>
        <v>4</v>
      </c>
      <c r="C8" s="12" t="s">
        <v>65</v>
      </c>
      <c r="D8" s="12" t="s">
        <v>99</v>
      </c>
      <c r="E8" s="62">
        <v>41688</v>
      </c>
      <c r="F8" s="65" t="s">
        <v>55</v>
      </c>
      <c r="G8" s="32" t="s">
        <v>29</v>
      </c>
      <c r="H8" s="12" t="s">
        <v>40</v>
      </c>
      <c r="I8" s="12" t="s">
        <v>44</v>
      </c>
      <c r="J8" s="64">
        <v>801.22</v>
      </c>
      <c r="K8" s="24">
        <v>41584</v>
      </c>
      <c r="L8" s="12" t="s">
        <v>59</v>
      </c>
      <c r="M8" s="12" t="s">
        <v>33</v>
      </c>
      <c r="N8" s="12" t="s">
        <v>60</v>
      </c>
      <c r="O8" s="12" t="s">
        <v>61</v>
      </c>
      <c r="P8" s="15">
        <v>31000</v>
      </c>
      <c r="Q8" s="27">
        <f t="shared" si="4"/>
        <v>3408171</v>
      </c>
      <c r="R8" s="28" t="s">
        <v>27</v>
      </c>
      <c r="S8" s="34">
        <v>109.941</v>
      </c>
      <c r="T8" s="29">
        <f t="shared" si="1"/>
        <v>41673</v>
      </c>
      <c r="U8" s="23" t="s">
        <v>29</v>
      </c>
      <c r="V8" s="30">
        <f t="shared" si="2"/>
        <v>4089.8051999999998</v>
      </c>
      <c r="W8" s="23">
        <v>155.72</v>
      </c>
      <c r="X8" s="27">
        <f t="shared" si="3"/>
        <v>636864.46574399993</v>
      </c>
      <c r="Y8" s="33">
        <v>636864.47</v>
      </c>
      <c r="Z8" s="29">
        <v>41683</v>
      </c>
      <c r="AA8" s="35">
        <v>3570</v>
      </c>
    </row>
    <row r="9" spans="2:27" ht="19.5" customHeight="1">
      <c r="B9" s="22">
        <f t="shared" si="5"/>
        <v>5</v>
      </c>
      <c r="C9" s="12" t="s">
        <v>68</v>
      </c>
      <c r="D9" s="12" t="s">
        <v>100</v>
      </c>
      <c r="E9" s="62">
        <v>41688</v>
      </c>
      <c r="F9" s="63">
        <v>201301010043</v>
      </c>
      <c r="G9" s="32" t="s">
        <v>29</v>
      </c>
      <c r="H9" s="12" t="s">
        <v>40</v>
      </c>
      <c r="I9" s="12" t="s">
        <v>44</v>
      </c>
      <c r="J9" s="64">
        <v>801.22</v>
      </c>
      <c r="K9" s="66">
        <v>41594</v>
      </c>
      <c r="L9" s="12" t="s">
        <v>46</v>
      </c>
      <c r="M9" s="67" t="s">
        <v>33</v>
      </c>
      <c r="N9" s="12" t="s">
        <v>35</v>
      </c>
      <c r="O9" s="12" t="s">
        <v>62</v>
      </c>
      <c r="P9" s="56">
        <v>9000</v>
      </c>
      <c r="Q9" s="27">
        <f t="shared" si="4"/>
        <v>989469</v>
      </c>
      <c r="R9" s="28" t="s">
        <v>27</v>
      </c>
      <c r="S9" s="34">
        <v>109.941</v>
      </c>
      <c r="T9" s="29">
        <f t="shared" si="1"/>
        <v>41683</v>
      </c>
      <c r="U9" s="23" t="s">
        <v>29</v>
      </c>
      <c r="V9" s="30">
        <f t="shared" si="2"/>
        <v>1187.3627999999999</v>
      </c>
      <c r="W9" s="23">
        <v>155.72</v>
      </c>
      <c r="X9" s="27">
        <f t="shared" si="3"/>
        <v>184896.13521599997</v>
      </c>
      <c r="Y9" s="33">
        <v>184896.14</v>
      </c>
      <c r="Z9" s="29">
        <v>41683</v>
      </c>
      <c r="AA9" s="35">
        <v>3565</v>
      </c>
    </row>
    <row r="10" spans="2:27" ht="19.5" customHeight="1">
      <c r="B10" s="22">
        <f t="shared" si="5"/>
        <v>6</v>
      </c>
      <c r="C10" s="12" t="s">
        <v>69</v>
      </c>
      <c r="D10" s="12" t="s">
        <v>101</v>
      </c>
      <c r="E10" s="62">
        <v>41688</v>
      </c>
      <c r="F10" s="63">
        <v>201301010044</v>
      </c>
      <c r="G10" s="32" t="s">
        <v>29</v>
      </c>
      <c r="H10" s="12" t="s">
        <v>40</v>
      </c>
      <c r="I10" s="12" t="s">
        <v>44</v>
      </c>
      <c r="J10" s="64">
        <v>801.22</v>
      </c>
      <c r="K10" s="66">
        <v>41594</v>
      </c>
      <c r="L10" s="12" t="s">
        <v>46</v>
      </c>
      <c r="M10" s="67" t="s">
        <v>33</v>
      </c>
      <c r="N10" s="12" t="s">
        <v>35</v>
      </c>
      <c r="O10" s="12" t="s">
        <v>62</v>
      </c>
      <c r="P10" s="56">
        <v>19000</v>
      </c>
      <c r="Q10" s="27">
        <f t="shared" si="4"/>
        <v>2088879</v>
      </c>
      <c r="R10" s="28" t="s">
        <v>27</v>
      </c>
      <c r="S10" s="34">
        <v>109.941</v>
      </c>
      <c r="T10" s="29">
        <f t="shared" si="1"/>
        <v>41683</v>
      </c>
      <c r="U10" s="23" t="s">
        <v>29</v>
      </c>
      <c r="V10" s="30">
        <f t="shared" si="2"/>
        <v>2506.6547999999998</v>
      </c>
      <c r="W10" s="23">
        <v>155.72</v>
      </c>
      <c r="X10" s="27">
        <f t="shared" si="3"/>
        <v>390336.28545599995</v>
      </c>
      <c r="Y10" s="33">
        <v>390336.29</v>
      </c>
      <c r="Z10" s="29">
        <v>41683</v>
      </c>
      <c r="AA10" s="35">
        <v>3566</v>
      </c>
    </row>
    <row r="11" spans="2:27" ht="19.5" customHeight="1">
      <c r="B11" s="22">
        <f t="shared" si="5"/>
        <v>7</v>
      </c>
      <c r="C11" s="12" t="s">
        <v>70</v>
      </c>
      <c r="D11" s="12" t="s">
        <v>102</v>
      </c>
      <c r="E11" s="62">
        <v>41688</v>
      </c>
      <c r="F11" s="63">
        <v>201309030001</v>
      </c>
      <c r="G11" s="12" t="s">
        <v>58</v>
      </c>
      <c r="H11" s="12" t="s">
        <v>40</v>
      </c>
      <c r="I11" s="12" t="s">
        <v>44</v>
      </c>
      <c r="J11" s="64">
        <v>801.22</v>
      </c>
      <c r="K11" s="66">
        <v>41594</v>
      </c>
      <c r="L11" s="12" t="s">
        <v>46</v>
      </c>
      <c r="M11" s="67" t="s">
        <v>33</v>
      </c>
      <c r="N11" s="12" t="s">
        <v>35</v>
      </c>
      <c r="O11" s="12" t="s">
        <v>62</v>
      </c>
      <c r="P11" s="56">
        <v>53000</v>
      </c>
      <c r="Q11" s="27">
        <f t="shared" si="4"/>
        <v>5826873</v>
      </c>
      <c r="R11" s="28" t="s">
        <v>27</v>
      </c>
      <c r="S11" s="34">
        <v>109.941</v>
      </c>
      <c r="T11" s="29">
        <f t="shared" si="1"/>
        <v>41683</v>
      </c>
      <c r="U11" s="23" t="s">
        <v>29</v>
      </c>
      <c r="V11" s="30">
        <f t="shared" si="2"/>
        <v>6992.2475999999997</v>
      </c>
      <c r="W11" s="23">
        <v>155.72</v>
      </c>
      <c r="X11" s="27">
        <f t="shared" si="3"/>
        <v>1088832.7962719998</v>
      </c>
      <c r="Y11" s="33">
        <v>1088832.8</v>
      </c>
      <c r="Z11" s="29">
        <v>41683</v>
      </c>
      <c r="AA11" s="35">
        <v>3567</v>
      </c>
    </row>
    <row r="12" spans="2:27" ht="18.75" customHeight="1">
      <c r="B12" s="22">
        <f t="shared" si="5"/>
        <v>8</v>
      </c>
      <c r="C12" s="12" t="s">
        <v>66</v>
      </c>
      <c r="D12" s="12" t="s">
        <v>103</v>
      </c>
      <c r="E12" s="62">
        <v>41688</v>
      </c>
      <c r="F12" s="65" t="s">
        <v>56</v>
      </c>
      <c r="G12" s="12" t="s">
        <v>43</v>
      </c>
      <c r="H12" s="12" t="s">
        <v>34</v>
      </c>
      <c r="I12" s="12" t="s">
        <v>44</v>
      </c>
      <c r="J12" s="64">
        <v>801.22</v>
      </c>
      <c r="K12" s="24">
        <v>41584</v>
      </c>
      <c r="L12" s="12" t="s">
        <v>59</v>
      </c>
      <c r="M12" s="12" t="s">
        <v>33</v>
      </c>
      <c r="N12" s="12" t="s">
        <v>60</v>
      </c>
      <c r="O12" s="12" t="s">
        <v>61</v>
      </c>
      <c r="P12" s="15">
        <v>40652</v>
      </c>
      <c r="Q12" s="27">
        <f t="shared" si="4"/>
        <v>4440942.3708000006</v>
      </c>
      <c r="R12" s="28" t="s">
        <v>27</v>
      </c>
      <c r="S12" s="34">
        <v>109.24290000000001</v>
      </c>
      <c r="T12" s="29">
        <f t="shared" si="1"/>
        <v>41673</v>
      </c>
      <c r="U12" s="23" t="s">
        <v>28</v>
      </c>
      <c r="V12" s="30">
        <f t="shared" si="2"/>
        <v>5329.1308449600001</v>
      </c>
      <c r="W12" s="23">
        <v>155.72</v>
      </c>
      <c r="X12" s="27">
        <f t="shared" si="3"/>
        <v>829852.2551771712</v>
      </c>
      <c r="Y12" s="33">
        <v>824949.32</v>
      </c>
      <c r="Z12" s="29">
        <v>41677</v>
      </c>
      <c r="AA12" s="35">
        <v>9319</v>
      </c>
    </row>
    <row r="13" spans="2:27" ht="18.75" customHeight="1">
      <c r="B13" s="22">
        <f t="shared" si="5"/>
        <v>9</v>
      </c>
      <c r="C13" s="12" t="s">
        <v>67</v>
      </c>
      <c r="D13" s="12" t="s">
        <v>104</v>
      </c>
      <c r="E13" s="62">
        <v>41688</v>
      </c>
      <c r="F13" s="65" t="s">
        <v>57</v>
      </c>
      <c r="G13" s="12" t="s">
        <v>43</v>
      </c>
      <c r="H13" s="12" t="s">
        <v>32</v>
      </c>
      <c r="I13" s="12" t="s">
        <v>44</v>
      </c>
      <c r="J13" s="64">
        <v>801.22</v>
      </c>
      <c r="K13" s="24">
        <v>41584</v>
      </c>
      <c r="L13" s="12" t="s">
        <v>59</v>
      </c>
      <c r="M13" s="12" t="s">
        <v>33</v>
      </c>
      <c r="N13" s="12" t="s">
        <v>60</v>
      </c>
      <c r="O13" s="12" t="s">
        <v>61</v>
      </c>
      <c r="P13" s="15">
        <v>80000</v>
      </c>
      <c r="Q13" s="27">
        <f t="shared" si="4"/>
        <v>8821680</v>
      </c>
      <c r="R13" s="28" t="s">
        <v>27</v>
      </c>
      <c r="S13" s="34">
        <v>110.271</v>
      </c>
      <c r="T13" s="29">
        <f t="shared" si="1"/>
        <v>41673</v>
      </c>
      <c r="U13" s="23" t="s">
        <v>28</v>
      </c>
      <c r="V13" s="30">
        <f t="shared" si="2"/>
        <v>10586.016</v>
      </c>
      <c r="W13" s="23">
        <v>155.72</v>
      </c>
      <c r="X13" s="27">
        <f t="shared" si="3"/>
        <v>1648454.4115199998</v>
      </c>
      <c r="Y13" s="33">
        <v>1638715.9</v>
      </c>
      <c r="Z13" s="29">
        <v>41677</v>
      </c>
      <c r="AA13" s="35">
        <v>9322</v>
      </c>
    </row>
    <row r="14" spans="2:27" ht="21" customHeight="1">
      <c r="B14" s="22">
        <f t="shared" si="5"/>
        <v>10</v>
      </c>
      <c r="C14" s="12" t="s">
        <v>85</v>
      </c>
      <c r="D14" s="12" t="s">
        <v>105</v>
      </c>
      <c r="E14" s="62">
        <v>41688</v>
      </c>
      <c r="F14" s="65" t="s">
        <v>73</v>
      </c>
      <c r="G14" s="32" t="s">
        <v>29</v>
      </c>
      <c r="H14" s="12" t="s">
        <v>40</v>
      </c>
      <c r="I14" s="12" t="s">
        <v>44</v>
      </c>
      <c r="J14" s="64">
        <v>801.22</v>
      </c>
      <c r="K14" s="24">
        <v>41615</v>
      </c>
      <c r="L14" s="12" t="s">
        <v>80</v>
      </c>
      <c r="M14" s="12" t="s">
        <v>33</v>
      </c>
      <c r="N14" s="12" t="s">
        <v>37</v>
      </c>
      <c r="O14" s="12" t="s">
        <v>38</v>
      </c>
      <c r="P14" s="15">
        <v>42000</v>
      </c>
      <c r="Q14" s="27">
        <f t="shared" ref="Q14:Q24" si="6">SUM(P14*S14)</f>
        <v>4708452</v>
      </c>
      <c r="R14" s="28" t="s">
        <v>27</v>
      </c>
      <c r="S14" s="7">
        <v>112.10599999999999</v>
      </c>
      <c r="T14" s="29">
        <f t="shared" si="1"/>
        <v>41704</v>
      </c>
      <c r="U14" s="23" t="s">
        <v>29</v>
      </c>
      <c r="V14" s="30">
        <f t="shared" si="2"/>
        <v>5650.1423999999997</v>
      </c>
      <c r="W14" s="57">
        <v>155.69999999999999</v>
      </c>
      <c r="X14" s="27">
        <f t="shared" si="3"/>
        <v>879727.17167999991</v>
      </c>
      <c r="Y14" s="33">
        <v>879727.17</v>
      </c>
      <c r="Z14" s="29">
        <v>41683</v>
      </c>
      <c r="AA14" s="35">
        <v>3573</v>
      </c>
    </row>
    <row r="15" spans="2:27" ht="21" customHeight="1">
      <c r="B15" s="22">
        <f t="shared" si="5"/>
        <v>11</v>
      </c>
      <c r="C15" s="12" t="s">
        <v>86</v>
      </c>
      <c r="D15" s="12" t="s">
        <v>106</v>
      </c>
      <c r="E15" s="62">
        <v>41688</v>
      </c>
      <c r="F15" s="65" t="s">
        <v>74</v>
      </c>
      <c r="G15" s="32" t="s">
        <v>29</v>
      </c>
      <c r="H15" s="12" t="s">
        <v>40</v>
      </c>
      <c r="I15" s="12" t="s">
        <v>44</v>
      </c>
      <c r="J15" s="64">
        <v>801.22</v>
      </c>
      <c r="K15" s="24">
        <v>41615</v>
      </c>
      <c r="L15" s="12" t="s">
        <v>80</v>
      </c>
      <c r="M15" s="12" t="s">
        <v>33</v>
      </c>
      <c r="N15" s="12" t="s">
        <v>37</v>
      </c>
      <c r="O15" s="12" t="s">
        <v>38</v>
      </c>
      <c r="P15" s="15">
        <v>26000</v>
      </c>
      <c r="Q15" s="27">
        <f t="shared" si="6"/>
        <v>2914756</v>
      </c>
      <c r="R15" s="28" t="s">
        <v>27</v>
      </c>
      <c r="S15" s="7">
        <v>112.10599999999999</v>
      </c>
      <c r="T15" s="29">
        <f t="shared" si="1"/>
        <v>41704</v>
      </c>
      <c r="U15" s="23" t="s">
        <v>29</v>
      </c>
      <c r="V15" s="30">
        <f t="shared" si="2"/>
        <v>3497.7071999999998</v>
      </c>
      <c r="W15" s="57">
        <v>155.69999999999999</v>
      </c>
      <c r="X15" s="27">
        <f t="shared" si="3"/>
        <v>544593.0110399999</v>
      </c>
      <c r="Y15" s="33">
        <v>544593.01</v>
      </c>
      <c r="Z15" s="29">
        <v>41683</v>
      </c>
      <c r="AA15" s="35">
        <v>3572</v>
      </c>
    </row>
    <row r="16" spans="2:27" ht="21" customHeight="1">
      <c r="B16" s="22">
        <f t="shared" si="5"/>
        <v>12</v>
      </c>
      <c r="C16" s="12" t="s">
        <v>87</v>
      </c>
      <c r="D16" s="12" t="s">
        <v>107</v>
      </c>
      <c r="E16" s="62">
        <v>41688</v>
      </c>
      <c r="F16" s="65" t="s">
        <v>75</v>
      </c>
      <c r="G16" s="12" t="s">
        <v>58</v>
      </c>
      <c r="H16" s="12" t="s">
        <v>40</v>
      </c>
      <c r="I16" s="12" t="s">
        <v>44</v>
      </c>
      <c r="J16" s="64">
        <v>801.22</v>
      </c>
      <c r="K16" s="24">
        <v>41615</v>
      </c>
      <c r="L16" s="12" t="s">
        <v>80</v>
      </c>
      <c r="M16" s="12" t="s">
        <v>33</v>
      </c>
      <c r="N16" s="12" t="s">
        <v>37</v>
      </c>
      <c r="O16" s="12" t="s">
        <v>38</v>
      </c>
      <c r="P16" s="15">
        <v>84000</v>
      </c>
      <c r="Q16" s="27">
        <f t="shared" si="6"/>
        <v>9416904</v>
      </c>
      <c r="R16" s="28" t="s">
        <v>27</v>
      </c>
      <c r="S16" s="7">
        <v>112.10599999999999</v>
      </c>
      <c r="T16" s="29">
        <f t="shared" si="1"/>
        <v>41704</v>
      </c>
      <c r="U16" s="23" t="s">
        <v>29</v>
      </c>
      <c r="V16" s="30">
        <f t="shared" si="2"/>
        <v>11300.284799999999</v>
      </c>
      <c r="W16" s="57">
        <v>155.69999999999999</v>
      </c>
      <c r="X16" s="27">
        <f t="shared" si="3"/>
        <v>1759454.3433599998</v>
      </c>
      <c r="Y16" s="33">
        <v>1759454.34</v>
      </c>
      <c r="Z16" s="29">
        <v>41683</v>
      </c>
      <c r="AA16" s="35">
        <v>3571</v>
      </c>
    </row>
    <row r="17" spans="2:27" s="58" customFormat="1" ht="21" customHeight="1">
      <c r="B17" s="22">
        <f t="shared" si="5"/>
        <v>13</v>
      </c>
      <c r="C17" s="12" t="s">
        <v>83</v>
      </c>
      <c r="D17" s="12" t="s">
        <v>108</v>
      </c>
      <c r="E17" s="62">
        <v>41688</v>
      </c>
      <c r="F17" s="65" t="s">
        <v>71</v>
      </c>
      <c r="G17" s="12" t="s">
        <v>43</v>
      </c>
      <c r="H17" s="12" t="s">
        <v>34</v>
      </c>
      <c r="I17" s="12" t="s">
        <v>44</v>
      </c>
      <c r="J17" s="64">
        <v>801.22</v>
      </c>
      <c r="K17" s="24">
        <v>41615</v>
      </c>
      <c r="L17" s="12" t="s">
        <v>80</v>
      </c>
      <c r="M17" s="12" t="s">
        <v>33</v>
      </c>
      <c r="N17" s="12" t="s">
        <v>37</v>
      </c>
      <c r="O17" s="12" t="s">
        <v>38</v>
      </c>
      <c r="P17" s="15">
        <v>50000</v>
      </c>
      <c r="Q17" s="27">
        <f t="shared" si="6"/>
        <v>5600150</v>
      </c>
      <c r="R17" s="28" t="s">
        <v>27</v>
      </c>
      <c r="S17" s="8">
        <v>112.003</v>
      </c>
      <c r="T17" s="29">
        <f t="shared" si="1"/>
        <v>41704</v>
      </c>
      <c r="U17" s="23" t="s">
        <v>28</v>
      </c>
      <c r="V17" s="30">
        <f t="shared" si="2"/>
        <v>6720.1799999999994</v>
      </c>
      <c r="W17" s="57">
        <v>155.69999999999999</v>
      </c>
      <c r="X17" s="27">
        <f t="shared" si="3"/>
        <v>1046332.0259999998</v>
      </c>
      <c r="Y17" s="33">
        <v>1039813.45</v>
      </c>
      <c r="Z17" s="29">
        <v>41677</v>
      </c>
      <c r="AA17" s="35">
        <v>9325</v>
      </c>
    </row>
    <row r="18" spans="2:27" ht="21" customHeight="1">
      <c r="B18" s="22">
        <f t="shared" si="5"/>
        <v>14</v>
      </c>
      <c r="C18" s="12" t="s">
        <v>84</v>
      </c>
      <c r="D18" s="12" t="s">
        <v>109</v>
      </c>
      <c r="E18" s="62">
        <v>41688</v>
      </c>
      <c r="F18" s="65" t="s">
        <v>72</v>
      </c>
      <c r="G18" s="12" t="s">
        <v>43</v>
      </c>
      <c r="H18" s="12" t="s">
        <v>34</v>
      </c>
      <c r="I18" s="12" t="s">
        <v>44</v>
      </c>
      <c r="J18" s="64">
        <v>801.22</v>
      </c>
      <c r="K18" s="24">
        <v>41615</v>
      </c>
      <c r="L18" s="12" t="s">
        <v>80</v>
      </c>
      <c r="M18" s="12" t="s">
        <v>33</v>
      </c>
      <c r="N18" s="12" t="s">
        <v>37</v>
      </c>
      <c r="O18" s="12" t="s">
        <v>38</v>
      </c>
      <c r="P18" s="15">
        <v>125698</v>
      </c>
      <c r="Q18" s="27">
        <f t="shared" si="6"/>
        <v>14078553.094000001</v>
      </c>
      <c r="R18" s="28" t="s">
        <v>27</v>
      </c>
      <c r="S18" s="8">
        <v>112.003</v>
      </c>
      <c r="T18" s="29">
        <f t="shared" si="1"/>
        <v>41704</v>
      </c>
      <c r="U18" s="23" t="s">
        <v>28</v>
      </c>
      <c r="V18" s="30">
        <f t="shared" si="2"/>
        <v>16894.263712799999</v>
      </c>
      <c r="W18" s="57">
        <v>155.69999999999999</v>
      </c>
      <c r="X18" s="27">
        <f t="shared" si="3"/>
        <v>2630436.8600829598</v>
      </c>
      <c r="Y18" s="33">
        <v>2614048.85</v>
      </c>
      <c r="Z18" s="29">
        <v>41677</v>
      </c>
      <c r="AA18" s="35">
        <v>9323</v>
      </c>
    </row>
    <row r="19" spans="2:27" ht="18.75" customHeight="1">
      <c r="B19" s="22">
        <f t="shared" si="5"/>
        <v>15</v>
      </c>
      <c r="C19" s="12" t="s">
        <v>91</v>
      </c>
      <c r="D19" s="12" t="s">
        <v>110</v>
      </c>
      <c r="E19" s="62">
        <v>41688</v>
      </c>
      <c r="F19" s="65" t="s">
        <v>76</v>
      </c>
      <c r="G19" s="12" t="s">
        <v>43</v>
      </c>
      <c r="H19" s="12" t="s">
        <v>32</v>
      </c>
      <c r="I19" s="12" t="s">
        <v>30</v>
      </c>
      <c r="J19" s="64">
        <v>801.22</v>
      </c>
      <c r="K19" s="24">
        <v>41619</v>
      </c>
      <c r="L19" s="12" t="s">
        <v>81</v>
      </c>
      <c r="M19" s="12" t="s">
        <v>31</v>
      </c>
      <c r="N19" s="12" t="s">
        <v>39</v>
      </c>
      <c r="O19" s="12" t="s">
        <v>42</v>
      </c>
      <c r="P19" s="15">
        <v>799862</v>
      </c>
      <c r="Q19" s="27">
        <f t="shared" si="6"/>
        <v>89111025.695999995</v>
      </c>
      <c r="R19" s="28" t="s">
        <v>27</v>
      </c>
      <c r="S19" s="34">
        <v>111.408</v>
      </c>
      <c r="T19" s="29">
        <f t="shared" si="1"/>
        <v>41708</v>
      </c>
      <c r="U19" s="23" t="s">
        <v>28</v>
      </c>
      <c r="V19" s="30">
        <f t="shared" si="2"/>
        <v>106933.23083519998</v>
      </c>
      <c r="W19" s="57">
        <v>155.69999999999999</v>
      </c>
      <c r="X19" s="27">
        <f t="shared" si="3"/>
        <v>16649504.041040637</v>
      </c>
      <c r="Y19" s="33">
        <v>16545778.68</v>
      </c>
      <c r="Z19" s="29">
        <v>41677</v>
      </c>
      <c r="AA19" s="35">
        <v>9331</v>
      </c>
    </row>
    <row r="20" spans="2:27" ht="21" customHeight="1">
      <c r="B20" s="22">
        <f t="shared" si="5"/>
        <v>16</v>
      </c>
      <c r="C20" s="12" t="s">
        <v>88</v>
      </c>
      <c r="D20" s="12" t="s">
        <v>111</v>
      </c>
      <c r="E20" s="62">
        <v>41688</v>
      </c>
      <c r="F20" s="65" t="s">
        <v>77</v>
      </c>
      <c r="G20" s="12" t="s">
        <v>43</v>
      </c>
      <c r="H20" s="12" t="s">
        <v>34</v>
      </c>
      <c r="I20" s="12" t="s">
        <v>44</v>
      </c>
      <c r="J20" s="64">
        <v>801.22</v>
      </c>
      <c r="K20" s="24">
        <v>41628</v>
      </c>
      <c r="L20" s="12" t="s">
        <v>82</v>
      </c>
      <c r="M20" s="12" t="s">
        <v>33</v>
      </c>
      <c r="N20" s="12" t="s">
        <v>45</v>
      </c>
      <c r="O20" s="12" t="s">
        <v>41</v>
      </c>
      <c r="P20" s="15">
        <v>100000</v>
      </c>
      <c r="Q20" s="27">
        <f t="shared" si="6"/>
        <v>11199550</v>
      </c>
      <c r="R20" s="28" t="s">
        <v>27</v>
      </c>
      <c r="S20" s="34">
        <v>111.99550000000001</v>
      </c>
      <c r="T20" s="29">
        <f t="shared" si="1"/>
        <v>41717</v>
      </c>
      <c r="U20" s="23" t="s">
        <v>28</v>
      </c>
      <c r="V20" s="30">
        <f t="shared" si="2"/>
        <v>13439.46</v>
      </c>
      <c r="W20" s="57">
        <v>155.69999999999999</v>
      </c>
      <c r="X20" s="27">
        <f t="shared" si="3"/>
        <v>2092523.9219999998</v>
      </c>
      <c r="Y20" s="33">
        <v>2079084.46</v>
      </c>
      <c r="Z20" s="29">
        <v>41677</v>
      </c>
      <c r="AA20" s="35">
        <v>9326</v>
      </c>
    </row>
    <row r="21" spans="2:27" ht="21" customHeight="1">
      <c r="B21" s="22">
        <f t="shared" si="5"/>
        <v>17</v>
      </c>
      <c r="C21" s="12" t="s">
        <v>89</v>
      </c>
      <c r="D21" s="12" t="s">
        <v>112</v>
      </c>
      <c r="E21" s="62">
        <v>41688</v>
      </c>
      <c r="F21" s="65" t="s">
        <v>78</v>
      </c>
      <c r="G21" s="12" t="s">
        <v>43</v>
      </c>
      <c r="H21" s="12" t="s">
        <v>34</v>
      </c>
      <c r="I21" s="12" t="s">
        <v>44</v>
      </c>
      <c r="J21" s="64">
        <v>801.22</v>
      </c>
      <c r="K21" s="24">
        <v>41628</v>
      </c>
      <c r="L21" s="12" t="s">
        <v>82</v>
      </c>
      <c r="M21" s="12" t="s">
        <v>33</v>
      </c>
      <c r="N21" s="12" t="s">
        <v>45</v>
      </c>
      <c r="O21" s="12" t="s">
        <v>41</v>
      </c>
      <c r="P21" s="15">
        <v>319607</v>
      </c>
      <c r="Q21" s="27">
        <f t="shared" si="6"/>
        <v>35794545.7685</v>
      </c>
      <c r="R21" s="28" t="s">
        <v>27</v>
      </c>
      <c r="S21" s="34">
        <v>111.99550000000001</v>
      </c>
      <c r="T21" s="29">
        <f t="shared" si="1"/>
        <v>41717</v>
      </c>
      <c r="U21" s="23" t="s">
        <v>28</v>
      </c>
      <c r="V21" s="30">
        <f t="shared" si="2"/>
        <v>42953.454922199999</v>
      </c>
      <c r="W21" s="57">
        <v>155.69999999999999</v>
      </c>
      <c r="X21" s="27">
        <f t="shared" si="3"/>
        <v>6687852.9313865397</v>
      </c>
      <c r="Y21" s="33">
        <v>6644898.7199999997</v>
      </c>
      <c r="Z21" s="29">
        <v>41677</v>
      </c>
      <c r="AA21" s="35">
        <v>9324</v>
      </c>
    </row>
    <row r="22" spans="2:27" ht="21" customHeight="1">
      <c r="B22" s="22">
        <f t="shared" si="5"/>
        <v>18</v>
      </c>
      <c r="C22" s="12" t="s">
        <v>90</v>
      </c>
      <c r="D22" s="12" t="s">
        <v>113</v>
      </c>
      <c r="E22" s="62">
        <v>41688</v>
      </c>
      <c r="F22" s="65" t="s">
        <v>79</v>
      </c>
      <c r="G22" s="12" t="s">
        <v>43</v>
      </c>
      <c r="H22" s="12" t="s">
        <v>32</v>
      </c>
      <c r="I22" s="12" t="s">
        <v>44</v>
      </c>
      <c r="J22" s="64">
        <v>801.22</v>
      </c>
      <c r="K22" s="24">
        <v>41628</v>
      </c>
      <c r="L22" s="12" t="s">
        <v>82</v>
      </c>
      <c r="M22" s="12" t="s">
        <v>33</v>
      </c>
      <c r="N22" s="12" t="s">
        <v>45</v>
      </c>
      <c r="O22" s="12" t="s">
        <v>41</v>
      </c>
      <c r="P22" s="15">
        <v>90000</v>
      </c>
      <c r="Q22" s="27">
        <f t="shared" si="6"/>
        <v>10122030</v>
      </c>
      <c r="R22" s="28" t="s">
        <v>27</v>
      </c>
      <c r="S22" s="34">
        <v>112.467</v>
      </c>
      <c r="T22" s="29">
        <f t="shared" si="1"/>
        <v>41717</v>
      </c>
      <c r="U22" s="23" t="s">
        <v>28</v>
      </c>
      <c r="V22" s="30">
        <f t="shared" si="2"/>
        <v>12146.436</v>
      </c>
      <c r="W22" s="57">
        <v>155.69999999999999</v>
      </c>
      <c r="X22" s="27">
        <f t="shared" si="3"/>
        <v>1891200.0851999999</v>
      </c>
      <c r="Y22" s="33">
        <v>1879054.27</v>
      </c>
      <c r="Z22" s="29">
        <v>41677</v>
      </c>
      <c r="AA22" s="35">
        <v>9330</v>
      </c>
    </row>
    <row r="23" spans="2:27" ht="20.25" customHeight="1">
      <c r="B23" s="22">
        <f t="shared" si="5"/>
        <v>19</v>
      </c>
      <c r="C23" s="12" t="s">
        <v>94</v>
      </c>
      <c r="D23" s="24" t="s">
        <v>114</v>
      </c>
      <c r="E23" s="62">
        <v>41688</v>
      </c>
      <c r="F23" s="68" t="s">
        <v>95</v>
      </c>
      <c r="G23" s="12" t="s">
        <v>48</v>
      </c>
      <c r="H23" s="12" t="s">
        <v>92</v>
      </c>
      <c r="I23" s="12" t="s">
        <v>49</v>
      </c>
      <c r="J23" s="64">
        <v>801.22</v>
      </c>
      <c r="K23" s="24">
        <v>41664</v>
      </c>
      <c r="L23" s="12" t="s">
        <v>93</v>
      </c>
      <c r="M23" s="12" t="s">
        <v>50</v>
      </c>
      <c r="N23" s="12" t="s">
        <v>35</v>
      </c>
      <c r="O23" s="12" t="s">
        <v>51</v>
      </c>
      <c r="P23" s="15">
        <v>628846</v>
      </c>
      <c r="Q23" s="27">
        <f t="shared" si="6"/>
        <v>66161516.505999997</v>
      </c>
      <c r="R23" s="28" t="s">
        <v>27</v>
      </c>
      <c r="S23" s="34">
        <v>105.211</v>
      </c>
      <c r="T23" s="29">
        <f t="shared" si="1"/>
        <v>41753</v>
      </c>
      <c r="U23" s="14" t="s">
        <v>52</v>
      </c>
      <c r="V23" s="30">
        <f t="shared" si="2"/>
        <v>79393.819807199994</v>
      </c>
      <c r="W23" s="23">
        <v>155.75</v>
      </c>
      <c r="X23" s="27">
        <f t="shared" si="3"/>
        <v>12365587.4349714</v>
      </c>
      <c r="Y23" s="33">
        <v>12365587.470000001</v>
      </c>
      <c r="Z23" s="29">
        <v>41677</v>
      </c>
      <c r="AA23" s="35">
        <v>3850</v>
      </c>
    </row>
    <row r="24" spans="2:27" ht="21.75" customHeight="1">
      <c r="B24" s="22">
        <f>B23+1</f>
        <v>20</v>
      </c>
      <c r="C24" s="12" t="s">
        <v>116</v>
      </c>
      <c r="D24" s="24" t="s">
        <v>117</v>
      </c>
      <c r="E24" s="24">
        <v>41698</v>
      </c>
      <c r="F24" s="65" t="s">
        <v>118</v>
      </c>
      <c r="G24" s="12" t="s">
        <v>127</v>
      </c>
      <c r="H24" s="12" t="s">
        <v>119</v>
      </c>
      <c r="I24" s="12" t="s">
        <v>44</v>
      </c>
      <c r="J24" s="64">
        <v>801.22</v>
      </c>
      <c r="K24" s="66">
        <v>41447</v>
      </c>
      <c r="L24" s="12" t="s">
        <v>120</v>
      </c>
      <c r="M24" s="67" t="s">
        <v>33</v>
      </c>
      <c r="N24" s="12" t="s">
        <v>121</v>
      </c>
      <c r="O24" s="12" t="s">
        <v>122</v>
      </c>
      <c r="P24" s="15">
        <v>59642</v>
      </c>
      <c r="Q24" s="27">
        <f t="shared" si="6"/>
        <v>6175451.9639999997</v>
      </c>
      <c r="R24" s="28" t="s">
        <v>27</v>
      </c>
      <c r="S24" s="34">
        <v>103.542</v>
      </c>
      <c r="T24" s="29">
        <f t="shared" ref="T24" si="7">SUM(K24)+89</f>
        <v>41536</v>
      </c>
      <c r="U24" s="23" t="s">
        <v>123</v>
      </c>
      <c r="V24" s="30">
        <f t="shared" ref="V24:V30" si="8">SUM(Q24*0.12%)</f>
        <v>7410.5423567999987</v>
      </c>
      <c r="W24" s="23">
        <v>155.75</v>
      </c>
      <c r="X24" s="27">
        <f t="shared" si="3"/>
        <v>1154191.9720715999</v>
      </c>
      <c r="Y24" s="33">
        <v>1154191.97</v>
      </c>
      <c r="Z24" s="23"/>
      <c r="AA24" s="23"/>
    </row>
    <row r="25" spans="2:27" ht="16.5">
      <c r="B25" s="22">
        <f>B24+1</f>
        <v>21</v>
      </c>
      <c r="C25" s="12" t="s">
        <v>124</v>
      </c>
      <c r="D25" s="24" t="s">
        <v>125</v>
      </c>
      <c r="E25" s="24">
        <v>41698</v>
      </c>
      <c r="F25" s="65" t="s">
        <v>126</v>
      </c>
      <c r="G25" s="12" t="s">
        <v>127</v>
      </c>
      <c r="H25" s="12" t="s">
        <v>119</v>
      </c>
      <c r="I25" s="12" t="s">
        <v>30</v>
      </c>
      <c r="J25" s="64">
        <v>801.22</v>
      </c>
      <c r="K25" s="24">
        <v>41679</v>
      </c>
      <c r="L25" s="12" t="s">
        <v>128</v>
      </c>
      <c r="M25" s="12" t="s">
        <v>31</v>
      </c>
      <c r="N25" s="12" t="s">
        <v>129</v>
      </c>
      <c r="O25" s="12" t="s">
        <v>130</v>
      </c>
      <c r="P25" s="15">
        <v>855919</v>
      </c>
      <c r="Q25" s="27">
        <f t="shared" ref="Q25:Q30" si="9">SUM(P25*S25)</f>
        <v>95472628.936000004</v>
      </c>
      <c r="R25" s="28" t="s">
        <v>27</v>
      </c>
      <c r="S25" s="7">
        <v>111.544</v>
      </c>
      <c r="T25" s="29">
        <f t="shared" ref="T25:T30" si="10">SUM(K25)+89</f>
        <v>41768</v>
      </c>
      <c r="U25" s="12" t="s">
        <v>127</v>
      </c>
      <c r="V25" s="30">
        <f t="shared" si="8"/>
        <v>114567.1547232</v>
      </c>
      <c r="W25" s="23">
        <v>155.75</v>
      </c>
      <c r="X25" s="27">
        <f t="shared" si="3"/>
        <v>17843834.348138399</v>
      </c>
      <c r="Y25" s="33">
        <f t="shared" ref="Y25:Y26" si="11">X25</f>
        <v>17843834.348138399</v>
      </c>
      <c r="Z25" s="23"/>
      <c r="AA25" s="23"/>
    </row>
    <row r="26" spans="2:27" ht="16.5">
      <c r="B26" s="22">
        <f t="shared" si="5"/>
        <v>22</v>
      </c>
      <c r="C26" s="12" t="s">
        <v>131</v>
      </c>
      <c r="D26" s="24" t="s">
        <v>132</v>
      </c>
      <c r="E26" s="24">
        <v>41698</v>
      </c>
      <c r="F26" s="65" t="s">
        <v>133</v>
      </c>
      <c r="G26" s="12" t="s">
        <v>127</v>
      </c>
      <c r="H26" s="12" t="s">
        <v>119</v>
      </c>
      <c r="I26" s="12" t="s">
        <v>134</v>
      </c>
      <c r="J26" s="64">
        <v>801.22</v>
      </c>
      <c r="K26" s="24">
        <v>41680</v>
      </c>
      <c r="L26" s="12" t="s">
        <v>135</v>
      </c>
      <c r="M26" s="12" t="s">
        <v>136</v>
      </c>
      <c r="N26" s="12" t="s">
        <v>137</v>
      </c>
      <c r="O26" s="12" t="s">
        <v>138</v>
      </c>
      <c r="P26" s="15">
        <v>953126</v>
      </c>
      <c r="Q26" s="27">
        <f t="shared" si="9"/>
        <v>106299283.402</v>
      </c>
      <c r="R26" s="28" t="s">
        <v>27</v>
      </c>
      <c r="S26" s="7">
        <v>111.527</v>
      </c>
      <c r="T26" s="29">
        <f t="shared" si="10"/>
        <v>41769</v>
      </c>
      <c r="U26" s="12" t="s">
        <v>127</v>
      </c>
      <c r="V26" s="30">
        <f t="shared" si="8"/>
        <v>127559.14008239999</v>
      </c>
      <c r="W26" s="23">
        <v>155.75</v>
      </c>
      <c r="X26" s="27">
        <f t="shared" si="3"/>
        <v>19867336.067833796</v>
      </c>
      <c r="Y26" s="33">
        <f t="shared" si="11"/>
        <v>19867336.067833796</v>
      </c>
      <c r="Z26" s="23"/>
      <c r="AA26" s="23"/>
    </row>
    <row r="27" spans="2:27" ht="23.25" customHeight="1">
      <c r="B27" s="22">
        <f t="shared" si="5"/>
        <v>23</v>
      </c>
      <c r="C27" s="12" t="s">
        <v>139</v>
      </c>
      <c r="D27" s="24" t="s">
        <v>140</v>
      </c>
      <c r="E27" s="24">
        <v>41698</v>
      </c>
      <c r="F27" s="65" t="s">
        <v>141</v>
      </c>
      <c r="G27" s="12" t="s">
        <v>48</v>
      </c>
      <c r="H27" s="12" t="s">
        <v>92</v>
      </c>
      <c r="I27" s="12" t="s">
        <v>49</v>
      </c>
      <c r="J27" s="64">
        <v>801.22</v>
      </c>
      <c r="K27" s="24">
        <v>41681</v>
      </c>
      <c r="L27" s="12" t="s">
        <v>142</v>
      </c>
      <c r="M27" s="12" t="s">
        <v>50</v>
      </c>
      <c r="N27" s="12" t="s">
        <v>143</v>
      </c>
      <c r="O27" s="12" t="s">
        <v>144</v>
      </c>
      <c r="P27" s="15">
        <v>499379</v>
      </c>
      <c r="Q27" s="27">
        <f t="shared" si="9"/>
        <v>51896963.817000002</v>
      </c>
      <c r="R27" s="28" t="s">
        <v>27</v>
      </c>
      <c r="S27" s="34">
        <v>103.923</v>
      </c>
      <c r="T27" s="29">
        <f t="shared" si="10"/>
        <v>41770</v>
      </c>
      <c r="U27" s="12" t="s">
        <v>52</v>
      </c>
      <c r="V27" s="30">
        <f t="shared" si="8"/>
        <v>62276.356580399995</v>
      </c>
      <c r="W27" s="23">
        <v>155.75</v>
      </c>
      <c r="X27" s="27">
        <f t="shared" si="3"/>
        <v>9699542.537397299</v>
      </c>
      <c r="Y27" s="33">
        <v>9699543.0700000003</v>
      </c>
      <c r="Z27" s="29">
        <v>41697</v>
      </c>
      <c r="AA27" s="35">
        <v>4608</v>
      </c>
    </row>
    <row r="28" spans="2:27" ht="16.5">
      <c r="B28" s="22">
        <f t="shared" si="5"/>
        <v>24</v>
      </c>
      <c r="C28" s="12" t="s">
        <v>145</v>
      </c>
      <c r="D28" s="24" t="s">
        <v>146</v>
      </c>
      <c r="E28" s="24">
        <v>41698</v>
      </c>
      <c r="F28" s="65" t="s">
        <v>147</v>
      </c>
      <c r="G28" s="12" t="s">
        <v>127</v>
      </c>
      <c r="H28" s="12" t="s">
        <v>119</v>
      </c>
      <c r="I28" s="12" t="s">
        <v>148</v>
      </c>
      <c r="J28" s="64">
        <v>801.22</v>
      </c>
      <c r="K28" s="24">
        <v>41693</v>
      </c>
      <c r="L28" s="12" t="s">
        <v>149</v>
      </c>
      <c r="M28" s="12" t="s">
        <v>150</v>
      </c>
      <c r="N28" s="12" t="s">
        <v>151</v>
      </c>
      <c r="O28" s="12" t="s">
        <v>152</v>
      </c>
      <c r="P28" s="15">
        <v>548044</v>
      </c>
      <c r="Q28" s="27">
        <f t="shared" si="9"/>
        <v>59980675.579999998</v>
      </c>
      <c r="R28" s="28" t="s">
        <v>27</v>
      </c>
      <c r="S28" s="34">
        <v>109.44499999999999</v>
      </c>
      <c r="T28" s="29">
        <f t="shared" si="10"/>
        <v>41782</v>
      </c>
      <c r="U28" s="12" t="s">
        <v>127</v>
      </c>
      <c r="V28" s="30">
        <f t="shared" si="8"/>
        <v>71976.810695999986</v>
      </c>
      <c r="W28" s="23">
        <v>155.75</v>
      </c>
      <c r="X28" s="27">
        <f t="shared" si="3"/>
        <v>11210388.265901998</v>
      </c>
      <c r="Y28" s="33">
        <f t="shared" ref="Y28:Y30" si="12">X28</f>
        <v>11210388.265901998</v>
      </c>
      <c r="Z28" s="23"/>
      <c r="AA28" s="23"/>
    </row>
    <row r="29" spans="2:27" ht="16.5">
      <c r="B29" s="22">
        <f t="shared" si="5"/>
        <v>25</v>
      </c>
      <c r="C29" s="12" t="s">
        <v>153</v>
      </c>
      <c r="D29" s="24" t="s">
        <v>154</v>
      </c>
      <c r="E29" s="24">
        <v>41698</v>
      </c>
      <c r="F29" s="65" t="s">
        <v>155</v>
      </c>
      <c r="G29" s="12" t="s">
        <v>127</v>
      </c>
      <c r="H29" s="12" t="s">
        <v>119</v>
      </c>
      <c r="I29" s="12" t="s">
        <v>148</v>
      </c>
      <c r="J29" s="64">
        <v>801.22</v>
      </c>
      <c r="K29" s="24">
        <v>41693</v>
      </c>
      <c r="L29" s="12" t="s">
        <v>149</v>
      </c>
      <c r="M29" s="12" t="s">
        <v>150</v>
      </c>
      <c r="N29" s="12" t="s">
        <v>151</v>
      </c>
      <c r="O29" s="12" t="s">
        <v>152</v>
      </c>
      <c r="P29" s="15">
        <v>400000</v>
      </c>
      <c r="Q29" s="27">
        <f t="shared" si="9"/>
        <v>43778000</v>
      </c>
      <c r="R29" s="28" t="s">
        <v>27</v>
      </c>
      <c r="S29" s="34">
        <v>109.44499999999999</v>
      </c>
      <c r="T29" s="29">
        <f t="shared" si="10"/>
        <v>41782</v>
      </c>
      <c r="U29" s="12" t="s">
        <v>127</v>
      </c>
      <c r="V29" s="30">
        <f t="shared" si="8"/>
        <v>52533.599999999999</v>
      </c>
      <c r="W29" s="23">
        <v>155.75</v>
      </c>
      <c r="X29" s="27">
        <f t="shared" si="3"/>
        <v>8182108.2000000002</v>
      </c>
      <c r="Y29" s="33">
        <f t="shared" si="12"/>
        <v>8182108.2000000002</v>
      </c>
      <c r="Z29" s="23"/>
      <c r="AA29" s="23"/>
    </row>
    <row r="30" spans="2:27" ht="17.25" thickBot="1">
      <c r="B30" s="22">
        <f t="shared" si="5"/>
        <v>26</v>
      </c>
      <c r="C30" s="12" t="s">
        <v>156</v>
      </c>
      <c r="D30" s="24" t="s">
        <v>157</v>
      </c>
      <c r="E30" s="24">
        <v>41698</v>
      </c>
      <c r="F30" s="65" t="s">
        <v>158</v>
      </c>
      <c r="G30" s="12" t="s">
        <v>127</v>
      </c>
      <c r="H30" s="12" t="s">
        <v>119</v>
      </c>
      <c r="I30" s="12" t="s">
        <v>30</v>
      </c>
      <c r="J30" s="64">
        <v>801.22</v>
      </c>
      <c r="K30" s="24">
        <v>41698</v>
      </c>
      <c r="L30" s="12" t="s">
        <v>159</v>
      </c>
      <c r="M30" s="12" t="s">
        <v>31</v>
      </c>
      <c r="N30" s="12" t="s">
        <v>160</v>
      </c>
      <c r="O30" s="12" t="s">
        <v>161</v>
      </c>
      <c r="P30" s="36">
        <v>899814</v>
      </c>
      <c r="Q30" s="37">
        <f t="shared" si="9"/>
        <v>100105207.31400001</v>
      </c>
      <c r="R30" s="28" t="s">
        <v>27</v>
      </c>
      <c r="S30" s="34">
        <v>111.251</v>
      </c>
      <c r="T30" s="29">
        <f t="shared" si="10"/>
        <v>41787</v>
      </c>
      <c r="U30" s="12" t="s">
        <v>127</v>
      </c>
      <c r="V30" s="38">
        <f t="shared" si="8"/>
        <v>120126.2487768</v>
      </c>
      <c r="W30" s="23">
        <v>155.75</v>
      </c>
      <c r="X30" s="37">
        <f t="shared" si="3"/>
        <v>18709663.246986602</v>
      </c>
      <c r="Y30" s="33">
        <f t="shared" si="12"/>
        <v>18709663.246986602</v>
      </c>
      <c r="Z30" s="23"/>
      <c r="AA30" s="23"/>
    </row>
    <row r="31" spans="2:27" ht="15.75" thickBot="1">
      <c r="P31" s="44">
        <f>SUM(P5:P30)</f>
        <v>6947589</v>
      </c>
      <c r="Q31" s="45">
        <f>SUM(Q5:Q30)</f>
        <v>763429591.4483</v>
      </c>
      <c r="R31" s="58"/>
      <c r="S31" s="59"/>
      <c r="T31" s="60"/>
      <c r="U31" s="61"/>
      <c r="V31" s="45">
        <f>SUM(V5:V30)</f>
        <v>916115.50973795995</v>
      </c>
      <c r="W31" s="58"/>
      <c r="X31" s="45">
        <f>SUM(X5:X30)</f>
        <v>142672520.91842839</v>
      </c>
      <c r="Y31" s="45">
        <f>SUM(Y5:Y30)</f>
        <v>142462872.86886078</v>
      </c>
    </row>
    <row r="37" spans="4:15">
      <c r="D37" s="69"/>
    </row>
    <row r="38" spans="4:15">
      <c r="D38" s="69"/>
    </row>
    <row r="39" spans="4:15">
      <c r="D39" s="69"/>
    </row>
    <row r="40" spans="4:15">
      <c r="D40" s="69"/>
    </row>
    <row r="44" spans="4:15" ht="23.25">
      <c r="O44" s="70"/>
    </row>
  </sheetData>
  <pageMargins left="0" right="0" top="0" bottom="0" header="0.31496062992125984" footer="0"/>
  <pageSetup paperSize="8" orientation="landscape" r:id="rId1"/>
  <ignoredErrors>
    <ignoredError sqref="F6:F30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A43"/>
  <sheetViews>
    <sheetView topLeftCell="A31" workbookViewId="0">
      <selection activeCell="O43" sqref="O43"/>
    </sheetView>
  </sheetViews>
  <sheetFormatPr defaultRowHeight="15"/>
  <cols>
    <col min="1" max="1" width="3.5703125" customWidth="1"/>
    <col min="2" max="2" width="4.140625" customWidth="1"/>
    <col min="3" max="3" width="5" style="3" customWidth="1"/>
    <col min="4" max="4" width="8.85546875" style="3" customWidth="1"/>
    <col min="5" max="5" width="5.7109375" style="3" customWidth="1"/>
    <col min="6" max="6" width="11" style="3" customWidth="1"/>
    <col min="7" max="7" width="9.140625" style="3" customWidth="1"/>
    <col min="8" max="8" width="8.28515625" style="3" customWidth="1"/>
    <col min="9" max="9" width="9.140625" style="3" customWidth="1"/>
    <col min="10" max="10" width="6.42578125" customWidth="1"/>
    <col min="11" max="11" width="6.140625" style="1" customWidth="1"/>
    <col min="12" max="12" width="8.5703125" style="3" customWidth="1"/>
    <col min="13" max="13" width="5.85546875" style="3" customWidth="1"/>
    <col min="14" max="14" width="8.42578125" style="5" customWidth="1"/>
    <col min="15" max="15" width="9.42578125" style="6" customWidth="1"/>
    <col min="16" max="16" width="7.7109375" customWidth="1"/>
    <col min="17" max="17" width="11.28515625" customWidth="1"/>
    <col min="18" max="18" width="7.140625" customWidth="1"/>
    <col min="19" max="19" width="6.28515625" style="9" customWidth="1"/>
    <col min="20" max="20" width="7.140625" style="1" customWidth="1"/>
    <col min="21" max="21" width="10.28515625" style="3" customWidth="1"/>
    <col min="22" max="22" width="9.85546875" customWidth="1"/>
    <col min="23" max="23" width="5.85546875" customWidth="1"/>
    <col min="24" max="25" width="11.140625" customWidth="1"/>
    <col min="26" max="27" width="6" customWidth="1"/>
  </cols>
  <sheetData>
    <row r="2" spans="2:27" ht="15.75">
      <c r="L2" s="4" t="s">
        <v>0</v>
      </c>
    </row>
    <row r="3" spans="2:27" ht="23.25" customHeight="1" thickBot="1">
      <c r="L3" s="51" t="s">
        <v>204</v>
      </c>
      <c r="P3" s="2"/>
    </row>
    <row r="4" spans="2:27" s="3" customFormat="1" ht="50.25" customHeight="1" thickBot="1">
      <c r="B4" s="16" t="s">
        <v>1</v>
      </c>
      <c r="C4" s="17" t="s">
        <v>2</v>
      </c>
      <c r="D4" s="17" t="s">
        <v>3</v>
      </c>
      <c r="E4" s="17" t="s">
        <v>4</v>
      </c>
      <c r="F4" s="18" t="s">
        <v>5</v>
      </c>
      <c r="G4" s="19" t="s">
        <v>6</v>
      </c>
      <c r="H4" s="17" t="s">
        <v>7</v>
      </c>
      <c r="I4" s="17" t="s">
        <v>8</v>
      </c>
      <c r="J4" s="17" t="s">
        <v>9</v>
      </c>
      <c r="K4" s="17" t="s">
        <v>10</v>
      </c>
      <c r="L4" s="17" t="s">
        <v>11</v>
      </c>
      <c r="M4" s="17" t="s">
        <v>12</v>
      </c>
      <c r="N4" s="17" t="s">
        <v>13</v>
      </c>
      <c r="O4" s="17" t="s">
        <v>14</v>
      </c>
      <c r="P4" s="17" t="s">
        <v>15</v>
      </c>
      <c r="Q4" s="17" t="s">
        <v>16</v>
      </c>
      <c r="R4" s="17" t="s">
        <v>17</v>
      </c>
      <c r="S4" s="20" t="s">
        <v>18</v>
      </c>
      <c r="T4" s="17" t="s">
        <v>19</v>
      </c>
      <c r="U4" s="17" t="s">
        <v>20</v>
      </c>
      <c r="V4" s="17" t="s">
        <v>21</v>
      </c>
      <c r="W4" s="17" t="s">
        <v>22</v>
      </c>
      <c r="X4" s="17" t="s">
        <v>23</v>
      </c>
      <c r="Y4" s="17" t="s">
        <v>24</v>
      </c>
      <c r="Z4" s="17" t="s">
        <v>25</v>
      </c>
      <c r="AA4" s="21" t="s">
        <v>26</v>
      </c>
    </row>
    <row r="5" spans="2:27" s="2" customFormat="1" ht="21" customHeight="1">
      <c r="B5" s="22">
        <v>1</v>
      </c>
      <c r="C5" s="14" t="s">
        <v>171</v>
      </c>
      <c r="D5" s="24" t="s">
        <v>165</v>
      </c>
      <c r="E5" s="13"/>
      <c r="F5" s="25" t="s">
        <v>172</v>
      </c>
      <c r="G5" s="12" t="s">
        <v>52</v>
      </c>
      <c r="H5" s="12" t="s">
        <v>164</v>
      </c>
      <c r="I5" s="12" t="s">
        <v>44</v>
      </c>
      <c r="J5" s="26">
        <v>801.22</v>
      </c>
      <c r="K5" s="13">
        <v>41677</v>
      </c>
      <c r="L5" s="14" t="s">
        <v>173</v>
      </c>
      <c r="M5" s="14" t="s">
        <v>33</v>
      </c>
      <c r="N5" s="14" t="s">
        <v>143</v>
      </c>
      <c r="O5" s="14" t="s">
        <v>174</v>
      </c>
      <c r="P5" s="15">
        <v>255000</v>
      </c>
      <c r="Q5" s="27">
        <f t="shared" ref="Q5" si="0">SUM(P5*S5)</f>
        <v>28085190</v>
      </c>
      <c r="R5" s="28" t="s">
        <v>27</v>
      </c>
      <c r="S5" s="7">
        <v>110.13800000000001</v>
      </c>
      <c r="T5" s="29">
        <f t="shared" ref="T5:T18" si="1">SUM(K5)+89</f>
        <v>41766</v>
      </c>
      <c r="U5" s="12" t="s">
        <v>28</v>
      </c>
      <c r="V5" s="30">
        <f t="shared" ref="V5:V18" si="2">SUM(Q5*0.12%)</f>
        <v>33702.227999999996</v>
      </c>
      <c r="W5" s="23">
        <v>155.75</v>
      </c>
      <c r="X5" s="27">
        <f t="shared" ref="X5:X6" si="3">SUM(V5*W5)</f>
        <v>5249122.010999999</v>
      </c>
      <c r="Y5" s="31">
        <v>0</v>
      </c>
      <c r="Z5" s="23"/>
      <c r="AA5" s="23"/>
    </row>
    <row r="6" spans="2:27" ht="21" customHeight="1">
      <c r="B6" s="22">
        <f t="shared" ref="B6:B18" si="4">B5+1</f>
        <v>2</v>
      </c>
      <c r="C6" s="14" t="s">
        <v>175</v>
      </c>
      <c r="D6" s="24" t="s">
        <v>165</v>
      </c>
      <c r="E6" s="13"/>
      <c r="F6" s="25" t="s">
        <v>176</v>
      </c>
      <c r="G6" s="32" t="s">
        <v>29</v>
      </c>
      <c r="H6" s="12" t="s">
        <v>40</v>
      </c>
      <c r="I6" s="12" t="s">
        <v>44</v>
      </c>
      <c r="J6" s="26">
        <v>801.22</v>
      </c>
      <c r="K6" s="13">
        <v>41677</v>
      </c>
      <c r="L6" s="14" t="s">
        <v>173</v>
      </c>
      <c r="M6" s="14" t="s">
        <v>33</v>
      </c>
      <c r="N6" s="14" t="s">
        <v>143</v>
      </c>
      <c r="O6" s="14" t="s">
        <v>174</v>
      </c>
      <c r="P6" s="15">
        <v>24000</v>
      </c>
      <c r="Q6" s="27">
        <f t="shared" ref="Q6:Q18" si="5">SUM(P6*S6)</f>
        <v>2643312</v>
      </c>
      <c r="R6" s="28" t="s">
        <v>27</v>
      </c>
      <c r="S6" s="7">
        <v>110.13800000000001</v>
      </c>
      <c r="T6" s="29">
        <f t="shared" si="1"/>
        <v>41766</v>
      </c>
      <c r="U6" s="12" t="s">
        <v>29</v>
      </c>
      <c r="V6" s="30">
        <f t="shared" si="2"/>
        <v>3171.9743999999996</v>
      </c>
      <c r="W6" s="23">
        <v>155.75</v>
      </c>
      <c r="X6" s="27">
        <f t="shared" si="3"/>
        <v>494035.01279999991</v>
      </c>
      <c r="Y6" s="31">
        <v>0</v>
      </c>
      <c r="Z6" s="23"/>
      <c r="AA6" s="23"/>
    </row>
    <row r="7" spans="2:27" ht="21" customHeight="1">
      <c r="B7" s="22">
        <f t="shared" si="4"/>
        <v>3</v>
      </c>
      <c r="C7" s="14" t="s">
        <v>177</v>
      </c>
      <c r="D7" s="24" t="s">
        <v>165</v>
      </c>
      <c r="E7" s="13"/>
      <c r="F7" s="25" t="s">
        <v>178</v>
      </c>
      <c r="G7" s="32" t="s">
        <v>29</v>
      </c>
      <c r="H7" s="12" t="s">
        <v>40</v>
      </c>
      <c r="I7" s="12" t="s">
        <v>44</v>
      </c>
      <c r="J7" s="26">
        <v>801.22</v>
      </c>
      <c r="K7" s="13">
        <v>41677</v>
      </c>
      <c r="L7" s="14" t="s">
        <v>173</v>
      </c>
      <c r="M7" s="14" t="s">
        <v>33</v>
      </c>
      <c r="N7" s="14" t="s">
        <v>143</v>
      </c>
      <c r="O7" s="14" t="s">
        <v>174</v>
      </c>
      <c r="P7" s="15">
        <v>36000</v>
      </c>
      <c r="Q7" s="27">
        <f t="shared" si="5"/>
        <v>3964968</v>
      </c>
      <c r="R7" s="28" t="s">
        <v>27</v>
      </c>
      <c r="S7" s="7">
        <v>110.13800000000001</v>
      </c>
      <c r="T7" s="29">
        <f t="shared" si="1"/>
        <v>41766</v>
      </c>
      <c r="U7" s="12" t="s">
        <v>29</v>
      </c>
      <c r="V7" s="30">
        <f t="shared" si="2"/>
        <v>4757.9615999999996</v>
      </c>
      <c r="W7" s="23">
        <v>155.75</v>
      </c>
      <c r="X7" s="27">
        <f t="shared" ref="X7:X18" si="6">SUM(V7*W7)</f>
        <v>741052.51919999998</v>
      </c>
      <c r="Y7" s="31">
        <v>0</v>
      </c>
      <c r="Z7" s="23"/>
      <c r="AA7" s="23"/>
    </row>
    <row r="8" spans="2:27" ht="21" customHeight="1">
      <c r="B8" s="22">
        <f t="shared" si="4"/>
        <v>4</v>
      </c>
      <c r="C8" s="14" t="s">
        <v>179</v>
      </c>
      <c r="D8" s="24" t="s">
        <v>165</v>
      </c>
      <c r="E8" s="13"/>
      <c r="F8" s="25" t="s">
        <v>180</v>
      </c>
      <c r="G8" s="12" t="s">
        <v>58</v>
      </c>
      <c r="H8" s="12" t="s">
        <v>40</v>
      </c>
      <c r="I8" s="12" t="s">
        <v>44</v>
      </c>
      <c r="J8" s="26">
        <v>801.22</v>
      </c>
      <c r="K8" s="13">
        <v>41677</v>
      </c>
      <c r="L8" s="14" t="s">
        <v>173</v>
      </c>
      <c r="M8" s="14" t="s">
        <v>33</v>
      </c>
      <c r="N8" s="14" t="s">
        <v>143</v>
      </c>
      <c r="O8" s="14" t="s">
        <v>174</v>
      </c>
      <c r="P8" s="15">
        <v>30000</v>
      </c>
      <c r="Q8" s="27">
        <f t="shared" si="5"/>
        <v>3304140</v>
      </c>
      <c r="R8" s="28" t="s">
        <v>27</v>
      </c>
      <c r="S8" s="7">
        <v>110.13800000000001</v>
      </c>
      <c r="T8" s="29">
        <f t="shared" si="1"/>
        <v>41766</v>
      </c>
      <c r="U8" s="12" t="s">
        <v>29</v>
      </c>
      <c r="V8" s="30">
        <f t="shared" si="2"/>
        <v>3964.9679999999998</v>
      </c>
      <c r="W8" s="23">
        <v>155.75</v>
      </c>
      <c r="X8" s="27">
        <f t="shared" si="6"/>
        <v>617543.76599999995</v>
      </c>
      <c r="Y8" s="31">
        <v>0</v>
      </c>
      <c r="Z8" s="23"/>
      <c r="AA8" s="23"/>
    </row>
    <row r="9" spans="2:27" ht="21" customHeight="1">
      <c r="B9" s="22">
        <f t="shared" si="4"/>
        <v>5</v>
      </c>
      <c r="C9" s="14" t="s">
        <v>181</v>
      </c>
      <c r="D9" s="24" t="s">
        <v>165</v>
      </c>
      <c r="E9" s="13"/>
      <c r="F9" s="25" t="s">
        <v>182</v>
      </c>
      <c r="G9" s="12" t="s">
        <v>169</v>
      </c>
      <c r="H9" s="12" t="s">
        <v>167</v>
      </c>
      <c r="I9" s="12" t="s">
        <v>44</v>
      </c>
      <c r="J9" s="26">
        <v>801.22</v>
      </c>
      <c r="K9" s="13">
        <v>41677</v>
      </c>
      <c r="L9" s="14" t="s">
        <v>173</v>
      </c>
      <c r="M9" s="14" t="s">
        <v>33</v>
      </c>
      <c r="N9" s="14" t="s">
        <v>143</v>
      </c>
      <c r="O9" s="14" t="s">
        <v>174</v>
      </c>
      <c r="P9" s="15">
        <v>110000</v>
      </c>
      <c r="Q9" s="27">
        <f t="shared" si="5"/>
        <v>12115180</v>
      </c>
      <c r="R9" s="28" t="s">
        <v>27</v>
      </c>
      <c r="S9" s="7">
        <v>110.13800000000001</v>
      </c>
      <c r="T9" s="29">
        <f t="shared" si="1"/>
        <v>41766</v>
      </c>
      <c r="U9" s="12" t="s">
        <v>169</v>
      </c>
      <c r="V9" s="30">
        <f t="shared" si="2"/>
        <v>14538.215999999999</v>
      </c>
      <c r="W9" s="23">
        <v>155.75</v>
      </c>
      <c r="X9" s="27">
        <f t="shared" si="6"/>
        <v>2264327.142</v>
      </c>
      <c r="Y9" s="31">
        <v>0</v>
      </c>
      <c r="Z9" s="23"/>
      <c r="AA9" s="23"/>
    </row>
    <row r="10" spans="2:27" ht="21" customHeight="1">
      <c r="B10" s="22">
        <f t="shared" si="4"/>
        <v>6</v>
      </c>
      <c r="C10" s="14" t="s">
        <v>183</v>
      </c>
      <c r="D10" s="24" t="s">
        <v>165</v>
      </c>
      <c r="E10" s="13"/>
      <c r="F10" s="10">
        <v>201400010025</v>
      </c>
      <c r="G10" s="12" t="s">
        <v>43</v>
      </c>
      <c r="H10" s="12" t="s">
        <v>32</v>
      </c>
      <c r="I10" s="12" t="s">
        <v>44</v>
      </c>
      <c r="J10" s="26">
        <v>801.22</v>
      </c>
      <c r="K10" s="13">
        <v>41677</v>
      </c>
      <c r="L10" s="14" t="s">
        <v>173</v>
      </c>
      <c r="M10" s="14" t="s">
        <v>33</v>
      </c>
      <c r="N10" s="14" t="s">
        <v>143</v>
      </c>
      <c r="O10" s="14" t="s">
        <v>174</v>
      </c>
      <c r="P10" s="15">
        <v>90000</v>
      </c>
      <c r="Q10" s="27">
        <f t="shared" si="5"/>
        <v>9912420</v>
      </c>
      <c r="R10" s="28" t="s">
        <v>27</v>
      </c>
      <c r="S10" s="7">
        <v>110.13800000000001</v>
      </c>
      <c r="T10" s="29">
        <f t="shared" si="1"/>
        <v>41766</v>
      </c>
      <c r="U10" s="12" t="s">
        <v>28</v>
      </c>
      <c r="V10" s="30">
        <f t="shared" si="2"/>
        <v>11894.903999999999</v>
      </c>
      <c r="W10" s="23">
        <v>155.75</v>
      </c>
      <c r="X10" s="27">
        <f t="shared" si="6"/>
        <v>1852631.2979999997</v>
      </c>
      <c r="Y10" s="31">
        <v>0</v>
      </c>
      <c r="Z10" s="23"/>
      <c r="AA10" s="23"/>
    </row>
    <row r="11" spans="2:27" ht="21" customHeight="1">
      <c r="B11" s="22">
        <f t="shared" si="4"/>
        <v>7</v>
      </c>
      <c r="C11" s="14" t="s">
        <v>184</v>
      </c>
      <c r="D11" s="24" t="s">
        <v>165</v>
      </c>
      <c r="E11" s="13"/>
      <c r="F11" s="11">
        <v>201400010026</v>
      </c>
      <c r="G11" s="12" t="s">
        <v>43</v>
      </c>
      <c r="H11" s="12" t="s">
        <v>34</v>
      </c>
      <c r="I11" s="12" t="s">
        <v>44</v>
      </c>
      <c r="J11" s="26">
        <v>801.22</v>
      </c>
      <c r="K11" s="13">
        <v>41677</v>
      </c>
      <c r="L11" s="14" t="s">
        <v>173</v>
      </c>
      <c r="M11" s="14" t="s">
        <v>33</v>
      </c>
      <c r="N11" s="14" t="s">
        <v>143</v>
      </c>
      <c r="O11" s="14" t="s">
        <v>174</v>
      </c>
      <c r="P11" s="15">
        <v>104779</v>
      </c>
      <c r="Q11" s="27">
        <f t="shared" si="5"/>
        <v>11540149.502</v>
      </c>
      <c r="R11" s="28" t="s">
        <v>27</v>
      </c>
      <c r="S11" s="7">
        <v>110.13800000000001</v>
      </c>
      <c r="T11" s="29">
        <f t="shared" si="1"/>
        <v>41766</v>
      </c>
      <c r="U11" s="12" t="s">
        <v>28</v>
      </c>
      <c r="V11" s="30">
        <f t="shared" si="2"/>
        <v>13848.179402399999</v>
      </c>
      <c r="W11" s="23">
        <v>155.75</v>
      </c>
      <c r="X11" s="27">
        <f t="shared" si="6"/>
        <v>2156853.9419237999</v>
      </c>
      <c r="Y11" s="31">
        <v>0</v>
      </c>
      <c r="Z11" s="23"/>
      <c r="AA11" s="23"/>
    </row>
    <row r="12" spans="2:27" ht="21" customHeight="1">
      <c r="B12" s="22">
        <f t="shared" si="4"/>
        <v>8</v>
      </c>
      <c r="C12" s="14" t="s">
        <v>185</v>
      </c>
      <c r="D12" s="24" t="s">
        <v>165</v>
      </c>
      <c r="E12" s="13"/>
      <c r="F12" s="25" t="s">
        <v>186</v>
      </c>
      <c r="G12" s="12" t="s">
        <v>127</v>
      </c>
      <c r="H12" s="12" t="s">
        <v>119</v>
      </c>
      <c r="I12" s="12" t="s">
        <v>44</v>
      </c>
      <c r="J12" s="26">
        <v>801.22</v>
      </c>
      <c r="K12" s="13">
        <v>41690</v>
      </c>
      <c r="L12" s="14" t="s">
        <v>187</v>
      </c>
      <c r="M12" s="14" t="s">
        <v>33</v>
      </c>
      <c r="N12" s="14" t="s">
        <v>121</v>
      </c>
      <c r="O12" s="14" t="s">
        <v>122</v>
      </c>
      <c r="P12" s="15">
        <v>499863</v>
      </c>
      <c r="Q12" s="27">
        <f t="shared" si="5"/>
        <v>55397316.975000001</v>
      </c>
      <c r="R12" s="28" t="s">
        <v>27</v>
      </c>
      <c r="S12" s="34">
        <v>110.825</v>
      </c>
      <c r="T12" s="29">
        <f t="shared" si="1"/>
        <v>41779</v>
      </c>
      <c r="U12" s="12" t="s">
        <v>127</v>
      </c>
      <c r="V12" s="30">
        <f t="shared" si="2"/>
        <v>66476.780369999993</v>
      </c>
      <c r="W12" s="23">
        <v>155.75</v>
      </c>
      <c r="X12" s="27">
        <f t="shared" si="6"/>
        <v>10353758.542627499</v>
      </c>
      <c r="Y12" s="31">
        <v>0</v>
      </c>
      <c r="Z12" s="23"/>
      <c r="AA12" s="23"/>
    </row>
    <row r="13" spans="2:27" ht="21" customHeight="1">
      <c r="B13" s="22">
        <f t="shared" si="4"/>
        <v>9</v>
      </c>
      <c r="C13" s="14" t="s">
        <v>188</v>
      </c>
      <c r="D13" s="24" t="s">
        <v>165</v>
      </c>
      <c r="E13" s="13"/>
      <c r="F13" s="25" t="s">
        <v>189</v>
      </c>
      <c r="G13" s="12" t="s">
        <v>127</v>
      </c>
      <c r="H13" s="12" t="s">
        <v>119</v>
      </c>
      <c r="I13" s="12" t="s">
        <v>44</v>
      </c>
      <c r="J13" s="26">
        <v>801.22</v>
      </c>
      <c r="K13" s="13">
        <v>41693</v>
      </c>
      <c r="L13" s="14" t="s">
        <v>168</v>
      </c>
      <c r="M13" s="14" t="s">
        <v>33</v>
      </c>
      <c r="N13" s="14" t="s">
        <v>121</v>
      </c>
      <c r="O13" s="14" t="s">
        <v>122</v>
      </c>
      <c r="P13" s="15">
        <v>421023</v>
      </c>
      <c r="Q13" s="27">
        <f t="shared" si="5"/>
        <v>46563038.685000002</v>
      </c>
      <c r="R13" s="28" t="s">
        <v>27</v>
      </c>
      <c r="S13" s="7">
        <v>110.595</v>
      </c>
      <c r="T13" s="29">
        <f t="shared" si="1"/>
        <v>41782</v>
      </c>
      <c r="U13" s="12" t="s">
        <v>127</v>
      </c>
      <c r="V13" s="30">
        <f t="shared" si="2"/>
        <v>55875.646421999998</v>
      </c>
      <c r="W13" s="23">
        <v>155.75</v>
      </c>
      <c r="X13" s="27">
        <f t="shared" si="6"/>
        <v>8702631.9302264992</v>
      </c>
      <c r="Y13" s="31">
        <v>0</v>
      </c>
      <c r="Z13" s="23"/>
      <c r="AA13" s="23"/>
    </row>
    <row r="14" spans="2:27" ht="21" customHeight="1">
      <c r="B14" s="22">
        <f t="shared" si="4"/>
        <v>10</v>
      </c>
      <c r="C14" s="14" t="s">
        <v>190</v>
      </c>
      <c r="D14" s="24" t="s">
        <v>165</v>
      </c>
      <c r="E14" s="13"/>
      <c r="F14" s="25" t="s">
        <v>191</v>
      </c>
      <c r="G14" s="12" t="s">
        <v>127</v>
      </c>
      <c r="H14" s="12" t="s">
        <v>119</v>
      </c>
      <c r="I14" s="12" t="s">
        <v>44</v>
      </c>
      <c r="J14" s="26">
        <v>801.22</v>
      </c>
      <c r="K14" s="13">
        <v>41695</v>
      </c>
      <c r="L14" s="14" t="s">
        <v>192</v>
      </c>
      <c r="M14" s="14" t="s">
        <v>33</v>
      </c>
      <c r="N14" s="14" t="s">
        <v>160</v>
      </c>
      <c r="O14" s="14" t="s">
        <v>193</v>
      </c>
      <c r="P14" s="15">
        <v>63000</v>
      </c>
      <c r="Q14" s="27">
        <f t="shared" si="5"/>
        <v>6969564</v>
      </c>
      <c r="R14" s="28" t="s">
        <v>27</v>
      </c>
      <c r="S14" s="34">
        <v>110.628</v>
      </c>
      <c r="T14" s="29">
        <f t="shared" si="1"/>
        <v>41784</v>
      </c>
      <c r="U14" s="12" t="s">
        <v>127</v>
      </c>
      <c r="V14" s="30">
        <f t="shared" si="2"/>
        <v>8363.4767999999985</v>
      </c>
      <c r="W14" s="23">
        <v>155.75</v>
      </c>
      <c r="X14" s="27">
        <f t="shared" si="6"/>
        <v>1302611.5115999999</v>
      </c>
      <c r="Y14" s="31">
        <v>0</v>
      </c>
      <c r="Z14" s="23"/>
      <c r="AA14" s="23"/>
    </row>
    <row r="15" spans="2:27" ht="21" customHeight="1">
      <c r="B15" s="22">
        <f t="shared" si="4"/>
        <v>11</v>
      </c>
      <c r="C15" s="14" t="s">
        <v>194</v>
      </c>
      <c r="D15" s="24" t="s">
        <v>165</v>
      </c>
      <c r="E15" s="13"/>
      <c r="F15" s="25" t="s">
        <v>195</v>
      </c>
      <c r="G15" s="12" t="s">
        <v>127</v>
      </c>
      <c r="H15" s="12" t="s">
        <v>119</v>
      </c>
      <c r="I15" s="12" t="s">
        <v>44</v>
      </c>
      <c r="J15" s="26">
        <v>801.22</v>
      </c>
      <c r="K15" s="13">
        <v>41695</v>
      </c>
      <c r="L15" s="14" t="s">
        <v>192</v>
      </c>
      <c r="M15" s="14" t="s">
        <v>33</v>
      </c>
      <c r="N15" s="14" t="s">
        <v>160</v>
      </c>
      <c r="O15" s="14" t="s">
        <v>193</v>
      </c>
      <c r="P15" s="15">
        <v>42000</v>
      </c>
      <c r="Q15" s="27">
        <f t="shared" si="5"/>
        <v>4646376</v>
      </c>
      <c r="R15" s="28" t="s">
        <v>27</v>
      </c>
      <c r="S15" s="34">
        <v>110.628</v>
      </c>
      <c r="T15" s="29">
        <f t="shared" si="1"/>
        <v>41784</v>
      </c>
      <c r="U15" s="12" t="s">
        <v>127</v>
      </c>
      <c r="V15" s="30">
        <f t="shared" si="2"/>
        <v>5575.6511999999993</v>
      </c>
      <c r="W15" s="23">
        <v>155.75</v>
      </c>
      <c r="X15" s="27">
        <f t="shared" si="6"/>
        <v>868407.6743999999</v>
      </c>
      <c r="Y15" s="31">
        <v>0</v>
      </c>
      <c r="Z15" s="23"/>
      <c r="AA15" s="23"/>
    </row>
    <row r="16" spans="2:27" ht="21" customHeight="1">
      <c r="B16" s="22">
        <f t="shared" si="4"/>
        <v>12</v>
      </c>
      <c r="C16" s="14" t="s">
        <v>196</v>
      </c>
      <c r="D16" s="24" t="s">
        <v>165</v>
      </c>
      <c r="E16" s="13"/>
      <c r="F16" s="25" t="s">
        <v>197</v>
      </c>
      <c r="G16" s="12" t="s">
        <v>127</v>
      </c>
      <c r="H16" s="12" t="s">
        <v>119</v>
      </c>
      <c r="I16" s="12" t="s">
        <v>44</v>
      </c>
      <c r="J16" s="26">
        <v>801.22</v>
      </c>
      <c r="K16" s="13">
        <v>41695</v>
      </c>
      <c r="L16" s="14" t="s">
        <v>192</v>
      </c>
      <c r="M16" s="14" t="s">
        <v>33</v>
      </c>
      <c r="N16" s="14" t="s">
        <v>160</v>
      </c>
      <c r="O16" s="14" t="s">
        <v>193</v>
      </c>
      <c r="P16" s="15">
        <v>144472</v>
      </c>
      <c r="Q16" s="27">
        <f t="shared" si="5"/>
        <v>15982648.415999999</v>
      </c>
      <c r="R16" s="28" t="s">
        <v>27</v>
      </c>
      <c r="S16" s="34">
        <v>110.628</v>
      </c>
      <c r="T16" s="29">
        <f t="shared" si="1"/>
        <v>41784</v>
      </c>
      <c r="U16" s="12" t="s">
        <v>127</v>
      </c>
      <c r="V16" s="30">
        <f t="shared" si="2"/>
        <v>19179.178099199999</v>
      </c>
      <c r="W16" s="23">
        <v>155.75</v>
      </c>
      <c r="X16" s="27">
        <f t="shared" si="6"/>
        <v>2987156.9889503997</v>
      </c>
      <c r="Y16" s="31">
        <v>0</v>
      </c>
      <c r="Z16" s="23"/>
      <c r="AA16" s="23"/>
    </row>
    <row r="17" spans="2:27" ht="21" customHeight="1">
      <c r="B17" s="22">
        <f t="shared" si="4"/>
        <v>13</v>
      </c>
      <c r="C17" s="14" t="s">
        <v>198</v>
      </c>
      <c r="D17" s="24" t="s">
        <v>165</v>
      </c>
      <c r="E17" s="13"/>
      <c r="F17" s="25" t="s">
        <v>199</v>
      </c>
      <c r="G17" s="12" t="s">
        <v>52</v>
      </c>
      <c r="H17" s="12" t="s">
        <v>162</v>
      </c>
      <c r="I17" s="12" t="s">
        <v>134</v>
      </c>
      <c r="J17" s="26">
        <v>801.22</v>
      </c>
      <c r="K17" s="13">
        <v>41696</v>
      </c>
      <c r="L17" s="14" t="s">
        <v>200</v>
      </c>
      <c r="M17" s="14" t="s">
        <v>136</v>
      </c>
      <c r="N17" s="14" t="s">
        <v>137</v>
      </c>
      <c r="O17" s="14" t="s">
        <v>138</v>
      </c>
      <c r="P17" s="15">
        <v>945742</v>
      </c>
      <c r="Q17" s="27">
        <f t="shared" si="5"/>
        <v>104995331.098</v>
      </c>
      <c r="R17" s="28" t="s">
        <v>27</v>
      </c>
      <c r="S17" s="34">
        <v>111.01900000000001</v>
      </c>
      <c r="T17" s="29">
        <f t="shared" si="1"/>
        <v>41785</v>
      </c>
      <c r="U17" s="12" t="s">
        <v>28</v>
      </c>
      <c r="V17" s="30">
        <f t="shared" si="2"/>
        <v>125994.3973176</v>
      </c>
      <c r="W17" s="23">
        <v>155.75</v>
      </c>
      <c r="X17" s="27">
        <f t="shared" si="6"/>
        <v>19623627.3822162</v>
      </c>
      <c r="Y17" s="31">
        <v>0</v>
      </c>
      <c r="Z17" s="23"/>
      <c r="AA17" s="23"/>
    </row>
    <row r="18" spans="2:27" ht="21" customHeight="1" thickBot="1">
      <c r="B18" s="22">
        <f t="shared" si="4"/>
        <v>14</v>
      </c>
      <c r="C18" s="14" t="s">
        <v>201</v>
      </c>
      <c r="D18" s="24" t="s">
        <v>165</v>
      </c>
      <c r="E18" s="13"/>
      <c r="F18" s="25" t="s">
        <v>202</v>
      </c>
      <c r="G18" s="12" t="s">
        <v>48</v>
      </c>
      <c r="H18" s="12" t="s">
        <v>92</v>
      </c>
      <c r="I18" s="12" t="s">
        <v>49</v>
      </c>
      <c r="J18" s="26">
        <v>801.22</v>
      </c>
      <c r="K18" s="13">
        <v>41697</v>
      </c>
      <c r="L18" s="14" t="s">
        <v>163</v>
      </c>
      <c r="M18" s="14" t="s">
        <v>50</v>
      </c>
      <c r="N18" s="12" t="s">
        <v>166</v>
      </c>
      <c r="O18" s="14" t="s">
        <v>170</v>
      </c>
      <c r="P18" s="15">
        <v>698289</v>
      </c>
      <c r="Q18" s="27">
        <f t="shared" si="5"/>
        <v>72978183.390000001</v>
      </c>
      <c r="R18" s="28" t="s">
        <v>27</v>
      </c>
      <c r="S18" s="34">
        <v>104.51</v>
      </c>
      <c r="T18" s="29">
        <f t="shared" si="1"/>
        <v>41786</v>
      </c>
      <c r="U18" s="12" t="s">
        <v>52</v>
      </c>
      <c r="V18" s="30">
        <f t="shared" si="2"/>
        <v>87573.820067999986</v>
      </c>
      <c r="W18" s="23">
        <v>155.75</v>
      </c>
      <c r="X18" s="27">
        <f t="shared" si="6"/>
        <v>13639622.475590998</v>
      </c>
      <c r="Y18" s="31">
        <v>0</v>
      </c>
      <c r="Z18" s="23"/>
      <c r="AA18" s="23"/>
    </row>
    <row r="19" spans="2:27" ht="15.75" thickBot="1">
      <c r="B19" s="39"/>
      <c r="C19" s="40"/>
      <c r="D19" s="40"/>
      <c r="E19" s="40"/>
      <c r="F19" s="40"/>
      <c r="G19" s="40"/>
      <c r="H19" s="40"/>
      <c r="I19" s="40"/>
      <c r="J19" s="39"/>
      <c r="K19" s="41"/>
      <c r="L19" s="40"/>
      <c r="M19" s="40"/>
      <c r="N19" s="42"/>
      <c r="O19" s="43"/>
      <c r="P19" s="44">
        <f>SUM(P5:P18)</f>
        <v>3464168</v>
      </c>
      <c r="Q19" s="45">
        <f>SUM(Q5:Q18)</f>
        <v>379097818.06599998</v>
      </c>
      <c r="R19" s="46"/>
      <c r="S19" s="47"/>
      <c r="T19" s="48"/>
      <c r="U19" s="49"/>
      <c r="V19" s="45">
        <f>SUM(V5:V18)</f>
        <v>454917.38167919999</v>
      </c>
      <c r="W19" s="46"/>
      <c r="X19" s="45">
        <f>SUM(X5:X18)</f>
        <v>70853382.196535408</v>
      </c>
      <c r="Y19" s="50">
        <f>SUM(Y5:Y18)</f>
        <v>0</v>
      </c>
      <c r="Z19" s="39"/>
      <c r="AA19" s="39"/>
    </row>
    <row r="25" spans="2:27">
      <c r="D25" s="69"/>
    </row>
    <row r="26" spans="2:27">
      <c r="D26" s="69"/>
    </row>
    <row r="27" spans="2:27">
      <c r="D27" s="69"/>
    </row>
    <row r="28" spans="2:27">
      <c r="D28" s="69"/>
    </row>
    <row r="43" spans="15:15" ht="23.25">
      <c r="O43" s="70"/>
    </row>
  </sheetData>
  <pageMargins left="0" right="0" top="0" bottom="0" header="0.31496062992125984" footer="0"/>
  <pageSetup paperSize="8" orientation="landscape" r:id="rId1"/>
  <ignoredErrors>
    <ignoredError sqref="F5:F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(FEB'14)</vt:lpstr>
      <vt:lpstr>COMPLIANT (FEB'14)</vt:lpstr>
      <vt:lpstr>NON-COMPLIANT (FEB'14)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2014-03-06T09:12:05Z</cp:lastPrinted>
  <dcterms:created xsi:type="dcterms:W3CDTF">2013-10-09T11:18:50Z</dcterms:created>
  <dcterms:modified xsi:type="dcterms:W3CDTF">2014-03-06T09:12:27Z</dcterms:modified>
</cp:coreProperties>
</file>