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0" windowWidth="20100" windowHeight="7440"/>
  </bookViews>
  <sheets>
    <sheet name="CIR APRIL 2014" sheetId="4" r:id="rId1"/>
    <sheet name="CID APRIL 2014 " sheetId="7" r:id="rId2"/>
    <sheet name="NCI APRIL 2014" sheetId="6" r:id="rId3"/>
  </sheets>
  <definedNames>
    <definedName name="_xlnm._FilterDatabase" localSheetId="1" hidden="1">'CID APRIL 2014 '!$H$23:$I$36</definedName>
    <definedName name="_xlnm._FilterDatabase" localSheetId="0" hidden="1">'CIR APRIL 2014'!$C$29:$D$58</definedName>
    <definedName name="_xlnm._FilterDatabase" localSheetId="2" hidden="1">'NCI APRIL 2014'!$A$31:$AA$41</definedName>
    <definedName name="_xlnm.Print_Area" localSheetId="1">'CID APRIL 2014 '!$A$1:$AA$51</definedName>
    <definedName name="_xlnm.Print_Area" localSheetId="0">'CIR APRIL 2014'!$A$1:$AA$61</definedName>
    <definedName name="_xlnm.Print_Area" localSheetId="2">'NCI APRIL 2014'!$A$1:$AA$50</definedName>
    <definedName name="_xlnm.Print_Titles" localSheetId="1">'CID APRIL 2014 '!$A:$A,'CID APRIL 2014 '!$21:$21</definedName>
    <definedName name="_xlnm.Print_Titles" localSheetId="0">'CIR APRIL 2014'!$A:$A,'CIR APRIL 2014'!$29:$29</definedName>
    <definedName name="_xlnm.Print_Titles" localSheetId="2">'NCI APRIL 2014'!$A:$A,'NCI APRIL 2014'!#REF!</definedName>
  </definedNames>
  <calcPr calcId="145621"/>
</workbook>
</file>

<file path=xl/calcChain.xml><?xml version="1.0" encoding="utf-8"?>
<calcChain xmlns="http://schemas.openxmlformats.org/spreadsheetml/2006/main">
  <c r="X50" i="6" l="1"/>
  <c r="P38" i="7" l="1"/>
  <c r="Q38" i="7" s="1"/>
  <c r="T38" i="7"/>
  <c r="V38" i="7" l="1"/>
  <c r="X38" i="7" s="1"/>
  <c r="O51" i="7"/>
  <c r="Y51" i="7"/>
  <c r="P39" i="7"/>
  <c r="Q39" i="7" s="1"/>
  <c r="T39" i="7"/>
  <c r="T41" i="7"/>
  <c r="T42" i="7"/>
  <c r="T43" i="7"/>
  <c r="T44" i="7"/>
  <c r="T45" i="7"/>
  <c r="T46" i="7"/>
  <c r="T47" i="7"/>
  <c r="T48" i="7"/>
  <c r="T49" i="7"/>
  <c r="P41" i="7"/>
  <c r="Q41" i="7" s="1"/>
  <c r="P42" i="7"/>
  <c r="Q42" i="7" s="1"/>
  <c r="P43" i="7"/>
  <c r="Q43" i="7" s="1"/>
  <c r="P44" i="7"/>
  <c r="Q44" i="7" s="1"/>
  <c r="P45" i="7"/>
  <c r="Q45" i="7" s="1"/>
  <c r="P46" i="7"/>
  <c r="Q46" i="7" s="1"/>
  <c r="P47" i="7"/>
  <c r="Q47" i="7" s="1"/>
  <c r="P48" i="7"/>
  <c r="Q48" i="7" s="1"/>
  <c r="V48" i="7" l="1"/>
  <c r="X48" i="7" s="1"/>
  <c r="V46" i="7"/>
  <c r="X46" i="7" s="1"/>
  <c r="V44" i="7"/>
  <c r="X44" i="7" s="1"/>
  <c r="V42" i="7"/>
  <c r="X42" i="7" s="1"/>
  <c r="V47" i="7"/>
  <c r="X47" i="7" s="1"/>
  <c r="V45" i="7"/>
  <c r="X45" i="7" s="1"/>
  <c r="V43" i="7"/>
  <c r="X43" i="7" s="1"/>
  <c r="V41" i="7"/>
  <c r="X41" i="7" s="1"/>
  <c r="V39" i="7"/>
  <c r="X39" i="7" s="1"/>
  <c r="Y50" i="6" l="1"/>
  <c r="O50" i="6"/>
  <c r="T47" i="6"/>
  <c r="T48" i="6"/>
  <c r="P47" i="6"/>
  <c r="Q47" i="6" s="1"/>
  <c r="P48" i="6"/>
  <c r="Q48" i="6" s="1"/>
  <c r="V47" i="6"/>
  <c r="X47" i="6" s="1"/>
  <c r="V48" i="6"/>
  <c r="X48" i="6" s="1"/>
  <c r="O61" i="4"/>
  <c r="Y61" i="4"/>
  <c r="T58" i="4"/>
  <c r="P58" i="4"/>
  <c r="V58" i="4" s="1"/>
  <c r="X58" i="4" s="1"/>
  <c r="Q58" i="4" l="1"/>
  <c r="P27" i="7" l="1"/>
  <c r="V27" i="7" s="1"/>
  <c r="X27" i="7" s="1"/>
  <c r="P28" i="7"/>
  <c r="V28" i="7" s="1"/>
  <c r="X28" i="7" s="1"/>
  <c r="T42" i="6" l="1"/>
  <c r="T43" i="6"/>
  <c r="T44" i="6"/>
  <c r="T45" i="6"/>
  <c r="T46" i="6"/>
  <c r="P42" i="6"/>
  <c r="V42" i="6" s="1"/>
  <c r="X42" i="6" s="1"/>
  <c r="P43" i="6"/>
  <c r="V43" i="6" s="1"/>
  <c r="X43" i="6" s="1"/>
  <c r="P44" i="6"/>
  <c r="V44" i="6" s="1"/>
  <c r="X44" i="6" s="1"/>
  <c r="P45" i="6"/>
  <c r="V45" i="6" s="1"/>
  <c r="X45" i="6" s="1"/>
  <c r="P46" i="6"/>
  <c r="V46" i="6" s="1"/>
  <c r="X46" i="6" s="1"/>
  <c r="Q45" i="6" l="1"/>
  <c r="Q43" i="6"/>
  <c r="Q46" i="6"/>
  <c r="Q44" i="6"/>
  <c r="Q42" i="6"/>
  <c r="T37" i="7" l="1"/>
  <c r="P37" i="7"/>
  <c r="V37" i="7" s="1"/>
  <c r="X37" i="7" s="1"/>
  <c r="P49" i="7"/>
  <c r="V49" i="7" s="1"/>
  <c r="X49" i="7" s="1"/>
  <c r="Q49" i="7" l="1"/>
  <c r="Q37" i="7"/>
  <c r="T57" i="4"/>
  <c r="P57" i="4"/>
  <c r="V57" i="4" s="1"/>
  <c r="X57" i="4" s="1"/>
  <c r="Q57" i="4" l="1"/>
  <c r="T33" i="6" l="1"/>
  <c r="T34" i="6"/>
  <c r="T35" i="6"/>
  <c r="T36" i="6"/>
  <c r="T37" i="6"/>
  <c r="T38" i="6"/>
  <c r="T39" i="6"/>
  <c r="T40" i="6"/>
  <c r="T41" i="6"/>
  <c r="P33" i="6"/>
  <c r="Q33" i="6" s="1"/>
  <c r="P34" i="6"/>
  <c r="Q34" i="6" s="1"/>
  <c r="P35" i="6"/>
  <c r="Q35" i="6" s="1"/>
  <c r="P36" i="6"/>
  <c r="Q36" i="6" s="1"/>
  <c r="P37" i="6"/>
  <c r="Q37" i="6" s="1"/>
  <c r="P38" i="6"/>
  <c r="P39" i="6"/>
  <c r="Q39" i="6" s="1"/>
  <c r="P40" i="6"/>
  <c r="Q40" i="6" s="1"/>
  <c r="P41" i="6"/>
  <c r="Q41" i="6" s="1"/>
  <c r="Q38" i="6" l="1"/>
  <c r="V40" i="6"/>
  <c r="X40" i="6" s="1"/>
  <c r="V38" i="6"/>
  <c r="V36" i="6"/>
  <c r="X36" i="6" s="1"/>
  <c r="V34" i="6"/>
  <c r="X34" i="6" s="1"/>
  <c r="V41" i="6"/>
  <c r="X41" i="6" s="1"/>
  <c r="V39" i="6"/>
  <c r="X39" i="6" s="1"/>
  <c r="V37" i="6"/>
  <c r="X37" i="6" s="1"/>
  <c r="V35" i="6"/>
  <c r="X35" i="6" s="1"/>
  <c r="V33" i="6"/>
  <c r="X33" i="6" s="1"/>
  <c r="T52" i="4"/>
  <c r="T53" i="4"/>
  <c r="T54" i="4"/>
  <c r="T55" i="4"/>
  <c r="T56" i="4"/>
  <c r="P52" i="4"/>
  <c r="Q52" i="4" s="1"/>
  <c r="P53" i="4"/>
  <c r="V53" i="4" s="1"/>
  <c r="X53" i="4" s="1"/>
  <c r="P54" i="4"/>
  <c r="Q54" i="4" s="1"/>
  <c r="P55" i="4"/>
  <c r="V55" i="4" s="1"/>
  <c r="X55" i="4" s="1"/>
  <c r="P56" i="4"/>
  <c r="Q56" i="4" s="1"/>
  <c r="X38" i="6" l="1"/>
  <c r="V56" i="4"/>
  <c r="X56" i="4" s="1"/>
  <c r="V54" i="4"/>
  <c r="X54" i="4" s="1"/>
  <c r="V52" i="4"/>
  <c r="X52" i="4" s="1"/>
  <c r="Q55" i="4"/>
  <c r="Q53" i="4"/>
  <c r="P36" i="7" l="1"/>
  <c r="Q36" i="7" s="1"/>
  <c r="T36" i="7"/>
  <c r="T27" i="7"/>
  <c r="T28" i="7"/>
  <c r="T29" i="7"/>
  <c r="T30" i="7"/>
  <c r="T31" i="7"/>
  <c r="T32" i="7"/>
  <c r="T33" i="7"/>
  <c r="P29" i="7"/>
  <c r="V29" i="7" s="1"/>
  <c r="X29" i="7" s="1"/>
  <c r="P30" i="7"/>
  <c r="Q30" i="7" s="1"/>
  <c r="P31" i="7"/>
  <c r="V31" i="7" s="1"/>
  <c r="X31" i="7" s="1"/>
  <c r="P32" i="7"/>
  <c r="Q32" i="7" s="1"/>
  <c r="P33" i="7"/>
  <c r="V33" i="7" s="1"/>
  <c r="X33" i="7" s="1"/>
  <c r="Q28" i="7" l="1"/>
  <c r="V32" i="7"/>
  <c r="X32" i="7" s="1"/>
  <c r="V30" i="7"/>
  <c r="X30" i="7" s="1"/>
  <c r="V36" i="7"/>
  <c r="X36" i="7" s="1"/>
  <c r="Q33" i="7"/>
  <c r="Q31" i="7"/>
  <c r="Q29" i="7"/>
  <c r="Q27" i="7"/>
  <c r="T34" i="7"/>
  <c r="T25" i="7"/>
  <c r="T26" i="7"/>
  <c r="P25" i="7"/>
  <c r="P26" i="7"/>
  <c r="Q26" i="7" l="1"/>
  <c r="V26" i="7"/>
  <c r="X26" i="7" s="1"/>
  <c r="Q25" i="7"/>
  <c r="V25" i="7"/>
  <c r="X25" i="7" s="1"/>
  <c r="P32" i="6"/>
  <c r="Q32" i="6" s="1"/>
  <c r="T32" i="6"/>
  <c r="P32" i="4"/>
  <c r="Q32" i="4" s="1"/>
  <c r="T32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40" i="4"/>
  <c r="Q40" i="4" s="1"/>
  <c r="T40" i="4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P51" i="4"/>
  <c r="Q51" i="4" s="1"/>
  <c r="T51" i="4"/>
  <c r="V32" i="6" l="1"/>
  <c r="X32" i="6" s="1"/>
  <c r="V51" i="4"/>
  <c r="X51" i="4" s="1"/>
  <c r="V49" i="4"/>
  <c r="X49" i="4" s="1"/>
  <c r="V47" i="4"/>
  <c r="X47" i="4" s="1"/>
  <c r="V45" i="4"/>
  <c r="X45" i="4" s="1"/>
  <c r="V43" i="4"/>
  <c r="X43" i="4" s="1"/>
  <c r="V41" i="4"/>
  <c r="X41" i="4" s="1"/>
  <c r="V39" i="4"/>
  <c r="X39" i="4" s="1"/>
  <c r="V37" i="4"/>
  <c r="X37" i="4" s="1"/>
  <c r="V35" i="4"/>
  <c r="X35" i="4" s="1"/>
  <c r="V32" i="4"/>
  <c r="X32" i="4" s="1"/>
  <c r="V50" i="4"/>
  <c r="X50" i="4" s="1"/>
  <c r="V48" i="4"/>
  <c r="X48" i="4" s="1"/>
  <c r="V46" i="4"/>
  <c r="X46" i="4" s="1"/>
  <c r="V44" i="4"/>
  <c r="X44" i="4" s="1"/>
  <c r="V42" i="4"/>
  <c r="X42" i="4" s="1"/>
  <c r="V40" i="4"/>
  <c r="X40" i="4" s="1"/>
  <c r="V38" i="4"/>
  <c r="X38" i="4" s="1"/>
  <c r="V36" i="4"/>
  <c r="X36" i="4" s="1"/>
  <c r="V34" i="4"/>
  <c r="X34" i="4" s="1"/>
  <c r="T24" i="7" l="1"/>
  <c r="T31" i="6" l="1"/>
  <c r="P31" i="6"/>
  <c r="P50" i="6" s="1"/>
  <c r="V31" i="6" l="1"/>
  <c r="V50" i="6" s="1"/>
  <c r="Q31" i="6"/>
  <c r="Q50" i="6" s="1"/>
  <c r="X31" i="6" l="1"/>
  <c r="P24" i="7"/>
  <c r="V24" i="7" l="1"/>
  <c r="Q24" i="7"/>
  <c r="X24" i="7" l="1"/>
  <c r="P34" i="7"/>
  <c r="V34" i="7" l="1"/>
  <c r="X34" i="7" l="1"/>
  <c r="P35" i="7"/>
  <c r="P51" i="7" s="1"/>
  <c r="T35" i="7"/>
  <c r="V35" i="7" l="1"/>
  <c r="V51" i="7" s="1"/>
  <c r="Q35" i="7"/>
  <c r="X35" i="7" l="1"/>
  <c r="X51" i="7" s="1"/>
  <c r="Q34" i="7" l="1"/>
  <c r="T31" i="4" l="1"/>
  <c r="P31" i="4"/>
  <c r="T30" i="4"/>
  <c r="P30" i="4"/>
  <c r="P61" i="4" l="1"/>
  <c r="V30" i="4"/>
  <c r="Q30" i="4"/>
  <c r="V31" i="4"/>
  <c r="X31" i="4" s="1"/>
  <c r="Q31" i="4"/>
  <c r="Q61" i="4" l="1"/>
  <c r="V61" i="4"/>
  <c r="X30" i="4"/>
  <c r="X61" i="4" s="1"/>
</calcChain>
</file>

<file path=xl/sharedStrings.xml><?xml version="1.0" encoding="utf-8"?>
<sst xmlns="http://schemas.openxmlformats.org/spreadsheetml/2006/main" count="1174" uniqueCount="224">
  <si>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</si>
  <si>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</si>
  <si>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</si>
  <si>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</si>
  <si>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</si>
  <si>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</si>
  <si>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</si>
  <si>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</si>
  <si>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</si>
  <si>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</si>
  <si>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</si>
  <si>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</si>
  <si>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</si>
  <si>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</si>
  <si>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</si>
  <si>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</si>
  <si>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</si>
  <si>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</si>
  <si>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</si>
  <si>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</si>
  <si>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</si>
  <si>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</si>
  <si>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</si>
  <si>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</si>
  <si>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</si>
  <si>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</si>
  <si>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USA</t>
  </si>
  <si>
    <t>GSTL FOB VALUE  ($)</t>
  </si>
  <si>
    <t>TOTAL</t>
  </si>
  <si>
    <t>FOB VALUE  ($)</t>
  </si>
  <si>
    <t xml:space="preserve">EXCHANGE RATE </t>
  </si>
  <si>
    <t>QUA IBOE</t>
  </si>
  <si>
    <t>BONNY</t>
  </si>
  <si>
    <t>QUA IBOE LIGHT</t>
  </si>
  <si>
    <t>BONNY LIGHT</t>
  </si>
  <si>
    <t>MOBIL PRODUCING NIGERIA LIMITED</t>
  </si>
  <si>
    <t>INDONESIA</t>
  </si>
  <si>
    <t>FOB VALUE  (NGN)</t>
  </si>
  <si>
    <t>NIGERIAN NATIONAL PETROLEUM CORPORATION</t>
  </si>
  <si>
    <t>GSTL FOB VALUE  (NGN)</t>
  </si>
  <si>
    <t>NOT RECEIVED</t>
  </si>
  <si>
    <t>STANDARD CHARTERED BANK</t>
  </si>
  <si>
    <t>INDIA</t>
  </si>
  <si>
    <t>WALTERSMITH PETROMAN OIL LIMITED</t>
  </si>
  <si>
    <t>SHELL PETROLEUM DEVELOPMENT COMPANY</t>
  </si>
  <si>
    <t>PERTAMINA RU IV CILACAP</t>
  </si>
  <si>
    <t>CENTRAL BANK OF NIGERIA</t>
  </si>
  <si>
    <t>OMSP-INDIA</t>
  </si>
  <si>
    <t>NOT ISSUED</t>
  </si>
  <si>
    <t>NIGER DELTA PETROLEUM RESOURCES</t>
  </si>
  <si>
    <t>CHEVRON NIGERIA LTD</t>
  </si>
  <si>
    <t>CHINA</t>
  </si>
  <si>
    <t>OMSP-CHINA</t>
  </si>
  <si>
    <t>UNITED BANK FOR AFRICA</t>
  </si>
  <si>
    <t>TURKEY</t>
  </si>
  <si>
    <t>GERMANY</t>
  </si>
  <si>
    <t>WILHELMSHAVEN</t>
  </si>
  <si>
    <t>BLUE SKY</t>
  </si>
  <si>
    <t>HOUSTON</t>
  </si>
  <si>
    <t>PRINCIMAR CONFIDENCE</t>
  </si>
  <si>
    <t>LUCKY TRADER</t>
  </si>
  <si>
    <t>COSMIC JEWEL</t>
  </si>
  <si>
    <t>SONANGOL LUANDA</t>
  </si>
  <si>
    <t>CHARLES EDDIE</t>
  </si>
  <si>
    <t>GSTL/044/2014/MAR-4/B-15/2</t>
  </si>
  <si>
    <t>GSTL/047/2014/MAR-7/B-16/3A</t>
  </si>
  <si>
    <t>GSTL/049/2014/MAR-9/B-17/4C</t>
  </si>
  <si>
    <t>GSTL/056/2014/MAR-16/Q-34/10</t>
  </si>
  <si>
    <t>GSTL/057/2014/MAR-17/B-20/7B</t>
  </si>
  <si>
    <t>CAP LIMBOH</t>
  </si>
  <si>
    <t>KOCHI SPM</t>
  </si>
  <si>
    <t>PERTAMINA RUV BALIKPAPAN</t>
  </si>
  <si>
    <t>US ATLANTIC COAST</t>
  </si>
  <si>
    <t>PORT HARCOURT</t>
  </si>
  <si>
    <t>CAMEROUN</t>
  </si>
  <si>
    <t>NIGERIA</t>
  </si>
  <si>
    <t>PATROCLUS</t>
  </si>
  <si>
    <t>FIRST BANK OF NIGERIA</t>
  </si>
  <si>
    <t>COMPREHENSIVE INSPECTION REPORT FOR THE MONTH OF APRIL 2014</t>
  </si>
  <si>
    <t>COMPLIANT INSPECTION DURING THE MONTH OF APRIL 2014 FOR SWEDE CONTROL INTERTEK LIMITED</t>
  </si>
  <si>
    <t xml:space="preserve">NON-COMPLIANT INSPECTION REPORT FOR THE MONTH OF APRIL 2014 </t>
  </si>
  <si>
    <t>GSTL/060/2014/APR-1/B-21/1</t>
  </si>
  <si>
    <t>GSTL/061/2014/APR-2/Q-37/1</t>
  </si>
  <si>
    <t>GSTL/062/2014/APR-3/B-22/2</t>
  </si>
  <si>
    <t>GSTL/063/2014/APR-4/Q-38/2</t>
  </si>
  <si>
    <t>GSTL/064/2014/APR-5/Q-39/3</t>
  </si>
  <si>
    <t>GSTL/065/2014/APR-6/B-23/3A</t>
  </si>
  <si>
    <t>GSTL/065/2014/APR-6/B-23/3B</t>
  </si>
  <si>
    <t>GSTL/066/2014/APR-7/Q-40/4</t>
  </si>
  <si>
    <t>GSTL/067/2014/APR-8/B-24/4</t>
  </si>
  <si>
    <t>GSTL/068/2014/APR-9/Q-41/5</t>
  </si>
  <si>
    <t>GSTL/069/2014/APR-10/Q-42/6A</t>
  </si>
  <si>
    <t>GSTL/069/2014/APR-10/Q-42/6B</t>
  </si>
  <si>
    <t>GSTL/069/2014/APR-10/Q-42/6C</t>
  </si>
  <si>
    <t>GSTL/070/2014/APR-11/B-25/5</t>
  </si>
  <si>
    <t>GSTL/071/2014/APR-12/Q-43/7</t>
  </si>
  <si>
    <t>GSTL/072/2014/APR-13/Q-44/8</t>
  </si>
  <si>
    <t>GSTL/073/2014/APR-14/B-26/6A</t>
  </si>
  <si>
    <t>GSTL/073/2014/APR-14/B-26/6B</t>
  </si>
  <si>
    <t>GSTL/073/2014/APR-14/B-26/6C</t>
  </si>
  <si>
    <t>GSTL/073/2014/APR-14/B-26/6D</t>
  </si>
  <si>
    <t>GSTL/074/2014/APR-15/Q-45/9</t>
  </si>
  <si>
    <t>GSTL/075/2014/APR-16/P-3/1</t>
  </si>
  <si>
    <t>GSTL/076/2014/APR-17/B-27/7</t>
  </si>
  <si>
    <t>GSTL/077/2014/APR-18/Q-46/10</t>
  </si>
  <si>
    <t>GSTL/078/2014/APR-19/B-28/8</t>
  </si>
  <si>
    <t>GSTL/079/2014/APR-20/Q-47/11</t>
  </si>
  <si>
    <t>GSTL/080/2014/APR-21/Q-48/12</t>
  </si>
  <si>
    <t>GSTL/081/2014/APR-22/Q-49/13</t>
  </si>
  <si>
    <t>EAGLE VANCOUVER</t>
  </si>
  <si>
    <t>LEONID LOZA</t>
  </si>
  <si>
    <t>CAPE BOWEN</t>
  </si>
  <si>
    <t>SMITI</t>
  </si>
  <si>
    <t>ASTRA</t>
  </si>
  <si>
    <t>SABINE</t>
  </si>
  <si>
    <t>JAG LALIT</t>
  </si>
  <si>
    <t>EAGLE SAN ANTONIO</t>
  </si>
  <si>
    <t>CAP GEORGES</t>
  </si>
  <si>
    <t>IOANNA</t>
  </si>
  <si>
    <t>EAGLE SAN PEDRO</t>
  </si>
  <si>
    <t>MARE SICULUM</t>
  </si>
  <si>
    <t>ELIZA</t>
  </si>
  <si>
    <t>AL JABRIYAH II</t>
  </si>
  <si>
    <t>BOSTON</t>
  </si>
  <si>
    <t>PENNINGTON</t>
  </si>
  <si>
    <t>PENNINGTON LIGHT</t>
  </si>
  <si>
    <t>CONTINENTAL OIL AND GAS</t>
  </si>
  <si>
    <t>SIKKA PORTS</t>
  </si>
  <si>
    <t>IZMIT/TUTUNCIFTLIK REFINERY</t>
  </si>
  <si>
    <t>SALDANHA BAY</t>
  </si>
  <si>
    <t>COTONOU</t>
  </si>
  <si>
    <t>FOS</t>
  </si>
  <si>
    <t>DURBAN</t>
  </si>
  <si>
    <t>OMSP-BRAZIL</t>
  </si>
  <si>
    <t>PORT HARCOURT REFINERY</t>
  </si>
  <si>
    <t>KAOSHUING OR SHALUNG</t>
  </si>
  <si>
    <t>SOUTH AFRICA</t>
  </si>
  <si>
    <t>BENIN REPUBLIC</t>
  </si>
  <si>
    <t>FRANCE</t>
  </si>
  <si>
    <t>BRAZIL</t>
  </si>
  <si>
    <t>TAIWAN</t>
  </si>
  <si>
    <t>G004201412</t>
  </si>
  <si>
    <t>G004201413</t>
  </si>
  <si>
    <t>G004201414</t>
  </si>
  <si>
    <t>G004201415</t>
  </si>
  <si>
    <t>G004201416</t>
  </si>
  <si>
    <t>G004201417</t>
  </si>
  <si>
    <t>G004201418</t>
  </si>
  <si>
    <t>G004201419</t>
  </si>
  <si>
    <t>G004201420</t>
  </si>
  <si>
    <t>ST041703104C11/13</t>
  </si>
  <si>
    <t>ST041703104C48/258</t>
  </si>
  <si>
    <t>ST041703104C10/14</t>
  </si>
  <si>
    <t>ST041703104C57/6B</t>
  </si>
  <si>
    <t>ST041703104C57/6A</t>
  </si>
  <si>
    <t>ST041703104C57/6C</t>
  </si>
  <si>
    <t>023201400010168</t>
  </si>
  <si>
    <t>CITIBANK NIGERIA LIMITED</t>
  </si>
  <si>
    <t>ST041703104C48/260</t>
  </si>
  <si>
    <t>ST041703104C48/264</t>
  </si>
  <si>
    <t>ST041703104C7/71</t>
  </si>
  <si>
    <t>G004201411</t>
  </si>
  <si>
    <t>G004201410</t>
  </si>
  <si>
    <t>ST041703101C7/70A</t>
  </si>
  <si>
    <t>ST041703101C7/70B</t>
  </si>
  <si>
    <t>GLORY CROWN</t>
  </si>
  <si>
    <t>GSTL/0250/2013/NOV-18/B-61/6C</t>
  </si>
  <si>
    <t>0001279</t>
  </si>
  <si>
    <t>023201300010376</t>
  </si>
  <si>
    <t>G004201409</t>
  </si>
  <si>
    <t>NORDIC JUPITER</t>
  </si>
  <si>
    <t>SEAVOYAGER</t>
  </si>
  <si>
    <t>PRINCIMAR HOPE</t>
  </si>
  <si>
    <t>GSTL/002/2014/JAN-2/Q-1/1</t>
  </si>
  <si>
    <t>GSTL/008/2014/JAN-8/Q-4/4</t>
  </si>
  <si>
    <t>GSTL/010/2014/JAN-10/Q-5/5</t>
  </si>
  <si>
    <t>GSTL/014/2014/JAN-14/Q-8/8A</t>
  </si>
  <si>
    <t>GSTL/014/2014/JAN-14/Q-8/8B</t>
  </si>
  <si>
    <t>GSTL/016/2014/JAN-16/Q-9/9B</t>
  </si>
  <si>
    <t>IMMINGHAM</t>
  </si>
  <si>
    <t>LE HAVRE</t>
  </si>
  <si>
    <t>UNITED KINGDOM</t>
  </si>
  <si>
    <t>157.2570</t>
  </si>
  <si>
    <t>G004201421</t>
  </si>
  <si>
    <t>G004201422</t>
  </si>
  <si>
    <t>G004201423</t>
  </si>
  <si>
    <t>G004201424</t>
  </si>
  <si>
    <t>G004201425</t>
  </si>
  <si>
    <t>G004201426</t>
  </si>
  <si>
    <t>068201400010066</t>
  </si>
  <si>
    <t>068201400010067</t>
  </si>
  <si>
    <t>068201400010068</t>
  </si>
  <si>
    <t>068201400010070</t>
  </si>
  <si>
    <t>068201400010069</t>
  </si>
  <si>
    <t>068201400010071</t>
  </si>
  <si>
    <t>0009951</t>
  </si>
  <si>
    <t>0009952</t>
  </si>
  <si>
    <t>0009953</t>
  </si>
  <si>
    <t>0009955</t>
  </si>
  <si>
    <t>0009954</t>
  </si>
  <si>
    <t>0009956</t>
  </si>
  <si>
    <t>KOKKARI</t>
  </si>
  <si>
    <t>MARINA</t>
  </si>
  <si>
    <t>GSTL/035/2014/FEB-14/B-12/5A</t>
  </si>
  <si>
    <t>GSTL/039/2014/FEB-18/B-13/6</t>
  </si>
  <si>
    <t>G004201401</t>
  </si>
  <si>
    <t>G004201402</t>
  </si>
  <si>
    <t>G004201403</t>
  </si>
  <si>
    <t>011201402300007</t>
  </si>
  <si>
    <t>011201402300012</t>
  </si>
  <si>
    <t>011201402300014</t>
  </si>
  <si>
    <t>0083414</t>
  </si>
  <si>
    <t>GSTL/022/2014/FEB-1/B-8/1A/B/C</t>
  </si>
  <si>
    <t>G004201406</t>
  </si>
  <si>
    <t>G004201407</t>
  </si>
  <si>
    <t>G004201404</t>
  </si>
  <si>
    <t>G004201408</t>
  </si>
  <si>
    <t>G004201405</t>
  </si>
  <si>
    <t>ST042802101C38/72</t>
  </si>
  <si>
    <t>ST041101101C7/73</t>
  </si>
  <si>
    <t>011201402300016</t>
  </si>
  <si>
    <t>ST041303104C7/72</t>
  </si>
  <si>
    <t>011201402300023</t>
  </si>
  <si>
    <t>0083422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</si>
</sst>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#,##0.0000"/>
    <numFmt numFmtId="168" formatCode="#,##0.0"/>
    <numFmt numFmtId="169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4" fillId="0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7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6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5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14" fontId="9" fillId="0" borderId="2" xfId="0" applyNumberFormat="1" applyFont="1" applyFill="1" applyBorder="1" applyAlignment="1">
      <alignment horizontal="left"/>
    </xf>
    <xf numFmtId="0" fontId="9" fillId="0" borderId="2" xfId="0" applyNumberFormat="1" applyFont="1" applyFill="1" applyBorder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6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0" fontId="15" fillId="2" borderId="4" xfId="0" applyNumberFormat="1" applyFont="1" applyFill="1" applyBorder="1" applyAlignment="1">
      <alignment horizontal="left" vertical="top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6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wrapText="1"/>
    </xf>
    <xf numFmtId="14" fontId="14" fillId="2" borderId="1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6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8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7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7" fontId="14" fillId="2" borderId="0" xfId="0" applyNumberFormat="1" applyFont="1" applyFill="1" applyBorder="1" applyAlignment="1">
      <alignment horizontal="left"/>
    </xf>
    <xf numFmtId="0" fontId="14" fillId="2" borderId="1" xfId="1" applyNumberFormat="1" applyFont="1" applyFill="1" applyBorder="1" applyAlignment="1">
      <alignment horizontal="left" wrapText="1"/>
    </xf>
    <xf numFmtId="0" fontId="14" fillId="0" borderId="1" xfId="0" applyNumberFormat="1" applyFont="1" applyBorder="1" applyAlignment="1">
      <alignment horizontal="left"/>
    </xf>
    <xf numFmtId="3" fontId="14" fillId="2" borderId="1" xfId="1" applyNumberFormat="1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/>
    </xf>
    <xf numFmtId="166" fontId="14" fillId="2" borderId="1" xfId="0" applyNumberFormat="1" applyFont="1" applyFill="1" applyBorder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5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1" xfId="0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 wrapText="1"/>
    </xf>
    <xf numFmtId="14" fontId="14" fillId="0" borderId="1" xfId="0" applyNumberFormat="1" applyFont="1" applyBorder="1" applyAlignment="1">
      <alignment horizontal="left" wrapText="1"/>
    </xf>
    <xf numFmtId="4" fontId="14" fillId="0" borderId="1" xfId="0" applyNumberFormat="1" applyFont="1" applyFill="1" applyBorder="1" applyAlignment="1">
      <alignment horizontal="left"/>
    </xf>
    <xf numFmtId="3" fontId="14" fillId="2" borderId="1" xfId="0" applyNumberFormat="1" applyFont="1" applyFill="1" applyBorder="1" applyAlignment="1">
      <alignment horizontal="left" wrapText="1"/>
    </xf>
    <xf numFmtId="167" fontId="14" fillId="2" borderId="1" xfId="0" applyNumberFormat="1" applyFont="1" applyFill="1" applyBorder="1" applyAlignment="1">
      <alignment horizontal="left" wrapText="1"/>
    </xf>
    <xf numFmtId="49" fontId="14" fillId="0" borderId="1" xfId="0" applyNumberFormat="1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15" fillId="2" borderId="14" xfId="0" applyFont="1" applyFill="1" applyBorder="1" applyAlignment="1">
      <alignment horizontal="left"/>
    </xf>
    <xf numFmtId="0" fontId="14" fillId="0" borderId="14" xfId="0" applyFont="1" applyFill="1" applyBorder="1"/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7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6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4" fillId="2" borderId="8" xfId="0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4" fillId="0" borderId="15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left" vertical="top"/>
    </xf>
    <xf numFmtId="0" fontId="11" fillId="2" borderId="2" xfId="0" applyFont="1" applyFill="1" applyBorder="1" applyAlignment="1"/>
    <xf numFmtId="14" fontId="9" fillId="2" borderId="2" xfId="0" applyNumberFormat="1" applyFont="1" applyFill="1" applyBorder="1" applyAlignment="1"/>
    <xf numFmtId="0" fontId="9" fillId="2" borderId="2" xfId="0" applyFont="1" applyFill="1" applyBorder="1" applyAlignment="1"/>
    <xf numFmtId="0" fontId="9" fillId="2" borderId="2" xfId="0" applyNumberFormat="1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14" fontId="9" fillId="0" borderId="2" xfId="0" applyNumberFormat="1" applyFont="1" applyBorder="1" applyAlignment="1">
      <alignment wrapText="1"/>
    </xf>
    <xf numFmtId="0" fontId="9" fillId="0" borderId="2" xfId="0" applyNumberFormat="1" applyFont="1" applyFill="1" applyBorder="1" applyAlignment="1"/>
    <xf numFmtId="0" fontId="9" fillId="2" borderId="2" xfId="1" applyNumberFormat="1" applyFont="1" applyFill="1" applyBorder="1" applyAlignment="1">
      <alignment wrapText="1"/>
    </xf>
    <xf numFmtId="3" fontId="9" fillId="2" borderId="2" xfId="1" applyNumberFormat="1" applyFont="1" applyFill="1" applyBorder="1" applyAlignment="1"/>
    <xf numFmtId="4" fontId="9" fillId="2" borderId="2" xfId="0" applyNumberFormat="1" applyFont="1" applyFill="1" applyBorder="1" applyAlignment="1"/>
    <xf numFmtId="166" fontId="9" fillId="2" borderId="2" xfId="0" applyNumberFormat="1" applyFont="1" applyFill="1" applyBorder="1" applyAlignment="1"/>
    <xf numFmtId="14" fontId="11" fillId="2" borderId="2" xfId="1" applyNumberFormat="1" applyFont="1" applyFill="1" applyBorder="1" applyAlignment="1"/>
    <xf numFmtId="49" fontId="9" fillId="2" borderId="2" xfId="0" applyNumberFormat="1" applyFont="1" applyFill="1" applyBorder="1" applyAlignment="1"/>
    <xf numFmtId="0" fontId="9" fillId="2" borderId="2" xfId="0" quotePrefix="1" applyFont="1" applyFill="1" applyBorder="1" applyAlignment="1"/>
    <xf numFmtId="0" fontId="9" fillId="2" borderId="3" xfId="0" applyFont="1" applyFill="1" applyBorder="1" applyAlignment="1"/>
    <xf numFmtId="0" fontId="9" fillId="2" borderId="7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165" fontId="9" fillId="2" borderId="2" xfId="1" applyNumberFormat="1" applyFont="1" applyFill="1" applyBorder="1" applyAlignment="1">
      <alignment wrapText="1"/>
    </xf>
    <xf numFmtId="49" fontId="9" fillId="2" borderId="3" xfId="0" applyNumberFormat="1" applyFont="1" applyFill="1" applyBorder="1" applyAlignment="1"/>
    <xf numFmtId="0" fontId="9" fillId="2" borderId="1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top" wrapText="1"/>
    </xf>
    <xf numFmtId="0" fontId="14" fillId="2" borderId="13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/>
    </xf>
    <xf numFmtId="0" fontId="9" fillId="2" borderId="1" xfId="0" applyNumberFormat="1" applyFont="1" applyFill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 wrapText="1"/>
    </xf>
    <xf numFmtId="0" fontId="9" fillId="0" borderId="1" xfId="0" applyNumberFormat="1" applyFont="1" applyBorder="1" applyAlignment="1">
      <alignment horizontal="left"/>
    </xf>
    <xf numFmtId="0" fontId="9" fillId="2" borderId="1" xfId="1" applyNumberFormat="1" applyFont="1" applyFill="1" applyBorder="1" applyAlignment="1">
      <alignment horizontal="left" wrapText="1"/>
    </xf>
    <xf numFmtId="3" fontId="9" fillId="2" borderId="1" xfId="1" applyNumberFormat="1" applyFont="1" applyFill="1" applyBorder="1" applyAlignment="1">
      <alignment horizontal="left"/>
    </xf>
    <xf numFmtId="4" fontId="9" fillId="2" borderId="1" xfId="0" applyNumberFormat="1" applyFont="1" applyFill="1" applyBorder="1" applyAlignment="1">
      <alignment horizontal="left"/>
    </xf>
    <xf numFmtId="166" fontId="9" fillId="2" borderId="1" xfId="0" applyNumberFormat="1" applyFont="1" applyFill="1" applyBorder="1" applyAlignment="1">
      <alignment horizontal="left"/>
    </xf>
    <xf numFmtId="14" fontId="11" fillId="2" borderId="1" xfId="1" applyNumberFormat="1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top"/>
    </xf>
    <xf numFmtId="14" fontId="10" fillId="2" borderId="4" xfId="0" applyNumberFormat="1" applyFont="1" applyFill="1" applyBorder="1" applyAlignment="1">
      <alignment horizontal="left" vertical="top" wrapText="1"/>
    </xf>
    <xf numFmtId="49" fontId="13" fillId="2" borderId="4" xfId="0" applyNumberFormat="1" applyFont="1" applyFill="1" applyBorder="1" applyAlignment="1">
      <alignment horizontal="left" vertical="top" wrapText="1"/>
    </xf>
    <xf numFmtId="0" fontId="10" fillId="2" borderId="4" xfId="0" applyNumberFormat="1" applyFont="1" applyFill="1" applyBorder="1" applyAlignment="1">
      <alignment horizontal="left" vertical="top" wrapText="1"/>
    </xf>
    <xf numFmtId="3" fontId="10" fillId="2" borderId="4" xfId="0" applyNumberFormat="1" applyFont="1" applyFill="1" applyBorder="1" applyAlignment="1">
      <alignment horizontal="left" vertical="top" wrapText="1"/>
    </xf>
    <xf numFmtId="4" fontId="10" fillId="2" borderId="4" xfId="0" applyNumberFormat="1" applyFont="1" applyFill="1" applyBorder="1" applyAlignment="1">
      <alignment horizontal="left" vertical="top" wrapText="1"/>
    </xf>
    <xf numFmtId="166" fontId="10" fillId="2" borderId="4" xfId="0" applyNumberFormat="1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14" fontId="16" fillId="2" borderId="2" xfId="0" applyNumberFormat="1" applyFont="1" applyFill="1" applyBorder="1" applyAlignment="1">
      <alignment horizontal="left" wrapText="1"/>
    </xf>
    <xf numFmtId="0" fontId="14" fillId="2" borderId="2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left" vertical="center"/>
    </xf>
    <xf numFmtId="0" fontId="15" fillId="2" borderId="4" xfId="0" applyNumberFormat="1" applyFont="1" applyFill="1" applyBorder="1" applyAlignment="1">
      <alignment horizontal="left" vertical="top" wrapText="1"/>
    </xf>
    <xf numFmtId="0" fontId="15" fillId="2" borderId="16" xfId="0" applyFont="1" applyFill="1" applyBorder="1" applyAlignment="1">
      <alignment horizontal="left" vertical="top" wrapText="1"/>
    </xf>
    <xf numFmtId="14" fontId="15" fillId="2" borderId="17" xfId="0" applyNumberFormat="1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169" fontId="9" fillId="2" borderId="1" xfId="0" applyNumberFormat="1" applyFont="1" applyFill="1" applyBorder="1" applyAlignment="1">
      <alignment horizontal="left"/>
    </xf>
    <xf numFmtId="0" fontId="9" fillId="2" borderId="1" xfId="0" quotePrefix="1" applyFont="1" applyFill="1" applyBorder="1" applyAlignment="1">
      <alignment horizontal="left"/>
    </xf>
    <xf numFmtId="0" fontId="9" fillId="2" borderId="18" xfId="0" applyFont="1" applyFill="1" applyBorder="1" applyAlignment="1">
      <alignment horizontal="left" wrapText="1"/>
    </xf>
    <xf numFmtId="0" fontId="11" fillId="2" borderId="18" xfId="0" applyFont="1" applyFill="1" applyBorder="1" applyAlignment="1">
      <alignment horizontal="left" wrapText="1"/>
    </xf>
    <xf numFmtId="0" fontId="9" fillId="2" borderId="11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9" fillId="2" borderId="13" xfId="0" applyFont="1" applyFill="1" applyBorder="1" applyAlignment="1">
      <alignment horizontal="left" wrapText="1"/>
    </xf>
    <xf numFmtId="0" fontId="16" fillId="2" borderId="18" xfId="0" applyFont="1" applyFill="1" applyBorder="1" applyAlignment="1">
      <alignment horizontal="left" wrapText="1"/>
    </xf>
    <xf numFmtId="0" fontId="14" fillId="2" borderId="18" xfId="0" applyFont="1" applyFill="1" applyBorder="1" applyAlignment="1">
      <alignment horizontal="left" wrapText="1"/>
    </xf>
    <xf numFmtId="0" fontId="16" fillId="2" borderId="1" xfId="0" applyFont="1" applyFill="1" applyBorder="1" applyAlignment="1">
      <alignment horizontal="left" wrapText="1"/>
    </xf>
    <xf numFmtId="169" fontId="14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4" fillId="2" borderId="20" xfId="0" applyFont="1" applyFill="1" applyBorder="1" applyAlignment="1">
      <alignment horizontal="left"/>
    </xf>
    <xf numFmtId="0" fontId="14" fillId="2" borderId="21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left" wrapText="1"/>
    </xf>
    <xf numFmtId="49" fontId="14" fillId="0" borderId="2" xfId="0" applyNumberFormat="1" applyFont="1" applyFill="1" applyBorder="1" applyAlignment="1">
      <alignment horizontal="left"/>
    </xf>
    <xf numFmtId="14" fontId="14" fillId="0" borderId="2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14" fontId="14" fillId="0" borderId="2" xfId="0" applyNumberFormat="1" applyFont="1" applyFill="1" applyBorder="1" applyAlignment="1">
      <alignment horizontal="left" wrapText="1"/>
    </xf>
    <xf numFmtId="165" fontId="14" fillId="0" borderId="2" xfId="1" applyNumberFormat="1" applyFont="1" applyFill="1" applyBorder="1" applyAlignment="1">
      <alignment horizontal="left" wrapText="1"/>
    </xf>
    <xf numFmtId="3" fontId="14" fillId="0" borderId="2" xfId="1" applyNumberFormat="1" applyFont="1" applyFill="1" applyBorder="1" applyAlignment="1">
      <alignment horizontal="left"/>
    </xf>
    <xf numFmtId="166" fontId="14" fillId="0" borderId="2" xfId="0" applyNumberFormat="1" applyFont="1" applyFill="1" applyBorder="1" applyAlignment="1">
      <alignment horizontal="left"/>
    </xf>
    <xf numFmtId="14" fontId="16" fillId="0" borderId="2" xfId="1" applyNumberFormat="1" applyFont="1" applyFill="1" applyBorder="1" applyAlignment="1">
      <alignment horizontal="left"/>
    </xf>
    <xf numFmtId="166" fontId="14" fillId="0" borderId="1" xfId="0" applyNumberFormat="1" applyFont="1" applyFill="1" applyBorder="1" applyAlignment="1">
      <alignment horizontal="left"/>
    </xf>
    <xf numFmtId="0" fontId="14" fillId="0" borderId="2" xfId="0" quotePrefix="1" applyFont="1" applyFill="1" applyBorder="1" applyAlignment="1">
      <alignment horizontal="left"/>
    </xf>
    <xf numFmtId="14" fontId="14" fillId="0" borderId="3" xfId="0" applyNumberFormat="1" applyFont="1" applyFill="1" applyBorder="1" applyAlignment="1">
      <alignment horizontal="left"/>
    </xf>
    <xf numFmtId="0" fontId="9" fillId="2" borderId="19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4" fontId="9" fillId="2" borderId="18" xfId="0" applyNumberFormat="1" applyFont="1" applyFill="1" applyBorder="1" applyAlignment="1">
      <alignment horizontal="left" vertical="center"/>
    </xf>
    <xf numFmtId="4" fontId="9" fillId="2" borderId="1" xfId="0" applyNumberFormat="1" applyFont="1" applyFill="1" applyBorder="1" applyAlignment="1">
      <alignment horizontal="left" vertical="center"/>
    </xf>
    <xf numFmtId="166" fontId="9" fillId="2" borderId="18" xfId="0" applyNumberFormat="1" applyFont="1" applyFill="1" applyBorder="1" applyAlignment="1">
      <alignment horizontal="left" vertical="center"/>
    </xf>
    <xf numFmtId="166" fontId="9" fillId="2" borderId="1" xfId="0" applyNumberFormat="1" applyFont="1" applyFill="1" applyBorder="1" applyAlignment="1">
      <alignment horizontal="left" vertical="center"/>
    </xf>
    <xf numFmtId="14" fontId="11" fillId="2" borderId="18" xfId="1" applyNumberFormat="1" applyFont="1" applyFill="1" applyBorder="1" applyAlignment="1">
      <alignment horizontal="left" vertical="center"/>
    </xf>
    <xf numFmtId="14" fontId="11" fillId="2" borderId="1" xfId="1" applyNumberFormat="1" applyFont="1" applyFill="1" applyBorder="1" applyAlignment="1">
      <alignment horizontal="left" vertical="center"/>
    </xf>
    <xf numFmtId="49" fontId="9" fillId="2" borderId="18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0" fontId="9" fillId="2" borderId="18" xfId="0" quotePrefix="1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3" fontId="9" fillId="2" borderId="18" xfId="1" applyNumberFormat="1" applyFont="1" applyFill="1" applyBorder="1" applyAlignment="1">
      <alignment horizontal="left" vertical="center"/>
    </xf>
    <xf numFmtId="3" fontId="9" fillId="2" borderId="1" xfId="1" applyNumberFormat="1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169" fontId="9" fillId="2" borderId="22" xfId="0" applyNumberFormat="1" applyFont="1" applyFill="1" applyBorder="1" applyAlignment="1">
      <alignment horizontal="left" vertical="center"/>
    </xf>
    <xf numFmtId="169" fontId="9" fillId="2" borderId="23" xfId="0" applyNumberFormat="1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18" xfId="0" applyNumberFormat="1" applyFont="1" applyFill="1" applyBorder="1" applyAlignment="1">
      <alignment horizontal="left" vertical="center" wrapText="1"/>
    </xf>
    <xf numFmtId="0" fontId="9" fillId="2" borderId="1" xfId="0" applyNumberFormat="1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4" fontId="9" fillId="2" borderId="18" xfId="0" applyNumberFormat="1" applyFont="1" applyFill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8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9" fillId="2" borderId="18" xfId="1" applyNumberFormat="1" applyFont="1" applyFill="1" applyBorder="1" applyAlignment="1">
      <alignment horizontal="left" vertical="center" wrapText="1"/>
    </xf>
    <xf numFmtId="0" fontId="9" fillId="2" borderId="1" xfId="1" applyNumberFormat="1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/>
    </xf>
    <xf numFmtId="4" fontId="14" fillId="0" borderId="18" xfId="0" applyNumberFormat="1" applyFont="1" applyFill="1" applyBorder="1" applyAlignment="1">
      <alignment horizontal="left" vertical="center"/>
    </xf>
    <xf numFmtId="4" fontId="14" fillId="0" borderId="1" xfId="0" applyNumberFormat="1" applyFont="1" applyFill="1" applyBorder="1" applyAlignment="1">
      <alignment horizontal="left" vertical="center"/>
    </xf>
    <xf numFmtId="4" fontId="14" fillId="2" borderId="18" xfId="0" applyNumberFormat="1" applyFont="1" applyFill="1" applyBorder="1" applyAlignment="1">
      <alignment horizontal="left" vertical="center" wrapText="1"/>
    </xf>
    <xf numFmtId="4" fontId="14" fillId="2" borderId="1" xfId="0" applyNumberFormat="1" applyFont="1" applyFill="1" applyBorder="1" applyAlignment="1">
      <alignment horizontal="left" vertical="center" wrapText="1"/>
    </xf>
    <xf numFmtId="4" fontId="14" fillId="2" borderId="18" xfId="0" applyNumberFormat="1" applyFont="1" applyFill="1" applyBorder="1" applyAlignment="1">
      <alignment horizontal="left" vertical="center"/>
    </xf>
    <xf numFmtId="4" fontId="14" fillId="2" borderId="1" xfId="0" applyNumberFormat="1" applyFont="1" applyFill="1" applyBorder="1" applyAlignment="1">
      <alignment horizontal="left" vertical="center"/>
    </xf>
    <xf numFmtId="14" fontId="16" fillId="2" borderId="18" xfId="1" applyNumberFormat="1" applyFont="1" applyFill="1" applyBorder="1" applyAlignment="1">
      <alignment horizontal="left" vertical="center"/>
    </xf>
    <xf numFmtId="14" fontId="16" fillId="2" borderId="1" xfId="1" applyNumberFormat="1" applyFont="1" applyFill="1" applyBorder="1" applyAlignment="1">
      <alignment horizontal="left" vertical="center"/>
    </xf>
    <xf numFmtId="166" fontId="14" fillId="2" borderId="18" xfId="0" applyNumberFormat="1" applyFont="1" applyFill="1" applyBorder="1" applyAlignment="1">
      <alignment horizontal="left" vertical="center"/>
    </xf>
    <xf numFmtId="166" fontId="14" fillId="2" borderId="1" xfId="0" applyNumberFormat="1" applyFont="1" applyFill="1" applyBorder="1" applyAlignment="1">
      <alignment horizontal="left" vertical="center"/>
    </xf>
    <xf numFmtId="49" fontId="14" fillId="2" borderId="18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0" fontId="14" fillId="2" borderId="18" xfId="0" quotePrefix="1" applyFont="1" applyFill="1" applyBorder="1" applyAlignment="1">
      <alignment horizontal="left" vertical="center"/>
    </xf>
    <xf numFmtId="0" fontId="14" fillId="2" borderId="1" xfId="0" quotePrefix="1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0" borderId="18" xfId="0" applyNumberFormat="1" applyFont="1" applyBorder="1" applyAlignment="1">
      <alignment horizontal="left" vertical="center"/>
    </xf>
    <xf numFmtId="0" fontId="14" fillId="0" borderId="1" xfId="0" applyNumberFormat="1" applyFont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8" xfId="1" applyNumberFormat="1" applyFont="1" applyFill="1" applyBorder="1" applyAlignment="1">
      <alignment horizontal="left" vertical="center" wrapText="1"/>
    </xf>
    <xf numFmtId="0" fontId="14" fillId="2" borderId="1" xfId="1" applyNumberFormat="1" applyFont="1" applyFill="1" applyBorder="1" applyAlignment="1">
      <alignment horizontal="left" vertical="center" wrapText="1"/>
    </xf>
    <xf numFmtId="3" fontId="14" fillId="2" borderId="18" xfId="1" applyNumberFormat="1" applyFont="1" applyFill="1" applyBorder="1" applyAlignment="1">
      <alignment horizontal="left" vertical="center"/>
    </xf>
    <xf numFmtId="3" fontId="14" fillId="2" borderId="1" xfId="1" applyNumberFormat="1" applyFont="1" applyFill="1" applyBorder="1" applyAlignment="1">
      <alignment horizontal="left" vertical="center"/>
    </xf>
    <xf numFmtId="14" fontId="14" fillId="2" borderId="18" xfId="0" applyNumberFormat="1" applyFont="1" applyFill="1" applyBorder="1" applyAlignment="1">
      <alignment horizontal="left" vertical="center" wrapText="1"/>
    </xf>
    <xf numFmtId="14" fontId="14" fillId="2" borderId="1" xfId="0" applyNumberFormat="1" applyFont="1" applyFill="1" applyBorder="1" applyAlignment="1">
      <alignment horizontal="left" vertical="center" wrapText="1"/>
    </xf>
    <xf numFmtId="0" fontId="16" fillId="2" borderId="18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169" fontId="14" fillId="2" borderId="22" xfId="0" applyNumberFormat="1" applyFont="1" applyFill="1" applyBorder="1" applyAlignment="1">
      <alignment horizontal="left" vertical="center"/>
    </xf>
    <xf numFmtId="169" fontId="14" fillId="2" borderId="23" xfId="0" applyNumberFormat="1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18" xfId="0" applyNumberFormat="1" applyFont="1" applyFill="1" applyBorder="1" applyAlignment="1">
      <alignment horizontal="left" vertical="center" wrapText="1"/>
    </xf>
    <xf numFmtId="0" fontId="14" fillId="2" borderId="1" xfId="0" applyNumberFormat="1" applyFont="1" applyFill="1" applyBorder="1" applyAlignment="1">
      <alignment horizontal="left" vertical="center" wrapText="1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Views>
    <sheetView tabSelected="1" zoomScale="40" zoomScaleNormal="40" zoomScaleSheetLayoutView="10" workbookViewId="0">
      <selection activeCell="Y30" sqref="Y30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78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279" t="s">
        <v>0</v>
      </c>
      <c r="B29" s="314" t="s">
        <v>1</v>
      </c>
      <c r="C29" s="300" t="s">
        <v>2</v>
      </c>
      <c r="D29" s="315" t="s">
        <v>3</v>
      </c>
      <c r="E29" s="316" t="s">
        <v>4</v>
      </c>
      <c r="F29" s="300" t="s">
        <v>5</v>
      </c>
      <c r="G29" s="317" t="s">
        <v>6</v>
      </c>
      <c r="H29" s="300" t="s">
        <v>7</v>
      </c>
      <c r="I29" s="300" t="s">
        <v>8</v>
      </c>
      <c r="J29" s="315" t="s">
        <v>9</v>
      </c>
      <c r="K29" s="314" t="s">
        <v>10</v>
      </c>
      <c r="L29" s="314" t="s">
        <v>11</v>
      </c>
      <c r="M29" s="300" t="s">
        <v>12</v>
      </c>
      <c r="N29" s="300" t="s">
        <v>13</v>
      </c>
      <c r="O29" s="318" t="s">
        <v>14</v>
      </c>
      <c r="P29" s="319" t="s">
        <v>27</v>
      </c>
      <c r="Q29" s="319" t="s">
        <v>39</v>
      </c>
      <c r="R29" s="319" t="s">
        <v>15</v>
      </c>
      <c r="S29" s="320" t="s">
        <v>16</v>
      </c>
      <c r="T29" s="315" t="s">
        <v>17</v>
      </c>
      <c r="U29" s="300" t="s">
        <v>18</v>
      </c>
      <c r="V29" s="319" t="s">
        <v>19</v>
      </c>
      <c r="W29" s="320" t="s">
        <v>20</v>
      </c>
      <c r="X29" s="319" t="s">
        <v>21</v>
      </c>
      <c r="Y29" s="319" t="s">
        <v>22</v>
      </c>
      <c r="Z29" s="300" t="s">
        <v>24</v>
      </c>
      <c r="AA29" s="321" t="s">
        <v>23</v>
      </c>
    </row>
    <row r="30" spans="1:27" s="44" customFormat="1" ht="90.75" customHeight="1" x14ac:dyDescent="0.45">
      <c r="A30" s="338">
        <v>1</v>
      </c>
      <c r="B30" s="303" t="s">
        <v>81</v>
      </c>
      <c r="C30" s="299" t="s">
        <v>48</v>
      </c>
      <c r="D30" s="299" t="s">
        <v>48</v>
      </c>
      <c r="E30" s="299" t="s">
        <v>40</v>
      </c>
      <c r="F30" s="299" t="s">
        <v>40</v>
      </c>
      <c r="G30" s="304" t="s">
        <v>44</v>
      </c>
      <c r="H30" s="278" t="s">
        <v>34</v>
      </c>
      <c r="I30" s="278">
        <v>27090000</v>
      </c>
      <c r="J30" s="305">
        <v>41730</v>
      </c>
      <c r="K30" s="299" t="s">
        <v>63</v>
      </c>
      <c r="L30" s="306" t="s">
        <v>32</v>
      </c>
      <c r="M30" s="278" t="s">
        <v>42</v>
      </c>
      <c r="N30" s="307" t="s">
        <v>47</v>
      </c>
      <c r="O30" s="308">
        <v>953931</v>
      </c>
      <c r="P30" s="309">
        <f t="shared" ref="P30:P31" si="0">O30*S30</f>
        <v>102736460.838</v>
      </c>
      <c r="Q30" s="309">
        <f t="shared" ref="Q30:Q31" si="1">P30*W30</f>
        <v>15999149046.301739</v>
      </c>
      <c r="R30" s="309" t="s">
        <v>25</v>
      </c>
      <c r="S30" s="310">
        <v>107.69799999999999</v>
      </c>
      <c r="T30" s="311">
        <f t="shared" ref="T30:T31" si="2">J30+90</f>
        <v>41820</v>
      </c>
      <c r="U30" s="312" t="s">
        <v>40</v>
      </c>
      <c r="V30" s="309">
        <f t="shared" ref="V30:V31" si="3">P30*0.12%</f>
        <v>123283.75300559998</v>
      </c>
      <c r="W30" s="310">
        <v>155.72999999999999</v>
      </c>
      <c r="X30" s="309">
        <f t="shared" ref="X30:X31" si="4">V30*W30</f>
        <v>19198978.855562083</v>
      </c>
      <c r="Y30" s="309" t="s">
        <v>40</v>
      </c>
      <c r="Z30" s="299" t="s">
        <v>40</v>
      </c>
      <c r="AA30" s="313" t="s">
        <v>40</v>
      </c>
    </row>
    <row r="31" spans="1:27" s="85" customFormat="1" ht="90.75" customHeight="1" x14ac:dyDescent="0.45">
      <c r="A31" s="339">
        <v>2</v>
      </c>
      <c r="B31" s="71" t="s">
        <v>82</v>
      </c>
      <c r="C31" s="75" t="s">
        <v>48</v>
      </c>
      <c r="D31" s="299" t="s">
        <v>48</v>
      </c>
      <c r="E31" s="75" t="s">
        <v>40</v>
      </c>
      <c r="F31" s="299" t="s">
        <v>40</v>
      </c>
      <c r="G31" s="72" t="s">
        <v>35</v>
      </c>
      <c r="H31" s="73" t="s">
        <v>33</v>
      </c>
      <c r="I31" s="73">
        <v>27090000</v>
      </c>
      <c r="J31" s="74">
        <v>41730</v>
      </c>
      <c r="K31" s="75" t="s">
        <v>109</v>
      </c>
      <c r="L31" s="76" t="s">
        <v>31</v>
      </c>
      <c r="M31" s="73" t="s">
        <v>42</v>
      </c>
      <c r="N31" s="77" t="s">
        <v>127</v>
      </c>
      <c r="O31" s="78">
        <v>996080</v>
      </c>
      <c r="P31" s="79">
        <f t="shared" si="0"/>
        <v>107275823.83999999</v>
      </c>
      <c r="Q31" s="79">
        <f t="shared" si="1"/>
        <v>16706064046.603197</v>
      </c>
      <c r="R31" s="79" t="s">
        <v>25</v>
      </c>
      <c r="S31" s="80">
        <v>107.69799999999999</v>
      </c>
      <c r="T31" s="81">
        <f t="shared" si="2"/>
        <v>41820</v>
      </c>
      <c r="U31" s="82" t="s">
        <v>40</v>
      </c>
      <c r="V31" s="79">
        <f t="shared" si="3"/>
        <v>128730.98860799997</v>
      </c>
      <c r="W31" s="80">
        <v>155.72999999999999</v>
      </c>
      <c r="X31" s="79">
        <f t="shared" si="4"/>
        <v>20047276.855923835</v>
      </c>
      <c r="Y31" s="79" t="s">
        <v>40</v>
      </c>
      <c r="Z31" s="84" t="s">
        <v>40</v>
      </c>
      <c r="AA31" s="83" t="s">
        <v>40</v>
      </c>
    </row>
    <row r="32" spans="1:27" s="85" customFormat="1" ht="90.75" customHeight="1" x14ac:dyDescent="0.45">
      <c r="A32" s="340">
        <v>3</v>
      </c>
      <c r="B32" s="375" t="s">
        <v>83</v>
      </c>
      <c r="C32" s="337" t="s">
        <v>162</v>
      </c>
      <c r="D32" s="377">
        <v>41764</v>
      </c>
      <c r="E32" s="336" t="s">
        <v>164</v>
      </c>
      <c r="F32" s="379" t="s">
        <v>46</v>
      </c>
      <c r="G32" s="381" t="s">
        <v>38</v>
      </c>
      <c r="H32" s="383" t="s">
        <v>34</v>
      </c>
      <c r="I32" s="383">
        <v>27090000</v>
      </c>
      <c r="J32" s="385">
        <v>41732</v>
      </c>
      <c r="K32" s="387" t="s">
        <v>76</v>
      </c>
      <c r="L32" s="389" t="s">
        <v>32</v>
      </c>
      <c r="M32" s="383" t="s">
        <v>54</v>
      </c>
      <c r="N32" s="391" t="s">
        <v>128</v>
      </c>
      <c r="O32" s="373">
        <v>952050</v>
      </c>
      <c r="P32" s="363">
        <f t="shared" ref="P32:P51" si="5">O32*S32</f>
        <v>102749044.2</v>
      </c>
      <c r="Q32" s="363">
        <f t="shared" ref="Q32:Q51" si="6">P32*W32</f>
        <v>16001108653.265999</v>
      </c>
      <c r="R32" s="363" t="s">
        <v>25</v>
      </c>
      <c r="S32" s="365">
        <v>107.92400000000001</v>
      </c>
      <c r="T32" s="367">
        <f t="shared" ref="T32:T58" si="7">J32+90</f>
        <v>41822</v>
      </c>
      <c r="U32" s="369" t="s">
        <v>40</v>
      </c>
      <c r="V32" s="363">
        <f t="shared" ref="V32:V51" si="8">P32*0.12%</f>
        <v>123298.85303999999</v>
      </c>
      <c r="W32" s="365">
        <v>155.72999999999999</v>
      </c>
      <c r="X32" s="363">
        <f t="shared" ref="X32:X58" si="9">V32*W32</f>
        <v>19201330.383919198</v>
      </c>
      <c r="Y32" s="363" t="s">
        <v>40</v>
      </c>
      <c r="Z32" s="371" t="s">
        <v>40</v>
      </c>
      <c r="AA32" s="361" t="s">
        <v>40</v>
      </c>
    </row>
    <row r="33" spans="1:27" s="85" customFormat="1" ht="90.75" customHeight="1" x14ac:dyDescent="0.45">
      <c r="A33" s="338">
        <v>4</v>
      </c>
      <c r="B33" s="376"/>
      <c r="C33" s="333" t="s">
        <v>161</v>
      </c>
      <c r="D33" s="378"/>
      <c r="E33" s="278" t="s">
        <v>163</v>
      </c>
      <c r="F33" s="380"/>
      <c r="G33" s="382"/>
      <c r="H33" s="384"/>
      <c r="I33" s="384"/>
      <c r="J33" s="386"/>
      <c r="K33" s="388"/>
      <c r="L33" s="390"/>
      <c r="M33" s="384"/>
      <c r="N33" s="392"/>
      <c r="O33" s="374"/>
      <c r="P33" s="364"/>
      <c r="Q33" s="364"/>
      <c r="R33" s="364"/>
      <c r="S33" s="366"/>
      <c r="T33" s="368"/>
      <c r="U33" s="370"/>
      <c r="V33" s="364"/>
      <c r="W33" s="366"/>
      <c r="X33" s="364"/>
      <c r="Y33" s="364"/>
      <c r="Z33" s="372"/>
      <c r="AA33" s="362"/>
    </row>
    <row r="34" spans="1:27" s="85" customFormat="1" ht="90.75" customHeight="1" x14ac:dyDescent="0.45">
      <c r="A34" s="339">
        <v>5</v>
      </c>
      <c r="B34" s="71" t="s">
        <v>84</v>
      </c>
      <c r="C34" s="71" t="s">
        <v>141</v>
      </c>
      <c r="D34" s="334">
        <v>41764</v>
      </c>
      <c r="E34" s="75" t="s">
        <v>150</v>
      </c>
      <c r="F34" s="299" t="s">
        <v>46</v>
      </c>
      <c r="G34" s="72" t="s">
        <v>38</v>
      </c>
      <c r="H34" s="73" t="s">
        <v>33</v>
      </c>
      <c r="I34" s="73">
        <v>27090000</v>
      </c>
      <c r="J34" s="74">
        <v>41733</v>
      </c>
      <c r="K34" s="75" t="s">
        <v>110</v>
      </c>
      <c r="L34" s="76" t="s">
        <v>31</v>
      </c>
      <c r="M34" s="73" t="s">
        <v>136</v>
      </c>
      <c r="N34" s="77" t="s">
        <v>129</v>
      </c>
      <c r="O34" s="78">
        <v>949610</v>
      </c>
      <c r="P34" s="79">
        <f t="shared" si="5"/>
        <v>102344217.75</v>
      </c>
      <c r="Q34" s="79">
        <f t="shared" si="6"/>
        <v>15938065030.207499</v>
      </c>
      <c r="R34" s="79" t="s">
        <v>25</v>
      </c>
      <c r="S34" s="80">
        <v>107.77500000000001</v>
      </c>
      <c r="T34" s="81">
        <f t="shared" si="7"/>
        <v>41823</v>
      </c>
      <c r="U34" s="82" t="s">
        <v>40</v>
      </c>
      <c r="V34" s="79">
        <f t="shared" si="8"/>
        <v>122813.06129999999</v>
      </c>
      <c r="W34" s="80">
        <v>155.72999999999999</v>
      </c>
      <c r="X34" s="79">
        <f t="shared" si="9"/>
        <v>19125678.036248997</v>
      </c>
      <c r="Y34" s="79" t="s">
        <v>40</v>
      </c>
      <c r="Z34" s="84" t="s">
        <v>40</v>
      </c>
      <c r="AA34" s="83" t="s">
        <v>40</v>
      </c>
    </row>
    <row r="35" spans="1:27" s="85" customFormat="1" ht="90.75" customHeight="1" x14ac:dyDescent="0.45">
      <c r="A35" s="339">
        <v>6</v>
      </c>
      <c r="B35" s="71" t="s">
        <v>85</v>
      </c>
      <c r="C35" s="303" t="s">
        <v>142</v>
      </c>
      <c r="D35" s="334">
        <v>41764</v>
      </c>
      <c r="E35" s="299" t="s">
        <v>151</v>
      </c>
      <c r="F35" s="299" t="s">
        <v>46</v>
      </c>
      <c r="G35" s="72" t="s">
        <v>38</v>
      </c>
      <c r="H35" s="73" t="s">
        <v>33</v>
      </c>
      <c r="I35" s="73">
        <v>27090000</v>
      </c>
      <c r="J35" s="74">
        <v>41735</v>
      </c>
      <c r="K35" s="75" t="s">
        <v>111</v>
      </c>
      <c r="L35" s="76" t="s">
        <v>31</v>
      </c>
      <c r="M35" s="73" t="s">
        <v>26</v>
      </c>
      <c r="N35" s="77" t="s">
        <v>72</v>
      </c>
      <c r="O35" s="78">
        <v>959322</v>
      </c>
      <c r="P35" s="79">
        <f t="shared" si="5"/>
        <v>103919514.97199999</v>
      </c>
      <c r="Q35" s="79">
        <f t="shared" si="6"/>
        <v>16183386066.589558</v>
      </c>
      <c r="R35" s="79" t="s">
        <v>25</v>
      </c>
      <c r="S35" s="80">
        <v>108.32599999999999</v>
      </c>
      <c r="T35" s="81">
        <f t="shared" si="7"/>
        <v>41825</v>
      </c>
      <c r="U35" s="82" t="s">
        <v>40</v>
      </c>
      <c r="V35" s="79">
        <f t="shared" si="8"/>
        <v>124703.41796639997</v>
      </c>
      <c r="W35" s="80">
        <v>155.72999999999999</v>
      </c>
      <c r="X35" s="79">
        <f t="shared" si="9"/>
        <v>19420063.279907465</v>
      </c>
      <c r="Y35" s="79" t="s">
        <v>40</v>
      </c>
      <c r="Z35" s="84" t="s">
        <v>40</v>
      </c>
      <c r="AA35" s="83" t="s">
        <v>40</v>
      </c>
    </row>
    <row r="36" spans="1:27" s="85" customFormat="1" ht="90.75" customHeight="1" x14ac:dyDescent="0.45">
      <c r="A36" s="339">
        <v>7</v>
      </c>
      <c r="B36" s="71" t="s">
        <v>86</v>
      </c>
      <c r="C36" s="299" t="s">
        <v>48</v>
      </c>
      <c r="D36" s="299" t="s">
        <v>48</v>
      </c>
      <c r="E36" s="299" t="s">
        <v>40</v>
      </c>
      <c r="F36" s="299" t="s">
        <v>40</v>
      </c>
      <c r="G36" s="72" t="s">
        <v>43</v>
      </c>
      <c r="H36" s="73" t="s">
        <v>34</v>
      </c>
      <c r="I36" s="73">
        <v>27090000</v>
      </c>
      <c r="J36" s="74">
        <v>41736</v>
      </c>
      <c r="K36" s="75" t="s">
        <v>112</v>
      </c>
      <c r="L36" s="76" t="s">
        <v>32</v>
      </c>
      <c r="M36" s="73" t="s">
        <v>42</v>
      </c>
      <c r="N36" s="77" t="s">
        <v>47</v>
      </c>
      <c r="O36" s="78">
        <v>100000</v>
      </c>
      <c r="P36" s="79">
        <f t="shared" si="5"/>
        <v>10849100</v>
      </c>
      <c r="Q36" s="79">
        <f t="shared" si="6"/>
        <v>1689530343</v>
      </c>
      <c r="R36" s="79" t="s">
        <v>25</v>
      </c>
      <c r="S36" s="80">
        <v>108.491</v>
      </c>
      <c r="T36" s="81">
        <f t="shared" si="7"/>
        <v>41826</v>
      </c>
      <c r="U36" s="82" t="s">
        <v>40</v>
      </c>
      <c r="V36" s="79">
        <f t="shared" si="8"/>
        <v>13018.919999999998</v>
      </c>
      <c r="W36" s="80">
        <v>155.72999999999999</v>
      </c>
      <c r="X36" s="79">
        <f t="shared" si="9"/>
        <v>2027436.4115999995</v>
      </c>
      <c r="Y36" s="79" t="s">
        <v>40</v>
      </c>
      <c r="Z36" s="84" t="s">
        <v>40</v>
      </c>
      <c r="AA36" s="83" t="s">
        <v>40</v>
      </c>
    </row>
    <row r="37" spans="1:27" s="85" customFormat="1" ht="90.75" customHeight="1" x14ac:dyDescent="0.45">
      <c r="A37" s="339">
        <v>8</v>
      </c>
      <c r="B37" s="71" t="s">
        <v>87</v>
      </c>
      <c r="C37" s="299" t="s">
        <v>48</v>
      </c>
      <c r="D37" s="299" t="s">
        <v>48</v>
      </c>
      <c r="E37" s="299" t="s">
        <v>40</v>
      </c>
      <c r="F37" s="299" t="s">
        <v>40</v>
      </c>
      <c r="G37" s="72" t="s">
        <v>44</v>
      </c>
      <c r="H37" s="73" t="s">
        <v>34</v>
      </c>
      <c r="I37" s="73">
        <v>27090000</v>
      </c>
      <c r="J37" s="74">
        <v>41736</v>
      </c>
      <c r="K37" s="75" t="s">
        <v>112</v>
      </c>
      <c r="L37" s="76" t="s">
        <v>32</v>
      </c>
      <c r="M37" s="73" t="s">
        <v>42</v>
      </c>
      <c r="N37" s="77" t="s">
        <v>47</v>
      </c>
      <c r="O37" s="78">
        <v>900245</v>
      </c>
      <c r="P37" s="79">
        <f t="shared" si="5"/>
        <v>97668480.295000002</v>
      </c>
      <c r="Q37" s="79">
        <f t="shared" si="6"/>
        <v>15209912436.340349</v>
      </c>
      <c r="R37" s="79" t="s">
        <v>25</v>
      </c>
      <c r="S37" s="80">
        <v>108.491</v>
      </c>
      <c r="T37" s="81">
        <f t="shared" si="7"/>
        <v>41826</v>
      </c>
      <c r="U37" s="82" t="s">
        <v>40</v>
      </c>
      <c r="V37" s="79">
        <f t="shared" si="8"/>
        <v>117202.176354</v>
      </c>
      <c r="W37" s="80">
        <v>155.72999999999999</v>
      </c>
      <c r="X37" s="79">
        <f t="shared" si="9"/>
        <v>18251894.923608419</v>
      </c>
      <c r="Y37" s="79" t="s">
        <v>40</v>
      </c>
      <c r="Z37" s="84" t="s">
        <v>40</v>
      </c>
      <c r="AA37" s="83" t="s">
        <v>40</v>
      </c>
    </row>
    <row r="38" spans="1:27" s="85" customFormat="1" ht="90.75" customHeight="1" x14ac:dyDescent="0.45">
      <c r="A38" s="339">
        <v>9</v>
      </c>
      <c r="B38" s="71" t="s">
        <v>88</v>
      </c>
      <c r="C38" s="299" t="s">
        <v>48</v>
      </c>
      <c r="D38" s="299" t="s">
        <v>48</v>
      </c>
      <c r="E38" s="299" t="s">
        <v>40</v>
      </c>
      <c r="F38" s="299" t="s">
        <v>40</v>
      </c>
      <c r="G38" s="72" t="s">
        <v>35</v>
      </c>
      <c r="H38" s="73" t="s">
        <v>33</v>
      </c>
      <c r="I38" s="73">
        <v>27090000</v>
      </c>
      <c r="J38" s="74">
        <v>41737</v>
      </c>
      <c r="K38" s="75" t="s">
        <v>113</v>
      </c>
      <c r="L38" s="76" t="s">
        <v>31</v>
      </c>
      <c r="M38" s="73" t="s">
        <v>137</v>
      </c>
      <c r="N38" s="77" t="s">
        <v>130</v>
      </c>
      <c r="O38" s="78">
        <v>949786</v>
      </c>
      <c r="P38" s="79">
        <f t="shared" si="5"/>
        <v>103122065.164</v>
      </c>
      <c r="Q38" s="79">
        <f t="shared" si="6"/>
        <v>16059199207.989719</v>
      </c>
      <c r="R38" s="79" t="s">
        <v>25</v>
      </c>
      <c r="S38" s="80">
        <v>108.574</v>
      </c>
      <c r="T38" s="81">
        <f t="shared" si="7"/>
        <v>41827</v>
      </c>
      <c r="U38" s="82" t="s">
        <v>40</v>
      </c>
      <c r="V38" s="79">
        <f t="shared" si="8"/>
        <v>123746.47819679999</v>
      </c>
      <c r="W38" s="80">
        <v>155.72999999999999</v>
      </c>
      <c r="X38" s="79">
        <f t="shared" si="9"/>
        <v>19271039.04958766</v>
      </c>
      <c r="Y38" s="79" t="s">
        <v>40</v>
      </c>
      <c r="Z38" s="84" t="s">
        <v>40</v>
      </c>
      <c r="AA38" s="83" t="s">
        <v>40</v>
      </c>
    </row>
    <row r="39" spans="1:27" s="85" customFormat="1" ht="90.75" customHeight="1" x14ac:dyDescent="0.45">
      <c r="A39" s="339">
        <v>10</v>
      </c>
      <c r="B39" s="71" t="s">
        <v>89</v>
      </c>
      <c r="C39" s="299" t="s">
        <v>48</v>
      </c>
      <c r="D39" s="299" t="s">
        <v>48</v>
      </c>
      <c r="E39" s="299" t="s">
        <v>40</v>
      </c>
      <c r="F39" s="299" t="s">
        <v>40</v>
      </c>
      <c r="G39" s="72" t="s">
        <v>38</v>
      </c>
      <c r="H39" s="73" t="s">
        <v>34</v>
      </c>
      <c r="I39" s="73">
        <v>27090000</v>
      </c>
      <c r="J39" s="74">
        <v>41739</v>
      </c>
      <c r="K39" s="75" t="s">
        <v>61</v>
      </c>
      <c r="L39" s="76" t="s">
        <v>32</v>
      </c>
      <c r="M39" s="73" t="s">
        <v>75</v>
      </c>
      <c r="N39" s="77" t="s">
        <v>73</v>
      </c>
      <c r="O39" s="78">
        <v>998709</v>
      </c>
      <c r="P39" s="79">
        <f t="shared" si="5"/>
        <v>109442527.05600001</v>
      </c>
      <c r="Q39" s="79">
        <f t="shared" si="6"/>
        <v>17043484738.43088</v>
      </c>
      <c r="R39" s="79" t="s">
        <v>25</v>
      </c>
      <c r="S39" s="80">
        <v>109.584</v>
      </c>
      <c r="T39" s="81">
        <f t="shared" si="7"/>
        <v>41829</v>
      </c>
      <c r="U39" s="82" t="s">
        <v>40</v>
      </c>
      <c r="V39" s="79">
        <f t="shared" si="8"/>
        <v>131331.03246720001</v>
      </c>
      <c r="W39" s="80">
        <v>155.72999999999999</v>
      </c>
      <c r="X39" s="79">
        <f t="shared" si="9"/>
        <v>20452181.686117057</v>
      </c>
      <c r="Y39" s="79" t="s">
        <v>40</v>
      </c>
      <c r="Z39" s="84" t="s">
        <v>40</v>
      </c>
      <c r="AA39" s="83" t="s">
        <v>40</v>
      </c>
    </row>
    <row r="40" spans="1:27" s="85" customFormat="1" ht="90.75" customHeight="1" x14ac:dyDescent="0.45">
      <c r="A40" s="339">
        <v>11</v>
      </c>
      <c r="B40" s="71" t="s">
        <v>90</v>
      </c>
      <c r="C40" s="303" t="s">
        <v>143</v>
      </c>
      <c r="D40" s="334">
        <v>41764</v>
      </c>
      <c r="E40" s="299" t="s">
        <v>152</v>
      </c>
      <c r="F40" s="299" t="s">
        <v>46</v>
      </c>
      <c r="G40" s="72" t="s">
        <v>38</v>
      </c>
      <c r="H40" s="73" t="s">
        <v>33</v>
      </c>
      <c r="I40" s="73">
        <v>27090000</v>
      </c>
      <c r="J40" s="74">
        <v>41740</v>
      </c>
      <c r="K40" s="75" t="s">
        <v>114</v>
      </c>
      <c r="L40" s="76" t="s">
        <v>31</v>
      </c>
      <c r="M40" s="73" t="s">
        <v>51</v>
      </c>
      <c r="N40" s="77" t="s">
        <v>52</v>
      </c>
      <c r="O40" s="78">
        <v>950468</v>
      </c>
      <c r="P40" s="79">
        <f t="shared" si="5"/>
        <v>104508708.94</v>
      </c>
      <c r="Q40" s="79">
        <f t="shared" si="6"/>
        <v>16275141243.226198</v>
      </c>
      <c r="R40" s="79" t="s">
        <v>25</v>
      </c>
      <c r="S40" s="80">
        <v>109.955</v>
      </c>
      <c r="T40" s="81">
        <f t="shared" si="7"/>
        <v>41830</v>
      </c>
      <c r="U40" s="82" t="s">
        <v>40</v>
      </c>
      <c r="V40" s="79">
        <f t="shared" si="8"/>
        <v>125410.45072799998</v>
      </c>
      <c r="W40" s="80">
        <v>155.72999999999999</v>
      </c>
      <c r="X40" s="79">
        <f t="shared" si="9"/>
        <v>19530169.491871435</v>
      </c>
      <c r="Y40" s="79" t="s">
        <v>40</v>
      </c>
      <c r="Z40" s="84" t="s">
        <v>40</v>
      </c>
      <c r="AA40" s="83" t="s">
        <v>40</v>
      </c>
    </row>
    <row r="41" spans="1:27" s="85" customFormat="1" ht="90.75" customHeight="1" x14ac:dyDescent="0.45">
      <c r="A41" s="339">
        <v>12</v>
      </c>
      <c r="B41" s="71" t="s">
        <v>91</v>
      </c>
      <c r="C41" s="303" t="s">
        <v>144</v>
      </c>
      <c r="D41" s="334">
        <v>41764</v>
      </c>
      <c r="E41" s="299" t="s">
        <v>153</v>
      </c>
      <c r="F41" s="299" t="s">
        <v>46</v>
      </c>
      <c r="G41" s="72" t="s">
        <v>38</v>
      </c>
      <c r="H41" s="73" t="s">
        <v>33</v>
      </c>
      <c r="I41" s="73">
        <v>27090000</v>
      </c>
      <c r="J41" s="74">
        <v>41742</v>
      </c>
      <c r="K41" s="75" t="s">
        <v>115</v>
      </c>
      <c r="L41" s="76" t="s">
        <v>31</v>
      </c>
      <c r="M41" s="73" t="s">
        <v>42</v>
      </c>
      <c r="N41" s="77" t="s">
        <v>47</v>
      </c>
      <c r="O41" s="78">
        <v>130000</v>
      </c>
      <c r="P41" s="79">
        <f t="shared" si="5"/>
        <v>14354080</v>
      </c>
      <c r="Q41" s="79">
        <f t="shared" si="6"/>
        <v>2235360878.3999996</v>
      </c>
      <c r="R41" s="79" t="s">
        <v>25</v>
      </c>
      <c r="S41" s="80">
        <v>110.416</v>
      </c>
      <c r="T41" s="81">
        <f t="shared" si="7"/>
        <v>41832</v>
      </c>
      <c r="U41" s="82" t="s">
        <v>40</v>
      </c>
      <c r="V41" s="79">
        <f t="shared" si="8"/>
        <v>17224.895999999997</v>
      </c>
      <c r="W41" s="80">
        <v>155.72999999999999</v>
      </c>
      <c r="X41" s="79">
        <f t="shared" si="9"/>
        <v>2682433.0540799992</v>
      </c>
      <c r="Y41" s="79" t="s">
        <v>40</v>
      </c>
      <c r="Z41" s="84" t="s">
        <v>40</v>
      </c>
      <c r="AA41" s="273" t="s">
        <v>40</v>
      </c>
    </row>
    <row r="42" spans="1:27" s="85" customFormat="1" ht="90.75" customHeight="1" x14ac:dyDescent="0.45">
      <c r="A42" s="339">
        <v>13</v>
      </c>
      <c r="B42" s="71" t="s">
        <v>92</v>
      </c>
      <c r="C42" s="303" t="s">
        <v>145</v>
      </c>
      <c r="D42" s="334">
        <v>41764</v>
      </c>
      <c r="E42" s="299" t="s">
        <v>154</v>
      </c>
      <c r="F42" s="299" t="s">
        <v>46</v>
      </c>
      <c r="G42" s="72" t="s">
        <v>38</v>
      </c>
      <c r="H42" s="73" t="s">
        <v>33</v>
      </c>
      <c r="I42" s="73">
        <v>27090000</v>
      </c>
      <c r="J42" s="74">
        <v>41742</v>
      </c>
      <c r="K42" s="75" t="s">
        <v>115</v>
      </c>
      <c r="L42" s="76" t="s">
        <v>31</v>
      </c>
      <c r="M42" s="73" t="s">
        <v>42</v>
      </c>
      <c r="N42" s="77" t="s">
        <v>47</v>
      </c>
      <c r="O42" s="78">
        <v>70000</v>
      </c>
      <c r="P42" s="79">
        <f t="shared" si="5"/>
        <v>7729120</v>
      </c>
      <c r="Q42" s="79">
        <f t="shared" si="6"/>
        <v>1203655857.5999999</v>
      </c>
      <c r="R42" s="79" t="s">
        <v>25</v>
      </c>
      <c r="S42" s="80">
        <v>110.416</v>
      </c>
      <c r="T42" s="81">
        <f t="shared" si="7"/>
        <v>41832</v>
      </c>
      <c r="U42" s="82" t="s">
        <v>40</v>
      </c>
      <c r="V42" s="79">
        <f t="shared" si="8"/>
        <v>9274.9439999999995</v>
      </c>
      <c r="W42" s="80">
        <v>155.72999999999999</v>
      </c>
      <c r="X42" s="79">
        <f t="shared" si="9"/>
        <v>1444387.0291199998</v>
      </c>
      <c r="Y42" s="79" t="s">
        <v>40</v>
      </c>
      <c r="Z42" s="84" t="s">
        <v>40</v>
      </c>
      <c r="AA42" s="83" t="s">
        <v>40</v>
      </c>
    </row>
    <row r="43" spans="1:27" s="85" customFormat="1" ht="90.75" customHeight="1" x14ac:dyDescent="0.45">
      <c r="A43" s="339">
        <v>14</v>
      </c>
      <c r="B43" s="71" t="s">
        <v>93</v>
      </c>
      <c r="C43" s="303" t="s">
        <v>146</v>
      </c>
      <c r="D43" s="334">
        <v>41764</v>
      </c>
      <c r="E43" s="299" t="s">
        <v>155</v>
      </c>
      <c r="F43" s="299" t="s">
        <v>46</v>
      </c>
      <c r="G43" s="72" t="s">
        <v>38</v>
      </c>
      <c r="H43" s="73" t="s">
        <v>33</v>
      </c>
      <c r="I43" s="73">
        <v>27090000</v>
      </c>
      <c r="J43" s="74">
        <v>41742</v>
      </c>
      <c r="K43" s="75" t="s">
        <v>115</v>
      </c>
      <c r="L43" s="76" t="s">
        <v>31</v>
      </c>
      <c r="M43" s="73" t="s">
        <v>42</v>
      </c>
      <c r="N43" s="77" t="s">
        <v>47</v>
      </c>
      <c r="O43" s="78">
        <v>750185</v>
      </c>
      <c r="P43" s="79">
        <f t="shared" si="5"/>
        <v>82832426.959999993</v>
      </c>
      <c r="Q43" s="79">
        <f t="shared" si="6"/>
        <v>12899493850.480799</v>
      </c>
      <c r="R43" s="79" t="s">
        <v>25</v>
      </c>
      <c r="S43" s="80">
        <v>110.416</v>
      </c>
      <c r="T43" s="81">
        <f t="shared" si="7"/>
        <v>41832</v>
      </c>
      <c r="U43" s="82" t="s">
        <v>40</v>
      </c>
      <c r="V43" s="79">
        <f t="shared" si="8"/>
        <v>99398.912351999985</v>
      </c>
      <c r="W43" s="80">
        <v>155.72999999999999</v>
      </c>
      <c r="X43" s="79">
        <f t="shared" si="9"/>
        <v>15479392.620576957</v>
      </c>
      <c r="Y43" s="79" t="s">
        <v>40</v>
      </c>
      <c r="Z43" s="84" t="s">
        <v>40</v>
      </c>
      <c r="AA43" s="83" t="s">
        <v>40</v>
      </c>
    </row>
    <row r="44" spans="1:27" s="85" customFormat="1" ht="90.75" customHeight="1" x14ac:dyDescent="0.45">
      <c r="A44" s="339">
        <v>15</v>
      </c>
      <c r="B44" s="71" t="s">
        <v>94</v>
      </c>
      <c r="C44" s="299" t="s">
        <v>48</v>
      </c>
      <c r="D44" s="299" t="s">
        <v>48</v>
      </c>
      <c r="E44" s="299" t="s">
        <v>40</v>
      </c>
      <c r="F44" s="299" t="s">
        <v>40</v>
      </c>
      <c r="G44" s="72" t="s">
        <v>38</v>
      </c>
      <c r="H44" s="73" t="s">
        <v>34</v>
      </c>
      <c r="I44" s="73">
        <v>27090000</v>
      </c>
      <c r="J44" s="74">
        <v>41745</v>
      </c>
      <c r="K44" s="75" t="s">
        <v>61</v>
      </c>
      <c r="L44" s="76" t="s">
        <v>32</v>
      </c>
      <c r="M44" s="73" t="s">
        <v>75</v>
      </c>
      <c r="N44" s="77" t="s">
        <v>73</v>
      </c>
      <c r="O44" s="78">
        <v>1003258</v>
      </c>
      <c r="P44" s="79">
        <f t="shared" si="5"/>
        <v>111771970.522</v>
      </c>
      <c r="Q44" s="79">
        <f t="shared" si="6"/>
        <v>17406248969.39106</v>
      </c>
      <c r="R44" s="79" t="s">
        <v>25</v>
      </c>
      <c r="S44" s="80">
        <v>111.40900000000001</v>
      </c>
      <c r="T44" s="81">
        <f t="shared" si="7"/>
        <v>41835</v>
      </c>
      <c r="U44" s="82" t="s">
        <v>40</v>
      </c>
      <c r="V44" s="79">
        <f t="shared" si="8"/>
        <v>134126.3646264</v>
      </c>
      <c r="W44" s="80">
        <v>155.72999999999999</v>
      </c>
      <c r="X44" s="79">
        <f t="shared" si="9"/>
        <v>20887498.763269272</v>
      </c>
      <c r="Y44" s="79" t="s">
        <v>40</v>
      </c>
      <c r="Z44" s="84" t="s">
        <v>40</v>
      </c>
      <c r="AA44" s="83" t="s">
        <v>40</v>
      </c>
    </row>
    <row r="45" spans="1:27" s="85" customFormat="1" ht="90.75" customHeight="1" x14ac:dyDescent="0.45">
      <c r="A45" s="339">
        <v>16</v>
      </c>
      <c r="B45" s="71" t="s">
        <v>95</v>
      </c>
      <c r="C45" s="299" t="s">
        <v>48</v>
      </c>
      <c r="D45" s="299" t="s">
        <v>48</v>
      </c>
      <c r="E45" s="299" t="s">
        <v>40</v>
      </c>
      <c r="F45" s="299" t="s">
        <v>40</v>
      </c>
      <c r="G45" s="72" t="s">
        <v>35</v>
      </c>
      <c r="H45" s="73" t="s">
        <v>33</v>
      </c>
      <c r="I45" s="73">
        <v>27090000</v>
      </c>
      <c r="J45" s="74">
        <v>41745</v>
      </c>
      <c r="K45" s="75" t="s">
        <v>116</v>
      </c>
      <c r="L45" s="76" t="s">
        <v>31</v>
      </c>
      <c r="M45" s="73" t="s">
        <v>138</v>
      </c>
      <c r="N45" s="77" t="s">
        <v>131</v>
      </c>
      <c r="O45" s="78">
        <v>904411</v>
      </c>
      <c r="P45" s="79">
        <f t="shared" si="5"/>
        <v>100759525.09900001</v>
      </c>
      <c r="Q45" s="79">
        <f t="shared" si="6"/>
        <v>15691280843.667271</v>
      </c>
      <c r="R45" s="79" t="s">
        <v>25</v>
      </c>
      <c r="S45" s="80">
        <v>111.40900000000001</v>
      </c>
      <c r="T45" s="81">
        <f t="shared" si="7"/>
        <v>41835</v>
      </c>
      <c r="U45" s="82" t="s">
        <v>40</v>
      </c>
      <c r="V45" s="79">
        <f t="shared" si="8"/>
        <v>120911.4301188</v>
      </c>
      <c r="W45" s="80">
        <v>155.72999999999999</v>
      </c>
      <c r="X45" s="79">
        <f t="shared" si="9"/>
        <v>18829537.01240072</v>
      </c>
      <c r="Y45" s="79" t="s">
        <v>40</v>
      </c>
      <c r="Z45" s="84" t="s">
        <v>40</v>
      </c>
      <c r="AA45" s="83" t="s">
        <v>40</v>
      </c>
    </row>
    <row r="46" spans="1:27" s="85" customFormat="1" ht="90.75" customHeight="1" x14ac:dyDescent="0.45">
      <c r="A46" s="339">
        <v>17</v>
      </c>
      <c r="B46" s="71" t="s">
        <v>96</v>
      </c>
      <c r="C46" s="299" t="s">
        <v>48</v>
      </c>
      <c r="D46" s="299" t="s">
        <v>48</v>
      </c>
      <c r="E46" s="299" t="s">
        <v>40</v>
      </c>
      <c r="F46" s="299" t="s">
        <v>40</v>
      </c>
      <c r="G46" s="72" t="s">
        <v>35</v>
      </c>
      <c r="H46" s="73" t="s">
        <v>33</v>
      </c>
      <c r="I46" s="73">
        <v>27090000</v>
      </c>
      <c r="J46" s="74">
        <v>41748</v>
      </c>
      <c r="K46" s="75" t="s">
        <v>117</v>
      </c>
      <c r="L46" s="76" t="s">
        <v>31</v>
      </c>
      <c r="M46" s="73" t="s">
        <v>36</v>
      </c>
      <c r="N46" s="77" t="s">
        <v>45</v>
      </c>
      <c r="O46" s="78">
        <v>949977</v>
      </c>
      <c r="P46" s="79">
        <f t="shared" si="5"/>
        <v>105701090.859</v>
      </c>
      <c r="Q46" s="79">
        <f t="shared" si="6"/>
        <v>16460830879.472069</v>
      </c>
      <c r="R46" s="79" t="s">
        <v>25</v>
      </c>
      <c r="S46" s="80">
        <v>111.267</v>
      </c>
      <c r="T46" s="81">
        <f t="shared" si="7"/>
        <v>41838</v>
      </c>
      <c r="U46" s="82" t="s">
        <v>40</v>
      </c>
      <c r="V46" s="79">
        <f t="shared" si="8"/>
        <v>126841.30903079998</v>
      </c>
      <c r="W46" s="80">
        <v>155.72999999999999</v>
      </c>
      <c r="X46" s="79">
        <f t="shared" si="9"/>
        <v>19752997.055366479</v>
      </c>
      <c r="Y46" s="79" t="s">
        <v>40</v>
      </c>
      <c r="Z46" s="84" t="s">
        <v>40</v>
      </c>
      <c r="AA46" s="83" t="s">
        <v>40</v>
      </c>
    </row>
    <row r="47" spans="1:27" s="85" customFormat="1" ht="90.75" customHeight="1" x14ac:dyDescent="0.45">
      <c r="A47" s="339">
        <v>18</v>
      </c>
      <c r="B47" s="71" t="s">
        <v>97</v>
      </c>
      <c r="C47" s="299" t="s">
        <v>48</v>
      </c>
      <c r="D47" s="299" t="s">
        <v>48</v>
      </c>
      <c r="E47" s="299" t="s">
        <v>40</v>
      </c>
      <c r="F47" s="299" t="s">
        <v>40</v>
      </c>
      <c r="G47" s="72" t="s">
        <v>44</v>
      </c>
      <c r="H47" s="73" t="s">
        <v>34</v>
      </c>
      <c r="I47" s="73">
        <v>27090000</v>
      </c>
      <c r="J47" s="74">
        <v>41748</v>
      </c>
      <c r="K47" s="75" t="s">
        <v>118</v>
      </c>
      <c r="L47" s="76" t="s">
        <v>32</v>
      </c>
      <c r="M47" s="73" t="s">
        <v>42</v>
      </c>
      <c r="N47" s="77" t="s">
        <v>47</v>
      </c>
      <c r="O47" s="78">
        <v>659717</v>
      </c>
      <c r="P47" s="79">
        <f t="shared" si="5"/>
        <v>73404731.438999996</v>
      </c>
      <c r="Q47" s="79">
        <f t="shared" si="6"/>
        <v>11431318826.995468</v>
      </c>
      <c r="R47" s="79" t="s">
        <v>25</v>
      </c>
      <c r="S47" s="80">
        <v>111.267</v>
      </c>
      <c r="T47" s="81">
        <f t="shared" si="7"/>
        <v>41838</v>
      </c>
      <c r="U47" s="82" t="s">
        <v>40</v>
      </c>
      <c r="V47" s="79">
        <f t="shared" si="8"/>
        <v>88085.677726799986</v>
      </c>
      <c r="W47" s="80">
        <v>155.72999999999999</v>
      </c>
      <c r="X47" s="79">
        <f t="shared" si="9"/>
        <v>13717582.592394561</v>
      </c>
      <c r="Y47" s="79" t="s">
        <v>40</v>
      </c>
      <c r="Z47" s="84" t="s">
        <v>40</v>
      </c>
      <c r="AA47" s="83" t="s">
        <v>40</v>
      </c>
    </row>
    <row r="48" spans="1:27" s="85" customFormat="1" ht="90.75" customHeight="1" x14ac:dyDescent="0.45">
      <c r="A48" s="339">
        <v>19</v>
      </c>
      <c r="B48" s="71" t="s">
        <v>98</v>
      </c>
      <c r="C48" s="299" t="s">
        <v>48</v>
      </c>
      <c r="D48" s="299" t="s">
        <v>48</v>
      </c>
      <c r="E48" s="299" t="s">
        <v>40</v>
      </c>
      <c r="F48" s="299" t="s">
        <v>40</v>
      </c>
      <c r="G48" s="72" t="s">
        <v>44</v>
      </c>
      <c r="H48" s="73" t="s">
        <v>34</v>
      </c>
      <c r="I48" s="73">
        <v>27090000</v>
      </c>
      <c r="J48" s="74">
        <v>41748</v>
      </c>
      <c r="K48" s="75" t="s">
        <v>118</v>
      </c>
      <c r="L48" s="76" t="s">
        <v>32</v>
      </c>
      <c r="M48" s="73" t="s">
        <v>42</v>
      </c>
      <c r="N48" s="77" t="s">
        <v>47</v>
      </c>
      <c r="O48" s="78">
        <v>100000</v>
      </c>
      <c r="P48" s="79">
        <f t="shared" si="5"/>
        <v>11126700</v>
      </c>
      <c r="Q48" s="79">
        <f t="shared" si="6"/>
        <v>1732760991</v>
      </c>
      <c r="R48" s="79" t="s">
        <v>25</v>
      </c>
      <c r="S48" s="80">
        <v>111.267</v>
      </c>
      <c r="T48" s="81">
        <f t="shared" si="7"/>
        <v>41838</v>
      </c>
      <c r="U48" s="82" t="s">
        <v>40</v>
      </c>
      <c r="V48" s="79">
        <f t="shared" si="8"/>
        <v>13352.039999999999</v>
      </c>
      <c r="W48" s="80">
        <v>155.72999999999999</v>
      </c>
      <c r="X48" s="79">
        <f t="shared" si="9"/>
        <v>2079313.1891999997</v>
      </c>
      <c r="Y48" s="79" t="s">
        <v>40</v>
      </c>
      <c r="Z48" s="84" t="s">
        <v>40</v>
      </c>
      <c r="AA48" s="83" t="s">
        <v>40</v>
      </c>
    </row>
    <row r="49" spans="1:27" s="85" customFormat="1" ht="90.75" customHeight="1" x14ac:dyDescent="0.45">
      <c r="A49" s="339">
        <v>20</v>
      </c>
      <c r="B49" s="71" t="s">
        <v>99</v>
      </c>
      <c r="C49" s="299" t="s">
        <v>48</v>
      </c>
      <c r="D49" s="299" t="s">
        <v>48</v>
      </c>
      <c r="E49" s="299" t="s">
        <v>40</v>
      </c>
      <c r="F49" s="299" t="s">
        <v>40</v>
      </c>
      <c r="G49" s="72" t="s">
        <v>49</v>
      </c>
      <c r="H49" s="73" t="s">
        <v>34</v>
      </c>
      <c r="I49" s="73">
        <v>27090000</v>
      </c>
      <c r="J49" s="74">
        <v>41748</v>
      </c>
      <c r="K49" s="75" t="s">
        <v>118</v>
      </c>
      <c r="L49" s="76" t="s">
        <v>32</v>
      </c>
      <c r="M49" s="73" t="s">
        <v>42</v>
      </c>
      <c r="N49" s="77" t="s">
        <v>47</v>
      </c>
      <c r="O49" s="78">
        <v>100000</v>
      </c>
      <c r="P49" s="79">
        <f t="shared" si="5"/>
        <v>11126700</v>
      </c>
      <c r="Q49" s="79">
        <f t="shared" si="6"/>
        <v>1732760991</v>
      </c>
      <c r="R49" s="79" t="s">
        <v>25</v>
      </c>
      <c r="S49" s="80">
        <v>111.267</v>
      </c>
      <c r="T49" s="81">
        <f t="shared" si="7"/>
        <v>41838</v>
      </c>
      <c r="U49" s="82" t="s">
        <v>40</v>
      </c>
      <c r="V49" s="79">
        <f t="shared" si="8"/>
        <v>13352.039999999999</v>
      </c>
      <c r="W49" s="80">
        <v>155.72999999999999</v>
      </c>
      <c r="X49" s="79">
        <f t="shared" si="9"/>
        <v>2079313.1891999997</v>
      </c>
      <c r="Y49" s="79" t="s">
        <v>40</v>
      </c>
      <c r="Z49" s="84" t="s">
        <v>40</v>
      </c>
      <c r="AA49" s="83" t="s">
        <v>40</v>
      </c>
    </row>
    <row r="50" spans="1:27" s="85" customFormat="1" ht="90.75" customHeight="1" x14ac:dyDescent="0.45">
      <c r="A50" s="339">
        <v>21</v>
      </c>
      <c r="B50" s="71" t="s">
        <v>100</v>
      </c>
      <c r="C50" s="299" t="s">
        <v>48</v>
      </c>
      <c r="D50" s="299" t="s">
        <v>48</v>
      </c>
      <c r="E50" s="335" t="s">
        <v>156</v>
      </c>
      <c r="F50" s="299" t="s">
        <v>157</v>
      </c>
      <c r="G50" s="72" t="s">
        <v>50</v>
      </c>
      <c r="H50" s="73" t="s">
        <v>34</v>
      </c>
      <c r="I50" s="73">
        <v>27090000</v>
      </c>
      <c r="J50" s="86">
        <v>41748</v>
      </c>
      <c r="K50" s="75" t="s">
        <v>118</v>
      </c>
      <c r="L50" s="76" t="s">
        <v>32</v>
      </c>
      <c r="M50" s="73" t="s">
        <v>42</v>
      </c>
      <c r="N50" s="87" t="s">
        <v>47</v>
      </c>
      <c r="O50" s="78">
        <v>140000</v>
      </c>
      <c r="P50" s="79">
        <f t="shared" si="5"/>
        <v>15577380</v>
      </c>
      <c r="Q50" s="79">
        <f t="shared" si="6"/>
        <v>2425865387.3999996</v>
      </c>
      <c r="R50" s="79" t="s">
        <v>25</v>
      </c>
      <c r="S50" s="80">
        <v>111.267</v>
      </c>
      <c r="T50" s="81">
        <f t="shared" si="7"/>
        <v>41838</v>
      </c>
      <c r="U50" s="82" t="s">
        <v>40</v>
      </c>
      <c r="V50" s="79">
        <f t="shared" si="8"/>
        <v>18692.856</v>
      </c>
      <c r="W50" s="80">
        <v>155.72999999999999</v>
      </c>
      <c r="X50" s="79">
        <f t="shared" si="9"/>
        <v>2911038.4648799999</v>
      </c>
      <c r="Y50" s="79" t="s">
        <v>40</v>
      </c>
      <c r="Z50" s="84" t="s">
        <v>40</v>
      </c>
      <c r="AA50" s="83" t="s">
        <v>40</v>
      </c>
    </row>
    <row r="51" spans="1:27" s="85" customFormat="1" ht="90.75" customHeight="1" x14ac:dyDescent="0.45">
      <c r="A51" s="339">
        <v>22</v>
      </c>
      <c r="B51" s="71" t="s">
        <v>101</v>
      </c>
      <c r="C51" s="303" t="s">
        <v>147</v>
      </c>
      <c r="D51" s="334">
        <v>41764</v>
      </c>
      <c r="E51" s="299" t="s">
        <v>158</v>
      </c>
      <c r="F51" s="299" t="s">
        <v>46</v>
      </c>
      <c r="G51" s="72" t="s">
        <v>38</v>
      </c>
      <c r="H51" s="73" t="s">
        <v>33</v>
      </c>
      <c r="I51" s="73">
        <v>27090000</v>
      </c>
      <c r="J51" s="86">
        <v>41749</v>
      </c>
      <c r="K51" s="75" t="s">
        <v>119</v>
      </c>
      <c r="L51" s="88" t="s">
        <v>31</v>
      </c>
      <c r="M51" s="73" t="s">
        <v>136</v>
      </c>
      <c r="N51" s="77" t="s">
        <v>132</v>
      </c>
      <c r="O51" s="78">
        <v>901877</v>
      </c>
      <c r="P51" s="79">
        <f t="shared" si="5"/>
        <v>100268881.10599999</v>
      </c>
      <c r="Q51" s="79">
        <f t="shared" si="6"/>
        <v>15614872854.637377</v>
      </c>
      <c r="R51" s="79" t="s">
        <v>25</v>
      </c>
      <c r="S51" s="80">
        <v>111.178</v>
      </c>
      <c r="T51" s="81">
        <f t="shared" si="7"/>
        <v>41839</v>
      </c>
      <c r="U51" s="82" t="s">
        <v>40</v>
      </c>
      <c r="V51" s="79">
        <f t="shared" si="8"/>
        <v>120322.65732719998</v>
      </c>
      <c r="W51" s="80">
        <v>155.72999999999999</v>
      </c>
      <c r="X51" s="79">
        <f t="shared" si="9"/>
        <v>18737847.425564852</v>
      </c>
      <c r="Y51" s="79" t="s">
        <v>40</v>
      </c>
      <c r="Z51" s="84" t="s">
        <v>40</v>
      </c>
      <c r="AA51" s="83" t="s">
        <v>40</v>
      </c>
    </row>
    <row r="52" spans="1:27" s="85" customFormat="1" ht="90.75" customHeight="1" x14ac:dyDescent="0.45">
      <c r="A52" s="339">
        <v>23</v>
      </c>
      <c r="B52" s="71" t="s">
        <v>102</v>
      </c>
      <c r="C52" s="299" t="s">
        <v>48</v>
      </c>
      <c r="D52" s="299" t="s">
        <v>48</v>
      </c>
      <c r="E52" s="299" t="s">
        <v>40</v>
      </c>
      <c r="F52" s="299" t="s">
        <v>40</v>
      </c>
      <c r="G52" s="72" t="s">
        <v>126</v>
      </c>
      <c r="H52" s="73" t="s">
        <v>125</v>
      </c>
      <c r="I52" s="73">
        <v>27090000</v>
      </c>
      <c r="J52" s="86">
        <v>41752</v>
      </c>
      <c r="K52" s="75" t="s">
        <v>120</v>
      </c>
      <c r="L52" s="88" t="s">
        <v>124</v>
      </c>
      <c r="M52" s="73" t="s">
        <v>139</v>
      </c>
      <c r="N52" s="77" t="s">
        <v>133</v>
      </c>
      <c r="O52" s="78">
        <v>958098</v>
      </c>
      <c r="P52" s="79">
        <f t="shared" ref="P52:P58" si="10">O52*S52</f>
        <v>108739332.51000001</v>
      </c>
      <c r="Q52" s="79">
        <f t="shared" ref="Q52:Q58" si="11">P52*W52</f>
        <v>16933976251.782299</v>
      </c>
      <c r="R52" s="79" t="s">
        <v>25</v>
      </c>
      <c r="S52" s="80">
        <v>113.495</v>
      </c>
      <c r="T52" s="81">
        <f t="shared" si="7"/>
        <v>41842</v>
      </c>
      <c r="U52" s="82" t="s">
        <v>40</v>
      </c>
      <c r="V52" s="79">
        <f t="shared" ref="V52:V58" si="12">P52*0.12%</f>
        <v>130487.199012</v>
      </c>
      <c r="W52" s="80">
        <v>155.72999999999999</v>
      </c>
      <c r="X52" s="79">
        <f t="shared" si="9"/>
        <v>20320771.50213876</v>
      </c>
      <c r="Y52" s="79" t="s">
        <v>40</v>
      </c>
      <c r="Z52" s="84" t="s">
        <v>40</v>
      </c>
      <c r="AA52" s="83" t="s">
        <v>40</v>
      </c>
    </row>
    <row r="53" spans="1:27" s="85" customFormat="1" ht="90.75" customHeight="1" x14ac:dyDescent="0.45">
      <c r="A53" s="339">
        <v>24</v>
      </c>
      <c r="B53" s="71" t="s">
        <v>103</v>
      </c>
      <c r="C53" s="299" t="s">
        <v>48</v>
      </c>
      <c r="D53" s="299" t="s">
        <v>48</v>
      </c>
      <c r="E53" s="299" t="s">
        <v>40</v>
      </c>
      <c r="F53" s="299" t="s">
        <v>40</v>
      </c>
      <c r="G53" s="72" t="s">
        <v>38</v>
      </c>
      <c r="H53" s="73" t="s">
        <v>34</v>
      </c>
      <c r="I53" s="73">
        <v>27090000</v>
      </c>
      <c r="J53" s="86">
        <v>41752</v>
      </c>
      <c r="K53" s="75" t="s">
        <v>61</v>
      </c>
      <c r="L53" s="88" t="s">
        <v>32</v>
      </c>
      <c r="M53" s="73" t="s">
        <v>75</v>
      </c>
      <c r="N53" s="77" t="s">
        <v>134</v>
      </c>
      <c r="O53" s="78">
        <v>999216</v>
      </c>
      <c r="P53" s="79">
        <f t="shared" si="10"/>
        <v>111357627.11999999</v>
      </c>
      <c r="Q53" s="79">
        <f t="shared" si="11"/>
        <v>17341723271.397598</v>
      </c>
      <c r="R53" s="79" t="s">
        <v>25</v>
      </c>
      <c r="S53" s="80">
        <v>111.44499999999999</v>
      </c>
      <c r="T53" s="81">
        <f t="shared" si="7"/>
        <v>41842</v>
      </c>
      <c r="U53" s="82" t="s">
        <v>40</v>
      </c>
      <c r="V53" s="79">
        <f t="shared" si="12"/>
        <v>133629.15254399998</v>
      </c>
      <c r="W53" s="80">
        <v>155.72999999999999</v>
      </c>
      <c r="X53" s="79">
        <f t="shared" si="9"/>
        <v>20810067.925677117</v>
      </c>
      <c r="Y53" s="79" t="s">
        <v>40</v>
      </c>
      <c r="Z53" s="84" t="s">
        <v>40</v>
      </c>
      <c r="AA53" s="273" t="s">
        <v>40</v>
      </c>
    </row>
    <row r="54" spans="1:27" s="85" customFormat="1" ht="90.75" customHeight="1" x14ac:dyDescent="0.45">
      <c r="A54" s="339">
        <v>25</v>
      </c>
      <c r="B54" s="71" t="s">
        <v>104</v>
      </c>
      <c r="C54" s="303" t="s">
        <v>148</v>
      </c>
      <c r="D54" s="334">
        <v>41764</v>
      </c>
      <c r="E54" s="299" t="s">
        <v>159</v>
      </c>
      <c r="F54" s="299" t="s">
        <v>46</v>
      </c>
      <c r="G54" s="72" t="s">
        <v>38</v>
      </c>
      <c r="H54" s="73" t="s">
        <v>33</v>
      </c>
      <c r="I54" s="73">
        <v>27090000</v>
      </c>
      <c r="J54" s="86">
        <v>41753</v>
      </c>
      <c r="K54" s="75" t="s">
        <v>121</v>
      </c>
      <c r="L54" s="88" t="s">
        <v>31</v>
      </c>
      <c r="M54" s="73" t="s">
        <v>42</v>
      </c>
      <c r="N54" s="77" t="s">
        <v>47</v>
      </c>
      <c r="O54" s="78">
        <v>949955</v>
      </c>
      <c r="P54" s="79">
        <f t="shared" si="10"/>
        <v>106045376.56</v>
      </c>
      <c r="Q54" s="79">
        <f t="shared" si="11"/>
        <v>16514446491.688799</v>
      </c>
      <c r="R54" s="79" t="s">
        <v>25</v>
      </c>
      <c r="S54" s="80">
        <v>111.63200000000001</v>
      </c>
      <c r="T54" s="81">
        <f t="shared" si="7"/>
        <v>41843</v>
      </c>
      <c r="U54" s="82" t="s">
        <v>40</v>
      </c>
      <c r="V54" s="79">
        <f t="shared" si="12"/>
        <v>127254.45187199999</v>
      </c>
      <c r="W54" s="80">
        <v>155.72999999999999</v>
      </c>
      <c r="X54" s="79">
        <f t="shared" si="9"/>
        <v>19817335.790026557</v>
      </c>
      <c r="Y54" s="79" t="s">
        <v>40</v>
      </c>
      <c r="Z54" s="84" t="s">
        <v>40</v>
      </c>
      <c r="AA54" s="83" t="s">
        <v>40</v>
      </c>
    </row>
    <row r="55" spans="1:27" s="85" customFormat="1" ht="90.75" customHeight="1" x14ac:dyDescent="0.45">
      <c r="A55" s="339">
        <v>26</v>
      </c>
      <c r="B55" s="71" t="s">
        <v>105</v>
      </c>
      <c r="C55" s="299" t="s">
        <v>48</v>
      </c>
      <c r="D55" s="299" t="s">
        <v>48</v>
      </c>
      <c r="E55" s="299" t="s">
        <v>40</v>
      </c>
      <c r="F55" s="299" t="s">
        <v>40</v>
      </c>
      <c r="G55" s="72" t="s">
        <v>38</v>
      </c>
      <c r="H55" s="73" t="s">
        <v>34</v>
      </c>
      <c r="I55" s="73">
        <v>27090000</v>
      </c>
      <c r="J55" s="86">
        <v>41754</v>
      </c>
      <c r="K55" s="75" t="s">
        <v>57</v>
      </c>
      <c r="L55" s="88" t="s">
        <v>32</v>
      </c>
      <c r="M55" s="73" t="s">
        <v>74</v>
      </c>
      <c r="N55" s="77" t="s">
        <v>69</v>
      </c>
      <c r="O55" s="78">
        <v>682856</v>
      </c>
      <c r="P55" s="79">
        <f t="shared" si="10"/>
        <v>76338520.807999998</v>
      </c>
      <c r="Q55" s="79">
        <f t="shared" si="11"/>
        <v>11888197845.429838</v>
      </c>
      <c r="R55" s="79" t="s">
        <v>25</v>
      </c>
      <c r="S55" s="80">
        <v>111.79300000000001</v>
      </c>
      <c r="T55" s="81">
        <f t="shared" si="7"/>
        <v>41844</v>
      </c>
      <c r="U55" s="82" t="s">
        <v>40</v>
      </c>
      <c r="V55" s="79">
        <f t="shared" si="12"/>
        <v>91606.224969599993</v>
      </c>
      <c r="W55" s="80">
        <v>155.72999999999999</v>
      </c>
      <c r="X55" s="79">
        <f t="shared" si="9"/>
        <v>14265837.414515806</v>
      </c>
      <c r="Y55" s="79" t="s">
        <v>40</v>
      </c>
      <c r="Z55" s="84" t="s">
        <v>40</v>
      </c>
      <c r="AA55" s="83" t="s">
        <v>40</v>
      </c>
    </row>
    <row r="56" spans="1:27" s="85" customFormat="1" ht="90.75" customHeight="1" x14ac:dyDescent="0.45">
      <c r="A56" s="339">
        <v>27</v>
      </c>
      <c r="B56" s="71" t="s">
        <v>106</v>
      </c>
      <c r="C56" s="303" t="s">
        <v>149</v>
      </c>
      <c r="D56" s="334">
        <v>41764</v>
      </c>
      <c r="E56" s="299" t="s">
        <v>160</v>
      </c>
      <c r="F56" s="299" t="s">
        <v>46</v>
      </c>
      <c r="G56" s="72" t="s">
        <v>38</v>
      </c>
      <c r="H56" s="73" t="s">
        <v>33</v>
      </c>
      <c r="I56" s="73">
        <v>27090000</v>
      </c>
      <c r="J56" s="86">
        <v>41755</v>
      </c>
      <c r="K56" s="75" t="s">
        <v>122</v>
      </c>
      <c r="L56" s="88" t="s">
        <v>31</v>
      </c>
      <c r="M56" s="73" t="s">
        <v>140</v>
      </c>
      <c r="N56" s="77" t="s">
        <v>135</v>
      </c>
      <c r="O56" s="78">
        <v>916856</v>
      </c>
      <c r="P56" s="79">
        <f t="shared" si="10"/>
        <v>102649364.04799999</v>
      </c>
      <c r="Q56" s="79">
        <f t="shared" si="11"/>
        <v>15985585463.195038</v>
      </c>
      <c r="R56" s="79" t="s">
        <v>25</v>
      </c>
      <c r="S56" s="80">
        <v>111.958</v>
      </c>
      <c r="T56" s="81">
        <f t="shared" si="7"/>
        <v>41845</v>
      </c>
      <c r="U56" s="82" t="s">
        <v>40</v>
      </c>
      <c r="V56" s="79">
        <f t="shared" si="12"/>
        <v>123179.23685759999</v>
      </c>
      <c r="W56" s="80">
        <v>155.72999999999999</v>
      </c>
      <c r="X56" s="79">
        <f t="shared" si="9"/>
        <v>19182702.555834044</v>
      </c>
      <c r="Y56" s="79" t="s">
        <v>40</v>
      </c>
      <c r="Z56" s="84" t="s">
        <v>40</v>
      </c>
      <c r="AA56" s="83" t="s">
        <v>40</v>
      </c>
    </row>
    <row r="57" spans="1:27" s="85" customFormat="1" ht="90.75" customHeight="1" x14ac:dyDescent="0.45">
      <c r="A57" s="339">
        <v>28</v>
      </c>
      <c r="B57" s="71" t="s">
        <v>107</v>
      </c>
      <c r="C57" s="299" t="s">
        <v>48</v>
      </c>
      <c r="D57" s="299" t="s">
        <v>48</v>
      </c>
      <c r="E57" s="299" t="s">
        <v>40</v>
      </c>
      <c r="F57" s="299" t="s">
        <v>40</v>
      </c>
      <c r="G57" s="72" t="s">
        <v>35</v>
      </c>
      <c r="H57" s="73" t="s">
        <v>33</v>
      </c>
      <c r="I57" s="73">
        <v>27090000</v>
      </c>
      <c r="J57" s="86">
        <v>41757</v>
      </c>
      <c r="K57" s="75" t="s">
        <v>123</v>
      </c>
      <c r="L57" s="88" t="s">
        <v>31</v>
      </c>
      <c r="M57" s="73" t="s">
        <v>42</v>
      </c>
      <c r="N57" s="77" t="s">
        <v>47</v>
      </c>
      <c r="O57" s="78">
        <v>950071</v>
      </c>
      <c r="P57" s="79">
        <f t="shared" si="10"/>
        <v>106231238.794</v>
      </c>
      <c r="Q57" s="79">
        <f t="shared" si="11"/>
        <v>16543390817.38962</v>
      </c>
      <c r="R57" s="79" t="s">
        <v>25</v>
      </c>
      <c r="S57" s="80">
        <v>111.81399999999999</v>
      </c>
      <c r="T57" s="81">
        <f t="shared" si="7"/>
        <v>41847</v>
      </c>
      <c r="U57" s="82" t="s">
        <v>40</v>
      </c>
      <c r="V57" s="79">
        <f t="shared" si="12"/>
        <v>127477.48655279999</v>
      </c>
      <c r="W57" s="80">
        <v>155.72999999999999</v>
      </c>
      <c r="X57" s="79">
        <f t="shared" si="9"/>
        <v>19852068.980867542</v>
      </c>
      <c r="Y57" s="79" t="s">
        <v>40</v>
      </c>
      <c r="Z57" s="84" t="s">
        <v>40</v>
      </c>
      <c r="AA57" s="83" t="s">
        <v>40</v>
      </c>
    </row>
    <row r="58" spans="1:27" s="85" customFormat="1" ht="90.75" customHeight="1" x14ac:dyDescent="0.45">
      <c r="A58" s="339">
        <v>29</v>
      </c>
      <c r="B58" s="71" t="s">
        <v>108</v>
      </c>
      <c r="C58" s="299" t="s">
        <v>48</v>
      </c>
      <c r="D58" s="299" t="s">
        <v>48</v>
      </c>
      <c r="E58" s="299" t="s">
        <v>40</v>
      </c>
      <c r="F58" s="299" t="s">
        <v>40</v>
      </c>
      <c r="G58" s="72" t="s">
        <v>35</v>
      </c>
      <c r="H58" s="73" t="s">
        <v>33</v>
      </c>
      <c r="I58" s="73">
        <v>27090000</v>
      </c>
      <c r="J58" s="86">
        <v>41759</v>
      </c>
      <c r="K58" s="75" t="s">
        <v>110</v>
      </c>
      <c r="L58" s="88" t="s">
        <v>31</v>
      </c>
      <c r="M58" s="73" t="s">
        <v>136</v>
      </c>
      <c r="N58" s="77" t="s">
        <v>129</v>
      </c>
      <c r="O58" s="78">
        <v>949866</v>
      </c>
      <c r="P58" s="79">
        <f t="shared" si="10"/>
        <v>106067736.756</v>
      </c>
      <c r="Q58" s="79">
        <f t="shared" si="11"/>
        <v>16517928645.011879</v>
      </c>
      <c r="R58" s="79" t="s">
        <v>25</v>
      </c>
      <c r="S58" s="80">
        <v>111.666</v>
      </c>
      <c r="T58" s="81">
        <f t="shared" si="7"/>
        <v>41849</v>
      </c>
      <c r="U58" s="82" t="s">
        <v>40</v>
      </c>
      <c r="V58" s="79">
        <f t="shared" si="12"/>
        <v>127281.28410719999</v>
      </c>
      <c r="W58" s="80">
        <v>155.72999999999999</v>
      </c>
      <c r="X58" s="79">
        <f t="shared" si="9"/>
        <v>19821514.374014251</v>
      </c>
      <c r="Y58" s="79" t="s">
        <v>40</v>
      </c>
      <c r="Z58" s="84" t="s">
        <v>40</v>
      </c>
      <c r="AA58" s="83" t="s">
        <v>40</v>
      </c>
    </row>
    <row r="59" spans="1:27" ht="48" customHeight="1" x14ac:dyDescent="0.45">
      <c r="A59" s="295"/>
      <c r="B59" s="280"/>
      <c r="C59" s="282"/>
      <c r="D59" s="281"/>
      <c r="E59" s="293"/>
      <c r="F59" s="282"/>
      <c r="G59" s="283"/>
      <c r="H59" s="284"/>
      <c r="I59" s="284"/>
      <c r="J59" s="285"/>
      <c r="K59" s="282"/>
      <c r="L59" s="286"/>
      <c r="M59" s="284"/>
      <c r="N59" s="287"/>
      <c r="O59" s="288"/>
      <c r="P59" s="289"/>
      <c r="Q59" s="289"/>
      <c r="R59" s="289"/>
      <c r="S59" s="290"/>
      <c r="T59" s="81"/>
      <c r="U59" s="292"/>
      <c r="V59" s="289"/>
      <c r="W59" s="290"/>
      <c r="X59" s="289"/>
      <c r="Y59" s="289"/>
      <c r="Z59" s="293"/>
      <c r="AA59" s="294"/>
    </row>
    <row r="60" spans="1:27" ht="48" customHeight="1" x14ac:dyDescent="0.45">
      <c r="A60" s="295"/>
      <c r="B60" s="284"/>
      <c r="C60" s="292"/>
      <c r="D60" s="281"/>
      <c r="E60" s="292"/>
      <c r="F60" s="292"/>
      <c r="G60" s="283"/>
      <c r="H60" s="284"/>
      <c r="I60" s="284"/>
      <c r="J60" s="296"/>
      <c r="K60" s="282"/>
      <c r="L60" s="282"/>
      <c r="M60" s="284"/>
      <c r="N60" s="297"/>
      <c r="O60" s="288"/>
      <c r="P60" s="289"/>
      <c r="Q60" s="289"/>
      <c r="R60" s="289"/>
      <c r="S60" s="290"/>
      <c r="T60" s="291"/>
      <c r="U60" s="282"/>
      <c r="V60" s="289"/>
      <c r="W60" s="290"/>
      <c r="X60" s="289"/>
      <c r="Y60" s="289"/>
      <c r="Z60" s="292"/>
      <c r="AA60" s="298"/>
    </row>
    <row r="61" spans="1:27" ht="53.25" customHeight="1" thickBot="1" x14ac:dyDescent="0.55000000000000004">
      <c r="A61" s="252"/>
      <c r="B61" s="253" t="s">
        <v>28</v>
      </c>
      <c r="C61" s="254"/>
      <c r="D61" s="255"/>
      <c r="E61" s="254"/>
      <c r="F61" s="254"/>
      <c r="G61" s="256"/>
      <c r="H61" s="253"/>
      <c r="I61" s="253"/>
      <c r="J61" s="257"/>
      <c r="K61" s="258"/>
      <c r="L61" s="258"/>
      <c r="M61" s="253"/>
      <c r="N61" s="259"/>
      <c r="O61" s="260">
        <f>SUM(O30:O58)</f>
        <v>20826544</v>
      </c>
      <c r="P61" s="261">
        <f>SUM(P30:P58)</f>
        <v>2296697745.6360002</v>
      </c>
      <c r="Q61" s="261">
        <f>SUM(Q30:Q58)</f>
        <v>357664739927.89423</v>
      </c>
      <c r="R61" s="261"/>
      <c r="S61" s="262"/>
      <c r="T61" s="263"/>
      <c r="U61" s="258"/>
      <c r="V61" s="261">
        <f>SUM(V30:V58)</f>
        <v>2756037.2947631995</v>
      </c>
      <c r="W61" s="262"/>
      <c r="X61" s="261">
        <f>SUM(X30:X58)</f>
        <v>429197687.91347301</v>
      </c>
      <c r="Y61" s="261">
        <f>SUM(Y30:Y58)</f>
        <v>0</v>
      </c>
      <c r="Z61" s="254"/>
      <c r="AA61" s="264"/>
    </row>
    <row r="62" spans="1:27" ht="15.75" customHeight="1" x14ac:dyDescent="0.2">
      <c r="A62" s="7"/>
      <c r="B62" s="8"/>
      <c r="C62" s="6"/>
      <c r="D62" s="17"/>
      <c r="E62" s="18"/>
      <c r="F62" s="6"/>
      <c r="G62" s="19"/>
      <c r="H62" s="6"/>
      <c r="I62" s="6"/>
      <c r="J62" s="20"/>
      <c r="K62" s="8"/>
      <c r="L62" s="8"/>
      <c r="M62" s="6"/>
      <c r="N62" s="6"/>
      <c r="O62" s="21"/>
      <c r="P62" s="22"/>
      <c r="Q62" s="22"/>
      <c r="R62" s="22"/>
      <c r="S62" s="27"/>
      <c r="V62" s="22"/>
      <c r="W62" s="27"/>
      <c r="X62" s="22"/>
      <c r="Y62" s="22"/>
      <c r="Z62" s="6"/>
      <c r="AA62" s="6"/>
    </row>
    <row r="63" spans="1:27" ht="15.75" customHeight="1" x14ac:dyDescent="0.2"/>
    <row r="64" spans="1:27" ht="15.75" customHeight="1" x14ac:dyDescent="0.2"/>
    <row r="73" spans="14:15" x14ac:dyDescent="0.2">
      <c r="N73" s="23"/>
      <c r="O73" s="24"/>
    </row>
  </sheetData>
  <mergeCells count="24">
    <mergeCell ref="O32:O33"/>
    <mergeCell ref="B32:B33"/>
    <mergeCell ref="D32:D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AA32:AA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1" max="25" man="1"/>
  </rowBreaks>
  <colBreaks count="1" manualBreakCount="1">
    <brk id="14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5"/>
  <sheetViews>
    <sheetView topLeftCell="A30" zoomScale="30" zoomScaleNormal="30" zoomScaleSheetLayoutView="10" workbookViewId="0">
      <selection activeCell="P51" sqref="P51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89" customFormat="1" ht="42" customHeight="1" x14ac:dyDescent="0.6">
      <c r="B18" s="90"/>
      <c r="C18" s="91"/>
      <c r="D18" s="91"/>
      <c r="E18" s="92"/>
      <c r="F18" s="91"/>
      <c r="G18" s="91"/>
      <c r="H18" s="91"/>
      <c r="I18" s="91"/>
      <c r="J18" s="93"/>
      <c r="K18" s="91"/>
      <c r="L18" s="91"/>
      <c r="M18" s="91"/>
      <c r="N18" s="91"/>
      <c r="O18" s="94"/>
      <c r="P18" s="95"/>
      <c r="Q18" s="95"/>
      <c r="R18" s="95"/>
      <c r="S18" s="96"/>
      <c r="T18" s="97"/>
      <c r="U18" s="91"/>
      <c r="V18" s="95"/>
      <c r="W18" s="96"/>
      <c r="X18" s="95"/>
      <c r="Y18" s="95"/>
      <c r="Z18" s="91"/>
      <c r="AA18" s="91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</row>
    <row r="19" spans="1:69" s="99" customFormat="1" ht="27" customHeight="1" x14ac:dyDescent="0.6">
      <c r="A19" s="240"/>
      <c r="B19" s="167"/>
      <c r="C19" s="166"/>
      <c r="D19" s="168"/>
      <c r="E19" s="169"/>
      <c r="F19" s="166"/>
      <c r="G19" s="170"/>
      <c r="H19" s="171"/>
      <c r="I19" s="172"/>
      <c r="J19" s="173"/>
      <c r="K19" s="167"/>
      <c r="L19" s="174"/>
      <c r="M19" s="172"/>
      <c r="N19" s="175"/>
      <c r="O19" s="176"/>
      <c r="P19" s="177"/>
      <c r="Q19" s="178"/>
      <c r="R19" s="179"/>
      <c r="S19" s="180"/>
      <c r="T19" s="181"/>
      <c r="U19" s="166"/>
      <c r="V19" s="178"/>
      <c r="W19" s="182"/>
      <c r="X19" s="179"/>
      <c r="Y19" s="179"/>
      <c r="Z19" s="169"/>
      <c r="AA19" s="168"/>
      <c r="AB19" s="324"/>
    </row>
    <row r="20" spans="1:69" s="100" customFormat="1" ht="72" customHeight="1" x14ac:dyDescent="0.6">
      <c r="A20" s="241"/>
      <c r="B20" s="220" t="s">
        <v>79</v>
      </c>
      <c r="C20" s="131"/>
      <c r="D20" s="131"/>
      <c r="E20" s="221"/>
      <c r="F20" s="131"/>
      <c r="G20" s="131"/>
      <c r="H20" s="131"/>
      <c r="I20" s="131"/>
      <c r="J20" s="222"/>
      <c r="K20" s="131"/>
      <c r="L20" s="131"/>
      <c r="M20" s="131"/>
      <c r="N20" s="131"/>
      <c r="O20" s="223"/>
      <c r="P20" s="194"/>
      <c r="Q20" s="194"/>
      <c r="R20" s="194"/>
      <c r="S20" s="224"/>
      <c r="T20" s="185"/>
      <c r="U20" s="131"/>
      <c r="V20" s="194"/>
      <c r="W20" s="224"/>
      <c r="X20" s="194"/>
      <c r="Y20" s="194"/>
      <c r="Z20" s="131"/>
      <c r="AA20" s="131"/>
      <c r="AB20" s="107"/>
    </row>
    <row r="21" spans="1:69" s="127" customFormat="1" ht="72" customHeight="1" thickBot="1" x14ac:dyDescent="0.6">
      <c r="A21" s="239"/>
      <c r="B21" s="184"/>
      <c r="C21" s="183"/>
      <c r="D21" s="185"/>
      <c r="E21" s="186"/>
      <c r="F21" s="183"/>
      <c r="G21" s="187"/>
      <c r="H21" s="188"/>
      <c r="I21" s="189"/>
      <c r="J21" s="190"/>
      <c r="K21" s="184"/>
      <c r="L21" s="191"/>
      <c r="M21" s="189"/>
      <c r="N21" s="192"/>
      <c r="O21" s="193"/>
      <c r="P21" s="194"/>
      <c r="Q21" s="195"/>
      <c r="R21" s="196"/>
      <c r="S21" s="197"/>
      <c r="T21" s="198"/>
      <c r="U21" s="183"/>
      <c r="V21" s="195"/>
      <c r="W21" s="199"/>
      <c r="X21" s="196"/>
      <c r="Y21" s="196"/>
      <c r="Z21" s="186"/>
      <c r="AA21" s="185"/>
      <c r="AB21" s="325"/>
    </row>
    <row r="22" spans="1:69" s="91" customFormat="1" ht="72" customHeight="1" x14ac:dyDescent="0.55000000000000004">
      <c r="A22" s="112">
        <v>1</v>
      </c>
      <c r="B22" s="113">
        <v>2</v>
      </c>
      <c r="C22" s="113">
        <v>3</v>
      </c>
      <c r="D22" s="114">
        <v>4</v>
      </c>
      <c r="E22" s="113">
        <v>5</v>
      </c>
      <c r="F22" s="113">
        <v>6</v>
      </c>
      <c r="G22" s="115">
        <v>7</v>
      </c>
      <c r="H22" s="113">
        <v>8</v>
      </c>
      <c r="I22" s="113">
        <v>9</v>
      </c>
      <c r="J22" s="113">
        <v>10</v>
      </c>
      <c r="K22" s="113">
        <v>11</v>
      </c>
      <c r="L22" s="113">
        <v>12</v>
      </c>
      <c r="M22" s="113">
        <v>13</v>
      </c>
      <c r="N22" s="113">
        <v>14</v>
      </c>
      <c r="O22" s="113">
        <v>15</v>
      </c>
      <c r="P22" s="113">
        <v>16</v>
      </c>
      <c r="Q22" s="113">
        <v>17</v>
      </c>
      <c r="R22" s="113">
        <v>18</v>
      </c>
      <c r="S22" s="113">
        <v>19</v>
      </c>
      <c r="T22" s="113">
        <v>20</v>
      </c>
      <c r="U22" s="113">
        <v>21</v>
      </c>
      <c r="V22" s="113">
        <v>22</v>
      </c>
      <c r="W22" s="113">
        <v>23</v>
      </c>
      <c r="X22" s="113">
        <v>24</v>
      </c>
      <c r="Y22" s="113">
        <v>25</v>
      </c>
      <c r="Z22" s="113">
        <v>26</v>
      </c>
      <c r="AA22" s="116">
        <v>27</v>
      </c>
    </row>
    <row r="23" spans="1:69" s="91" customFormat="1" ht="72" customHeight="1" thickBot="1" x14ac:dyDescent="0.6">
      <c r="A23" s="117" t="s">
        <v>0</v>
      </c>
      <c r="B23" s="118" t="s">
        <v>1</v>
      </c>
      <c r="C23" s="119" t="s">
        <v>2</v>
      </c>
      <c r="D23" s="120" t="s">
        <v>3</v>
      </c>
      <c r="E23" s="121" t="s">
        <v>4</v>
      </c>
      <c r="F23" s="118" t="s">
        <v>5</v>
      </c>
      <c r="G23" s="122" t="s">
        <v>6</v>
      </c>
      <c r="H23" s="119" t="s">
        <v>7</v>
      </c>
      <c r="I23" s="119" t="s">
        <v>8</v>
      </c>
      <c r="J23" s="120" t="s">
        <v>9</v>
      </c>
      <c r="K23" s="118" t="s">
        <v>10</v>
      </c>
      <c r="L23" s="118" t="s">
        <v>11</v>
      </c>
      <c r="M23" s="119" t="s">
        <v>12</v>
      </c>
      <c r="N23" s="119" t="s">
        <v>13</v>
      </c>
      <c r="O23" s="123" t="s">
        <v>14</v>
      </c>
      <c r="P23" s="124" t="s">
        <v>29</v>
      </c>
      <c r="Q23" s="124" t="s">
        <v>37</v>
      </c>
      <c r="R23" s="124" t="s">
        <v>15</v>
      </c>
      <c r="S23" s="125" t="s">
        <v>16</v>
      </c>
      <c r="T23" s="120" t="s">
        <v>17</v>
      </c>
      <c r="U23" s="119" t="s">
        <v>18</v>
      </c>
      <c r="V23" s="124" t="s">
        <v>19</v>
      </c>
      <c r="W23" s="125" t="s">
        <v>30</v>
      </c>
      <c r="X23" s="124" t="s">
        <v>21</v>
      </c>
      <c r="Y23" s="124" t="s">
        <v>22</v>
      </c>
      <c r="Z23" s="119" t="s">
        <v>24</v>
      </c>
      <c r="AA23" s="126" t="s">
        <v>23</v>
      </c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</row>
    <row r="24" spans="1:69" s="91" customFormat="1" ht="72" customHeight="1" x14ac:dyDescent="0.55000000000000004">
      <c r="A24" s="226">
        <v>1</v>
      </c>
      <c r="B24" s="228" t="s">
        <v>166</v>
      </c>
      <c r="C24" s="242" t="s">
        <v>169</v>
      </c>
      <c r="D24" s="243">
        <v>41771</v>
      </c>
      <c r="E24" s="244" t="s">
        <v>168</v>
      </c>
      <c r="F24" s="227" t="s">
        <v>157</v>
      </c>
      <c r="G24" s="227" t="s">
        <v>50</v>
      </c>
      <c r="H24" s="227" t="s">
        <v>34</v>
      </c>
      <c r="I24" s="227">
        <v>27090000</v>
      </c>
      <c r="J24" s="229">
        <v>41608</v>
      </c>
      <c r="K24" s="228" t="s">
        <v>165</v>
      </c>
      <c r="L24" s="228" t="s">
        <v>32</v>
      </c>
      <c r="M24" s="227" t="s">
        <v>54</v>
      </c>
      <c r="N24" s="227" t="s">
        <v>54</v>
      </c>
      <c r="O24" s="230">
        <v>130000</v>
      </c>
      <c r="P24" s="245">
        <f>O24*S24</f>
        <v>14660230</v>
      </c>
      <c r="Q24" s="231">
        <f>P24*W24</f>
        <v>2277173525.9000001</v>
      </c>
      <c r="R24" s="231" t="s">
        <v>25</v>
      </c>
      <c r="S24" s="246">
        <v>112.771</v>
      </c>
      <c r="T24" s="229">
        <f>J24+90</f>
        <v>41698</v>
      </c>
      <c r="U24" s="247" t="s">
        <v>157</v>
      </c>
      <c r="V24" s="231">
        <f>P24*0.12%</f>
        <v>17592.275999999998</v>
      </c>
      <c r="W24" s="248">
        <v>155.33000000000001</v>
      </c>
      <c r="X24" s="249">
        <f>V24*W24</f>
        <v>2732608.2310799998</v>
      </c>
      <c r="Y24" s="231">
        <v>2732608.23</v>
      </c>
      <c r="Z24" s="250" t="s">
        <v>167</v>
      </c>
      <c r="AA24" s="251">
        <v>41698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</row>
    <row r="25" spans="1:69" s="91" customFormat="1" ht="74.25" customHeight="1" x14ac:dyDescent="0.55000000000000004">
      <c r="A25" s="232">
        <v>2</v>
      </c>
      <c r="B25" s="132" t="s">
        <v>173</v>
      </c>
      <c r="C25" s="143" t="s">
        <v>183</v>
      </c>
      <c r="D25" s="322">
        <v>41771</v>
      </c>
      <c r="E25" s="151" t="s">
        <v>189</v>
      </c>
      <c r="F25" s="133" t="s">
        <v>41</v>
      </c>
      <c r="G25" s="133" t="s">
        <v>35</v>
      </c>
      <c r="H25" s="133" t="s">
        <v>33</v>
      </c>
      <c r="I25" s="129">
        <v>27090000</v>
      </c>
      <c r="J25" s="130">
        <v>41642</v>
      </c>
      <c r="K25" s="128" t="s">
        <v>58</v>
      </c>
      <c r="L25" s="128" t="s">
        <v>31</v>
      </c>
      <c r="M25" s="129" t="s">
        <v>42</v>
      </c>
      <c r="N25" s="129" t="s">
        <v>47</v>
      </c>
      <c r="O25" s="236">
        <v>904709</v>
      </c>
      <c r="P25" s="148">
        <f t="shared" ref="P25:P28" si="0">O25*S25</f>
        <v>99140364.459999993</v>
      </c>
      <c r="Q25" s="135">
        <f t="shared" ref="Q25:Q26" si="1">P25*W25</f>
        <v>15590516293.886219</v>
      </c>
      <c r="R25" s="135" t="s">
        <v>25</v>
      </c>
      <c r="S25" s="237">
        <v>109.58259999624188</v>
      </c>
      <c r="T25" s="134">
        <f t="shared" ref="T25:T34" si="2">J25+90</f>
        <v>41732</v>
      </c>
      <c r="U25" s="238" t="s">
        <v>53</v>
      </c>
      <c r="V25" s="135">
        <f t="shared" ref="V25:V34" si="3">P25*0.12%</f>
        <v>118968.43735199998</v>
      </c>
      <c r="W25" s="204" t="s">
        <v>182</v>
      </c>
      <c r="X25" s="136">
        <f t="shared" ref="X25:X34" si="4">V25*W25</f>
        <v>18708619.55266346</v>
      </c>
      <c r="Y25" s="135">
        <v>18708619.550000001</v>
      </c>
      <c r="Z25" s="323" t="s">
        <v>195</v>
      </c>
      <c r="AA25" s="140">
        <v>41733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</row>
    <row r="26" spans="1:69" s="91" customFormat="1" ht="89.25" customHeight="1" x14ac:dyDescent="0.55000000000000004">
      <c r="A26" s="232">
        <v>3</v>
      </c>
      <c r="B26" s="132" t="s">
        <v>174</v>
      </c>
      <c r="C26" s="143" t="s">
        <v>184</v>
      </c>
      <c r="D26" s="322">
        <v>41771</v>
      </c>
      <c r="E26" s="151" t="s">
        <v>190</v>
      </c>
      <c r="F26" s="133" t="s">
        <v>41</v>
      </c>
      <c r="G26" s="133" t="s">
        <v>35</v>
      </c>
      <c r="H26" s="133" t="s">
        <v>33</v>
      </c>
      <c r="I26" s="129">
        <v>27090000</v>
      </c>
      <c r="J26" s="130">
        <v>41651</v>
      </c>
      <c r="K26" s="128" t="s">
        <v>123</v>
      </c>
      <c r="L26" s="128" t="s">
        <v>31</v>
      </c>
      <c r="M26" s="129" t="s">
        <v>42</v>
      </c>
      <c r="N26" s="129" t="s">
        <v>47</v>
      </c>
      <c r="O26" s="236">
        <v>904741</v>
      </c>
      <c r="P26" s="148">
        <f t="shared" si="0"/>
        <v>99141156.879999995</v>
      </c>
      <c r="Q26" s="135">
        <f t="shared" si="1"/>
        <v>15590640907.478159</v>
      </c>
      <c r="R26" s="135" t="s">
        <v>25</v>
      </c>
      <c r="S26" s="237">
        <v>109.57959999602096</v>
      </c>
      <c r="T26" s="134">
        <f t="shared" si="2"/>
        <v>41741</v>
      </c>
      <c r="U26" s="238" t="s">
        <v>53</v>
      </c>
      <c r="V26" s="135">
        <f t="shared" si="3"/>
        <v>118969.38825599999</v>
      </c>
      <c r="W26" s="204" t="s">
        <v>182</v>
      </c>
      <c r="X26" s="136">
        <f t="shared" si="4"/>
        <v>18708769.08897379</v>
      </c>
      <c r="Y26" s="136">
        <v>18708769.09</v>
      </c>
      <c r="Z26" s="323" t="s">
        <v>196</v>
      </c>
      <c r="AA26" s="140">
        <v>41733</v>
      </c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</row>
    <row r="27" spans="1:69" s="91" customFormat="1" ht="72" customHeight="1" x14ac:dyDescent="0.55000000000000004">
      <c r="A27" s="232">
        <v>4</v>
      </c>
      <c r="B27" s="132" t="s">
        <v>175</v>
      </c>
      <c r="C27" s="143" t="s">
        <v>185</v>
      </c>
      <c r="D27" s="322">
        <v>41771</v>
      </c>
      <c r="E27" s="151" t="s">
        <v>191</v>
      </c>
      <c r="F27" s="133" t="s">
        <v>41</v>
      </c>
      <c r="G27" s="133" t="s">
        <v>35</v>
      </c>
      <c r="H27" s="133" t="s">
        <v>33</v>
      </c>
      <c r="I27" s="129">
        <v>27090000</v>
      </c>
      <c r="J27" s="130">
        <v>41654</v>
      </c>
      <c r="K27" s="128" t="s">
        <v>170</v>
      </c>
      <c r="L27" s="128" t="s">
        <v>31</v>
      </c>
      <c r="M27" s="129" t="s">
        <v>42</v>
      </c>
      <c r="N27" s="129" t="s">
        <v>70</v>
      </c>
      <c r="O27" s="236">
        <v>904753</v>
      </c>
      <c r="P27" s="148">
        <f t="shared" si="0"/>
        <v>99137043.319999993</v>
      </c>
      <c r="Q27" s="135">
        <f t="shared" ref="Q27:Q33" si="5">P27*W27</f>
        <v>15589994021.37324</v>
      </c>
      <c r="R27" s="135" t="s">
        <v>25</v>
      </c>
      <c r="S27" s="237">
        <v>109.57359999911577</v>
      </c>
      <c r="T27" s="134">
        <f t="shared" si="2"/>
        <v>41744</v>
      </c>
      <c r="U27" s="238" t="s">
        <v>53</v>
      </c>
      <c r="V27" s="135">
        <f t="shared" si="3"/>
        <v>118964.45198399998</v>
      </c>
      <c r="W27" s="204" t="s">
        <v>182</v>
      </c>
      <c r="X27" s="136">
        <f t="shared" si="4"/>
        <v>18707992.825647887</v>
      </c>
      <c r="Y27" s="135">
        <v>18707992.829999998</v>
      </c>
      <c r="Z27" s="323" t="s">
        <v>197</v>
      </c>
      <c r="AA27" s="140">
        <v>41733</v>
      </c>
    </row>
    <row r="28" spans="1:69" s="90" customFormat="1" ht="72" customHeight="1" x14ac:dyDescent="0.6">
      <c r="A28" s="232">
        <v>5</v>
      </c>
      <c r="B28" s="132" t="s">
        <v>176</v>
      </c>
      <c r="C28" s="143" t="s">
        <v>186</v>
      </c>
      <c r="D28" s="322">
        <v>41771</v>
      </c>
      <c r="E28" s="151" t="s">
        <v>192</v>
      </c>
      <c r="F28" s="133" t="s">
        <v>41</v>
      </c>
      <c r="G28" s="133" t="s">
        <v>35</v>
      </c>
      <c r="H28" s="133" t="s">
        <v>33</v>
      </c>
      <c r="I28" s="129">
        <v>27090000</v>
      </c>
      <c r="J28" s="130">
        <v>41660</v>
      </c>
      <c r="K28" s="128" t="s">
        <v>171</v>
      </c>
      <c r="L28" s="128" t="s">
        <v>31</v>
      </c>
      <c r="M28" s="129" t="s">
        <v>181</v>
      </c>
      <c r="N28" s="129" t="s">
        <v>179</v>
      </c>
      <c r="O28" s="236">
        <v>458189</v>
      </c>
      <c r="P28" s="148">
        <f t="shared" si="0"/>
        <v>50205418.210000001</v>
      </c>
      <c r="Q28" s="135">
        <f t="shared" si="5"/>
        <v>7895153451.4499702</v>
      </c>
      <c r="R28" s="135" t="s">
        <v>25</v>
      </c>
      <c r="S28" s="237">
        <v>109.573599999127</v>
      </c>
      <c r="T28" s="134">
        <f t="shared" si="2"/>
        <v>41750</v>
      </c>
      <c r="U28" s="129" t="s">
        <v>53</v>
      </c>
      <c r="V28" s="135">
        <f t="shared" si="3"/>
        <v>60246.501851999994</v>
      </c>
      <c r="W28" s="204" t="s">
        <v>182</v>
      </c>
      <c r="X28" s="136">
        <f t="shared" si="4"/>
        <v>9474184.1417399626</v>
      </c>
      <c r="Y28" s="135">
        <v>9474184.1400000006</v>
      </c>
      <c r="Z28" s="323" t="s">
        <v>198</v>
      </c>
      <c r="AA28" s="140">
        <v>41733</v>
      </c>
    </row>
    <row r="29" spans="1:69" s="90" customFormat="1" ht="72" customHeight="1" x14ac:dyDescent="0.6">
      <c r="A29" s="301">
        <v>6</v>
      </c>
      <c r="B29" s="132" t="s">
        <v>177</v>
      </c>
      <c r="C29" s="143" t="s">
        <v>187</v>
      </c>
      <c r="D29" s="322">
        <v>41771</v>
      </c>
      <c r="E29" s="151" t="s">
        <v>193</v>
      </c>
      <c r="F29" s="133" t="s">
        <v>41</v>
      </c>
      <c r="G29" s="133" t="s">
        <v>35</v>
      </c>
      <c r="H29" s="133" t="s">
        <v>33</v>
      </c>
      <c r="I29" s="129">
        <v>27090000</v>
      </c>
      <c r="J29" s="130">
        <v>41660</v>
      </c>
      <c r="K29" s="128" t="s">
        <v>171</v>
      </c>
      <c r="L29" s="128" t="s">
        <v>31</v>
      </c>
      <c r="M29" s="129" t="s">
        <v>138</v>
      </c>
      <c r="N29" s="129" t="s">
        <v>180</v>
      </c>
      <c r="O29" s="236">
        <v>400000</v>
      </c>
      <c r="P29" s="148">
        <f t="shared" ref="P29:P33" si="6">O29*S29</f>
        <v>43829440</v>
      </c>
      <c r="Q29" s="135">
        <f t="shared" si="5"/>
        <v>6892486246.0799999</v>
      </c>
      <c r="R29" s="135" t="s">
        <v>25</v>
      </c>
      <c r="S29" s="237">
        <v>109.5736</v>
      </c>
      <c r="T29" s="134">
        <f t="shared" si="2"/>
        <v>41750</v>
      </c>
      <c r="U29" s="238" t="s">
        <v>53</v>
      </c>
      <c r="V29" s="135">
        <f t="shared" si="3"/>
        <v>52595.327999999994</v>
      </c>
      <c r="W29" s="204" t="s">
        <v>182</v>
      </c>
      <c r="X29" s="136">
        <f t="shared" si="4"/>
        <v>8270983.4952959996</v>
      </c>
      <c r="Y29" s="135">
        <v>8270983.5</v>
      </c>
      <c r="Z29" s="323" t="s">
        <v>199</v>
      </c>
      <c r="AA29" s="140">
        <v>41733</v>
      </c>
    </row>
    <row r="30" spans="1:69" s="89" customFormat="1" ht="72" customHeight="1" x14ac:dyDescent="0.55000000000000004">
      <c r="A30" s="301">
        <v>7</v>
      </c>
      <c r="B30" s="132" t="s">
        <v>178</v>
      </c>
      <c r="C30" s="143" t="s">
        <v>188</v>
      </c>
      <c r="D30" s="322">
        <v>41771</v>
      </c>
      <c r="E30" s="151" t="s">
        <v>194</v>
      </c>
      <c r="F30" s="133" t="s">
        <v>41</v>
      </c>
      <c r="G30" s="133" t="s">
        <v>35</v>
      </c>
      <c r="H30" s="133" t="s">
        <v>33</v>
      </c>
      <c r="I30" s="129">
        <v>27090000</v>
      </c>
      <c r="J30" s="130">
        <v>41662</v>
      </c>
      <c r="K30" s="128" t="s">
        <v>172</v>
      </c>
      <c r="L30" s="128" t="s">
        <v>31</v>
      </c>
      <c r="M30" s="129" t="s">
        <v>36</v>
      </c>
      <c r="N30" s="129" t="s">
        <v>45</v>
      </c>
      <c r="O30" s="236">
        <v>50000</v>
      </c>
      <c r="P30" s="148">
        <f t="shared" si="6"/>
        <v>5478980</v>
      </c>
      <c r="Q30" s="135">
        <f t="shared" si="5"/>
        <v>861607957.86000001</v>
      </c>
      <c r="R30" s="135" t="s">
        <v>25</v>
      </c>
      <c r="S30" s="237">
        <v>109.5796</v>
      </c>
      <c r="T30" s="134">
        <f t="shared" si="2"/>
        <v>41752</v>
      </c>
      <c r="U30" s="238" t="s">
        <v>53</v>
      </c>
      <c r="V30" s="135">
        <f t="shared" si="3"/>
        <v>6574.7759999999998</v>
      </c>
      <c r="W30" s="204" t="s">
        <v>182</v>
      </c>
      <c r="X30" s="136">
        <f t="shared" si="4"/>
        <v>1033929.549432</v>
      </c>
      <c r="Y30" s="135">
        <v>1033929.55</v>
      </c>
      <c r="Z30" s="323" t="s">
        <v>200</v>
      </c>
      <c r="AA30" s="140">
        <v>41733</v>
      </c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</row>
    <row r="31" spans="1:69" s="91" customFormat="1" ht="72" customHeight="1" x14ac:dyDescent="0.55000000000000004">
      <c r="A31" s="301">
        <v>8</v>
      </c>
      <c r="B31" s="132" t="s">
        <v>212</v>
      </c>
      <c r="C31" s="143" t="s">
        <v>205</v>
      </c>
      <c r="D31" s="322">
        <v>41751</v>
      </c>
      <c r="E31" s="151" t="s">
        <v>208</v>
      </c>
      <c r="F31" s="133" t="s">
        <v>77</v>
      </c>
      <c r="G31" s="133" t="s">
        <v>44</v>
      </c>
      <c r="H31" s="133" t="s">
        <v>34</v>
      </c>
      <c r="I31" s="129">
        <v>27090000</v>
      </c>
      <c r="J31" s="130">
        <v>41672</v>
      </c>
      <c r="K31" s="128" t="s">
        <v>201</v>
      </c>
      <c r="L31" s="128" t="s">
        <v>32</v>
      </c>
      <c r="M31" s="129" t="s">
        <v>42</v>
      </c>
      <c r="N31" s="129" t="s">
        <v>47</v>
      </c>
      <c r="O31" s="236">
        <v>863200</v>
      </c>
      <c r="P31" s="148">
        <f t="shared" si="6"/>
        <v>95330599.519999996</v>
      </c>
      <c r="Q31" s="135">
        <f t="shared" si="5"/>
        <v>14800075575.48</v>
      </c>
      <c r="R31" s="135" t="s">
        <v>25</v>
      </c>
      <c r="S31" s="237">
        <v>110.43859999999999</v>
      </c>
      <c r="T31" s="134">
        <f t="shared" si="2"/>
        <v>41762</v>
      </c>
      <c r="U31" s="129" t="s">
        <v>77</v>
      </c>
      <c r="V31" s="135">
        <f t="shared" si="3"/>
        <v>114396.71942399998</v>
      </c>
      <c r="W31" s="204">
        <v>155.25</v>
      </c>
      <c r="X31" s="136">
        <f t="shared" si="4"/>
        <v>17760090.690575998</v>
      </c>
      <c r="Y31" s="135">
        <v>17760092.18</v>
      </c>
      <c r="Z31" s="323" t="s">
        <v>211</v>
      </c>
      <c r="AA31" s="140">
        <v>41738</v>
      </c>
    </row>
    <row r="32" spans="1:69" s="91" customFormat="1" ht="81.75" customHeight="1" x14ac:dyDescent="0.55000000000000004">
      <c r="A32" s="301">
        <v>9</v>
      </c>
      <c r="B32" s="132" t="s">
        <v>203</v>
      </c>
      <c r="C32" s="143" t="s">
        <v>206</v>
      </c>
      <c r="D32" s="322">
        <v>41751</v>
      </c>
      <c r="E32" s="151" t="s">
        <v>209</v>
      </c>
      <c r="F32" s="133" t="s">
        <v>77</v>
      </c>
      <c r="G32" s="133" t="s">
        <v>44</v>
      </c>
      <c r="H32" s="133" t="s">
        <v>34</v>
      </c>
      <c r="I32" s="129">
        <v>27090000</v>
      </c>
      <c r="J32" s="130">
        <v>41693</v>
      </c>
      <c r="K32" s="128" t="s">
        <v>202</v>
      </c>
      <c r="L32" s="128" t="s">
        <v>32</v>
      </c>
      <c r="M32" s="129" t="s">
        <v>42</v>
      </c>
      <c r="N32" s="129" t="s">
        <v>47</v>
      </c>
      <c r="O32" s="236">
        <v>772894</v>
      </c>
      <c r="P32" s="148">
        <f t="shared" si="6"/>
        <v>85357331.30839999</v>
      </c>
      <c r="Q32" s="135">
        <f t="shared" si="5"/>
        <v>13251725685.629099</v>
      </c>
      <c r="R32" s="135" t="s">
        <v>25</v>
      </c>
      <c r="S32" s="237">
        <v>110.43859999999999</v>
      </c>
      <c r="T32" s="134">
        <f t="shared" si="2"/>
        <v>41783</v>
      </c>
      <c r="U32" s="238" t="s">
        <v>77</v>
      </c>
      <c r="V32" s="135">
        <f t="shared" si="3"/>
        <v>102428.79757007997</v>
      </c>
      <c r="W32" s="204">
        <v>155.25</v>
      </c>
      <c r="X32" s="136">
        <f t="shared" si="4"/>
        <v>15902070.822754916</v>
      </c>
      <c r="Y32" s="135">
        <v>15902072.15</v>
      </c>
      <c r="Z32" s="323" t="s">
        <v>211</v>
      </c>
      <c r="AA32" s="140">
        <v>41738</v>
      </c>
      <c r="AB32" s="152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</row>
    <row r="33" spans="1:69" s="91" customFormat="1" ht="84.75" customHeight="1" x14ac:dyDescent="0.55000000000000004">
      <c r="A33" s="301">
        <v>10</v>
      </c>
      <c r="B33" s="132" t="s">
        <v>204</v>
      </c>
      <c r="C33" s="143" t="s">
        <v>207</v>
      </c>
      <c r="D33" s="322">
        <v>41751</v>
      </c>
      <c r="E33" s="151" t="s">
        <v>210</v>
      </c>
      <c r="F33" s="133" t="s">
        <v>77</v>
      </c>
      <c r="G33" s="133" t="s">
        <v>44</v>
      </c>
      <c r="H33" s="133" t="s">
        <v>34</v>
      </c>
      <c r="I33" s="129">
        <v>27090000</v>
      </c>
      <c r="J33" s="130">
        <v>41698</v>
      </c>
      <c r="K33" s="128" t="s">
        <v>202</v>
      </c>
      <c r="L33" s="128" t="s">
        <v>32</v>
      </c>
      <c r="M33" s="129" t="s">
        <v>42</v>
      </c>
      <c r="N33" s="129" t="s">
        <v>47</v>
      </c>
      <c r="O33" s="236">
        <v>1000005</v>
      </c>
      <c r="P33" s="148">
        <f t="shared" si="6"/>
        <v>110439152.19299999</v>
      </c>
      <c r="Q33" s="135">
        <f t="shared" si="5"/>
        <v>17145678377.963249</v>
      </c>
      <c r="R33" s="135" t="s">
        <v>25</v>
      </c>
      <c r="S33" s="237">
        <v>110.43859999999999</v>
      </c>
      <c r="T33" s="134">
        <f t="shared" si="2"/>
        <v>41788</v>
      </c>
      <c r="U33" s="238" t="s">
        <v>77</v>
      </c>
      <c r="V33" s="135">
        <f t="shared" si="3"/>
        <v>132526.98263159997</v>
      </c>
      <c r="W33" s="204">
        <v>155.25</v>
      </c>
      <c r="X33" s="136">
        <f t="shared" si="4"/>
        <v>20574814.053555895</v>
      </c>
      <c r="Y33" s="135">
        <v>20574815.77</v>
      </c>
      <c r="Z33" s="323" t="s">
        <v>211</v>
      </c>
      <c r="AA33" s="140">
        <v>41738</v>
      </c>
      <c r="AB33" s="152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</row>
    <row r="34" spans="1:69" s="91" customFormat="1" ht="92.25" customHeight="1" x14ac:dyDescent="0.55000000000000004">
      <c r="A34" s="301">
        <v>11</v>
      </c>
      <c r="B34" s="141" t="s">
        <v>64</v>
      </c>
      <c r="C34" s="143" t="s">
        <v>213</v>
      </c>
      <c r="D34" s="137">
        <v>41764</v>
      </c>
      <c r="E34" s="151" t="s">
        <v>218</v>
      </c>
      <c r="F34" s="132" t="s">
        <v>46</v>
      </c>
      <c r="G34" s="142" t="s">
        <v>38</v>
      </c>
      <c r="H34" s="154" t="s">
        <v>34</v>
      </c>
      <c r="I34" s="129">
        <v>27090000</v>
      </c>
      <c r="J34" s="234">
        <v>41705</v>
      </c>
      <c r="K34" s="128" t="s">
        <v>57</v>
      </c>
      <c r="L34" s="201" t="s">
        <v>32</v>
      </c>
      <c r="M34" s="129" t="s">
        <v>74</v>
      </c>
      <c r="N34" s="200" t="s">
        <v>69</v>
      </c>
      <c r="O34" s="202">
        <v>199451</v>
      </c>
      <c r="P34" s="235">
        <f>O34*S34</f>
        <v>22068455.346000001</v>
      </c>
      <c r="Q34" s="233">
        <f t="shared" ref="Q34" si="7">P34*W34</f>
        <v>3436941235.5860405</v>
      </c>
      <c r="R34" s="203" t="s">
        <v>25</v>
      </c>
      <c r="S34" s="204">
        <v>110.646</v>
      </c>
      <c r="T34" s="134">
        <f t="shared" si="2"/>
        <v>41795</v>
      </c>
      <c r="U34" s="238" t="s">
        <v>40</v>
      </c>
      <c r="V34" s="135">
        <f t="shared" si="3"/>
        <v>26482.146415199997</v>
      </c>
      <c r="W34" s="204">
        <v>155.74</v>
      </c>
      <c r="X34" s="136">
        <f t="shared" si="4"/>
        <v>4124329.4827032476</v>
      </c>
      <c r="Y34" s="135" t="s">
        <v>40</v>
      </c>
      <c r="Z34" s="323" t="s">
        <v>40</v>
      </c>
      <c r="AA34" s="140" t="s">
        <v>40</v>
      </c>
      <c r="AB34" s="152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</row>
    <row r="35" spans="1:69" s="91" customFormat="1" ht="92.25" customHeight="1" x14ac:dyDescent="0.55000000000000004">
      <c r="A35" s="301">
        <v>12</v>
      </c>
      <c r="B35" s="141" t="s">
        <v>65</v>
      </c>
      <c r="C35" s="141" t="s">
        <v>214</v>
      </c>
      <c r="D35" s="137">
        <v>41764</v>
      </c>
      <c r="E35" s="151" t="s">
        <v>219</v>
      </c>
      <c r="F35" s="132" t="s">
        <v>46</v>
      </c>
      <c r="G35" s="157" t="s">
        <v>38</v>
      </c>
      <c r="H35" s="143" t="s">
        <v>34</v>
      </c>
      <c r="I35" s="129">
        <v>27090000</v>
      </c>
      <c r="J35" s="144">
        <v>41711</v>
      </c>
      <c r="K35" s="141" t="s">
        <v>59</v>
      </c>
      <c r="L35" s="145" t="s">
        <v>32</v>
      </c>
      <c r="M35" s="143" t="s">
        <v>36</v>
      </c>
      <c r="N35" s="146" t="s">
        <v>71</v>
      </c>
      <c r="O35" s="147">
        <v>90000</v>
      </c>
      <c r="P35" s="148">
        <f>O35*S35</f>
        <v>9895320</v>
      </c>
      <c r="Q35" s="135">
        <f>P35*W35</f>
        <v>1541097136.8000002</v>
      </c>
      <c r="R35" s="139" t="s">
        <v>25</v>
      </c>
      <c r="S35" s="138">
        <v>109.94799999999999</v>
      </c>
      <c r="T35" s="149">
        <f>J35+90</f>
        <v>41801</v>
      </c>
      <c r="U35" s="238" t="s">
        <v>40</v>
      </c>
      <c r="V35" s="135">
        <f>P35*0.12%</f>
        <v>11874.383999999998</v>
      </c>
      <c r="W35" s="204">
        <v>155.74</v>
      </c>
      <c r="X35" s="139">
        <f>V35*W35</f>
        <v>1849316.5641599998</v>
      </c>
      <c r="Y35" s="135" t="s">
        <v>40</v>
      </c>
      <c r="Z35" s="323" t="s">
        <v>40</v>
      </c>
      <c r="AA35" s="140" t="s">
        <v>40</v>
      </c>
      <c r="AB35" s="152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</row>
    <row r="36" spans="1:69" s="91" customFormat="1" ht="92.25" customHeight="1" x14ac:dyDescent="0.55000000000000004">
      <c r="A36" s="301">
        <v>13</v>
      </c>
      <c r="B36" s="133" t="s">
        <v>66</v>
      </c>
      <c r="C36" s="155" t="s">
        <v>215</v>
      </c>
      <c r="D36" s="137">
        <v>41759</v>
      </c>
      <c r="E36" s="155" t="s">
        <v>220</v>
      </c>
      <c r="F36" s="155" t="s">
        <v>77</v>
      </c>
      <c r="G36" s="142" t="s">
        <v>44</v>
      </c>
      <c r="H36" s="133" t="s">
        <v>34</v>
      </c>
      <c r="I36" s="129">
        <v>27090000</v>
      </c>
      <c r="J36" s="134">
        <v>41714</v>
      </c>
      <c r="K36" s="132" t="s">
        <v>60</v>
      </c>
      <c r="L36" s="132" t="s">
        <v>32</v>
      </c>
      <c r="M36" s="133" t="s">
        <v>42</v>
      </c>
      <c r="N36" s="206" t="s">
        <v>47</v>
      </c>
      <c r="O36" s="147">
        <v>767870</v>
      </c>
      <c r="P36" s="148">
        <f>O36*S36</f>
        <v>84214836.870999992</v>
      </c>
      <c r="Q36" s="135">
        <f>P36*W36</f>
        <v>13073511274.246174</v>
      </c>
      <c r="R36" s="139" t="s">
        <v>25</v>
      </c>
      <c r="S36" s="138">
        <v>109.6733</v>
      </c>
      <c r="T36" s="149">
        <f>J36+90</f>
        <v>41804</v>
      </c>
      <c r="U36" s="238" t="s">
        <v>77</v>
      </c>
      <c r="V36" s="135">
        <f>P36*0.12%</f>
        <v>101057.80424519998</v>
      </c>
      <c r="W36" s="204">
        <v>155.23999998090758</v>
      </c>
      <c r="X36" s="139">
        <f>V36*W36</f>
        <v>15688213.529095408</v>
      </c>
      <c r="Y36" s="135">
        <v>15688220.470000001</v>
      </c>
      <c r="Z36" s="323" t="s">
        <v>223</v>
      </c>
      <c r="AA36" s="140">
        <v>41753</v>
      </c>
      <c r="AB36" s="152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</row>
    <row r="37" spans="1:69" s="91" customFormat="1" ht="92.25" customHeight="1" x14ac:dyDescent="0.55000000000000004">
      <c r="A37" s="301">
        <v>14</v>
      </c>
      <c r="B37" s="133" t="s">
        <v>67</v>
      </c>
      <c r="C37" s="155" t="s">
        <v>216</v>
      </c>
      <c r="D37" s="137">
        <v>41764</v>
      </c>
      <c r="E37" s="155" t="s">
        <v>221</v>
      </c>
      <c r="F37" s="155" t="s">
        <v>46</v>
      </c>
      <c r="G37" s="142" t="s">
        <v>38</v>
      </c>
      <c r="H37" s="133" t="s">
        <v>33</v>
      </c>
      <c r="I37" s="129">
        <v>27090000</v>
      </c>
      <c r="J37" s="134">
        <v>41724</v>
      </c>
      <c r="K37" s="132" t="s">
        <v>62</v>
      </c>
      <c r="L37" s="132" t="s">
        <v>31</v>
      </c>
      <c r="M37" s="133" t="s">
        <v>55</v>
      </c>
      <c r="N37" s="206" t="s">
        <v>56</v>
      </c>
      <c r="O37" s="147">
        <v>997562</v>
      </c>
      <c r="P37" s="148">
        <f t="shared" ref="P37:P49" si="8">O37*S37</f>
        <v>108304308.778</v>
      </c>
      <c r="Q37" s="135">
        <f t="shared" ref="Q37:Q49" si="9">P37*W37</f>
        <v>16867313049.08572</v>
      </c>
      <c r="R37" s="139" t="s">
        <v>25</v>
      </c>
      <c r="S37" s="138">
        <v>108.569</v>
      </c>
      <c r="T37" s="149">
        <f t="shared" ref="T37:T49" si="10">J37+90</f>
        <v>41814</v>
      </c>
      <c r="U37" s="238" t="s">
        <v>40</v>
      </c>
      <c r="V37" s="135">
        <f t="shared" ref="V37:V49" si="11">P37*0.12%</f>
        <v>129965.17053359999</v>
      </c>
      <c r="W37" s="204">
        <v>155.74</v>
      </c>
      <c r="X37" s="139">
        <f t="shared" ref="X37:X49" si="12">V37*W37</f>
        <v>20240775.658902865</v>
      </c>
      <c r="Y37" s="135" t="s">
        <v>40</v>
      </c>
      <c r="Z37" s="323" t="s">
        <v>40</v>
      </c>
      <c r="AA37" s="140" t="s">
        <v>40</v>
      </c>
      <c r="AB37" s="152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</row>
    <row r="38" spans="1:69" s="91" customFormat="1" ht="92.25" customHeight="1" x14ac:dyDescent="0.55000000000000004">
      <c r="A38" s="156">
        <v>15</v>
      </c>
      <c r="B38" s="348" t="s">
        <v>68</v>
      </c>
      <c r="C38" s="349" t="s">
        <v>217</v>
      </c>
      <c r="D38" s="350">
        <v>41759</v>
      </c>
      <c r="E38" s="349" t="s">
        <v>222</v>
      </c>
      <c r="F38" s="349" t="s">
        <v>77</v>
      </c>
      <c r="G38" s="351" t="s">
        <v>44</v>
      </c>
      <c r="H38" s="348" t="s">
        <v>34</v>
      </c>
      <c r="I38" s="352">
        <v>27090000</v>
      </c>
      <c r="J38" s="353">
        <v>41725</v>
      </c>
      <c r="K38" s="156" t="s">
        <v>63</v>
      </c>
      <c r="L38" s="156" t="s">
        <v>32</v>
      </c>
      <c r="M38" s="348" t="s">
        <v>42</v>
      </c>
      <c r="N38" s="354" t="s">
        <v>47</v>
      </c>
      <c r="O38" s="355">
        <v>787934</v>
      </c>
      <c r="P38" s="148">
        <f t="shared" si="8"/>
        <v>86415321.962200001</v>
      </c>
      <c r="Q38" s="136">
        <f t="shared" si="9"/>
        <v>13415114579.762051</v>
      </c>
      <c r="R38" s="148" t="s">
        <v>25</v>
      </c>
      <c r="S38" s="356">
        <v>109.6733</v>
      </c>
      <c r="T38" s="357">
        <f t="shared" si="10"/>
        <v>41815</v>
      </c>
      <c r="U38" s="238" t="s">
        <v>77</v>
      </c>
      <c r="V38" s="136">
        <f>P38*0.12%</f>
        <v>103698.38635464</v>
      </c>
      <c r="W38" s="358">
        <v>155.23999998090758</v>
      </c>
      <c r="X38" s="148">
        <f>V38*W38</f>
        <v>16098137.49571446</v>
      </c>
      <c r="Y38" s="136">
        <v>16098144.619999999</v>
      </c>
      <c r="Z38" s="359" t="s">
        <v>223</v>
      </c>
      <c r="AA38" s="360">
        <v>41753</v>
      </c>
      <c r="AB38" s="152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</row>
    <row r="39" spans="1:69" s="91" customFormat="1" ht="92.25" customHeight="1" x14ac:dyDescent="0.55000000000000004">
      <c r="A39" s="346">
        <v>16</v>
      </c>
      <c r="B39" s="421" t="s">
        <v>83</v>
      </c>
      <c r="C39" s="341" t="s">
        <v>162</v>
      </c>
      <c r="D39" s="423">
        <v>41764</v>
      </c>
      <c r="E39" s="342" t="s">
        <v>164</v>
      </c>
      <c r="F39" s="425" t="s">
        <v>46</v>
      </c>
      <c r="G39" s="427" t="s">
        <v>38</v>
      </c>
      <c r="H39" s="413" t="s">
        <v>34</v>
      </c>
      <c r="I39" s="413">
        <v>27090000</v>
      </c>
      <c r="J39" s="419">
        <v>41732</v>
      </c>
      <c r="K39" s="409" t="s">
        <v>76</v>
      </c>
      <c r="L39" s="411" t="s">
        <v>32</v>
      </c>
      <c r="M39" s="413" t="s">
        <v>54</v>
      </c>
      <c r="N39" s="415" t="s">
        <v>128</v>
      </c>
      <c r="O39" s="417">
        <v>952050</v>
      </c>
      <c r="P39" s="395">
        <f>O39*S39</f>
        <v>102749044.2</v>
      </c>
      <c r="Q39" s="397">
        <f>P39*W39</f>
        <v>16001108653.265999</v>
      </c>
      <c r="R39" s="399" t="s">
        <v>25</v>
      </c>
      <c r="S39" s="403">
        <v>107.92400000000001</v>
      </c>
      <c r="T39" s="401">
        <f t="shared" si="10"/>
        <v>41822</v>
      </c>
      <c r="U39" s="405" t="s">
        <v>40</v>
      </c>
      <c r="V39" s="397">
        <f t="shared" si="11"/>
        <v>123298.85303999999</v>
      </c>
      <c r="W39" s="403">
        <v>155.72999999999999</v>
      </c>
      <c r="X39" s="399">
        <f t="shared" si="12"/>
        <v>19201330.383919198</v>
      </c>
      <c r="Y39" s="399" t="s">
        <v>40</v>
      </c>
      <c r="Z39" s="407" t="s">
        <v>40</v>
      </c>
      <c r="AA39" s="393" t="s">
        <v>40</v>
      </c>
      <c r="AB39" s="152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</row>
    <row r="40" spans="1:69" s="91" customFormat="1" ht="92.25" customHeight="1" x14ac:dyDescent="0.55000000000000004">
      <c r="A40" s="347">
        <v>17</v>
      </c>
      <c r="B40" s="422"/>
      <c r="C40" s="343" t="s">
        <v>161</v>
      </c>
      <c r="D40" s="424"/>
      <c r="E40" s="129" t="s">
        <v>163</v>
      </c>
      <c r="F40" s="426"/>
      <c r="G40" s="428"/>
      <c r="H40" s="414"/>
      <c r="I40" s="414"/>
      <c r="J40" s="420"/>
      <c r="K40" s="410"/>
      <c r="L40" s="412"/>
      <c r="M40" s="414"/>
      <c r="N40" s="416"/>
      <c r="O40" s="418"/>
      <c r="P40" s="396"/>
      <c r="Q40" s="398"/>
      <c r="R40" s="400"/>
      <c r="S40" s="404"/>
      <c r="T40" s="402"/>
      <c r="U40" s="406"/>
      <c r="V40" s="398"/>
      <c r="W40" s="404"/>
      <c r="X40" s="400"/>
      <c r="Y40" s="400"/>
      <c r="Z40" s="408"/>
      <c r="AA40" s="394"/>
      <c r="AB40" s="152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</row>
    <row r="41" spans="1:69" s="91" customFormat="1" ht="92.25" customHeight="1" x14ac:dyDescent="0.55000000000000004">
      <c r="A41" s="132">
        <v>18</v>
      </c>
      <c r="B41" s="141" t="s">
        <v>84</v>
      </c>
      <c r="C41" s="141" t="s">
        <v>141</v>
      </c>
      <c r="D41" s="344">
        <v>41764</v>
      </c>
      <c r="E41" s="132" t="s">
        <v>150</v>
      </c>
      <c r="F41" s="128" t="s">
        <v>46</v>
      </c>
      <c r="G41" s="142" t="s">
        <v>38</v>
      </c>
      <c r="H41" s="133" t="s">
        <v>33</v>
      </c>
      <c r="I41" s="129">
        <v>27090000</v>
      </c>
      <c r="J41" s="134">
        <v>41733</v>
      </c>
      <c r="K41" s="132" t="s">
        <v>110</v>
      </c>
      <c r="L41" s="145" t="s">
        <v>31</v>
      </c>
      <c r="M41" s="133" t="s">
        <v>136</v>
      </c>
      <c r="N41" s="154" t="s">
        <v>129</v>
      </c>
      <c r="O41" s="147">
        <v>949610</v>
      </c>
      <c r="P41" s="148">
        <f t="shared" ref="P41:P48" si="13">O41*S41</f>
        <v>102344217.75</v>
      </c>
      <c r="Q41" s="135">
        <f t="shared" ref="Q41:Q48" si="14">P41*W41</f>
        <v>15938065030.207499</v>
      </c>
      <c r="R41" s="139" t="s">
        <v>25</v>
      </c>
      <c r="S41" s="138">
        <v>107.77500000000001</v>
      </c>
      <c r="T41" s="149">
        <f t="shared" si="10"/>
        <v>41823</v>
      </c>
      <c r="U41" s="155" t="s">
        <v>40</v>
      </c>
      <c r="V41" s="135">
        <f t="shared" si="11"/>
        <v>122813.06129999999</v>
      </c>
      <c r="W41" s="138">
        <v>155.72999999999999</v>
      </c>
      <c r="X41" s="139">
        <f t="shared" si="12"/>
        <v>19125678.036248997</v>
      </c>
      <c r="Y41" s="139" t="s">
        <v>40</v>
      </c>
      <c r="Z41" s="323" t="s">
        <v>40</v>
      </c>
      <c r="AA41" s="214" t="s">
        <v>40</v>
      </c>
      <c r="AB41" s="152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</row>
    <row r="42" spans="1:69" s="91" customFormat="1" ht="92.25" customHeight="1" x14ac:dyDescent="0.55000000000000004">
      <c r="A42" s="301">
        <v>19</v>
      </c>
      <c r="B42" s="141" t="s">
        <v>85</v>
      </c>
      <c r="C42" s="345" t="s">
        <v>142</v>
      </c>
      <c r="D42" s="344">
        <v>41764</v>
      </c>
      <c r="E42" s="128" t="s">
        <v>151</v>
      </c>
      <c r="F42" s="128" t="s">
        <v>46</v>
      </c>
      <c r="G42" s="142" t="s">
        <v>38</v>
      </c>
      <c r="H42" s="133" t="s">
        <v>33</v>
      </c>
      <c r="I42" s="129">
        <v>27090000</v>
      </c>
      <c r="J42" s="134">
        <v>41735</v>
      </c>
      <c r="K42" s="132" t="s">
        <v>111</v>
      </c>
      <c r="L42" s="145" t="s">
        <v>31</v>
      </c>
      <c r="M42" s="133" t="s">
        <v>26</v>
      </c>
      <c r="N42" s="154" t="s">
        <v>72</v>
      </c>
      <c r="O42" s="147">
        <v>959322</v>
      </c>
      <c r="P42" s="148">
        <f t="shared" si="13"/>
        <v>103919514.97199999</v>
      </c>
      <c r="Q42" s="135">
        <f t="shared" si="14"/>
        <v>16183386066.589558</v>
      </c>
      <c r="R42" s="139" t="s">
        <v>25</v>
      </c>
      <c r="S42" s="138">
        <v>108.32599999999999</v>
      </c>
      <c r="T42" s="149">
        <f t="shared" si="10"/>
        <v>41825</v>
      </c>
      <c r="U42" s="155" t="s">
        <v>40</v>
      </c>
      <c r="V42" s="135">
        <f t="shared" si="11"/>
        <v>124703.41796639997</v>
      </c>
      <c r="W42" s="138">
        <v>155.72999999999999</v>
      </c>
      <c r="X42" s="139">
        <f t="shared" si="12"/>
        <v>19420063.279907465</v>
      </c>
      <c r="Y42" s="139" t="s">
        <v>40</v>
      </c>
      <c r="Z42" s="323" t="s">
        <v>40</v>
      </c>
      <c r="AA42" s="214" t="s">
        <v>40</v>
      </c>
      <c r="AB42" s="152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  <c r="BP42" s="131"/>
      <c r="BQ42" s="131"/>
    </row>
    <row r="43" spans="1:69" s="91" customFormat="1" ht="92.25" customHeight="1" x14ac:dyDescent="0.55000000000000004">
      <c r="A43" s="301">
        <v>20</v>
      </c>
      <c r="B43" s="141" t="s">
        <v>90</v>
      </c>
      <c r="C43" s="345" t="s">
        <v>143</v>
      </c>
      <c r="D43" s="344">
        <v>41764</v>
      </c>
      <c r="E43" s="128" t="s">
        <v>152</v>
      </c>
      <c r="F43" s="128" t="s">
        <v>46</v>
      </c>
      <c r="G43" s="142" t="s">
        <v>38</v>
      </c>
      <c r="H43" s="133" t="s">
        <v>33</v>
      </c>
      <c r="I43" s="129">
        <v>27090000</v>
      </c>
      <c r="J43" s="134">
        <v>41740</v>
      </c>
      <c r="K43" s="132" t="s">
        <v>114</v>
      </c>
      <c r="L43" s="145" t="s">
        <v>31</v>
      </c>
      <c r="M43" s="133" t="s">
        <v>51</v>
      </c>
      <c r="N43" s="154" t="s">
        <v>52</v>
      </c>
      <c r="O43" s="147">
        <v>950468</v>
      </c>
      <c r="P43" s="148">
        <f t="shared" si="13"/>
        <v>104508708.94</v>
      </c>
      <c r="Q43" s="135">
        <f t="shared" si="14"/>
        <v>16275141243.226198</v>
      </c>
      <c r="R43" s="139" t="s">
        <v>25</v>
      </c>
      <c r="S43" s="138">
        <v>109.955</v>
      </c>
      <c r="T43" s="149">
        <f t="shared" si="10"/>
        <v>41830</v>
      </c>
      <c r="U43" s="155" t="s">
        <v>40</v>
      </c>
      <c r="V43" s="135">
        <f t="shared" si="11"/>
        <v>125410.45072799998</v>
      </c>
      <c r="W43" s="138">
        <v>155.72999999999999</v>
      </c>
      <c r="X43" s="139">
        <f t="shared" si="12"/>
        <v>19530169.491871435</v>
      </c>
      <c r="Y43" s="139" t="s">
        <v>40</v>
      </c>
      <c r="Z43" s="323" t="s">
        <v>40</v>
      </c>
      <c r="AA43" s="214" t="s">
        <v>40</v>
      </c>
      <c r="AB43" s="152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</row>
    <row r="44" spans="1:69" s="91" customFormat="1" ht="92.25" customHeight="1" x14ac:dyDescent="0.55000000000000004">
      <c r="A44" s="301">
        <v>21</v>
      </c>
      <c r="B44" s="141" t="s">
        <v>91</v>
      </c>
      <c r="C44" s="345" t="s">
        <v>144</v>
      </c>
      <c r="D44" s="344">
        <v>41764</v>
      </c>
      <c r="E44" s="128" t="s">
        <v>153</v>
      </c>
      <c r="F44" s="128" t="s">
        <v>46</v>
      </c>
      <c r="G44" s="142" t="s">
        <v>38</v>
      </c>
      <c r="H44" s="133" t="s">
        <v>33</v>
      </c>
      <c r="I44" s="129">
        <v>27090000</v>
      </c>
      <c r="J44" s="134">
        <v>41742</v>
      </c>
      <c r="K44" s="132" t="s">
        <v>115</v>
      </c>
      <c r="L44" s="145" t="s">
        <v>31</v>
      </c>
      <c r="M44" s="133" t="s">
        <v>42</v>
      </c>
      <c r="N44" s="154" t="s">
        <v>47</v>
      </c>
      <c r="O44" s="147">
        <v>130000</v>
      </c>
      <c r="P44" s="148">
        <f t="shared" si="13"/>
        <v>14354080</v>
      </c>
      <c r="Q44" s="135">
        <f t="shared" si="14"/>
        <v>2235360878.3999996</v>
      </c>
      <c r="R44" s="139" t="s">
        <v>25</v>
      </c>
      <c r="S44" s="138">
        <v>110.416</v>
      </c>
      <c r="T44" s="149">
        <f t="shared" si="10"/>
        <v>41832</v>
      </c>
      <c r="U44" s="155" t="s">
        <v>40</v>
      </c>
      <c r="V44" s="135">
        <f t="shared" si="11"/>
        <v>17224.895999999997</v>
      </c>
      <c r="W44" s="138">
        <v>155.72999999999999</v>
      </c>
      <c r="X44" s="139">
        <f t="shared" si="12"/>
        <v>2682433.0540799992</v>
      </c>
      <c r="Y44" s="139" t="s">
        <v>40</v>
      </c>
      <c r="Z44" s="323" t="s">
        <v>40</v>
      </c>
      <c r="AA44" s="140" t="s">
        <v>40</v>
      </c>
      <c r="AB44" s="152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  <c r="BP44" s="131"/>
      <c r="BQ44" s="131"/>
    </row>
    <row r="45" spans="1:69" s="91" customFormat="1" ht="92.25" customHeight="1" x14ac:dyDescent="0.55000000000000004">
      <c r="A45" s="301">
        <v>22</v>
      </c>
      <c r="B45" s="141" t="s">
        <v>92</v>
      </c>
      <c r="C45" s="345" t="s">
        <v>145</v>
      </c>
      <c r="D45" s="344">
        <v>41764</v>
      </c>
      <c r="E45" s="128" t="s">
        <v>154</v>
      </c>
      <c r="F45" s="128" t="s">
        <v>46</v>
      </c>
      <c r="G45" s="142" t="s">
        <v>38</v>
      </c>
      <c r="H45" s="133" t="s">
        <v>33</v>
      </c>
      <c r="I45" s="129">
        <v>27090000</v>
      </c>
      <c r="J45" s="134">
        <v>41742</v>
      </c>
      <c r="K45" s="132" t="s">
        <v>115</v>
      </c>
      <c r="L45" s="145" t="s">
        <v>31</v>
      </c>
      <c r="M45" s="133" t="s">
        <v>42</v>
      </c>
      <c r="N45" s="154" t="s">
        <v>47</v>
      </c>
      <c r="O45" s="147">
        <v>70000</v>
      </c>
      <c r="P45" s="148">
        <f t="shared" si="13"/>
        <v>7729120</v>
      </c>
      <c r="Q45" s="135">
        <f t="shared" si="14"/>
        <v>1203655857.5999999</v>
      </c>
      <c r="R45" s="139" t="s">
        <v>25</v>
      </c>
      <c r="S45" s="138">
        <v>110.416</v>
      </c>
      <c r="T45" s="149">
        <f t="shared" si="10"/>
        <v>41832</v>
      </c>
      <c r="U45" s="155" t="s">
        <v>40</v>
      </c>
      <c r="V45" s="135">
        <f t="shared" si="11"/>
        <v>9274.9439999999995</v>
      </c>
      <c r="W45" s="138">
        <v>155.72999999999999</v>
      </c>
      <c r="X45" s="139">
        <f t="shared" si="12"/>
        <v>1444387.0291199998</v>
      </c>
      <c r="Y45" s="139" t="s">
        <v>40</v>
      </c>
      <c r="Z45" s="323" t="s">
        <v>40</v>
      </c>
      <c r="AA45" s="214" t="s">
        <v>40</v>
      </c>
      <c r="AB45" s="152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</row>
    <row r="46" spans="1:69" s="91" customFormat="1" ht="92.25" customHeight="1" x14ac:dyDescent="0.55000000000000004">
      <c r="A46" s="301">
        <v>23</v>
      </c>
      <c r="B46" s="141" t="s">
        <v>93</v>
      </c>
      <c r="C46" s="345" t="s">
        <v>146</v>
      </c>
      <c r="D46" s="344">
        <v>41764</v>
      </c>
      <c r="E46" s="128" t="s">
        <v>155</v>
      </c>
      <c r="F46" s="128" t="s">
        <v>46</v>
      </c>
      <c r="G46" s="142" t="s">
        <v>38</v>
      </c>
      <c r="H46" s="133" t="s">
        <v>33</v>
      </c>
      <c r="I46" s="129">
        <v>27090000</v>
      </c>
      <c r="J46" s="134">
        <v>41742</v>
      </c>
      <c r="K46" s="132" t="s">
        <v>115</v>
      </c>
      <c r="L46" s="145" t="s">
        <v>31</v>
      </c>
      <c r="M46" s="133" t="s">
        <v>42</v>
      </c>
      <c r="N46" s="154" t="s">
        <v>47</v>
      </c>
      <c r="O46" s="147">
        <v>750185</v>
      </c>
      <c r="P46" s="148">
        <f t="shared" si="13"/>
        <v>82832426.959999993</v>
      </c>
      <c r="Q46" s="135">
        <f t="shared" si="14"/>
        <v>12899493850.480799</v>
      </c>
      <c r="R46" s="139" t="s">
        <v>25</v>
      </c>
      <c r="S46" s="138">
        <v>110.416</v>
      </c>
      <c r="T46" s="149">
        <f t="shared" si="10"/>
        <v>41832</v>
      </c>
      <c r="U46" s="155" t="s">
        <v>40</v>
      </c>
      <c r="V46" s="135">
        <f t="shared" si="11"/>
        <v>99398.912351999985</v>
      </c>
      <c r="W46" s="138">
        <v>155.72999999999999</v>
      </c>
      <c r="X46" s="139">
        <f t="shared" si="12"/>
        <v>15479392.620576957</v>
      </c>
      <c r="Y46" s="139" t="s">
        <v>40</v>
      </c>
      <c r="Z46" s="323" t="s">
        <v>40</v>
      </c>
      <c r="AA46" s="214" t="s">
        <v>40</v>
      </c>
      <c r="AB46" s="152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  <c r="BP46" s="131"/>
      <c r="BQ46" s="131"/>
    </row>
    <row r="47" spans="1:69" s="91" customFormat="1" ht="92.25" customHeight="1" x14ac:dyDescent="0.55000000000000004">
      <c r="A47" s="301">
        <v>24</v>
      </c>
      <c r="B47" s="141" t="s">
        <v>101</v>
      </c>
      <c r="C47" s="345" t="s">
        <v>147</v>
      </c>
      <c r="D47" s="344">
        <v>41764</v>
      </c>
      <c r="E47" s="128" t="s">
        <v>158</v>
      </c>
      <c r="F47" s="128" t="s">
        <v>46</v>
      </c>
      <c r="G47" s="142" t="s">
        <v>38</v>
      </c>
      <c r="H47" s="133" t="s">
        <v>33</v>
      </c>
      <c r="I47" s="129">
        <v>27090000</v>
      </c>
      <c r="J47" s="144">
        <v>41749</v>
      </c>
      <c r="K47" s="132" t="s">
        <v>119</v>
      </c>
      <c r="L47" s="153" t="s">
        <v>31</v>
      </c>
      <c r="M47" s="133" t="s">
        <v>136</v>
      </c>
      <c r="N47" s="154" t="s">
        <v>132</v>
      </c>
      <c r="O47" s="147">
        <v>901877</v>
      </c>
      <c r="P47" s="148">
        <f t="shared" si="13"/>
        <v>100268881.10599999</v>
      </c>
      <c r="Q47" s="135">
        <f t="shared" si="14"/>
        <v>15614872854.637377</v>
      </c>
      <c r="R47" s="139" t="s">
        <v>25</v>
      </c>
      <c r="S47" s="138">
        <v>111.178</v>
      </c>
      <c r="T47" s="149">
        <f t="shared" si="10"/>
        <v>41839</v>
      </c>
      <c r="U47" s="155" t="s">
        <v>40</v>
      </c>
      <c r="V47" s="135">
        <f t="shared" si="11"/>
        <v>120322.65732719998</v>
      </c>
      <c r="W47" s="138">
        <v>155.72999999999999</v>
      </c>
      <c r="X47" s="139">
        <f t="shared" si="12"/>
        <v>18737847.425564852</v>
      </c>
      <c r="Y47" s="139" t="s">
        <v>40</v>
      </c>
      <c r="Z47" s="323" t="s">
        <v>40</v>
      </c>
      <c r="AA47" s="214" t="s">
        <v>40</v>
      </c>
      <c r="AB47" s="152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</row>
    <row r="48" spans="1:69" s="91" customFormat="1" ht="92.25" customHeight="1" x14ac:dyDescent="0.55000000000000004">
      <c r="A48" s="301">
        <v>25</v>
      </c>
      <c r="B48" s="141" t="s">
        <v>104</v>
      </c>
      <c r="C48" s="345" t="s">
        <v>148</v>
      </c>
      <c r="D48" s="344">
        <v>41764</v>
      </c>
      <c r="E48" s="128" t="s">
        <v>159</v>
      </c>
      <c r="F48" s="128" t="s">
        <v>46</v>
      </c>
      <c r="G48" s="142" t="s">
        <v>38</v>
      </c>
      <c r="H48" s="133" t="s">
        <v>33</v>
      </c>
      <c r="I48" s="129">
        <v>27090000</v>
      </c>
      <c r="J48" s="144">
        <v>41753</v>
      </c>
      <c r="K48" s="132" t="s">
        <v>121</v>
      </c>
      <c r="L48" s="153" t="s">
        <v>31</v>
      </c>
      <c r="M48" s="133" t="s">
        <v>42</v>
      </c>
      <c r="N48" s="154" t="s">
        <v>47</v>
      </c>
      <c r="O48" s="147">
        <v>949955</v>
      </c>
      <c r="P48" s="148">
        <f t="shared" si="13"/>
        <v>106045376.56</v>
      </c>
      <c r="Q48" s="135">
        <f t="shared" si="14"/>
        <v>16514446491.688799</v>
      </c>
      <c r="R48" s="139" t="s">
        <v>25</v>
      </c>
      <c r="S48" s="138">
        <v>111.63200000000001</v>
      </c>
      <c r="T48" s="149">
        <f t="shared" si="10"/>
        <v>41843</v>
      </c>
      <c r="U48" s="155" t="s">
        <v>40</v>
      </c>
      <c r="V48" s="135">
        <f t="shared" si="11"/>
        <v>127254.45187199999</v>
      </c>
      <c r="W48" s="138">
        <v>155.72999999999999</v>
      </c>
      <c r="X48" s="139">
        <f t="shared" si="12"/>
        <v>19817335.790026557</v>
      </c>
      <c r="Y48" s="139" t="s">
        <v>40</v>
      </c>
      <c r="Z48" s="323" t="s">
        <v>40</v>
      </c>
      <c r="AA48" s="214" t="s">
        <v>40</v>
      </c>
      <c r="AB48" s="152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</row>
    <row r="49" spans="1:69" s="91" customFormat="1" ht="92.25" customHeight="1" x14ac:dyDescent="0.55000000000000004">
      <c r="A49" s="301">
        <v>26</v>
      </c>
      <c r="B49" s="141" t="s">
        <v>106</v>
      </c>
      <c r="C49" s="345" t="s">
        <v>149</v>
      </c>
      <c r="D49" s="344">
        <v>41764</v>
      </c>
      <c r="E49" s="128" t="s">
        <v>160</v>
      </c>
      <c r="F49" s="128" t="s">
        <v>46</v>
      </c>
      <c r="G49" s="142" t="s">
        <v>38</v>
      </c>
      <c r="H49" s="133" t="s">
        <v>33</v>
      </c>
      <c r="I49" s="129">
        <v>27090000</v>
      </c>
      <c r="J49" s="144">
        <v>41755</v>
      </c>
      <c r="K49" s="132" t="s">
        <v>122</v>
      </c>
      <c r="L49" s="153" t="s">
        <v>31</v>
      </c>
      <c r="M49" s="133" t="s">
        <v>140</v>
      </c>
      <c r="N49" s="154" t="s">
        <v>135</v>
      </c>
      <c r="O49" s="147">
        <v>916856</v>
      </c>
      <c r="P49" s="148">
        <f t="shared" si="8"/>
        <v>102649364.04799999</v>
      </c>
      <c r="Q49" s="135">
        <f t="shared" si="9"/>
        <v>15985585463.195038</v>
      </c>
      <c r="R49" s="139" t="s">
        <v>25</v>
      </c>
      <c r="S49" s="138">
        <v>111.958</v>
      </c>
      <c r="T49" s="149">
        <f t="shared" si="10"/>
        <v>41845</v>
      </c>
      <c r="U49" s="155" t="s">
        <v>40</v>
      </c>
      <c r="V49" s="135">
        <f t="shared" si="11"/>
        <v>123179.23685759999</v>
      </c>
      <c r="W49" s="138">
        <v>155.72999999999999</v>
      </c>
      <c r="X49" s="139">
        <f t="shared" si="12"/>
        <v>19182702.555834044</v>
      </c>
      <c r="Y49" s="139" t="s">
        <v>40</v>
      </c>
      <c r="Z49" s="323" t="s">
        <v>40</v>
      </c>
      <c r="AA49" s="214" t="s">
        <v>40</v>
      </c>
      <c r="AB49" s="152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  <c r="BP49" s="131"/>
      <c r="BQ49" s="131"/>
    </row>
    <row r="50" spans="1:69" ht="78.75" customHeight="1" x14ac:dyDescent="0.55000000000000004">
      <c r="A50" s="326"/>
      <c r="B50" s="133"/>
      <c r="C50" s="302"/>
      <c r="D50" s="137"/>
      <c r="E50" s="302"/>
      <c r="F50" s="155"/>
      <c r="G50" s="142"/>
      <c r="H50" s="133"/>
      <c r="I50" s="129"/>
      <c r="J50" s="134"/>
      <c r="K50" s="132"/>
      <c r="L50" s="132"/>
      <c r="M50" s="133"/>
      <c r="N50" s="206"/>
      <c r="O50" s="147"/>
      <c r="P50" s="148"/>
      <c r="Q50" s="135"/>
      <c r="R50" s="139"/>
      <c r="S50" s="138"/>
      <c r="T50" s="149"/>
      <c r="U50" s="238"/>
      <c r="V50" s="135"/>
      <c r="W50" s="138"/>
      <c r="X50" s="139"/>
      <c r="Y50" s="139"/>
      <c r="Z50" s="155"/>
      <c r="AA50" s="207"/>
    </row>
    <row r="51" spans="1:69" s="16" customFormat="1" ht="78.75" customHeight="1" thickBot="1" x14ac:dyDescent="0.65">
      <c r="A51" s="225"/>
      <c r="B51" s="158" t="s">
        <v>28</v>
      </c>
      <c r="C51" s="158"/>
      <c r="D51" s="159"/>
      <c r="E51" s="158"/>
      <c r="F51" s="158"/>
      <c r="G51" s="274"/>
      <c r="H51" s="158"/>
      <c r="I51" s="158"/>
      <c r="J51" s="159"/>
      <c r="K51" s="158"/>
      <c r="L51" s="158"/>
      <c r="M51" s="158"/>
      <c r="N51" s="275"/>
      <c r="O51" s="276">
        <f>SUM(O24:O49)</f>
        <v>16761631</v>
      </c>
      <c r="P51" s="163">
        <f>SUM(P24:P49)</f>
        <v>1841018693.3845999</v>
      </c>
      <c r="Q51" s="163"/>
      <c r="R51" s="163"/>
      <c r="S51" s="164"/>
      <c r="T51" s="159"/>
      <c r="U51" s="163"/>
      <c r="V51" s="163">
        <f>SUM(V24:V50)</f>
        <v>2209222.4320615195</v>
      </c>
      <c r="W51" s="164"/>
      <c r="X51" s="163">
        <f>SUM(X24:X49)</f>
        <v>344496174.8494454</v>
      </c>
      <c r="Y51" s="163">
        <f>SUM(Y24:Y49)</f>
        <v>163660432.08000001</v>
      </c>
      <c r="Z51" s="158"/>
      <c r="AA51" s="217"/>
    </row>
    <row r="52" spans="1:69" s="16" customFormat="1" ht="23.25" x14ac:dyDescent="0.35">
      <c r="A52" s="39"/>
      <c r="B52" s="37"/>
      <c r="C52" s="35"/>
      <c r="D52" s="36"/>
      <c r="E52" s="35"/>
      <c r="F52" s="35"/>
      <c r="G52" s="40"/>
      <c r="H52" s="35"/>
      <c r="I52" s="35"/>
      <c r="J52" s="36"/>
      <c r="K52" s="35"/>
      <c r="L52" s="35"/>
      <c r="M52" s="35"/>
      <c r="N52" s="41"/>
      <c r="O52" s="29"/>
      <c r="P52" s="30"/>
      <c r="Q52" s="30"/>
      <c r="R52" s="30"/>
      <c r="S52" s="38"/>
      <c r="T52" s="36"/>
      <c r="U52" s="30"/>
      <c r="V52" s="30"/>
      <c r="W52" s="38"/>
      <c r="X52" s="30"/>
      <c r="Y52" s="30"/>
      <c r="Z52" s="35"/>
      <c r="AA52" s="35"/>
    </row>
    <row r="53" spans="1:69" x14ac:dyDescent="0.2">
      <c r="A53" s="7"/>
      <c r="B53" s="8"/>
      <c r="C53" s="6"/>
      <c r="D53" s="17"/>
      <c r="E53" s="18"/>
      <c r="F53" s="6"/>
      <c r="G53" s="19"/>
      <c r="H53" s="6"/>
      <c r="I53" s="6"/>
      <c r="J53" s="20"/>
      <c r="K53" s="8"/>
      <c r="L53" s="8"/>
      <c r="M53" s="6"/>
      <c r="N53" s="6"/>
      <c r="O53" s="21"/>
      <c r="P53" s="22"/>
      <c r="Q53" s="22"/>
      <c r="R53" s="22"/>
      <c r="S53" s="27"/>
      <c r="V53" s="22"/>
      <c r="W53" s="27"/>
      <c r="X53" s="22"/>
      <c r="Y53" s="22"/>
      <c r="Z53" s="6"/>
      <c r="AA53" s="6"/>
    </row>
    <row r="65" spans="14:15" x14ac:dyDescent="0.2">
      <c r="N65" s="23"/>
      <c r="O65" s="24"/>
    </row>
  </sheetData>
  <mergeCells count="24">
    <mergeCell ref="J39:J40"/>
    <mergeCell ref="I39:I40"/>
    <mergeCell ref="B39:B40"/>
    <mergeCell ref="D39:D40"/>
    <mergeCell ref="F39:F40"/>
    <mergeCell ref="G39:G40"/>
    <mergeCell ref="H39:H40"/>
    <mergeCell ref="K39:K40"/>
    <mergeCell ref="L39:L40"/>
    <mergeCell ref="M39:M40"/>
    <mergeCell ref="N39:N40"/>
    <mergeCell ref="O39:O40"/>
    <mergeCell ref="AA39:AA40"/>
    <mergeCell ref="P39:P40"/>
    <mergeCell ref="Q39:Q40"/>
    <mergeCell ref="R39:R40"/>
    <mergeCell ref="T39:T40"/>
    <mergeCell ref="V39:V40"/>
    <mergeCell ref="S39:S40"/>
    <mergeCell ref="X39:X40"/>
    <mergeCell ref="W39:W40"/>
    <mergeCell ref="U39:U40"/>
    <mergeCell ref="Y39:Y40"/>
    <mergeCell ref="Z39:Z40"/>
  </mergeCells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ignoredErrors>
    <ignoredError sqref="W25:W30 E25:F30 Z24:Z30 E31:F31 Z31:AA31 E32:F33 Z32:AA33 E2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U31" zoomScale="37" zoomScaleNormal="37" zoomScaleSheetLayoutView="10" workbookViewId="0">
      <selection activeCell="X50" sqref="X50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89" customFormat="1" ht="160.5" customHeight="1" x14ac:dyDescent="0.6">
      <c r="B27" s="211" t="s">
        <v>80</v>
      </c>
      <c r="C27" s="91"/>
      <c r="D27" s="212"/>
      <c r="E27" s="92"/>
      <c r="F27" s="91"/>
      <c r="G27" s="213"/>
      <c r="H27" s="91"/>
      <c r="I27" s="91"/>
      <c r="J27" s="212"/>
      <c r="K27" s="91"/>
      <c r="L27" s="91"/>
      <c r="M27" s="91"/>
      <c r="N27" s="91"/>
      <c r="O27" s="94"/>
      <c r="P27" s="95"/>
      <c r="Q27" s="95"/>
      <c r="R27" s="95"/>
      <c r="S27" s="96"/>
      <c r="T27" s="97"/>
      <c r="U27" s="91"/>
      <c r="V27" s="95"/>
      <c r="W27" s="96"/>
      <c r="X27" s="95"/>
      <c r="Y27" s="95"/>
      <c r="Z27" s="91"/>
      <c r="AA27" s="91"/>
    </row>
    <row r="28" spans="1:27" s="99" customFormat="1" ht="160.5" customHeight="1" thickBot="1" x14ac:dyDescent="0.3">
      <c r="B28" s="100"/>
      <c r="C28" s="100"/>
      <c r="D28" s="101"/>
      <c r="E28" s="102"/>
      <c r="F28" s="100"/>
      <c r="G28" s="103"/>
      <c r="H28" s="104"/>
      <c r="I28" s="104"/>
      <c r="J28" s="105"/>
      <c r="K28" s="106"/>
      <c r="L28" s="107"/>
      <c r="M28" s="104"/>
      <c r="N28" s="107"/>
      <c r="O28" s="108"/>
      <c r="P28" s="109"/>
      <c r="Q28" s="109"/>
      <c r="R28" s="109"/>
      <c r="S28" s="110"/>
      <c r="T28" s="111"/>
      <c r="U28" s="100"/>
      <c r="V28" s="109"/>
      <c r="W28" s="110"/>
      <c r="X28" s="109"/>
      <c r="Y28" s="109"/>
      <c r="Z28" s="100"/>
      <c r="AA28" s="100"/>
    </row>
    <row r="29" spans="1:27" s="100" customFormat="1" ht="160.5" customHeight="1" x14ac:dyDescent="0.25">
      <c r="A29" s="112">
        <v>1</v>
      </c>
      <c r="B29" s="113">
        <v>2</v>
      </c>
      <c r="C29" s="113">
        <v>3</v>
      </c>
      <c r="D29" s="114">
        <v>4</v>
      </c>
      <c r="E29" s="113">
        <v>5</v>
      </c>
      <c r="F29" s="113">
        <v>6</v>
      </c>
      <c r="G29" s="115">
        <v>7</v>
      </c>
      <c r="H29" s="113">
        <v>8</v>
      </c>
      <c r="I29" s="277">
        <v>9</v>
      </c>
      <c r="J29" s="113">
        <v>10</v>
      </c>
      <c r="K29" s="113">
        <v>11</v>
      </c>
      <c r="L29" s="113">
        <v>12</v>
      </c>
      <c r="M29" s="113">
        <v>13</v>
      </c>
      <c r="N29" s="113">
        <v>14</v>
      </c>
      <c r="O29" s="113">
        <v>15</v>
      </c>
      <c r="P29" s="113">
        <v>16</v>
      </c>
      <c r="Q29" s="113">
        <v>17</v>
      </c>
      <c r="R29" s="113">
        <v>18</v>
      </c>
      <c r="S29" s="113">
        <v>19</v>
      </c>
      <c r="T29" s="113">
        <v>20</v>
      </c>
      <c r="U29" s="113">
        <v>21</v>
      </c>
      <c r="V29" s="113">
        <v>22</v>
      </c>
      <c r="W29" s="114">
        <v>23</v>
      </c>
      <c r="X29" s="113">
        <v>24</v>
      </c>
      <c r="Y29" s="113">
        <v>25</v>
      </c>
      <c r="Z29" s="113">
        <v>26</v>
      </c>
      <c r="AA29" s="116">
        <v>27</v>
      </c>
    </row>
    <row r="30" spans="1:27" s="127" customFormat="1" ht="160.5" customHeight="1" thickBot="1" x14ac:dyDescent="0.3">
      <c r="A30" s="117" t="s">
        <v>0</v>
      </c>
      <c r="B30" s="118" t="s">
        <v>1</v>
      </c>
      <c r="C30" s="119" t="s">
        <v>2</v>
      </c>
      <c r="D30" s="120" t="s">
        <v>3</v>
      </c>
      <c r="E30" s="121" t="s">
        <v>4</v>
      </c>
      <c r="F30" s="119" t="s">
        <v>5</v>
      </c>
      <c r="G30" s="327" t="s">
        <v>6</v>
      </c>
      <c r="H30" s="328" t="s">
        <v>7</v>
      </c>
      <c r="I30" s="119" t="s">
        <v>8</v>
      </c>
      <c r="J30" s="329" t="s">
        <v>9</v>
      </c>
      <c r="K30" s="118" t="s">
        <v>10</v>
      </c>
      <c r="L30" s="118" t="s">
        <v>11</v>
      </c>
      <c r="M30" s="119" t="s">
        <v>12</v>
      </c>
      <c r="N30" s="119" t="s">
        <v>13</v>
      </c>
      <c r="O30" s="123" t="s">
        <v>14</v>
      </c>
      <c r="P30" s="124" t="s">
        <v>27</v>
      </c>
      <c r="Q30" s="124" t="s">
        <v>39</v>
      </c>
      <c r="R30" s="124" t="s">
        <v>15</v>
      </c>
      <c r="S30" s="125" t="s">
        <v>16</v>
      </c>
      <c r="T30" s="120" t="s">
        <v>17</v>
      </c>
      <c r="U30" s="119" t="s">
        <v>18</v>
      </c>
      <c r="V30" s="124" t="s">
        <v>19</v>
      </c>
      <c r="W30" s="125" t="s">
        <v>20</v>
      </c>
      <c r="X30" s="124" t="s">
        <v>21</v>
      </c>
      <c r="Y30" s="124" t="s">
        <v>22</v>
      </c>
      <c r="Z30" s="119" t="s">
        <v>24</v>
      </c>
      <c r="AA30" s="126" t="s">
        <v>23</v>
      </c>
    </row>
    <row r="31" spans="1:27" s="91" customFormat="1" ht="160.5" customHeight="1" x14ac:dyDescent="0.55000000000000004">
      <c r="A31" s="265">
        <v>1</v>
      </c>
      <c r="B31" s="330" t="s">
        <v>81</v>
      </c>
      <c r="C31" s="228" t="s">
        <v>48</v>
      </c>
      <c r="D31" s="331" t="s">
        <v>48</v>
      </c>
      <c r="E31" s="228" t="s">
        <v>40</v>
      </c>
      <c r="F31" s="228" t="s">
        <v>40</v>
      </c>
      <c r="G31" s="332" t="s">
        <v>44</v>
      </c>
      <c r="H31" s="227" t="s">
        <v>34</v>
      </c>
      <c r="I31" s="227">
        <v>27090000</v>
      </c>
      <c r="J31" s="229">
        <v>41730</v>
      </c>
      <c r="K31" s="228" t="s">
        <v>63</v>
      </c>
      <c r="L31" s="266" t="s">
        <v>32</v>
      </c>
      <c r="M31" s="227" t="s">
        <v>42</v>
      </c>
      <c r="N31" s="267" t="s">
        <v>47</v>
      </c>
      <c r="O31" s="268">
        <v>953931</v>
      </c>
      <c r="P31" s="269">
        <f t="shared" ref="P31" si="0">O31*S31</f>
        <v>102736460.838</v>
      </c>
      <c r="Q31" s="269">
        <f t="shared" ref="Q31" si="1">P31*W31</f>
        <v>15999149046.301739</v>
      </c>
      <c r="R31" s="269" t="s">
        <v>25</v>
      </c>
      <c r="S31" s="248">
        <v>107.69799999999999</v>
      </c>
      <c r="T31" s="270">
        <f t="shared" ref="T31" si="2">J31+90</f>
        <v>41820</v>
      </c>
      <c r="U31" s="271" t="s">
        <v>40</v>
      </c>
      <c r="V31" s="269">
        <f t="shared" ref="V31" si="3">P31*0.12%</f>
        <v>123283.75300559998</v>
      </c>
      <c r="W31" s="248">
        <v>155.72999999999999</v>
      </c>
      <c r="X31" s="269">
        <f t="shared" ref="X31" si="4">V31*W31</f>
        <v>19198978.855562083</v>
      </c>
      <c r="Y31" s="269" t="s">
        <v>40</v>
      </c>
      <c r="Z31" s="228" t="s">
        <v>40</v>
      </c>
      <c r="AA31" s="272" t="s">
        <v>40</v>
      </c>
    </row>
    <row r="32" spans="1:27" s="91" customFormat="1" ht="160.5" customHeight="1" x14ac:dyDescent="0.55000000000000004">
      <c r="A32" s="205">
        <v>2</v>
      </c>
      <c r="B32" s="141" t="s">
        <v>82</v>
      </c>
      <c r="C32" s="132" t="s">
        <v>48</v>
      </c>
      <c r="D32" s="137" t="s">
        <v>48</v>
      </c>
      <c r="E32" s="132" t="s">
        <v>40</v>
      </c>
      <c r="F32" s="132" t="s">
        <v>40</v>
      </c>
      <c r="G32" s="142" t="s">
        <v>35</v>
      </c>
      <c r="H32" s="133" t="s">
        <v>33</v>
      </c>
      <c r="I32" s="133">
        <v>27090000</v>
      </c>
      <c r="J32" s="134">
        <v>41730</v>
      </c>
      <c r="K32" s="132" t="s">
        <v>109</v>
      </c>
      <c r="L32" s="145" t="s">
        <v>31</v>
      </c>
      <c r="M32" s="133" t="s">
        <v>42</v>
      </c>
      <c r="N32" s="154" t="s">
        <v>127</v>
      </c>
      <c r="O32" s="147">
        <v>996080</v>
      </c>
      <c r="P32" s="139">
        <f t="shared" ref="P32:P48" si="5">O32*S32</f>
        <v>107275823.83999999</v>
      </c>
      <c r="Q32" s="139">
        <f t="shared" ref="Q32" si="6">P32*W32</f>
        <v>16706064046.603197</v>
      </c>
      <c r="R32" s="139" t="s">
        <v>25</v>
      </c>
      <c r="S32" s="138">
        <v>107.69799999999999</v>
      </c>
      <c r="T32" s="149">
        <f t="shared" ref="T32" si="7">J32+90</f>
        <v>41820</v>
      </c>
      <c r="U32" s="155" t="s">
        <v>40</v>
      </c>
      <c r="V32" s="139">
        <f t="shared" ref="V32" si="8">P32*0.12%</f>
        <v>128730.98860799997</v>
      </c>
      <c r="W32" s="138">
        <v>155.72999999999999</v>
      </c>
      <c r="X32" s="139">
        <f t="shared" ref="X32" si="9">V32*W32</f>
        <v>20047276.855923835</v>
      </c>
      <c r="Y32" s="139" t="s">
        <v>40</v>
      </c>
      <c r="Z32" s="132" t="s">
        <v>40</v>
      </c>
      <c r="AA32" s="214" t="s">
        <v>40</v>
      </c>
    </row>
    <row r="33" spans="1:27" s="91" customFormat="1" ht="160.5" customHeight="1" x14ac:dyDescent="0.55000000000000004">
      <c r="A33" s="205">
        <v>3</v>
      </c>
      <c r="B33" s="141" t="s">
        <v>86</v>
      </c>
      <c r="C33" s="132" t="s">
        <v>48</v>
      </c>
      <c r="D33" s="137" t="s">
        <v>48</v>
      </c>
      <c r="E33" s="132" t="s">
        <v>40</v>
      </c>
      <c r="F33" s="132" t="s">
        <v>40</v>
      </c>
      <c r="G33" s="142" t="s">
        <v>43</v>
      </c>
      <c r="H33" s="133" t="s">
        <v>34</v>
      </c>
      <c r="I33" s="133">
        <v>27090000</v>
      </c>
      <c r="J33" s="134">
        <v>41736</v>
      </c>
      <c r="K33" s="132" t="s">
        <v>112</v>
      </c>
      <c r="L33" s="145" t="s">
        <v>32</v>
      </c>
      <c r="M33" s="133" t="s">
        <v>42</v>
      </c>
      <c r="N33" s="154" t="s">
        <v>47</v>
      </c>
      <c r="O33" s="147">
        <v>100000</v>
      </c>
      <c r="P33" s="139">
        <f t="shared" si="5"/>
        <v>10849100</v>
      </c>
      <c r="Q33" s="139">
        <f t="shared" ref="Q33:Q48" si="10">P33*W33</f>
        <v>1689530343</v>
      </c>
      <c r="R33" s="139" t="s">
        <v>25</v>
      </c>
      <c r="S33" s="138">
        <v>108.491</v>
      </c>
      <c r="T33" s="149">
        <f t="shared" ref="T33:T48" si="11">J33+90</f>
        <v>41826</v>
      </c>
      <c r="U33" s="155" t="s">
        <v>40</v>
      </c>
      <c r="V33" s="139">
        <f t="shared" ref="V33:V48" si="12">P33*0.12%</f>
        <v>13018.919999999998</v>
      </c>
      <c r="W33" s="138">
        <v>155.72999999999999</v>
      </c>
      <c r="X33" s="139">
        <f t="shared" ref="X33:X48" si="13">V33*W33</f>
        <v>2027436.4115999995</v>
      </c>
      <c r="Y33" s="139" t="s">
        <v>40</v>
      </c>
      <c r="Z33" s="132" t="s">
        <v>40</v>
      </c>
      <c r="AA33" s="214" t="s">
        <v>40</v>
      </c>
    </row>
    <row r="34" spans="1:27" s="91" customFormat="1" ht="160.5" customHeight="1" x14ac:dyDescent="0.55000000000000004">
      <c r="A34" s="205">
        <v>4</v>
      </c>
      <c r="B34" s="141" t="s">
        <v>87</v>
      </c>
      <c r="C34" s="132" t="s">
        <v>48</v>
      </c>
      <c r="D34" s="137" t="s">
        <v>48</v>
      </c>
      <c r="E34" s="132" t="s">
        <v>40</v>
      </c>
      <c r="F34" s="132" t="s">
        <v>40</v>
      </c>
      <c r="G34" s="142" t="s">
        <v>44</v>
      </c>
      <c r="H34" s="133" t="s">
        <v>34</v>
      </c>
      <c r="I34" s="133">
        <v>27090000</v>
      </c>
      <c r="J34" s="134">
        <v>41736</v>
      </c>
      <c r="K34" s="132" t="s">
        <v>112</v>
      </c>
      <c r="L34" s="145" t="s">
        <v>32</v>
      </c>
      <c r="M34" s="133" t="s">
        <v>42</v>
      </c>
      <c r="N34" s="154" t="s">
        <v>47</v>
      </c>
      <c r="O34" s="147">
        <v>900245</v>
      </c>
      <c r="P34" s="139">
        <f t="shared" si="5"/>
        <v>97668480.295000002</v>
      </c>
      <c r="Q34" s="139">
        <f t="shared" si="10"/>
        <v>15209912436.340349</v>
      </c>
      <c r="R34" s="139" t="s">
        <v>25</v>
      </c>
      <c r="S34" s="138">
        <v>108.491</v>
      </c>
      <c r="T34" s="149">
        <f t="shared" si="11"/>
        <v>41826</v>
      </c>
      <c r="U34" s="155" t="s">
        <v>40</v>
      </c>
      <c r="V34" s="139">
        <f t="shared" si="12"/>
        <v>117202.176354</v>
      </c>
      <c r="W34" s="138">
        <v>155.72999999999999</v>
      </c>
      <c r="X34" s="139">
        <f t="shared" si="13"/>
        <v>18251894.923608419</v>
      </c>
      <c r="Y34" s="139" t="s">
        <v>40</v>
      </c>
      <c r="Z34" s="132" t="s">
        <v>40</v>
      </c>
      <c r="AA34" s="214" t="s">
        <v>40</v>
      </c>
    </row>
    <row r="35" spans="1:27" s="91" customFormat="1" ht="160.5" customHeight="1" x14ac:dyDescent="0.55000000000000004">
      <c r="A35" s="205">
        <v>5</v>
      </c>
      <c r="B35" s="141" t="s">
        <v>88</v>
      </c>
      <c r="C35" s="132" t="s">
        <v>48</v>
      </c>
      <c r="D35" s="137" t="s">
        <v>48</v>
      </c>
      <c r="E35" s="132" t="s">
        <v>40</v>
      </c>
      <c r="F35" s="132" t="s">
        <v>40</v>
      </c>
      <c r="G35" s="142" t="s">
        <v>35</v>
      </c>
      <c r="H35" s="133" t="s">
        <v>33</v>
      </c>
      <c r="I35" s="133">
        <v>27090000</v>
      </c>
      <c r="J35" s="134">
        <v>41737</v>
      </c>
      <c r="K35" s="132" t="s">
        <v>113</v>
      </c>
      <c r="L35" s="145" t="s">
        <v>31</v>
      </c>
      <c r="M35" s="133" t="s">
        <v>137</v>
      </c>
      <c r="N35" s="154" t="s">
        <v>130</v>
      </c>
      <c r="O35" s="147">
        <v>949786</v>
      </c>
      <c r="P35" s="139">
        <f t="shared" si="5"/>
        <v>103122065.164</v>
      </c>
      <c r="Q35" s="139">
        <f t="shared" si="10"/>
        <v>16059199207.989719</v>
      </c>
      <c r="R35" s="139" t="s">
        <v>25</v>
      </c>
      <c r="S35" s="138">
        <v>108.574</v>
      </c>
      <c r="T35" s="149">
        <f t="shared" si="11"/>
        <v>41827</v>
      </c>
      <c r="U35" s="155" t="s">
        <v>40</v>
      </c>
      <c r="V35" s="139">
        <f t="shared" si="12"/>
        <v>123746.47819679999</v>
      </c>
      <c r="W35" s="138">
        <v>155.72999999999999</v>
      </c>
      <c r="X35" s="139">
        <f t="shared" si="13"/>
        <v>19271039.04958766</v>
      </c>
      <c r="Y35" s="139" t="s">
        <v>40</v>
      </c>
      <c r="Z35" s="132" t="s">
        <v>40</v>
      </c>
      <c r="AA35" s="214" t="s">
        <v>40</v>
      </c>
    </row>
    <row r="36" spans="1:27" s="91" customFormat="1" ht="160.5" customHeight="1" x14ac:dyDescent="0.55000000000000004">
      <c r="A36" s="205">
        <v>6</v>
      </c>
      <c r="B36" s="141" t="s">
        <v>89</v>
      </c>
      <c r="C36" s="132" t="s">
        <v>48</v>
      </c>
      <c r="D36" s="137" t="s">
        <v>48</v>
      </c>
      <c r="E36" s="132" t="s">
        <v>40</v>
      </c>
      <c r="F36" s="132" t="s">
        <v>40</v>
      </c>
      <c r="G36" s="142" t="s">
        <v>38</v>
      </c>
      <c r="H36" s="133" t="s">
        <v>34</v>
      </c>
      <c r="I36" s="133">
        <v>27090000</v>
      </c>
      <c r="J36" s="134">
        <v>41739</v>
      </c>
      <c r="K36" s="132" t="s">
        <v>61</v>
      </c>
      <c r="L36" s="145" t="s">
        <v>32</v>
      </c>
      <c r="M36" s="133" t="s">
        <v>75</v>
      </c>
      <c r="N36" s="154" t="s">
        <v>73</v>
      </c>
      <c r="O36" s="147">
        <v>998709</v>
      </c>
      <c r="P36" s="139">
        <f t="shared" si="5"/>
        <v>109442527.05600001</v>
      </c>
      <c r="Q36" s="139">
        <f t="shared" si="10"/>
        <v>17043484738.43088</v>
      </c>
      <c r="R36" s="139" t="s">
        <v>25</v>
      </c>
      <c r="S36" s="138">
        <v>109.584</v>
      </c>
      <c r="T36" s="149">
        <f t="shared" si="11"/>
        <v>41829</v>
      </c>
      <c r="U36" s="155" t="s">
        <v>40</v>
      </c>
      <c r="V36" s="139">
        <f t="shared" si="12"/>
        <v>131331.03246720001</v>
      </c>
      <c r="W36" s="138">
        <v>155.72999999999999</v>
      </c>
      <c r="X36" s="139">
        <f t="shared" si="13"/>
        <v>20452181.686117057</v>
      </c>
      <c r="Y36" s="139" t="s">
        <v>40</v>
      </c>
      <c r="Z36" s="132" t="s">
        <v>40</v>
      </c>
      <c r="AA36" s="214" t="s">
        <v>40</v>
      </c>
    </row>
    <row r="37" spans="1:27" s="91" customFormat="1" ht="160.5" customHeight="1" x14ac:dyDescent="0.55000000000000004">
      <c r="A37" s="205">
        <v>7</v>
      </c>
      <c r="B37" s="141" t="s">
        <v>94</v>
      </c>
      <c r="C37" s="132" t="s">
        <v>48</v>
      </c>
      <c r="D37" s="137" t="s">
        <v>48</v>
      </c>
      <c r="E37" s="132" t="s">
        <v>40</v>
      </c>
      <c r="F37" s="132" t="s">
        <v>40</v>
      </c>
      <c r="G37" s="142" t="s">
        <v>38</v>
      </c>
      <c r="H37" s="133" t="s">
        <v>34</v>
      </c>
      <c r="I37" s="133">
        <v>27090000</v>
      </c>
      <c r="J37" s="134">
        <v>41745</v>
      </c>
      <c r="K37" s="132" t="s">
        <v>61</v>
      </c>
      <c r="L37" s="145" t="s">
        <v>32</v>
      </c>
      <c r="M37" s="133" t="s">
        <v>75</v>
      </c>
      <c r="N37" s="154" t="s">
        <v>73</v>
      </c>
      <c r="O37" s="147">
        <v>1003258</v>
      </c>
      <c r="P37" s="139">
        <f t="shared" si="5"/>
        <v>111771970.522</v>
      </c>
      <c r="Q37" s="139">
        <f t="shared" si="10"/>
        <v>17406248969.39106</v>
      </c>
      <c r="R37" s="139" t="s">
        <v>25</v>
      </c>
      <c r="S37" s="138">
        <v>111.40900000000001</v>
      </c>
      <c r="T37" s="149">
        <f t="shared" si="11"/>
        <v>41835</v>
      </c>
      <c r="U37" s="155" t="s">
        <v>40</v>
      </c>
      <c r="V37" s="139">
        <f t="shared" si="12"/>
        <v>134126.3646264</v>
      </c>
      <c r="W37" s="138">
        <v>155.72999999999999</v>
      </c>
      <c r="X37" s="139">
        <f t="shared" si="13"/>
        <v>20887498.763269272</v>
      </c>
      <c r="Y37" s="139" t="s">
        <v>40</v>
      </c>
      <c r="Z37" s="132" t="s">
        <v>40</v>
      </c>
      <c r="AA37" s="140" t="s">
        <v>40</v>
      </c>
    </row>
    <row r="38" spans="1:27" s="91" customFormat="1" ht="160.5" customHeight="1" x14ac:dyDescent="0.55000000000000004">
      <c r="A38" s="205">
        <v>8</v>
      </c>
      <c r="B38" s="141" t="s">
        <v>95</v>
      </c>
      <c r="C38" s="132" t="s">
        <v>48</v>
      </c>
      <c r="D38" s="137" t="s">
        <v>48</v>
      </c>
      <c r="E38" s="132" t="s">
        <v>40</v>
      </c>
      <c r="F38" s="132" t="s">
        <v>40</v>
      </c>
      <c r="G38" s="142" t="s">
        <v>35</v>
      </c>
      <c r="H38" s="133" t="s">
        <v>33</v>
      </c>
      <c r="I38" s="133">
        <v>27090000</v>
      </c>
      <c r="J38" s="134">
        <v>41745</v>
      </c>
      <c r="K38" s="132" t="s">
        <v>116</v>
      </c>
      <c r="L38" s="145" t="s">
        <v>31</v>
      </c>
      <c r="M38" s="133" t="s">
        <v>138</v>
      </c>
      <c r="N38" s="154" t="s">
        <v>131</v>
      </c>
      <c r="O38" s="147">
        <v>904411</v>
      </c>
      <c r="P38" s="139">
        <f t="shared" si="5"/>
        <v>100759525.09900001</v>
      </c>
      <c r="Q38" s="139">
        <f t="shared" si="10"/>
        <v>15691280843.667271</v>
      </c>
      <c r="R38" s="139" t="s">
        <v>25</v>
      </c>
      <c r="S38" s="138">
        <v>111.40900000000001</v>
      </c>
      <c r="T38" s="149">
        <f t="shared" si="11"/>
        <v>41835</v>
      </c>
      <c r="U38" s="155" t="s">
        <v>40</v>
      </c>
      <c r="V38" s="139">
        <f t="shared" si="12"/>
        <v>120911.4301188</v>
      </c>
      <c r="W38" s="138">
        <v>155.72999999999999</v>
      </c>
      <c r="X38" s="139">
        <f t="shared" si="13"/>
        <v>18829537.01240072</v>
      </c>
      <c r="Y38" s="139" t="s">
        <v>40</v>
      </c>
      <c r="Z38" s="132" t="s">
        <v>40</v>
      </c>
      <c r="AA38" s="140" t="s">
        <v>40</v>
      </c>
    </row>
    <row r="39" spans="1:27" s="91" customFormat="1" ht="160.5" customHeight="1" x14ac:dyDescent="0.55000000000000004">
      <c r="A39" s="205">
        <v>9</v>
      </c>
      <c r="B39" s="141" t="s">
        <v>96</v>
      </c>
      <c r="C39" s="132" t="s">
        <v>48</v>
      </c>
      <c r="D39" s="137" t="s">
        <v>48</v>
      </c>
      <c r="E39" s="132" t="s">
        <v>40</v>
      </c>
      <c r="F39" s="132" t="s">
        <v>40</v>
      </c>
      <c r="G39" s="142" t="s">
        <v>35</v>
      </c>
      <c r="H39" s="133" t="s">
        <v>33</v>
      </c>
      <c r="I39" s="133">
        <v>27090000</v>
      </c>
      <c r="J39" s="134">
        <v>41748</v>
      </c>
      <c r="K39" s="132" t="s">
        <v>117</v>
      </c>
      <c r="L39" s="145" t="s">
        <v>31</v>
      </c>
      <c r="M39" s="133" t="s">
        <v>36</v>
      </c>
      <c r="N39" s="154" t="s">
        <v>45</v>
      </c>
      <c r="O39" s="147">
        <v>949977</v>
      </c>
      <c r="P39" s="139">
        <f t="shared" si="5"/>
        <v>105701090.859</v>
      </c>
      <c r="Q39" s="139">
        <f t="shared" si="10"/>
        <v>16460830879.472069</v>
      </c>
      <c r="R39" s="139" t="s">
        <v>25</v>
      </c>
      <c r="S39" s="138">
        <v>111.267</v>
      </c>
      <c r="T39" s="149">
        <f t="shared" si="11"/>
        <v>41838</v>
      </c>
      <c r="U39" s="155" t="s">
        <v>40</v>
      </c>
      <c r="V39" s="139">
        <f t="shared" si="12"/>
        <v>126841.30903079998</v>
      </c>
      <c r="W39" s="138">
        <v>155.72999999999999</v>
      </c>
      <c r="X39" s="139">
        <f t="shared" si="13"/>
        <v>19752997.055366479</v>
      </c>
      <c r="Y39" s="139" t="s">
        <v>40</v>
      </c>
      <c r="Z39" s="132" t="s">
        <v>40</v>
      </c>
      <c r="AA39" s="140" t="s">
        <v>40</v>
      </c>
    </row>
    <row r="40" spans="1:27" s="91" customFormat="1" ht="160.5" customHeight="1" x14ac:dyDescent="0.55000000000000004">
      <c r="A40" s="205">
        <v>10</v>
      </c>
      <c r="B40" s="141" t="s">
        <v>97</v>
      </c>
      <c r="C40" s="132" t="s">
        <v>48</v>
      </c>
      <c r="D40" s="137" t="s">
        <v>48</v>
      </c>
      <c r="E40" s="132" t="s">
        <v>40</v>
      </c>
      <c r="F40" s="132" t="s">
        <v>40</v>
      </c>
      <c r="G40" s="142" t="s">
        <v>44</v>
      </c>
      <c r="H40" s="133" t="s">
        <v>34</v>
      </c>
      <c r="I40" s="133">
        <v>27090000</v>
      </c>
      <c r="J40" s="134">
        <v>41748</v>
      </c>
      <c r="K40" s="132" t="s">
        <v>118</v>
      </c>
      <c r="L40" s="145" t="s">
        <v>32</v>
      </c>
      <c r="M40" s="133" t="s">
        <v>42</v>
      </c>
      <c r="N40" s="154" t="s">
        <v>47</v>
      </c>
      <c r="O40" s="147">
        <v>659717</v>
      </c>
      <c r="P40" s="139">
        <f t="shared" si="5"/>
        <v>73404731.438999996</v>
      </c>
      <c r="Q40" s="139">
        <f t="shared" si="10"/>
        <v>11431318826.995468</v>
      </c>
      <c r="R40" s="139" t="s">
        <v>25</v>
      </c>
      <c r="S40" s="138">
        <v>111.267</v>
      </c>
      <c r="T40" s="149">
        <f t="shared" si="11"/>
        <v>41838</v>
      </c>
      <c r="U40" s="155" t="s">
        <v>40</v>
      </c>
      <c r="V40" s="139">
        <f t="shared" si="12"/>
        <v>88085.677726799986</v>
      </c>
      <c r="W40" s="138">
        <v>155.72999999999999</v>
      </c>
      <c r="X40" s="139">
        <f t="shared" si="13"/>
        <v>13717582.592394561</v>
      </c>
      <c r="Y40" s="139" t="s">
        <v>40</v>
      </c>
      <c r="Z40" s="132" t="s">
        <v>40</v>
      </c>
      <c r="AA40" s="214" t="s">
        <v>40</v>
      </c>
    </row>
    <row r="41" spans="1:27" s="91" customFormat="1" ht="160.5" customHeight="1" x14ac:dyDescent="0.55000000000000004">
      <c r="A41" s="205">
        <v>11</v>
      </c>
      <c r="B41" s="141" t="s">
        <v>98</v>
      </c>
      <c r="C41" s="132" t="s">
        <v>48</v>
      </c>
      <c r="D41" s="137" t="s">
        <v>48</v>
      </c>
      <c r="E41" s="132" t="s">
        <v>40</v>
      </c>
      <c r="F41" s="132" t="s">
        <v>40</v>
      </c>
      <c r="G41" s="142" t="s">
        <v>44</v>
      </c>
      <c r="H41" s="133" t="s">
        <v>34</v>
      </c>
      <c r="I41" s="129">
        <v>27090000</v>
      </c>
      <c r="J41" s="134">
        <v>41748</v>
      </c>
      <c r="K41" s="132" t="s">
        <v>118</v>
      </c>
      <c r="L41" s="145" t="s">
        <v>32</v>
      </c>
      <c r="M41" s="133" t="s">
        <v>42</v>
      </c>
      <c r="N41" s="154" t="s">
        <v>47</v>
      </c>
      <c r="O41" s="147">
        <v>100000</v>
      </c>
      <c r="P41" s="139">
        <f t="shared" si="5"/>
        <v>11126700</v>
      </c>
      <c r="Q41" s="139">
        <f t="shared" si="10"/>
        <v>1732760991</v>
      </c>
      <c r="R41" s="139" t="s">
        <v>25</v>
      </c>
      <c r="S41" s="138">
        <v>111.267</v>
      </c>
      <c r="T41" s="149">
        <f t="shared" si="11"/>
        <v>41838</v>
      </c>
      <c r="U41" s="155" t="s">
        <v>40</v>
      </c>
      <c r="V41" s="139">
        <f t="shared" si="12"/>
        <v>13352.039999999999</v>
      </c>
      <c r="W41" s="138">
        <v>155.72999999999999</v>
      </c>
      <c r="X41" s="139">
        <f t="shared" si="13"/>
        <v>2079313.1891999997</v>
      </c>
      <c r="Y41" s="139" t="s">
        <v>40</v>
      </c>
      <c r="Z41" s="132" t="s">
        <v>40</v>
      </c>
      <c r="AA41" s="140" t="s">
        <v>40</v>
      </c>
    </row>
    <row r="42" spans="1:27" s="91" customFormat="1" ht="160.5" customHeight="1" x14ac:dyDescent="0.55000000000000004">
      <c r="A42" s="205">
        <v>12</v>
      </c>
      <c r="B42" s="141" t="s">
        <v>99</v>
      </c>
      <c r="C42" s="132" t="s">
        <v>48</v>
      </c>
      <c r="D42" s="137" t="s">
        <v>48</v>
      </c>
      <c r="E42" s="132" t="s">
        <v>40</v>
      </c>
      <c r="F42" s="132" t="s">
        <v>40</v>
      </c>
      <c r="G42" s="142" t="s">
        <v>49</v>
      </c>
      <c r="H42" s="133" t="s">
        <v>34</v>
      </c>
      <c r="I42" s="129">
        <v>27090000</v>
      </c>
      <c r="J42" s="134">
        <v>41748</v>
      </c>
      <c r="K42" s="132" t="s">
        <v>118</v>
      </c>
      <c r="L42" s="145" t="s">
        <v>32</v>
      </c>
      <c r="M42" s="133" t="s">
        <v>42</v>
      </c>
      <c r="N42" s="154" t="s">
        <v>47</v>
      </c>
      <c r="O42" s="147">
        <v>100000</v>
      </c>
      <c r="P42" s="139">
        <f t="shared" si="5"/>
        <v>11126700</v>
      </c>
      <c r="Q42" s="139">
        <f t="shared" si="10"/>
        <v>1732760991</v>
      </c>
      <c r="R42" s="139" t="s">
        <v>25</v>
      </c>
      <c r="S42" s="138">
        <v>111.267</v>
      </c>
      <c r="T42" s="149">
        <f t="shared" si="11"/>
        <v>41838</v>
      </c>
      <c r="U42" s="155" t="s">
        <v>40</v>
      </c>
      <c r="V42" s="139">
        <f t="shared" si="12"/>
        <v>13352.039999999999</v>
      </c>
      <c r="W42" s="138">
        <v>155.72999999999999</v>
      </c>
      <c r="X42" s="139">
        <f t="shared" si="13"/>
        <v>2079313.1891999997</v>
      </c>
      <c r="Y42" s="139" t="s">
        <v>40</v>
      </c>
      <c r="Z42" s="132" t="s">
        <v>40</v>
      </c>
      <c r="AA42" s="214" t="s">
        <v>40</v>
      </c>
    </row>
    <row r="43" spans="1:27" s="91" customFormat="1" ht="160.5" customHeight="1" x14ac:dyDescent="0.55000000000000004">
      <c r="A43" s="205">
        <v>13</v>
      </c>
      <c r="B43" s="141" t="s">
        <v>100</v>
      </c>
      <c r="C43" s="132" t="s">
        <v>48</v>
      </c>
      <c r="D43" s="137" t="s">
        <v>48</v>
      </c>
      <c r="E43" s="132" t="s">
        <v>156</v>
      </c>
      <c r="F43" s="132" t="s">
        <v>157</v>
      </c>
      <c r="G43" s="142" t="s">
        <v>50</v>
      </c>
      <c r="H43" s="133" t="s">
        <v>34</v>
      </c>
      <c r="I43" s="129">
        <v>27090000</v>
      </c>
      <c r="J43" s="134">
        <v>41748</v>
      </c>
      <c r="K43" s="132" t="s">
        <v>118</v>
      </c>
      <c r="L43" s="145" t="s">
        <v>32</v>
      </c>
      <c r="M43" s="133" t="s">
        <v>42</v>
      </c>
      <c r="N43" s="154" t="s">
        <v>47</v>
      </c>
      <c r="O43" s="147">
        <v>140000</v>
      </c>
      <c r="P43" s="139">
        <f t="shared" si="5"/>
        <v>15577380</v>
      </c>
      <c r="Q43" s="139">
        <f t="shared" si="10"/>
        <v>2425865387.3999996</v>
      </c>
      <c r="R43" s="139" t="s">
        <v>25</v>
      </c>
      <c r="S43" s="138">
        <v>111.267</v>
      </c>
      <c r="T43" s="149">
        <f t="shared" si="11"/>
        <v>41838</v>
      </c>
      <c r="U43" s="155" t="s">
        <v>40</v>
      </c>
      <c r="V43" s="139">
        <f t="shared" si="12"/>
        <v>18692.856</v>
      </c>
      <c r="W43" s="138">
        <v>155.72999999999999</v>
      </c>
      <c r="X43" s="139">
        <f t="shared" si="13"/>
        <v>2911038.4648799999</v>
      </c>
      <c r="Y43" s="139" t="s">
        <v>40</v>
      </c>
      <c r="Z43" s="132" t="s">
        <v>40</v>
      </c>
      <c r="AA43" s="214" t="s">
        <v>40</v>
      </c>
    </row>
    <row r="44" spans="1:27" s="91" customFormat="1" ht="160.5" customHeight="1" x14ac:dyDescent="0.55000000000000004">
      <c r="A44" s="205">
        <v>14</v>
      </c>
      <c r="B44" s="141" t="s">
        <v>102</v>
      </c>
      <c r="C44" s="132" t="s">
        <v>48</v>
      </c>
      <c r="D44" s="137" t="s">
        <v>48</v>
      </c>
      <c r="E44" s="132" t="s">
        <v>40</v>
      </c>
      <c r="F44" s="132" t="s">
        <v>40</v>
      </c>
      <c r="G44" s="142" t="s">
        <v>126</v>
      </c>
      <c r="H44" s="133" t="s">
        <v>125</v>
      </c>
      <c r="I44" s="129">
        <v>27090000</v>
      </c>
      <c r="J44" s="134">
        <v>41752</v>
      </c>
      <c r="K44" s="132" t="s">
        <v>120</v>
      </c>
      <c r="L44" s="145" t="s">
        <v>124</v>
      </c>
      <c r="M44" s="133" t="s">
        <v>139</v>
      </c>
      <c r="N44" s="154" t="s">
        <v>133</v>
      </c>
      <c r="O44" s="147">
        <v>958098</v>
      </c>
      <c r="P44" s="139">
        <f t="shared" si="5"/>
        <v>108739332.51000001</v>
      </c>
      <c r="Q44" s="139">
        <f t="shared" si="10"/>
        <v>16933976251.782299</v>
      </c>
      <c r="R44" s="139" t="s">
        <v>25</v>
      </c>
      <c r="S44" s="138">
        <v>113.495</v>
      </c>
      <c r="T44" s="149">
        <f t="shared" si="11"/>
        <v>41842</v>
      </c>
      <c r="U44" s="155" t="s">
        <v>40</v>
      </c>
      <c r="V44" s="139">
        <f t="shared" si="12"/>
        <v>130487.199012</v>
      </c>
      <c r="W44" s="138">
        <v>155.72999999999999</v>
      </c>
      <c r="X44" s="139">
        <f t="shared" si="13"/>
        <v>20320771.50213876</v>
      </c>
      <c r="Y44" s="139" t="s">
        <v>40</v>
      </c>
      <c r="Z44" s="132" t="s">
        <v>40</v>
      </c>
      <c r="AA44" s="214" t="s">
        <v>40</v>
      </c>
    </row>
    <row r="45" spans="1:27" s="91" customFormat="1" ht="160.5" customHeight="1" x14ac:dyDescent="0.55000000000000004">
      <c r="A45" s="205">
        <v>15</v>
      </c>
      <c r="B45" s="141" t="s">
        <v>103</v>
      </c>
      <c r="C45" s="132" t="s">
        <v>48</v>
      </c>
      <c r="D45" s="137" t="s">
        <v>48</v>
      </c>
      <c r="E45" s="132" t="s">
        <v>40</v>
      </c>
      <c r="F45" s="132" t="s">
        <v>40</v>
      </c>
      <c r="G45" s="142" t="s">
        <v>38</v>
      </c>
      <c r="H45" s="133" t="s">
        <v>34</v>
      </c>
      <c r="I45" s="129">
        <v>27090000</v>
      </c>
      <c r="J45" s="134">
        <v>41752</v>
      </c>
      <c r="K45" s="132" t="s">
        <v>61</v>
      </c>
      <c r="L45" s="145" t="s">
        <v>32</v>
      </c>
      <c r="M45" s="133" t="s">
        <v>75</v>
      </c>
      <c r="N45" s="154" t="s">
        <v>134</v>
      </c>
      <c r="O45" s="147">
        <v>999216</v>
      </c>
      <c r="P45" s="139">
        <f t="shared" si="5"/>
        <v>111357627.11999999</v>
      </c>
      <c r="Q45" s="139">
        <f t="shared" si="10"/>
        <v>17341723271.397598</v>
      </c>
      <c r="R45" s="139" t="s">
        <v>25</v>
      </c>
      <c r="S45" s="138">
        <v>111.44499999999999</v>
      </c>
      <c r="T45" s="149">
        <f t="shared" si="11"/>
        <v>41842</v>
      </c>
      <c r="U45" s="155" t="s">
        <v>40</v>
      </c>
      <c r="V45" s="139">
        <f t="shared" si="12"/>
        <v>133629.15254399998</v>
      </c>
      <c r="W45" s="138">
        <v>155.72999999999999</v>
      </c>
      <c r="X45" s="139">
        <f t="shared" si="13"/>
        <v>20810067.925677117</v>
      </c>
      <c r="Y45" s="139" t="s">
        <v>40</v>
      </c>
      <c r="Z45" s="132" t="s">
        <v>40</v>
      </c>
      <c r="AA45" s="214" t="s">
        <v>40</v>
      </c>
    </row>
    <row r="46" spans="1:27" s="91" customFormat="1" ht="160.5" customHeight="1" x14ac:dyDescent="0.55000000000000004">
      <c r="A46" s="205">
        <v>16</v>
      </c>
      <c r="B46" s="141" t="s">
        <v>105</v>
      </c>
      <c r="C46" s="132" t="s">
        <v>48</v>
      </c>
      <c r="D46" s="137" t="s">
        <v>48</v>
      </c>
      <c r="E46" s="132" t="s">
        <v>40</v>
      </c>
      <c r="F46" s="132" t="s">
        <v>40</v>
      </c>
      <c r="G46" s="142" t="s">
        <v>38</v>
      </c>
      <c r="H46" s="133" t="s">
        <v>34</v>
      </c>
      <c r="I46" s="129">
        <v>27090000</v>
      </c>
      <c r="J46" s="134">
        <v>41754</v>
      </c>
      <c r="K46" s="132" t="s">
        <v>57</v>
      </c>
      <c r="L46" s="145" t="s">
        <v>32</v>
      </c>
      <c r="M46" s="133" t="s">
        <v>74</v>
      </c>
      <c r="N46" s="154" t="s">
        <v>69</v>
      </c>
      <c r="O46" s="147">
        <v>682856</v>
      </c>
      <c r="P46" s="139">
        <f t="shared" si="5"/>
        <v>76338520.807999998</v>
      </c>
      <c r="Q46" s="139">
        <f t="shared" si="10"/>
        <v>11888197845.429838</v>
      </c>
      <c r="R46" s="139" t="s">
        <v>25</v>
      </c>
      <c r="S46" s="138">
        <v>111.79300000000001</v>
      </c>
      <c r="T46" s="149">
        <f t="shared" si="11"/>
        <v>41844</v>
      </c>
      <c r="U46" s="155" t="s">
        <v>40</v>
      </c>
      <c r="V46" s="139">
        <f t="shared" si="12"/>
        <v>91606.224969599993</v>
      </c>
      <c r="W46" s="138">
        <v>155.72999999999999</v>
      </c>
      <c r="X46" s="139">
        <f t="shared" si="13"/>
        <v>14265837.414515806</v>
      </c>
      <c r="Y46" s="139" t="s">
        <v>40</v>
      </c>
      <c r="Z46" s="132" t="s">
        <v>40</v>
      </c>
      <c r="AA46" s="214" t="s">
        <v>40</v>
      </c>
    </row>
    <row r="47" spans="1:27" s="91" customFormat="1" ht="160.5" customHeight="1" x14ac:dyDescent="0.55000000000000004">
      <c r="A47" s="205">
        <v>17</v>
      </c>
      <c r="B47" s="141" t="s">
        <v>107</v>
      </c>
      <c r="C47" s="132" t="s">
        <v>48</v>
      </c>
      <c r="D47" s="137" t="s">
        <v>48</v>
      </c>
      <c r="E47" s="132" t="s">
        <v>40</v>
      </c>
      <c r="F47" s="132" t="s">
        <v>40</v>
      </c>
      <c r="G47" s="142" t="s">
        <v>35</v>
      </c>
      <c r="H47" s="133" t="s">
        <v>33</v>
      </c>
      <c r="I47" s="129">
        <v>27090000</v>
      </c>
      <c r="J47" s="134">
        <v>41757</v>
      </c>
      <c r="K47" s="132" t="s">
        <v>123</v>
      </c>
      <c r="L47" s="145" t="s">
        <v>31</v>
      </c>
      <c r="M47" s="133" t="s">
        <v>42</v>
      </c>
      <c r="N47" s="154" t="s">
        <v>47</v>
      </c>
      <c r="O47" s="147">
        <v>950071</v>
      </c>
      <c r="P47" s="139">
        <f t="shared" si="5"/>
        <v>106231238.794</v>
      </c>
      <c r="Q47" s="139">
        <f t="shared" si="10"/>
        <v>16543390817.38962</v>
      </c>
      <c r="R47" s="139" t="s">
        <v>25</v>
      </c>
      <c r="S47" s="138">
        <v>111.81399999999999</v>
      </c>
      <c r="T47" s="149">
        <f t="shared" si="11"/>
        <v>41847</v>
      </c>
      <c r="U47" s="155" t="s">
        <v>40</v>
      </c>
      <c r="V47" s="139">
        <f t="shared" si="12"/>
        <v>127477.48655279999</v>
      </c>
      <c r="W47" s="138">
        <v>155.72999999999999</v>
      </c>
      <c r="X47" s="139">
        <f t="shared" si="13"/>
        <v>19852068.980867542</v>
      </c>
      <c r="Y47" s="139" t="s">
        <v>40</v>
      </c>
      <c r="Z47" s="132" t="s">
        <v>40</v>
      </c>
      <c r="AA47" s="214" t="s">
        <v>40</v>
      </c>
    </row>
    <row r="48" spans="1:27" s="91" customFormat="1" ht="160.5" customHeight="1" x14ac:dyDescent="0.55000000000000004">
      <c r="A48" s="205">
        <v>18</v>
      </c>
      <c r="B48" s="141" t="s">
        <v>108</v>
      </c>
      <c r="C48" s="132" t="s">
        <v>48</v>
      </c>
      <c r="D48" s="137" t="s">
        <v>48</v>
      </c>
      <c r="E48" s="132" t="s">
        <v>40</v>
      </c>
      <c r="F48" s="132" t="s">
        <v>40</v>
      </c>
      <c r="G48" s="142" t="s">
        <v>35</v>
      </c>
      <c r="H48" s="133" t="s">
        <v>33</v>
      </c>
      <c r="I48" s="129">
        <v>27090000</v>
      </c>
      <c r="J48" s="134">
        <v>41759</v>
      </c>
      <c r="K48" s="132" t="s">
        <v>110</v>
      </c>
      <c r="L48" s="145" t="s">
        <v>31</v>
      </c>
      <c r="M48" s="133" t="s">
        <v>136</v>
      </c>
      <c r="N48" s="154" t="s">
        <v>129</v>
      </c>
      <c r="O48" s="147">
        <v>949866</v>
      </c>
      <c r="P48" s="139">
        <f t="shared" si="5"/>
        <v>106067736.756</v>
      </c>
      <c r="Q48" s="139">
        <f t="shared" si="10"/>
        <v>16517928645.011879</v>
      </c>
      <c r="R48" s="139" t="s">
        <v>25</v>
      </c>
      <c r="S48" s="138">
        <v>111.666</v>
      </c>
      <c r="T48" s="149">
        <f t="shared" si="11"/>
        <v>41849</v>
      </c>
      <c r="U48" s="155" t="s">
        <v>40</v>
      </c>
      <c r="V48" s="139">
        <f t="shared" si="12"/>
        <v>127281.28410719999</v>
      </c>
      <c r="W48" s="138">
        <v>155.72999999999999</v>
      </c>
      <c r="X48" s="139">
        <f t="shared" si="13"/>
        <v>19821514.374014251</v>
      </c>
      <c r="Y48" s="139" t="s">
        <v>40</v>
      </c>
      <c r="Z48" s="132" t="s">
        <v>40</v>
      </c>
      <c r="AA48" s="214" t="s">
        <v>40</v>
      </c>
    </row>
    <row r="49" spans="1:27" s="208" customFormat="1" ht="160.5" customHeight="1" x14ac:dyDescent="0.6">
      <c r="A49" s="205"/>
      <c r="B49" s="141"/>
      <c r="C49" s="150"/>
      <c r="D49" s="137"/>
      <c r="E49" s="132"/>
      <c r="F49" s="132"/>
      <c r="G49" s="142"/>
      <c r="H49" s="133"/>
      <c r="I49" s="133"/>
      <c r="J49" s="134"/>
      <c r="K49" s="132"/>
      <c r="L49" s="153"/>
      <c r="M49" s="133"/>
      <c r="N49" s="154"/>
      <c r="O49" s="147"/>
      <c r="P49" s="139"/>
      <c r="Q49" s="139"/>
      <c r="R49" s="139"/>
      <c r="S49" s="138"/>
      <c r="T49" s="149"/>
      <c r="U49" s="156"/>
      <c r="V49" s="139"/>
      <c r="W49" s="138"/>
      <c r="X49" s="139"/>
      <c r="Y49" s="139"/>
      <c r="Z49" s="132"/>
      <c r="AA49" s="214"/>
    </row>
    <row r="50" spans="1:27" ht="54" customHeight="1" thickBot="1" x14ac:dyDescent="0.65">
      <c r="A50" s="215"/>
      <c r="B50" s="161" t="s">
        <v>28</v>
      </c>
      <c r="C50" s="216"/>
      <c r="D50" s="159"/>
      <c r="E50" s="158"/>
      <c r="F50" s="158"/>
      <c r="G50" s="160"/>
      <c r="H50" s="161"/>
      <c r="I50" s="161"/>
      <c r="J50" s="209"/>
      <c r="K50" s="158"/>
      <c r="L50" s="218"/>
      <c r="M50" s="161"/>
      <c r="N50" s="162"/>
      <c r="O50" s="210">
        <f>SUM(O31:O48)</f>
        <v>13296221</v>
      </c>
      <c r="P50" s="163">
        <f>SUM(P31:P48)</f>
        <v>1469297011.0999999</v>
      </c>
      <c r="Q50" s="163">
        <f>SUM(Q31:Q48)</f>
        <v>228813623538.603</v>
      </c>
      <c r="R50" s="163"/>
      <c r="S50" s="164"/>
      <c r="T50" s="165"/>
      <c r="U50" s="219"/>
      <c r="V50" s="163">
        <f>SUM(V31:V48)</f>
        <v>1763156.4133199998</v>
      </c>
      <c r="W50" s="164"/>
      <c r="X50" s="163">
        <f>SUM(X31:X48)</f>
        <v>274576348.24632359</v>
      </c>
      <c r="Y50" s="163">
        <f>SUM(Y31:Y48)</f>
        <v>0</v>
      </c>
      <c r="Z50" s="158"/>
      <c r="AA50" s="217"/>
    </row>
    <row r="51" spans="1:27" x14ac:dyDescent="0.2">
      <c r="A51" s="8"/>
      <c r="B51" s="8"/>
      <c r="C51" s="6"/>
      <c r="D51" s="17"/>
      <c r="E51" s="18"/>
      <c r="F51" s="6"/>
      <c r="G51" s="19"/>
      <c r="H51" s="6"/>
      <c r="I51" s="6"/>
      <c r="J51" s="20"/>
      <c r="K51" s="8"/>
      <c r="L51" s="8"/>
      <c r="M51" s="6"/>
      <c r="N51" s="6"/>
      <c r="O51" s="21"/>
      <c r="P51" s="22"/>
      <c r="Q51" s="22"/>
      <c r="R51" s="22"/>
      <c r="S51" s="27"/>
      <c r="V51" s="22"/>
      <c r="W51" s="27"/>
      <c r="X51" s="22"/>
      <c r="Y51" s="22"/>
      <c r="Z51" s="6"/>
      <c r="AA51" s="6"/>
    </row>
    <row r="54" spans="1:27" ht="23.25" x14ac:dyDescent="0.35">
      <c r="O54" s="29"/>
      <c r="P54" s="30"/>
      <c r="Q54" s="30"/>
    </row>
    <row r="55" spans="1:27" x14ac:dyDescent="0.2">
      <c r="O55" s="24"/>
      <c r="P55" s="31"/>
      <c r="Q55" s="31"/>
    </row>
    <row r="56" spans="1:27" x14ac:dyDescent="0.2">
      <c r="O56" s="24"/>
      <c r="P56" s="24"/>
      <c r="Q56" s="24"/>
    </row>
    <row r="62" spans="1:27" s="16" customFormat="1" ht="15.75" customHeight="1" x14ac:dyDescent="0.2">
      <c r="A62" s="5"/>
      <c r="B62" s="5"/>
      <c r="C62" s="5"/>
      <c r="D62" s="14"/>
      <c r="E62" s="12"/>
      <c r="F62" s="5"/>
      <c r="G62" s="13"/>
      <c r="H62" s="5"/>
      <c r="I62" s="5"/>
      <c r="J62" s="14"/>
      <c r="K62" s="5"/>
      <c r="L62" s="5"/>
      <c r="M62" s="5"/>
      <c r="N62" s="5"/>
      <c r="O62" s="15"/>
      <c r="S62" s="26"/>
      <c r="T62" s="17"/>
      <c r="U62" s="5"/>
      <c r="W62" s="26"/>
      <c r="Z62" s="5"/>
      <c r="AA62" s="5"/>
    </row>
    <row r="63" spans="1:27" x14ac:dyDescent="0.2">
      <c r="N63" s="23"/>
      <c r="O63" s="24"/>
    </row>
  </sheetData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APRIL 2014</vt:lpstr>
      <vt:lpstr>CID APRIL 2014 </vt:lpstr>
      <vt:lpstr>NCI APRIL 2014</vt:lpstr>
      <vt:lpstr>'CID APRIL 2014 '!Print_Area</vt:lpstr>
      <vt:lpstr>'CIR APRIL 2014'!Print_Area</vt:lpstr>
      <vt:lpstr>'NCI APRIL 2014'!Print_Area</vt:lpstr>
      <vt:lpstr>'CID APRIL 2014 '!Print_Titles</vt:lpstr>
      <vt:lpstr>'CIR APRIL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</cp:lastModifiedBy>
  <cp:lastPrinted>2013-11-05T10:21:15Z</cp:lastPrinted>
  <dcterms:created xsi:type="dcterms:W3CDTF">2012-08-07T13:29:00Z</dcterms:created>
  <dcterms:modified xsi:type="dcterms:W3CDTF">2014-05-08T16:38:24Z</dcterms:modified>
</cp:coreProperties>
</file>