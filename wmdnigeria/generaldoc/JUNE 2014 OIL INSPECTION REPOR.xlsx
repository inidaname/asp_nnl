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80" windowWidth="20100" windowHeight="7260"/>
  </bookViews>
  <sheets>
    <sheet name="CIR JUNE 2014" sheetId="4" r:id="rId1"/>
    <sheet name="CID JUNE 2014 " sheetId="7" r:id="rId2"/>
    <sheet name="NCI JUNE 2014" sheetId="6" r:id="rId3"/>
  </sheets>
  <definedNames>
    <definedName name="_xlnm._FilterDatabase" localSheetId="1" hidden="1">'CID JUNE 2014 '!$H$23:$I$37</definedName>
    <definedName name="_xlnm._FilterDatabase" localSheetId="0" hidden="1">'CIR JUNE 2014'!$C$29:$D$57</definedName>
    <definedName name="_xlnm._FilterDatabase" localSheetId="2" hidden="1">'NCI JUNE 2014'!$A$31:$AA$44</definedName>
    <definedName name="_xlnm.Print_Area" localSheetId="1">'CID JUNE 2014 '!$A$1:$AA$46</definedName>
    <definedName name="_xlnm.Print_Area" localSheetId="0">'CIR JUNE 2014'!$A$1:$AA$60</definedName>
    <definedName name="_xlnm.Print_Area" localSheetId="2">'NCI JUNE 2014'!$A$1:$AA$46</definedName>
    <definedName name="_xlnm.Print_Titles" localSheetId="1">'CID JUNE 2014 '!$A:$A,'CID JUNE 2014 '!$21:$21</definedName>
    <definedName name="_xlnm.Print_Titles" localSheetId="0">'CIR JUNE 2014'!$A:$A,'CIR JUNE 2014'!$29:$29</definedName>
    <definedName name="_xlnm.Print_Titles" localSheetId="2">'NCI JUNE 2014'!$A:$A,'NCI JUNE 2014'!#REF!</definedName>
  </definedNames>
  <calcPr calcId="145621"/>
</workbook>
</file>

<file path=xl/calcChain.xml><?xml version="1.0" encoding="utf-8"?>
<calcChain xmlns="http://schemas.openxmlformats.org/spreadsheetml/2006/main">
  <c r="O46" i="7" l="1"/>
  <c r="T26" i="7" l="1"/>
  <c r="P26" i="7"/>
  <c r="Q26" i="7" s="1"/>
  <c r="V26" i="7" l="1"/>
  <c r="X26" i="7" s="1"/>
  <c r="Y46" i="7" l="1"/>
  <c r="P41" i="7" l="1"/>
  <c r="P42" i="7"/>
  <c r="Q41" i="7"/>
  <c r="Q42" i="7"/>
  <c r="T41" i="7"/>
  <c r="T42" i="7"/>
  <c r="V41" i="7"/>
  <c r="X41" i="7" s="1"/>
  <c r="V42" i="7"/>
  <c r="X42" i="7" s="1"/>
  <c r="Y46" i="6" l="1"/>
  <c r="P33" i="6"/>
  <c r="Q33" i="6" s="1"/>
  <c r="T33" i="6"/>
  <c r="P34" i="6"/>
  <c r="Q34" i="6" s="1"/>
  <c r="T34" i="6"/>
  <c r="V34" i="6"/>
  <c r="X34" i="6" s="1"/>
  <c r="P35" i="6"/>
  <c r="Q35" i="6" s="1"/>
  <c r="T35" i="6"/>
  <c r="P36" i="6"/>
  <c r="Q36" i="6" s="1"/>
  <c r="T36" i="6"/>
  <c r="P37" i="6"/>
  <c r="Q37" i="6" s="1"/>
  <c r="T37" i="6"/>
  <c r="P38" i="6"/>
  <c r="Q38" i="6" s="1"/>
  <c r="T38" i="6"/>
  <c r="P39" i="6"/>
  <c r="Q39" i="6" s="1"/>
  <c r="T39" i="6"/>
  <c r="P40" i="6"/>
  <c r="Q40" i="6" s="1"/>
  <c r="T40" i="6"/>
  <c r="P41" i="6"/>
  <c r="Q41" i="6" s="1"/>
  <c r="T41" i="6"/>
  <c r="P42" i="6"/>
  <c r="Q42" i="6" s="1"/>
  <c r="T42" i="6"/>
  <c r="P43" i="6"/>
  <c r="Q43" i="6" s="1"/>
  <c r="T43" i="6"/>
  <c r="P44" i="6"/>
  <c r="Q44" i="6" s="1"/>
  <c r="T44" i="6"/>
  <c r="V44" i="6" l="1"/>
  <c r="X44" i="6" s="1"/>
  <c r="V42" i="6"/>
  <c r="X42" i="6" s="1"/>
  <c r="V40" i="6"/>
  <c r="X40" i="6" s="1"/>
  <c r="V38" i="6"/>
  <c r="X38" i="6" s="1"/>
  <c r="V36" i="6"/>
  <c r="X36" i="6" s="1"/>
  <c r="V43" i="6"/>
  <c r="X43" i="6" s="1"/>
  <c r="V41" i="6"/>
  <c r="X41" i="6" s="1"/>
  <c r="V39" i="6"/>
  <c r="X39" i="6" s="1"/>
  <c r="V37" i="6"/>
  <c r="X37" i="6" s="1"/>
  <c r="V35" i="6"/>
  <c r="X35" i="6" s="1"/>
  <c r="V33" i="6"/>
  <c r="X33" i="6" s="1"/>
  <c r="P33" i="4" l="1"/>
  <c r="Q33" i="4" s="1"/>
  <c r="T33" i="4"/>
  <c r="P40" i="4"/>
  <c r="Q40" i="4" s="1"/>
  <c r="T40" i="4"/>
  <c r="V40" i="4"/>
  <c r="X40" i="4" s="1"/>
  <c r="P41" i="4"/>
  <c r="Q41" i="4" s="1"/>
  <c r="T41" i="4"/>
  <c r="P42" i="4"/>
  <c r="Q42" i="4" s="1"/>
  <c r="T42" i="4"/>
  <c r="P43" i="4"/>
  <c r="Q43" i="4" s="1"/>
  <c r="T43" i="4"/>
  <c r="P44" i="4"/>
  <c r="Q44" i="4" s="1"/>
  <c r="T44" i="4"/>
  <c r="P45" i="4"/>
  <c r="Q45" i="4" s="1"/>
  <c r="T45" i="4"/>
  <c r="P46" i="4"/>
  <c r="Q46" i="4" s="1"/>
  <c r="T46" i="4"/>
  <c r="P47" i="4"/>
  <c r="Q47" i="4" s="1"/>
  <c r="T47" i="4"/>
  <c r="P48" i="4"/>
  <c r="Q48" i="4" s="1"/>
  <c r="T48" i="4"/>
  <c r="P49" i="4"/>
  <c r="Q49" i="4" s="1"/>
  <c r="T49" i="4"/>
  <c r="P50" i="4"/>
  <c r="Q50" i="4" s="1"/>
  <c r="T50" i="4"/>
  <c r="V50" i="4" l="1"/>
  <c r="X50" i="4" s="1"/>
  <c r="V48" i="4"/>
  <c r="X48" i="4" s="1"/>
  <c r="V46" i="4"/>
  <c r="X46" i="4" s="1"/>
  <c r="V44" i="4"/>
  <c r="X44" i="4" s="1"/>
  <c r="V42" i="4"/>
  <c r="X42" i="4" s="1"/>
  <c r="V33" i="4"/>
  <c r="X33" i="4" s="1"/>
  <c r="V49" i="4"/>
  <c r="X49" i="4" s="1"/>
  <c r="V47" i="4"/>
  <c r="X47" i="4" s="1"/>
  <c r="V45" i="4"/>
  <c r="X45" i="4" s="1"/>
  <c r="V43" i="4"/>
  <c r="X43" i="4" s="1"/>
  <c r="V41" i="4"/>
  <c r="X41" i="4" s="1"/>
  <c r="P39" i="7" l="1"/>
  <c r="Q39" i="7" s="1"/>
  <c r="T39" i="7"/>
  <c r="V39" i="7" l="1"/>
  <c r="X39" i="7" s="1"/>
  <c r="P40" i="7"/>
  <c r="Q40" i="7" s="1"/>
  <c r="T40" i="7"/>
  <c r="T43" i="7"/>
  <c r="T44" i="7"/>
  <c r="P43" i="7"/>
  <c r="Q43" i="7" s="1"/>
  <c r="P44" i="7"/>
  <c r="Q44" i="7" s="1"/>
  <c r="V43" i="7" l="1"/>
  <c r="X43" i="7" s="1"/>
  <c r="V44" i="7"/>
  <c r="X44" i="7" s="1"/>
  <c r="V40" i="7"/>
  <c r="X40" i="7" s="1"/>
  <c r="O46" i="6" l="1"/>
  <c r="O60" i="4"/>
  <c r="Y60" i="4"/>
  <c r="P28" i="7" l="1"/>
  <c r="V28" i="7" s="1"/>
  <c r="X28" i="7" s="1"/>
  <c r="P29" i="7"/>
  <c r="V29" i="7" s="1"/>
  <c r="X29" i="7" s="1"/>
  <c r="T38" i="7" l="1"/>
  <c r="P38" i="7"/>
  <c r="V38" i="7" s="1"/>
  <c r="X38" i="7" s="1"/>
  <c r="Q38" i="7" l="1"/>
  <c r="P37" i="7" l="1"/>
  <c r="Q37" i="7" s="1"/>
  <c r="T37" i="7"/>
  <c r="T28" i="7"/>
  <c r="T29" i="7"/>
  <c r="T30" i="7"/>
  <c r="T31" i="7"/>
  <c r="T32" i="7"/>
  <c r="T33" i="7"/>
  <c r="T34" i="7"/>
  <c r="P30" i="7"/>
  <c r="V30" i="7" s="1"/>
  <c r="X30" i="7" s="1"/>
  <c r="P31" i="7"/>
  <c r="Q31" i="7" s="1"/>
  <c r="P32" i="7"/>
  <c r="V32" i="7" s="1"/>
  <c r="X32" i="7" s="1"/>
  <c r="P33" i="7"/>
  <c r="Q33" i="7" s="1"/>
  <c r="P34" i="7"/>
  <c r="V34" i="7" s="1"/>
  <c r="X34" i="7" s="1"/>
  <c r="Q29" i="7" l="1"/>
  <c r="V33" i="7"/>
  <c r="X33" i="7" s="1"/>
  <c r="V31" i="7"/>
  <c r="X31" i="7" s="1"/>
  <c r="V37" i="7"/>
  <c r="X37" i="7" s="1"/>
  <c r="Q34" i="7"/>
  <c r="Q32" i="7"/>
  <c r="Q30" i="7"/>
  <c r="Q28" i="7"/>
  <c r="T35" i="7"/>
  <c r="T25" i="7"/>
  <c r="T27" i="7"/>
  <c r="P25" i="7"/>
  <c r="P27" i="7"/>
  <c r="Q27" i="7" l="1"/>
  <c r="V27" i="7"/>
  <c r="X27" i="7" s="1"/>
  <c r="Q25" i="7"/>
  <c r="V25" i="7"/>
  <c r="X25" i="7" s="1"/>
  <c r="P32" i="6"/>
  <c r="Q32" i="6" s="1"/>
  <c r="T32" i="6"/>
  <c r="P32" i="4"/>
  <c r="Q32" i="4" s="1"/>
  <c r="T32" i="4"/>
  <c r="P34" i="4"/>
  <c r="Q34" i="4" s="1"/>
  <c r="T34" i="4"/>
  <c r="P35" i="4"/>
  <c r="Q35" i="4" s="1"/>
  <c r="T35" i="4"/>
  <c r="P36" i="4"/>
  <c r="Q36" i="4" s="1"/>
  <c r="T36" i="4"/>
  <c r="P37" i="4"/>
  <c r="Q37" i="4" s="1"/>
  <c r="T37" i="4"/>
  <c r="P38" i="4"/>
  <c r="Q38" i="4" s="1"/>
  <c r="T38" i="4"/>
  <c r="P39" i="4"/>
  <c r="Q39" i="4" s="1"/>
  <c r="T39" i="4"/>
  <c r="P51" i="4"/>
  <c r="Q51" i="4" s="1"/>
  <c r="T51" i="4"/>
  <c r="P52" i="4"/>
  <c r="Q52" i="4" s="1"/>
  <c r="T52" i="4"/>
  <c r="P53" i="4"/>
  <c r="Q53" i="4" s="1"/>
  <c r="T53" i="4"/>
  <c r="P54" i="4"/>
  <c r="Q54" i="4" s="1"/>
  <c r="T54" i="4"/>
  <c r="P55" i="4"/>
  <c r="Q55" i="4" s="1"/>
  <c r="T55" i="4"/>
  <c r="P56" i="4"/>
  <c r="Q56" i="4" s="1"/>
  <c r="T56" i="4"/>
  <c r="P57" i="4"/>
  <c r="Q57" i="4" s="1"/>
  <c r="T57" i="4"/>
  <c r="V32" i="6" l="1"/>
  <c r="X32" i="6" s="1"/>
  <c r="V57" i="4"/>
  <c r="X57" i="4" s="1"/>
  <c r="V55" i="4"/>
  <c r="X55" i="4" s="1"/>
  <c r="V53" i="4"/>
  <c r="X53" i="4" s="1"/>
  <c r="V51" i="4"/>
  <c r="X51" i="4" s="1"/>
  <c r="V39" i="4"/>
  <c r="X39" i="4" s="1"/>
  <c r="V37" i="4"/>
  <c r="X37" i="4" s="1"/>
  <c r="V35" i="4"/>
  <c r="X35" i="4" s="1"/>
  <c r="V32" i="4"/>
  <c r="X32" i="4" s="1"/>
  <c r="V56" i="4"/>
  <c r="X56" i="4" s="1"/>
  <c r="V54" i="4"/>
  <c r="X54" i="4" s="1"/>
  <c r="V52" i="4"/>
  <c r="X52" i="4" s="1"/>
  <c r="V38" i="4"/>
  <c r="X38" i="4" s="1"/>
  <c r="V36" i="4"/>
  <c r="X36" i="4" s="1"/>
  <c r="V34" i="4"/>
  <c r="X34" i="4" s="1"/>
  <c r="T24" i="7" l="1"/>
  <c r="T31" i="6" l="1"/>
  <c r="P31" i="6"/>
  <c r="P46" i="6" s="1"/>
  <c r="V31" i="6" l="1"/>
  <c r="V46" i="6" s="1"/>
  <c r="Q31" i="6"/>
  <c r="Q46" i="6" s="1"/>
  <c r="X31" i="6" l="1"/>
  <c r="X46" i="6" s="1"/>
  <c r="P24" i="7"/>
  <c r="V24" i="7" l="1"/>
  <c r="Q24" i="7"/>
  <c r="X24" i="7" l="1"/>
  <c r="P35" i="7"/>
  <c r="V35" i="7" l="1"/>
  <c r="X35" i="7" l="1"/>
  <c r="P36" i="7"/>
  <c r="P46" i="7" s="1"/>
  <c r="T36" i="7"/>
  <c r="V36" i="7" l="1"/>
  <c r="V46" i="7" s="1"/>
  <c r="Q36" i="7"/>
  <c r="X36" i="7" l="1"/>
  <c r="X46" i="7" s="1"/>
  <c r="Q35" i="7" l="1"/>
  <c r="Q46" i="7" s="1"/>
  <c r="T31" i="4" l="1"/>
  <c r="P31" i="4"/>
  <c r="T30" i="4"/>
  <c r="P30" i="4"/>
  <c r="P60" i="4" l="1"/>
  <c r="V30" i="4"/>
  <c r="Q30" i="4"/>
  <c r="V31" i="4"/>
  <c r="X31" i="4" s="1"/>
  <c r="Q31" i="4"/>
  <c r="Q60" i="4" l="1"/>
  <c r="V60" i="4"/>
  <c r="X30" i="4"/>
  <c r="X60" i="4" s="1"/>
</calcChain>
</file>

<file path=xl/sharedStrings.xml><?xml version="1.0" encoding="utf-8"?>
<sst xmlns="http://schemas.openxmlformats.org/spreadsheetml/2006/main" count="1048" uniqueCount="185">
  <si>
    <t>S/N</t>
  </si>
  <si>
    <t xml:space="preserve">REF NUMBER </t>
  </si>
  <si>
    <t>CCI NUMBER</t>
  </si>
  <si>
    <t>CCI DATE</t>
  </si>
  <si>
    <t>NXP NUMBER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</si>
  <si>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</si>
  <si>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</si>
  <si>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</si>
  <si>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</si>
  <si>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</si>
  <si>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</si>
  <si>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</si>
  <si>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</si>
  <si>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</si>
  <si>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BARRELS</t>
  </si>
  <si>
    <t>FOB CURRENCY (CCY)</t>
  </si>
  <si>
    <t>PRICE PER BARREL</t>
  </si>
  <si>
    <t>REPATRIATION DUE DATE</t>
  </si>
  <si>
    <t>DESIGNATED BANK</t>
  </si>
  <si>
    <t>NESS FEE PAYABLE (USD)</t>
  </si>
  <si>
    <t>EXCHANGE RATE FOR THE MONTH</t>
  </si>
  <si>
    <t>NESS FEE PAYABLE (NAIRA)</t>
  </si>
  <si>
    <t>NESS FEE PAID (NAIRA)</t>
  </si>
  <si>
    <t>NESS RECEIPT DATE</t>
  </si>
  <si>
    <t>NESS RECEIPT NUMBER</t>
  </si>
  <si>
    <t>USD</t>
  </si>
  <si>
    <t>GSTL FOB VALUE  ($)</t>
  </si>
  <si>
    <t>TOTAL</t>
  </si>
  <si>
    <t>FOB VALUE  ($)</t>
  </si>
  <si>
    <t xml:space="preserve">EXCHANGE RATE </t>
  </si>
  <si>
    <t>FOB VALUE  (NGN)</t>
  </si>
  <si>
    <t>GSTL FOB VALUE  (NGN)</t>
  </si>
  <si>
    <t>COMPREHENSIVE INSPECTION REPORT FOR THE MONTH OF JUNE 2014</t>
  </si>
  <si>
    <t xml:space="preserve">NON-COMPLIANT INSPECTION REPORT FOR THE MONTH OF JUNE 2014 </t>
  </si>
  <si>
    <t>MARINA M</t>
  </si>
  <si>
    <t>SONANGOL KASSANJE</t>
  </si>
  <si>
    <t>COSMIC JEWEL</t>
  </si>
  <si>
    <t>HYUNDAI SUN</t>
  </si>
  <si>
    <t>SIKNOS</t>
  </si>
  <si>
    <t>PATROCLUS</t>
  </si>
  <si>
    <t>MEANDROS</t>
  </si>
  <si>
    <t>SUEZ GEORGE</t>
  </si>
  <si>
    <t>SKS SINNI</t>
  </si>
  <si>
    <t>BW BAUHINIA</t>
  </si>
  <si>
    <t>TONY</t>
  </si>
  <si>
    <t>PINK</t>
  </si>
  <si>
    <t>SEA QUEEN</t>
  </si>
  <si>
    <t>SONANGOL NAMIBE</t>
  </si>
  <si>
    <t>SPYROS K</t>
  </si>
  <si>
    <t>EVGENIA 1</t>
  </si>
  <si>
    <t>GSTL/103/2014/JUN-1/B-38/1</t>
  </si>
  <si>
    <t>GSTL/104/2014/JUN-2/Q-63/1</t>
  </si>
  <si>
    <t>GSTL/105/2014/JUN-3/B-39/2</t>
  </si>
  <si>
    <t>GSTL/106/2014/JUN-4/Q-64/2A</t>
  </si>
  <si>
    <t>GSTL/106/2014/JUN-4/Q-64/2B</t>
  </si>
  <si>
    <t>GSTL/106/2014/JUN-4/Q-64/2C</t>
  </si>
  <si>
    <t>GSTL/106/2014/JUN-4/Q-64/2D</t>
  </si>
  <si>
    <t>GSTL/107/2014/JUN-5/Q-65/3</t>
  </si>
  <si>
    <t>GSTL/108/2014/JUN-6/B-40/3A</t>
  </si>
  <si>
    <t>GSTL/108/2014/JUN-6/B-40/3B</t>
  </si>
  <si>
    <t>GSTL/108/2014/JUN-6/B-40/3C</t>
  </si>
  <si>
    <t>GSTL/108/2014/JUN-6/B-40/3D</t>
  </si>
  <si>
    <t>GSTL/109/2014/JUN-7/Q-66/4</t>
  </si>
  <si>
    <t>GSTL/110/2014/JUN-8/Q-67/5</t>
  </si>
  <si>
    <t>GSTL/111/2014/JUN-9/B-41/4A</t>
  </si>
  <si>
    <t>GSTL/111/2014/JUN-9/B-41/4B</t>
  </si>
  <si>
    <t>GSTL/112/2014/JUN-10/B-42/5A</t>
  </si>
  <si>
    <t>GSTL112/2014/JUN-10/B-42/5B</t>
  </si>
  <si>
    <t>GSTL/113/2014/JUN-11/Q-68/6</t>
  </si>
  <si>
    <t>GSTL/114/2014/JUN-12/Q-69/7</t>
  </si>
  <si>
    <t>GSTL/115/2014/JUN-13/Q-70/8</t>
  </si>
  <si>
    <t>GSTL/116/2014/JUN-14/P-4/1</t>
  </si>
  <si>
    <t>GSTL/117/2014/JUN-15/B-43/6</t>
  </si>
  <si>
    <t>GSTL/118/2014/JUN-16/Q-71/9</t>
  </si>
  <si>
    <t>GSTL/119/2014/JUN-17/Q-72/10</t>
  </si>
  <si>
    <t>GSTL/120/2014/JUN-18/B-44/7A</t>
  </si>
  <si>
    <t>GSTL/120/2014/JUN-18/B-44/7B</t>
  </si>
  <si>
    <t>GSTL/120/2014/JUN-18/B-44/7C</t>
  </si>
  <si>
    <t>NOT ISSUED</t>
  </si>
  <si>
    <t>G006201405</t>
  </si>
  <si>
    <t>G006201406</t>
  </si>
  <si>
    <t>G006201407</t>
  </si>
  <si>
    <t>G006201408</t>
  </si>
  <si>
    <t>G006201409</t>
  </si>
  <si>
    <t>G006201410</t>
  </si>
  <si>
    <t>G006201411</t>
  </si>
  <si>
    <t>G006201412</t>
  </si>
  <si>
    <t>G006201413</t>
  </si>
  <si>
    <t>G006201414</t>
  </si>
  <si>
    <t>G006201415</t>
  </si>
  <si>
    <t>G006201416</t>
  </si>
  <si>
    <t>G006201417</t>
  </si>
  <si>
    <t>G006201418</t>
  </si>
  <si>
    <t>011201402300032</t>
  </si>
  <si>
    <t>FIRST BANK OF NIGERIA</t>
  </si>
  <si>
    <t>ST9414051046/14</t>
  </si>
  <si>
    <t>CENTRAL BANK OF NIGERIA</t>
  </si>
  <si>
    <t>NOT RECEIVED</t>
  </si>
  <si>
    <t>ST041405104C19/18A</t>
  </si>
  <si>
    <t>ST041405104C19/18B</t>
  </si>
  <si>
    <t>ST041405104C19/18C</t>
  </si>
  <si>
    <t>ST041405104C19/18D</t>
  </si>
  <si>
    <t>ST041405104C48/287</t>
  </si>
  <si>
    <t>011201402300042</t>
  </si>
  <si>
    <t>076201401360028</t>
  </si>
  <si>
    <t>SKYE BANK PLC</t>
  </si>
  <si>
    <t>068201400010211</t>
  </si>
  <si>
    <t>STANDARD CHARTERED BANK</t>
  </si>
  <si>
    <t>ST041405104C13/59</t>
  </si>
  <si>
    <t>ST041405104C4/12</t>
  </si>
  <si>
    <t>ST041703107C60/16</t>
  </si>
  <si>
    <t>ST041405104C48/290</t>
  </si>
  <si>
    <t>ST041405104C43/7</t>
  </si>
  <si>
    <t>ST041405101C48/288C</t>
  </si>
  <si>
    <t>ST041405101C48/288B</t>
  </si>
  <si>
    <t>ST041405101C48/288A</t>
  </si>
  <si>
    <t>SHELL PETROLEUM DEVELOPMENT COMPANY</t>
  </si>
  <si>
    <t>NIGERIAN NATIONAL PETROLEUM CORPORATION</t>
  </si>
  <si>
    <t>CHEVRON NIGERIA LTD</t>
  </si>
  <si>
    <t>WALTERSMITH PETROMAN OIL LIMITED</t>
  </si>
  <si>
    <t>NIGER DELTA PETROLEUM RESOURCES</t>
  </si>
  <si>
    <t>MOBIL PRODUCING NIGERIA UNLIMITED</t>
  </si>
  <si>
    <t>TOTAL E &amp; P NIGERIA LIMITED</t>
  </si>
  <si>
    <t>BONNY LIGHT</t>
  </si>
  <si>
    <t>QUA IBOE LIGHT</t>
  </si>
  <si>
    <t>PENNINGTON LIGHT</t>
  </si>
  <si>
    <t>BONNY</t>
  </si>
  <si>
    <t>QUA IBOE</t>
  </si>
  <si>
    <t>PENNINGTON</t>
  </si>
  <si>
    <t>OMSP-INDIA</t>
  </si>
  <si>
    <t>PERTAMINA RU IV CILACAP</t>
  </si>
  <si>
    <t>PORT HARCOURT REFINERY</t>
  </si>
  <si>
    <t>ROTTERDAM</t>
  </si>
  <si>
    <t>WILHELMSHAVEN</t>
  </si>
  <si>
    <t>KOCHI SPM</t>
  </si>
  <si>
    <t>SALDANHA BAY</t>
  </si>
  <si>
    <t>AUGUSTA</t>
  </si>
  <si>
    <t>PERTAMINA RUV BALIKPAPAN</t>
  </si>
  <si>
    <t>CAP LIMBOH</t>
  </si>
  <si>
    <t>LE HAVRE</t>
  </si>
  <si>
    <t>THAILAND</t>
  </si>
  <si>
    <t>INDIA</t>
  </si>
  <si>
    <t>INDONESIA</t>
  </si>
  <si>
    <t>NIGERIA</t>
  </si>
  <si>
    <t>NETHERLANDS</t>
  </si>
  <si>
    <t>GERMANY</t>
  </si>
  <si>
    <t>SOUTH AFRICA</t>
  </si>
  <si>
    <t>USA</t>
  </si>
  <si>
    <t>CAMEROUN</t>
  </si>
  <si>
    <t>FRANCE</t>
  </si>
  <si>
    <t>FRONT MELODY</t>
  </si>
  <si>
    <t>YASA SOUTHERN CROSS</t>
  </si>
  <si>
    <t>DELTA IOS</t>
  </si>
  <si>
    <t>GSTL/089/2014/MAY-8/Q-54/5</t>
  </si>
  <si>
    <t>GSTL/098/2014/MAY-17/Q-60/11</t>
  </si>
  <si>
    <t>GSTL/099/2014/MAY-18/B-35/7D</t>
  </si>
  <si>
    <t>ZONA DE ALIJE PUERTO ROSALES</t>
  </si>
  <si>
    <t>LA PAMPILLA</t>
  </si>
  <si>
    <t>ARGENTINA</t>
  </si>
  <si>
    <t>PERU</t>
  </si>
  <si>
    <t>GSTL/088/2014/MAY-7/B-31/3A/B</t>
  </si>
  <si>
    <t>G006201404</t>
  </si>
  <si>
    <t>G006201402</t>
  </si>
  <si>
    <t>G006201403</t>
  </si>
  <si>
    <t>068201400010161</t>
  </si>
  <si>
    <t>ST041405104C7/82</t>
  </si>
  <si>
    <t>011201402300031</t>
  </si>
  <si>
    <t>0002458</t>
  </si>
  <si>
    <t>0083434</t>
  </si>
  <si>
    <t>CHARLES EDDIE</t>
  </si>
  <si>
    <t>SMITI</t>
  </si>
  <si>
    <t>IOANNA</t>
  </si>
  <si>
    <t>GSTL/060/2014/APR-1/B-21/1</t>
  </si>
  <si>
    <t>GSTL/065/2014/APR-6/B-23/3B</t>
  </si>
  <si>
    <t>GSTL/073/2014/APR-14/B-26/6A</t>
  </si>
  <si>
    <t>0083427</t>
  </si>
  <si>
    <t>G006201401</t>
  </si>
  <si>
    <t>G006201419</t>
  </si>
  <si>
    <t>G006201420</t>
  </si>
  <si>
    <t>011201402300020</t>
  </si>
  <si>
    <t>011201402300019</t>
  </si>
  <si>
    <t>011201402300025</t>
  </si>
  <si>
    <t>G006201421</t>
  </si>
  <si>
    <t>ST041404104C48/277</t>
  </si>
  <si>
    <t xml:space="preserve">COMPLIANT INSPECTION DURING THE MONTH OF JUNE 2014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</si>
</sst>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_-* #,##0_-;\-* #,##0_-;_-* &quot;-&quot;??_-;_-@_-"/>
    <numFmt numFmtId="166" formatCode="0.0000"/>
    <numFmt numFmtId="167" formatCode="#,##0.0000"/>
    <numFmt numFmtId="168" formatCode="#,##0.0"/>
    <numFmt numFmtId="169" formatCode="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28"/>
      <color theme="1"/>
      <name val="Arial"/>
      <family val="2"/>
    </font>
    <font>
      <b/>
      <sz val="28"/>
      <color theme="1"/>
      <name val="Arial"/>
      <family val="2"/>
    </font>
    <font>
      <sz val="28"/>
      <name val="Arial"/>
      <family val="2"/>
    </font>
    <font>
      <b/>
      <u/>
      <sz val="28"/>
      <color theme="1"/>
      <name val="Arial"/>
      <family val="2"/>
    </font>
    <font>
      <b/>
      <sz val="28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36"/>
      <name val="Arial"/>
      <family val="2"/>
    </font>
    <font>
      <b/>
      <u/>
      <sz val="36"/>
      <color theme="1"/>
      <name val="Arial"/>
      <family val="2"/>
    </font>
    <font>
      <b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3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NumberFormat="1" applyFont="1" applyFill="1" applyAlignment="1">
      <alignment horizontal="left"/>
    </xf>
    <xf numFmtId="164" fontId="3" fillId="2" borderId="0" xfId="1" applyFont="1" applyFill="1" applyAlignment="1">
      <alignment horizontal="left"/>
    </xf>
    <xf numFmtId="49" fontId="5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Alignment="1">
      <alignment horizontal="left"/>
    </xf>
    <xf numFmtId="4" fontId="4" fillId="0" borderId="0" xfId="0" applyNumberFormat="1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14" fontId="4" fillId="2" borderId="0" xfId="0" applyNumberFormat="1" applyFont="1" applyFill="1" applyBorder="1" applyAlignment="1">
      <alignment horizontal="left"/>
    </xf>
    <xf numFmtId="3" fontId="4" fillId="2" borderId="0" xfId="0" applyNumberFormat="1" applyFont="1" applyFill="1" applyAlignment="1">
      <alignment horizontal="left"/>
    </xf>
    <xf numFmtId="4" fontId="4" fillId="2" borderId="0" xfId="0" applyNumberFormat="1" applyFont="1" applyFill="1" applyAlignment="1">
      <alignment horizontal="left"/>
    </xf>
    <xf numFmtId="165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166" fontId="3" fillId="2" borderId="0" xfId="0" applyNumberFormat="1" applyFont="1" applyFill="1" applyAlignment="1">
      <alignment horizontal="left"/>
    </xf>
    <xf numFmtId="166" fontId="4" fillId="0" borderId="0" xfId="0" applyNumberFormat="1" applyFont="1" applyFill="1" applyAlignment="1">
      <alignment horizontal="left"/>
    </xf>
    <xf numFmtId="166" fontId="4" fillId="2" borderId="0" xfId="0" applyNumberFormat="1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3" fontId="7" fillId="2" borderId="0" xfId="0" applyNumberFormat="1" applyFont="1" applyFill="1" applyBorder="1" applyAlignment="1">
      <alignment horizontal="left"/>
    </xf>
    <xf numFmtId="4" fontId="7" fillId="2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horizontal="left"/>
    </xf>
    <xf numFmtId="4" fontId="6" fillId="2" borderId="0" xfId="0" applyNumberFormat="1" applyFont="1" applyFill="1" applyBorder="1" applyAlignment="1">
      <alignment horizontal="left" wrapText="1"/>
    </xf>
    <xf numFmtId="4" fontId="6" fillId="0" borderId="0" xfId="0" applyNumberFormat="1" applyFont="1" applyFill="1" applyAlignment="1">
      <alignment horizontal="left"/>
    </xf>
    <xf numFmtId="167" fontId="6" fillId="2" borderId="0" xfId="0" applyNumberFormat="1" applyFont="1" applyFill="1" applyBorder="1" applyAlignment="1">
      <alignment wrapText="1"/>
    </xf>
    <xf numFmtId="0" fontId="7" fillId="2" borderId="0" xfId="0" applyFont="1" applyFill="1" applyBorder="1" applyAlignment="1">
      <alignment horizontal="left"/>
    </xf>
    <xf numFmtId="14" fontId="7" fillId="2" borderId="0" xfId="0" applyNumberFormat="1" applyFont="1" applyFill="1" applyBorder="1" applyAlignment="1">
      <alignment horizontal="left"/>
    </xf>
    <xf numFmtId="0" fontId="7" fillId="2" borderId="0" xfId="0" applyFont="1" applyFill="1" applyBorder="1" applyAlignment="1">
      <alignment horizontal="left" wrapText="1"/>
    </xf>
    <xf numFmtId="166" fontId="7" fillId="2" borderId="0" xfId="0" applyNumberFormat="1" applyFont="1" applyFill="1" applyBorder="1" applyAlignment="1">
      <alignment horizontal="left"/>
    </xf>
    <xf numFmtId="0" fontId="8" fillId="2" borderId="0" xfId="0" applyFont="1" applyFill="1" applyBorder="1" applyAlignment="1">
      <alignment horizontal="left" wrapText="1"/>
    </xf>
    <xf numFmtId="0" fontId="7" fillId="2" borderId="0" xfId="0" applyNumberFormat="1" applyFont="1" applyFill="1" applyBorder="1" applyAlignment="1">
      <alignment horizontal="left"/>
    </xf>
    <xf numFmtId="165" fontId="7" fillId="2" borderId="0" xfId="0" applyNumberFormat="1" applyFont="1" applyFill="1" applyBorder="1" applyAlignment="1">
      <alignment horizontal="left" wrapText="1"/>
    </xf>
    <xf numFmtId="0" fontId="9" fillId="0" borderId="0" xfId="0" applyFont="1" applyFill="1"/>
    <xf numFmtId="0" fontId="10" fillId="0" borderId="0" xfId="0" applyFont="1" applyFill="1"/>
    <xf numFmtId="0" fontId="9" fillId="0" borderId="0" xfId="0" applyFont="1" applyFill="1" applyAlignment="1">
      <alignment horizontal="left"/>
    </xf>
    <xf numFmtId="14" fontId="9" fillId="0" borderId="0" xfId="0" applyNumberFormat="1" applyFont="1" applyFill="1" applyAlignment="1">
      <alignment horizontal="left"/>
    </xf>
    <xf numFmtId="49" fontId="11" fillId="0" borderId="0" xfId="0" applyNumberFormat="1" applyFont="1" applyFill="1" applyAlignment="1">
      <alignment horizontal="left"/>
    </xf>
    <xf numFmtId="0" fontId="9" fillId="0" borderId="0" xfId="0" applyNumberFormat="1" applyFont="1" applyFill="1" applyAlignment="1">
      <alignment horizontal="left"/>
    </xf>
    <xf numFmtId="3" fontId="9" fillId="0" borderId="0" xfId="0" applyNumberFormat="1" applyFont="1" applyFill="1" applyAlignment="1">
      <alignment horizontal="left"/>
    </xf>
    <xf numFmtId="4" fontId="9" fillId="0" borderId="0" xfId="0" applyNumberFormat="1" applyFont="1" applyFill="1" applyAlignment="1">
      <alignment horizontal="left"/>
    </xf>
    <xf numFmtId="166" fontId="9" fillId="0" borderId="0" xfId="0" applyNumberFormat="1" applyFont="1" applyFill="1" applyAlignment="1">
      <alignment horizontal="left"/>
    </xf>
    <xf numFmtId="14" fontId="9" fillId="2" borderId="0" xfId="0" applyNumberFormat="1" applyFont="1" applyFill="1" applyAlignment="1">
      <alignment horizontal="left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14" fontId="9" fillId="0" borderId="0" xfId="0" applyNumberFormat="1" applyFont="1" applyFill="1" applyAlignment="1">
      <alignment horizontal="left" vertical="center"/>
    </xf>
    <xf numFmtId="49" fontId="11" fillId="0" borderId="0" xfId="0" applyNumberFormat="1" applyFont="1" applyFill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14" fontId="9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3" fontId="9" fillId="0" borderId="0" xfId="0" applyNumberFormat="1" applyFont="1" applyFill="1" applyBorder="1" applyAlignment="1">
      <alignment horizontal="left" vertical="center"/>
    </xf>
    <xf numFmtId="4" fontId="9" fillId="0" borderId="0" xfId="0" applyNumberFormat="1" applyFont="1" applyFill="1" applyAlignment="1">
      <alignment horizontal="left" vertical="center"/>
    </xf>
    <xf numFmtId="166" fontId="9" fillId="0" borderId="0" xfId="0" applyNumberFormat="1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1" fontId="9" fillId="0" borderId="9" xfId="0" applyNumberFormat="1" applyFont="1" applyFill="1" applyBorder="1" applyAlignment="1">
      <alignment horizontal="left" vertical="center"/>
    </xf>
    <xf numFmtId="0" fontId="9" fillId="0" borderId="9" xfId="0" applyNumberFormat="1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top"/>
    </xf>
    <xf numFmtId="0" fontId="11" fillId="2" borderId="2" xfId="0" applyFont="1" applyFill="1" applyBorder="1" applyAlignment="1">
      <alignment horizontal="left"/>
    </xf>
    <xf numFmtId="0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wrapText="1"/>
    </xf>
    <xf numFmtId="14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/>
    </xf>
    <xf numFmtId="0" fontId="9" fillId="0" borderId="2" xfId="0" applyNumberFormat="1" applyFont="1" applyBorder="1" applyAlignment="1">
      <alignment horizontal="left"/>
    </xf>
    <xf numFmtId="0" fontId="9" fillId="2" borderId="2" xfId="1" applyNumberFormat="1" applyFont="1" applyFill="1" applyBorder="1" applyAlignment="1">
      <alignment horizontal="left" wrapText="1"/>
    </xf>
    <xf numFmtId="3" fontId="9" fillId="2" borderId="2" xfId="1" applyNumberFormat="1" applyFont="1" applyFill="1" applyBorder="1" applyAlignment="1">
      <alignment horizontal="left"/>
    </xf>
    <xf numFmtId="4" fontId="9" fillId="2" borderId="2" xfId="0" applyNumberFormat="1" applyFont="1" applyFill="1" applyBorder="1" applyAlignment="1">
      <alignment horizontal="left"/>
    </xf>
    <xf numFmtId="166" fontId="9" fillId="2" borderId="2" xfId="0" applyNumberFormat="1" applyFont="1" applyFill="1" applyBorder="1" applyAlignment="1">
      <alignment horizontal="left"/>
    </xf>
    <xf numFmtId="14" fontId="11" fillId="2" borderId="2" xfId="1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2" xfId="0" quotePrefix="1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14" fontId="9" fillId="0" borderId="2" xfId="0" applyNumberFormat="1" applyFont="1" applyBorder="1" applyAlignment="1">
      <alignment horizontal="left" wrapText="1"/>
    </xf>
    <xf numFmtId="0" fontId="9" fillId="0" borderId="2" xfId="0" applyNumberFormat="1" applyFont="1" applyFill="1" applyBorder="1" applyAlignment="1">
      <alignment horizontal="left"/>
    </xf>
    <xf numFmtId="0" fontId="14" fillId="0" borderId="0" xfId="0" applyFont="1" applyFill="1"/>
    <xf numFmtId="0" fontId="15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49" fontId="16" fillId="0" borderId="0" xfId="0" applyNumberFormat="1" applyFont="1" applyFill="1" applyAlignment="1">
      <alignment horizontal="left"/>
    </xf>
    <xf numFmtId="15" fontId="14" fillId="0" borderId="0" xfId="0" applyNumberFormat="1" applyFont="1" applyFill="1" applyAlignment="1">
      <alignment horizontal="left"/>
    </xf>
    <xf numFmtId="3" fontId="14" fillId="0" borderId="0" xfId="0" applyNumberFormat="1" applyFont="1" applyFill="1" applyAlignment="1">
      <alignment horizontal="left"/>
    </xf>
    <xf numFmtId="4" fontId="14" fillId="0" borderId="0" xfId="0" applyNumberFormat="1" applyFont="1" applyFill="1" applyAlignment="1">
      <alignment horizontal="left"/>
    </xf>
    <xf numFmtId="166" fontId="14" fillId="0" borderId="0" xfId="0" applyNumberFormat="1" applyFont="1" applyFill="1" applyAlignment="1">
      <alignment horizontal="left"/>
    </xf>
    <xf numFmtId="14" fontId="14" fillId="2" borderId="0" xfId="0" applyNumberFormat="1" applyFont="1" applyFill="1" applyAlignment="1">
      <alignment horizontal="left"/>
    </xf>
    <xf numFmtId="0" fontId="14" fillId="0" borderId="0" xfId="0" applyFont="1" applyFill="1" applyBorder="1"/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/>
    </xf>
    <xf numFmtId="14" fontId="14" fillId="0" borderId="0" xfId="0" applyNumberFormat="1" applyFont="1" applyFill="1" applyAlignment="1">
      <alignment horizontal="left" vertical="center"/>
    </xf>
    <xf numFmtId="49" fontId="16" fillId="0" borderId="0" xfId="0" applyNumberFormat="1" applyFont="1" applyFill="1" applyAlignment="1">
      <alignment horizontal="left" vertical="center"/>
    </xf>
    <xf numFmtId="0" fontId="14" fillId="0" borderId="0" xfId="0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14" fontId="14" fillId="0" borderId="0" xfId="0" applyNumberFormat="1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3" fontId="14" fillId="0" borderId="0" xfId="0" applyNumberFormat="1" applyFont="1" applyFill="1" applyBorder="1" applyAlignment="1">
      <alignment horizontal="left" vertical="center"/>
    </xf>
    <xf numFmtId="4" fontId="14" fillId="0" borderId="0" xfId="0" applyNumberFormat="1" applyFont="1" applyFill="1" applyAlignment="1">
      <alignment horizontal="left" vertical="center"/>
    </xf>
    <xf numFmtId="166" fontId="14" fillId="0" borderId="0" xfId="0" applyNumberFormat="1" applyFont="1" applyFill="1" applyAlignment="1">
      <alignment horizontal="left" vertical="center"/>
    </xf>
    <xf numFmtId="14" fontId="14" fillId="2" borderId="0" xfId="0" applyNumberFormat="1" applyFont="1" applyFill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/>
    </xf>
    <xf numFmtId="1" fontId="14" fillId="0" borderId="9" xfId="0" applyNumberFormat="1" applyFont="1" applyFill="1" applyBorder="1" applyAlignment="1">
      <alignment horizontal="left" vertical="center"/>
    </xf>
    <xf numFmtId="0" fontId="14" fillId="0" borderId="9" xfId="0" applyNumberFormat="1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 wrapText="1"/>
    </xf>
    <xf numFmtId="14" fontId="15" fillId="2" borderId="4" xfId="0" applyNumberFormat="1" applyFont="1" applyFill="1" applyBorder="1" applyAlignment="1">
      <alignment horizontal="left" vertical="top" wrapText="1"/>
    </xf>
    <xf numFmtId="49" fontId="18" fillId="2" borderId="4" xfId="0" applyNumberFormat="1" applyFont="1" applyFill="1" applyBorder="1" applyAlignment="1">
      <alignment horizontal="left" vertical="top" wrapText="1"/>
    </xf>
    <xf numFmtId="3" fontId="15" fillId="2" borderId="4" xfId="0" applyNumberFormat="1" applyFont="1" applyFill="1" applyBorder="1" applyAlignment="1">
      <alignment horizontal="left" vertical="top" wrapText="1"/>
    </xf>
    <xf numFmtId="4" fontId="15" fillId="2" borderId="4" xfId="0" applyNumberFormat="1" applyFont="1" applyFill="1" applyBorder="1" applyAlignment="1">
      <alignment horizontal="left" vertical="top" wrapText="1"/>
    </xf>
    <xf numFmtId="166" fontId="15" fillId="2" borderId="4" xfId="0" applyNumberFormat="1" applyFont="1" applyFill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/>
    </xf>
    <xf numFmtId="0" fontId="15" fillId="0" borderId="0" xfId="0" applyFont="1" applyFill="1" applyAlignment="1">
      <alignment horizontal="left" vertical="top"/>
    </xf>
    <xf numFmtId="0" fontId="14" fillId="0" borderId="0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 wrapText="1"/>
    </xf>
    <xf numFmtId="4" fontId="14" fillId="2" borderId="2" xfId="0" applyNumberFormat="1" applyFont="1" applyFill="1" applyBorder="1" applyAlignment="1">
      <alignment horizontal="left" wrapText="1"/>
    </xf>
    <xf numFmtId="4" fontId="14" fillId="0" borderId="2" xfId="0" applyNumberFormat="1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/>
    </xf>
    <xf numFmtId="166" fontId="14" fillId="2" borderId="2" xfId="0" applyNumberFormat="1" applyFont="1" applyFill="1" applyBorder="1" applyAlignment="1">
      <alignment horizontal="left"/>
    </xf>
    <xf numFmtId="4" fontId="14" fillId="2" borderId="2" xfId="0" applyNumberFormat="1" applyFont="1" applyFill="1" applyBorder="1" applyAlignment="1">
      <alignment horizontal="left"/>
    </xf>
    <xf numFmtId="14" fontId="14" fillId="2" borderId="3" xfId="0" applyNumberFormat="1" applyFont="1" applyFill="1" applyBorder="1" applyAlignment="1">
      <alignment horizontal="left"/>
    </xf>
    <xf numFmtId="0" fontId="16" fillId="2" borderId="2" xfId="0" applyFont="1" applyFill="1" applyBorder="1" applyAlignment="1">
      <alignment horizontal="left"/>
    </xf>
    <xf numFmtId="0" fontId="14" fillId="2" borderId="2" xfId="0" applyNumberFormat="1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 wrapText="1"/>
    </xf>
    <xf numFmtId="14" fontId="14" fillId="0" borderId="2" xfId="0" applyNumberFormat="1" applyFont="1" applyBorder="1" applyAlignment="1">
      <alignment horizontal="left" wrapText="1"/>
    </xf>
    <xf numFmtId="0" fontId="14" fillId="0" borderId="2" xfId="0" applyNumberFormat="1" applyFont="1" applyBorder="1" applyAlignment="1">
      <alignment horizontal="left"/>
    </xf>
    <xf numFmtId="0" fontId="16" fillId="2" borderId="2" xfId="1" applyNumberFormat="1" applyFont="1" applyFill="1" applyBorder="1" applyAlignment="1">
      <alignment horizontal="left" wrapText="1"/>
    </xf>
    <xf numFmtId="3" fontId="14" fillId="2" borderId="2" xfId="1" applyNumberFormat="1" applyFont="1" applyFill="1" applyBorder="1" applyAlignment="1">
      <alignment horizontal="left"/>
    </xf>
    <xf numFmtId="4" fontId="14" fillId="0" borderId="2" xfId="0" applyNumberFormat="1" applyFont="1" applyFill="1" applyBorder="1" applyAlignment="1">
      <alignment horizontal="left"/>
    </xf>
    <xf numFmtId="14" fontId="16" fillId="2" borderId="2" xfId="1" applyNumberFormat="1" applyFont="1" applyFill="1" applyBorder="1" applyAlignment="1">
      <alignment horizontal="left"/>
    </xf>
    <xf numFmtId="0" fontId="14" fillId="2" borderId="2" xfId="0" applyFont="1" applyFill="1" applyBorder="1" applyAlignment="1"/>
    <xf numFmtId="0" fontId="14" fillId="2" borderId="2" xfId="0" quotePrefix="1" applyFont="1" applyFill="1" applyBorder="1" applyAlignment="1">
      <alignment horizontal="left" wrapText="1"/>
    </xf>
    <xf numFmtId="14" fontId="14" fillId="0" borderId="0" xfId="0" applyNumberFormat="1" applyFont="1" applyFill="1" applyBorder="1" applyAlignment="1">
      <alignment horizontal="left"/>
    </xf>
    <xf numFmtId="0" fontId="14" fillId="0" borderId="2" xfId="0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>
      <alignment horizontal="left" wrapText="1"/>
    </xf>
    <xf numFmtId="49" fontId="14" fillId="2" borderId="2" xfId="0" applyNumberFormat="1" applyFont="1" applyFill="1" applyBorder="1" applyAlignment="1">
      <alignment horizontal="left"/>
    </xf>
    <xf numFmtId="0" fontId="14" fillId="0" borderId="2" xfId="0" applyFont="1" applyFill="1" applyBorder="1" applyAlignment="1">
      <alignment horizontal="left"/>
    </xf>
    <xf numFmtId="0" fontId="16" fillId="2" borderId="2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/>
    </xf>
    <xf numFmtId="14" fontId="15" fillId="2" borderId="4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 wrapText="1"/>
    </xf>
    <xf numFmtId="0" fontId="15" fillId="2" borderId="4" xfId="1" applyNumberFormat="1" applyFont="1" applyFill="1" applyBorder="1" applyAlignment="1">
      <alignment horizontal="left" wrapText="1"/>
    </xf>
    <xf numFmtId="4" fontId="15" fillId="2" borderId="4" xfId="0" applyNumberFormat="1" applyFont="1" applyFill="1" applyBorder="1" applyAlignment="1">
      <alignment horizontal="left"/>
    </xf>
    <xf numFmtId="166" fontId="15" fillId="2" borderId="4" xfId="0" applyNumberFormat="1" applyFont="1" applyFill="1" applyBorder="1" applyAlignment="1">
      <alignment horizontal="left"/>
    </xf>
    <xf numFmtId="14" fontId="18" fillId="2" borderId="4" xfId="1" applyNumberFormat="1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left"/>
    </xf>
    <xf numFmtId="14" fontId="15" fillId="2" borderId="0" xfId="0" applyNumberFormat="1" applyFont="1" applyFill="1" applyBorder="1" applyAlignment="1">
      <alignment horizontal="left"/>
    </xf>
    <xf numFmtId="0" fontId="15" fillId="2" borderId="0" xfId="0" quotePrefix="1" applyFont="1" applyFill="1" applyBorder="1" applyAlignment="1">
      <alignment horizontal="left"/>
    </xf>
    <xf numFmtId="0" fontId="15" fillId="2" borderId="0" xfId="0" applyNumberFormat="1" applyFont="1" applyFill="1" applyBorder="1" applyAlignment="1">
      <alignment horizontal="left" wrapText="1"/>
    </xf>
    <xf numFmtId="0" fontId="18" fillId="2" borderId="0" xfId="0" applyFont="1" applyFill="1" applyBorder="1" applyAlignment="1">
      <alignment horizontal="left" wrapText="1"/>
    </xf>
    <xf numFmtId="0" fontId="15" fillId="2" borderId="0" xfId="0" applyFont="1" applyFill="1" applyBorder="1" applyAlignment="1">
      <alignment horizontal="left" wrapText="1"/>
    </xf>
    <xf numFmtId="14" fontId="15" fillId="0" borderId="0" xfId="0" applyNumberFormat="1" applyFont="1" applyBorder="1" applyAlignment="1">
      <alignment horizontal="left" wrapText="1"/>
    </xf>
    <xf numFmtId="0" fontId="15" fillId="0" borderId="0" xfId="0" applyNumberFormat="1" applyFont="1" applyBorder="1" applyAlignment="1">
      <alignment horizontal="left"/>
    </xf>
    <xf numFmtId="0" fontId="15" fillId="2" borderId="0" xfId="1" applyNumberFormat="1" applyFont="1" applyFill="1" applyBorder="1" applyAlignment="1">
      <alignment horizontal="left" wrapText="1"/>
    </xf>
    <xf numFmtId="168" fontId="15" fillId="2" borderId="0" xfId="1" applyNumberFormat="1" applyFont="1" applyFill="1" applyBorder="1" applyAlignment="1">
      <alignment horizontal="left"/>
    </xf>
    <xf numFmtId="4" fontId="15" fillId="0" borderId="0" xfId="0" applyNumberFormat="1" applyFont="1" applyFill="1" applyBorder="1" applyAlignment="1">
      <alignment horizontal="left"/>
    </xf>
    <xf numFmtId="4" fontId="15" fillId="2" borderId="0" xfId="0" applyNumberFormat="1" applyFont="1" applyFill="1" applyBorder="1" applyAlignment="1">
      <alignment horizontal="left" wrapText="1"/>
    </xf>
    <xf numFmtId="4" fontId="15" fillId="2" borderId="0" xfId="0" applyNumberFormat="1" applyFont="1" applyFill="1" applyBorder="1" applyAlignment="1">
      <alignment horizontal="left"/>
    </xf>
    <xf numFmtId="166" fontId="15" fillId="2" borderId="0" xfId="0" applyNumberFormat="1" applyFont="1" applyFill="1" applyBorder="1" applyAlignment="1">
      <alignment horizontal="left"/>
    </xf>
    <xf numFmtId="14" fontId="18" fillId="2" borderId="0" xfId="1" applyNumberFormat="1" applyFont="1" applyFill="1" applyBorder="1" applyAlignment="1">
      <alignment horizontal="left"/>
    </xf>
    <xf numFmtId="167" fontId="15" fillId="2" borderId="0" xfId="0" applyNumberFormat="1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14" fontId="14" fillId="2" borderId="0" xfId="0" applyNumberFormat="1" applyFont="1" applyFill="1" applyBorder="1" applyAlignment="1">
      <alignment horizontal="left"/>
    </xf>
    <xf numFmtId="0" fontId="14" fillId="2" borderId="0" xfId="0" quotePrefix="1" applyFont="1" applyFill="1" applyBorder="1" applyAlignment="1">
      <alignment horizontal="left"/>
    </xf>
    <xf numFmtId="0" fontId="14" fillId="2" borderId="0" xfId="0" applyNumberFormat="1" applyFont="1" applyFill="1" applyBorder="1" applyAlignment="1">
      <alignment horizontal="left" wrapText="1"/>
    </xf>
    <xf numFmtId="0" fontId="16" fillId="2" borderId="0" xfId="0" applyFont="1" applyFill="1" applyBorder="1" applyAlignment="1">
      <alignment horizontal="left" wrapText="1"/>
    </xf>
    <xf numFmtId="0" fontId="14" fillId="2" borderId="0" xfId="0" applyFont="1" applyFill="1" applyBorder="1" applyAlignment="1">
      <alignment horizontal="left" wrapText="1"/>
    </xf>
    <xf numFmtId="14" fontId="14" fillId="0" borderId="0" xfId="0" applyNumberFormat="1" applyFont="1" applyBorder="1" applyAlignment="1">
      <alignment horizontal="left" wrapText="1"/>
    </xf>
    <xf numFmtId="0" fontId="14" fillId="0" borderId="0" xfId="0" applyNumberFormat="1" applyFont="1" applyBorder="1" applyAlignment="1">
      <alignment horizontal="left"/>
    </xf>
    <xf numFmtId="0" fontId="14" fillId="2" borderId="0" xfId="1" applyNumberFormat="1" applyFont="1" applyFill="1" applyBorder="1" applyAlignment="1">
      <alignment horizontal="left" wrapText="1"/>
    </xf>
    <xf numFmtId="3" fontId="14" fillId="2" borderId="0" xfId="1" applyNumberFormat="1" applyFont="1" applyFill="1" applyBorder="1" applyAlignment="1">
      <alignment horizontal="left"/>
    </xf>
    <xf numFmtId="4" fontId="14" fillId="0" borderId="0" xfId="0" applyNumberFormat="1" applyFont="1" applyFill="1" applyBorder="1" applyAlignment="1">
      <alignment horizontal="left"/>
    </xf>
    <xf numFmtId="4" fontId="14" fillId="2" borderId="0" xfId="0" applyNumberFormat="1" applyFont="1" applyFill="1" applyBorder="1" applyAlignment="1">
      <alignment horizontal="left" wrapText="1"/>
    </xf>
    <xf numFmtId="4" fontId="14" fillId="2" borderId="0" xfId="0" applyNumberFormat="1" applyFont="1" applyFill="1" applyBorder="1" applyAlignment="1">
      <alignment horizontal="left"/>
    </xf>
    <xf numFmtId="166" fontId="14" fillId="2" borderId="0" xfId="0" applyNumberFormat="1" applyFont="1" applyFill="1" applyBorder="1" applyAlignment="1">
      <alignment horizontal="left"/>
    </xf>
    <xf numFmtId="14" fontId="16" fillId="2" borderId="0" xfId="1" applyNumberFormat="1" applyFont="1" applyFill="1" applyBorder="1" applyAlignment="1">
      <alignment horizontal="left"/>
    </xf>
    <xf numFmtId="167" fontId="14" fillId="2" borderId="0" xfId="0" applyNumberFormat="1" applyFont="1" applyFill="1" applyBorder="1" applyAlignment="1">
      <alignment horizontal="left"/>
    </xf>
    <xf numFmtId="0" fontId="14" fillId="2" borderId="7" xfId="0" applyFont="1" applyFill="1" applyBorder="1" applyAlignment="1">
      <alignment horizontal="left" wrapText="1"/>
    </xf>
    <xf numFmtId="165" fontId="14" fillId="2" borderId="2" xfId="1" applyNumberFormat="1" applyFont="1" applyFill="1" applyBorder="1" applyAlignment="1">
      <alignment horizontal="left" wrapText="1"/>
    </xf>
    <xf numFmtId="49" fontId="14" fillId="2" borderId="3" xfId="0" applyNumberFormat="1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14" fontId="15" fillId="2" borderId="4" xfId="0" applyNumberFormat="1" applyFont="1" applyFill="1" applyBorder="1" applyAlignment="1">
      <alignment horizontal="left" wrapText="1"/>
    </xf>
    <xf numFmtId="3" fontId="15" fillId="2" borderId="4" xfId="1" applyNumberFormat="1" applyFont="1" applyFill="1" applyBorder="1" applyAlignment="1">
      <alignment horizontal="left"/>
    </xf>
    <xf numFmtId="0" fontId="15" fillId="0" borderId="0" xfId="0" applyFont="1" applyFill="1"/>
    <xf numFmtId="14" fontId="14" fillId="0" borderId="0" xfId="0" applyNumberFormat="1" applyFont="1" applyFill="1" applyAlignment="1">
      <alignment horizontal="left"/>
    </xf>
    <xf numFmtId="0" fontId="14" fillId="0" borderId="0" xfId="0" applyNumberFormat="1" applyFont="1" applyFill="1" applyAlignment="1">
      <alignment horizontal="left"/>
    </xf>
    <xf numFmtId="0" fontId="14" fillId="2" borderId="3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 wrapText="1"/>
    </xf>
    <xf numFmtId="0" fontId="15" fillId="2" borderId="4" xfId="0" applyFont="1" applyFill="1" applyBorder="1" applyAlignment="1"/>
    <xf numFmtId="0" fontId="15" fillId="2" borderId="5" xfId="0" applyFont="1" applyFill="1" applyBorder="1" applyAlignment="1">
      <alignment horizontal="left"/>
    </xf>
    <xf numFmtId="0" fontId="15" fillId="0" borderId="4" xfId="0" applyNumberFormat="1" applyFont="1" applyFill="1" applyBorder="1" applyAlignment="1">
      <alignment horizontal="left"/>
    </xf>
    <xf numFmtId="0" fontId="15" fillId="0" borderId="4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49" fontId="16" fillId="0" borderId="0" xfId="0" applyNumberFormat="1" applyFont="1" applyFill="1" applyBorder="1" applyAlignment="1">
      <alignment horizontal="left"/>
    </xf>
    <xf numFmtId="15" fontId="14" fillId="0" borderId="0" xfId="0" applyNumberFormat="1" applyFont="1" applyFill="1" applyBorder="1" applyAlignment="1">
      <alignment horizontal="left"/>
    </xf>
    <xf numFmtId="3" fontId="14" fillId="0" borderId="0" xfId="0" applyNumberFormat="1" applyFont="1" applyFill="1" applyBorder="1" applyAlignment="1">
      <alignment horizontal="left"/>
    </xf>
    <xf numFmtId="166" fontId="14" fillId="0" borderId="0" xfId="0" applyNumberFormat="1" applyFont="1" applyFill="1" applyBorder="1" applyAlignment="1">
      <alignment horizontal="left"/>
    </xf>
    <xf numFmtId="0" fontId="15" fillId="0" borderId="6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 wrapText="1"/>
    </xf>
    <xf numFmtId="0" fontId="14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 wrapText="1"/>
    </xf>
    <xf numFmtId="3" fontId="14" fillId="2" borderId="9" xfId="0" applyNumberFormat="1" applyFont="1" applyFill="1" applyBorder="1" applyAlignment="1">
      <alignment horizontal="left" wrapText="1"/>
    </xf>
    <xf numFmtId="4" fontId="14" fillId="2" borderId="9" xfId="0" applyNumberFormat="1" applyFont="1" applyFill="1" applyBorder="1" applyAlignment="1">
      <alignment horizontal="left" wrapText="1"/>
    </xf>
    <xf numFmtId="0" fontId="14" fillId="2" borderId="12" xfId="0" applyFont="1" applyFill="1" applyBorder="1" applyAlignment="1">
      <alignment horizontal="left"/>
    </xf>
    <xf numFmtId="0" fontId="15" fillId="2" borderId="12" xfId="0" applyFont="1" applyFill="1" applyBorder="1" applyAlignment="1">
      <alignment horizontal="left"/>
    </xf>
    <xf numFmtId="0" fontId="14" fillId="0" borderId="12" xfId="0" applyFont="1" applyFill="1" applyBorder="1"/>
    <xf numFmtId="0" fontId="16" fillId="2" borderId="9" xfId="0" applyFont="1" applyFill="1" applyBorder="1" applyAlignment="1">
      <alignment horizontal="left" wrapText="1"/>
    </xf>
    <xf numFmtId="14" fontId="16" fillId="2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 wrapText="1"/>
    </xf>
    <xf numFmtId="4" fontId="14" fillId="0" borderId="9" xfId="0" applyNumberFormat="1" applyFont="1" applyFill="1" applyBorder="1" applyAlignment="1">
      <alignment horizontal="left"/>
    </xf>
    <xf numFmtId="167" fontId="14" fillId="2" borderId="9" xfId="0" applyNumberFormat="1" applyFont="1" applyFill="1" applyBorder="1" applyAlignment="1">
      <alignment horizontal="left" wrapText="1"/>
    </xf>
    <xf numFmtId="49" fontId="14" fillId="0" borderId="9" xfId="0" applyNumberFormat="1" applyFont="1" applyFill="1" applyBorder="1" applyAlignment="1">
      <alignment horizontal="left"/>
    </xf>
    <xf numFmtId="166" fontId="14" fillId="2" borderId="9" xfId="0" applyNumberFormat="1" applyFont="1" applyFill="1" applyBorder="1" applyAlignment="1">
      <alignment horizontal="left"/>
    </xf>
    <xf numFmtId="4" fontId="14" fillId="0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/>
    </xf>
    <xf numFmtId="14" fontId="14" fillId="2" borderId="10" xfId="0" applyNumberFormat="1" applyFont="1" applyFill="1" applyBorder="1" applyAlignment="1">
      <alignment horizontal="left"/>
    </xf>
    <xf numFmtId="0" fontId="10" fillId="2" borderId="6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 wrapText="1"/>
    </xf>
    <xf numFmtId="49" fontId="10" fillId="2" borderId="4" xfId="0" applyNumberFormat="1" applyFont="1" applyFill="1" applyBorder="1" applyAlignment="1">
      <alignment horizontal="left"/>
    </xf>
    <xf numFmtId="14" fontId="10" fillId="2" borderId="4" xfId="0" applyNumberFormat="1" applyFont="1" applyFill="1" applyBorder="1" applyAlignment="1">
      <alignment horizontal="left"/>
    </xf>
    <xf numFmtId="0" fontId="10" fillId="2" borderId="4" xfId="0" applyNumberFormat="1" applyFont="1" applyFill="1" applyBorder="1" applyAlignment="1">
      <alignment horizontal="left" wrapText="1"/>
    </xf>
    <xf numFmtId="14" fontId="10" fillId="2" borderId="4" xfId="0" applyNumberFormat="1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/>
    </xf>
    <xf numFmtId="165" fontId="10" fillId="2" borderId="4" xfId="1" applyNumberFormat="1" applyFont="1" applyFill="1" applyBorder="1" applyAlignment="1">
      <alignment horizontal="left" wrapText="1"/>
    </xf>
    <xf numFmtId="3" fontId="10" fillId="2" borderId="4" xfId="1" applyNumberFormat="1" applyFont="1" applyFill="1" applyBorder="1" applyAlignment="1">
      <alignment horizontal="left"/>
    </xf>
    <xf numFmtId="4" fontId="10" fillId="2" borderId="4" xfId="0" applyNumberFormat="1" applyFont="1" applyFill="1" applyBorder="1" applyAlignment="1">
      <alignment horizontal="left"/>
    </xf>
    <xf numFmtId="166" fontId="10" fillId="2" borderId="4" xfId="0" applyNumberFormat="1" applyFont="1" applyFill="1" applyBorder="1" applyAlignment="1">
      <alignment horizontal="left"/>
    </xf>
    <xf numFmtId="14" fontId="13" fillId="2" borderId="4" xfId="1" applyNumberFormat="1" applyFont="1" applyFill="1" applyBorder="1" applyAlignment="1">
      <alignment horizontal="left"/>
    </xf>
    <xf numFmtId="49" fontId="10" fillId="2" borderId="5" xfId="0" applyNumberFormat="1" applyFont="1" applyFill="1" applyBorder="1" applyAlignment="1">
      <alignment horizontal="left"/>
    </xf>
    <xf numFmtId="0" fontId="14" fillId="2" borderId="8" xfId="0" applyFont="1" applyFill="1" applyBorder="1" applyAlignment="1">
      <alignment horizontal="left" wrapText="1"/>
    </xf>
    <xf numFmtId="0" fontId="14" fillId="0" borderId="9" xfId="0" applyNumberFormat="1" applyFont="1" applyBorder="1" applyAlignment="1">
      <alignment horizontal="left"/>
    </xf>
    <xf numFmtId="0" fontId="14" fillId="2" borderId="9" xfId="1" applyNumberFormat="1" applyFont="1" applyFill="1" applyBorder="1" applyAlignment="1">
      <alignment horizontal="left" wrapText="1"/>
    </xf>
    <xf numFmtId="3" fontId="14" fillId="2" borderId="9" xfId="1" applyNumberFormat="1" applyFont="1" applyFill="1" applyBorder="1" applyAlignment="1">
      <alignment horizontal="left"/>
    </xf>
    <xf numFmtId="4" fontId="14" fillId="2" borderId="9" xfId="0" applyNumberFormat="1" applyFont="1" applyFill="1" applyBorder="1" applyAlignment="1">
      <alignment horizontal="left"/>
    </xf>
    <xf numFmtId="14" fontId="16" fillId="2" borderId="9" xfId="1" applyNumberFormat="1" applyFont="1" applyFill="1" applyBorder="1" applyAlignment="1">
      <alignment horizontal="left"/>
    </xf>
    <xf numFmtId="49" fontId="14" fillId="2" borderId="9" xfId="0" applyNumberFormat="1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14" fontId="9" fillId="2" borderId="3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/>
    </xf>
    <xf numFmtId="165" fontId="15" fillId="2" borderId="4" xfId="0" applyNumberFormat="1" applyFont="1" applyFill="1" applyBorder="1" applyAlignment="1">
      <alignment horizontal="left" wrapText="1"/>
    </xf>
    <xf numFmtId="3" fontId="15" fillId="2" borderId="4" xfId="0" applyNumberFormat="1" applyFont="1" applyFill="1" applyBorder="1" applyAlignment="1">
      <alignment horizontal="left"/>
    </xf>
    <xf numFmtId="0" fontId="14" fillId="0" borderId="13" xfId="0" applyFont="1" applyFill="1" applyBorder="1" applyAlignment="1">
      <alignment horizontal="left" vertical="center"/>
    </xf>
    <xf numFmtId="14" fontId="16" fillId="2" borderId="2" xfId="0" applyNumberFormat="1" applyFont="1" applyFill="1" applyBorder="1" applyAlignment="1">
      <alignment horizontal="left" wrapText="1"/>
    </xf>
    <xf numFmtId="0" fontId="14" fillId="2" borderId="2" xfId="0" quotePrefix="1" applyFont="1" applyFill="1" applyBorder="1" applyAlignment="1">
      <alignment horizontal="left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top"/>
    </xf>
    <xf numFmtId="0" fontId="15" fillId="2" borderId="4" xfId="0" applyNumberFormat="1" applyFont="1" applyFill="1" applyBorder="1" applyAlignment="1">
      <alignment horizontal="left" vertical="top" wrapText="1"/>
    </xf>
    <xf numFmtId="0" fontId="15" fillId="2" borderId="14" xfId="0" applyFont="1" applyFill="1" applyBorder="1" applyAlignment="1">
      <alignment horizontal="left" vertical="top" wrapText="1"/>
    </xf>
    <xf numFmtId="14" fontId="15" fillId="2" borderId="15" xfId="0" applyNumberFormat="1" applyFont="1" applyFill="1" applyBorder="1" applyAlignment="1">
      <alignment horizontal="left" vertical="top" wrapText="1"/>
    </xf>
    <xf numFmtId="0" fontId="16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/>
    </xf>
    <xf numFmtId="0" fontId="14" fillId="2" borderId="9" xfId="0" applyNumberFormat="1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14" fillId="0" borderId="2" xfId="0" applyFont="1" applyFill="1" applyBorder="1" applyAlignment="1">
      <alignment horizontal="left" wrapText="1"/>
    </xf>
    <xf numFmtId="49" fontId="14" fillId="0" borderId="2" xfId="0" applyNumberFormat="1" applyFont="1" applyFill="1" applyBorder="1" applyAlignment="1">
      <alignment horizontal="left"/>
    </xf>
    <xf numFmtId="0" fontId="14" fillId="0" borderId="2" xfId="0" applyNumberFormat="1" applyFont="1" applyFill="1" applyBorder="1" applyAlignment="1">
      <alignment horizontal="left" wrapText="1"/>
    </xf>
    <xf numFmtId="14" fontId="14" fillId="0" borderId="2" xfId="0" applyNumberFormat="1" applyFont="1" applyFill="1" applyBorder="1" applyAlignment="1">
      <alignment horizontal="left" wrapText="1"/>
    </xf>
    <xf numFmtId="165" fontId="14" fillId="0" borderId="2" xfId="1" applyNumberFormat="1" applyFont="1" applyFill="1" applyBorder="1" applyAlignment="1">
      <alignment horizontal="left" wrapText="1"/>
    </xf>
    <xf numFmtId="3" fontId="14" fillId="0" borderId="2" xfId="1" applyNumberFormat="1" applyFont="1" applyFill="1" applyBorder="1" applyAlignment="1">
      <alignment horizontal="left"/>
    </xf>
    <xf numFmtId="166" fontId="14" fillId="0" borderId="2" xfId="0" applyNumberFormat="1" applyFont="1" applyFill="1" applyBorder="1" applyAlignment="1">
      <alignment horizontal="left"/>
    </xf>
    <xf numFmtId="14" fontId="16" fillId="0" borderId="2" xfId="1" applyNumberFormat="1" applyFont="1" applyFill="1" applyBorder="1" applyAlignment="1">
      <alignment horizontal="left"/>
    </xf>
    <xf numFmtId="0" fontId="10" fillId="2" borderId="11" xfId="0" applyFont="1" applyFill="1" applyBorder="1" applyAlignment="1">
      <alignment horizontal="left" vertical="top"/>
    </xf>
    <xf numFmtId="0" fontId="10" fillId="2" borderId="16" xfId="0" applyFont="1" applyFill="1" applyBorder="1" applyAlignment="1">
      <alignment horizontal="left" vertical="top"/>
    </xf>
    <xf numFmtId="0" fontId="10" fillId="2" borderId="16" xfId="0" applyFont="1" applyFill="1" applyBorder="1" applyAlignment="1">
      <alignment horizontal="left" vertical="top" wrapText="1"/>
    </xf>
    <xf numFmtId="14" fontId="10" fillId="2" borderId="16" xfId="0" applyNumberFormat="1" applyFont="1" applyFill="1" applyBorder="1" applyAlignment="1">
      <alignment horizontal="left" vertical="top" wrapText="1"/>
    </xf>
    <xf numFmtId="49" fontId="13" fillId="2" borderId="16" xfId="0" applyNumberFormat="1" applyFont="1" applyFill="1" applyBorder="1" applyAlignment="1">
      <alignment horizontal="left" vertical="top" wrapText="1"/>
    </xf>
    <xf numFmtId="0" fontId="10" fillId="2" borderId="16" xfId="0" applyNumberFormat="1" applyFont="1" applyFill="1" applyBorder="1" applyAlignment="1">
      <alignment horizontal="left" vertical="top" wrapText="1"/>
    </xf>
    <xf numFmtId="3" fontId="10" fillId="2" borderId="16" xfId="0" applyNumberFormat="1" applyFont="1" applyFill="1" applyBorder="1" applyAlignment="1">
      <alignment horizontal="left" vertical="top" wrapText="1"/>
    </xf>
    <xf numFmtId="4" fontId="10" fillId="2" borderId="16" xfId="0" applyNumberFormat="1" applyFont="1" applyFill="1" applyBorder="1" applyAlignment="1">
      <alignment horizontal="left" vertical="top" wrapText="1"/>
    </xf>
    <xf numFmtId="166" fontId="10" fillId="2" borderId="16" xfId="0" applyNumberFormat="1" applyFont="1" applyFill="1" applyBorder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14" fontId="9" fillId="2" borderId="2" xfId="0" applyNumberFormat="1" applyFont="1" applyFill="1" applyBorder="1" applyAlignment="1">
      <alignment horizontal="left"/>
    </xf>
    <xf numFmtId="165" fontId="9" fillId="2" borderId="2" xfId="1" applyNumberFormat="1" applyFont="1" applyFill="1" applyBorder="1" applyAlignment="1">
      <alignment horizontal="left" wrapText="1"/>
    </xf>
    <xf numFmtId="0" fontId="9" fillId="2" borderId="8" xfId="0" applyFont="1" applyFill="1" applyBorder="1" applyAlignment="1">
      <alignment horizontal="left" wrapText="1"/>
    </xf>
    <xf numFmtId="0" fontId="11" fillId="2" borderId="9" xfId="0" applyFont="1" applyFill="1" applyBorder="1" applyAlignment="1">
      <alignment horizontal="left"/>
    </xf>
    <xf numFmtId="0" fontId="9" fillId="2" borderId="9" xfId="0" applyFont="1" applyFill="1" applyBorder="1" applyAlignment="1">
      <alignment horizontal="left"/>
    </xf>
    <xf numFmtId="0" fontId="9" fillId="2" borderId="9" xfId="0" applyNumberFormat="1" applyFont="1" applyFill="1" applyBorder="1" applyAlignment="1">
      <alignment horizontal="left" wrapText="1"/>
    </xf>
    <xf numFmtId="0" fontId="9" fillId="2" borderId="9" xfId="0" applyFont="1" applyFill="1" applyBorder="1" applyAlignment="1">
      <alignment horizontal="left" wrapText="1"/>
    </xf>
    <xf numFmtId="14" fontId="9" fillId="2" borderId="9" xfId="0" applyNumberFormat="1" applyFont="1" applyFill="1" applyBorder="1" applyAlignment="1">
      <alignment horizontal="left" wrapText="1"/>
    </xf>
    <xf numFmtId="0" fontId="9" fillId="0" borderId="9" xfId="0" applyNumberFormat="1" applyFont="1" applyBorder="1" applyAlignment="1">
      <alignment horizontal="left"/>
    </xf>
    <xf numFmtId="0" fontId="9" fillId="2" borderId="9" xfId="1" applyNumberFormat="1" applyFont="1" applyFill="1" applyBorder="1" applyAlignment="1">
      <alignment horizontal="left" wrapText="1"/>
    </xf>
    <xf numFmtId="3" fontId="9" fillId="2" borderId="9" xfId="1" applyNumberFormat="1" applyFont="1" applyFill="1" applyBorder="1" applyAlignment="1">
      <alignment horizontal="left"/>
    </xf>
    <xf numFmtId="4" fontId="9" fillId="2" borderId="9" xfId="0" applyNumberFormat="1" applyFont="1" applyFill="1" applyBorder="1" applyAlignment="1">
      <alignment horizontal="left"/>
    </xf>
    <xf numFmtId="166" fontId="9" fillId="2" borderId="9" xfId="0" applyNumberFormat="1" applyFont="1" applyFill="1" applyBorder="1" applyAlignment="1">
      <alignment horizontal="left"/>
    </xf>
    <xf numFmtId="14" fontId="11" fillId="2" borderId="9" xfId="1" applyNumberFormat="1" applyFont="1" applyFill="1" applyBorder="1" applyAlignment="1">
      <alignment horizontal="left"/>
    </xf>
    <xf numFmtId="49" fontId="9" fillId="2" borderId="9" xfId="0" applyNumberFormat="1" applyFont="1" applyFill="1" applyBorder="1" applyAlignment="1">
      <alignment horizontal="left"/>
    </xf>
    <xf numFmtId="0" fontId="9" fillId="2" borderId="10" xfId="0" applyFont="1" applyFill="1" applyBorder="1" applyAlignment="1">
      <alignment horizontal="left"/>
    </xf>
    <xf numFmtId="49" fontId="9" fillId="2" borderId="3" xfId="0" applyNumberFormat="1" applyFont="1" applyFill="1" applyBorder="1" applyAlignment="1">
      <alignment horizontal="left"/>
    </xf>
    <xf numFmtId="0" fontId="15" fillId="2" borderId="11" xfId="0" applyFont="1" applyFill="1" applyBorder="1" applyAlignment="1">
      <alignment horizontal="left" vertical="top"/>
    </xf>
    <xf numFmtId="0" fontId="15" fillId="2" borderId="16" xfId="0" applyFont="1" applyFill="1" applyBorder="1" applyAlignment="1">
      <alignment horizontal="left" vertical="top"/>
    </xf>
    <xf numFmtId="0" fontId="15" fillId="2" borderId="16" xfId="0" applyFont="1" applyFill="1" applyBorder="1" applyAlignment="1">
      <alignment horizontal="left" vertical="top" wrapText="1"/>
    </xf>
    <xf numFmtId="14" fontId="15" fillId="2" borderId="16" xfId="0" applyNumberFormat="1" applyFont="1" applyFill="1" applyBorder="1" applyAlignment="1">
      <alignment horizontal="left" vertical="top" wrapText="1"/>
    </xf>
    <xf numFmtId="49" fontId="18" fillId="2" borderId="16" xfId="0" applyNumberFormat="1" applyFont="1" applyFill="1" applyBorder="1" applyAlignment="1">
      <alignment horizontal="left" vertical="top" wrapText="1"/>
    </xf>
    <xf numFmtId="0" fontId="15" fillId="2" borderId="16" xfId="0" applyNumberFormat="1" applyFont="1" applyFill="1" applyBorder="1" applyAlignment="1">
      <alignment horizontal="left" vertical="top"/>
    </xf>
    <xf numFmtId="3" fontId="15" fillId="2" borderId="16" xfId="0" applyNumberFormat="1" applyFont="1" applyFill="1" applyBorder="1" applyAlignment="1">
      <alignment horizontal="left" vertical="top" wrapText="1"/>
    </xf>
    <xf numFmtId="4" fontId="15" fillId="2" borderId="16" xfId="0" applyNumberFormat="1" applyFont="1" applyFill="1" applyBorder="1" applyAlignment="1">
      <alignment horizontal="left" vertical="top" wrapText="1"/>
    </xf>
    <xf numFmtId="166" fontId="15" fillId="2" borderId="16" xfId="0" applyNumberFormat="1" applyFont="1" applyFill="1" applyBorder="1" applyAlignment="1">
      <alignment horizontal="left" vertical="top" wrapText="1"/>
    </xf>
    <xf numFmtId="0" fontId="15" fillId="2" borderId="17" xfId="0" applyFont="1" applyFill="1" applyBorder="1" applyAlignment="1">
      <alignment horizontal="left" vertical="top" wrapText="1"/>
    </xf>
    <xf numFmtId="3" fontId="14" fillId="2" borderId="2" xfId="0" applyNumberFormat="1" applyFont="1" applyFill="1" applyBorder="1" applyAlignment="1">
      <alignment horizontal="left" wrapText="1"/>
    </xf>
    <xf numFmtId="167" fontId="14" fillId="2" borderId="2" xfId="0" applyNumberFormat="1" applyFont="1" applyFill="1" applyBorder="1" applyAlignment="1">
      <alignment horizontal="left" wrapText="1"/>
    </xf>
    <xf numFmtId="0" fontId="14" fillId="2" borderId="7" xfId="0" applyFont="1" applyFill="1" applyBorder="1" applyAlignment="1">
      <alignment horizontal="left"/>
    </xf>
    <xf numFmtId="169" fontId="14" fillId="2" borderId="2" xfId="0" applyNumberFormat="1" applyFont="1" applyFill="1" applyBorder="1" applyAlignment="1">
      <alignment horizontal="left"/>
    </xf>
    <xf numFmtId="0" fontId="9" fillId="2" borderId="9" xfId="0" quotePrefix="1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" borderId="1" xfId="0" quotePrefix="1" applyFont="1" applyFill="1" applyBorder="1" applyAlignment="1">
      <alignment horizontal="left"/>
    </xf>
    <xf numFmtId="14" fontId="9" fillId="2" borderId="9" xfId="0" applyNumberFormat="1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4" fillId="2" borderId="1" xfId="0" quotePrefix="1" applyFont="1" applyFill="1" applyBorder="1" applyAlignment="1">
      <alignment horizontal="left"/>
    </xf>
    <xf numFmtId="0" fontId="9" fillId="2" borderId="16" xfId="0" quotePrefix="1" applyFont="1" applyFill="1" applyBorder="1" applyAlignment="1">
      <alignment horizontal="left" vertical="center"/>
    </xf>
    <xf numFmtId="0" fontId="9" fillId="2" borderId="1" xfId="0" quotePrefix="1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14" fillId="2" borderId="18" xfId="0" applyFont="1" applyFill="1" applyBorder="1" applyAlignment="1">
      <alignment horizontal="left" vertical="center" wrapText="1"/>
    </xf>
    <xf numFmtId="0" fontId="14" fillId="2" borderId="16" xfId="0" quotePrefix="1" applyFont="1" applyFill="1" applyBorder="1" applyAlignment="1">
      <alignment horizontal="left" vertical="center"/>
    </xf>
    <xf numFmtId="0" fontId="14" fillId="2" borderId="1" xfId="0" quotePrefix="1" applyFont="1" applyFill="1" applyBorder="1" applyAlignment="1">
      <alignment horizontal="left" vertical="center"/>
    </xf>
  </cellXfs>
  <cellStyles count="10">
    <cellStyle name="Comma" xfId="1" builtinId="3"/>
    <cellStyle name="Comma 2" xfId="2"/>
    <cellStyle name="Comma 2 2" xfId="3"/>
    <cellStyle name="Comma 3" xfId="4"/>
    <cellStyle name="Comma 3 2" xfId="5"/>
    <cellStyle name="Comma 4" xfId="6"/>
    <cellStyle name="Comma 4 2" xfId="7"/>
    <cellStyle name="Comma 5" xfId="8"/>
    <cellStyle name="Comma 5 2" xf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2566987</xdr:colOff>
      <xdr:row>23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52400"/>
          <a:ext cx="18249900" cy="429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241300</xdr:colOff>
      <xdr:row>16</xdr:row>
      <xdr:rowOff>247650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52400"/>
          <a:ext cx="19335750" cy="401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4</xdr:col>
      <xdr:colOff>1619250</xdr:colOff>
      <xdr:row>24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52400"/>
          <a:ext cx="16154400" cy="451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2"/>
  <sheetViews>
    <sheetView tabSelected="1" zoomScale="40" zoomScaleNormal="40" zoomScaleSheetLayoutView="10" workbookViewId="0">
      <selection activeCell="F26" sqref="F26"/>
    </sheetView>
  </sheetViews>
  <sheetFormatPr defaultRowHeight="15" x14ac:dyDescent="0.2"/>
  <cols>
    <col min="1" max="1" width="12" style="4" customWidth="1"/>
    <col min="2" max="2" width="89.42578125" style="5" customWidth="1"/>
    <col min="3" max="3" width="41" style="5" customWidth="1"/>
    <col min="4" max="4" width="43" style="14" customWidth="1"/>
    <col min="5" max="5" width="62.7109375" style="12" bestFit="1" customWidth="1"/>
    <col min="6" max="6" width="81.85546875" style="5" customWidth="1"/>
    <col min="7" max="7" width="143.5703125" style="13" bestFit="1" customWidth="1"/>
    <col min="8" max="8" width="54" style="5" customWidth="1"/>
    <col min="9" max="9" width="28.42578125" style="5" customWidth="1"/>
    <col min="10" max="10" width="65.5703125" style="14" customWidth="1"/>
    <col min="11" max="11" width="89.85546875" style="5" bestFit="1" customWidth="1"/>
    <col min="12" max="12" width="36.140625" style="5" customWidth="1"/>
    <col min="13" max="13" width="52.42578125" style="5" customWidth="1"/>
    <col min="14" max="14" width="79.85546875" style="5" bestFit="1" customWidth="1"/>
    <col min="15" max="15" width="67.7109375" style="15" bestFit="1" customWidth="1"/>
    <col min="16" max="16" width="62.7109375" style="16" bestFit="1" customWidth="1"/>
    <col min="17" max="17" width="71.85546875" style="16" bestFit="1" customWidth="1"/>
    <col min="18" max="18" width="66.5703125" style="16" bestFit="1" customWidth="1"/>
    <col min="19" max="19" width="57.85546875" style="26" bestFit="1" customWidth="1"/>
    <col min="20" max="20" width="75.140625" style="17" bestFit="1" customWidth="1"/>
    <col min="21" max="21" width="57.85546875" style="5" customWidth="1"/>
    <col min="22" max="22" width="75.85546875" style="16" bestFit="1" customWidth="1"/>
    <col min="23" max="23" width="67" style="26" customWidth="1"/>
    <col min="24" max="24" width="53.85546875" style="16" customWidth="1"/>
    <col min="25" max="25" width="68.140625" style="16" bestFit="1" customWidth="1"/>
    <col min="26" max="26" width="48.42578125" style="5" customWidth="1"/>
    <col min="27" max="27" width="61.28515625" style="5" bestFit="1" customWidth="1"/>
    <col min="28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6" spans="1:27" s="42" customFormat="1" ht="90.75" customHeight="1" x14ac:dyDescent="0.5">
      <c r="B26" s="43" t="s">
        <v>32</v>
      </c>
      <c r="C26" s="44"/>
      <c r="D26" s="45"/>
      <c r="E26" s="46"/>
      <c r="F26" s="44"/>
      <c r="G26" s="47"/>
      <c r="H26" s="44"/>
      <c r="I26" s="44"/>
      <c r="J26" s="45"/>
      <c r="K26" s="44"/>
      <c r="L26" s="44"/>
      <c r="M26" s="44"/>
      <c r="N26" s="44"/>
      <c r="O26" s="48"/>
      <c r="P26" s="49"/>
      <c r="Q26" s="49"/>
      <c r="R26" s="49"/>
      <c r="S26" s="50"/>
      <c r="T26" s="51"/>
      <c r="U26" s="44"/>
      <c r="V26" s="49"/>
      <c r="W26" s="50"/>
      <c r="X26" s="49"/>
      <c r="Y26" s="49"/>
      <c r="Z26" s="44"/>
      <c r="AA26" s="44"/>
    </row>
    <row r="27" spans="1:27" s="52" customFormat="1" ht="90.75" customHeight="1" thickBot="1" x14ac:dyDescent="0.3">
      <c r="B27" s="53"/>
      <c r="C27" s="53"/>
      <c r="D27" s="54"/>
      <c r="E27" s="55"/>
      <c r="F27" s="53"/>
      <c r="G27" s="56"/>
      <c r="H27" s="57"/>
      <c r="I27" s="57"/>
      <c r="J27" s="58"/>
      <c r="K27" s="59"/>
      <c r="L27" s="60"/>
      <c r="M27" s="57"/>
      <c r="N27" s="60"/>
      <c r="O27" s="61"/>
      <c r="P27" s="62"/>
      <c r="Q27" s="62"/>
      <c r="R27" s="62"/>
      <c r="S27" s="63"/>
      <c r="T27" s="64"/>
      <c r="U27" s="53"/>
      <c r="V27" s="62"/>
      <c r="W27" s="63"/>
      <c r="X27" s="62"/>
      <c r="Y27" s="62"/>
      <c r="Z27" s="53"/>
      <c r="AA27" s="53"/>
    </row>
    <row r="28" spans="1:27" s="53" customFormat="1" ht="90.75" customHeight="1" x14ac:dyDescent="0.25">
      <c r="A28" s="65">
        <v>1</v>
      </c>
      <c r="B28" s="66">
        <v>2</v>
      </c>
      <c r="C28" s="66">
        <v>3</v>
      </c>
      <c r="D28" s="67">
        <v>4</v>
      </c>
      <c r="E28" s="66">
        <v>5</v>
      </c>
      <c r="F28" s="66">
        <v>6</v>
      </c>
      <c r="G28" s="68">
        <v>7</v>
      </c>
      <c r="H28" s="66">
        <v>8</v>
      </c>
      <c r="I28" s="66">
        <v>9</v>
      </c>
      <c r="J28" s="66">
        <v>10</v>
      </c>
      <c r="K28" s="66">
        <v>11</v>
      </c>
      <c r="L28" s="66">
        <v>12</v>
      </c>
      <c r="M28" s="66">
        <v>13</v>
      </c>
      <c r="N28" s="66">
        <v>14</v>
      </c>
      <c r="O28" s="66">
        <v>15</v>
      </c>
      <c r="P28" s="66">
        <v>16</v>
      </c>
      <c r="Q28" s="66">
        <v>17</v>
      </c>
      <c r="R28" s="66">
        <v>18</v>
      </c>
      <c r="S28" s="66">
        <v>19</v>
      </c>
      <c r="T28" s="66">
        <v>20</v>
      </c>
      <c r="U28" s="66">
        <v>21</v>
      </c>
      <c r="V28" s="66">
        <v>22</v>
      </c>
      <c r="W28" s="67">
        <v>23</v>
      </c>
      <c r="X28" s="66">
        <v>24</v>
      </c>
      <c r="Y28" s="66">
        <v>25</v>
      </c>
      <c r="Z28" s="66">
        <v>26</v>
      </c>
      <c r="AA28" s="69">
        <v>27</v>
      </c>
    </row>
    <row r="29" spans="1:27" s="70" customFormat="1" ht="90.75" customHeight="1" thickBot="1" x14ac:dyDescent="0.3">
      <c r="A29" s="280" t="s">
        <v>0</v>
      </c>
      <c r="B29" s="281" t="s">
        <v>1</v>
      </c>
      <c r="C29" s="282" t="s">
        <v>2</v>
      </c>
      <c r="D29" s="283" t="s">
        <v>3</v>
      </c>
      <c r="E29" s="284" t="s">
        <v>4</v>
      </c>
      <c r="F29" s="282" t="s">
        <v>5</v>
      </c>
      <c r="G29" s="285" t="s">
        <v>6</v>
      </c>
      <c r="H29" s="282" t="s">
        <v>7</v>
      </c>
      <c r="I29" s="282" t="s">
        <v>8</v>
      </c>
      <c r="J29" s="283" t="s">
        <v>9</v>
      </c>
      <c r="K29" s="281" t="s">
        <v>10</v>
      </c>
      <c r="L29" s="281" t="s">
        <v>11</v>
      </c>
      <c r="M29" s="282" t="s">
        <v>12</v>
      </c>
      <c r="N29" s="282" t="s">
        <v>13</v>
      </c>
      <c r="O29" s="286" t="s">
        <v>14</v>
      </c>
      <c r="P29" s="287" t="s">
        <v>26</v>
      </c>
      <c r="Q29" s="287" t="s">
        <v>31</v>
      </c>
      <c r="R29" s="287" t="s">
        <v>15</v>
      </c>
      <c r="S29" s="288" t="s">
        <v>16</v>
      </c>
      <c r="T29" s="283" t="s">
        <v>17</v>
      </c>
      <c r="U29" s="282" t="s">
        <v>18</v>
      </c>
      <c r="V29" s="287" t="s">
        <v>19</v>
      </c>
      <c r="W29" s="288" t="s">
        <v>20</v>
      </c>
      <c r="X29" s="287" t="s">
        <v>21</v>
      </c>
      <c r="Y29" s="287" t="s">
        <v>22</v>
      </c>
      <c r="Z29" s="282" t="s">
        <v>24</v>
      </c>
      <c r="AA29" s="289" t="s">
        <v>23</v>
      </c>
    </row>
    <row r="30" spans="1:27" s="44" customFormat="1" ht="90.75" customHeight="1" x14ac:dyDescent="0.45">
      <c r="A30" s="292">
        <v>1</v>
      </c>
      <c r="B30" s="293" t="s">
        <v>50</v>
      </c>
      <c r="C30" s="294" t="s">
        <v>78</v>
      </c>
      <c r="D30" s="324" t="s">
        <v>78</v>
      </c>
      <c r="E30" s="321" t="s">
        <v>93</v>
      </c>
      <c r="F30" s="294" t="s">
        <v>94</v>
      </c>
      <c r="G30" s="295" t="s">
        <v>116</v>
      </c>
      <c r="H30" s="296" t="s">
        <v>123</v>
      </c>
      <c r="I30" s="296">
        <v>27090000</v>
      </c>
      <c r="J30" s="297">
        <v>41793</v>
      </c>
      <c r="K30" s="294" t="s">
        <v>34</v>
      </c>
      <c r="L30" s="298" t="s">
        <v>126</v>
      </c>
      <c r="M30" s="296" t="s">
        <v>141</v>
      </c>
      <c r="N30" s="299" t="s">
        <v>129</v>
      </c>
      <c r="O30" s="300">
        <v>953838</v>
      </c>
      <c r="P30" s="301">
        <f t="shared" ref="P30:P31" si="0">O30*S30</f>
        <v>106469305.236</v>
      </c>
      <c r="Q30" s="301">
        <f t="shared" ref="Q30:Q31" si="1">P30*W30</f>
        <v>16580464904.402279</v>
      </c>
      <c r="R30" s="301" t="s">
        <v>25</v>
      </c>
      <c r="S30" s="302">
        <v>111.622</v>
      </c>
      <c r="T30" s="303">
        <f t="shared" ref="T30:T31" si="2">J30+90</f>
        <v>41883</v>
      </c>
      <c r="U30" s="304" t="s">
        <v>97</v>
      </c>
      <c r="V30" s="301">
        <f t="shared" ref="V30:V31" si="3">P30*0.12%</f>
        <v>127763.16628319999</v>
      </c>
      <c r="W30" s="302">
        <v>155.72999999999999</v>
      </c>
      <c r="X30" s="301">
        <f t="shared" ref="X30:X31" si="4">V30*W30</f>
        <v>19896557.885282733</v>
      </c>
      <c r="Y30" s="301" t="s">
        <v>97</v>
      </c>
      <c r="Z30" s="294" t="s">
        <v>97</v>
      </c>
      <c r="AA30" s="305" t="s">
        <v>97</v>
      </c>
    </row>
    <row r="31" spans="1:27" s="85" customFormat="1" ht="90.75" customHeight="1" x14ac:dyDescent="0.45">
      <c r="A31" s="271">
        <v>2</v>
      </c>
      <c r="B31" s="71" t="s">
        <v>51</v>
      </c>
      <c r="C31" s="71" t="s">
        <v>79</v>
      </c>
      <c r="D31" s="290">
        <v>41827</v>
      </c>
      <c r="E31" s="322" t="s">
        <v>95</v>
      </c>
      <c r="F31" s="322" t="s">
        <v>96</v>
      </c>
      <c r="G31" s="72" t="s">
        <v>117</v>
      </c>
      <c r="H31" s="73" t="s">
        <v>124</v>
      </c>
      <c r="I31" s="73">
        <v>27090000</v>
      </c>
      <c r="J31" s="74">
        <v>41794</v>
      </c>
      <c r="K31" s="75" t="s">
        <v>35</v>
      </c>
      <c r="L31" s="76" t="s">
        <v>127</v>
      </c>
      <c r="M31" s="73" t="s">
        <v>142</v>
      </c>
      <c r="N31" s="77" t="s">
        <v>130</v>
      </c>
      <c r="O31" s="78">
        <v>949725</v>
      </c>
      <c r="P31" s="79">
        <f t="shared" si="0"/>
        <v>105957019.35000001</v>
      </c>
      <c r="Q31" s="79">
        <f t="shared" si="1"/>
        <v>16500686623.3755</v>
      </c>
      <c r="R31" s="79" t="s">
        <v>25</v>
      </c>
      <c r="S31" s="80">
        <v>111.566</v>
      </c>
      <c r="T31" s="81">
        <f t="shared" si="2"/>
        <v>41884</v>
      </c>
      <c r="U31" s="82" t="s">
        <v>97</v>
      </c>
      <c r="V31" s="79">
        <f t="shared" si="3"/>
        <v>127148.42322</v>
      </c>
      <c r="W31" s="80">
        <v>155.72999999999999</v>
      </c>
      <c r="X31" s="79">
        <f t="shared" si="4"/>
        <v>19800823.9480506</v>
      </c>
      <c r="Y31" s="79" t="s">
        <v>97</v>
      </c>
      <c r="Z31" s="84" t="s">
        <v>97</v>
      </c>
      <c r="AA31" s="83" t="s">
        <v>97</v>
      </c>
    </row>
    <row r="32" spans="1:27" s="85" customFormat="1" ht="90.75" customHeight="1" x14ac:dyDescent="0.45">
      <c r="A32" s="271">
        <v>3</v>
      </c>
      <c r="B32" s="71" t="s">
        <v>52</v>
      </c>
      <c r="C32" s="75" t="s">
        <v>78</v>
      </c>
      <c r="D32" s="290" t="s">
        <v>78</v>
      </c>
      <c r="E32" s="322" t="s">
        <v>97</v>
      </c>
      <c r="F32" s="322" t="s">
        <v>97</v>
      </c>
      <c r="G32" s="72" t="s">
        <v>117</v>
      </c>
      <c r="H32" s="73" t="s">
        <v>123</v>
      </c>
      <c r="I32" s="73">
        <v>27090000</v>
      </c>
      <c r="J32" s="74">
        <v>41797</v>
      </c>
      <c r="K32" s="75" t="s">
        <v>36</v>
      </c>
      <c r="L32" s="76" t="s">
        <v>126</v>
      </c>
      <c r="M32" s="73" t="s">
        <v>143</v>
      </c>
      <c r="N32" s="77" t="s">
        <v>131</v>
      </c>
      <c r="O32" s="78">
        <v>664521</v>
      </c>
      <c r="P32" s="79">
        <f t="shared" ref="P32:P57" si="5">O32*S32</f>
        <v>74438313.378000006</v>
      </c>
      <c r="Q32" s="79">
        <f t="shared" ref="Q32:Q57" si="6">P32*W32</f>
        <v>11592278542.35594</v>
      </c>
      <c r="R32" s="79" t="s">
        <v>25</v>
      </c>
      <c r="S32" s="80">
        <v>112.018</v>
      </c>
      <c r="T32" s="81">
        <f t="shared" ref="T32:T57" si="7">J32+90</f>
        <v>41887</v>
      </c>
      <c r="U32" s="82" t="s">
        <v>97</v>
      </c>
      <c r="V32" s="79">
        <f t="shared" ref="V32:V57" si="8">P32*0.12%</f>
        <v>89325.976053599996</v>
      </c>
      <c r="W32" s="80">
        <v>155.72999999999999</v>
      </c>
      <c r="X32" s="79">
        <f t="shared" ref="X32:X57" si="9">V32*W32</f>
        <v>13910734.250827126</v>
      </c>
      <c r="Y32" s="79" t="s">
        <v>97</v>
      </c>
      <c r="Z32" s="84" t="s">
        <v>97</v>
      </c>
      <c r="AA32" s="83" t="s">
        <v>97</v>
      </c>
    </row>
    <row r="33" spans="1:27" s="85" customFormat="1" ht="90.75" customHeight="1" x14ac:dyDescent="0.45">
      <c r="A33" s="271">
        <v>4</v>
      </c>
      <c r="B33" s="71" t="s">
        <v>53</v>
      </c>
      <c r="C33" s="71" t="s">
        <v>80</v>
      </c>
      <c r="D33" s="290">
        <v>41827</v>
      </c>
      <c r="E33" s="322" t="s">
        <v>98</v>
      </c>
      <c r="F33" s="322" t="s">
        <v>96</v>
      </c>
      <c r="G33" s="72" t="s">
        <v>117</v>
      </c>
      <c r="H33" s="73" t="s">
        <v>124</v>
      </c>
      <c r="I33" s="73">
        <v>27090000</v>
      </c>
      <c r="J33" s="74">
        <v>41797</v>
      </c>
      <c r="K33" s="75" t="s">
        <v>37</v>
      </c>
      <c r="L33" s="76" t="s">
        <v>127</v>
      </c>
      <c r="M33" s="73" t="s">
        <v>141</v>
      </c>
      <c r="N33" s="77" t="s">
        <v>129</v>
      </c>
      <c r="O33" s="78">
        <v>64000</v>
      </c>
      <c r="P33" s="79">
        <f t="shared" ref="P33" si="10">O33*S33</f>
        <v>7169152</v>
      </c>
      <c r="Q33" s="79">
        <f t="shared" ref="Q33" si="11">P33*W33</f>
        <v>1116452040.96</v>
      </c>
      <c r="R33" s="79" t="s">
        <v>25</v>
      </c>
      <c r="S33" s="80">
        <v>112.018</v>
      </c>
      <c r="T33" s="81">
        <f t="shared" ref="T33" si="12">J33+90</f>
        <v>41887</v>
      </c>
      <c r="U33" s="82" t="s">
        <v>97</v>
      </c>
      <c r="V33" s="79">
        <f t="shared" ref="V33" si="13">P33*0.12%</f>
        <v>8602.982399999999</v>
      </c>
      <c r="W33" s="80">
        <v>155.72999999999999</v>
      </c>
      <c r="X33" s="79">
        <f t="shared" ref="X33" si="14">V33*W33</f>
        <v>1339742.4491519998</v>
      </c>
      <c r="Y33" s="79" t="s">
        <v>97</v>
      </c>
      <c r="Z33" s="84" t="s">
        <v>97</v>
      </c>
      <c r="AA33" s="83" t="s">
        <v>97</v>
      </c>
    </row>
    <row r="34" spans="1:27" s="85" customFormat="1" ht="90.75" customHeight="1" x14ac:dyDescent="0.45">
      <c r="A34" s="271">
        <v>5</v>
      </c>
      <c r="B34" s="71" t="s">
        <v>54</v>
      </c>
      <c r="C34" s="71" t="s">
        <v>81</v>
      </c>
      <c r="D34" s="290">
        <v>41827</v>
      </c>
      <c r="E34" s="322" t="s">
        <v>99</v>
      </c>
      <c r="F34" s="322" t="s">
        <v>96</v>
      </c>
      <c r="G34" s="72" t="s">
        <v>117</v>
      </c>
      <c r="H34" s="73" t="s">
        <v>124</v>
      </c>
      <c r="I34" s="73">
        <v>27090000</v>
      </c>
      <c r="J34" s="74">
        <v>41797</v>
      </c>
      <c r="K34" s="75" t="s">
        <v>37</v>
      </c>
      <c r="L34" s="76" t="s">
        <v>127</v>
      </c>
      <c r="M34" s="73" t="s">
        <v>141</v>
      </c>
      <c r="N34" s="77" t="s">
        <v>129</v>
      </c>
      <c r="O34" s="78">
        <v>85000</v>
      </c>
      <c r="P34" s="79">
        <f t="shared" si="5"/>
        <v>9521530</v>
      </c>
      <c r="Q34" s="79">
        <f t="shared" si="6"/>
        <v>1482787866.8999999</v>
      </c>
      <c r="R34" s="79" t="s">
        <v>25</v>
      </c>
      <c r="S34" s="80">
        <v>112.018</v>
      </c>
      <c r="T34" s="81">
        <f t="shared" si="7"/>
        <v>41887</v>
      </c>
      <c r="U34" s="82" t="s">
        <v>97</v>
      </c>
      <c r="V34" s="79">
        <f t="shared" si="8"/>
        <v>11425.835999999999</v>
      </c>
      <c r="W34" s="80">
        <v>155.72999999999999</v>
      </c>
      <c r="X34" s="79">
        <f t="shared" si="9"/>
        <v>1779345.4402799997</v>
      </c>
      <c r="Y34" s="79" t="s">
        <v>97</v>
      </c>
      <c r="Z34" s="84" t="s">
        <v>97</v>
      </c>
      <c r="AA34" s="83" t="s">
        <v>97</v>
      </c>
    </row>
    <row r="35" spans="1:27" s="85" customFormat="1" ht="90.75" customHeight="1" x14ac:dyDescent="0.45">
      <c r="A35" s="271">
        <v>6</v>
      </c>
      <c r="B35" s="71" t="s">
        <v>55</v>
      </c>
      <c r="C35" s="75" t="s">
        <v>82</v>
      </c>
      <c r="D35" s="290">
        <v>41827</v>
      </c>
      <c r="E35" s="322" t="s">
        <v>100</v>
      </c>
      <c r="F35" s="322" t="s">
        <v>96</v>
      </c>
      <c r="G35" s="72" t="s">
        <v>117</v>
      </c>
      <c r="H35" s="73" t="s">
        <v>124</v>
      </c>
      <c r="I35" s="73">
        <v>27090000</v>
      </c>
      <c r="J35" s="74">
        <v>41797</v>
      </c>
      <c r="K35" s="75" t="s">
        <v>37</v>
      </c>
      <c r="L35" s="76" t="s">
        <v>127</v>
      </c>
      <c r="M35" s="73" t="s">
        <v>141</v>
      </c>
      <c r="N35" s="77" t="s">
        <v>129</v>
      </c>
      <c r="O35" s="78">
        <v>146000</v>
      </c>
      <c r="P35" s="79">
        <f t="shared" si="5"/>
        <v>16354628</v>
      </c>
      <c r="Q35" s="79">
        <f t="shared" si="6"/>
        <v>2546906218.4400001</v>
      </c>
      <c r="R35" s="79" t="s">
        <v>25</v>
      </c>
      <c r="S35" s="80">
        <v>112.018</v>
      </c>
      <c r="T35" s="81">
        <f t="shared" si="7"/>
        <v>41887</v>
      </c>
      <c r="U35" s="82" t="s">
        <v>97</v>
      </c>
      <c r="V35" s="79">
        <f t="shared" si="8"/>
        <v>19625.553599999999</v>
      </c>
      <c r="W35" s="80">
        <v>155.72999999999999</v>
      </c>
      <c r="X35" s="79">
        <f t="shared" si="9"/>
        <v>3056287.4621279999</v>
      </c>
      <c r="Y35" s="79" t="s">
        <v>97</v>
      </c>
      <c r="Z35" s="84" t="s">
        <v>97</v>
      </c>
      <c r="AA35" s="83" t="s">
        <v>97</v>
      </c>
    </row>
    <row r="36" spans="1:27" s="85" customFormat="1" ht="90.75" customHeight="1" x14ac:dyDescent="0.45">
      <c r="A36" s="271">
        <v>7</v>
      </c>
      <c r="B36" s="71" t="s">
        <v>56</v>
      </c>
      <c r="C36" s="75" t="s">
        <v>83</v>
      </c>
      <c r="D36" s="290">
        <v>41827</v>
      </c>
      <c r="E36" s="322" t="s">
        <v>101</v>
      </c>
      <c r="F36" s="322" t="s">
        <v>96</v>
      </c>
      <c r="G36" s="72" t="s">
        <v>117</v>
      </c>
      <c r="H36" s="73" t="s">
        <v>124</v>
      </c>
      <c r="I36" s="73">
        <v>27090000</v>
      </c>
      <c r="J36" s="74">
        <v>41797</v>
      </c>
      <c r="K36" s="75" t="s">
        <v>37</v>
      </c>
      <c r="L36" s="76" t="s">
        <v>127</v>
      </c>
      <c r="M36" s="73" t="s">
        <v>141</v>
      </c>
      <c r="N36" s="77" t="s">
        <v>129</v>
      </c>
      <c r="O36" s="78">
        <v>654716</v>
      </c>
      <c r="P36" s="79">
        <f t="shared" si="5"/>
        <v>73339976.887999997</v>
      </c>
      <c r="Q36" s="79">
        <f t="shared" si="6"/>
        <v>11421234600.768238</v>
      </c>
      <c r="R36" s="79" t="s">
        <v>25</v>
      </c>
      <c r="S36" s="80">
        <v>112.018</v>
      </c>
      <c r="T36" s="81">
        <f t="shared" si="7"/>
        <v>41887</v>
      </c>
      <c r="U36" s="82" t="s">
        <v>97</v>
      </c>
      <c r="V36" s="79">
        <f t="shared" si="8"/>
        <v>88007.972265599994</v>
      </c>
      <c r="W36" s="80">
        <v>155.72999999999999</v>
      </c>
      <c r="X36" s="79">
        <f t="shared" si="9"/>
        <v>13705481.520921886</v>
      </c>
      <c r="Y36" s="79" t="s">
        <v>97</v>
      </c>
      <c r="Z36" s="84" t="s">
        <v>97</v>
      </c>
      <c r="AA36" s="83" t="s">
        <v>97</v>
      </c>
    </row>
    <row r="37" spans="1:27" s="85" customFormat="1" ht="90.75" customHeight="1" x14ac:dyDescent="0.45">
      <c r="A37" s="271">
        <v>8</v>
      </c>
      <c r="B37" s="71" t="s">
        <v>57</v>
      </c>
      <c r="C37" s="75" t="s">
        <v>84</v>
      </c>
      <c r="D37" s="290">
        <v>41827</v>
      </c>
      <c r="E37" s="322" t="s">
        <v>102</v>
      </c>
      <c r="F37" s="322" t="s">
        <v>96</v>
      </c>
      <c r="G37" s="72" t="s">
        <v>117</v>
      </c>
      <c r="H37" s="73" t="s">
        <v>124</v>
      </c>
      <c r="I37" s="73">
        <v>27090000</v>
      </c>
      <c r="J37" s="74">
        <v>41800</v>
      </c>
      <c r="K37" s="75" t="s">
        <v>38</v>
      </c>
      <c r="L37" s="76" t="s">
        <v>127</v>
      </c>
      <c r="M37" s="73" t="s">
        <v>144</v>
      </c>
      <c r="N37" s="77" t="s">
        <v>132</v>
      </c>
      <c r="O37" s="78">
        <v>910254</v>
      </c>
      <c r="P37" s="79">
        <f t="shared" si="5"/>
        <v>102884189.112</v>
      </c>
      <c r="Q37" s="79">
        <f t="shared" si="6"/>
        <v>16022154770.41176</v>
      </c>
      <c r="R37" s="79" t="s">
        <v>25</v>
      </c>
      <c r="S37" s="80">
        <v>113.02800000000001</v>
      </c>
      <c r="T37" s="81">
        <f t="shared" si="7"/>
        <v>41890</v>
      </c>
      <c r="U37" s="82" t="s">
        <v>97</v>
      </c>
      <c r="V37" s="79">
        <f t="shared" si="8"/>
        <v>123461.0269344</v>
      </c>
      <c r="W37" s="80">
        <v>155.72999999999999</v>
      </c>
      <c r="X37" s="79">
        <f t="shared" si="9"/>
        <v>19226585.724494111</v>
      </c>
      <c r="Y37" s="79" t="s">
        <v>97</v>
      </c>
      <c r="Z37" s="84" t="s">
        <v>97</v>
      </c>
      <c r="AA37" s="83" t="s">
        <v>97</v>
      </c>
    </row>
    <row r="38" spans="1:27" s="85" customFormat="1" ht="90.75" customHeight="1" x14ac:dyDescent="0.45">
      <c r="A38" s="271">
        <v>9</v>
      </c>
      <c r="B38" s="71" t="s">
        <v>58</v>
      </c>
      <c r="C38" s="75" t="s">
        <v>78</v>
      </c>
      <c r="D38" s="290" t="s">
        <v>78</v>
      </c>
      <c r="E38" s="323" t="s">
        <v>103</v>
      </c>
      <c r="F38" s="322" t="s">
        <v>94</v>
      </c>
      <c r="G38" s="72" t="s">
        <v>116</v>
      </c>
      <c r="H38" s="73" t="s">
        <v>123</v>
      </c>
      <c r="I38" s="73">
        <v>27090000</v>
      </c>
      <c r="J38" s="74">
        <v>41801</v>
      </c>
      <c r="K38" s="75" t="s">
        <v>39</v>
      </c>
      <c r="L38" s="76" t="s">
        <v>126</v>
      </c>
      <c r="M38" s="73" t="s">
        <v>145</v>
      </c>
      <c r="N38" s="77" t="s">
        <v>133</v>
      </c>
      <c r="O38" s="78">
        <v>500779</v>
      </c>
      <c r="P38" s="79">
        <f t="shared" si="5"/>
        <v>56861452.334000006</v>
      </c>
      <c r="Q38" s="79">
        <f t="shared" si="6"/>
        <v>8855033971.9738197</v>
      </c>
      <c r="R38" s="79" t="s">
        <v>25</v>
      </c>
      <c r="S38" s="80">
        <v>113.54600000000001</v>
      </c>
      <c r="T38" s="81">
        <f t="shared" si="7"/>
        <v>41891</v>
      </c>
      <c r="U38" s="82" t="s">
        <v>97</v>
      </c>
      <c r="V38" s="79">
        <f t="shared" si="8"/>
        <v>68233.742800799999</v>
      </c>
      <c r="W38" s="80">
        <v>155.72999999999999</v>
      </c>
      <c r="X38" s="79">
        <f t="shared" si="9"/>
        <v>10626040.766368583</v>
      </c>
      <c r="Y38" s="79" t="s">
        <v>97</v>
      </c>
      <c r="Z38" s="84" t="s">
        <v>97</v>
      </c>
      <c r="AA38" s="83" t="s">
        <v>97</v>
      </c>
    </row>
    <row r="39" spans="1:27" s="85" customFormat="1" ht="90.75" customHeight="1" x14ac:dyDescent="0.45">
      <c r="A39" s="271">
        <v>10</v>
      </c>
      <c r="B39" s="71" t="s">
        <v>59</v>
      </c>
      <c r="C39" s="75" t="s">
        <v>78</v>
      </c>
      <c r="D39" s="290" t="s">
        <v>78</v>
      </c>
      <c r="E39" s="322" t="s">
        <v>97</v>
      </c>
      <c r="F39" s="322" t="s">
        <v>97</v>
      </c>
      <c r="G39" s="72" t="s">
        <v>118</v>
      </c>
      <c r="H39" s="73" t="s">
        <v>123</v>
      </c>
      <c r="I39" s="73">
        <v>27090000</v>
      </c>
      <c r="J39" s="74">
        <v>41801</v>
      </c>
      <c r="K39" s="75" t="s">
        <v>39</v>
      </c>
      <c r="L39" s="76" t="s">
        <v>126</v>
      </c>
      <c r="M39" s="73" t="s">
        <v>145</v>
      </c>
      <c r="N39" s="77" t="s">
        <v>133</v>
      </c>
      <c r="O39" s="78">
        <v>138475</v>
      </c>
      <c r="P39" s="79">
        <f t="shared" si="5"/>
        <v>15723282.350000001</v>
      </c>
      <c r="Q39" s="79">
        <f t="shared" si="6"/>
        <v>2448586760.3655</v>
      </c>
      <c r="R39" s="79" t="s">
        <v>25</v>
      </c>
      <c r="S39" s="80">
        <v>113.54600000000001</v>
      </c>
      <c r="T39" s="81">
        <f t="shared" si="7"/>
        <v>41891</v>
      </c>
      <c r="U39" s="82" t="s">
        <v>97</v>
      </c>
      <c r="V39" s="79">
        <f t="shared" si="8"/>
        <v>18867.938819999999</v>
      </c>
      <c r="W39" s="80">
        <v>155.72999999999999</v>
      </c>
      <c r="X39" s="79">
        <f t="shared" si="9"/>
        <v>2938304.1124385996</v>
      </c>
      <c r="Y39" s="79" t="s">
        <v>97</v>
      </c>
      <c r="Z39" s="84" t="s">
        <v>97</v>
      </c>
      <c r="AA39" s="83" t="s">
        <v>97</v>
      </c>
    </row>
    <row r="40" spans="1:27" s="85" customFormat="1" ht="90.75" customHeight="1" x14ac:dyDescent="0.45">
      <c r="A40" s="271">
        <v>11</v>
      </c>
      <c r="B40" s="71" t="s">
        <v>60</v>
      </c>
      <c r="C40" s="75" t="s">
        <v>78</v>
      </c>
      <c r="D40" s="290" t="s">
        <v>78</v>
      </c>
      <c r="E40" s="323" t="s">
        <v>104</v>
      </c>
      <c r="F40" s="322" t="s">
        <v>105</v>
      </c>
      <c r="G40" s="72" t="s">
        <v>119</v>
      </c>
      <c r="H40" s="73" t="s">
        <v>123</v>
      </c>
      <c r="I40" s="73">
        <v>27090000</v>
      </c>
      <c r="J40" s="74">
        <v>41801</v>
      </c>
      <c r="K40" s="75" t="s">
        <v>39</v>
      </c>
      <c r="L40" s="76" t="s">
        <v>126</v>
      </c>
      <c r="M40" s="73" t="s">
        <v>145</v>
      </c>
      <c r="N40" s="77" t="s">
        <v>133</v>
      </c>
      <c r="O40" s="78">
        <v>162350</v>
      </c>
      <c r="P40" s="79">
        <f t="shared" ref="P40:P50" si="15">O40*S40</f>
        <v>18434193.100000001</v>
      </c>
      <c r="Q40" s="79">
        <f t="shared" ref="Q40:Q50" si="16">P40*W40</f>
        <v>2870756891.4629998</v>
      </c>
      <c r="R40" s="79" t="s">
        <v>25</v>
      </c>
      <c r="S40" s="80">
        <v>113.54600000000001</v>
      </c>
      <c r="T40" s="81">
        <f t="shared" ref="T40:T50" si="17">J40+90</f>
        <v>41891</v>
      </c>
      <c r="U40" s="82" t="s">
        <v>97</v>
      </c>
      <c r="V40" s="79">
        <f t="shared" ref="V40:V50" si="18">P40*0.12%</f>
        <v>22121.031719999999</v>
      </c>
      <c r="W40" s="80">
        <v>155.72999999999999</v>
      </c>
      <c r="X40" s="79">
        <f t="shared" ref="X40:X50" si="19">V40*W40</f>
        <v>3444908.2697555996</v>
      </c>
      <c r="Y40" s="79" t="s">
        <v>97</v>
      </c>
      <c r="Z40" s="84" t="s">
        <v>97</v>
      </c>
      <c r="AA40" s="83" t="s">
        <v>97</v>
      </c>
    </row>
    <row r="41" spans="1:27" s="85" customFormat="1" ht="90.75" customHeight="1" x14ac:dyDescent="0.45">
      <c r="A41" s="271">
        <v>12</v>
      </c>
      <c r="B41" s="71" t="s">
        <v>61</v>
      </c>
      <c r="C41" s="71" t="s">
        <v>78</v>
      </c>
      <c r="D41" s="290" t="s">
        <v>78</v>
      </c>
      <c r="E41" s="322" t="s">
        <v>97</v>
      </c>
      <c r="F41" s="322" t="s">
        <v>97</v>
      </c>
      <c r="G41" s="72" t="s">
        <v>120</v>
      </c>
      <c r="H41" s="73" t="s">
        <v>123</v>
      </c>
      <c r="I41" s="73">
        <v>27090000</v>
      </c>
      <c r="J41" s="74">
        <v>41801</v>
      </c>
      <c r="K41" s="75" t="s">
        <v>39</v>
      </c>
      <c r="L41" s="76" t="s">
        <v>126</v>
      </c>
      <c r="M41" s="73" t="s">
        <v>145</v>
      </c>
      <c r="N41" s="77" t="s">
        <v>133</v>
      </c>
      <c r="O41" s="78">
        <v>152800</v>
      </c>
      <c r="P41" s="79">
        <f t="shared" si="15"/>
        <v>17349828.800000001</v>
      </c>
      <c r="Q41" s="79">
        <f t="shared" si="16"/>
        <v>2701888839.0240002</v>
      </c>
      <c r="R41" s="79" t="s">
        <v>25</v>
      </c>
      <c r="S41" s="80">
        <v>113.54600000000001</v>
      </c>
      <c r="T41" s="81">
        <f t="shared" si="17"/>
        <v>41891</v>
      </c>
      <c r="U41" s="82" t="s">
        <v>97</v>
      </c>
      <c r="V41" s="79">
        <f t="shared" si="18"/>
        <v>20819.794559999998</v>
      </c>
      <c r="W41" s="80">
        <v>155.72999999999999</v>
      </c>
      <c r="X41" s="79">
        <f t="shared" si="19"/>
        <v>3242266.6068287995</v>
      </c>
      <c r="Y41" s="79" t="s">
        <v>97</v>
      </c>
      <c r="Z41" s="84" t="s">
        <v>97</v>
      </c>
      <c r="AA41" s="83" t="s">
        <v>97</v>
      </c>
    </row>
    <row r="42" spans="1:27" s="85" customFormat="1" ht="90.75" customHeight="1" x14ac:dyDescent="0.45">
      <c r="A42" s="271">
        <v>13</v>
      </c>
      <c r="B42" s="71" t="s">
        <v>62</v>
      </c>
      <c r="C42" s="71" t="s">
        <v>78</v>
      </c>
      <c r="D42" s="290" t="s">
        <v>78</v>
      </c>
      <c r="E42" s="322" t="s">
        <v>97</v>
      </c>
      <c r="F42" s="322" t="s">
        <v>97</v>
      </c>
      <c r="G42" s="72" t="s">
        <v>121</v>
      </c>
      <c r="H42" s="73" t="s">
        <v>124</v>
      </c>
      <c r="I42" s="73">
        <v>27090000</v>
      </c>
      <c r="J42" s="74">
        <v>41802</v>
      </c>
      <c r="K42" s="75" t="s">
        <v>40</v>
      </c>
      <c r="L42" s="76" t="s">
        <v>127</v>
      </c>
      <c r="M42" s="73" t="s">
        <v>141</v>
      </c>
      <c r="N42" s="77" t="s">
        <v>134</v>
      </c>
      <c r="O42" s="78">
        <v>950058</v>
      </c>
      <c r="P42" s="79">
        <f t="shared" si="15"/>
        <v>108367415.712</v>
      </c>
      <c r="Q42" s="79">
        <f t="shared" si="16"/>
        <v>16876057648.829758</v>
      </c>
      <c r="R42" s="79" t="s">
        <v>25</v>
      </c>
      <c r="S42" s="80">
        <v>114.06399999999999</v>
      </c>
      <c r="T42" s="81">
        <f t="shared" si="17"/>
        <v>41892</v>
      </c>
      <c r="U42" s="82" t="s">
        <v>97</v>
      </c>
      <c r="V42" s="79">
        <f t="shared" si="18"/>
        <v>130040.89885439999</v>
      </c>
      <c r="W42" s="80">
        <v>155.72999999999999</v>
      </c>
      <c r="X42" s="79">
        <f t="shared" si="19"/>
        <v>20251269.178595711</v>
      </c>
      <c r="Y42" s="79" t="s">
        <v>97</v>
      </c>
      <c r="Z42" s="84" t="s">
        <v>97</v>
      </c>
      <c r="AA42" s="83" t="s">
        <v>97</v>
      </c>
    </row>
    <row r="43" spans="1:27" s="85" customFormat="1" ht="90.75" customHeight="1" x14ac:dyDescent="0.45">
      <c r="A43" s="271">
        <v>14</v>
      </c>
      <c r="B43" s="71" t="s">
        <v>63</v>
      </c>
      <c r="C43" s="71" t="s">
        <v>78</v>
      </c>
      <c r="D43" s="290" t="s">
        <v>78</v>
      </c>
      <c r="E43" s="322" t="s">
        <v>97</v>
      </c>
      <c r="F43" s="322" t="s">
        <v>97</v>
      </c>
      <c r="G43" s="72" t="s">
        <v>121</v>
      </c>
      <c r="H43" s="73" t="s">
        <v>124</v>
      </c>
      <c r="I43" s="73">
        <v>27090000</v>
      </c>
      <c r="J43" s="74">
        <v>41803</v>
      </c>
      <c r="K43" s="75" t="s">
        <v>40</v>
      </c>
      <c r="L43" s="76" t="s">
        <v>127</v>
      </c>
      <c r="M43" s="73" t="s">
        <v>141</v>
      </c>
      <c r="N43" s="77" t="s">
        <v>134</v>
      </c>
      <c r="O43" s="78">
        <v>949440</v>
      </c>
      <c r="P43" s="79">
        <f t="shared" si="15"/>
        <v>109089706.56</v>
      </c>
      <c r="Q43" s="79">
        <f t="shared" si="16"/>
        <v>16988540002.588799</v>
      </c>
      <c r="R43" s="79" t="s">
        <v>25</v>
      </c>
      <c r="S43" s="80">
        <v>114.899</v>
      </c>
      <c r="T43" s="81">
        <f t="shared" si="17"/>
        <v>41893</v>
      </c>
      <c r="U43" s="82" t="s">
        <v>97</v>
      </c>
      <c r="V43" s="79">
        <f t="shared" si="18"/>
        <v>130907.64787199999</v>
      </c>
      <c r="W43" s="80">
        <v>155.72999999999999</v>
      </c>
      <c r="X43" s="79">
        <f t="shared" si="19"/>
        <v>20386248.003106557</v>
      </c>
      <c r="Y43" s="79" t="s">
        <v>97</v>
      </c>
      <c r="Z43" s="84" t="s">
        <v>97</v>
      </c>
      <c r="AA43" s="83" t="s">
        <v>97</v>
      </c>
    </row>
    <row r="44" spans="1:27" s="85" customFormat="1" ht="90.75" customHeight="1" x14ac:dyDescent="0.45">
      <c r="A44" s="329">
        <v>15</v>
      </c>
      <c r="B44" s="71" t="s">
        <v>64</v>
      </c>
      <c r="C44" s="71" t="s">
        <v>78</v>
      </c>
      <c r="D44" s="290" t="s">
        <v>78</v>
      </c>
      <c r="E44" s="327" t="s">
        <v>106</v>
      </c>
      <c r="F44" s="322" t="s">
        <v>107</v>
      </c>
      <c r="G44" s="72" t="s">
        <v>122</v>
      </c>
      <c r="H44" s="73" t="s">
        <v>123</v>
      </c>
      <c r="I44" s="73">
        <v>27090000</v>
      </c>
      <c r="J44" s="74">
        <v>41806</v>
      </c>
      <c r="K44" s="75" t="s">
        <v>41</v>
      </c>
      <c r="L44" s="76" t="s">
        <v>126</v>
      </c>
      <c r="M44" s="73" t="s">
        <v>146</v>
      </c>
      <c r="N44" s="77" t="s">
        <v>135</v>
      </c>
      <c r="O44" s="78">
        <v>820000</v>
      </c>
      <c r="P44" s="79">
        <f t="shared" si="15"/>
        <v>95311060</v>
      </c>
      <c r="Q44" s="79">
        <f t="shared" si="16"/>
        <v>14842791373.799999</v>
      </c>
      <c r="R44" s="79" t="s">
        <v>25</v>
      </c>
      <c r="S44" s="80">
        <v>116.233</v>
      </c>
      <c r="T44" s="81">
        <f t="shared" si="17"/>
        <v>41896</v>
      </c>
      <c r="U44" s="82" t="s">
        <v>97</v>
      </c>
      <c r="V44" s="79">
        <f t="shared" si="18"/>
        <v>114373.272</v>
      </c>
      <c r="W44" s="80">
        <v>155.72999999999999</v>
      </c>
      <c r="X44" s="79">
        <f t="shared" si="19"/>
        <v>17811349.648559999</v>
      </c>
      <c r="Y44" s="79" t="s">
        <v>97</v>
      </c>
      <c r="Z44" s="84" t="s">
        <v>97</v>
      </c>
      <c r="AA44" s="83" t="s">
        <v>97</v>
      </c>
    </row>
    <row r="45" spans="1:27" s="85" customFormat="1" ht="90.75" customHeight="1" x14ac:dyDescent="0.45">
      <c r="A45" s="330"/>
      <c r="B45" s="71" t="s">
        <v>65</v>
      </c>
      <c r="C45" s="71" t="s">
        <v>78</v>
      </c>
      <c r="D45" s="290" t="s">
        <v>78</v>
      </c>
      <c r="E45" s="328"/>
      <c r="F45" s="322" t="s">
        <v>107</v>
      </c>
      <c r="G45" s="72" t="s">
        <v>122</v>
      </c>
      <c r="H45" s="73" t="s">
        <v>123</v>
      </c>
      <c r="I45" s="73">
        <v>27090000</v>
      </c>
      <c r="J45" s="74">
        <v>41806</v>
      </c>
      <c r="K45" s="75" t="s">
        <v>41</v>
      </c>
      <c r="L45" s="76" t="s">
        <v>126</v>
      </c>
      <c r="M45" s="73" t="s">
        <v>146</v>
      </c>
      <c r="N45" s="77" t="s">
        <v>135</v>
      </c>
      <c r="O45" s="78">
        <v>179591</v>
      </c>
      <c r="P45" s="79">
        <f t="shared" si="15"/>
        <v>20874400.703000002</v>
      </c>
      <c r="Q45" s="79">
        <f t="shared" si="16"/>
        <v>3250770421.4781899</v>
      </c>
      <c r="R45" s="79" t="s">
        <v>25</v>
      </c>
      <c r="S45" s="80">
        <v>116.233</v>
      </c>
      <c r="T45" s="81">
        <f t="shared" si="17"/>
        <v>41896</v>
      </c>
      <c r="U45" s="82" t="s">
        <v>97</v>
      </c>
      <c r="V45" s="79">
        <f t="shared" si="18"/>
        <v>25049.280843600001</v>
      </c>
      <c r="W45" s="80">
        <v>155.72999999999999</v>
      </c>
      <c r="X45" s="79">
        <f t="shared" si="19"/>
        <v>3900924.5057738279</v>
      </c>
      <c r="Y45" s="79" t="s">
        <v>97</v>
      </c>
      <c r="Z45" s="84" t="s">
        <v>97</v>
      </c>
      <c r="AA45" s="83" t="s">
        <v>97</v>
      </c>
    </row>
    <row r="46" spans="1:27" s="85" customFormat="1" ht="90.75" customHeight="1" x14ac:dyDescent="0.45">
      <c r="A46" s="271">
        <v>16</v>
      </c>
      <c r="B46" s="71" t="s">
        <v>66</v>
      </c>
      <c r="C46" s="75" t="s">
        <v>78</v>
      </c>
      <c r="D46" s="290" t="s">
        <v>78</v>
      </c>
      <c r="E46" s="322" t="s">
        <v>97</v>
      </c>
      <c r="F46" s="322" t="s">
        <v>97</v>
      </c>
      <c r="G46" s="72" t="s">
        <v>117</v>
      </c>
      <c r="H46" s="73" t="s">
        <v>123</v>
      </c>
      <c r="I46" s="73">
        <v>27090000</v>
      </c>
      <c r="J46" s="74">
        <v>41807</v>
      </c>
      <c r="K46" s="75" t="s">
        <v>42</v>
      </c>
      <c r="L46" s="76" t="s">
        <v>126</v>
      </c>
      <c r="M46" s="73" t="s">
        <v>147</v>
      </c>
      <c r="N46" s="77" t="s">
        <v>136</v>
      </c>
      <c r="O46" s="78">
        <v>80000</v>
      </c>
      <c r="P46" s="79">
        <f t="shared" si="15"/>
        <v>9338160</v>
      </c>
      <c r="Q46" s="79">
        <f t="shared" si="16"/>
        <v>1454231656.8</v>
      </c>
      <c r="R46" s="79" t="s">
        <v>25</v>
      </c>
      <c r="S46" s="80">
        <v>116.727</v>
      </c>
      <c r="T46" s="81">
        <f t="shared" si="17"/>
        <v>41897</v>
      </c>
      <c r="U46" s="82" t="s">
        <v>97</v>
      </c>
      <c r="V46" s="79">
        <f t="shared" si="18"/>
        <v>11205.791999999999</v>
      </c>
      <c r="W46" s="80">
        <v>155.72999999999999</v>
      </c>
      <c r="X46" s="79">
        <f t="shared" si="19"/>
        <v>1745077.9881599997</v>
      </c>
      <c r="Y46" s="79" t="s">
        <v>97</v>
      </c>
      <c r="Z46" s="84" t="s">
        <v>97</v>
      </c>
      <c r="AA46" s="83" t="s">
        <v>97</v>
      </c>
    </row>
    <row r="47" spans="1:27" s="85" customFormat="1" ht="90.75" customHeight="1" x14ac:dyDescent="0.45">
      <c r="A47" s="271">
        <v>17</v>
      </c>
      <c r="B47" s="71" t="s">
        <v>67</v>
      </c>
      <c r="C47" s="75" t="s">
        <v>78</v>
      </c>
      <c r="D47" s="290" t="s">
        <v>78</v>
      </c>
      <c r="E47" s="322" t="s">
        <v>97</v>
      </c>
      <c r="F47" s="322" t="s">
        <v>97</v>
      </c>
      <c r="G47" s="72" t="s">
        <v>117</v>
      </c>
      <c r="H47" s="73" t="s">
        <v>123</v>
      </c>
      <c r="I47" s="73">
        <v>27090000</v>
      </c>
      <c r="J47" s="74">
        <v>41807</v>
      </c>
      <c r="K47" s="75" t="s">
        <v>42</v>
      </c>
      <c r="L47" s="76" t="s">
        <v>126</v>
      </c>
      <c r="M47" s="73" t="s">
        <v>147</v>
      </c>
      <c r="N47" s="77" t="s">
        <v>136</v>
      </c>
      <c r="O47" s="78">
        <v>968987</v>
      </c>
      <c r="P47" s="79">
        <f t="shared" si="15"/>
        <v>113106945.54900001</v>
      </c>
      <c r="Q47" s="79">
        <f t="shared" si="16"/>
        <v>17614144630.345772</v>
      </c>
      <c r="R47" s="79" t="s">
        <v>25</v>
      </c>
      <c r="S47" s="80">
        <v>116.727</v>
      </c>
      <c r="T47" s="81">
        <f t="shared" si="17"/>
        <v>41897</v>
      </c>
      <c r="U47" s="82" t="s">
        <v>97</v>
      </c>
      <c r="V47" s="79">
        <f t="shared" si="18"/>
        <v>135728.33465880001</v>
      </c>
      <c r="W47" s="80">
        <v>155.72999999999999</v>
      </c>
      <c r="X47" s="79">
        <f t="shared" si="19"/>
        <v>21136973.556414925</v>
      </c>
      <c r="Y47" s="79" t="s">
        <v>97</v>
      </c>
      <c r="Z47" s="84" t="s">
        <v>97</v>
      </c>
      <c r="AA47" s="83" t="s">
        <v>97</v>
      </c>
    </row>
    <row r="48" spans="1:27" s="85" customFormat="1" ht="90.75" customHeight="1" x14ac:dyDescent="0.45">
      <c r="A48" s="271">
        <v>18</v>
      </c>
      <c r="B48" s="71" t="s">
        <v>68</v>
      </c>
      <c r="C48" s="71" t="s">
        <v>85</v>
      </c>
      <c r="D48" s="290">
        <v>41827</v>
      </c>
      <c r="E48" s="322" t="s">
        <v>108</v>
      </c>
      <c r="F48" s="322" t="s">
        <v>96</v>
      </c>
      <c r="G48" s="72" t="s">
        <v>117</v>
      </c>
      <c r="H48" s="73" t="s">
        <v>124</v>
      </c>
      <c r="I48" s="73">
        <v>27090000</v>
      </c>
      <c r="J48" s="74">
        <v>41807</v>
      </c>
      <c r="K48" s="75" t="s">
        <v>43</v>
      </c>
      <c r="L48" s="76" t="s">
        <v>127</v>
      </c>
      <c r="M48" s="73" t="s">
        <v>141</v>
      </c>
      <c r="N48" s="77" t="s">
        <v>129</v>
      </c>
      <c r="O48" s="78">
        <v>950101</v>
      </c>
      <c r="P48" s="79">
        <f t="shared" si="15"/>
        <v>110902439.427</v>
      </c>
      <c r="Q48" s="79">
        <f t="shared" si="16"/>
        <v>17270836891.966709</v>
      </c>
      <c r="R48" s="79" t="s">
        <v>25</v>
      </c>
      <c r="S48" s="80">
        <v>116.727</v>
      </c>
      <c r="T48" s="81">
        <f t="shared" si="17"/>
        <v>41897</v>
      </c>
      <c r="U48" s="82" t="s">
        <v>97</v>
      </c>
      <c r="V48" s="79">
        <f t="shared" si="18"/>
        <v>133082.92731239999</v>
      </c>
      <c r="W48" s="80">
        <v>155.72999999999999</v>
      </c>
      <c r="X48" s="79">
        <f t="shared" si="19"/>
        <v>20725004.270360049</v>
      </c>
      <c r="Y48" s="79" t="s">
        <v>97</v>
      </c>
      <c r="Z48" s="84" t="s">
        <v>97</v>
      </c>
      <c r="AA48" s="83" t="s">
        <v>97</v>
      </c>
    </row>
    <row r="49" spans="1:27" s="85" customFormat="1" ht="90.75" customHeight="1" x14ac:dyDescent="0.45">
      <c r="A49" s="271">
        <v>19</v>
      </c>
      <c r="B49" s="71" t="s">
        <v>69</v>
      </c>
      <c r="C49" s="71" t="s">
        <v>86</v>
      </c>
      <c r="D49" s="290">
        <v>41827</v>
      </c>
      <c r="E49" s="322" t="s">
        <v>109</v>
      </c>
      <c r="F49" s="322" t="s">
        <v>96</v>
      </c>
      <c r="G49" s="72" t="s">
        <v>117</v>
      </c>
      <c r="H49" s="73" t="s">
        <v>124</v>
      </c>
      <c r="I49" s="73">
        <v>27090000</v>
      </c>
      <c r="J49" s="74">
        <v>41808</v>
      </c>
      <c r="K49" s="75" t="s">
        <v>44</v>
      </c>
      <c r="L49" s="76" t="s">
        <v>127</v>
      </c>
      <c r="M49" s="73" t="s">
        <v>142</v>
      </c>
      <c r="N49" s="77" t="s">
        <v>137</v>
      </c>
      <c r="O49" s="78">
        <v>949800</v>
      </c>
      <c r="P49" s="79">
        <f t="shared" si="15"/>
        <v>111108553.8</v>
      </c>
      <c r="Q49" s="79">
        <f t="shared" si="16"/>
        <v>17302935083.273998</v>
      </c>
      <c r="R49" s="79" t="s">
        <v>25</v>
      </c>
      <c r="S49" s="80">
        <v>116.98099999999999</v>
      </c>
      <c r="T49" s="81">
        <f t="shared" si="17"/>
        <v>41898</v>
      </c>
      <c r="U49" s="82" t="s">
        <v>97</v>
      </c>
      <c r="V49" s="79">
        <f t="shared" si="18"/>
        <v>133330.26455999998</v>
      </c>
      <c r="W49" s="80">
        <v>155.72999999999999</v>
      </c>
      <c r="X49" s="79">
        <f t="shared" si="19"/>
        <v>20763522.099928796</v>
      </c>
      <c r="Y49" s="79" t="s">
        <v>97</v>
      </c>
      <c r="Z49" s="84" t="s">
        <v>97</v>
      </c>
      <c r="AA49" s="83" t="s">
        <v>97</v>
      </c>
    </row>
    <row r="50" spans="1:27" s="85" customFormat="1" ht="90.75" customHeight="1" x14ac:dyDescent="0.45">
      <c r="A50" s="271">
        <v>20</v>
      </c>
      <c r="B50" s="71" t="s">
        <v>70</v>
      </c>
      <c r="C50" s="71" t="s">
        <v>78</v>
      </c>
      <c r="D50" s="290" t="s">
        <v>78</v>
      </c>
      <c r="E50" s="322" t="s">
        <v>97</v>
      </c>
      <c r="F50" s="322" t="s">
        <v>97</v>
      </c>
      <c r="G50" s="72" t="s">
        <v>121</v>
      </c>
      <c r="H50" s="73" t="s">
        <v>124</v>
      </c>
      <c r="I50" s="73">
        <v>27090000</v>
      </c>
      <c r="J50" s="74">
        <v>41811</v>
      </c>
      <c r="K50" s="75" t="s">
        <v>43</v>
      </c>
      <c r="L50" s="76" t="s">
        <v>127</v>
      </c>
      <c r="M50" s="73" t="s">
        <v>141</v>
      </c>
      <c r="N50" s="77" t="s">
        <v>129</v>
      </c>
      <c r="O50" s="78">
        <v>950098</v>
      </c>
      <c r="P50" s="79">
        <f t="shared" si="15"/>
        <v>111018951.3</v>
      </c>
      <c r="Q50" s="79">
        <f t="shared" si="16"/>
        <v>17288981285.948997</v>
      </c>
      <c r="R50" s="79" t="s">
        <v>25</v>
      </c>
      <c r="S50" s="80">
        <v>116.85</v>
      </c>
      <c r="T50" s="81">
        <f t="shared" si="17"/>
        <v>41901</v>
      </c>
      <c r="U50" s="82" t="s">
        <v>97</v>
      </c>
      <c r="V50" s="79">
        <f t="shared" si="18"/>
        <v>133222.74155999999</v>
      </c>
      <c r="W50" s="80">
        <v>155.72999999999999</v>
      </c>
      <c r="X50" s="79">
        <f t="shared" si="19"/>
        <v>20746777.543138798</v>
      </c>
      <c r="Y50" s="79" t="s">
        <v>97</v>
      </c>
      <c r="Z50" s="84" t="s">
        <v>97</v>
      </c>
      <c r="AA50" s="83" t="s">
        <v>97</v>
      </c>
    </row>
    <row r="51" spans="1:27" s="85" customFormat="1" ht="90.75" customHeight="1" x14ac:dyDescent="0.45">
      <c r="A51" s="271">
        <v>21</v>
      </c>
      <c r="B51" s="71" t="s">
        <v>71</v>
      </c>
      <c r="C51" s="71" t="s">
        <v>87</v>
      </c>
      <c r="D51" s="290">
        <v>41827</v>
      </c>
      <c r="E51" s="322" t="s">
        <v>110</v>
      </c>
      <c r="F51" s="322" t="s">
        <v>96</v>
      </c>
      <c r="G51" s="72" t="s">
        <v>117</v>
      </c>
      <c r="H51" s="73" t="s">
        <v>125</v>
      </c>
      <c r="I51" s="73">
        <v>27090000</v>
      </c>
      <c r="J51" s="74">
        <v>41812</v>
      </c>
      <c r="K51" s="75" t="s">
        <v>45</v>
      </c>
      <c r="L51" s="76" t="s">
        <v>128</v>
      </c>
      <c r="M51" s="73" t="s">
        <v>144</v>
      </c>
      <c r="N51" s="77" t="s">
        <v>132</v>
      </c>
      <c r="O51" s="78">
        <v>966595</v>
      </c>
      <c r="P51" s="79">
        <f t="shared" si="5"/>
        <v>114623668.07499999</v>
      </c>
      <c r="Q51" s="79">
        <f t="shared" si="6"/>
        <v>17850343829.319748</v>
      </c>
      <c r="R51" s="79" t="s">
        <v>25</v>
      </c>
      <c r="S51" s="80">
        <v>118.58499999999999</v>
      </c>
      <c r="T51" s="81">
        <f t="shared" si="7"/>
        <v>41902</v>
      </c>
      <c r="U51" s="82" t="s">
        <v>97</v>
      </c>
      <c r="V51" s="79">
        <f t="shared" si="8"/>
        <v>137548.40168999997</v>
      </c>
      <c r="W51" s="80">
        <v>155.72999999999999</v>
      </c>
      <c r="X51" s="79">
        <f t="shared" si="9"/>
        <v>21420412.595183693</v>
      </c>
      <c r="Y51" s="79" t="s">
        <v>97</v>
      </c>
      <c r="Z51" s="84" t="s">
        <v>97</v>
      </c>
      <c r="AA51" s="256" t="s">
        <v>97</v>
      </c>
    </row>
    <row r="52" spans="1:27" s="85" customFormat="1" ht="90.75" customHeight="1" x14ac:dyDescent="0.45">
      <c r="A52" s="271">
        <v>22</v>
      </c>
      <c r="B52" s="71" t="s">
        <v>72</v>
      </c>
      <c r="C52" s="71" t="s">
        <v>78</v>
      </c>
      <c r="D52" s="290" t="s">
        <v>78</v>
      </c>
      <c r="E52" s="322" t="s">
        <v>97</v>
      </c>
      <c r="F52" s="322" t="s">
        <v>97</v>
      </c>
      <c r="G52" s="72" t="s">
        <v>116</v>
      </c>
      <c r="H52" s="73" t="s">
        <v>123</v>
      </c>
      <c r="I52" s="73">
        <v>27090000</v>
      </c>
      <c r="J52" s="74">
        <v>41813</v>
      </c>
      <c r="K52" s="75" t="s">
        <v>46</v>
      </c>
      <c r="L52" s="76" t="s">
        <v>126</v>
      </c>
      <c r="M52" s="73" t="s">
        <v>148</v>
      </c>
      <c r="N52" s="77" t="s">
        <v>138</v>
      </c>
      <c r="O52" s="78">
        <v>647501</v>
      </c>
      <c r="P52" s="79">
        <f t="shared" si="5"/>
        <v>75227961.181999996</v>
      </c>
      <c r="Q52" s="79">
        <f t="shared" si="6"/>
        <v>11715250394.872858</v>
      </c>
      <c r="R52" s="79" t="s">
        <v>25</v>
      </c>
      <c r="S52" s="80">
        <v>116.182</v>
      </c>
      <c r="T52" s="81">
        <f t="shared" si="7"/>
        <v>41903</v>
      </c>
      <c r="U52" s="82" t="s">
        <v>97</v>
      </c>
      <c r="V52" s="79">
        <f t="shared" si="8"/>
        <v>90273.553418399984</v>
      </c>
      <c r="W52" s="80">
        <v>155.72999999999999</v>
      </c>
      <c r="X52" s="79">
        <f t="shared" si="9"/>
        <v>14058300.473847428</v>
      </c>
      <c r="Y52" s="79" t="s">
        <v>97</v>
      </c>
      <c r="Z52" s="84" t="s">
        <v>97</v>
      </c>
      <c r="AA52" s="83" t="s">
        <v>97</v>
      </c>
    </row>
    <row r="53" spans="1:27" s="85" customFormat="1" ht="90.75" customHeight="1" x14ac:dyDescent="0.45">
      <c r="A53" s="271">
        <v>23</v>
      </c>
      <c r="B53" s="71" t="s">
        <v>73</v>
      </c>
      <c r="C53" s="71" t="s">
        <v>88</v>
      </c>
      <c r="D53" s="290">
        <v>41827</v>
      </c>
      <c r="E53" s="322" t="s">
        <v>111</v>
      </c>
      <c r="F53" s="322" t="s">
        <v>96</v>
      </c>
      <c r="G53" s="72" t="s">
        <v>117</v>
      </c>
      <c r="H53" s="73" t="s">
        <v>124</v>
      </c>
      <c r="I53" s="73">
        <v>27090000</v>
      </c>
      <c r="J53" s="74">
        <v>41814</v>
      </c>
      <c r="K53" s="75" t="s">
        <v>47</v>
      </c>
      <c r="L53" s="76" t="s">
        <v>127</v>
      </c>
      <c r="M53" s="73" t="s">
        <v>144</v>
      </c>
      <c r="N53" s="77" t="s">
        <v>132</v>
      </c>
      <c r="O53" s="78">
        <v>950108</v>
      </c>
      <c r="P53" s="79">
        <f t="shared" si="5"/>
        <v>109984502.08</v>
      </c>
      <c r="Q53" s="79">
        <f t="shared" si="6"/>
        <v>17127886508.918398</v>
      </c>
      <c r="R53" s="79" t="s">
        <v>25</v>
      </c>
      <c r="S53" s="80">
        <v>115.76</v>
      </c>
      <c r="T53" s="81">
        <f t="shared" si="7"/>
        <v>41904</v>
      </c>
      <c r="U53" s="82" t="s">
        <v>97</v>
      </c>
      <c r="V53" s="79">
        <f t="shared" si="8"/>
        <v>131981.402496</v>
      </c>
      <c r="W53" s="80">
        <v>155.72999999999999</v>
      </c>
      <c r="X53" s="79">
        <f t="shared" si="9"/>
        <v>20553463.810702078</v>
      </c>
      <c r="Y53" s="79" t="s">
        <v>97</v>
      </c>
      <c r="Z53" s="84" t="s">
        <v>97</v>
      </c>
      <c r="AA53" s="83" t="s">
        <v>97</v>
      </c>
    </row>
    <row r="54" spans="1:27" s="85" customFormat="1" ht="90.75" customHeight="1" x14ac:dyDescent="0.45">
      <c r="A54" s="271">
        <v>24</v>
      </c>
      <c r="B54" s="71" t="s">
        <v>74</v>
      </c>
      <c r="C54" s="71" t="s">
        <v>89</v>
      </c>
      <c r="D54" s="290">
        <v>41827</v>
      </c>
      <c r="E54" s="322" t="s">
        <v>112</v>
      </c>
      <c r="F54" s="322" t="s">
        <v>96</v>
      </c>
      <c r="G54" s="72" t="s">
        <v>117</v>
      </c>
      <c r="H54" s="73" t="s">
        <v>124</v>
      </c>
      <c r="I54" s="73">
        <v>27090000</v>
      </c>
      <c r="J54" s="74">
        <v>41816</v>
      </c>
      <c r="K54" s="75" t="s">
        <v>48</v>
      </c>
      <c r="L54" s="76" t="s">
        <v>127</v>
      </c>
      <c r="M54" s="73" t="s">
        <v>149</v>
      </c>
      <c r="N54" s="77" t="s">
        <v>139</v>
      </c>
      <c r="O54" s="78">
        <v>949938</v>
      </c>
      <c r="P54" s="79">
        <f t="shared" si="5"/>
        <v>109565848.92</v>
      </c>
      <c r="Q54" s="79">
        <f t="shared" si="6"/>
        <v>17062689652.3116</v>
      </c>
      <c r="R54" s="79" t="s">
        <v>25</v>
      </c>
      <c r="S54" s="80">
        <v>115.34</v>
      </c>
      <c r="T54" s="81">
        <f t="shared" si="7"/>
        <v>41906</v>
      </c>
      <c r="U54" s="82" t="s">
        <v>97</v>
      </c>
      <c r="V54" s="79">
        <f t="shared" si="8"/>
        <v>131479.01870399999</v>
      </c>
      <c r="W54" s="80">
        <v>155.72999999999999</v>
      </c>
      <c r="X54" s="79">
        <f t="shared" si="9"/>
        <v>20475227.582773916</v>
      </c>
      <c r="Y54" s="79" t="s">
        <v>97</v>
      </c>
      <c r="Z54" s="84" t="s">
        <v>97</v>
      </c>
      <c r="AA54" s="83" t="s">
        <v>97</v>
      </c>
    </row>
    <row r="55" spans="1:27" s="85" customFormat="1" ht="90.75" customHeight="1" x14ac:dyDescent="0.45">
      <c r="A55" s="271">
        <v>25</v>
      </c>
      <c r="B55" s="71" t="s">
        <v>75</v>
      </c>
      <c r="C55" s="71" t="s">
        <v>90</v>
      </c>
      <c r="D55" s="290">
        <v>41827</v>
      </c>
      <c r="E55" s="322" t="s">
        <v>113</v>
      </c>
      <c r="F55" s="322" t="s">
        <v>96</v>
      </c>
      <c r="G55" s="72" t="s">
        <v>117</v>
      </c>
      <c r="H55" s="73" t="s">
        <v>123</v>
      </c>
      <c r="I55" s="73">
        <v>27090000</v>
      </c>
      <c r="J55" s="74">
        <v>41818</v>
      </c>
      <c r="K55" s="75" t="s">
        <v>49</v>
      </c>
      <c r="L55" s="76" t="s">
        <v>126</v>
      </c>
      <c r="M55" s="73" t="s">
        <v>140</v>
      </c>
      <c r="N55" s="77" t="s">
        <v>140</v>
      </c>
      <c r="O55" s="78">
        <v>100000</v>
      </c>
      <c r="P55" s="79">
        <f t="shared" si="5"/>
        <v>11444900</v>
      </c>
      <c r="Q55" s="79">
        <f t="shared" si="6"/>
        <v>1782314277</v>
      </c>
      <c r="R55" s="79" t="s">
        <v>25</v>
      </c>
      <c r="S55" s="80">
        <v>114.449</v>
      </c>
      <c r="T55" s="81">
        <f t="shared" si="7"/>
        <v>41908</v>
      </c>
      <c r="U55" s="82" t="s">
        <v>97</v>
      </c>
      <c r="V55" s="79">
        <f t="shared" si="8"/>
        <v>13733.88</v>
      </c>
      <c r="W55" s="80">
        <v>155.72999999999999</v>
      </c>
      <c r="X55" s="79">
        <f t="shared" si="9"/>
        <v>2138777.1323999995</v>
      </c>
      <c r="Y55" s="79" t="s">
        <v>97</v>
      </c>
      <c r="Z55" s="84" t="s">
        <v>97</v>
      </c>
      <c r="AA55" s="83" t="s">
        <v>97</v>
      </c>
    </row>
    <row r="56" spans="1:27" s="85" customFormat="1" ht="90.75" customHeight="1" x14ac:dyDescent="0.45">
      <c r="A56" s="271">
        <v>26</v>
      </c>
      <c r="B56" s="71" t="s">
        <v>76</v>
      </c>
      <c r="C56" s="71" t="s">
        <v>91</v>
      </c>
      <c r="D56" s="290">
        <v>41827</v>
      </c>
      <c r="E56" s="322" t="s">
        <v>114</v>
      </c>
      <c r="F56" s="322" t="s">
        <v>96</v>
      </c>
      <c r="G56" s="72" t="s">
        <v>117</v>
      </c>
      <c r="H56" s="73" t="s">
        <v>123</v>
      </c>
      <c r="I56" s="73">
        <v>27090000</v>
      </c>
      <c r="J56" s="74">
        <v>41818</v>
      </c>
      <c r="K56" s="75" t="s">
        <v>49</v>
      </c>
      <c r="L56" s="76" t="s">
        <v>126</v>
      </c>
      <c r="M56" s="73" t="s">
        <v>140</v>
      </c>
      <c r="N56" s="77" t="s">
        <v>140</v>
      </c>
      <c r="O56" s="78">
        <v>215000</v>
      </c>
      <c r="P56" s="79">
        <f t="shared" si="5"/>
        <v>24606535</v>
      </c>
      <c r="Q56" s="79">
        <f t="shared" si="6"/>
        <v>3831975695.5499997</v>
      </c>
      <c r="R56" s="79" t="s">
        <v>25</v>
      </c>
      <c r="S56" s="80">
        <v>114.449</v>
      </c>
      <c r="T56" s="81">
        <f t="shared" si="7"/>
        <v>41908</v>
      </c>
      <c r="U56" s="82" t="s">
        <v>97</v>
      </c>
      <c r="V56" s="79">
        <f t="shared" si="8"/>
        <v>29527.841999999997</v>
      </c>
      <c r="W56" s="80">
        <v>155.72999999999999</v>
      </c>
      <c r="X56" s="79">
        <f t="shared" si="9"/>
        <v>4598370.8346599992</v>
      </c>
      <c r="Y56" s="79" t="s">
        <v>97</v>
      </c>
      <c r="Z56" s="84" t="s">
        <v>97</v>
      </c>
      <c r="AA56" s="83" t="s">
        <v>97</v>
      </c>
    </row>
    <row r="57" spans="1:27" s="85" customFormat="1" ht="90.75" customHeight="1" x14ac:dyDescent="0.45">
      <c r="A57" s="271">
        <v>27</v>
      </c>
      <c r="B57" s="71" t="s">
        <v>77</v>
      </c>
      <c r="C57" s="71" t="s">
        <v>92</v>
      </c>
      <c r="D57" s="290">
        <v>41827</v>
      </c>
      <c r="E57" s="75" t="s">
        <v>115</v>
      </c>
      <c r="F57" s="322" t="s">
        <v>96</v>
      </c>
      <c r="G57" s="72" t="s">
        <v>117</v>
      </c>
      <c r="H57" s="73" t="s">
        <v>123</v>
      </c>
      <c r="I57" s="73">
        <v>27090000</v>
      </c>
      <c r="J57" s="74">
        <v>41818</v>
      </c>
      <c r="K57" s="75" t="s">
        <v>49</v>
      </c>
      <c r="L57" s="76" t="s">
        <v>126</v>
      </c>
      <c r="M57" s="73" t="s">
        <v>140</v>
      </c>
      <c r="N57" s="77" t="s">
        <v>140</v>
      </c>
      <c r="O57" s="78">
        <v>634126</v>
      </c>
      <c r="P57" s="79">
        <f t="shared" si="5"/>
        <v>72575086.574000001</v>
      </c>
      <c r="Q57" s="79">
        <f t="shared" si="6"/>
        <v>11302118232.16902</v>
      </c>
      <c r="R57" s="79" t="s">
        <v>25</v>
      </c>
      <c r="S57" s="80">
        <v>114.449</v>
      </c>
      <c r="T57" s="81">
        <f t="shared" si="7"/>
        <v>41908</v>
      </c>
      <c r="U57" s="82" t="s">
        <v>97</v>
      </c>
      <c r="V57" s="79">
        <f t="shared" si="8"/>
        <v>87090.103888799989</v>
      </c>
      <c r="W57" s="80">
        <v>155.72999999999999</v>
      </c>
      <c r="X57" s="79">
        <f t="shared" si="9"/>
        <v>13562541.878602821</v>
      </c>
      <c r="Y57" s="79" t="s">
        <v>97</v>
      </c>
      <c r="Z57" s="84" t="s">
        <v>97</v>
      </c>
      <c r="AA57" s="83" t="s">
        <v>97</v>
      </c>
    </row>
    <row r="58" spans="1:27" ht="48" customHeight="1" x14ac:dyDescent="0.45">
      <c r="A58" s="271"/>
      <c r="B58" s="71"/>
      <c r="C58" s="75"/>
      <c r="D58" s="290"/>
      <c r="E58" s="84"/>
      <c r="F58" s="75"/>
      <c r="G58" s="72"/>
      <c r="H58" s="73"/>
      <c r="I58" s="73"/>
      <c r="J58" s="86"/>
      <c r="K58" s="75"/>
      <c r="L58" s="87"/>
      <c r="M58" s="73"/>
      <c r="N58" s="77"/>
      <c r="O58" s="78"/>
      <c r="P58" s="79"/>
      <c r="Q58" s="79"/>
      <c r="R58" s="79"/>
      <c r="S58" s="80"/>
      <c r="T58" s="81"/>
      <c r="U58" s="82"/>
      <c r="V58" s="79"/>
      <c r="W58" s="80"/>
      <c r="X58" s="79"/>
      <c r="Y58" s="79"/>
      <c r="Z58" s="84"/>
      <c r="AA58" s="83"/>
    </row>
    <row r="59" spans="1:27" ht="48" customHeight="1" x14ac:dyDescent="0.45">
      <c r="A59" s="271"/>
      <c r="B59" s="73"/>
      <c r="C59" s="82"/>
      <c r="D59" s="290"/>
      <c r="E59" s="82"/>
      <c r="F59" s="82"/>
      <c r="G59" s="72"/>
      <c r="H59" s="73"/>
      <c r="I59" s="73"/>
      <c r="J59" s="74"/>
      <c r="K59" s="75"/>
      <c r="L59" s="75"/>
      <c r="M59" s="73"/>
      <c r="N59" s="291"/>
      <c r="O59" s="78"/>
      <c r="P59" s="79"/>
      <c r="Q59" s="79"/>
      <c r="R59" s="79"/>
      <c r="S59" s="80"/>
      <c r="T59" s="81"/>
      <c r="U59" s="75"/>
      <c r="V59" s="79"/>
      <c r="W59" s="80"/>
      <c r="X59" s="79"/>
      <c r="Y59" s="79"/>
      <c r="Z59" s="82"/>
      <c r="AA59" s="306"/>
    </row>
    <row r="60" spans="1:27" ht="53.25" customHeight="1" thickBot="1" x14ac:dyDescent="0.55000000000000004">
      <c r="A60" s="235"/>
      <c r="B60" s="236" t="s">
        <v>27</v>
      </c>
      <c r="C60" s="237"/>
      <c r="D60" s="238"/>
      <c r="E60" s="237"/>
      <c r="F60" s="237"/>
      <c r="G60" s="239"/>
      <c r="H60" s="236"/>
      <c r="I60" s="236"/>
      <c r="J60" s="240"/>
      <c r="K60" s="241"/>
      <c r="L60" s="241"/>
      <c r="M60" s="236"/>
      <c r="N60" s="242"/>
      <c r="O60" s="243">
        <f>SUM(O30:O57)</f>
        <v>16643801</v>
      </c>
      <c r="P60" s="244">
        <f>SUM(P30:P57)</f>
        <v>1911649005.4299998</v>
      </c>
      <c r="Q60" s="244">
        <f>SUM(Q30:Q57)</f>
        <v>297701099615.61377</v>
      </c>
      <c r="R60" s="244"/>
      <c r="S60" s="245"/>
      <c r="T60" s="246"/>
      <c r="U60" s="241"/>
      <c r="V60" s="244">
        <f>SUM(V30:V57)</f>
        <v>2293978.8065159996</v>
      </c>
      <c r="W60" s="245"/>
      <c r="X60" s="244">
        <f>SUM(X30:X57)</f>
        <v>357241319.53873664</v>
      </c>
      <c r="Y60" s="244">
        <f>SUM(Y30:Y57)</f>
        <v>0</v>
      </c>
      <c r="Z60" s="237"/>
      <c r="AA60" s="247"/>
    </row>
    <row r="61" spans="1:27" ht="15.75" customHeight="1" x14ac:dyDescent="0.2">
      <c r="A61" s="7"/>
      <c r="B61" s="8"/>
      <c r="C61" s="6"/>
      <c r="D61" s="17"/>
      <c r="E61" s="18"/>
      <c r="F61" s="6"/>
      <c r="G61" s="19"/>
      <c r="H61" s="6"/>
      <c r="I61" s="6"/>
      <c r="J61" s="20"/>
      <c r="K61" s="8"/>
      <c r="L61" s="8"/>
      <c r="M61" s="6"/>
      <c r="N61" s="6"/>
      <c r="O61" s="21"/>
      <c r="P61" s="22"/>
      <c r="Q61" s="22"/>
      <c r="R61" s="22"/>
      <c r="S61" s="27"/>
      <c r="V61" s="22"/>
      <c r="W61" s="27"/>
      <c r="X61" s="22"/>
      <c r="Y61" s="22"/>
      <c r="Z61" s="6"/>
      <c r="AA61" s="6"/>
    </row>
    <row r="62" spans="1:27" ht="15.75" customHeight="1" x14ac:dyDescent="0.2"/>
    <row r="63" spans="1:27" ht="15.75" customHeight="1" x14ac:dyDescent="0.2"/>
    <row r="72" spans="14:15" x14ac:dyDescent="0.2">
      <c r="N72" s="23"/>
      <c r="O72" s="24"/>
    </row>
  </sheetData>
  <mergeCells count="2">
    <mergeCell ref="E44:E45"/>
    <mergeCell ref="A44:A45"/>
  </mergeCells>
  <pageMargins left="0.31496062992125984" right="0.19685039370078741" top="0.15748031496062992" bottom="0.15748031496062992" header="0.31496062992125984" footer="0.31496062992125984"/>
  <pageSetup paperSize="9" scale="22" orientation="landscape" r:id="rId1"/>
  <headerFooter>
    <oddFooter>&amp;R2</oddFooter>
  </headerFooter>
  <rowBreaks count="1" manualBreakCount="1">
    <brk id="60" max="25" man="1"/>
  </rowBreaks>
  <colBreaks count="1" manualBreakCount="1">
    <brk id="14" max="42" man="1"/>
  </colBreaks>
  <ignoredErrors>
    <ignoredError sqref="E30:E5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0"/>
  <sheetViews>
    <sheetView topLeftCell="A28" zoomScale="30" zoomScaleNormal="30" zoomScaleSheetLayoutView="10" workbookViewId="0">
      <selection activeCell="D29" sqref="D29"/>
    </sheetView>
  </sheetViews>
  <sheetFormatPr defaultRowHeight="15" x14ac:dyDescent="0.2"/>
  <cols>
    <col min="1" max="1" width="14.85546875" style="4" customWidth="1"/>
    <col min="2" max="2" width="120.85546875" style="5" customWidth="1"/>
    <col min="3" max="3" width="48.7109375" style="5" bestFit="1" customWidth="1"/>
    <col min="4" max="4" width="38.140625" style="14" bestFit="1" customWidth="1"/>
    <col min="5" max="5" width="79.140625" style="12" bestFit="1" customWidth="1"/>
    <col min="6" max="6" width="105.28515625" style="5" bestFit="1" customWidth="1"/>
    <col min="7" max="7" width="183.7109375" style="13" customWidth="1"/>
    <col min="8" max="8" width="69.28515625" style="5" bestFit="1" customWidth="1"/>
    <col min="9" max="9" width="35" style="5" bestFit="1" customWidth="1"/>
    <col min="10" max="10" width="82.7109375" style="14" bestFit="1" customWidth="1"/>
    <col min="11" max="11" width="111.28515625" style="5" customWidth="1"/>
    <col min="12" max="12" width="48.5703125" style="5" customWidth="1"/>
    <col min="13" max="13" width="65" style="5" bestFit="1" customWidth="1"/>
    <col min="14" max="14" width="106.42578125" style="5" bestFit="1" customWidth="1"/>
    <col min="15" max="15" width="85.5703125" style="15" bestFit="1" customWidth="1"/>
    <col min="16" max="16" width="58.140625" style="16" bestFit="1" customWidth="1"/>
    <col min="17" max="17" width="69.28515625" style="16" bestFit="1" customWidth="1"/>
    <col min="18" max="18" width="81.85546875" style="16" bestFit="1" customWidth="1"/>
    <col min="19" max="19" width="73.5703125" style="26" bestFit="1" customWidth="1"/>
    <col min="20" max="20" width="95.85546875" style="17" bestFit="1" customWidth="1"/>
    <col min="21" max="21" width="109.28515625" style="5" bestFit="1" customWidth="1"/>
    <col min="22" max="22" width="97" style="16" bestFit="1" customWidth="1"/>
    <col min="23" max="23" width="65" style="26" bestFit="1" customWidth="1"/>
    <col min="24" max="24" width="104.7109375" style="16" bestFit="1" customWidth="1"/>
    <col min="25" max="25" width="87.5703125" style="16" bestFit="1" customWidth="1"/>
    <col min="26" max="26" width="89.85546875" style="5" bestFit="1" customWidth="1"/>
    <col min="27" max="27" width="77.5703125" style="5" bestFit="1" customWidth="1"/>
    <col min="28" max="28" width="19.85546875" style="4" bestFit="1" customWidth="1"/>
    <col min="29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4" spans="1:27" ht="20.25" x14ac:dyDescent="0.3">
      <c r="P4" s="32"/>
      <c r="R4" s="34"/>
    </row>
    <row r="7" spans="1:27" ht="20.25" x14ac:dyDescent="0.3">
      <c r="P7" s="33"/>
    </row>
    <row r="8" spans="1:27" ht="20.25" x14ac:dyDescent="0.3">
      <c r="P8" s="33"/>
    </row>
    <row r="9" spans="1:27" ht="20.25" x14ac:dyDescent="0.3">
      <c r="P9" s="33"/>
    </row>
    <row r="10" spans="1:27" ht="20.25" x14ac:dyDescent="0.3">
      <c r="P10" s="33"/>
    </row>
    <row r="11" spans="1:27" ht="20.25" x14ac:dyDescent="0.3">
      <c r="P11" s="33"/>
    </row>
    <row r="12" spans="1:27" ht="20.25" x14ac:dyDescent="0.3">
      <c r="P12" s="33"/>
    </row>
    <row r="13" spans="1:27" ht="20.25" x14ac:dyDescent="0.3">
      <c r="P13" s="33"/>
    </row>
    <row r="14" spans="1:27" ht="20.25" x14ac:dyDescent="0.3">
      <c r="P14" s="33"/>
    </row>
    <row r="15" spans="1:27" ht="20.25" x14ac:dyDescent="0.3">
      <c r="P15" s="33"/>
    </row>
    <row r="16" spans="1:27" ht="20.25" x14ac:dyDescent="0.3">
      <c r="P16" s="33"/>
    </row>
    <row r="17" spans="1:69" ht="20.25" x14ac:dyDescent="0.3">
      <c r="P17" s="33"/>
    </row>
    <row r="18" spans="1:69" s="88" customFormat="1" ht="42" customHeight="1" x14ac:dyDescent="0.6">
      <c r="B18" s="89"/>
      <c r="C18" s="90"/>
      <c r="D18" s="90"/>
      <c r="E18" s="91"/>
      <c r="F18" s="90"/>
      <c r="G18" s="90"/>
      <c r="H18" s="90"/>
      <c r="I18" s="90"/>
      <c r="J18" s="92"/>
      <c r="K18" s="90"/>
      <c r="L18" s="90"/>
      <c r="M18" s="90"/>
      <c r="N18" s="90"/>
      <c r="O18" s="93"/>
      <c r="P18" s="94"/>
      <c r="Q18" s="94"/>
      <c r="R18" s="94"/>
      <c r="S18" s="95"/>
      <c r="T18" s="96"/>
      <c r="U18" s="90"/>
      <c r="V18" s="94"/>
      <c r="W18" s="95"/>
      <c r="X18" s="94"/>
      <c r="Y18" s="94"/>
      <c r="Z18" s="90"/>
      <c r="AA18" s="90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</row>
    <row r="19" spans="1:69" s="98" customFormat="1" ht="27" customHeight="1" x14ac:dyDescent="0.6">
      <c r="A19" s="223"/>
      <c r="B19" s="162"/>
      <c r="C19" s="161"/>
      <c r="D19" s="163"/>
      <c r="E19" s="164"/>
      <c r="F19" s="161"/>
      <c r="G19" s="165"/>
      <c r="H19" s="166"/>
      <c r="I19" s="167"/>
      <c r="J19" s="168"/>
      <c r="K19" s="162"/>
      <c r="L19" s="169"/>
      <c r="M19" s="167"/>
      <c r="N19" s="170"/>
      <c r="O19" s="171"/>
      <c r="P19" s="172"/>
      <c r="Q19" s="173"/>
      <c r="R19" s="174"/>
      <c r="S19" s="175"/>
      <c r="T19" s="176"/>
      <c r="U19" s="161"/>
      <c r="V19" s="173"/>
      <c r="W19" s="177"/>
      <c r="X19" s="174"/>
      <c r="Y19" s="174"/>
      <c r="Z19" s="164"/>
      <c r="AA19" s="163"/>
      <c r="AB19" s="263"/>
    </row>
    <row r="20" spans="1:69" s="99" customFormat="1" ht="72" customHeight="1" x14ac:dyDescent="0.6">
      <c r="A20" s="224"/>
      <c r="B20" s="210" t="s">
        <v>184</v>
      </c>
      <c r="C20" s="126"/>
      <c r="D20" s="126"/>
      <c r="E20" s="211"/>
      <c r="F20" s="126"/>
      <c r="G20" s="126"/>
      <c r="H20" s="126"/>
      <c r="I20" s="126"/>
      <c r="J20" s="212"/>
      <c r="K20" s="126"/>
      <c r="L20" s="126"/>
      <c r="M20" s="126"/>
      <c r="N20" s="126"/>
      <c r="O20" s="213"/>
      <c r="P20" s="189"/>
      <c r="Q20" s="189"/>
      <c r="R20" s="189"/>
      <c r="S20" s="214"/>
      <c r="T20" s="180"/>
      <c r="U20" s="126"/>
      <c r="V20" s="189"/>
      <c r="W20" s="214"/>
      <c r="X20" s="189"/>
      <c r="Y20" s="189"/>
      <c r="Z20" s="126"/>
      <c r="AA20" s="126"/>
      <c r="AB20" s="106"/>
    </row>
    <row r="21" spans="1:69" s="125" customFormat="1" ht="72" customHeight="1" thickBot="1" x14ac:dyDescent="0.6">
      <c r="A21" s="222"/>
      <c r="B21" s="179"/>
      <c r="C21" s="178"/>
      <c r="D21" s="180"/>
      <c r="E21" s="181"/>
      <c r="F21" s="178"/>
      <c r="G21" s="182"/>
      <c r="H21" s="183"/>
      <c r="I21" s="184"/>
      <c r="J21" s="185"/>
      <c r="K21" s="179"/>
      <c r="L21" s="186"/>
      <c r="M21" s="184"/>
      <c r="N21" s="187"/>
      <c r="O21" s="188"/>
      <c r="P21" s="189"/>
      <c r="Q21" s="190"/>
      <c r="R21" s="191"/>
      <c r="S21" s="192"/>
      <c r="T21" s="193"/>
      <c r="U21" s="178"/>
      <c r="V21" s="190"/>
      <c r="W21" s="194"/>
      <c r="X21" s="191"/>
      <c r="Y21" s="191"/>
      <c r="Z21" s="181"/>
      <c r="AA21" s="180"/>
      <c r="AB21" s="264"/>
    </row>
    <row r="22" spans="1:69" s="90" customFormat="1" ht="72" customHeight="1" x14ac:dyDescent="0.55000000000000004">
      <c r="A22" s="111">
        <v>1</v>
      </c>
      <c r="B22" s="112">
        <v>2</v>
      </c>
      <c r="C22" s="112">
        <v>3</v>
      </c>
      <c r="D22" s="113">
        <v>4</v>
      </c>
      <c r="E22" s="112">
        <v>5</v>
      </c>
      <c r="F22" s="112">
        <v>6</v>
      </c>
      <c r="G22" s="114">
        <v>7</v>
      </c>
      <c r="H22" s="112">
        <v>8</v>
      </c>
      <c r="I22" s="112">
        <v>9</v>
      </c>
      <c r="J22" s="112">
        <v>10</v>
      </c>
      <c r="K22" s="112">
        <v>11</v>
      </c>
      <c r="L22" s="112">
        <v>12</v>
      </c>
      <c r="M22" s="112">
        <v>13</v>
      </c>
      <c r="N22" s="112">
        <v>14</v>
      </c>
      <c r="O22" s="112">
        <v>15</v>
      </c>
      <c r="P22" s="112">
        <v>16</v>
      </c>
      <c r="Q22" s="112">
        <v>17</v>
      </c>
      <c r="R22" s="112">
        <v>18</v>
      </c>
      <c r="S22" s="112">
        <v>19</v>
      </c>
      <c r="T22" s="112">
        <v>20</v>
      </c>
      <c r="U22" s="112">
        <v>21</v>
      </c>
      <c r="V22" s="112">
        <v>22</v>
      </c>
      <c r="W22" s="112">
        <v>23</v>
      </c>
      <c r="X22" s="112">
        <v>24</v>
      </c>
      <c r="Y22" s="112">
        <v>25</v>
      </c>
      <c r="Z22" s="112">
        <v>26</v>
      </c>
      <c r="AA22" s="115">
        <v>27</v>
      </c>
    </row>
    <row r="23" spans="1:69" s="90" customFormat="1" ht="72" customHeight="1" thickBot="1" x14ac:dyDescent="0.6">
      <c r="A23" s="307" t="s">
        <v>0</v>
      </c>
      <c r="B23" s="308" t="s">
        <v>1</v>
      </c>
      <c r="C23" s="309" t="s">
        <v>2</v>
      </c>
      <c r="D23" s="310" t="s">
        <v>3</v>
      </c>
      <c r="E23" s="311" t="s">
        <v>4</v>
      </c>
      <c r="F23" s="308" t="s">
        <v>5</v>
      </c>
      <c r="G23" s="312" t="s">
        <v>6</v>
      </c>
      <c r="H23" s="309" t="s">
        <v>7</v>
      </c>
      <c r="I23" s="309" t="s">
        <v>8</v>
      </c>
      <c r="J23" s="310" t="s">
        <v>9</v>
      </c>
      <c r="K23" s="308" t="s">
        <v>10</v>
      </c>
      <c r="L23" s="308" t="s">
        <v>11</v>
      </c>
      <c r="M23" s="309" t="s">
        <v>12</v>
      </c>
      <c r="N23" s="309" t="s">
        <v>13</v>
      </c>
      <c r="O23" s="313" t="s">
        <v>14</v>
      </c>
      <c r="P23" s="314" t="s">
        <v>28</v>
      </c>
      <c r="Q23" s="314" t="s">
        <v>30</v>
      </c>
      <c r="R23" s="314" t="s">
        <v>15</v>
      </c>
      <c r="S23" s="315" t="s">
        <v>16</v>
      </c>
      <c r="T23" s="310" t="s">
        <v>17</v>
      </c>
      <c r="U23" s="309" t="s">
        <v>18</v>
      </c>
      <c r="V23" s="314" t="s">
        <v>19</v>
      </c>
      <c r="W23" s="315" t="s">
        <v>29</v>
      </c>
      <c r="X23" s="314" t="s">
        <v>21</v>
      </c>
      <c r="Y23" s="314" t="s">
        <v>22</v>
      </c>
      <c r="Z23" s="309" t="s">
        <v>24</v>
      </c>
      <c r="AA23" s="316" t="s">
        <v>23</v>
      </c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</row>
    <row r="24" spans="1:69" s="90" customFormat="1" ht="72" customHeight="1" x14ac:dyDescent="0.55000000000000004">
      <c r="A24" s="216">
        <v>1</v>
      </c>
      <c r="B24" s="218" t="s">
        <v>172</v>
      </c>
      <c r="C24" s="225" t="s">
        <v>182</v>
      </c>
      <c r="D24" s="226">
        <v>41821</v>
      </c>
      <c r="E24" s="227" t="s">
        <v>179</v>
      </c>
      <c r="F24" s="217" t="s">
        <v>94</v>
      </c>
      <c r="G24" s="217" t="s">
        <v>116</v>
      </c>
      <c r="H24" s="217" t="s">
        <v>123</v>
      </c>
      <c r="I24" s="217">
        <v>27090000</v>
      </c>
      <c r="J24" s="219">
        <v>41730</v>
      </c>
      <c r="K24" s="218" t="s">
        <v>169</v>
      </c>
      <c r="L24" s="218" t="s">
        <v>126</v>
      </c>
      <c r="M24" s="217" t="s">
        <v>141</v>
      </c>
      <c r="N24" s="217" t="s">
        <v>129</v>
      </c>
      <c r="O24" s="220">
        <v>953931</v>
      </c>
      <c r="P24" s="228">
        <f>O24*S24</f>
        <v>104558219.36</v>
      </c>
      <c r="Q24" s="221">
        <f>P24*W24</f>
        <v>16230572391.666668</v>
      </c>
      <c r="R24" s="221" t="s">
        <v>25</v>
      </c>
      <c r="S24" s="229">
        <v>109.60773825360535</v>
      </c>
      <c r="T24" s="219">
        <f>J24+90</f>
        <v>41820</v>
      </c>
      <c r="U24" s="230" t="s">
        <v>94</v>
      </c>
      <c r="V24" s="221">
        <f>P24*0.12%</f>
        <v>125469.86323199999</v>
      </c>
      <c r="W24" s="231">
        <v>155.23000000395825</v>
      </c>
      <c r="X24" s="232">
        <f>V24*W24</f>
        <v>19476686.870000001</v>
      </c>
      <c r="Y24" s="221">
        <v>19476686.870000001</v>
      </c>
      <c r="Z24" s="233" t="s">
        <v>175</v>
      </c>
      <c r="AA24" s="234">
        <v>41802</v>
      </c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</row>
    <row r="25" spans="1:69" s="90" customFormat="1" ht="74.25" customHeight="1" x14ac:dyDescent="0.55000000000000004">
      <c r="A25" s="319">
        <v>2</v>
      </c>
      <c r="B25" s="127" t="s">
        <v>173</v>
      </c>
      <c r="C25" s="138" t="s">
        <v>177</v>
      </c>
      <c r="D25" s="261">
        <v>41820</v>
      </c>
      <c r="E25" s="146" t="s">
        <v>180</v>
      </c>
      <c r="F25" s="128" t="s">
        <v>94</v>
      </c>
      <c r="G25" s="128" t="s">
        <v>116</v>
      </c>
      <c r="H25" s="128" t="s">
        <v>123</v>
      </c>
      <c r="I25" s="128">
        <v>27090000</v>
      </c>
      <c r="J25" s="129">
        <v>41736</v>
      </c>
      <c r="K25" s="127" t="s">
        <v>170</v>
      </c>
      <c r="L25" s="127" t="s">
        <v>126</v>
      </c>
      <c r="M25" s="128" t="s">
        <v>141</v>
      </c>
      <c r="N25" s="128" t="s">
        <v>129</v>
      </c>
      <c r="O25" s="317">
        <v>900245</v>
      </c>
      <c r="P25" s="143">
        <f t="shared" ref="P25:P29" si="0">O25*S25</f>
        <v>98673818.319999993</v>
      </c>
      <c r="Q25" s="130">
        <f t="shared" ref="Q25:Q27" si="1">P25*W25</f>
        <v>15317136816.66667</v>
      </c>
      <c r="R25" s="130" t="s">
        <v>25</v>
      </c>
      <c r="S25" s="318">
        <v>109.6077382490322</v>
      </c>
      <c r="T25" s="129">
        <f t="shared" ref="T25:T35" si="2">J25+90</f>
        <v>41826</v>
      </c>
      <c r="U25" s="273" t="s">
        <v>94</v>
      </c>
      <c r="V25" s="130">
        <f t="shared" ref="V25:V35" si="3">P25*0.12%</f>
        <v>118408.58198399997</v>
      </c>
      <c r="W25" s="133">
        <v>155.22999998837656</v>
      </c>
      <c r="X25" s="131">
        <f t="shared" ref="X25:X35" si="4">V25*W25</f>
        <v>18380564.18</v>
      </c>
      <c r="Y25" s="130">
        <v>18380564.18</v>
      </c>
      <c r="Z25" s="262" t="s">
        <v>175</v>
      </c>
      <c r="AA25" s="135">
        <v>41802</v>
      </c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</row>
    <row r="26" spans="1:69" s="90" customFormat="1" ht="74.25" customHeight="1" x14ac:dyDescent="0.55000000000000004">
      <c r="A26" s="319">
        <v>3</v>
      </c>
      <c r="B26" s="127" t="s">
        <v>174</v>
      </c>
      <c r="C26" s="138" t="s">
        <v>178</v>
      </c>
      <c r="D26" s="261">
        <v>41820</v>
      </c>
      <c r="E26" s="146" t="s">
        <v>181</v>
      </c>
      <c r="F26" s="128" t="s">
        <v>94</v>
      </c>
      <c r="G26" s="128" t="s">
        <v>116</v>
      </c>
      <c r="H26" s="128" t="s">
        <v>123</v>
      </c>
      <c r="I26" s="128">
        <v>27090000</v>
      </c>
      <c r="J26" s="129">
        <v>41748</v>
      </c>
      <c r="K26" s="127" t="s">
        <v>171</v>
      </c>
      <c r="L26" s="127" t="s">
        <v>126</v>
      </c>
      <c r="M26" s="128" t="s">
        <v>141</v>
      </c>
      <c r="N26" s="128" t="s">
        <v>129</v>
      </c>
      <c r="O26" s="317">
        <v>759717</v>
      </c>
      <c r="P26" s="143">
        <f t="shared" si="0"/>
        <v>83270862.079999998</v>
      </c>
      <c r="Q26" s="130">
        <f t="shared" si="1"/>
        <v>12926135916.666666</v>
      </c>
      <c r="R26" s="130" t="s">
        <v>25</v>
      </c>
      <c r="S26" s="318">
        <v>109.60773824990095</v>
      </c>
      <c r="T26" s="129">
        <f t="shared" si="2"/>
        <v>41838</v>
      </c>
      <c r="U26" s="273" t="s">
        <v>94</v>
      </c>
      <c r="V26" s="130">
        <f t="shared" si="3"/>
        <v>99925.034495999993</v>
      </c>
      <c r="W26" s="133">
        <v>155.22999995182309</v>
      </c>
      <c r="X26" s="131">
        <f t="shared" si="4"/>
        <v>15511363.1</v>
      </c>
      <c r="Y26" s="130">
        <v>15511363.1</v>
      </c>
      <c r="Z26" s="262" t="s">
        <v>175</v>
      </c>
      <c r="AA26" s="135">
        <v>41802</v>
      </c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</row>
    <row r="27" spans="1:69" s="90" customFormat="1" ht="89.25" customHeight="1" x14ac:dyDescent="0.55000000000000004">
      <c r="A27" s="319">
        <v>4</v>
      </c>
      <c r="B27" s="127" t="s">
        <v>160</v>
      </c>
      <c r="C27" s="138" t="s">
        <v>162</v>
      </c>
      <c r="D27" s="261">
        <v>41827</v>
      </c>
      <c r="E27" s="146" t="s">
        <v>164</v>
      </c>
      <c r="F27" s="128" t="s">
        <v>107</v>
      </c>
      <c r="G27" s="128" t="s">
        <v>122</v>
      </c>
      <c r="H27" s="128" t="s">
        <v>123</v>
      </c>
      <c r="I27" s="128">
        <v>27090000</v>
      </c>
      <c r="J27" s="129">
        <v>41772</v>
      </c>
      <c r="K27" s="127" t="s">
        <v>150</v>
      </c>
      <c r="L27" s="127" t="s">
        <v>126</v>
      </c>
      <c r="M27" s="128" t="s">
        <v>158</v>
      </c>
      <c r="N27" s="128" t="s">
        <v>156</v>
      </c>
      <c r="O27" s="317">
        <v>953692</v>
      </c>
      <c r="P27" s="143">
        <f t="shared" si="0"/>
        <v>106696200</v>
      </c>
      <c r="Q27" s="130">
        <f t="shared" si="1"/>
        <v>16615799225.999998</v>
      </c>
      <c r="R27" s="130" t="s">
        <v>25</v>
      </c>
      <c r="S27" s="318">
        <v>111.87700012163256</v>
      </c>
      <c r="T27" s="129">
        <f t="shared" si="2"/>
        <v>41862</v>
      </c>
      <c r="U27" s="273" t="s">
        <v>107</v>
      </c>
      <c r="V27" s="130">
        <f t="shared" si="3"/>
        <v>128035.43999999999</v>
      </c>
      <c r="W27" s="133">
        <v>155.72999999999999</v>
      </c>
      <c r="X27" s="131">
        <f t="shared" si="4"/>
        <v>19938959.071199998</v>
      </c>
      <c r="Y27" s="131">
        <v>19938959.050000001</v>
      </c>
      <c r="Z27" s="262" t="s">
        <v>167</v>
      </c>
      <c r="AA27" s="135">
        <v>41817</v>
      </c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</row>
    <row r="28" spans="1:69" s="90" customFormat="1" ht="72" customHeight="1" x14ac:dyDescent="0.55000000000000004">
      <c r="A28" s="319">
        <v>5</v>
      </c>
      <c r="B28" s="127" t="s">
        <v>153</v>
      </c>
      <c r="C28" s="138" t="s">
        <v>163</v>
      </c>
      <c r="D28" s="261">
        <v>41827</v>
      </c>
      <c r="E28" s="146" t="s">
        <v>165</v>
      </c>
      <c r="F28" s="128" t="s">
        <v>96</v>
      </c>
      <c r="G28" s="128" t="s">
        <v>117</v>
      </c>
      <c r="H28" s="128" t="s">
        <v>124</v>
      </c>
      <c r="I28" s="128">
        <v>27090000</v>
      </c>
      <c r="J28" s="129">
        <v>41772</v>
      </c>
      <c r="K28" s="127" t="s">
        <v>151</v>
      </c>
      <c r="L28" s="127" t="s">
        <v>127</v>
      </c>
      <c r="M28" s="128" t="s">
        <v>144</v>
      </c>
      <c r="N28" s="128" t="s">
        <v>132</v>
      </c>
      <c r="O28" s="317">
        <v>950456</v>
      </c>
      <c r="P28" s="143">
        <f t="shared" si="0"/>
        <v>106006258.59199999</v>
      </c>
      <c r="Q28" s="130">
        <f t="shared" ref="Q28:Q34" si="5">P28*W28</f>
        <v>16508354650.532158</v>
      </c>
      <c r="R28" s="130" t="s">
        <v>25</v>
      </c>
      <c r="S28" s="318">
        <v>111.532</v>
      </c>
      <c r="T28" s="129">
        <f t="shared" si="2"/>
        <v>41862</v>
      </c>
      <c r="U28" s="273" t="s">
        <v>97</v>
      </c>
      <c r="V28" s="130">
        <f t="shared" si="3"/>
        <v>127207.51031039999</v>
      </c>
      <c r="W28" s="133">
        <v>155.72999999999999</v>
      </c>
      <c r="X28" s="131">
        <f t="shared" si="4"/>
        <v>19810025.580638587</v>
      </c>
      <c r="Y28" s="130" t="s">
        <v>97</v>
      </c>
      <c r="Z28" s="262" t="s">
        <v>97</v>
      </c>
      <c r="AA28" s="135" t="s">
        <v>97</v>
      </c>
    </row>
    <row r="29" spans="1:69" s="89" customFormat="1" ht="72" customHeight="1" x14ac:dyDescent="0.6">
      <c r="A29" s="319">
        <v>6</v>
      </c>
      <c r="B29" s="127" t="s">
        <v>154</v>
      </c>
      <c r="C29" s="138" t="s">
        <v>161</v>
      </c>
      <c r="D29" s="261">
        <v>41827</v>
      </c>
      <c r="E29" s="146" t="s">
        <v>183</v>
      </c>
      <c r="F29" s="128" t="s">
        <v>96</v>
      </c>
      <c r="G29" s="128" t="s">
        <v>117</v>
      </c>
      <c r="H29" s="128" t="s">
        <v>124</v>
      </c>
      <c r="I29" s="128">
        <v>27090000</v>
      </c>
      <c r="J29" s="129">
        <v>41786</v>
      </c>
      <c r="K29" s="127" t="s">
        <v>152</v>
      </c>
      <c r="L29" s="127" t="s">
        <v>127</v>
      </c>
      <c r="M29" s="128" t="s">
        <v>159</v>
      </c>
      <c r="N29" s="128" t="s">
        <v>157</v>
      </c>
      <c r="O29" s="317">
        <v>949830</v>
      </c>
      <c r="P29" s="143">
        <f t="shared" si="0"/>
        <v>106959881.38499999</v>
      </c>
      <c r="Q29" s="130">
        <f t="shared" si="5"/>
        <v>16656862328.086048</v>
      </c>
      <c r="R29" s="130" t="s">
        <v>25</v>
      </c>
      <c r="S29" s="318">
        <v>112.6095</v>
      </c>
      <c r="T29" s="129">
        <f t="shared" si="2"/>
        <v>41876</v>
      </c>
      <c r="U29" s="128" t="s">
        <v>97</v>
      </c>
      <c r="V29" s="130">
        <f t="shared" si="3"/>
        <v>128351.85766199998</v>
      </c>
      <c r="W29" s="133">
        <v>155.72999999999999</v>
      </c>
      <c r="X29" s="131">
        <f t="shared" si="4"/>
        <v>19988234.793703254</v>
      </c>
      <c r="Y29" s="130" t="s">
        <v>97</v>
      </c>
      <c r="Z29" s="262" t="s">
        <v>97</v>
      </c>
      <c r="AA29" s="135" t="s">
        <v>97</v>
      </c>
    </row>
    <row r="30" spans="1:69" s="89" customFormat="1" ht="72" customHeight="1" x14ac:dyDescent="0.6">
      <c r="A30" s="319">
        <v>7</v>
      </c>
      <c r="B30" s="127" t="s">
        <v>155</v>
      </c>
      <c r="C30" s="138" t="s">
        <v>176</v>
      </c>
      <c r="D30" s="261">
        <v>41821</v>
      </c>
      <c r="E30" s="146" t="s">
        <v>166</v>
      </c>
      <c r="F30" s="128" t="s">
        <v>94</v>
      </c>
      <c r="G30" s="128" t="s">
        <v>116</v>
      </c>
      <c r="H30" s="128" t="s">
        <v>123</v>
      </c>
      <c r="I30" s="128">
        <v>27090000</v>
      </c>
      <c r="J30" s="129">
        <v>41788</v>
      </c>
      <c r="K30" s="127" t="s">
        <v>34</v>
      </c>
      <c r="L30" s="127" t="s">
        <v>126</v>
      </c>
      <c r="M30" s="128" t="s">
        <v>141</v>
      </c>
      <c r="N30" s="128" t="s">
        <v>129</v>
      </c>
      <c r="O30" s="317">
        <v>566447</v>
      </c>
      <c r="P30" s="143">
        <f t="shared" ref="P30:P34" si="6">O30*S30</f>
        <v>63315463.100000001</v>
      </c>
      <c r="Q30" s="130">
        <f t="shared" si="5"/>
        <v>9828459333.333334</v>
      </c>
      <c r="R30" s="130" t="s">
        <v>25</v>
      </c>
      <c r="S30" s="318">
        <v>111.77650000794426</v>
      </c>
      <c r="T30" s="129">
        <f t="shared" si="2"/>
        <v>41878</v>
      </c>
      <c r="U30" s="273" t="s">
        <v>94</v>
      </c>
      <c r="V30" s="130">
        <f t="shared" si="3"/>
        <v>75978.555719999989</v>
      </c>
      <c r="W30" s="133">
        <v>155.22999994188362</v>
      </c>
      <c r="X30" s="131">
        <f t="shared" si="4"/>
        <v>11794151.199999999</v>
      </c>
      <c r="Y30" s="130">
        <v>11794151.199999999</v>
      </c>
      <c r="Z30" s="262" t="s">
        <v>168</v>
      </c>
      <c r="AA30" s="135">
        <v>41816</v>
      </c>
    </row>
    <row r="31" spans="1:69" s="88" customFormat="1" ht="72" customHeight="1" x14ac:dyDescent="0.55000000000000004">
      <c r="A31" s="319">
        <v>8</v>
      </c>
      <c r="B31" s="127" t="s">
        <v>51</v>
      </c>
      <c r="C31" s="136" t="s">
        <v>79</v>
      </c>
      <c r="D31" s="320">
        <v>41827</v>
      </c>
      <c r="E31" s="127" t="s">
        <v>95</v>
      </c>
      <c r="F31" s="127" t="s">
        <v>96</v>
      </c>
      <c r="G31" s="128" t="s">
        <v>117</v>
      </c>
      <c r="H31" s="128" t="s">
        <v>124</v>
      </c>
      <c r="I31" s="128">
        <v>27090000</v>
      </c>
      <c r="J31" s="129">
        <v>41794</v>
      </c>
      <c r="K31" s="127" t="s">
        <v>35</v>
      </c>
      <c r="L31" s="127" t="s">
        <v>127</v>
      </c>
      <c r="M31" s="128" t="s">
        <v>142</v>
      </c>
      <c r="N31" s="128" t="s">
        <v>130</v>
      </c>
      <c r="O31" s="317">
        <v>949725</v>
      </c>
      <c r="P31" s="143">
        <f t="shared" si="6"/>
        <v>105957019.35000001</v>
      </c>
      <c r="Q31" s="130">
        <f t="shared" si="5"/>
        <v>16500686623.3755</v>
      </c>
      <c r="R31" s="130" t="s">
        <v>25</v>
      </c>
      <c r="S31" s="318">
        <v>111.566</v>
      </c>
      <c r="T31" s="129">
        <f t="shared" si="2"/>
        <v>41884</v>
      </c>
      <c r="U31" s="273" t="s">
        <v>97</v>
      </c>
      <c r="V31" s="130">
        <f t="shared" si="3"/>
        <v>127148.42322</v>
      </c>
      <c r="W31" s="133">
        <v>155.72999999999999</v>
      </c>
      <c r="X31" s="131">
        <f t="shared" si="4"/>
        <v>19800823.9480506</v>
      </c>
      <c r="Y31" s="130" t="s">
        <v>97</v>
      </c>
      <c r="Z31" s="262" t="s">
        <v>97</v>
      </c>
      <c r="AA31" s="135" t="s">
        <v>97</v>
      </c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</row>
    <row r="32" spans="1:69" s="90" customFormat="1" ht="72" customHeight="1" x14ac:dyDescent="0.55000000000000004">
      <c r="A32" s="319">
        <v>9</v>
      </c>
      <c r="B32" s="127" t="s">
        <v>53</v>
      </c>
      <c r="C32" s="136" t="s">
        <v>80</v>
      </c>
      <c r="D32" s="320">
        <v>41827</v>
      </c>
      <c r="E32" s="127" t="s">
        <v>98</v>
      </c>
      <c r="F32" s="127" t="s">
        <v>96</v>
      </c>
      <c r="G32" s="128" t="s">
        <v>117</v>
      </c>
      <c r="H32" s="128" t="s">
        <v>124</v>
      </c>
      <c r="I32" s="128">
        <v>27090000</v>
      </c>
      <c r="J32" s="129">
        <v>41797</v>
      </c>
      <c r="K32" s="127" t="s">
        <v>37</v>
      </c>
      <c r="L32" s="127" t="s">
        <v>127</v>
      </c>
      <c r="M32" s="128" t="s">
        <v>141</v>
      </c>
      <c r="N32" s="128" t="s">
        <v>129</v>
      </c>
      <c r="O32" s="317">
        <v>64000</v>
      </c>
      <c r="P32" s="143">
        <f t="shared" si="6"/>
        <v>7169152</v>
      </c>
      <c r="Q32" s="130">
        <f t="shared" si="5"/>
        <v>1116452040.96</v>
      </c>
      <c r="R32" s="130" t="s">
        <v>25</v>
      </c>
      <c r="S32" s="318">
        <v>112.018</v>
      </c>
      <c r="T32" s="129">
        <f t="shared" si="2"/>
        <v>41887</v>
      </c>
      <c r="U32" s="273" t="s">
        <v>97</v>
      </c>
      <c r="V32" s="130">
        <f t="shared" si="3"/>
        <v>8602.982399999999</v>
      </c>
      <c r="W32" s="133">
        <v>155.72999999999999</v>
      </c>
      <c r="X32" s="131">
        <f t="shared" si="4"/>
        <v>1339742.4491519998</v>
      </c>
      <c r="Y32" s="130" t="s">
        <v>97</v>
      </c>
      <c r="Z32" s="262" t="s">
        <v>97</v>
      </c>
      <c r="AA32" s="135" t="s">
        <v>97</v>
      </c>
    </row>
    <row r="33" spans="1:69" s="90" customFormat="1" ht="81.75" customHeight="1" x14ac:dyDescent="0.55000000000000004">
      <c r="A33" s="319">
        <v>10</v>
      </c>
      <c r="B33" s="127" t="s">
        <v>54</v>
      </c>
      <c r="C33" s="136" t="s">
        <v>81</v>
      </c>
      <c r="D33" s="320">
        <v>41827</v>
      </c>
      <c r="E33" s="127" t="s">
        <v>99</v>
      </c>
      <c r="F33" s="127" t="s">
        <v>96</v>
      </c>
      <c r="G33" s="128" t="s">
        <v>117</v>
      </c>
      <c r="H33" s="128" t="s">
        <v>124</v>
      </c>
      <c r="I33" s="128">
        <v>27090000</v>
      </c>
      <c r="J33" s="129">
        <v>41797</v>
      </c>
      <c r="K33" s="127" t="s">
        <v>37</v>
      </c>
      <c r="L33" s="127" t="s">
        <v>127</v>
      </c>
      <c r="M33" s="128" t="s">
        <v>141</v>
      </c>
      <c r="N33" s="128" t="s">
        <v>129</v>
      </c>
      <c r="O33" s="317">
        <v>85000</v>
      </c>
      <c r="P33" s="143">
        <f t="shared" si="6"/>
        <v>9521530</v>
      </c>
      <c r="Q33" s="130">
        <f t="shared" si="5"/>
        <v>1482787866.8999999</v>
      </c>
      <c r="R33" s="130" t="s">
        <v>25</v>
      </c>
      <c r="S33" s="318">
        <v>112.018</v>
      </c>
      <c r="T33" s="129">
        <f t="shared" si="2"/>
        <v>41887</v>
      </c>
      <c r="U33" s="273" t="s">
        <v>97</v>
      </c>
      <c r="V33" s="130">
        <f t="shared" si="3"/>
        <v>11425.835999999999</v>
      </c>
      <c r="W33" s="133">
        <v>155.72999999999999</v>
      </c>
      <c r="X33" s="131">
        <f t="shared" si="4"/>
        <v>1779345.4402799997</v>
      </c>
      <c r="Y33" s="130" t="s">
        <v>97</v>
      </c>
      <c r="Z33" s="262" t="s">
        <v>97</v>
      </c>
      <c r="AA33" s="135" t="s">
        <v>97</v>
      </c>
      <c r="AB33" s="147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</row>
    <row r="34" spans="1:69" s="90" customFormat="1" ht="84.75" customHeight="1" x14ac:dyDescent="0.55000000000000004">
      <c r="A34" s="319">
        <v>11</v>
      </c>
      <c r="B34" s="127" t="s">
        <v>55</v>
      </c>
      <c r="C34" s="136" t="s">
        <v>82</v>
      </c>
      <c r="D34" s="320">
        <v>41827</v>
      </c>
      <c r="E34" s="127" t="s">
        <v>100</v>
      </c>
      <c r="F34" s="127" t="s">
        <v>96</v>
      </c>
      <c r="G34" s="128" t="s">
        <v>117</v>
      </c>
      <c r="H34" s="128" t="s">
        <v>124</v>
      </c>
      <c r="I34" s="128">
        <v>27090000</v>
      </c>
      <c r="J34" s="129">
        <v>41797</v>
      </c>
      <c r="K34" s="127" t="s">
        <v>37</v>
      </c>
      <c r="L34" s="127" t="s">
        <v>127</v>
      </c>
      <c r="M34" s="128" t="s">
        <v>141</v>
      </c>
      <c r="N34" s="128" t="s">
        <v>129</v>
      </c>
      <c r="O34" s="317">
        <v>146000</v>
      </c>
      <c r="P34" s="143">
        <f t="shared" si="6"/>
        <v>16354628</v>
      </c>
      <c r="Q34" s="130">
        <f t="shared" si="5"/>
        <v>2546906218.4400001</v>
      </c>
      <c r="R34" s="130" t="s">
        <v>25</v>
      </c>
      <c r="S34" s="318">
        <v>112.018</v>
      </c>
      <c r="T34" s="129">
        <f t="shared" si="2"/>
        <v>41887</v>
      </c>
      <c r="U34" s="273" t="s">
        <v>97</v>
      </c>
      <c r="V34" s="130">
        <f t="shared" si="3"/>
        <v>19625.553599999999</v>
      </c>
      <c r="W34" s="133">
        <v>155.72999999999999</v>
      </c>
      <c r="X34" s="131">
        <f t="shared" si="4"/>
        <v>3056287.4621279999</v>
      </c>
      <c r="Y34" s="130" t="s">
        <v>97</v>
      </c>
      <c r="Z34" s="262" t="s">
        <v>97</v>
      </c>
      <c r="AA34" s="135" t="s">
        <v>97</v>
      </c>
      <c r="AB34" s="147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</row>
    <row r="35" spans="1:69" s="90" customFormat="1" ht="92.25" customHeight="1" x14ac:dyDescent="0.55000000000000004">
      <c r="A35" s="319">
        <v>12</v>
      </c>
      <c r="B35" s="136" t="s">
        <v>56</v>
      </c>
      <c r="C35" s="136" t="s">
        <v>83</v>
      </c>
      <c r="D35" s="320">
        <v>41827</v>
      </c>
      <c r="E35" s="127" t="s">
        <v>101</v>
      </c>
      <c r="F35" s="127" t="s">
        <v>96</v>
      </c>
      <c r="G35" s="137" t="s">
        <v>117</v>
      </c>
      <c r="H35" s="149" t="s">
        <v>124</v>
      </c>
      <c r="I35" s="128">
        <v>27090000</v>
      </c>
      <c r="J35" s="139">
        <v>41797</v>
      </c>
      <c r="K35" s="127" t="s">
        <v>37</v>
      </c>
      <c r="L35" s="140" t="s">
        <v>127</v>
      </c>
      <c r="M35" s="128" t="s">
        <v>141</v>
      </c>
      <c r="N35" s="149" t="s">
        <v>129</v>
      </c>
      <c r="O35" s="142">
        <v>654716</v>
      </c>
      <c r="P35" s="143">
        <f>O35*S35</f>
        <v>73339976.887999997</v>
      </c>
      <c r="Q35" s="130">
        <f t="shared" ref="Q35" si="7">P35*W35</f>
        <v>11421234600.768238</v>
      </c>
      <c r="R35" s="134" t="s">
        <v>25</v>
      </c>
      <c r="S35" s="133">
        <v>112.018</v>
      </c>
      <c r="T35" s="129">
        <f t="shared" si="2"/>
        <v>41887</v>
      </c>
      <c r="U35" s="273" t="s">
        <v>97</v>
      </c>
      <c r="V35" s="130">
        <f t="shared" si="3"/>
        <v>88007.972265599994</v>
      </c>
      <c r="W35" s="133">
        <v>155.72999999999999</v>
      </c>
      <c r="X35" s="131">
        <f t="shared" si="4"/>
        <v>13705481.520921886</v>
      </c>
      <c r="Y35" s="130" t="s">
        <v>97</v>
      </c>
      <c r="Z35" s="262" t="s">
        <v>97</v>
      </c>
      <c r="AA35" s="135" t="s">
        <v>97</v>
      </c>
      <c r="AB35" s="147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</row>
    <row r="36" spans="1:69" s="90" customFormat="1" ht="92.25" customHeight="1" x14ac:dyDescent="0.55000000000000004">
      <c r="A36" s="319">
        <v>13</v>
      </c>
      <c r="B36" s="136" t="s">
        <v>57</v>
      </c>
      <c r="C36" s="136" t="s">
        <v>84</v>
      </c>
      <c r="D36" s="320">
        <v>41827</v>
      </c>
      <c r="E36" s="127" t="s">
        <v>102</v>
      </c>
      <c r="F36" s="127" t="s">
        <v>96</v>
      </c>
      <c r="G36" s="152" t="s">
        <v>117</v>
      </c>
      <c r="H36" s="138" t="s">
        <v>124</v>
      </c>
      <c r="I36" s="128">
        <v>27090000</v>
      </c>
      <c r="J36" s="139">
        <v>41800</v>
      </c>
      <c r="K36" s="136" t="s">
        <v>38</v>
      </c>
      <c r="L36" s="140" t="s">
        <v>127</v>
      </c>
      <c r="M36" s="138" t="s">
        <v>144</v>
      </c>
      <c r="N36" s="141" t="s">
        <v>132</v>
      </c>
      <c r="O36" s="142">
        <v>910254</v>
      </c>
      <c r="P36" s="143">
        <f>O36*S36</f>
        <v>102884189.112</v>
      </c>
      <c r="Q36" s="130">
        <f>P36*W36</f>
        <v>16022154770.41176</v>
      </c>
      <c r="R36" s="134" t="s">
        <v>25</v>
      </c>
      <c r="S36" s="133">
        <v>113.02800000000001</v>
      </c>
      <c r="T36" s="144">
        <f>J36+90</f>
        <v>41890</v>
      </c>
      <c r="U36" s="273" t="s">
        <v>97</v>
      </c>
      <c r="V36" s="130">
        <f>P36*0.12%</f>
        <v>123461.0269344</v>
      </c>
      <c r="W36" s="133">
        <v>155.72999999999999</v>
      </c>
      <c r="X36" s="134">
        <f>V36*W36</f>
        <v>19226585.724494111</v>
      </c>
      <c r="Y36" s="130" t="s">
        <v>97</v>
      </c>
      <c r="Z36" s="262" t="s">
        <v>97</v>
      </c>
      <c r="AA36" s="135" t="s">
        <v>97</v>
      </c>
      <c r="AB36" s="147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</row>
    <row r="37" spans="1:69" s="90" customFormat="1" ht="92.25" customHeight="1" x14ac:dyDescent="0.55000000000000004">
      <c r="A37" s="319">
        <v>14</v>
      </c>
      <c r="B37" s="128" t="s">
        <v>68</v>
      </c>
      <c r="C37" s="136" t="s">
        <v>85</v>
      </c>
      <c r="D37" s="320">
        <v>41827</v>
      </c>
      <c r="E37" s="127" t="s">
        <v>108</v>
      </c>
      <c r="F37" s="127" t="s">
        <v>96</v>
      </c>
      <c r="G37" s="137" t="s">
        <v>117</v>
      </c>
      <c r="H37" s="128" t="s">
        <v>124</v>
      </c>
      <c r="I37" s="128">
        <v>27090000</v>
      </c>
      <c r="J37" s="129">
        <v>41807</v>
      </c>
      <c r="K37" s="127" t="s">
        <v>43</v>
      </c>
      <c r="L37" s="127" t="s">
        <v>127</v>
      </c>
      <c r="M37" s="128" t="s">
        <v>141</v>
      </c>
      <c r="N37" s="196" t="s">
        <v>129</v>
      </c>
      <c r="O37" s="142">
        <v>950101</v>
      </c>
      <c r="P37" s="143">
        <f>O37*S37</f>
        <v>110902439.427</v>
      </c>
      <c r="Q37" s="130">
        <f>P37*W37</f>
        <v>17270836891.966709</v>
      </c>
      <c r="R37" s="134" t="s">
        <v>25</v>
      </c>
      <c r="S37" s="133">
        <v>116.727</v>
      </c>
      <c r="T37" s="144">
        <f>J37+90</f>
        <v>41897</v>
      </c>
      <c r="U37" s="273" t="s">
        <v>97</v>
      </c>
      <c r="V37" s="130">
        <f>P37*0.12%</f>
        <v>133082.92731239999</v>
      </c>
      <c r="W37" s="133">
        <v>155.72999999999999</v>
      </c>
      <c r="X37" s="134">
        <f>V37*W37</f>
        <v>20725004.270360049</v>
      </c>
      <c r="Y37" s="130" t="s">
        <v>97</v>
      </c>
      <c r="Z37" s="262" t="s">
        <v>97</v>
      </c>
      <c r="AA37" s="135" t="s">
        <v>97</v>
      </c>
      <c r="AB37" s="147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</row>
    <row r="38" spans="1:69" s="90" customFormat="1" ht="92.25" customHeight="1" x14ac:dyDescent="0.55000000000000004">
      <c r="A38" s="319">
        <v>15</v>
      </c>
      <c r="B38" s="128" t="s">
        <v>69</v>
      </c>
      <c r="C38" s="136" t="s">
        <v>86</v>
      </c>
      <c r="D38" s="320">
        <v>41827</v>
      </c>
      <c r="E38" s="127" t="s">
        <v>109</v>
      </c>
      <c r="F38" s="127" t="s">
        <v>96</v>
      </c>
      <c r="G38" s="137" t="s">
        <v>117</v>
      </c>
      <c r="H38" s="128" t="s">
        <v>124</v>
      </c>
      <c r="I38" s="128">
        <v>27090000</v>
      </c>
      <c r="J38" s="129">
        <v>41808</v>
      </c>
      <c r="K38" s="127" t="s">
        <v>44</v>
      </c>
      <c r="L38" s="127" t="s">
        <v>127</v>
      </c>
      <c r="M38" s="128" t="s">
        <v>142</v>
      </c>
      <c r="N38" s="196" t="s">
        <v>137</v>
      </c>
      <c r="O38" s="142">
        <v>949800</v>
      </c>
      <c r="P38" s="143">
        <f t="shared" ref="P38:P39" si="8">O38*S38</f>
        <v>111108553.8</v>
      </c>
      <c r="Q38" s="130">
        <f t="shared" ref="Q38:Q39" si="9">P38*W38</f>
        <v>17302935083.273998</v>
      </c>
      <c r="R38" s="134" t="s">
        <v>25</v>
      </c>
      <c r="S38" s="133">
        <v>116.98099999999999</v>
      </c>
      <c r="T38" s="144">
        <f t="shared" ref="T38:T44" si="10">J38+90</f>
        <v>41898</v>
      </c>
      <c r="U38" s="273" t="s">
        <v>97</v>
      </c>
      <c r="V38" s="130">
        <f t="shared" ref="V38:V44" si="11">P38*0.12%</f>
        <v>133330.26455999998</v>
      </c>
      <c r="W38" s="133">
        <v>155.72999999999999</v>
      </c>
      <c r="X38" s="134">
        <f t="shared" ref="X38:X44" si="12">V38*W38</f>
        <v>20763522.099928796</v>
      </c>
      <c r="Y38" s="130" t="s">
        <v>97</v>
      </c>
      <c r="Z38" s="262" t="s">
        <v>97</v>
      </c>
      <c r="AA38" s="135" t="s">
        <v>97</v>
      </c>
      <c r="AB38" s="147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</row>
    <row r="39" spans="1:69" s="90" customFormat="1" ht="92.25" customHeight="1" x14ac:dyDescent="0.55000000000000004">
      <c r="A39" s="319">
        <v>16</v>
      </c>
      <c r="B39" s="272" t="s">
        <v>71</v>
      </c>
      <c r="C39" s="136" t="s">
        <v>87</v>
      </c>
      <c r="D39" s="320">
        <v>41827</v>
      </c>
      <c r="E39" s="127" t="s">
        <v>110</v>
      </c>
      <c r="F39" s="127" t="s">
        <v>96</v>
      </c>
      <c r="G39" s="274" t="s">
        <v>117</v>
      </c>
      <c r="H39" s="272" t="s">
        <v>125</v>
      </c>
      <c r="I39" s="272">
        <v>27090000</v>
      </c>
      <c r="J39" s="275">
        <v>41812</v>
      </c>
      <c r="K39" s="151" t="s">
        <v>45</v>
      </c>
      <c r="L39" s="151" t="s">
        <v>128</v>
      </c>
      <c r="M39" s="272" t="s">
        <v>144</v>
      </c>
      <c r="N39" s="276" t="s">
        <v>132</v>
      </c>
      <c r="O39" s="277">
        <v>966595</v>
      </c>
      <c r="P39" s="143">
        <f t="shared" si="8"/>
        <v>114623668.07499999</v>
      </c>
      <c r="Q39" s="131">
        <f t="shared" si="9"/>
        <v>17850343829.319748</v>
      </c>
      <c r="R39" s="143" t="s">
        <v>25</v>
      </c>
      <c r="S39" s="278">
        <v>118.58499999999999</v>
      </c>
      <c r="T39" s="279">
        <f t="shared" si="10"/>
        <v>41902</v>
      </c>
      <c r="U39" s="273" t="s">
        <v>97</v>
      </c>
      <c r="V39" s="131">
        <f>P39*0.12%</f>
        <v>137548.40168999997</v>
      </c>
      <c r="W39" s="278">
        <v>155.72999999999999</v>
      </c>
      <c r="X39" s="143">
        <f>V39*W39</f>
        <v>21420412.595183693</v>
      </c>
      <c r="Y39" s="130" t="s">
        <v>97</v>
      </c>
      <c r="Z39" s="262" t="s">
        <v>97</v>
      </c>
      <c r="AA39" s="135" t="s">
        <v>97</v>
      </c>
      <c r="AB39" s="147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</row>
    <row r="40" spans="1:69" s="90" customFormat="1" ht="92.25" customHeight="1" x14ac:dyDescent="0.55000000000000004">
      <c r="A40" s="319">
        <v>17</v>
      </c>
      <c r="B40" s="136" t="s">
        <v>73</v>
      </c>
      <c r="C40" s="136" t="s">
        <v>88</v>
      </c>
      <c r="D40" s="320">
        <v>41827</v>
      </c>
      <c r="E40" s="127" t="s">
        <v>111</v>
      </c>
      <c r="F40" s="127" t="s">
        <v>96</v>
      </c>
      <c r="G40" s="137" t="s">
        <v>117</v>
      </c>
      <c r="H40" s="128" t="s">
        <v>124</v>
      </c>
      <c r="I40" s="128">
        <v>27090000</v>
      </c>
      <c r="J40" s="129">
        <v>41814</v>
      </c>
      <c r="K40" s="127" t="s">
        <v>47</v>
      </c>
      <c r="L40" s="140" t="s">
        <v>127</v>
      </c>
      <c r="M40" s="128" t="s">
        <v>144</v>
      </c>
      <c r="N40" s="149" t="s">
        <v>132</v>
      </c>
      <c r="O40" s="142">
        <v>950108</v>
      </c>
      <c r="P40" s="143">
        <f>O40*S40</f>
        <v>109984502.08</v>
      </c>
      <c r="Q40" s="130">
        <f>P40*W40</f>
        <v>17127886508.918398</v>
      </c>
      <c r="R40" s="134" t="s">
        <v>25</v>
      </c>
      <c r="S40" s="133">
        <v>115.76</v>
      </c>
      <c r="T40" s="144">
        <f t="shared" si="10"/>
        <v>41904</v>
      </c>
      <c r="U40" s="273" t="s">
        <v>97</v>
      </c>
      <c r="V40" s="130">
        <f t="shared" si="11"/>
        <v>131981.402496</v>
      </c>
      <c r="W40" s="133">
        <v>155.72999999999999</v>
      </c>
      <c r="X40" s="134">
        <f t="shared" si="12"/>
        <v>20553463.810702078</v>
      </c>
      <c r="Y40" s="130" t="s">
        <v>97</v>
      </c>
      <c r="Z40" s="262" t="s">
        <v>97</v>
      </c>
      <c r="AA40" s="135" t="s">
        <v>97</v>
      </c>
      <c r="AB40" s="147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  <c r="BG40" s="126"/>
      <c r="BH40" s="126"/>
      <c r="BI40" s="126"/>
      <c r="BJ40" s="126"/>
      <c r="BK40" s="126"/>
      <c r="BL40" s="126"/>
      <c r="BM40" s="126"/>
      <c r="BN40" s="126"/>
      <c r="BO40" s="126"/>
      <c r="BP40" s="126"/>
      <c r="BQ40" s="126"/>
    </row>
    <row r="41" spans="1:69" s="90" customFormat="1" ht="92.25" customHeight="1" x14ac:dyDescent="0.55000000000000004">
      <c r="A41" s="319">
        <v>18</v>
      </c>
      <c r="B41" s="136" t="s">
        <v>74</v>
      </c>
      <c r="C41" s="136" t="s">
        <v>89</v>
      </c>
      <c r="D41" s="320">
        <v>41827</v>
      </c>
      <c r="E41" s="127" t="s">
        <v>112</v>
      </c>
      <c r="F41" s="127" t="s">
        <v>96</v>
      </c>
      <c r="G41" s="137" t="s">
        <v>117</v>
      </c>
      <c r="H41" s="128" t="s">
        <v>124</v>
      </c>
      <c r="I41" s="128">
        <v>27090000</v>
      </c>
      <c r="J41" s="129">
        <v>41816</v>
      </c>
      <c r="K41" s="127" t="s">
        <v>48</v>
      </c>
      <c r="L41" s="140" t="s">
        <v>127</v>
      </c>
      <c r="M41" s="128" t="s">
        <v>149</v>
      </c>
      <c r="N41" s="149" t="s">
        <v>139</v>
      </c>
      <c r="O41" s="142">
        <v>949938</v>
      </c>
      <c r="P41" s="143">
        <f t="shared" ref="P41:P42" si="13">O41*S41</f>
        <v>109565848.92</v>
      </c>
      <c r="Q41" s="130">
        <f t="shared" ref="Q41:Q42" si="14">P41*W41</f>
        <v>17062689652.3116</v>
      </c>
      <c r="R41" s="134" t="s">
        <v>25</v>
      </c>
      <c r="S41" s="133">
        <v>115.34</v>
      </c>
      <c r="T41" s="144">
        <f t="shared" si="10"/>
        <v>41906</v>
      </c>
      <c r="U41" s="273" t="s">
        <v>97</v>
      </c>
      <c r="V41" s="130">
        <f t="shared" si="11"/>
        <v>131479.01870399999</v>
      </c>
      <c r="W41" s="133">
        <v>155.72999999999999</v>
      </c>
      <c r="X41" s="134">
        <f t="shared" si="12"/>
        <v>20475227.582773916</v>
      </c>
      <c r="Y41" s="130" t="s">
        <v>97</v>
      </c>
      <c r="Z41" s="262" t="s">
        <v>97</v>
      </c>
      <c r="AA41" s="135" t="s">
        <v>97</v>
      </c>
      <c r="AB41" s="147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6"/>
      <c r="BK41" s="126"/>
      <c r="BL41" s="126"/>
      <c r="BM41" s="126"/>
      <c r="BN41" s="126"/>
      <c r="BO41" s="126"/>
      <c r="BP41" s="126"/>
      <c r="BQ41" s="126"/>
    </row>
    <row r="42" spans="1:69" s="90" customFormat="1" ht="92.25" customHeight="1" x14ac:dyDescent="0.55000000000000004">
      <c r="A42" s="319">
        <v>19</v>
      </c>
      <c r="B42" s="136" t="s">
        <v>75</v>
      </c>
      <c r="C42" s="136" t="s">
        <v>90</v>
      </c>
      <c r="D42" s="320">
        <v>41827</v>
      </c>
      <c r="E42" s="127" t="s">
        <v>113</v>
      </c>
      <c r="F42" s="127" t="s">
        <v>96</v>
      </c>
      <c r="G42" s="137" t="s">
        <v>117</v>
      </c>
      <c r="H42" s="128" t="s">
        <v>123</v>
      </c>
      <c r="I42" s="128">
        <v>27090000</v>
      </c>
      <c r="J42" s="129">
        <v>41818</v>
      </c>
      <c r="K42" s="127" t="s">
        <v>49</v>
      </c>
      <c r="L42" s="140" t="s">
        <v>126</v>
      </c>
      <c r="M42" s="128" t="s">
        <v>140</v>
      </c>
      <c r="N42" s="149" t="s">
        <v>140</v>
      </c>
      <c r="O42" s="142">
        <v>100000</v>
      </c>
      <c r="P42" s="143">
        <f t="shared" si="13"/>
        <v>11444900</v>
      </c>
      <c r="Q42" s="130">
        <f t="shared" si="14"/>
        <v>1782314277</v>
      </c>
      <c r="R42" s="134" t="s">
        <v>25</v>
      </c>
      <c r="S42" s="133">
        <v>114.449</v>
      </c>
      <c r="T42" s="144">
        <f t="shared" si="10"/>
        <v>41908</v>
      </c>
      <c r="U42" s="273" t="s">
        <v>97</v>
      </c>
      <c r="V42" s="130">
        <f t="shared" si="11"/>
        <v>13733.88</v>
      </c>
      <c r="W42" s="133">
        <v>155.72999999999999</v>
      </c>
      <c r="X42" s="134">
        <f t="shared" si="12"/>
        <v>2138777.1323999995</v>
      </c>
      <c r="Y42" s="130" t="s">
        <v>97</v>
      </c>
      <c r="Z42" s="262" t="s">
        <v>97</v>
      </c>
      <c r="AA42" s="135" t="s">
        <v>97</v>
      </c>
      <c r="AB42" s="147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  <c r="BK42" s="126"/>
      <c r="BL42" s="126"/>
      <c r="BM42" s="126"/>
      <c r="BN42" s="126"/>
      <c r="BO42" s="126"/>
      <c r="BP42" s="126"/>
      <c r="BQ42" s="126"/>
    </row>
    <row r="43" spans="1:69" s="90" customFormat="1" ht="92.25" customHeight="1" x14ac:dyDescent="0.55000000000000004">
      <c r="A43" s="319">
        <v>20</v>
      </c>
      <c r="B43" s="136" t="s">
        <v>76</v>
      </c>
      <c r="C43" s="136" t="s">
        <v>91</v>
      </c>
      <c r="D43" s="320">
        <v>41827</v>
      </c>
      <c r="E43" s="127" t="s">
        <v>114</v>
      </c>
      <c r="F43" s="127" t="s">
        <v>96</v>
      </c>
      <c r="G43" s="137" t="s">
        <v>117</v>
      </c>
      <c r="H43" s="128" t="s">
        <v>123</v>
      </c>
      <c r="I43" s="128">
        <v>27090000</v>
      </c>
      <c r="J43" s="129">
        <v>41818</v>
      </c>
      <c r="K43" s="127" t="s">
        <v>49</v>
      </c>
      <c r="L43" s="140" t="s">
        <v>126</v>
      </c>
      <c r="M43" s="128" t="s">
        <v>140</v>
      </c>
      <c r="N43" s="149" t="s">
        <v>140</v>
      </c>
      <c r="O43" s="142">
        <v>215000</v>
      </c>
      <c r="P43" s="143">
        <f t="shared" ref="P43:P44" si="15">O43*S43</f>
        <v>24606535</v>
      </c>
      <c r="Q43" s="130">
        <f t="shared" ref="Q43:Q44" si="16">P43*W43</f>
        <v>3831975695.5499997</v>
      </c>
      <c r="R43" s="134" t="s">
        <v>25</v>
      </c>
      <c r="S43" s="133">
        <v>114.449</v>
      </c>
      <c r="T43" s="144">
        <f t="shared" si="10"/>
        <v>41908</v>
      </c>
      <c r="U43" s="273" t="s">
        <v>97</v>
      </c>
      <c r="V43" s="130">
        <f t="shared" si="11"/>
        <v>29527.841999999997</v>
      </c>
      <c r="W43" s="133">
        <v>155.72999999999999</v>
      </c>
      <c r="X43" s="134">
        <f t="shared" si="12"/>
        <v>4598370.8346599992</v>
      </c>
      <c r="Y43" s="130" t="s">
        <v>97</v>
      </c>
      <c r="Z43" s="262" t="s">
        <v>97</v>
      </c>
      <c r="AA43" s="135" t="s">
        <v>97</v>
      </c>
      <c r="AB43" s="147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6"/>
      <c r="BD43" s="126"/>
      <c r="BE43" s="126"/>
      <c r="BF43" s="126"/>
      <c r="BG43" s="126"/>
      <c r="BH43" s="126"/>
      <c r="BI43" s="126"/>
      <c r="BJ43" s="126"/>
      <c r="BK43" s="126"/>
      <c r="BL43" s="126"/>
      <c r="BM43" s="126"/>
      <c r="BN43" s="126"/>
      <c r="BO43" s="126"/>
      <c r="BP43" s="126"/>
      <c r="BQ43" s="126"/>
    </row>
    <row r="44" spans="1:69" s="90" customFormat="1" ht="92.25" customHeight="1" x14ac:dyDescent="0.55000000000000004">
      <c r="A44" s="319">
        <v>21</v>
      </c>
      <c r="B44" s="136" t="s">
        <v>77</v>
      </c>
      <c r="C44" s="136" t="s">
        <v>92</v>
      </c>
      <c r="D44" s="320">
        <v>41827</v>
      </c>
      <c r="E44" s="127" t="s">
        <v>115</v>
      </c>
      <c r="F44" s="127" t="s">
        <v>96</v>
      </c>
      <c r="G44" s="137" t="s">
        <v>117</v>
      </c>
      <c r="H44" s="128" t="s">
        <v>123</v>
      </c>
      <c r="I44" s="128">
        <v>27090000</v>
      </c>
      <c r="J44" s="129">
        <v>41818</v>
      </c>
      <c r="K44" s="127" t="s">
        <v>49</v>
      </c>
      <c r="L44" s="140" t="s">
        <v>126</v>
      </c>
      <c r="M44" s="128" t="s">
        <v>140</v>
      </c>
      <c r="N44" s="149" t="s">
        <v>140</v>
      </c>
      <c r="O44" s="142">
        <v>634126</v>
      </c>
      <c r="P44" s="143">
        <f t="shared" si="15"/>
        <v>72575086.574000001</v>
      </c>
      <c r="Q44" s="130">
        <f t="shared" si="16"/>
        <v>11302118232.16902</v>
      </c>
      <c r="R44" s="134" t="s">
        <v>25</v>
      </c>
      <c r="S44" s="133">
        <v>114.449</v>
      </c>
      <c r="T44" s="144">
        <f t="shared" si="10"/>
        <v>41908</v>
      </c>
      <c r="U44" s="273" t="s">
        <v>97</v>
      </c>
      <c r="V44" s="130">
        <f t="shared" si="11"/>
        <v>87090.103888799989</v>
      </c>
      <c r="W44" s="133">
        <v>155.72999999999999</v>
      </c>
      <c r="X44" s="134">
        <f t="shared" si="12"/>
        <v>13562541.878602821</v>
      </c>
      <c r="Y44" s="130" t="s">
        <v>97</v>
      </c>
      <c r="Z44" s="262" t="s">
        <v>97</v>
      </c>
      <c r="AA44" s="135" t="s">
        <v>97</v>
      </c>
      <c r="AB44" s="147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6"/>
      <c r="BL44" s="126"/>
      <c r="BM44" s="126"/>
      <c r="BN44" s="126"/>
      <c r="BO44" s="126"/>
      <c r="BP44" s="126"/>
      <c r="BQ44" s="126"/>
    </row>
    <row r="45" spans="1:69" ht="78.75" customHeight="1" x14ac:dyDescent="0.55000000000000004">
      <c r="A45" s="319"/>
      <c r="B45" s="128"/>
      <c r="C45" s="150"/>
      <c r="D45" s="132"/>
      <c r="E45" s="150"/>
      <c r="F45" s="150"/>
      <c r="G45" s="137"/>
      <c r="H45" s="128"/>
      <c r="I45" s="128"/>
      <c r="J45" s="129"/>
      <c r="K45" s="127"/>
      <c r="L45" s="127"/>
      <c r="M45" s="128"/>
      <c r="N45" s="196"/>
      <c r="O45" s="142"/>
      <c r="P45" s="143"/>
      <c r="Q45" s="130"/>
      <c r="R45" s="134"/>
      <c r="S45" s="133"/>
      <c r="T45" s="144"/>
      <c r="U45" s="273"/>
      <c r="V45" s="130"/>
      <c r="W45" s="133"/>
      <c r="X45" s="134"/>
      <c r="Y45" s="134"/>
      <c r="Z45" s="150"/>
      <c r="AA45" s="197"/>
    </row>
    <row r="46" spans="1:69" s="16" customFormat="1" ht="78.75" customHeight="1" thickBot="1" x14ac:dyDescent="0.65">
      <c r="A46" s="215"/>
      <c r="B46" s="153" t="s">
        <v>27</v>
      </c>
      <c r="C46" s="153"/>
      <c r="D46" s="154"/>
      <c r="E46" s="153"/>
      <c r="F46" s="153"/>
      <c r="G46" s="257"/>
      <c r="H46" s="153"/>
      <c r="I46" s="153"/>
      <c r="J46" s="154"/>
      <c r="K46" s="153"/>
      <c r="L46" s="153"/>
      <c r="M46" s="153"/>
      <c r="N46" s="258"/>
      <c r="O46" s="259">
        <f>SUM(O24:O44)</f>
        <v>14559681</v>
      </c>
      <c r="P46" s="158">
        <f>SUM(P24:P44)</f>
        <v>1649518732.0630002</v>
      </c>
      <c r="Q46" s="158">
        <f>SUM(Q24:Q44)</f>
        <v>256704642954.31647</v>
      </c>
      <c r="R46" s="158"/>
      <c r="S46" s="159"/>
      <c r="T46" s="154"/>
      <c r="U46" s="158"/>
      <c r="V46" s="158">
        <f>SUM(V24:V44)</f>
        <v>1979422.4784755993</v>
      </c>
      <c r="W46" s="159"/>
      <c r="X46" s="158">
        <f>SUM(X24:X44)</f>
        <v>308045571.54517972</v>
      </c>
      <c r="Y46" s="158">
        <f>SUM(Y24:Y44)</f>
        <v>85101724.400000006</v>
      </c>
      <c r="Z46" s="153"/>
      <c r="AA46" s="207"/>
    </row>
    <row r="47" spans="1:69" s="16" customFormat="1" ht="23.25" x14ac:dyDescent="0.35">
      <c r="A47" s="39"/>
      <c r="B47" s="37"/>
      <c r="C47" s="35"/>
      <c r="D47" s="36"/>
      <c r="E47" s="35"/>
      <c r="F47" s="35"/>
      <c r="G47" s="40"/>
      <c r="H47" s="35"/>
      <c r="I47" s="35"/>
      <c r="J47" s="36"/>
      <c r="K47" s="35"/>
      <c r="L47" s="35"/>
      <c r="M47" s="35"/>
      <c r="N47" s="41"/>
      <c r="O47" s="29"/>
      <c r="P47" s="30"/>
      <c r="Q47" s="30"/>
      <c r="R47" s="30"/>
      <c r="S47" s="38"/>
      <c r="T47" s="36"/>
      <c r="U47" s="30"/>
      <c r="V47" s="30"/>
      <c r="W47" s="38"/>
      <c r="X47" s="30"/>
      <c r="Y47" s="30"/>
      <c r="Z47" s="35"/>
      <c r="AA47" s="35"/>
    </row>
    <row r="48" spans="1:69" x14ac:dyDescent="0.2">
      <c r="A48" s="7"/>
      <c r="B48" s="8"/>
      <c r="C48" s="6"/>
      <c r="D48" s="17"/>
      <c r="E48" s="18"/>
      <c r="F48" s="6"/>
      <c r="G48" s="19"/>
      <c r="H48" s="6"/>
      <c r="I48" s="6"/>
      <c r="J48" s="20"/>
      <c r="K48" s="8"/>
      <c r="L48" s="8"/>
      <c r="M48" s="6"/>
      <c r="N48" s="6"/>
      <c r="O48" s="21"/>
      <c r="P48" s="22"/>
      <c r="Q48" s="22"/>
      <c r="R48" s="22"/>
      <c r="S48" s="27"/>
      <c r="V48" s="22"/>
      <c r="W48" s="27"/>
      <c r="X48" s="22"/>
      <c r="Y48" s="22"/>
      <c r="Z48" s="6"/>
      <c r="AA48" s="6"/>
    </row>
    <row r="60" spans="14:15" x14ac:dyDescent="0.2">
      <c r="N60" s="23"/>
      <c r="O60" s="24"/>
    </row>
  </sheetData>
  <pageMargins left="0.31496062992125984" right="0.19685039370078741" top="0.15748031496062992" bottom="0.15748031496062992" header="0.31496062992125984" footer="0.31496062992125984"/>
  <pageSetup paperSize="9" scale="12" orientation="landscape" r:id="rId1"/>
  <headerFooter>
    <oddFooter>&amp;R2</oddFooter>
  </headerFooter>
  <colBreaks count="1" manualBreakCount="1">
    <brk id="15" max="72" man="1"/>
  </colBreaks>
  <ignoredErrors>
    <ignoredError sqref="Z27 Z28:Z30 Z24:AA26 E24:E28 E30:E45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"/>
  <sheetViews>
    <sheetView topLeftCell="A28" zoomScale="37" zoomScaleNormal="37" zoomScaleSheetLayoutView="10" workbookViewId="0">
      <selection activeCell="B44" sqref="B44"/>
    </sheetView>
  </sheetViews>
  <sheetFormatPr defaultRowHeight="15" x14ac:dyDescent="0.2"/>
  <cols>
    <col min="1" max="1" width="14.85546875" style="5" customWidth="1"/>
    <col min="2" max="2" width="109.5703125" style="5" customWidth="1"/>
    <col min="3" max="3" width="54.7109375" style="5" customWidth="1"/>
    <col min="4" max="4" width="54.140625" style="14" customWidth="1"/>
    <col min="5" max="5" width="62" style="12" bestFit="1" customWidth="1"/>
    <col min="6" max="6" width="114.42578125" style="5" bestFit="1" customWidth="1"/>
    <col min="7" max="7" width="176.140625" style="13" bestFit="1" customWidth="1"/>
    <col min="8" max="8" width="63" style="5" bestFit="1" customWidth="1"/>
    <col min="9" max="9" width="35" style="5" bestFit="1" customWidth="1"/>
    <col min="10" max="10" width="70.7109375" style="14" customWidth="1"/>
    <col min="11" max="11" width="119" style="5" bestFit="1" customWidth="1"/>
    <col min="12" max="12" width="51.5703125" style="5" customWidth="1"/>
    <col min="13" max="13" width="55.28515625" style="5" customWidth="1"/>
    <col min="14" max="14" width="96.42578125" style="5" bestFit="1" customWidth="1"/>
    <col min="15" max="15" width="71.85546875" style="15" customWidth="1"/>
    <col min="16" max="16" width="79" style="16" bestFit="1" customWidth="1"/>
    <col min="17" max="17" width="91.28515625" style="16" bestFit="1" customWidth="1"/>
    <col min="18" max="18" width="59.5703125" style="16" customWidth="1"/>
    <col min="19" max="19" width="55.85546875" style="26" customWidth="1"/>
    <col min="20" max="20" width="65.28515625" style="17" customWidth="1"/>
    <col min="21" max="21" width="72.7109375" style="5" bestFit="1" customWidth="1"/>
    <col min="22" max="22" width="72.42578125" style="16" customWidth="1"/>
    <col min="23" max="23" width="62.140625" style="26" customWidth="1"/>
    <col min="24" max="24" width="75.5703125" style="16" customWidth="1"/>
    <col min="25" max="25" width="65.5703125" style="16" customWidth="1"/>
    <col min="26" max="26" width="71" style="5" customWidth="1"/>
    <col min="27" max="27" width="65.5703125" style="5" customWidth="1"/>
    <col min="28" max="16384" width="9.140625" style="4"/>
  </cols>
  <sheetData>
    <row r="1" spans="1:27" s="3" customFormat="1" ht="18" x14ac:dyDescent="0.25">
      <c r="A1" s="2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7" spans="1:27" s="88" customFormat="1" ht="160.5" customHeight="1" x14ac:dyDescent="0.6">
      <c r="B27" s="201" t="s">
        <v>33</v>
      </c>
      <c r="C27" s="90"/>
      <c r="D27" s="202"/>
      <c r="E27" s="91"/>
      <c r="F27" s="90"/>
      <c r="G27" s="203"/>
      <c r="H27" s="90"/>
      <c r="I27" s="90"/>
      <c r="J27" s="202"/>
      <c r="K27" s="90"/>
      <c r="L27" s="90"/>
      <c r="M27" s="90"/>
      <c r="N27" s="90"/>
      <c r="O27" s="93"/>
      <c r="P27" s="94"/>
      <c r="Q27" s="94"/>
      <c r="R27" s="94"/>
      <c r="S27" s="95"/>
      <c r="T27" s="96"/>
      <c r="U27" s="90"/>
      <c r="V27" s="94"/>
      <c r="W27" s="95"/>
      <c r="X27" s="94"/>
      <c r="Y27" s="94"/>
      <c r="Z27" s="90"/>
      <c r="AA27" s="90"/>
    </row>
    <row r="28" spans="1:27" s="98" customFormat="1" ht="160.5" customHeight="1" thickBot="1" x14ac:dyDescent="0.3">
      <c r="B28" s="99"/>
      <c r="C28" s="99"/>
      <c r="D28" s="100"/>
      <c r="E28" s="101"/>
      <c r="F28" s="99"/>
      <c r="G28" s="102"/>
      <c r="H28" s="103"/>
      <c r="I28" s="103"/>
      <c r="J28" s="104"/>
      <c r="K28" s="105"/>
      <c r="L28" s="106"/>
      <c r="M28" s="103"/>
      <c r="N28" s="106"/>
      <c r="O28" s="107"/>
      <c r="P28" s="108"/>
      <c r="Q28" s="108"/>
      <c r="R28" s="108"/>
      <c r="S28" s="109"/>
      <c r="T28" s="110"/>
      <c r="U28" s="99"/>
      <c r="V28" s="108"/>
      <c r="W28" s="109"/>
      <c r="X28" s="108"/>
      <c r="Y28" s="108"/>
      <c r="Z28" s="99"/>
      <c r="AA28" s="99"/>
    </row>
    <row r="29" spans="1:27" s="99" customFormat="1" ht="160.5" customHeight="1" x14ac:dyDescent="0.25">
      <c r="A29" s="111">
        <v>1</v>
      </c>
      <c r="B29" s="112">
        <v>2</v>
      </c>
      <c r="C29" s="112">
        <v>3</v>
      </c>
      <c r="D29" s="113">
        <v>4</v>
      </c>
      <c r="E29" s="112">
        <v>5</v>
      </c>
      <c r="F29" s="112">
        <v>6</v>
      </c>
      <c r="G29" s="114">
        <v>7</v>
      </c>
      <c r="H29" s="112">
        <v>8</v>
      </c>
      <c r="I29" s="260">
        <v>9</v>
      </c>
      <c r="J29" s="112">
        <v>10</v>
      </c>
      <c r="K29" s="112">
        <v>11</v>
      </c>
      <c r="L29" s="112">
        <v>12</v>
      </c>
      <c r="M29" s="112">
        <v>13</v>
      </c>
      <c r="N29" s="112">
        <v>14</v>
      </c>
      <c r="O29" s="112">
        <v>15</v>
      </c>
      <c r="P29" s="112">
        <v>16</v>
      </c>
      <c r="Q29" s="112">
        <v>17</v>
      </c>
      <c r="R29" s="112">
        <v>18</v>
      </c>
      <c r="S29" s="112">
        <v>19</v>
      </c>
      <c r="T29" s="112">
        <v>20</v>
      </c>
      <c r="U29" s="112">
        <v>21</v>
      </c>
      <c r="V29" s="112">
        <v>22</v>
      </c>
      <c r="W29" s="113">
        <v>23</v>
      </c>
      <c r="X29" s="112">
        <v>24</v>
      </c>
      <c r="Y29" s="112">
        <v>25</v>
      </c>
      <c r="Z29" s="112">
        <v>26</v>
      </c>
      <c r="AA29" s="115">
        <v>27</v>
      </c>
    </row>
    <row r="30" spans="1:27" s="125" customFormat="1" ht="160.5" customHeight="1" thickBot="1" x14ac:dyDescent="0.3">
      <c r="A30" s="116" t="s">
        <v>0</v>
      </c>
      <c r="B30" s="117" t="s">
        <v>1</v>
      </c>
      <c r="C30" s="118" t="s">
        <v>2</v>
      </c>
      <c r="D30" s="119" t="s">
        <v>3</v>
      </c>
      <c r="E30" s="120" t="s">
        <v>4</v>
      </c>
      <c r="F30" s="118" t="s">
        <v>5</v>
      </c>
      <c r="G30" s="265" t="s">
        <v>6</v>
      </c>
      <c r="H30" s="266" t="s">
        <v>7</v>
      </c>
      <c r="I30" s="118" t="s">
        <v>8</v>
      </c>
      <c r="J30" s="267" t="s">
        <v>9</v>
      </c>
      <c r="K30" s="117" t="s">
        <v>10</v>
      </c>
      <c r="L30" s="117" t="s">
        <v>11</v>
      </c>
      <c r="M30" s="118" t="s">
        <v>12</v>
      </c>
      <c r="N30" s="118" t="s">
        <v>13</v>
      </c>
      <c r="O30" s="121" t="s">
        <v>14</v>
      </c>
      <c r="P30" s="122" t="s">
        <v>26</v>
      </c>
      <c r="Q30" s="122" t="s">
        <v>31</v>
      </c>
      <c r="R30" s="122" t="s">
        <v>15</v>
      </c>
      <c r="S30" s="123" t="s">
        <v>16</v>
      </c>
      <c r="T30" s="119" t="s">
        <v>17</v>
      </c>
      <c r="U30" s="118" t="s">
        <v>18</v>
      </c>
      <c r="V30" s="122" t="s">
        <v>19</v>
      </c>
      <c r="W30" s="123" t="s">
        <v>20</v>
      </c>
      <c r="X30" s="122" t="s">
        <v>21</v>
      </c>
      <c r="Y30" s="122" t="s">
        <v>22</v>
      </c>
      <c r="Z30" s="118" t="s">
        <v>24</v>
      </c>
      <c r="AA30" s="124" t="s">
        <v>23</v>
      </c>
    </row>
    <row r="31" spans="1:27" s="90" customFormat="1" ht="160.5" customHeight="1" x14ac:dyDescent="0.55000000000000004">
      <c r="A31" s="248">
        <v>1</v>
      </c>
      <c r="B31" s="268" t="s">
        <v>50</v>
      </c>
      <c r="C31" s="218" t="s">
        <v>78</v>
      </c>
      <c r="D31" s="269" t="s">
        <v>78</v>
      </c>
      <c r="E31" s="233" t="s">
        <v>93</v>
      </c>
      <c r="F31" s="218" t="s">
        <v>94</v>
      </c>
      <c r="G31" s="270" t="s">
        <v>116</v>
      </c>
      <c r="H31" s="217" t="s">
        <v>123</v>
      </c>
      <c r="I31" s="217">
        <v>27090000</v>
      </c>
      <c r="J31" s="219">
        <v>41793</v>
      </c>
      <c r="K31" s="218" t="s">
        <v>34</v>
      </c>
      <c r="L31" s="249" t="s">
        <v>126</v>
      </c>
      <c r="M31" s="217" t="s">
        <v>141</v>
      </c>
      <c r="N31" s="250" t="s">
        <v>129</v>
      </c>
      <c r="O31" s="251">
        <v>953838</v>
      </c>
      <c r="P31" s="252">
        <f t="shared" ref="P31" si="0">O31*S31</f>
        <v>106469305.236</v>
      </c>
      <c r="Q31" s="252">
        <f t="shared" ref="Q31" si="1">P31*W31</f>
        <v>16580464904.402279</v>
      </c>
      <c r="R31" s="252" t="s">
        <v>25</v>
      </c>
      <c r="S31" s="231">
        <v>111.622</v>
      </c>
      <c r="T31" s="253">
        <f t="shared" ref="T31" si="2">J31+90</f>
        <v>41883</v>
      </c>
      <c r="U31" s="254" t="s">
        <v>97</v>
      </c>
      <c r="V31" s="252">
        <f t="shared" ref="V31" si="3">P31*0.12%</f>
        <v>127763.16628319999</v>
      </c>
      <c r="W31" s="231">
        <v>155.72999999999999</v>
      </c>
      <c r="X31" s="252">
        <f t="shared" ref="X31" si="4">V31*W31</f>
        <v>19896557.885282733</v>
      </c>
      <c r="Y31" s="252" t="s">
        <v>97</v>
      </c>
      <c r="Z31" s="218" t="s">
        <v>97</v>
      </c>
      <c r="AA31" s="255" t="s">
        <v>97</v>
      </c>
    </row>
    <row r="32" spans="1:27" s="90" customFormat="1" ht="160.5" customHeight="1" x14ac:dyDescent="0.55000000000000004">
      <c r="A32" s="195">
        <v>2</v>
      </c>
      <c r="B32" s="136" t="s">
        <v>52</v>
      </c>
      <c r="C32" s="127" t="s">
        <v>78</v>
      </c>
      <c r="D32" s="132" t="s">
        <v>78</v>
      </c>
      <c r="E32" s="325" t="s">
        <v>97</v>
      </c>
      <c r="F32" s="325" t="s">
        <v>97</v>
      </c>
      <c r="G32" s="137" t="s">
        <v>117</v>
      </c>
      <c r="H32" s="128" t="s">
        <v>123</v>
      </c>
      <c r="I32" s="128">
        <v>27090000</v>
      </c>
      <c r="J32" s="129">
        <v>41797</v>
      </c>
      <c r="K32" s="127" t="s">
        <v>36</v>
      </c>
      <c r="L32" s="140" t="s">
        <v>126</v>
      </c>
      <c r="M32" s="128" t="s">
        <v>143</v>
      </c>
      <c r="N32" s="149" t="s">
        <v>131</v>
      </c>
      <c r="O32" s="142">
        <v>664521</v>
      </c>
      <c r="P32" s="134">
        <f t="shared" ref="P32" si="5">O32*S32</f>
        <v>74438313.378000006</v>
      </c>
      <c r="Q32" s="134">
        <f t="shared" ref="Q32" si="6">P32*W32</f>
        <v>11592278542.35594</v>
      </c>
      <c r="R32" s="134" t="s">
        <v>25</v>
      </c>
      <c r="S32" s="133">
        <v>112.018</v>
      </c>
      <c r="T32" s="144">
        <f t="shared" ref="T32" si="7">J32+90</f>
        <v>41887</v>
      </c>
      <c r="U32" s="150" t="s">
        <v>97</v>
      </c>
      <c r="V32" s="134">
        <f t="shared" ref="V32" si="8">P32*0.12%</f>
        <v>89325.976053599996</v>
      </c>
      <c r="W32" s="133">
        <v>155.72999999999999</v>
      </c>
      <c r="X32" s="134">
        <f t="shared" ref="X32" si="9">V32*W32</f>
        <v>13910734.250827126</v>
      </c>
      <c r="Y32" s="134" t="s">
        <v>97</v>
      </c>
      <c r="Z32" s="127" t="s">
        <v>97</v>
      </c>
      <c r="AA32" s="204" t="s">
        <v>97</v>
      </c>
    </row>
    <row r="33" spans="1:27" s="90" customFormat="1" ht="160.5" customHeight="1" x14ac:dyDescent="0.55000000000000004">
      <c r="A33" s="195">
        <v>3</v>
      </c>
      <c r="B33" s="136" t="s">
        <v>58</v>
      </c>
      <c r="C33" s="127" t="s">
        <v>78</v>
      </c>
      <c r="D33" s="132" t="s">
        <v>78</v>
      </c>
      <c r="E33" s="326" t="s">
        <v>103</v>
      </c>
      <c r="F33" s="325" t="s">
        <v>94</v>
      </c>
      <c r="G33" s="137" t="s">
        <v>116</v>
      </c>
      <c r="H33" s="128" t="s">
        <v>123</v>
      </c>
      <c r="I33" s="128">
        <v>27090000</v>
      </c>
      <c r="J33" s="129">
        <v>41801</v>
      </c>
      <c r="K33" s="127" t="s">
        <v>39</v>
      </c>
      <c r="L33" s="140" t="s">
        <v>126</v>
      </c>
      <c r="M33" s="128" t="s">
        <v>145</v>
      </c>
      <c r="N33" s="149" t="s">
        <v>133</v>
      </c>
      <c r="O33" s="142">
        <v>500779</v>
      </c>
      <c r="P33" s="134">
        <f t="shared" ref="P33:P44" si="10">O33*S33</f>
        <v>56861452.334000006</v>
      </c>
      <c r="Q33" s="134">
        <f t="shared" ref="Q33:Q44" si="11">P33*W33</f>
        <v>8855033971.9738197</v>
      </c>
      <c r="R33" s="134" t="s">
        <v>25</v>
      </c>
      <c r="S33" s="133">
        <v>113.54600000000001</v>
      </c>
      <c r="T33" s="144">
        <f t="shared" ref="T33:T44" si="12">J33+90</f>
        <v>41891</v>
      </c>
      <c r="U33" s="150" t="s">
        <v>97</v>
      </c>
      <c r="V33" s="134">
        <f t="shared" ref="V33:V44" si="13">P33*0.12%</f>
        <v>68233.742800799999</v>
      </c>
      <c r="W33" s="133">
        <v>155.72999999999999</v>
      </c>
      <c r="X33" s="134">
        <f t="shared" ref="X33:X44" si="14">V33*W33</f>
        <v>10626040.766368583</v>
      </c>
      <c r="Y33" s="134" t="s">
        <v>97</v>
      </c>
      <c r="Z33" s="127" t="s">
        <v>97</v>
      </c>
      <c r="AA33" s="204" t="s">
        <v>97</v>
      </c>
    </row>
    <row r="34" spans="1:27" s="90" customFormat="1" ht="160.5" customHeight="1" x14ac:dyDescent="0.55000000000000004">
      <c r="A34" s="195">
        <v>4</v>
      </c>
      <c r="B34" s="136" t="s">
        <v>59</v>
      </c>
      <c r="C34" s="127" t="s">
        <v>78</v>
      </c>
      <c r="D34" s="132" t="s">
        <v>78</v>
      </c>
      <c r="E34" s="325" t="s">
        <v>97</v>
      </c>
      <c r="F34" s="325" t="s">
        <v>97</v>
      </c>
      <c r="G34" s="137" t="s">
        <v>118</v>
      </c>
      <c r="H34" s="128" t="s">
        <v>123</v>
      </c>
      <c r="I34" s="128">
        <v>27090000</v>
      </c>
      <c r="J34" s="129">
        <v>41801</v>
      </c>
      <c r="K34" s="127" t="s">
        <v>39</v>
      </c>
      <c r="L34" s="140" t="s">
        <v>126</v>
      </c>
      <c r="M34" s="128" t="s">
        <v>145</v>
      </c>
      <c r="N34" s="149" t="s">
        <v>133</v>
      </c>
      <c r="O34" s="142">
        <v>138475</v>
      </c>
      <c r="P34" s="134">
        <f t="shared" si="10"/>
        <v>15723282.350000001</v>
      </c>
      <c r="Q34" s="134">
        <f t="shared" si="11"/>
        <v>2448586760.3655</v>
      </c>
      <c r="R34" s="134" t="s">
        <v>25</v>
      </c>
      <c r="S34" s="133">
        <v>113.54600000000001</v>
      </c>
      <c r="T34" s="144">
        <f t="shared" si="12"/>
        <v>41891</v>
      </c>
      <c r="U34" s="150" t="s">
        <v>97</v>
      </c>
      <c r="V34" s="134">
        <f t="shared" si="13"/>
        <v>18867.938819999999</v>
      </c>
      <c r="W34" s="133">
        <v>155.72999999999999</v>
      </c>
      <c r="X34" s="134">
        <f t="shared" si="14"/>
        <v>2938304.1124385996</v>
      </c>
      <c r="Y34" s="134" t="s">
        <v>97</v>
      </c>
      <c r="Z34" s="127" t="s">
        <v>97</v>
      </c>
      <c r="AA34" s="204" t="s">
        <v>97</v>
      </c>
    </row>
    <row r="35" spans="1:27" s="90" customFormat="1" ht="160.5" customHeight="1" x14ac:dyDescent="0.55000000000000004">
      <c r="A35" s="195">
        <v>5</v>
      </c>
      <c r="B35" s="136" t="s">
        <v>60</v>
      </c>
      <c r="C35" s="127" t="s">
        <v>78</v>
      </c>
      <c r="D35" s="132" t="s">
        <v>78</v>
      </c>
      <c r="E35" s="326" t="s">
        <v>104</v>
      </c>
      <c r="F35" s="325" t="s">
        <v>105</v>
      </c>
      <c r="G35" s="137" t="s">
        <v>119</v>
      </c>
      <c r="H35" s="128" t="s">
        <v>123</v>
      </c>
      <c r="I35" s="128">
        <v>27090000</v>
      </c>
      <c r="J35" s="129">
        <v>41801</v>
      </c>
      <c r="K35" s="127" t="s">
        <v>39</v>
      </c>
      <c r="L35" s="140" t="s">
        <v>126</v>
      </c>
      <c r="M35" s="128" t="s">
        <v>145</v>
      </c>
      <c r="N35" s="149" t="s">
        <v>133</v>
      </c>
      <c r="O35" s="142">
        <v>162350</v>
      </c>
      <c r="P35" s="134">
        <f t="shared" si="10"/>
        <v>18434193.100000001</v>
      </c>
      <c r="Q35" s="134">
        <f t="shared" si="11"/>
        <v>2870756891.4629998</v>
      </c>
      <c r="R35" s="134" t="s">
        <v>25</v>
      </c>
      <c r="S35" s="133">
        <v>113.54600000000001</v>
      </c>
      <c r="T35" s="144">
        <f t="shared" si="12"/>
        <v>41891</v>
      </c>
      <c r="U35" s="150" t="s">
        <v>97</v>
      </c>
      <c r="V35" s="134">
        <f t="shared" si="13"/>
        <v>22121.031719999999</v>
      </c>
      <c r="W35" s="133">
        <v>155.72999999999999</v>
      </c>
      <c r="X35" s="134">
        <f t="shared" si="14"/>
        <v>3444908.2697555996</v>
      </c>
      <c r="Y35" s="134" t="s">
        <v>97</v>
      </c>
      <c r="Z35" s="127" t="s">
        <v>97</v>
      </c>
      <c r="AA35" s="204" t="s">
        <v>97</v>
      </c>
    </row>
    <row r="36" spans="1:27" s="90" customFormat="1" ht="160.5" customHeight="1" x14ac:dyDescent="0.55000000000000004">
      <c r="A36" s="128">
        <v>6</v>
      </c>
      <c r="B36" s="136" t="s">
        <v>61</v>
      </c>
      <c r="C36" s="136" t="s">
        <v>78</v>
      </c>
      <c r="D36" s="132" t="s">
        <v>78</v>
      </c>
      <c r="E36" s="325" t="s">
        <v>97</v>
      </c>
      <c r="F36" s="325" t="s">
        <v>97</v>
      </c>
      <c r="G36" s="137" t="s">
        <v>120</v>
      </c>
      <c r="H36" s="128" t="s">
        <v>123</v>
      </c>
      <c r="I36" s="128">
        <v>27090000</v>
      </c>
      <c r="J36" s="129">
        <v>41801</v>
      </c>
      <c r="K36" s="127" t="s">
        <v>39</v>
      </c>
      <c r="L36" s="140" t="s">
        <v>126</v>
      </c>
      <c r="M36" s="128" t="s">
        <v>145</v>
      </c>
      <c r="N36" s="149" t="s">
        <v>133</v>
      </c>
      <c r="O36" s="142">
        <v>152800</v>
      </c>
      <c r="P36" s="134">
        <f t="shared" si="10"/>
        <v>17349828.800000001</v>
      </c>
      <c r="Q36" s="134">
        <f t="shared" si="11"/>
        <v>2701888839.0240002</v>
      </c>
      <c r="R36" s="134" t="s">
        <v>25</v>
      </c>
      <c r="S36" s="133">
        <v>113.54600000000001</v>
      </c>
      <c r="T36" s="144">
        <f t="shared" si="12"/>
        <v>41891</v>
      </c>
      <c r="U36" s="150" t="s">
        <v>97</v>
      </c>
      <c r="V36" s="134">
        <f t="shared" si="13"/>
        <v>20819.794559999998</v>
      </c>
      <c r="W36" s="133">
        <v>155.72999999999999</v>
      </c>
      <c r="X36" s="134">
        <f t="shared" si="14"/>
        <v>3242266.6068287995</v>
      </c>
      <c r="Y36" s="134" t="s">
        <v>97</v>
      </c>
      <c r="Z36" s="127" t="s">
        <v>97</v>
      </c>
      <c r="AA36" s="204" t="s">
        <v>97</v>
      </c>
    </row>
    <row r="37" spans="1:27" s="90" customFormat="1" ht="160.5" customHeight="1" x14ac:dyDescent="0.55000000000000004">
      <c r="A37" s="128">
        <v>7</v>
      </c>
      <c r="B37" s="136" t="s">
        <v>62</v>
      </c>
      <c r="C37" s="136" t="s">
        <v>78</v>
      </c>
      <c r="D37" s="132" t="s">
        <v>78</v>
      </c>
      <c r="E37" s="325" t="s">
        <v>97</v>
      </c>
      <c r="F37" s="325" t="s">
        <v>97</v>
      </c>
      <c r="G37" s="137" t="s">
        <v>121</v>
      </c>
      <c r="H37" s="128" t="s">
        <v>124</v>
      </c>
      <c r="I37" s="128">
        <v>27090000</v>
      </c>
      <c r="J37" s="129">
        <v>41802</v>
      </c>
      <c r="K37" s="127" t="s">
        <v>40</v>
      </c>
      <c r="L37" s="140" t="s">
        <v>127</v>
      </c>
      <c r="M37" s="128" t="s">
        <v>141</v>
      </c>
      <c r="N37" s="149" t="s">
        <v>134</v>
      </c>
      <c r="O37" s="142">
        <v>950058</v>
      </c>
      <c r="P37" s="134">
        <f t="shared" si="10"/>
        <v>108367415.712</v>
      </c>
      <c r="Q37" s="134">
        <f t="shared" si="11"/>
        <v>16876057648.829758</v>
      </c>
      <c r="R37" s="134" t="s">
        <v>25</v>
      </c>
      <c r="S37" s="133">
        <v>114.06399999999999</v>
      </c>
      <c r="T37" s="144">
        <f t="shared" si="12"/>
        <v>41892</v>
      </c>
      <c r="U37" s="150" t="s">
        <v>97</v>
      </c>
      <c r="V37" s="134">
        <f t="shared" si="13"/>
        <v>130040.89885439999</v>
      </c>
      <c r="W37" s="133">
        <v>155.72999999999999</v>
      </c>
      <c r="X37" s="134">
        <f t="shared" si="14"/>
        <v>20251269.178595711</v>
      </c>
      <c r="Y37" s="134" t="s">
        <v>97</v>
      </c>
      <c r="Z37" s="127" t="s">
        <v>97</v>
      </c>
      <c r="AA37" s="204" t="s">
        <v>97</v>
      </c>
    </row>
    <row r="38" spans="1:27" s="90" customFormat="1" ht="160.5" customHeight="1" x14ac:dyDescent="0.55000000000000004">
      <c r="A38" s="195">
        <v>8</v>
      </c>
      <c r="B38" s="136" t="s">
        <v>63</v>
      </c>
      <c r="C38" s="136" t="s">
        <v>78</v>
      </c>
      <c r="D38" s="132" t="s">
        <v>78</v>
      </c>
      <c r="E38" s="325" t="s">
        <v>97</v>
      </c>
      <c r="F38" s="325" t="s">
        <v>97</v>
      </c>
      <c r="G38" s="137" t="s">
        <v>121</v>
      </c>
      <c r="H38" s="128" t="s">
        <v>124</v>
      </c>
      <c r="I38" s="128">
        <v>27090000</v>
      </c>
      <c r="J38" s="129">
        <v>41803</v>
      </c>
      <c r="K38" s="127" t="s">
        <v>40</v>
      </c>
      <c r="L38" s="140" t="s">
        <v>127</v>
      </c>
      <c r="M38" s="128" t="s">
        <v>141</v>
      </c>
      <c r="N38" s="149" t="s">
        <v>134</v>
      </c>
      <c r="O38" s="142">
        <v>949440</v>
      </c>
      <c r="P38" s="134">
        <f t="shared" si="10"/>
        <v>109089706.56</v>
      </c>
      <c r="Q38" s="134">
        <f t="shared" si="11"/>
        <v>16988540002.588799</v>
      </c>
      <c r="R38" s="134" t="s">
        <v>25</v>
      </c>
      <c r="S38" s="133">
        <v>114.899</v>
      </c>
      <c r="T38" s="144">
        <f t="shared" si="12"/>
        <v>41893</v>
      </c>
      <c r="U38" s="150" t="s">
        <v>97</v>
      </c>
      <c r="V38" s="134">
        <f t="shared" si="13"/>
        <v>130907.64787199999</v>
      </c>
      <c r="W38" s="133">
        <v>155.72999999999999</v>
      </c>
      <c r="X38" s="134">
        <f t="shared" si="14"/>
        <v>20386248.003106557</v>
      </c>
      <c r="Y38" s="134" t="s">
        <v>97</v>
      </c>
      <c r="Z38" s="127" t="s">
        <v>97</v>
      </c>
      <c r="AA38" s="204" t="s">
        <v>97</v>
      </c>
    </row>
    <row r="39" spans="1:27" s="90" customFormat="1" ht="160.5" customHeight="1" x14ac:dyDescent="0.55000000000000004">
      <c r="A39" s="331">
        <v>9</v>
      </c>
      <c r="B39" s="136" t="s">
        <v>64</v>
      </c>
      <c r="C39" s="136" t="s">
        <v>78</v>
      </c>
      <c r="D39" s="132" t="s">
        <v>78</v>
      </c>
      <c r="E39" s="333" t="s">
        <v>106</v>
      </c>
      <c r="F39" s="325" t="s">
        <v>107</v>
      </c>
      <c r="G39" s="137" t="s">
        <v>122</v>
      </c>
      <c r="H39" s="128" t="s">
        <v>123</v>
      </c>
      <c r="I39" s="128">
        <v>27090000</v>
      </c>
      <c r="J39" s="129">
        <v>41806</v>
      </c>
      <c r="K39" s="127" t="s">
        <v>41</v>
      </c>
      <c r="L39" s="140" t="s">
        <v>126</v>
      </c>
      <c r="M39" s="128" t="s">
        <v>146</v>
      </c>
      <c r="N39" s="149" t="s">
        <v>135</v>
      </c>
      <c r="O39" s="142">
        <v>820000</v>
      </c>
      <c r="P39" s="134">
        <f t="shared" si="10"/>
        <v>95311060</v>
      </c>
      <c r="Q39" s="134">
        <f t="shared" si="11"/>
        <v>14842791373.799999</v>
      </c>
      <c r="R39" s="134" t="s">
        <v>25</v>
      </c>
      <c r="S39" s="133">
        <v>116.233</v>
      </c>
      <c r="T39" s="144">
        <f t="shared" si="12"/>
        <v>41896</v>
      </c>
      <c r="U39" s="150" t="s">
        <v>97</v>
      </c>
      <c r="V39" s="134">
        <f t="shared" si="13"/>
        <v>114373.272</v>
      </c>
      <c r="W39" s="133">
        <v>155.72999999999999</v>
      </c>
      <c r="X39" s="134">
        <f t="shared" si="14"/>
        <v>17811349.648559999</v>
      </c>
      <c r="Y39" s="134" t="s">
        <v>97</v>
      </c>
      <c r="Z39" s="127" t="s">
        <v>97</v>
      </c>
      <c r="AA39" s="204" t="s">
        <v>97</v>
      </c>
    </row>
    <row r="40" spans="1:27" s="90" customFormat="1" ht="160.5" customHeight="1" x14ac:dyDescent="0.55000000000000004">
      <c r="A40" s="332"/>
      <c r="B40" s="136" t="s">
        <v>65</v>
      </c>
      <c r="C40" s="136" t="s">
        <v>78</v>
      </c>
      <c r="D40" s="132" t="s">
        <v>78</v>
      </c>
      <c r="E40" s="334"/>
      <c r="F40" s="325" t="s">
        <v>107</v>
      </c>
      <c r="G40" s="137" t="s">
        <v>122</v>
      </c>
      <c r="H40" s="128" t="s">
        <v>123</v>
      </c>
      <c r="I40" s="128">
        <v>27090000</v>
      </c>
      <c r="J40" s="129">
        <v>41806</v>
      </c>
      <c r="K40" s="127" t="s">
        <v>41</v>
      </c>
      <c r="L40" s="140" t="s">
        <v>126</v>
      </c>
      <c r="M40" s="128" t="s">
        <v>146</v>
      </c>
      <c r="N40" s="149" t="s">
        <v>135</v>
      </c>
      <c r="O40" s="142">
        <v>179591</v>
      </c>
      <c r="P40" s="134">
        <f t="shared" si="10"/>
        <v>20874400.703000002</v>
      </c>
      <c r="Q40" s="134">
        <f t="shared" si="11"/>
        <v>3250770421.4781899</v>
      </c>
      <c r="R40" s="134" t="s">
        <v>25</v>
      </c>
      <c r="S40" s="133">
        <v>116.233</v>
      </c>
      <c r="T40" s="144">
        <f t="shared" si="12"/>
        <v>41896</v>
      </c>
      <c r="U40" s="150" t="s">
        <v>97</v>
      </c>
      <c r="V40" s="134">
        <f t="shared" si="13"/>
        <v>25049.280843600001</v>
      </c>
      <c r="W40" s="133">
        <v>155.72999999999999</v>
      </c>
      <c r="X40" s="134">
        <f t="shared" si="14"/>
        <v>3900924.5057738279</v>
      </c>
      <c r="Y40" s="134" t="s">
        <v>97</v>
      </c>
      <c r="Z40" s="127" t="s">
        <v>97</v>
      </c>
      <c r="AA40" s="204" t="s">
        <v>97</v>
      </c>
    </row>
    <row r="41" spans="1:27" s="90" customFormat="1" ht="160.5" customHeight="1" x14ac:dyDescent="0.55000000000000004">
      <c r="A41" s="195">
        <v>10</v>
      </c>
      <c r="B41" s="136" t="s">
        <v>66</v>
      </c>
      <c r="C41" s="127" t="s">
        <v>78</v>
      </c>
      <c r="D41" s="132" t="s">
        <v>78</v>
      </c>
      <c r="E41" s="325" t="s">
        <v>97</v>
      </c>
      <c r="F41" s="325" t="s">
        <v>97</v>
      </c>
      <c r="G41" s="137" t="s">
        <v>117</v>
      </c>
      <c r="H41" s="128" t="s">
        <v>123</v>
      </c>
      <c r="I41" s="128">
        <v>27090000</v>
      </c>
      <c r="J41" s="129">
        <v>41807</v>
      </c>
      <c r="K41" s="127" t="s">
        <v>42</v>
      </c>
      <c r="L41" s="140" t="s">
        <v>126</v>
      </c>
      <c r="M41" s="128" t="s">
        <v>147</v>
      </c>
      <c r="N41" s="149" t="s">
        <v>136</v>
      </c>
      <c r="O41" s="142">
        <v>80000</v>
      </c>
      <c r="P41" s="134">
        <f t="shared" si="10"/>
        <v>9338160</v>
      </c>
      <c r="Q41" s="134">
        <f t="shared" si="11"/>
        <v>1454231656.8</v>
      </c>
      <c r="R41" s="134" t="s">
        <v>25</v>
      </c>
      <c r="S41" s="133">
        <v>116.727</v>
      </c>
      <c r="T41" s="144">
        <f t="shared" si="12"/>
        <v>41897</v>
      </c>
      <c r="U41" s="150" t="s">
        <v>97</v>
      </c>
      <c r="V41" s="134">
        <f t="shared" si="13"/>
        <v>11205.791999999999</v>
      </c>
      <c r="W41" s="133">
        <v>155.72999999999999</v>
      </c>
      <c r="X41" s="134">
        <f t="shared" si="14"/>
        <v>1745077.9881599997</v>
      </c>
      <c r="Y41" s="134" t="s">
        <v>97</v>
      </c>
      <c r="Z41" s="127" t="s">
        <v>97</v>
      </c>
      <c r="AA41" s="204" t="s">
        <v>97</v>
      </c>
    </row>
    <row r="42" spans="1:27" s="90" customFormat="1" ht="160.5" customHeight="1" x14ac:dyDescent="0.55000000000000004">
      <c r="A42" s="195">
        <v>11</v>
      </c>
      <c r="B42" s="136" t="s">
        <v>67</v>
      </c>
      <c r="C42" s="127" t="s">
        <v>78</v>
      </c>
      <c r="D42" s="132" t="s">
        <v>78</v>
      </c>
      <c r="E42" s="325" t="s">
        <v>97</v>
      </c>
      <c r="F42" s="325" t="s">
        <v>97</v>
      </c>
      <c r="G42" s="137" t="s">
        <v>117</v>
      </c>
      <c r="H42" s="128" t="s">
        <v>123</v>
      </c>
      <c r="I42" s="128">
        <v>27090000</v>
      </c>
      <c r="J42" s="129">
        <v>41807</v>
      </c>
      <c r="K42" s="127" t="s">
        <v>42</v>
      </c>
      <c r="L42" s="140" t="s">
        <v>126</v>
      </c>
      <c r="M42" s="128" t="s">
        <v>147</v>
      </c>
      <c r="N42" s="149" t="s">
        <v>136</v>
      </c>
      <c r="O42" s="142">
        <v>968987</v>
      </c>
      <c r="P42" s="134">
        <f t="shared" si="10"/>
        <v>113106945.54900001</v>
      </c>
      <c r="Q42" s="134">
        <f t="shared" si="11"/>
        <v>17614144630.345772</v>
      </c>
      <c r="R42" s="134" t="s">
        <v>25</v>
      </c>
      <c r="S42" s="133">
        <v>116.727</v>
      </c>
      <c r="T42" s="144">
        <f t="shared" si="12"/>
        <v>41897</v>
      </c>
      <c r="U42" s="150" t="s">
        <v>97</v>
      </c>
      <c r="V42" s="134">
        <f t="shared" si="13"/>
        <v>135728.33465880001</v>
      </c>
      <c r="W42" s="133">
        <v>155.72999999999999</v>
      </c>
      <c r="X42" s="134">
        <f t="shared" si="14"/>
        <v>21136973.556414925</v>
      </c>
      <c r="Y42" s="134" t="s">
        <v>97</v>
      </c>
      <c r="Z42" s="127" t="s">
        <v>97</v>
      </c>
      <c r="AA42" s="204" t="s">
        <v>97</v>
      </c>
    </row>
    <row r="43" spans="1:27" s="90" customFormat="1" ht="160.5" customHeight="1" x14ac:dyDescent="0.55000000000000004">
      <c r="A43" s="195">
        <v>12</v>
      </c>
      <c r="B43" s="136" t="s">
        <v>70</v>
      </c>
      <c r="C43" s="136" t="s">
        <v>78</v>
      </c>
      <c r="D43" s="132" t="s">
        <v>78</v>
      </c>
      <c r="E43" s="325" t="s">
        <v>97</v>
      </c>
      <c r="F43" s="325" t="s">
        <v>97</v>
      </c>
      <c r="G43" s="137" t="s">
        <v>121</v>
      </c>
      <c r="H43" s="128" t="s">
        <v>124</v>
      </c>
      <c r="I43" s="128">
        <v>27090000</v>
      </c>
      <c r="J43" s="129">
        <v>41811</v>
      </c>
      <c r="K43" s="127" t="s">
        <v>43</v>
      </c>
      <c r="L43" s="140" t="s">
        <v>127</v>
      </c>
      <c r="M43" s="128" t="s">
        <v>141</v>
      </c>
      <c r="N43" s="149" t="s">
        <v>129</v>
      </c>
      <c r="O43" s="142">
        <v>950098</v>
      </c>
      <c r="P43" s="134">
        <f t="shared" si="10"/>
        <v>111018951.3</v>
      </c>
      <c r="Q43" s="134">
        <f t="shared" si="11"/>
        <v>17288981285.948997</v>
      </c>
      <c r="R43" s="134" t="s">
        <v>25</v>
      </c>
      <c r="S43" s="133">
        <v>116.85</v>
      </c>
      <c r="T43" s="144">
        <f t="shared" si="12"/>
        <v>41901</v>
      </c>
      <c r="U43" s="150" t="s">
        <v>97</v>
      </c>
      <c r="V43" s="134">
        <f t="shared" si="13"/>
        <v>133222.74155999999</v>
      </c>
      <c r="W43" s="133">
        <v>155.72999999999999</v>
      </c>
      <c r="X43" s="134">
        <f t="shared" si="14"/>
        <v>20746777.543138798</v>
      </c>
      <c r="Y43" s="134" t="s">
        <v>97</v>
      </c>
      <c r="Z43" s="127" t="s">
        <v>97</v>
      </c>
      <c r="AA43" s="204" t="s">
        <v>97</v>
      </c>
    </row>
    <row r="44" spans="1:27" s="90" customFormat="1" ht="160.5" customHeight="1" x14ac:dyDescent="0.55000000000000004">
      <c r="A44" s="195">
        <v>13</v>
      </c>
      <c r="B44" s="136" t="s">
        <v>72</v>
      </c>
      <c r="C44" s="136" t="s">
        <v>78</v>
      </c>
      <c r="D44" s="132" t="s">
        <v>78</v>
      </c>
      <c r="E44" s="325" t="s">
        <v>97</v>
      </c>
      <c r="F44" s="325" t="s">
        <v>97</v>
      </c>
      <c r="G44" s="137" t="s">
        <v>116</v>
      </c>
      <c r="H44" s="128" t="s">
        <v>123</v>
      </c>
      <c r="I44" s="128">
        <v>27090000</v>
      </c>
      <c r="J44" s="129">
        <v>41813</v>
      </c>
      <c r="K44" s="127" t="s">
        <v>46</v>
      </c>
      <c r="L44" s="140" t="s">
        <v>126</v>
      </c>
      <c r="M44" s="128" t="s">
        <v>148</v>
      </c>
      <c r="N44" s="149" t="s">
        <v>138</v>
      </c>
      <c r="O44" s="142">
        <v>647501</v>
      </c>
      <c r="P44" s="134">
        <f t="shared" si="10"/>
        <v>75227961.181999996</v>
      </c>
      <c r="Q44" s="134">
        <f t="shared" si="11"/>
        <v>11715250394.872858</v>
      </c>
      <c r="R44" s="134" t="s">
        <v>25</v>
      </c>
      <c r="S44" s="133">
        <v>116.182</v>
      </c>
      <c r="T44" s="144">
        <f t="shared" si="12"/>
        <v>41903</v>
      </c>
      <c r="U44" s="150" t="s">
        <v>97</v>
      </c>
      <c r="V44" s="134">
        <f t="shared" si="13"/>
        <v>90273.553418399984</v>
      </c>
      <c r="W44" s="133">
        <v>155.72999999999999</v>
      </c>
      <c r="X44" s="134">
        <f t="shared" si="14"/>
        <v>14058300.473847428</v>
      </c>
      <c r="Y44" s="134" t="s">
        <v>97</v>
      </c>
      <c r="Z44" s="127" t="s">
        <v>97</v>
      </c>
      <c r="AA44" s="204" t="s">
        <v>97</v>
      </c>
    </row>
    <row r="45" spans="1:27" s="198" customFormat="1" ht="160.5" customHeight="1" x14ac:dyDescent="0.6">
      <c r="A45" s="195"/>
      <c r="B45" s="136"/>
      <c r="C45" s="145"/>
      <c r="D45" s="132"/>
      <c r="E45" s="127"/>
      <c r="F45" s="127"/>
      <c r="G45" s="137"/>
      <c r="H45" s="128"/>
      <c r="I45" s="128"/>
      <c r="J45" s="129"/>
      <c r="K45" s="127"/>
      <c r="L45" s="148"/>
      <c r="M45" s="128"/>
      <c r="N45" s="149"/>
      <c r="O45" s="142"/>
      <c r="P45" s="134"/>
      <c r="Q45" s="134"/>
      <c r="R45" s="134"/>
      <c r="S45" s="133"/>
      <c r="T45" s="144"/>
      <c r="U45" s="151"/>
      <c r="V45" s="134"/>
      <c r="W45" s="133"/>
      <c r="X45" s="134"/>
      <c r="Y45" s="134"/>
      <c r="Z45" s="127"/>
      <c r="AA45" s="204"/>
    </row>
    <row r="46" spans="1:27" ht="54" customHeight="1" thickBot="1" x14ac:dyDescent="0.65">
      <c r="A46" s="205"/>
      <c r="B46" s="156" t="s">
        <v>27</v>
      </c>
      <c r="C46" s="206"/>
      <c r="D46" s="154"/>
      <c r="E46" s="153"/>
      <c r="F46" s="153"/>
      <c r="G46" s="155"/>
      <c r="H46" s="156"/>
      <c r="I46" s="156"/>
      <c r="J46" s="199"/>
      <c r="K46" s="153"/>
      <c r="L46" s="208"/>
      <c r="M46" s="156"/>
      <c r="N46" s="157"/>
      <c r="O46" s="200">
        <f>SUM(O31:O44)</f>
        <v>8118438</v>
      </c>
      <c r="P46" s="158">
        <f>SUM(P31:P44)</f>
        <v>931610976.204</v>
      </c>
      <c r="Q46" s="158">
        <f>SUM(Q31:Q44)</f>
        <v>145079777324.24893</v>
      </c>
      <c r="R46" s="158"/>
      <c r="S46" s="159"/>
      <c r="T46" s="160"/>
      <c r="U46" s="209"/>
      <c r="V46" s="158">
        <f>SUM(V31:V44)</f>
        <v>1117933.1714448</v>
      </c>
      <c r="W46" s="159"/>
      <c r="X46" s="158">
        <f>SUM(X31:X44)</f>
        <v>174095732.78909868</v>
      </c>
      <c r="Y46" s="158">
        <f>SUM(Y31:Y44)</f>
        <v>0</v>
      </c>
      <c r="Z46" s="153"/>
      <c r="AA46" s="207"/>
    </row>
    <row r="47" spans="1:27" x14ac:dyDescent="0.2">
      <c r="A47" s="8"/>
      <c r="B47" s="8"/>
      <c r="C47" s="6"/>
      <c r="D47" s="17"/>
      <c r="E47" s="18"/>
      <c r="F47" s="6"/>
      <c r="G47" s="19"/>
      <c r="H47" s="6"/>
      <c r="I47" s="6"/>
      <c r="J47" s="20"/>
      <c r="K47" s="8"/>
      <c r="L47" s="8"/>
      <c r="M47" s="6"/>
      <c r="N47" s="6"/>
      <c r="O47" s="21"/>
      <c r="P47" s="22"/>
      <c r="Q47" s="22"/>
      <c r="R47" s="22"/>
      <c r="S47" s="27"/>
      <c r="V47" s="22"/>
      <c r="W47" s="27"/>
      <c r="X47" s="22"/>
      <c r="Y47" s="22"/>
      <c r="Z47" s="6"/>
      <c r="AA47" s="6"/>
    </row>
    <row r="50" spans="1:27" ht="23.25" x14ac:dyDescent="0.35">
      <c r="O50" s="29"/>
      <c r="P50" s="30"/>
      <c r="Q50" s="30"/>
    </row>
    <row r="51" spans="1:27" x14ac:dyDescent="0.2">
      <c r="O51" s="24"/>
      <c r="P51" s="31"/>
      <c r="Q51" s="31"/>
    </row>
    <row r="52" spans="1:27" x14ac:dyDescent="0.2">
      <c r="O52" s="24"/>
      <c r="P52" s="24"/>
      <c r="Q52" s="24"/>
    </row>
    <row r="58" spans="1:27" s="16" customFormat="1" ht="15.75" customHeight="1" x14ac:dyDescent="0.2">
      <c r="A58" s="5"/>
      <c r="B58" s="5"/>
      <c r="C58" s="5"/>
      <c r="D58" s="14"/>
      <c r="E58" s="12"/>
      <c r="F58" s="5"/>
      <c r="G58" s="13"/>
      <c r="H58" s="5"/>
      <c r="I58" s="5"/>
      <c r="J58" s="14"/>
      <c r="K58" s="5"/>
      <c r="L58" s="5"/>
      <c r="M58" s="5"/>
      <c r="N58" s="5"/>
      <c r="O58" s="15"/>
      <c r="S58" s="26"/>
      <c r="T58" s="17"/>
      <c r="U58" s="5"/>
      <c r="W58" s="26"/>
      <c r="Z58" s="5"/>
      <c r="AA58" s="5"/>
    </row>
    <row r="59" spans="1:27" x14ac:dyDescent="0.2">
      <c r="N59" s="23"/>
      <c r="O59" s="24"/>
    </row>
  </sheetData>
  <mergeCells count="2">
    <mergeCell ref="E39:E40"/>
    <mergeCell ref="A39:A40"/>
  </mergeCells>
  <pageMargins left="0.31496062992125984" right="0.19685039370078741" top="0.15748031496062992" bottom="0.15748031496062992" header="0.31496062992125984" footer="0.31496062992125984"/>
  <pageSetup paperSize="9" scale="16" orientation="landscape" r:id="rId1"/>
  <headerFooter>
    <oddFooter>&amp;R2</oddFooter>
  </headerFooter>
  <colBreaks count="1" manualBreakCount="1">
    <brk id="16" max="50" man="1"/>
  </colBreaks>
  <ignoredErrors>
    <ignoredError sqref="E31:E4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CIR JUNE 2014</vt:lpstr>
      <vt:lpstr>CID JUNE 2014 </vt:lpstr>
      <vt:lpstr>NCI JUNE 2014</vt:lpstr>
      <vt:lpstr>'CID JUNE 2014 '!Print_Area</vt:lpstr>
      <vt:lpstr>'CIR JUNE 2014'!Print_Area</vt:lpstr>
      <vt:lpstr>'NCI JUNE 2014'!Print_Area</vt:lpstr>
      <vt:lpstr>'CID JUNE 2014 '!Print_Titles</vt:lpstr>
      <vt:lpstr>'CIR JUNE 2014'!Print_Titles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Ndidi</cp:lastModifiedBy>
  <cp:lastPrinted>2013-11-05T10:21:15Z</cp:lastPrinted>
  <dcterms:created xsi:type="dcterms:W3CDTF">2012-08-07T13:29:00Z</dcterms:created>
  <dcterms:modified xsi:type="dcterms:W3CDTF">2014-07-09T10:16:14Z</dcterms:modified>
</cp:coreProperties>
</file>