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40" windowWidth="20100" windowHeight="7500"/>
  </bookViews>
  <sheets>
    <sheet name="CIR JANUARY 2014" sheetId="4" r:id="rId1"/>
    <sheet name="CID JANUARY 2014 " sheetId="7" r:id="rId2"/>
    <sheet name="NCI JANUARY 2014" sheetId="6" r:id="rId3"/>
  </sheets>
  <definedNames>
    <definedName name="_xlnm._FilterDatabase" localSheetId="1" hidden="1">'CID JANUARY 2014 '!$H$23:$I$38</definedName>
    <definedName name="_xlnm._FilterDatabase" localSheetId="0" hidden="1">'CIR JANUARY 2014'!$C$29:$D$55</definedName>
    <definedName name="_xlnm._FilterDatabase" localSheetId="2" hidden="1">'NCI JANUARY 2014'!$A$31:$AA$41</definedName>
    <definedName name="_xlnm.Print_Area" localSheetId="1">'CID JANUARY 2014 '!$A$1:$AA$50</definedName>
    <definedName name="_xlnm.Print_Area" localSheetId="0">'CIR JANUARY 2014'!$A$1:$AA$67</definedName>
    <definedName name="_xlnm.Print_Area" localSheetId="2">'NCI JANUARY 2014'!$A$1:$AA$53</definedName>
    <definedName name="_xlnm.Print_Titles" localSheetId="1">'CID JANUARY 2014 '!$A:$A,'CID JANUARY 2014 '!$21:$21</definedName>
    <definedName name="_xlnm.Print_Titles" localSheetId="0">'CIR JANUARY 2014'!$A:$A,'CIR JANUARY 2014'!$29:$29</definedName>
    <definedName name="_xlnm.Print_Titles" localSheetId="2">'NCI JANUARY 2014'!$A:$A,'NCI JANUARY 2014'!#REF!</definedName>
  </definedNames>
  <calcPr calcId="145621" calcOnSave="0"/>
</workbook>
</file>

<file path=xl/calcChain.xml><?xml version="1.0" encoding="utf-8"?>
<calcChain xmlns="http://schemas.openxmlformats.org/spreadsheetml/2006/main">
  <c r="Y53" i="6" l="1"/>
  <c r="P53" i="6"/>
  <c r="O53" i="6"/>
  <c r="Y67" i="4"/>
  <c r="P67" i="4"/>
  <c r="Q67" i="4"/>
  <c r="Y50" i="7" l="1"/>
  <c r="P50" i="7"/>
  <c r="O50" i="7"/>
  <c r="X53" i="6"/>
  <c r="V53" i="6"/>
  <c r="Q53" i="6"/>
  <c r="T42" i="6"/>
  <c r="T43" i="6"/>
  <c r="T44" i="6"/>
  <c r="T45" i="6"/>
  <c r="T46" i="6"/>
  <c r="T47" i="6"/>
  <c r="T48" i="6"/>
  <c r="T49" i="6"/>
  <c r="T50" i="6"/>
  <c r="T51" i="6"/>
  <c r="P42" i="6"/>
  <c r="V42" i="6" s="1"/>
  <c r="X42" i="6" s="1"/>
  <c r="P43" i="6"/>
  <c r="V43" i="6" s="1"/>
  <c r="X43" i="6" s="1"/>
  <c r="P44" i="6"/>
  <c r="V44" i="6" s="1"/>
  <c r="X44" i="6" s="1"/>
  <c r="P45" i="6"/>
  <c r="V45" i="6" s="1"/>
  <c r="X45" i="6" s="1"/>
  <c r="P46" i="6"/>
  <c r="V46" i="6" s="1"/>
  <c r="X46" i="6" s="1"/>
  <c r="P47" i="6"/>
  <c r="V47" i="6" s="1"/>
  <c r="X47" i="6" s="1"/>
  <c r="P48" i="6"/>
  <c r="V48" i="6" s="1"/>
  <c r="X48" i="6" s="1"/>
  <c r="P49" i="6"/>
  <c r="V49" i="6" s="1"/>
  <c r="X49" i="6" s="1"/>
  <c r="P50" i="6"/>
  <c r="V50" i="6" s="1"/>
  <c r="X50" i="6" s="1"/>
  <c r="P51" i="6"/>
  <c r="V51" i="6" s="1"/>
  <c r="X51" i="6" s="1"/>
  <c r="Q51" i="6" l="1"/>
  <c r="Q49" i="6"/>
  <c r="Q47" i="6"/>
  <c r="Q45" i="6"/>
  <c r="Q43" i="6"/>
  <c r="Q50" i="6"/>
  <c r="Q48" i="6"/>
  <c r="Q46" i="6"/>
  <c r="Q44" i="6"/>
  <c r="Q42" i="6"/>
  <c r="T46" i="7"/>
  <c r="T47" i="7"/>
  <c r="P46" i="7"/>
  <c r="V46" i="7" s="1"/>
  <c r="X46" i="7" s="1"/>
  <c r="P47" i="7"/>
  <c r="V47" i="7" s="1"/>
  <c r="X47" i="7" s="1"/>
  <c r="Q47" i="7" l="1"/>
  <c r="Q46" i="7"/>
  <c r="X67" i="4" l="1"/>
  <c r="X62" i="4"/>
  <c r="X63" i="4"/>
  <c r="X64" i="4"/>
  <c r="V67" i="4"/>
  <c r="V62" i="4"/>
  <c r="V63" i="4"/>
  <c r="V64" i="4"/>
  <c r="T62" i="4"/>
  <c r="T63" i="4"/>
  <c r="T64" i="4"/>
  <c r="O67" i="4"/>
  <c r="P62" i="4"/>
  <c r="Q62" i="4" s="1"/>
  <c r="P63" i="4"/>
  <c r="Q63" i="4" s="1"/>
  <c r="P64" i="4"/>
  <c r="Q64" i="4" s="1"/>
  <c r="T39" i="7" l="1"/>
  <c r="T40" i="7"/>
  <c r="T41" i="7"/>
  <c r="T42" i="7"/>
  <c r="T43" i="7"/>
  <c r="T44" i="7"/>
  <c r="T45" i="7"/>
  <c r="P39" i="7"/>
  <c r="V39" i="7" s="1"/>
  <c r="X39" i="7" s="1"/>
  <c r="P40" i="7"/>
  <c r="V40" i="7" s="1"/>
  <c r="X40" i="7" s="1"/>
  <c r="P41" i="7"/>
  <c r="V41" i="7" s="1"/>
  <c r="X41" i="7" s="1"/>
  <c r="P42" i="7"/>
  <c r="V42" i="7" s="1"/>
  <c r="X42" i="7" s="1"/>
  <c r="P43" i="7"/>
  <c r="Q43" i="7" s="1"/>
  <c r="P44" i="7"/>
  <c r="V44" i="7" s="1"/>
  <c r="X44" i="7" s="1"/>
  <c r="P45" i="7"/>
  <c r="Q45" i="7" s="1"/>
  <c r="Q44" i="7" l="1"/>
  <c r="Q42" i="7"/>
  <c r="V45" i="7"/>
  <c r="X45" i="7" s="1"/>
  <c r="V43" i="7"/>
  <c r="X43" i="7" s="1"/>
  <c r="Q41" i="7"/>
  <c r="Q39" i="7"/>
  <c r="Q40" i="7"/>
  <c r="T56" i="4"/>
  <c r="T57" i="4"/>
  <c r="T58" i="4"/>
  <c r="T59" i="4"/>
  <c r="T60" i="4"/>
  <c r="T61" i="4"/>
  <c r="P56" i="4"/>
  <c r="V56" i="4" s="1"/>
  <c r="X56" i="4" s="1"/>
  <c r="P57" i="4"/>
  <c r="V57" i="4" s="1"/>
  <c r="X57" i="4" s="1"/>
  <c r="P58" i="4"/>
  <c r="V58" i="4" s="1"/>
  <c r="X58" i="4" s="1"/>
  <c r="P59" i="4"/>
  <c r="V59" i="4" s="1"/>
  <c r="X59" i="4" s="1"/>
  <c r="P60" i="4"/>
  <c r="V60" i="4" s="1"/>
  <c r="X60" i="4" s="1"/>
  <c r="P61" i="4"/>
  <c r="V61" i="4" s="1"/>
  <c r="X61" i="4" s="1"/>
  <c r="Q58" i="4" l="1"/>
  <c r="Q56" i="4"/>
  <c r="Q60" i="4"/>
  <c r="Q59" i="4"/>
  <c r="Q57" i="4"/>
  <c r="Q61" i="4"/>
  <c r="T33" i="6" l="1"/>
  <c r="T34" i="6"/>
  <c r="T35" i="6"/>
  <c r="T36" i="6"/>
  <c r="T37" i="6"/>
  <c r="T38" i="6"/>
  <c r="T39" i="6"/>
  <c r="T40" i="6"/>
  <c r="T41" i="6"/>
  <c r="P33" i="6"/>
  <c r="Q33" i="6" s="1"/>
  <c r="P34" i="6"/>
  <c r="Q34" i="6" s="1"/>
  <c r="P35" i="6"/>
  <c r="Q35" i="6" s="1"/>
  <c r="P36" i="6"/>
  <c r="Q36" i="6" s="1"/>
  <c r="P37" i="6"/>
  <c r="Q37" i="6" s="1"/>
  <c r="P38" i="6"/>
  <c r="P39" i="6"/>
  <c r="Q39" i="6" s="1"/>
  <c r="P40" i="6"/>
  <c r="Q40" i="6" s="1"/>
  <c r="P41" i="6"/>
  <c r="Q41" i="6" s="1"/>
  <c r="Q38" i="6" l="1"/>
  <c r="V40" i="6"/>
  <c r="X40" i="6" s="1"/>
  <c r="V38" i="6"/>
  <c r="V36" i="6"/>
  <c r="X36" i="6" s="1"/>
  <c r="V34" i="6"/>
  <c r="X34" i="6" s="1"/>
  <c r="V41" i="6"/>
  <c r="X41" i="6" s="1"/>
  <c r="V39" i="6"/>
  <c r="X39" i="6" s="1"/>
  <c r="V37" i="6"/>
  <c r="X37" i="6" s="1"/>
  <c r="V35" i="6"/>
  <c r="X35" i="6" s="1"/>
  <c r="V33" i="6"/>
  <c r="X33" i="6" s="1"/>
  <c r="T51" i="4"/>
  <c r="T52" i="4"/>
  <c r="T53" i="4"/>
  <c r="T54" i="4"/>
  <c r="T55" i="4"/>
  <c r="P51" i="4"/>
  <c r="Q51" i="4" s="1"/>
  <c r="P52" i="4"/>
  <c r="V52" i="4" s="1"/>
  <c r="X52" i="4" s="1"/>
  <c r="P53" i="4"/>
  <c r="Q53" i="4" s="1"/>
  <c r="P54" i="4"/>
  <c r="V54" i="4" s="1"/>
  <c r="X54" i="4" s="1"/>
  <c r="P55" i="4"/>
  <c r="Q55" i="4" s="1"/>
  <c r="X38" i="6" l="1"/>
  <c r="V55" i="4"/>
  <c r="X55" i="4" s="1"/>
  <c r="V53" i="4"/>
  <c r="X53" i="4" s="1"/>
  <c r="V51" i="4"/>
  <c r="X51" i="4" s="1"/>
  <c r="Q54" i="4"/>
  <c r="Q52" i="4"/>
  <c r="P38" i="7" l="1"/>
  <c r="Q38" i="7" s="1"/>
  <c r="T38" i="7"/>
  <c r="T27" i="7"/>
  <c r="T28" i="7"/>
  <c r="T29" i="7"/>
  <c r="T30" i="7"/>
  <c r="T31" i="7"/>
  <c r="T32" i="7"/>
  <c r="T33" i="7"/>
  <c r="T34" i="7"/>
  <c r="T35" i="7"/>
  <c r="V27" i="7"/>
  <c r="P29" i="7"/>
  <c r="V29" i="7" s="1"/>
  <c r="X29" i="7" s="1"/>
  <c r="P30" i="7"/>
  <c r="Q30" i="7" s="1"/>
  <c r="P31" i="7"/>
  <c r="V31" i="7" s="1"/>
  <c r="X31" i="7" s="1"/>
  <c r="P32" i="7"/>
  <c r="Q32" i="7" s="1"/>
  <c r="P33" i="7"/>
  <c r="Q33" i="7" s="1"/>
  <c r="P34" i="7"/>
  <c r="Q34" i="7" s="1"/>
  <c r="P35" i="7"/>
  <c r="V35" i="7" s="1"/>
  <c r="X35" i="7" s="1"/>
  <c r="X27" i="7" l="1"/>
  <c r="Q28" i="7"/>
  <c r="V34" i="7"/>
  <c r="X34" i="7" s="1"/>
  <c r="V32" i="7"/>
  <c r="X32" i="7" s="1"/>
  <c r="V30" i="7"/>
  <c r="X30" i="7" s="1"/>
  <c r="V28" i="7"/>
  <c r="V50" i="7" s="1"/>
  <c r="V38" i="7"/>
  <c r="X38" i="7" s="1"/>
  <c r="Q35" i="7"/>
  <c r="Q31" i="7"/>
  <c r="Q29" i="7"/>
  <c r="Q27" i="7"/>
  <c r="V33" i="7"/>
  <c r="X33" i="7" s="1"/>
  <c r="T36" i="7"/>
  <c r="T25" i="7"/>
  <c r="T26" i="7"/>
  <c r="P25" i="7"/>
  <c r="Q25" i="7" s="1"/>
  <c r="P26" i="7"/>
  <c r="Q26" i="7" s="1"/>
  <c r="X28" i="7" l="1"/>
  <c r="X50" i="7" s="1"/>
  <c r="V25" i="7"/>
  <c r="X25" i="7" s="1"/>
  <c r="V26" i="7"/>
  <c r="X26" i="7" s="1"/>
  <c r="P32" i="6" l="1"/>
  <c r="Q32" i="6" s="1"/>
  <c r="T32" i="6"/>
  <c r="P32" i="4"/>
  <c r="Q32" i="4" s="1"/>
  <c r="T32" i="4"/>
  <c r="P33" i="4"/>
  <c r="Q33" i="4" s="1"/>
  <c r="T33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40" i="4"/>
  <c r="Q40" i="4" s="1"/>
  <c r="T40" i="4"/>
  <c r="P41" i="4"/>
  <c r="Q41" i="4" s="1"/>
  <c r="T41" i="4"/>
  <c r="P42" i="4"/>
  <c r="Q42" i="4" s="1"/>
  <c r="T42" i="4"/>
  <c r="P43" i="4"/>
  <c r="Q43" i="4" s="1"/>
  <c r="T43" i="4"/>
  <c r="P44" i="4"/>
  <c r="Q44" i="4" s="1"/>
  <c r="T44" i="4"/>
  <c r="P45" i="4"/>
  <c r="Q45" i="4" s="1"/>
  <c r="T45" i="4"/>
  <c r="P46" i="4"/>
  <c r="Q46" i="4" s="1"/>
  <c r="T46" i="4"/>
  <c r="P47" i="4"/>
  <c r="Q47" i="4" s="1"/>
  <c r="T47" i="4"/>
  <c r="P48" i="4"/>
  <c r="Q48" i="4" s="1"/>
  <c r="T48" i="4"/>
  <c r="P49" i="4"/>
  <c r="Q49" i="4" s="1"/>
  <c r="T49" i="4"/>
  <c r="P50" i="4"/>
  <c r="Q50" i="4" s="1"/>
  <c r="T50" i="4"/>
  <c r="V32" i="6" l="1"/>
  <c r="X32" i="6" s="1"/>
  <c r="V50" i="4"/>
  <c r="X50" i="4" s="1"/>
  <c r="V48" i="4"/>
  <c r="X48" i="4" s="1"/>
  <c r="V46" i="4"/>
  <c r="X46" i="4" s="1"/>
  <c r="V44" i="4"/>
  <c r="X44" i="4" s="1"/>
  <c r="V42" i="4"/>
  <c r="X42" i="4" s="1"/>
  <c r="V40" i="4"/>
  <c r="X40" i="4" s="1"/>
  <c r="V38" i="4"/>
  <c r="X38" i="4" s="1"/>
  <c r="V36" i="4"/>
  <c r="X36" i="4" s="1"/>
  <c r="V34" i="4"/>
  <c r="X34" i="4" s="1"/>
  <c r="V32" i="4"/>
  <c r="X32" i="4" s="1"/>
  <c r="V49" i="4"/>
  <c r="X49" i="4" s="1"/>
  <c r="V47" i="4"/>
  <c r="X47" i="4" s="1"/>
  <c r="V45" i="4"/>
  <c r="X45" i="4" s="1"/>
  <c r="V43" i="4"/>
  <c r="X43" i="4" s="1"/>
  <c r="V41" i="4"/>
  <c r="X41" i="4" s="1"/>
  <c r="V39" i="4"/>
  <c r="X39" i="4" s="1"/>
  <c r="V37" i="4"/>
  <c r="X37" i="4" s="1"/>
  <c r="V35" i="4"/>
  <c r="X35" i="4" s="1"/>
  <c r="V33" i="4"/>
  <c r="X33" i="4" s="1"/>
  <c r="T24" i="7" l="1"/>
  <c r="T31" i="6" l="1"/>
  <c r="P31" i="6"/>
  <c r="V31" i="6" l="1"/>
  <c r="Q31" i="6"/>
  <c r="X31" i="6" l="1"/>
  <c r="P24" i="7"/>
  <c r="V24" i="7" l="1"/>
  <c r="Q24" i="7"/>
  <c r="X24" i="7" l="1"/>
  <c r="P36" i="7" l="1"/>
  <c r="V36" i="7" l="1"/>
  <c r="X36" i="7" l="1"/>
  <c r="P37" i="7"/>
  <c r="T37" i="7"/>
  <c r="V37" i="7" l="1"/>
  <c r="Q37" i="7"/>
  <c r="X37" i="7" l="1"/>
  <c r="Q36" i="7" l="1"/>
  <c r="T31" i="4" l="1"/>
  <c r="P31" i="4"/>
  <c r="T30" i="4"/>
  <c r="P30" i="4"/>
  <c r="V30" i="4" l="1"/>
  <c r="Q30" i="4"/>
  <c r="V31" i="4"/>
  <c r="X31" i="4" s="1"/>
  <c r="Q31" i="4"/>
  <c r="X30" i="4" l="1"/>
</calcChain>
</file>

<file path=xl/sharedStrings.xml><?xml version="1.0" encoding="utf-8"?>
<sst xmlns="http://schemas.openxmlformats.org/spreadsheetml/2006/main" count="1301" uniqueCount="218">
  <si>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</si>
  <si>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</si>
  <si>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</si>
  <si>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</si>
  <si>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</si>
  <si>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</si>
  <si>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</si>
  <si>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</si>
  <si>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</si>
  <si>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</si>
  <si>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</si>
  <si>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</si>
  <si>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</si>
  <si>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</si>
  <si>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</si>
  <si>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</si>
  <si>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</si>
  <si>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</si>
  <si>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</si>
  <si>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</si>
  <si>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</si>
  <si>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</si>
  <si>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</si>
  <si>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</si>
  <si>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</si>
  <si>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</si>
  <si>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USA</t>
  </si>
  <si>
    <t>GSTL FOB VALUE  ($)</t>
  </si>
  <si>
    <t>TOTAL</t>
  </si>
  <si>
    <t>FOB VALUE  ($)</t>
  </si>
  <si>
    <t xml:space="preserve">EXCHANGE RATE </t>
  </si>
  <si>
    <t>QUA IBOE</t>
  </si>
  <si>
    <t>BONNY</t>
  </si>
  <si>
    <t>QUA IBOE LIGHT</t>
  </si>
  <si>
    <t>BONNY LIGHT</t>
  </si>
  <si>
    <t>MOBIL PRODUCING NIGERIA LIMITED</t>
  </si>
  <si>
    <t>INDONESIA</t>
  </si>
  <si>
    <t>FOB VALUE  (NGN)</t>
  </si>
  <si>
    <t>NIGERIAN NATIONAL PETROLEUM CORPORATION</t>
  </si>
  <si>
    <t>GSTL FOB VALUE  (NGN)</t>
  </si>
  <si>
    <t>NOT RECEIVED</t>
  </si>
  <si>
    <t>STANDARD CHARTERED BANK</t>
  </si>
  <si>
    <t>ROTTERDAM</t>
  </si>
  <si>
    <t>ITALY</t>
  </si>
  <si>
    <t>INDIA</t>
  </si>
  <si>
    <t>NETHERLANDS</t>
  </si>
  <si>
    <t>US ATLANTIC COAST</t>
  </si>
  <si>
    <t>SOUTH AFRICA</t>
  </si>
  <si>
    <t>UNITED KINGDOM</t>
  </si>
  <si>
    <t>WALTERSMITH PETROMAN OIL LIMITED</t>
  </si>
  <si>
    <t>SHELL PETROLEUM DEVELOPMENT COMPANY</t>
  </si>
  <si>
    <t>FRANCE</t>
  </si>
  <si>
    <t>PERTAMINA RU IV CILACAP</t>
  </si>
  <si>
    <t>SKYE BANK PLC</t>
  </si>
  <si>
    <t>CENTRAL BANK OF NIGERIA</t>
  </si>
  <si>
    <t>OMSP-INDIA</t>
  </si>
  <si>
    <t>TRIESTE</t>
  </si>
  <si>
    <t>NOT ISSUED</t>
  </si>
  <si>
    <t>NIGER DELTA PETROLEUM RESOURCES</t>
  </si>
  <si>
    <t>GHANA</t>
  </si>
  <si>
    <t>NIPPON PRINCESS</t>
  </si>
  <si>
    <t>HOUSTON</t>
  </si>
  <si>
    <t>GSTL/0271/2013/DEC-21/B-70/9C</t>
  </si>
  <si>
    <t>SEAVOYAGER</t>
  </si>
  <si>
    <t>KIMOLOS</t>
  </si>
  <si>
    <t>SPAIN</t>
  </si>
  <si>
    <t>SALDANHA BAY</t>
  </si>
  <si>
    <t>BOSTON</t>
  </si>
  <si>
    <t>SAVONA</t>
  </si>
  <si>
    <t>UNITED BANK  FOR AFRICA</t>
  </si>
  <si>
    <t>COMPREHENSIVE INSPECTION REPORT FOR THE MONTH OF JANUARY 2014 FOR SWEDE CONTROL INTERTEK</t>
  </si>
  <si>
    <t>GSTL/001/2014/DEC-1/P-1/1</t>
  </si>
  <si>
    <t>GSTL/002/2014/JAN-2/Q-1/1</t>
  </si>
  <si>
    <t>GSTL/003/2014/JAN-3/Q-2/2</t>
  </si>
  <si>
    <t>GSTL/004/2014/JAN-4/B-1/1A</t>
  </si>
  <si>
    <t>GSTL/004/2014/JAN-4/B-1/1B</t>
  </si>
  <si>
    <t>GSTL/004/2014/JAN-4/B-1/1C</t>
  </si>
  <si>
    <t>GSTL/005/2014/JAN-5/B-2/2A</t>
  </si>
  <si>
    <t>GSTL/005/2014/JAN-5/B-2/2B</t>
  </si>
  <si>
    <t>GSTL/006/2014/JAN-6/Q-3/3</t>
  </si>
  <si>
    <t>GSTL/007/2014/JAN-7/B-3/3A</t>
  </si>
  <si>
    <t>GSTL/007/2014/JAN-7/B-3/3B</t>
  </si>
  <si>
    <t>GSTL/007/2014/JAN-7/B-3/3C</t>
  </si>
  <si>
    <t>GSTL/008/2014/JAN-8/Q-4/4</t>
  </si>
  <si>
    <t>GSTL/009/2014/JAN-9/B-4/4</t>
  </si>
  <si>
    <t>GSTL/010/2014/JAN-10/Q-5/5</t>
  </si>
  <si>
    <t>GSTL/011/2014/JAN-11/Q-6/6A</t>
  </si>
  <si>
    <t>GSTL/011/2014/JAN-11/Q-6/6B</t>
  </si>
  <si>
    <t>GSTL/011/2014/JAN-11/Q-6/6C</t>
  </si>
  <si>
    <t>GSTL/011/2014/JAN-11/Q-6/6D</t>
  </si>
  <si>
    <t>GSTL/012/2014/JAN-12/B-5/5A</t>
  </si>
  <si>
    <t>GSTL/012/2014/JAN-12/B-5/5B</t>
  </si>
  <si>
    <t>GSTL/012/2014/JAN-12/B-5/5C</t>
  </si>
  <si>
    <t>GSTL/013/2014/JAN-13/Q-7/7</t>
  </si>
  <si>
    <t>GSTL/014/2014/JAN-14/Q-8/8A</t>
  </si>
  <si>
    <t>GSTL/014/2014/JAN-14/Q-8/8B</t>
  </si>
  <si>
    <t>GSTL/015/2014/JAN-15/B-6/6</t>
  </si>
  <si>
    <t>GSTL/016/2014/JAN-16/Q-9/9A</t>
  </si>
  <si>
    <t>GSTL/016/2014/JAN-16/Q-9/9B</t>
  </si>
  <si>
    <t>GSTL/017/2014/JAN-17/Q-10/10</t>
  </si>
  <si>
    <t>GSTL/018/2014/JAN-18/B-7/7A</t>
  </si>
  <si>
    <t>GSTL/018/2014/JAN-18/B-7/7B</t>
  </si>
  <si>
    <t>GSTL/018/2014/JAN-18/B-7/7C</t>
  </si>
  <si>
    <t>GSTL/019/2014/JAN-19/Q-11/11</t>
  </si>
  <si>
    <t>GSTL/020/2014/JAN-20/B-8/8</t>
  </si>
  <si>
    <t>GSTL/021/2014/JAN-21/Q-12/12</t>
  </si>
  <si>
    <t>G001201409</t>
  </si>
  <si>
    <t>G001201410</t>
  </si>
  <si>
    <t>G001201411</t>
  </si>
  <si>
    <t>G001201412</t>
  </si>
  <si>
    <t>G001201413</t>
  </si>
  <si>
    <t>G001201414</t>
  </si>
  <si>
    <t>G001201415</t>
  </si>
  <si>
    <t>G001201416</t>
  </si>
  <si>
    <t>G001201417</t>
  </si>
  <si>
    <t>G001201418</t>
  </si>
  <si>
    <t>G001201419</t>
  </si>
  <si>
    <t>G001201420</t>
  </si>
  <si>
    <t>G001201421</t>
  </si>
  <si>
    <t>G001201422</t>
  </si>
  <si>
    <t>ST041111104C7/48</t>
  </si>
  <si>
    <t>ST040412101C63/4B</t>
  </si>
  <si>
    <t>ST040412101C63/4A</t>
  </si>
  <si>
    <t>ST040412104C11/11</t>
  </si>
  <si>
    <t>076201403160022</t>
  </si>
  <si>
    <t>011201402300003</t>
  </si>
  <si>
    <t>ST040412104C55/5A</t>
  </si>
  <si>
    <t>ST040412104C55/5B</t>
  </si>
  <si>
    <t>ST040412104C55/5C</t>
  </si>
  <si>
    <t>ST040412104C55/5D</t>
  </si>
  <si>
    <t>068201400010005</t>
  </si>
  <si>
    <t>ST040412104C48/228</t>
  </si>
  <si>
    <t>ST040412104C30/7</t>
  </si>
  <si>
    <t>ST040412101C10/13B</t>
  </si>
  <si>
    <t>ST040412101C10/13A</t>
  </si>
  <si>
    <t>011201402300004</t>
  </si>
  <si>
    <t>ST040412104C48/231</t>
  </si>
  <si>
    <t>ST040412104C33/5</t>
  </si>
  <si>
    <t>FIRST BANK OF NIGERIA</t>
  </si>
  <si>
    <t>CHEVRON NIGERIA LTD</t>
  </si>
  <si>
    <t>TOTAL E &amp; P NIGERIA LIMITED</t>
  </si>
  <si>
    <t>PENNINGTON LIGHT</t>
  </si>
  <si>
    <t>NS BORA</t>
  </si>
  <si>
    <t>SMYRNI</t>
  </si>
  <si>
    <t>ASTIPALAIA</t>
  </si>
  <si>
    <t>DESH VAIBHAV</t>
  </si>
  <si>
    <t>MARAN CASSIOPEIA</t>
  </si>
  <si>
    <t>UNIVERSAL CROWN</t>
  </si>
  <si>
    <t>VILAMOURA</t>
  </si>
  <si>
    <t>NORDIC JUPITER</t>
  </si>
  <si>
    <t>PRINCIMAR STRENGTH</t>
  </si>
  <si>
    <t>ACHILLEAS</t>
  </si>
  <si>
    <t>TEIDE SPIRIT</t>
  </si>
  <si>
    <t>PRINCIMAR HOPE</t>
  </si>
  <si>
    <t>NAUTIC</t>
  </si>
  <si>
    <t>FORMOSAPETRO CHALLENGER</t>
  </si>
  <si>
    <t>PECOS</t>
  </si>
  <si>
    <t>NORDIC COSMOS</t>
  </si>
  <si>
    <t>SCF KHIBINY</t>
  </si>
  <si>
    <t>PENNINGTON</t>
  </si>
  <si>
    <t>BRAZIL</t>
  </si>
  <si>
    <t>CHINA</t>
  </si>
  <si>
    <t>COTE D'IVOIRE</t>
  </si>
  <si>
    <t>OMSP-BRAZIL</t>
  </si>
  <si>
    <t>RELIANCE TERMINAL-SIKKA PORT</t>
  </si>
  <si>
    <t>OMSP-CHINA</t>
  </si>
  <si>
    <t>LE HAVRE</t>
  </si>
  <si>
    <t>KOCHI SPM</t>
  </si>
  <si>
    <t>HUELVA</t>
  </si>
  <si>
    <t>IMMINGHAM</t>
  </si>
  <si>
    <t>ABOADZE</t>
  </si>
  <si>
    <t>ABIDJAN</t>
  </si>
  <si>
    <t>0000623</t>
  </si>
  <si>
    <t>GSTL/0218/2013/OCT-1/Q-101/1</t>
  </si>
  <si>
    <t>GSTL/0224/2013/OCT-7/Q-106/6</t>
  </si>
  <si>
    <t>GSTL/0232/2013/OCT-15/Q-111/11A</t>
  </si>
  <si>
    <t>GSTL/0232/2013/OCT-15/Q-111/11B</t>
  </si>
  <si>
    <t>G001201401</t>
  </si>
  <si>
    <t>G001201402</t>
  </si>
  <si>
    <t>G001201403</t>
  </si>
  <si>
    <t>G001201404</t>
  </si>
  <si>
    <t>068201300010492</t>
  </si>
  <si>
    <t>068201300010489</t>
  </si>
  <si>
    <t>068201300010490</t>
  </si>
  <si>
    <t>068201300010488</t>
  </si>
  <si>
    <t>SCF SAMOTLOR</t>
  </si>
  <si>
    <t>HAMILTON SPIRIT</t>
  </si>
  <si>
    <t>SEA LION</t>
  </si>
  <si>
    <t>FINNART</t>
  </si>
  <si>
    <t>157.3075</t>
  </si>
  <si>
    <t>0010913</t>
  </si>
  <si>
    <t>0010914</t>
  </si>
  <si>
    <t>0010915</t>
  </si>
  <si>
    <t>0010916</t>
  </si>
  <si>
    <t>GSTL/0235/2013/NOV-3/B-56/1</t>
  </si>
  <si>
    <t>GSTL/0242/2013/NOV-10/B-58/3A</t>
  </si>
  <si>
    <t>GSTL/0242/2013/NOV-10/B-58/3B</t>
  </si>
  <si>
    <t>GSTL/0250/2013/NOV-18/B-61/6D</t>
  </si>
  <si>
    <t>GSTL/0250/2013/NOV-18/B-61/6E</t>
  </si>
  <si>
    <t>G001201405</t>
  </si>
  <si>
    <t>G001201406</t>
  </si>
  <si>
    <t>G001201407</t>
  </si>
  <si>
    <t>011201302300116</t>
  </si>
  <si>
    <t>033201303460146</t>
  </si>
  <si>
    <t>011201302300122</t>
  </si>
  <si>
    <t>UNITED BANK FOR AFRICA</t>
  </si>
  <si>
    <t>PROFIT</t>
  </si>
  <si>
    <t>EAGLE SAN ANTONIO</t>
  </si>
  <si>
    <t>GLORY CROWN</t>
  </si>
  <si>
    <t>TURKEY</t>
  </si>
  <si>
    <t>MILFORD HAVEN</t>
  </si>
  <si>
    <t>0083457</t>
  </si>
  <si>
    <t>0003824</t>
  </si>
  <si>
    <t>G001201408</t>
  </si>
  <si>
    <t>011201302300130</t>
  </si>
  <si>
    <t>0083746</t>
  </si>
  <si>
    <t>COMPLIANT INSPECTION DURING THE MONTH OF JANUARY 2014 FOR SWEDE CONTROL INTERTEK LIMITED</t>
  </si>
  <si>
    <t>NON-COMPLIANT INSPECTION REPORT FOR THE MONTH OF JANUARY 2014 FOR SWEDE CONTROL INTERTEK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</si>
</sst>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#,##0.0000"/>
    <numFmt numFmtId="167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43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5" fontId="3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165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6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5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4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5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5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14" fontId="9" fillId="2" borderId="2" xfId="0" applyNumberFormat="1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5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14" fontId="9" fillId="0" borderId="2" xfId="0" applyNumberFormat="1" applyFont="1" applyFill="1" applyBorder="1" applyAlignment="1">
      <alignment horizontal="left"/>
    </xf>
    <xf numFmtId="0" fontId="9" fillId="0" borderId="2" xfId="0" applyNumberFormat="1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5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5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14" fontId="15" fillId="2" borderId="4" xfId="0" applyNumberFormat="1" applyFont="1" applyFill="1" applyBorder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left" vertical="top" wrapText="1"/>
    </xf>
    <xf numFmtId="0" fontId="15" fillId="2" borderId="4" xfId="0" applyNumberFormat="1" applyFont="1" applyFill="1" applyBorder="1" applyAlignment="1">
      <alignment horizontal="left" vertical="top"/>
    </xf>
    <xf numFmtId="3" fontId="15" fillId="2" borderId="4" xfId="0" applyNumberFormat="1" applyFont="1" applyFill="1" applyBorder="1" applyAlignment="1">
      <alignment horizontal="left" vertical="top" wrapText="1"/>
    </xf>
    <xf numFmtId="4" fontId="15" fillId="2" borderId="4" xfId="0" applyNumberFormat="1" applyFont="1" applyFill="1" applyBorder="1" applyAlignment="1">
      <alignment horizontal="left" vertical="top" wrapText="1"/>
    </xf>
    <xf numFmtId="165" fontId="15" fillId="2" borderId="4" xfId="0" applyNumberFormat="1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top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 wrapText="1"/>
    </xf>
    <xf numFmtId="14" fontId="14" fillId="2" borderId="1" xfId="0" applyNumberFormat="1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5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0" fontId="16" fillId="2" borderId="2" xfId="1" applyNumberFormat="1" applyFont="1" applyFill="1" applyBorder="1" applyAlignment="1">
      <alignment horizontal="left" wrapText="1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applyFont="1" applyFill="1" applyBorder="1" applyAlignment="1"/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4" fillId="0" borderId="2" xfId="0" applyFont="1" applyFill="1" applyBorder="1" applyAlignment="1">
      <alignment horizontal="left"/>
    </xf>
    <xf numFmtId="0" fontId="16" fillId="2" borderId="2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7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5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5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14" fontId="14" fillId="2" borderId="1" xfId="0" applyNumberFormat="1" applyFont="1" applyFill="1" applyBorder="1" applyAlignment="1">
      <alignment horizontal="left"/>
    </xf>
    <xf numFmtId="0" fontId="14" fillId="2" borderId="1" xfId="0" applyNumberFormat="1" applyFont="1" applyFill="1" applyBorder="1" applyAlignment="1">
      <alignment horizontal="left" wrapText="1"/>
    </xf>
    <xf numFmtId="0" fontId="14" fillId="2" borderId="1" xfId="1" applyNumberFormat="1" applyFont="1" applyFill="1" applyBorder="1" applyAlignment="1">
      <alignment horizontal="left" wrapText="1"/>
    </xf>
    <xf numFmtId="0" fontId="14" fillId="0" borderId="1" xfId="0" applyNumberFormat="1" applyFont="1" applyBorder="1" applyAlignment="1">
      <alignment horizontal="left"/>
    </xf>
    <xf numFmtId="3" fontId="14" fillId="2" borderId="1" xfId="1" applyNumberFormat="1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/>
    </xf>
    <xf numFmtId="165" fontId="14" fillId="2" borderId="1" xfId="0" applyNumberFormat="1" applyFont="1" applyFill="1" applyBorder="1" applyAlignment="1">
      <alignment horizontal="left"/>
    </xf>
    <xf numFmtId="0" fontId="14" fillId="2" borderId="1" xfId="0" quotePrefix="1" applyFont="1" applyFill="1" applyBorder="1" applyAlignment="1">
      <alignment horizontal="left"/>
    </xf>
    <xf numFmtId="0" fontId="16" fillId="0" borderId="0" xfId="0" applyFont="1" applyFill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4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4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5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1" xfId="0" applyFont="1" applyFill="1" applyBorder="1" applyAlignment="1">
      <alignment horizontal="left"/>
    </xf>
    <xf numFmtId="4" fontId="14" fillId="2" borderId="1" xfId="0" applyNumberFormat="1" applyFont="1" applyFill="1" applyBorder="1" applyAlignment="1">
      <alignment horizontal="left" wrapText="1"/>
    </xf>
    <xf numFmtId="0" fontId="14" fillId="2" borderId="1" xfId="0" applyFont="1" applyFill="1" applyBorder="1" applyAlignment="1"/>
    <xf numFmtId="14" fontId="14" fillId="0" borderId="1" xfId="0" applyNumberFormat="1" applyFont="1" applyBorder="1" applyAlignment="1">
      <alignment horizontal="left" wrapText="1"/>
    </xf>
    <xf numFmtId="4" fontId="14" fillId="0" borderId="1" xfId="0" applyNumberFormat="1" applyFont="1" applyFill="1" applyBorder="1" applyAlignment="1">
      <alignment horizontal="left"/>
    </xf>
    <xf numFmtId="14" fontId="14" fillId="2" borderId="12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left" wrapText="1"/>
    </xf>
    <xf numFmtId="0" fontId="14" fillId="2" borderId="1" xfId="0" quotePrefix="1" applyFont="1" applyFill="1" applyBorder="1" applyAlignment="1">
      <alignment horizontal="left" wrapText="1"/>
    </xf>
    <xf numFmtId="3" fontId="14" fillId="2" borderId="1" xfId="0" applyNumberFormat="1" applyFont="1" applyFill="1" applyBorder="1" applyAlignment="1">
      <alignment horizontal="left" wrapText="1"/>
    </xf>
    <xf numFmtId="166" fontId="14" fillId="2" borderId="1" xfId="0" applyNumberFormat="1" applyFont="1" applyFill="1" applyBorder="1" applyAlignment="1">
      <alignment horizontal="left" wrapText="1"/>
    </xf>
    <xf numFmtId="49" fontId="14" fillId="0" borderId="1" xfId="0" applyNumberFormat="1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5" fillId="2" borderId="16" xfId="0" applyFont="1" applyFill="1" applyBorder="1" applyAlignment="1">
      <alignment horizontal="left"/>
    </xf>
    <xf numFmtId="14" fontId="15" fillId="2" borderId="17" xfId="0" applyNumberFormat="1" applyFont="1" applyFill="1" applyBorder="1" applyAlignment="1">
      <alignment horizontal="left"/>
    </xf>
    <xf numFmtId="0" fontId="14" fillId="0" borderId="16" xfId="0" applyFont="1" applyFill="1" applyBorder="1"/>
    <xf numFmtId="0" fontId="14" fillId="0" borderId="17" xfId="0" applyFont="1" applyFill="1" applyBorder="1" applyAlignment="1">
      <alignment horizontal="left"/>
    </xf>
    <xf numFmtId="14" fontId="14" fillId="2" borderId="17" xfId="0" applyNumberFormat="1" applyFont="1" applyFill="1" applyBorder="1" applyAlignment="1">
      <alignment horizontal="left"/>
    </xf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5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13" xfId="0" applyFont="1" applyFill="1" applyBorder="1" applyAlignment="1">
      <alignment horizontal="left" vertical="top"/>
    </xf>
    <xf numFmtId="0" fontId="10" fillId="2" borderId="13" xfId="0" applyFont="1" applyFill="1" applyBorder="1" applyAlignment="1">
      <alignment horizontal="left" vertical="top" wrapText="1"/>
    </xf>
    <xf numFmtId="14" fontId="10" fillId="2" borderId="13" xfId="0" applyNumberFormat="1" applyFont="1" applyFill="1" applyBorder="1" applyAlignment="1">
      <alignment horizontal="left" vertical="top" wrapText="1"/>
    </xf>
    <xf numFmtId="49" fontId="13" fillId="2" borderId="13" xfId="0" applyNumberFormat="1" applyFont="1" applyFill="1" applyBorder="1" applyAlignment="1">
      <alignment horizontal="left" vertical="top" wrapText="1"/>
    </xf>
    <xf numFmtId="0" fontId="10" fillId="2" borderId="13" xfId="0" applyNumberFormat="1" applyFont="1" applyFill="1" applyBorder="1" applyAlignment="1">
      <alignment horizontal="left" vertical="top" wrapText="1"/>
    </xf>
    <xf numFmtId="3" fontId="10" fillId="2" borderId="13" xfId="0" applyNumberFormat="1" applyFont="1" applyFill="1" applyBorder="1" applyAlignment="1">
      <alignment horizontal="left" vertical="top" wrapText="1"/>
    </xf>
    <xf numFmtId="4" fontId="10" fillId="2" borderId="13" xfId="0" applyNumberFormat="1" applyFont="1" applyFill="1" applyBorder="1" applyAlignment="1">
      <alignment horizontal="left" vertical="top" wrapText="1"/>
    </xf>
    <xf numFmtId="165" fontId="10" fillId="2" borderId="13" xfId="0" applyNumberFormat="1" applyFont="1" applyFill="1" applyBorder="1" applyAlignment="1">
      <alignment horizontal="left" vertical="top" wrapText="1"/>
    </xf>
    <xf numFmtId="0" fontId="10" fillId="2" borderId="15" xfId="0" applyFont="1" applyFill="1" applyBorder="1" applyAlignment="1">
      <alignment horizontal="left" vertical="top" wrapText="1"/>
    </xf>
    <xf numFmtId="0" fontId="11" fillId="2" borderId="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14" fontId="9" fillId="2" borderId="9" xfId="0" applyNumberFormat="1" applyFont="1" applyFill="1" applyBorder="1" applyAlignment="1">
      <alignment horizontal="left"/>
    </xf>
    <xf numFmtId="0" fontId="9" fillId="2" borderId="9" xfId="0" applyNumberFormat="1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wrapText="1"/>
    </xf>
    <xf numFmtId="14" fontId="9" fillId="2" borderId="9" xfId="0" applyNumberFormat="1" applyFont="1" applyFill="1" applyBorder="1" applyAlignment="1">
      <alignment horizontal="left" wrapText="1"/>
    </xf>
    <xf numFmtId="0" fontId="9" fillId="0" borderId="9" xfId="0" applyNumberFormat="1" applyFont="1" applyBorder="1" applyAlignment="1">
      <alignment horizontal="left"/>
    </xf>
    <xf numFmtId="0" fontId="9" fillId="2" borderId="9" xfId="1" applyNumberFormat="1" applyFont="1" applyFill="1" applyBorder="1" applyAlignment="1">
      <alignment horizontal="left" wrapText="1"/>
    </xf>
    <xf numFmtId="3" fontId="9" fillId="2" borderId="9" xfId="1" applyNumberFormat="1" applyFont="1" applyFill="1" applyBorder="1" applyAlignment="1">
      <alignment horizontal="left"/>
    </xf>
    <xf numFmtId="4" fontId="9" fillId="2" borderId="9" xfId="0" applyNumberFormat="1" applyFont="1" applyFill="1" applyBorder="1" applyAlignment="1">
      <alignment horizontal="left"/>
    </xf>
    <xf numFmtId="165" fontId="9" fillId="2" borderId="9" xfId="0" applyNumberFormat="1" applyFont="1" applyFill="1" applyBorder="1" applyAlignment="1">
      <alignment horizontal="left"/>
    </xf>
    <xf numFmtId="14" fontId="11" fillId="2" borderId="9" xfId="1" applyNumberFormat="1" applyFont="1" applyFill="1" applyBorder="1" applyAlignment="1">
      <alignment horizontal="left"/>
    </xf>
    <xf numFmtId="49" fontId="9" fillId="2" borderId="9" xfId="0" applyNumberFormat="1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4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5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5" fillId="2" borderId="14" xfId="0" applyFont="1" applyFill="1" applyBorder="1" applyAlignment="1">
      <alignment horizontal="left" vertical="top"/>
    </xf>
    <xf numFmtId="0" fontId="15" fillId="2" borderId="13" xfId="0" applyFont="1" applyFill="1" applyBorder="1" applyAlignment="1">
      <alignment horizontal="left" vertical="top"/>
    </xf>
    <xf numFmtId="0" fontId="15" fillId="2" borderId="13" xfId="0" applyFont="1" applyFill="1" applyBorder="1" applyAlignment="1">
      <alignment horizontal="left" vertical="top" wrapText="1"/>
    </xf>
    <xf numFmtId="14" fontId="15" fillId="2" borderId="13" xfId="0" applyNumberFormat="1" applyFont="1" applyFill="1" applyBorder="1" applyAlignment="1">
      <alignment horizontal="left" vertical="top" wrapText="1"/>
    </xf>
    <xf numFmtId="49" fontId="18" fillId="2" borderId="13" xfId="0" applyNumberFormat="1" applyFont="1" applyFill="1" applyBorder="1" applyAlignment="1">
      <alignment horizontal="left" vertical="top" wrapText="1"/>
    </xf>
    <xf numFmtId="0" fontId="15" fillId="2" borderId="13" xfId="0" applyNumberFormat="1" applyFont="1" applyFill="1" applyBorder="1" applyAlignment="1">
      <alignment horizontal="left" vertical="top" wrapText="1"/>
    </xf>
    <xf numFmtId="3" fontId="15" fillId="2" borderId="13" xfId="0" applyNumberFormat="1" applyFont="1" applyFill="1" applyBorder="1" applyAlignment="1">
      <alignment horizontal="left" vertical="top" wrapText="1"/>
    </xf>
    <xf numFmtId="4" fontId="15" fillId="2" borderId="13" xfId="0" applyNumberFormat="1" applyFont="1" applyFill="1" applyBorder="1" applyAlignment="1">
      <alignment horizontal="left" vertical="top" wrapText="1"/>
    </xf>
    <xf numFmtId="165" fontId="15" fillId="2" borderId="13" xfId="0" applyNumberFormat="1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top" wrapText="1"/>
    </xf>
    <xf numFmtId="0" fontId="14" fillId="2" borderId="8" xfId="0" applyFont="1" applyFill="1" applyBorder="1" applyAlignment="1">
      <alignment horizontal="left" wrapText="1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4" fillId="2" borderId="11" xfId="0" applyFont="1" applyFill="1" applyBorder="1" applyAlignment="1">
      <alignment horizontal="left" vertical="center"/>
    </xf>
    <xf numFmtId="49" fontId="14" fillId="2" borderId="1" xfId="0" applyNumberFormat="1" applyFont="1" applyFill="1" applyBorder="1" applyAlignment="1">
      <alignment horizontal="left" vertical="center"/>
    </xf>
    <xf numFmtId="0" fontId="14" fillId="2" borderId="19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wrapText="1"/>
    </xf>
    <xf numFmtId="49" fontId="14" fillId="2" borderId="18" xfId="0" applyNumberFormat="1" applyFont="1" applyFill="1" applyBorder="1" applyAlignment="1">
      <alignment horizontal="left" vertical="center"/>
    </xf>
    <xf numFmtId="14" fontId="14" fillId="2" borderId="13" xfId="0" applyNumberFormat="1" applyFont="1" applyFill="1" applyBorder="1" applyAlignment="1">
      <alignment horizontal="left"/>
    </xf>
    <xf numFmtId="49" fontId="14" fillId="2" borderId="13" xfId="0" applyNumberFormat="1" applyFont="1" applyFill="1" applyBorder="1" applyAlignment="1">
      <alignment horizontal="left"/>
    </xf>
    <xf numFmtId="0" fontId="14" fillId="2" borderId="13" xfId="0" applyNumberFormat="1" applyFont="1" applyFill="1" applyBorder="1" applyAlignment="1">
      <alignment horizontal="left" wrapText="1"/>
    </xf>
    <xf numFmtId="0" fontId="14" fillId="2" borderId="18" xfId="0" applyFont="1" applyFill="1" applyBorder="1" applyAlignment="1">
      <alignment horizontal="left" wrapText="1"/>
    </xf>
    <xf numFmtId="14" fontId="14" fillId="2" borderId="13" xfId="0" applyNumberFormat="1" applyFont="1" applyFill="1" applyBorder="1" applyAlignment="1">
      <alignment horizontal="left" wrapText="1"/>
    </xf>
    <xf numFmtId="0" fontId="14" fillId="2" borderId="13" xfId="0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left" wrapText="1"/>
    </xf>
    <xf numFmtId="3" fontId="14" fillId="2" borderId="13" xfId="1" applyNumberFormat="1" applyFont="1" applyFill="1" applyBorder="1" applyAlignment="1">
      <alignment horizontal="left"/>
    </xf>
    <xf numFmtId="4" fontId="14" fillId="0" borderId="13" xfId="0" applyNumberFormat="1" applyFont="1" applyFill="1" applyBorder="1" applyAlignment="1">
      <alignment horizontal="left"/>
    </xf>
    <xf numFmtId="4" fontId="14" fillId="2" borderId="13" xfId="0" applyNumberFormat="1" applyFont="1" applyFill="1" applyBorder="1" applyAlignment="1">
      <alignment horizontal="left" wrapText="1"/>
    </xf>
    <xf numFmtId="4" fontId="14" fillId="2" borderId="13" xfId="0" applyNumberFormat="1" applyFont="1" applyFill="1" applyBorder="1" applyAlignment="1">
      <alignment horizontal="left"/>
    </xf>
    <xf numFmtId="165" fontId="14" fillId="2" borderId="13" xfId="0" applyNumberFormat="1" applyFont="1" applyFill="1" applyBorder="1" applyAlignment="1">
      <alignment horizontal="left"/>
    </xf>
    <xf numFmtId="14" fontId="16" fillId="2" borderId="13" xfId="1" applyNumberFormat="1" applyFont="1" applyFill="1" applyBorder="1" applyAlignment="1">
      <alignment horizontal="left"/>
    </xf>
    <xf numFmtId="49" fontId="14" fillId="0" borderId="18" xfId="0" applyNumberFormat="1" applyFont="1" applyFill="1" applyBorder="1" applyAlignment="1">
      <alignment horizontal="left"/>
    </xf>
    <xf numFmtId="49" fontId="14" fillId="2" borderId="15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/>
    </xf>
    <xf numFmtId="164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5" fillId="2" borderId="20" xfId="0" applyFont="1" applyFill="1" applyBorder="1" applyAlignment="1">
      <alignment horizontal="left" vertical="top" wrapText="1"/>
    </xf>
    <xf numFmtId="14" fontId="15" fillId="2" borderId="21" xfId="0" applyNumberFormat="1" applyFont="1" applyFill="1" applyBorder="1" applyAlignment="1">
      <alignment horizontal="left" vertical="top" wrapText="1"/>
    </xf>
    <xf numFmtId="0" fontId="14" fillId="0" borderId="2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wrapText="1"/>
    </xf>
    <xf numFmtId="0" fontId="10" fillId="2" borderId="6" xfId="0" applyFont="1" applyFill="1" applyBorder="1" applyAlignment="1">
      <alignment horizontal="left" vertical="top"/>
    </xf>
    <xf numFmtId="0" fontId="11" fillId="2" borderId="2" xfId="0" applyFont="1" applyFill="1" applyBorder="1" applyAlignment="1"/>
    <xf numFmtId="14" fontId="9" fillId="2" borderId="2" xfId="0" applyNumberFormat="1" applyFont="1" applyFill="1" applyBorder="1" applyAlignment="1"/>
    <xf numFmtId="0" fontId="9" fillId="2" borderId="2" xfId="0" applyFont="1" applyFill="1" applyBorder="1" applyAlignment="1"/>
    <xf numFmtId="0" fontId="9" fillId="2" borderId="2" xfId="0" applyNumberFormat="1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14" fontId="9" fillId="0" borderId="2" xfId="0" applyNumberFormat="1" applyFont="1" applyBorder="1" applyAlignment="1">
      <alignment wrapText="1"/>
    </xf>
    <xf numFmtId="0" fontId="9" fillId="0" borderId="2" xfId="0" applyNumberFormat="1" applyFont="1" applyFill="1" applyBorder="1" applyAlignment="1"/>
    <xf numFmtId="0" fontId="9" fillId="2" borderId="2" xfId="1" applyNumberFormat="1" applyFont="1" applyFill="1" applyBorder="1" applyAlignment="1">
      <alignment wrapText="1"/>
    </xf>
    <xf numFmtId="3" fontId="9" fillId="2" borderId="2" xfId="1" applyNumberFormat="1" applyFont="1" applyFill="1" applyBorder="1" applyAlignment="1"/>
    <xf numFmtId="4" fontId="9" fillId="2" borderId="2" xfId="0" applyNumberFormat="1" applyFont="1" applyFill="1" applyBorder="1" applyAlignment="1"/>
    <xf numFmtId="165" fontId="9" fillId="2" borderId="2" xfId="0" applyNumberFormat="1" applyFont="1" applyFill="1" applyBorder="1" applyAlignment="1"/>
    <xf numFmtId="14" fontId="11" fillId="2" borderId="2" xfId="1" applyNumberFormat="1" applyFont="1" applyFill="1" applyBorder="1" applyAlignment="1"/>
    <xf numFmtId="49" fontId="9" fillId="2" borderId="2" xfId="0" applyNumberFormat="1" applyFont="1" applyFill="1" applyBorder="1" applyAlignment="1"/>
    <xf numFmtId="0" fontId="9" fillId="2" borderId="2" xfId="0" quotePrefix="1" applyFont="1" applyFill="1" applyBorder="1" applyAlignment="1"/>
    <xf numFmtId="0" fontId="9" fillId="2" borderId="3" xfId="0" applyFont="1" applyFill="1" applyBorder="1" applyAlignment="1"/>
    <xf numFmtId="0" fontId="9" fillId="2" borderId="7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164" fontId="9" fillId="2" borderId="2" xfId="1" applyNumberFormat="1" applyFont="1" applyFill="1" applyBorder="1" applyAlignment="1">
      <alignment wrapText="1"/>
    </xf>
    <xf numFmtId="49" fontId="9" fillId="2" borderId="3" xfId="0" applyNumberFormat="1" applyFont="1" applyFill="1" applyBorder="1" applyAlignment="1"/>
    <xf numFmtId="0" fontId="9" fillId="2" borderId="14" xfId="0" applyFont="1" applyFill="1" applyBorder="1" applyAlignment="1">
      <alignment horizontal="left" wrapText="1"/>
    </xf>
    <xf numFmtId="3" fontId="16" fillId="2" borderId="1" xfId="0" applyNumberFormat="1" applyFont="1" applyFill="1" applyBorder="1" applyAlignment="1">
      <alignment horizontal="left" wrapText="1"/>
    </xf>
    <xf numFmtId="4" fontId="16" fillId="0" borderId="2" xfId="0" applyNumberFormat="1" applyFont="1" applyFill="1" applyBorder="1" applyAlignment="1">
      <alignment horizontal="left"/>
    </xf>
    <xf numFmtId="4" fontId="16" fillId="2" borderId="2" xfId="0" applyNumberFormat="1" applyFont="1" applyFill="1" applyBorder="1" applyAlignment="1">
      <alignment horizontal="left" wrapText="1"/>
    </xf>
    <xf numFmtId="166" fontId="16" fillId="2" borderId="1" xfId="0" applyNumberFormat="1" applyFont="1" applyFill="1" applyBorder="1" applyAlignment="1">
      <alignment horizontal="left" wrapText="1"/>
    </xf>
    <xf numFmtId="14" fontId="16" fillId="2" borderId="2" xfId="0" applyNumberFormat="1" applyFont="1" applyFill="1" applyBorder="1" applyAlignment="1">
      <alignment horizontal="left" wrapText="1"/>
    </xf>
    <xf numFmtId="49" fontId="16" fillId="0" borderId="1" xfId="0" applyNumberFormat="1" applyFont="1" applyFill="1" applyBorder="1" applyAlignment="1">
      <alignment horizontal="left"/>
    </xf>
    <xf numFmtId="165" fontId="16" fillId="2" borderId="1" xfId="0" applyNumberFormat="1" applyFont="1" applyFill="1" applyBorder="1" applyAlignment="1">
      <alignment horizontal="left"/>
    </xf>
    <xf numFmtId="4" fontId="16" fillId="0" borderId="2" xfId="0" applyNumberFormat="1" applyFont="1" applyFill="1" applyBorder="1" applyAlignment="1">
      <alignment horizontal="left" wrapText="1"/>
    </xf>
    <xf numFmtId="0" fontId="16" fillId="2" borderId="1" xfId="0" quotePrefix="1" applyFont="1" applyFill="1" applyBorder="1" applyAlignment="1">
      <alignment horizontal="left"/>
    </xf>
    <xf numFmtId="14" fontId="16" fillId="2" borderId="12" xfId="0" applyNumberFormat="1" applyFont="1" applyFill="1" applyBorder="1" applyAlignment="1">
      <alignment horizontal="left"/>
    </xf>
    <xf numFmtId="0" fontId="18" fillId="0" borderId="0" xfId="0" applyFont="1" applyFill="1" applyAlignment="1">
      <alignment horizontal="left"/>
    </xf>
    <xf numFmtId="0" fontId="16" fillId="0" borderId="0" xfId="0" applyFont="1" applyFill="1" applyBorder="1"/>
    <xf numFmtId="0" fontId="16" fillId="0" borderId="0" xfId="0" applyFont="1" applyFill="1"/>
    <xf numFmtId="0" fontId="9" fillId="2" borderId="14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3" xfId="0" quotePrefix="1" applyFont="1" applyFill="1" applyBorder="1" applyAlignment="1">
      <alignment horizontal="left" vertical="center"/>
    </xf>
    <xf numFmtId="0" fontId="9" fillId="2" borderId="18" xfId="0" quotePrefix="1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/>
    </xf>
    <xf numFmtId="4" fontId="16" fillId="2" borderId="13" xfId="0" applyNumberFormat="1" applyFont="1" applyFill="1" applyBorder="1" applyAlignment="1">
      <alignment horizontal="left" vertical="center" wrapText="1"/>
    </xf>
    <xf numFmtId="4" fontId="16" fillId="2" borderId="1" xfId="0" applyNumberFormat="1" applyFont="1" applyFill="1" applyBorder="1" applyAlignment="1">
      <alignment horizontal="left" vertical="center" wrapText="1"/>
    </xf>
    <xf numFmtId="4" fontId="14" fillId="2" borderId="13" xfId="0" applyNumberFormat="1" applyFont="1" applyFill="1" applyBorder="1" applyAlignment="1">
      <alignment horizontal="left" vertical="center" wrapText="1"/>
    </xf>
    <xf numFmtId="4" fontId="14" fillId="2" borderId="1" xfId="0" applyNumberFormat="1" applyFont="1" applyFill="1" applyBorder="1" applyAlignment="1">
      <alignment horizontal="left" vertical="center" wrapText="1"/>
    </xf>
    <xf numFmtId="0" fontId="16" fillId="2" borderId="13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16" fillId="2" borderId="13" xfId="0" quotePrefix="1" applyFont="1" applyFill="1" applyBorder="1" applyAlignment="1">
      <alignment horizontal="left" vertical="center" wrapText="1"/>
    </xf>
    <xf numFmtId="0" fontId="16" fillId="2" borderId="1" xfId="0" quotePrefix="1" applyFont="1" applyFill="1" applyBorder="1" applyAlignment="1">
      <alignment horizontal="left" vertical="center" wrapText="1"/>
    </xf>
    <xf numFmtId="0" fontId="14" fillId="2" borderId="13" xfId="0" quotePrefix="1" applyFont="1" applyFill="1" applyBorder="1" applyAlignment="1">
      <alignment horizontal="left" vertical="center" wrapText="1"/>
    </xf>
    <xf numFmtId="0" fontId="14" fillId="2" borderId="1" xfId="0" quotePrefix="1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tabSelected="1" zoomScale="40" zoomScaleNormal="40" zoomScaleSheetLayoutView="10" workbookViewId="0">
      <selection activeCell="AA67" sqref="AA67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70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353" t="s">
        <v>0</v>
      </c>
      <c r="B29" s="268" t="s">
        <v>1</v>
      </c>
      <c r="C29" s="269" t="s">
        <v>2</v>
      </c>
      <c r="D29" s="270" t="s">
        <v>3</v>
      </c>
      <c r="E29" s="271" t="s">
        <v>4</v>
      </c>
      <c r="F29" s="269" t="s">
        <v>5</v>
      </c>
      <c r="G29" s="272" t="s">
        <v>6</v>
      </c>
      <c r="H29" s="269" t="s">
        <v>7</v>
      </c>
      <c r="I29" s="269" t="s">
        <v>8</v>
      </c>
      <c r="J29" s="270" t="s">
        <v>9</v>
      </c>
      <c r="K29" s="268" t="s">
        <v>10</v>
      </c>
      <c r="L29" s="268" t="s">
        <v>11</v>
      </c>
      <c r="M29" s="269" t="s">
        <v>12</v>
      </c>
      <c r="N29" s="269" t="s">
        <v>13</v>
      </c>
      <c r="O29" s="273" t="s">
        <v>14</v>
      </c>
      <c r="P29" s="274" t="s">
        <v>27</v>
      </c>
      <c r="Q29" s="274" t="s">
        <v>39</v>
      </c>
      <c r="R29" s="274" t="s">
        <v>15</v>
      </c>
      <c r="S29" s="275" t="s">
        <v>16</v>
      </c>
      <c r="T29" s="270" t="s">
        <v>17</v>
      </c>
      <c r="U29" s="269" t="s">
        <v>18</v>
      </c>
      <c r="V29" s="274" t="s">
        <v>19</v>
      </c>
      <c r="W29" s="275" t="s">
        <v>20</v>
      </c>
      <c r="X29" s="274" t="s">
        <v>21</v>
      </c>
      <c r="Y29" s="274" t="s">
        <v>22</v>
      </c>
      <c r="Z29" s="269" t="s">
        <v>24</v>
      </c>
      <c r="AA29" s="276" t="s">
        <v>23</v>
      </c>
    </row>
    <row r="30" spans="1:27" s="44" customFormat="1" ht="90.75" customHeight="1" x14ac:dyDescent="0.45">
      <c r="A30" s="352">
        <v>1</v>
      </c>
      <c r="B30" s="277" t="s">
        <v>71</v>
      </c>
      <c r="C30" s="76" t="s">
        <v>57</v>
      </c>
      <c r="D30" s="279" t="s">
        <v>57</v>
      </c>
      <c r="E30" s="278" t="s">
        <v>40</v>
      </c>
      <c r="F30" s="278" t="s">
        <v>40</v>
      </c>
      <c r="G30" s="280" t="s">
        <v>139</v>
      </c>
      <c r="H30" s="281" t="s">
        <v>141</v>
      </c>
      <c r="I30" s="281">
        <v>27090000</v>
      </c>
      <c r="J30" s="282">
        <v>41642</v>
      </c>
      <c r="K30" s="278" t="s">
        <v>142</v>
      </c>
      <c r="L30" s="283" t="s">
        <v>159</v>
      </c>
      <c r="M30" s="281" t="s">
        <v>160</v>
      </c>
      <c r="N30" s="284" t="s">
        <v>163</v>
      </c>
      <c r="O30" s="285">
        <v>983021</v>
      </c>
      <c r="P30" s="286">
        <f t="shared" ref="P30:P31" si="0">O30*S30</f>
        <v>109819174.036</v>
      </c>
      <c r="Q30" s="286">
        <f t="shared" ref="Q30:Q31" si="1">P30*W30</f>
        <v>17104336356.107</v>
      </c>
      <c r="R30" s="286" t="s">
        <v>25</v>
      </c>
      <c r="S30" s="287">
        <v>111.71599999999999</v>
      </c>
      <c r="T30" s="288">
        <f t="shared" ref="T30:T31" si="2">J30+90</f>
        <v>41732</v>
      </c>
      <c r="U30" s="289" t="s">
        <v>40</v>
      </c>
      <c r="V30" s="286">
        <f t="shared" ref="V30:V31" si="3">P30*0.12%</f>
        <v>131783.00884319999</v>
      </c>
      <c r="W30" s="287">
        <v>155.75</v>
      </c>
      <c r="X30" s="286">
        <f t="shared" ref="X30:X31" si="4">V30*W30</f>
        <v>20525203.6273284</v>
      </c>
      <c r="Y30" s="286" t="s">
        <v>40</v>
      </c>
      <c r="Z30" s="278" t="s">
        <v>40</v>
      </c>
      <c r="AA30" s="290" t="s">
        <v>40</v>
      </c>
    </row>
    <row r="31" spans="1:27" s="86" customFormat="1" ht="90.75" customHeight="1" x14ac:dyDescent="0.45">
      <c r="A31" s="74">
        <v>2</v>
      </c>
      <c r="B31" s="71" t="s">
        <v>72</v>
      </c>
      <c r="C31" s="76" t="s">
        <v>57</v>
      </c>
      <c r="D31" s="72" t="s">
        <v>57</v>
      </c>
      <c r="E31" s="76" t="s">
        <v>40</v>
      </c>
      <c r="F31" s="76" t="s">
        <v>40</v>
      </c>
      <c r="G31" s="73" t="s">
        <v>35</v>
      </c>
      <c r="H31" s="74" t="s">
        <v>33</v>
      </c>
      <c r="I31" s="74">
        <v>27090000</v>
      </c>
      <c r="J31" s="75">
        <v>41642</v>
      </c>
      <c r="K31" s="76" t="s">
        <v>61</v>
      </c>
      <c r="L31" s="77" t="s">
        <v>31</v>
      </c>
      <c r="M31" s="74" t="s">
        <v>44</v>
      </c>
      <c r="N31" s="78" t="s">
        <v>55</v>
      </c>
      <c r="O31" s="79">
        <v>904709</v>
      </c>
      <c r="P31" s="80">
        <f t="shared" si="0"/>
        <v>99215817.193999991</v>
      </c>
      <c r="Q31" s="80">
        <f t="shared" si="1"/>
        <v>15452863527.965498</v>
      </c>
      <c r="R31" s="80" t="s">
        <v>25</v>
      </c>
      <c r="S31" s="81">
        <v>109.666</v>
      </c>
      <c r="T31" s="82">
        <f t="shared" si="2"/>
        <v>41732</v>
      </c>
      <c r="U31" s="83" t="s">
        <v>40</v>
      </c>
      <c r="V31" s="80">
        <f t="shared" si="3"/>
        <v>119058.98063279998</v>
      </c>
      <c r="W31" s="81">
        <v>155.75</v>
      </c>
      <c r="X31" s="80">
        <f t="shared" si="4"/>
        <v>18543436.233558599</v>
      </c>
      <c r="Y31" s="80" t="s">
        <v>40</v>
      </c>
      <c r="Z31" s="85" t="s">
        <v>40</v>
      </c>
      <c r="AA31" s="84" t="s">
        <v>40</v>
      </c>
    </row>
    <row r="32" spans="1:27" s="86" customFormat="1" ht="90.75" customHeight="1" x14ac:dyDescent="0.45">
      <c r="A32" s="74">
        <v>3</v>
      </c>
      <c r="B32" s="71" t="s">
        <v>73</v>
      </c>
      <c r="C32" s="76" t="s">
        <v>106</v>
      </c>
      <c r="D32" s="72">
        <v>41673</v>
      </c>
      <c r="E32" s="76" t="s">
        <v>120</v>
      </c>
      <c r="F32" s="76" t="s">
        <v>54</v>
      </c>
      <c r="G32" s="73" t="s">
        <v>38</v>
      </c>
      <c r="H32" s="74" t="s">
        <v>33</v>
      </c>
      <c r="I32" s="74">
        <v>27090000</v>
      </c>
      <c r="J32" s="75">
        <v>41645</v>
      </c>
      <c r="K32" s="76" t="s">
        <v>143</v>
      </c>
      <c r="L32" s="77" t="s">
        <v>31</v>
      </c>
      <c r="M32" s="74" t="s">
        <v>44</v>
      </c>
      <c r="N32" s="78" t="s">
        <v>164</v>
      </c>
      <c r="O32" s="79">
        <v>949735</v>
      </c>
      <c r="P32" s="80">
        <f t="shared" ref="P32:P50" si="5">O32*S32</f>
        <v>103385302.895</v>
      </c>
      <c r="Q32" s="80">
        <f t="shared" ref="Q32:Q50" si="6">P32*W32</f>
        <v>16102260925.89625</v>
      </c>
      <c r="R32" s="80" t="s">
        <v>25</v>
      </c>
      <c r="S32" s="81">
        <v>108.857</v>
      </c>
      <c r="T32" s="82">
        <f t="shared" ref="T32:T64" si="7">J32+90</f>
        <v>41735</v>
      </c>
      <c r="U32" s="83" t="s">
        <v>40</v>
      </c>
      <c r="V32" s="80">
        <f t="shared" ref="V32:V50" si="8">P32*0.12%</f>
        <v>124062.36347399998</v>
      </c>
      <c r="W32" s="81">
        <v>155.75</v>
      </c>
      <c r="X32" s="80">
        <f t="shared" ref="X32:X64" si="9">V32*W32</f>
        <v>19322713.111075498</v>
      </c>
      <c r="Y32" s="80" t="s">
        <v>40</v>
      </c>
      <c r="Z32" s="85" t="s">
        <v>40</v>
      </c>
      <c r="AA32" s="84" t="s">
        <v>40</v>
      </c>
    </row>
    <row r="33" spans="1:27" s="86" customFormat="1" ht="90.75" customHeight="1" x14ac:dyDescent="0.45">
      <c r="A33" s="74">
        <v>4</v>
      </c>
      <c r="B33" s="71" t="s">
        <v>74</v>
      </c>
      <c r="C33" s="76" t="s">
        <v>57</v>
      </c>
      <c r="D33" s="72" t="s">
        <v>57</v>
      </c>
      <c r="E33" s="76" t="s">
        <v>40</v>
      </c>
      <c r="F33" s="76" t="s">
        <v>40</v>
      </c>
      <c r="G33" s="73" t="s">
        <v>38</v>
      </c>
      <c r="H33" s="74" t="s">
        <v>34</v>
      </c>
      <c r="I33" s="74">
        <v>27090000</v>
      </c>
      <c r="J33" s="75">
        <v>41645</v>
      </c>
      <c r="K33" s="76" t="s">
        <v>144</v>
      </c>
      <c r="L33" s="77" t="s">
        <v>32</v>
      </c>
      <c r="M33" s="74" t="s">
        <v>45</v>
      </c>
      <c r="N33" s="78" t="s">
        <v>42</v>
      </c>
      <c r="O33" s="79">
        <v>170000</v>
      </c>
      <c r="P33" s="80">
        <f t="shared" si="5"/>
        <v>18505690</v>
      </c>
      <c r="Q33" s="80">
        <f t="shared" si="6"/>
        <v>2882261217.5</v>
      </c>
      <c r="R33" s="80" t="s">
        <v>25</v>
      </c>
      <c r="S33" s="81">
        <v>108.857</v>
      </c>
      <c r="T33" s="82">
        <f t="shared" si="7"/>
        <v>41735</v>
      </c>
      <c r="U33" s="83" t="s">
        <v>40</v>
      </c>
      <c r="V33" s="80">
        <f t="shared" si="8"/>
        <v>22206.827999999998</v>
      </c>
      <c r="W33" s="81">
        <v>155.75</v>
      </c>
      <c r="X33" s="80">
        <f t="shared" si="9"/>
        <v>3458713.4609999997</v>
      </c>
      <c r="Y33" s="80" t="s">
        <v>40</v>
      </c>
      <c r="Z33" s="85" t="s">
        <v>40</v>
      </c>
      <c r="AA33" s="84" t="s">
        <v>40</v>
      </c>
    </row>
    <row r="34" spans="1:27" s="86" customFormat="1" ht="90.75" customHeight="1" x14ac:dyDescent="0.45">
      <c r="A34" s="74">
        <v>5</v>
      </c>
      <c r="B34" s="71" t="s">
        <v>75</v>
      </c>
      <c r="C34" s="76" t="s">
        <v>57</v>
      </c>
      <c r="D34" s="72" t="s">
        <v>57</v>
      </c>
      <c r="E34" s="76" t="s">
        <v>40</v>
      </c>
      <c r="F34" s="76" t="s">
        <v>40</v>
      </c>
      <c r="G34" s="73" t="s">
        <v>38</v>
      </c>
      <c r="H34" s="74" t="s">
        <v>34</v>
      </c>
      <c r="I34" s="74">
        <v>27090000</v>
      </c>
      <c r="J34" s="75">
        <v>41645</v>
      </c>
      <c r="K34" s="76" t="s">
        <v>144</v>
      </c>
      <c r="L34" s="77" t="s">
        <v>32</v>
      </c>
      <c r="M34" s="74" t="s">
        <v>45</v>
      </c>
      <c r="N34" s="78" t="s">
        <v>42</v>
      </c>
      <c r="O34" s="79">
        <v>300000</v>
      </c>
      <c r="P34" s="80">
        <f t="shared" si="5"/>
        <v>32657100</v>
      </c>
      <c r="Q34" s="80">
        <f t="shared" si="6"/>
        <v>5086343325</v>
      </c>
      <c r="R34" s="80" t="s">
        <v>25</v>
      </c>
      <c r="S34" s="81">
        <v>108.857</v>
      </c>
      <c r="T34" s="82">
        <f t="shared" si="7"/>
        <v>41735</v>
      </c>
      <c r="U34" s="83" t="s">
        <v>40</v>
      </c>
      <c r="V34" s="80">
        <f t="shared" si="8"/>
        <v>39188.519999999997</v>
      </c>
      <c r="W34" s="81">
        <v>155.75</v>
      </c>
      <c r="X34" s="80">
        <f t="shared" si="9"/>
        <v>6103611.9899999993</v>
      </c>
      <c r="Y34" s="80" t="s">
        <v>40</v>
      </c>
      <c r="Z34" s="85" t="s">
        <v>40</v>
      </c>
      <c r="AA34" s="84" t="s">
        <v>40</v>
      </c>
    </row>
    <row r="35" spans="1:27" s="86" customFormat="1" ht="90.75" customHeight="1" x14ac:dyDescent="0.45">
      <c r="A35" s="74">
        <v>6</v>
      </c>
      <c r="B35" s="71" t="s">
        <v>76</v>
      </c>
      <c r="C35" s="76" t="s">
        <v>57</v>
      </c>
      <c r="D35" s="72" t="s">
        <v>57</v>
      </c>
      <c r="E35" s="76" t="s">
        <v>40</v>
      </c>
      <c r="F35" s="76" t="s">
        <v>40</v>
      </c>
      <c r="G35" s="73" t="s">
        <v>38</v>
      </c>
      <c r="H35" s="74" t="s">
        <v>34</v>
      </c>
      <c r="I35" s="74">
        <v>27090000</v>
      </c>
      <c r="J35" s="75">
        <v>41645</v>
      </c>
      <c r="K35" s="76" t="s">
        <v>144</v>
      </c>
      <c r="L35" s="77" t="s">
        <v>32</v>
      </c>
      <c r="M35" s="74" t="s">
        <v>45</v>
      </c>
      <c r="N35" s="78" t="s">
        <v>42</v>
      </c>
      <c r="O35" s="79">
        <v>953678</v>
      </c>
      <c r="P35" s="80">
        <f t="shared" si="5"/>
        <v>103814526.046</v>
      </c>
      <c r="Q35" s="80">
        <f t="shared" si="6"/>
        <v>16169112431.664501</v>
      </c>
      <c r="R35" s="80" t="s">
        <v>25</v>
      </c>
      <c r="S35" s="81">
        <v>108.857</v>
      </c>
      <c r="T35" s="82">
        <f t="shared" si="7"/>
        <v>41735</v>
      </c>
      <c r="U35" s="83" t="s">
        <v>40</v>
      </c>
      <c r="V35" s="80">
        <f t="shared" si="8"/>
        <v>124577.43125519999</v>
      </c>
      <c r="W35" s="81">
        <v>155.75</v>
      </c>
      <c r="X35" s="80">
        <f t="shared" si="9"/>
        <v>19402934.917997397</v>
      </c>
      <c r="Y35" s="80" t="s">
        <v>40</v>
      </c>
      <c r="Z35" s="85" t="s">
        <v>40</v>
      </c>
      <c r="AA35" s="84" t="s">
        <v>40</v>
      </c>
    </row>
    <row r="36" spans="1:27" s="86" customFormat="1" ht="90.75" customHeight="1" x14ac:dyDescent="0.45">
      <c r="A36" s="74">
        <v>7</v>
      </c>
      <c r="B36" s="71" t="s">
        <v>77</v>
      </c>
      <c r="C36" s="76" t="s">
        <v>107</v>
      </c>
      <c r="D36" s="72">
        <v>41673</v>
      </c>
      <c r="E36" s="76" t="s">
        <v>121</v>
      </c>
      <c r="F36" s="76" t="s">
        <v>54</v>
      </c>
      <c r="G36" s="73" t="s">
        <v>38</v>
      </c>
      <c r="H36" s="74" t="s">
        <v>34</v>
      </c>
      <c r="I36" s="74">
        <v>27090000</v>
      </c>
      <c r="J36" s="75">
        <v>41647</v>
      </c>
      <c r="K36" s="76" t="s">
        <v>145</v>
      </c>
      <c r="L36" s="77" t="s">
        <v>32</v>
      </c>
      <c r="M36" s="74" t="s">
        <v>44</v>
      </c>
      <c r="N36" s="78" t="s">
        <v>55</v>
      </c>
      <c r="O36" s="79">
        <v>50000</v>
      </c>
      <c r="P36" s="80">
        <f t="shared" si="5"/>
        <v>5449900</v>
      </c>
      <c r="Q36" s="80">
        <f t="shared" si="6"/>
        <v>848821925</v>
      </c>
      <c r="R36" s="80" t="s">
        <v>25</v>
      </c>
      <c r="S36" s="81">
        <v>108.998</v>
      </c>
      <c r="T36" s="82">
        <f t="shared" si="7"/>
        <v>41737</v>
      </c>
      <c r="U36" s="83" t="s">
        <v>40</v>
      </c>
      <c r="V36" s="80">
        <f t="shared" si="8"/>
        <v>6539.8799999999992</v>
      </c>
      <c r="W36" s="81">
        <v>155.75</v>
      </c>
      <c r="X36" s="80">
        <f t="shared" si="9"/>
        <v>1018586.3099999998</v>
      </c>
      <c r="Y36" s="80" t="s">
        <v>40</v>
      </c>
      <c r="Z36" s="85" t="s">
        <v>40</v>
      </c>
      <c r="AA36" s="84" t="s">
        <v>40</v>
      </c>
    </row>
    <row r="37" spans="1:27" s="86" customFormat="1" ht="90.75" customHeight="1" x14ac:dyDescent="0.45">
      <c r="A37" s="74">
        <v>8</v>
      </c>
      <c r="B37" s="71" t="s">
        <v>78</v>
      </c>
      <c r="C37" s="76" t="s">
        <v>108</v>
      </c>
      <c r="D37" s="72">
        <v>41673</v>
      </c>
      <c r="E37" s="76" t="s">
        <v>122</v>
      </c>
      <c r="F37" s="76" t="s">
        <v>54</v>
      </c>
      <c r="G37" s="73" t="s">
        <v>38</v>
      </c>
      <c r="H37" s="74" t="s">
        <v>34</v>
      </c>
      <c r="I37" s="74">
        <v>27090000</v>
      </c>
      <c r="J37" s="75">
        <v>41647</v>
      </c>
      <c r="K37" s="76" t="s">
        <v>145</v>
      </c>
      <c r="L37" s="77" t="s">
        <v>32</v>
      </c>
      <c r="M37" s="74" t="s">
        <v>44</v>
      </c>
      <c r="N37" s="78" t="s">
        <v>55</v>
      </c>
      <c r="O37" s="79">
        <v>899414</v>
      </c>
      <c r="P37" s="80">
        <f t="shared" si="5"/>
        <v>98034327.172000006</v>
      </c>
      <c r="Q37" s="80">
        <f t="shared" si="6"/>
        <v>15268846457.039001</v>
      </c>
      <c r="R37" s="80" t="s">
        <v>25</v>
      </c>
      <c r="S37" s="81">
        <v>108.998</v>
      </c>
      <c r="T37" s="82">
        <f t="shared" si="7"/>
        <v>41737</v>
      </c>
      <c r="U37" s="83" t="s">
        <v>40</v>
      </c>
      <c r="V37" s="80">
        <f t="shared" si="8"/>
        <v>117641.1926064</v>
      </c>
      <c r="W37" s="81">
        <v>155.75</v>
      </c>
      <c r="X37" s="80">
        <f t="shared" si="9"/>
        <v>18322615.7484468</v>
      </c>
      <c r="Y37" s="80" t="s">
        <v>40</v>
      </c>
      <c r="Z37" s="85" t="s">
        <v>40</v>
      </c>
      <c r="AA37" s="84" t="s">
        <v>40</v>
      </c>
    </row>
    <row r="38" spans="1:27" s="86" customFormat="1" ht="90.75" customHeight="1" x14ac:dyDescent="0.45">
      <c r="A38" s="74">
        <v>9</v>
      </c>
      <c r="B38" s="71" t="s">
        <v>79</v>
      </c>
      <c r="C38" s="76" t="s">
        <v>109</v>
      </c>
      <c r="D38" s="72">
        <v>41673</v>
      </c>
      <c r="E38" s="76" t="s">
        <v>123</v>
      </c>
      <c r="F38" s="76" t="s">
        <v>54</v>
      </c>
      <c r="G38" s="73" t="s">
        <v>38</v>
      </c>
      <c r="H38" s="74" t="s">
        <v>33</v>
      </c>
      <c r="I38" s="74">
        <v>27090000</v>
      </c>
      <c r="J38" s="75">
        <v>41648</v>
      </c>
      <c r="K38" s="76" t="s">
        <v>146</v>
      </c>
      <c r="L38" s="77" t="s">
        <v>31</v>
      </c>
      <c r="M38" s="74" t="s">
        <v>47</v>
      </c>
      <c r="N38" s="78" t="s">
        <v>66</v>
      </c>
      <c r="O38" s="79">
        <v>949985</v>
      </c>
      <c r="P38" s="80">
        <f t="shared" si="5"/>
        <v>103542665.09</v>
      </c>
      <c r="Q38" s="80">
        <f t="shared" si="6"/>
        <v>16126770087.7675</v>
      </c>
      <c r="R38" s="80" t="s">
        <v>25</v>
      </c>
      <c r="S38" s="81">
        <v>108.994</v>
      </c>
      <c r="T38" s="82">
        <f t="shared" si="7"/>
        <v>41738</v>
      </c>
      <c r="U38" s="83" t="s">
        <v>40</v>
      </c>
      <c r="V38" s="80">
        <f t="shared" si="8"/>
        <v>124251.198108</v>
      </c>
      <c r="W38" s="81">
        <v>155.75</v>
      </c>
      <c r="X38" s="80">
        <f t="shared" si="9"/>
        <v>19352124.105321001</v>
      </c>
      <c r="Y38" s="80" t="s">
        <v>40</v>
      </c>
      <c r="Z38" s="85" t="s">
        <v>40</v>
      </c>
      <c r="AA38" s="84" t="s">
        <v>40</v>
      </c>
    </row>
    <row r="39" spans="1:27" s="86" customFormat="1" ht="90.75" customHeight="1" x14ac:dyDescent="0.45">
      <c r="A39" s="74">
        <v>10</v>
      </c>
      <c r="B39" s="71" t="s">
        <v>80</v>
      </c>
      <c r="C39" s="76" t="s">
        <v>57</v>
      </c>
      <c r="D39" s="72" t="s">
        <v>57</v>
      </c>
      <c r="E39" s="76" t="s">
        <v>40</v>
      </c>
      <c r="F39" s="76" t="s">
        <v>40</v>
      </c>
      <c r="G39" s="73" t="s">
        <v>58</v>
      </c>
      <c r="H39" s="74" t="s">
        <v>34</v>
      </c>
      <c r="I39" s="74">
        <v>27090000</v>
      </c>
      <c r="J39" s="75">
        <v>41650</v>
      </c>
      <c r="K39" s="76" t="s">
        <v>147</v>
      </c>
      <c r="L39" s="77" t="s">
        <v>32</v>
      </c>
      <c r="M39" s="74" t="s">
        <v>161</v>
      </c>
      <c r="N39" s="78" t="s">
        <v>165</v>
      </c>
      <c r="O39" s="79">
        <v>75000</v>
      </c>
      <c r="P39" s="80">
        <f t="shared" si="5"/>
        <v>8210850</v>
      </c>
      <c r="Q39" s="80">
        <f t="shared" si="6"/>
        <v>1278839887.5</v>
      </c>
      <c r="R39" s="80" t="s">
        <v>25</v>
      </c>
      <c r="S39" s="81">
        <v>109.47799999999999</v>
      </c>
      <c r="T39" s="82">
        <f t="shared" si="7"/>
        <v>41740</v>
      </c>
      <c r="U39" s="83" t="s">
        <v>40</v>
      </c>
      <c r="V39" s="80">
        <f t="shared" si="8"/>
        <v>9853.0199999999986</v>
      </c>
      <c r="W39" s="81">
        <v>155.75</v>
      </c>
      <c r="X39" s="80">
        <f t="shared" si="9"/>
        <v>1534607.8649999998</v>
      </c>
      <c r="Y39" s="80" t="s">
        <v>40</v>
      </c>
      <c r="Z39" s="85" t="s">
        <v>40</v>
      </c>
      <c r="AA39" s="84" t="s">
        <v>40</v>
      </c>
    </row>
    <row r="40" spans="1:27" s="86" customFormat="1" ht="90.75" customHeight="1" x14ac:dyDescent="0.45">
      <c r="A40" s="74">
        <v>11</v>
      </c>
      <c r="B40" s="71" t="s">
        <v>81</v>
      </c>
      <c r="C40" s="76" t="s">
        <v>57</v>
      </c>
      <c r="D40" s="72" t="s">
        <v>57</v>
      </c>
      <c r="E40" s="76" t="s">
        <v>124</v>
      </c>
      <c r="F40" s="76" t="s">
        <v>53</v>
      </c>
      <c r="G40" s="73" t="s">
        <v>49</v>
      </c>
      <c r="H40" s="74" t="s">
        <v>34</v>
      </c>
      <c r="I40" s="74">
        <v>27090000</v>
      </c>
      <c r="J40" s="75">
        <v>41650</v>
      </c>
      <c r="K40" s="76" t="s">
        <v>147</v>
      </c>
      <c r="L40" s="77" t="s">
        <v>32</v>
      </c>
      <c r="M40" s="74" t="s">
        <v>161</v>
      </c>
      <c r="N40" s="78" t="s">
        <v>165</v>
      </c>
      <c r="O40" s="79">
        <v>100000</v>
      </c>
      <c r="P40" s="80">
        <f t="shared" si="5"/>
        <v>10947800</v>
      </c>
      <c r="Q40" s="80">
        <f t="shared" si="6"/>
        <v>1705119850</v>
      </c>
      <c r="R40" s="80" t="s">
        <v>25</v>
      </c>
      <c r="S40" s="81">
        <v>109.47799999999999</v>
      </c>
      <c r="T40" s="82">
        <f t="shared" si="7"/>
        <v>41740</v>
      </c>
      <c r="U40" s="83" t="s">
        <v>53</v>
      </c>
      <c r="V40" s="80">
        <f t="shared" si="8"/>
        <v>13137.359999999999</v>
      </c>
      <c r="W40" s="81">
        <v>155.75</v>
      </c>
      <c r="X40" s="80">
        <f t="shared" si="9"/>
        <v>2046143.8199999998</v>
      </c>
      <c r="Y40" s="80">
        <v>1924699.2</v>
      </c>
      <c r="Z40" s="85" t="s">
        <v>172</v>
      </c>
      <c r="AA40" s="325">
        <v>41647</v>
      </c>
    </row>
    <row r="41" spans="1:27" s="86" customFormat="1" ht="90.75" customHeight="1" x14ac:dyDescent="0.45">
      <c r="A41" s="74">
        <v>12</v>
      </c>
      <c r="B41" s="71" t="s">
        <v>82</v>
      </c>
      <c r="C41" s="76" t="s">
        <v>57</v>
      </c>
      <c r="D41" s="72" t="s">
        <v>57</v>
      </c>
      <c r="E41" s="85" t="s">
        <v>125</v>
      </c>
      <c r="F41" s="76" t="s">
        <v>138</v>
      </c>
      <c r="G41" s="73" t="s">
        <v>50</v>
      </c>
      <c r="H41" s="74" t="s">
        <v>34</v>
      </c>
      <c r="I41" s="74">
        <v>27090000</v>
      </c>
      <c r="J41" s="75">
        <v>41650</v>
      </c>
      <c r="K41" s="76" t="s">
        <v>147</v>
      </c>
      <c r="L41" s="77" t="s">
        <v>32</v>
      </c>
      <c r="M41" s="74" t="s">
        <v>161</v>
      </c>
      <c r="N41" s="78" t="s">
        <v>165</v>
      </c>
      <c r="O41" s="79">
        <v>782120</v>
      </c>
      <c r="P41" s="80">
        <f t="shared" si="5"/>
        <v>85624933.359999999</v>
      </c>
      <c r="Q41" s="80">
        <f t="shared" si="6"/>
        <v>13336083370.82</v>
      </c>
      <c r="R41" s="80" t="s">
        <v>25</v>
      </c>
      <c r="S41" s="81">
        <v>109.47799999999999</v>
      </c>
      <c r="T41" s="82">
        <f t="shared" si="7"/>
        <v>41740</v>
      </c>
      <c r="U41" s="83" t="s">
        <v>40</v>
      </c>
      <c r="V41" s="80">
        <f t="shared" si="8"/>
        <v>102749.92003199999</v>
      </c>
      <c r="W41" s="81">
        <v>155.75</v>
      </c>
      <c r="X41" s="80">
        <f t="shared" si="9"/>
        <v>16003300.044984</v>
      </c>
      <c r="Y41" s="80" t="s">
        <v>40</v>
      </c>
      <c r="Z41" s="85" t="s">
        <v>40</v>
      </c>
      <c r="AA41" s="84" t="s">
        <v>40</v>
      </c>
    </row>
    <row r="42" spans="1:27" s="86" customFormat="1" ht="90.75" customHeight="1" x14ac:dyDescent="0.45">
      <c r="A42" s="74">
        <v>13</v>
      </c>
      <c r="B42" s="71" t="s">
        <v>83</v>
      </c>
      <c r="C42" s="76" t="s">
        <v>57</v>
      </c>
      <c r="D42" s="72" t="s">
        <v>57</v>
      </c>
      <c r="E42" s="76" t="s">
        <v>40</v>
      </c>
      <c r="F42" s="76" t="s">
        <v>40</v>
      </c>
      <c r="G42" s="73" t="s">
        <v>35</v>
      </c>
      <c r="H42" s="74" t="s">
        <v>33</v>
      </c>
      <c r="I42" s="74">
        <v>27090000</v>
      </c>
      <c r="J42" s="75">
        <v>41651</v>
      </c>
      <c r="K42" s="76" t="s">
        <v>67</v>
      </c>
      <c r="L42" s="77" t="s">
        <v>31</v>
      </c>
      <c r="M42" s="74" t="s">
        <v>44</v>
      </c>
      <c r="N42" s="78" t="s">
        <v>55</v>
      </c>
      <c r="O42" s="79">
        <v>904741</v>
      </c>
      <c r="P42" s="80">
        <f t="shared" si="5"/>
        <v>99060092.089999989</v>
      </c>
      <c r="Q42" s="80">
        <f t="shared" si="6"/>
        <v>15428609343.017498</v>
      </c>
      <c r="R42" s="80" t="s">
        <v>25</v>
      </c>
      <c r="S42" s="81">
        <v>109.49</v>
      </c>
      <c r="T42" s="82">
        <f t="shared" si="7"/>
        <v>41741</v>
      </c>
      <c r="U42" s="83" t="s">
        <v>40</v>
      </c>
      <c r="V42" s="80">
        <f t="shared" si="8"/>
        <v>118872.11050799997</v>
      </c>
      <c r="W42" s="81">
        <v>155.75</v>
      </c>
      <c r="X42" s="80">
        <f t="shared" si="9"/>
        <v>18514331.211620994</v>
      </c>
      <c r="Y42" s="80" t="s">
        <v>40</v>
      </c>
      <c r="Z42" s="85" t="s">
        <v>40</v>
      </c>
      <c r="AA42" s="84" t="s">
        <v>40</v>
      </c>
    </row>
    <row r="43" spans="1:27" s="86" customFormat="1" ht="90.75" customHeight="1" x14ac:dyDescent="0.45">
      <c r="A43" s="74">
        <v>14</v>
      </c>
      <c r="B43" s="71" t="s">
        <v>84</v>
      </c>
      <c r="C43" s="76" t="s">
        <v>57</v>
      </c>
      <c r="D43" s="72" t="s">
        <v>57</v>
      </c>
      <c r="E43" s="85" t="s">
        <v>40</v>
      </c>
      <c r="F43" s="76" t="s">
        <v>40</v>
      </c>
      <c r="G43" s="73" t="s">
        <v>38</v>
      </c>
      <c r="H43" s="74" t="s">
        <v>34</v>
      </c>
      <c r="I43" s="74">
        <v>27090000</v>
      </c>
      <c r="J43" s="75">
        <v>41653</v>
      </c>
      <c r="K43" s="76" t="s">
        <v>148</v>
      </c>
      <c r="L43" s="77" t="s">
        <v>32</v>
      </c>
      <c r="M43" s="74" t="s">
        <v>51</v>
      </c>
      <c r="N43" s="78" t="s">
        <v>166</v>
      </c>
      <c r="O43" s="79">
        <v>948282</v>
      </c>
      <c r="P43" s="80">
        <f t="shared" si="5"/>
        <v>104343261.588</v>
      </c>
      <c r="Q43" s="80">
        <f t="shared" si="6"/>
        <v>16251462992.330999</v>
      </c>
      <c r="R43" s="80" t="s">
        <v>25</v>
      </c>
      <c r="S43" s="81">
        <v>110.03400000000001</v>
      </c>
      <c r="T43" s="82">
        <f t="shared" si="7"/>
        <v>41743</v>
      </c>
      <c r="U43" s="83" t="s">
        <v>40</v>
      </c>
      <c r="V43" s="80">
        <f t="shared" si="8"/>
        <v>125211.91390559998</v>
      </c>
      <c r="W43" s="81">
        <v>155.75</v>
      </c>
      <c r="X43" s="80">
        <f t="shared" si="9"/>
        <v>19501755.590797197</v>
      </c>
      <c r="Y43" s="80" t="s">
        <v>40</v>
      </c>
      <c r="Z43" s="85" t="s">
        <v>40</v>
      </c>
      <c r="AA43" s="84" t="s">
        <v>40</v>
      </c>
    </row>
    <row r="44" spans="1:27" s="86" customFormat="1" ht="90.75" customHeight="1" x14ac:dyDescent="0.45">
      <c r="A44" s="74">
        <v>15</v>
      </c>
      <c r="B44" s="71" t="s">
        <v>85</v>
      </c>
      <c r="C44" s="76" t="s">
        <v>57</v>
      </c>
      <c r="D44" s="72" t="s">
        <v>57</v>
      </c>
      <c r="E44" s="76" t="s">
        <v>40</v>
      </c>
      <c r="F44" s="76" t="s">
        <v>40</v>
      </c>
      <c r="G44" s="73" t="s">
        <v>35</v>
      </c>
      <c r="H44" s="74" t="s">
        <v>33</v>
      </c>
      <c r="I44" s="74">
        <v>27090000</v>
      </c>
      <c r="J44" s="75">
        <v>41654</v>
      </c>
      <c r="K44" s="76" t="s">
        <v>149</v>
      </c>
      <c r="L44" s="77" t="s">
        <v>31</v>
      </c>
      <c r="M44" s="74" t="s">
        <v>44</v>
      </c>
      <c r="N44" s="78" t="s">
        <v>167</v>
      </c>
      <c r="O44" s="79">
        <v>904753</v>
      </c>
      <c r="P44" s="80">
        <f t="shared" si="5"/>
        <v>99584353.203999996</v>
      </c>
      <c r="Q44" s="80">
        <f t="shared" si="6"/>
        <v>15510263011.522999</v>
      </c>
      <c r="R44" s="80" t="s">
        <v>25</v>
      </c>
      <c r="S44" s="81">
        <v>110.068</v>
      </c>
      <c r="T44" s="82">
        <f t="shared" si="7"/>
        <v>41744</v>
      </c>
      <c r="U44" s="83" t="s">
        <v>40</v>
      </c>
      <c r="V44" s="80">
        <f t="shared" si="8"/>
        <v>119501.22384479998</v>
      </c>
      <c r="W44" s="81">
        <v>155.75</v>
      </c>
      <c r="X44" s="80">
        <f t="shared" si="9"/>
        <v>18612315.613827597</v>
      </c>
      <c r="Y44" s="80" t="s">
        <v>40</v>
      </c>
      <c r="Z44" s="85" t="s">
        <v>40</v>
      </c>
      <c r="AA44" s="84" t="s">
        <v>40</v>
      </c>
    </row>
    <row r="45" spans="1:27" s="86" customFormat="1" ht="90.75" customHeight="1" x14ac:dyDescent="0.45">
      <c r="A45" s="74">
        <v>16</v>
      </c>
      <c r="B45" s="71" t="s">
        <v>86</v>
      </c>
      <c r="C45" s="76" t="s">
        <v>110</v>
      </c>
      <c r="D45" s="72">
        <v>41673</v>
      </c>
      <c r="E45" s="76" t="s">
        <v>126</v>
      </c>
      <c r="F45" s="76" t="s">
        <v>54</v>
      </c>
      <c r="G45" s="73" t="s">
        <v>38</v>
      </c>
      <c r="H45" s="74" t="s">
        <v>33</v>
      </c>
      <c r="I45" s="74">
        <v>27090000</v>
      </c>
      <c r="J45" s="75">
        <v>41655</v>
      </c>
      <c r="K45" s="76" t="s">
        <v>150</v>
      </c>
      <c r="L45" s="77" t="s">
        <v>31</v>
      </c>
      <c r="M45" s="74" t="s">
        <v>43</v>
      </c>
      <c r="N45" s="78" t="s">
        <v>56</v>
      </c>
      <c r="O45" s="79">
        <v>60000</v>
      </c>
      <c r="P45" s="80">
        <f t="shared" si="5"/>
        <v>6606120</v>
      </c>
      <c r="Q45" s="80">
        <f t="shared" si="6"/>
        <v>1028903190</v>
      </c>
      <c r="R45" s="80" t="s">
        <v>25</v>
      </c>
      <c r="S45" s="81">
        <v>110.102</v>
      </c>
      <c r="T45" s="82">
        <f t="shared" si="7"/>
        <v>41745</v>
      </c>
      <c r="U45" s="83" t="s">
        <v>40</v>
      </c>
      <c r="V45" s="80">
        <f t="shared" si="8"/>
        <v>7927.3439999999991</v>
      </c>
      <c r="W45" s="81">
        <v>155.75</v>
      </c>
      <c r="X45" s="80">
        <f t="shared" si="9"/>
        <v>1234683.828</v>
      </c>
      <c r="Y45" s="80" t="s">
        <v>40</v>
      </c>
      <c r="Z45" s="85" t="s">
        <v>40</v>
      </c>
      <c r="AA45" s="84" t="s">
        <v>40</v>
      </c>
    </row>
    <row r="46" spans="1:27" s="86" customFormat="1" ht="90.75" customHeight="1" x14ac:dyDescent="0.45">
      <c r="A46" s="74">
        <v>17</v>
      </c>
      <c r="B46" s="71" t="s">
        <v>87</v>
      </c>
      <c r="C46" s="76" t="s">
        <v>111</v>
      </c>
      <c r="D46" s="72">
        <v>41673</v>
      </c>
      <c r="E46" s="76" t="s">
        <v>127</v>
      </c>
      <c r="F46" s="76" t="s">
        <v>54</v>
      </c>
      <c r="G46" s="73" t="s">
        <v>38</v>
      </c>
      <c r="H46" s="74" t="s">
        <v>33</v>
      </c>
      <c r="I46" s="74">
        <v>27090000</v>
      </c>
      <c r="J46" s="75">
        <v>41655</v>
      </c>
      <c r="K46" s="76" t="s">
        <v>150</v>
      </c>
      <c r="L46" s="77" t="s">
        <v>31</v>
      </c>
      <c r="M46" s="74" t="s">
        <v>43</v>
      </c>
      <c r="N46" s="78" t="s">
        <v>56</v>
      </c>
      <c r="O46" s="79">
        <v>15000</v>
      </c>
      <c r="P46" s="80">
        <f t="shared" si="5"/>
        <v>1651530</v>
      </c>
      <c r="Q46" s="80">
        <f t="shared" si="6"/>
        <v>257225797.5</v>
      </c>
      <c r="R46" s="80" t="s">
        <v>25</v>
      </c>
      <c r="S46" s="81">
        <v>110.102</v>
      </c>
      <c r="T46" s="82">
        <f t="shared" si="7"/>
        <v>41745</v>
      </c>
      <c r="U46" s="83" t="s">
        <v>40</v>
      </c>
      <c r="V46" s="80">
        <f t="shared" si="8"/>
        <v>1981.8359999999998</v>
      </c>
      <c r="W46" s="81">
        <v>155.75</v>
      </c>
      <c r="X46" s="80">
        <f t="shared" si="9"/>
        <v>308670.95699999999</v>
      </c>
      <c r="Y46" s="80" t="s">
        <v>40</v>
      </c>
      <c r="Z46" s="85" t="s">
        <v>40</v>
      </c>
      <c r="AA46" s="84" t="s">
        <v>40</v>
      </c>
    </row>
    <row r="47" spans="1:27" s="86" customFormat="1" ht="90.75" customHeight="1" x14ac:dyDescent="0.45">
      <c r="A47" s="74">
        <v>18</v>
      </c>
      <c r="B47" s="71" t="s">
        <v>88</v>
      </c>
      <c r="C47" s="76" t="s">
        <v>112</v>
      </c>
      <c r="D47" s="72">
        <v>41673</v>
      </c>
      <c r="E47" s="76" t="s">
        <v>128</v>
      </c>
      <c r="F47" s="76" t="s">
        <v>54</v>
      </c>
      <c r="G47" s="73" t="s">
        <v>38</v>
      </c>
      <c r="H47" s="74" t="s">
        <v>33</v>
      </c>
      <c r="I47" s="74">
        <v>27090000</v>
      </c>
      <c r="J47" s="75">
        <v>41655</v>
      </c>
      <c r="K47" s="76" t="s">
        <v>150</v>
      </c>
      <c r="L47" s="77" t="s">
        <v>31</v>
      </c>
      <c r="M47" s="74" t="s">
        <v>43</v>
      </c>
      <c r="N47" s="78" t="s">
        <v>56</v>
      </c>
      <c r="O47" s="79">
        <v>70000</v>
      </c>
      <c r="P47" s="80">
        <f t="shared" si="5"/>
        <v>7707140</v>
      </c>
      <c r="Q47" s="80">
        <f t="shared" si="6"/>
        <v>1200387055</v>
      </c>
      <c r="R47" s="80" t="s">
        <v>25</v>
      </c>
      <c r="S47" s="81">
        <v>110.102</v>
      </c>
      <c r="T47" s="82">
        <f t="shared" si="7"/>
        <v>41745</v>
      </c>
      <c r="U47" s="83" t="s">
        <v>40</v>
      </c>
      <c r="V47" s="80">
        <f t="shared" si="8"/>
        <v>9248.5679999999993</v>
      </c>
      <c r="W47" s="81">
        <v>155.75</v>
      </c>
      <c r="X47" s="80">
        <f t="shared" si="9"/>
        <v>1440464.4659999998</v>
      </c>
      <c r="Y47" s="80" t="s">
        <v>40</v>
      </c>
      <c r="Z47" s="85" t="s">
        <v>40</v>
      </c>
      <c r="AA47" s="84" t="s">
        <v>40</v>
      </c>
    </row>
    <row r="48" spans="1:27" s="86" customFormat="1" ht="90.75" customHeight="1" x14ac:dyDescent="0.45">
      <c r="A48" s="74">
        <v>19</v>
      </c>
      <c r="B48" s="71" t="s">
        <v>89</v>
      </c>
      <c r="C48" s="76" t="s">
        <v>113</v>
      </c>
      <c r="D48" s="72">
        <v>41673</v>
      </c>
      <c r="E48" s="76" t="s">
        <v>129</v>
      </c>
      <c r="F48" s="76" t="s">
        <v>54</v>
      </c>
      <c r="G48" s="73" t="s">
        <v>38</v>
      </c>
      <c r="H48" s="74" t="s">
        <v>33</v>
      </c>
      <c r="I48" s="74">
        <v>27090000</v>
      </c>
      <c r="J48" s="75">
        <v>41655</v>
      </c>
      <c r="K48" s="76" t="s">
        <v>150</v>
      </c>
      <c r="L48" s="77" t="s">
        <v>31</v>
      </c>
      <c r="M48" s="74" t="s">
        <v>43</v>
      </c>
      <c r="N48" s="78" t="s">
        <v>56</v>
      </c>
      <c r="O48" s="79">
        <v>759706</v>
      </c>
      <c r="P48" s="80">
        <f t="shared" si="5"/>
        <v>83645150.012000009</v>
      </c>
      <c r="Q48" s="80">
        <f t="shared" si="6"/>
        <v>13027732114.369001</v>
      </c>
      <c r="R48" s="80" t="s">
        <v>25</v>
      </c>
      <c r="S48" s="81">
        <v>110.102</v>
      </c>
      <c r="T48" s="82">
        <f t="shared" si="7"/>
        <v>41745</v>
      </c>
      <c r="U48" s="83" t="s">
        <v>40</v>
      </c>
      <c r="V48" s="80">
        <f t="shared" si="8"/>
        <v>100374.1800144</v>
      </c>
      <c r="W48" s="81">
        <v>155.75</v>
      </c>
      <c r="X48" s="80">
        <f t="shared" si="9"/>
        <v>15633278.5372428</v>
      </c>
      <c r="Y48" s="80" t="s">
        <v>40</v>
      </c>
      <c r="Z48" s="85" t="s">
        <v>40</v>
      </c>
      <c r="AA48" s="84" t="s">
        <v>40</v>
      </c>
    </row>
    <row r="49" spans="1:27" s="86" customFormat="1" ht="90.75" customHeight="1" x14ac:dyDescent="0.45">
      <c r="A49" s="387">
        <v>20</v>
      </c>
      <c r="B49" s="71" t="s">
        <v>90</v>
      </c>
      <c r="C49" s="76" t="s">
        <v>57</v>
      </c>
      <c r="D49" s="72" t="s">
        <v>57</v>
      </c>
      <c r="E49" s="390" t="s">
        <v>130</v>
      </c>
      <c r="F49" s="76" t="s">
        <v>41</v>
      </c>
      <c r="G49" s="73" t="s">
        <v>140</v>
      </c>
      <c r="H49" s="74" t="s">
        <v>34</v>
      </c>
      <c r="I49" s="74">
        <v>27090000</v>
      </c>
      <c r="J49" s="87">
        <v>41657</v>
      </c>
      <c r="K49" s="76" t="s">
        <v>151</v>
      </c>
      <c r="L49" s="77" t="s">
        <v>32</v>
      </c>
      <c r="M49" s="74" t="s">
        <v>43</v>
      </c>
      <c r="N49" s="88" t="s">
        <v>56</v>
      </c>
      <c r="O49" s="79">
        <v>500000</v>
      </c>
      <c r="P49" s="80">
        <f t="shared" si="5"/>
        <v>55213500</v>
      </c>
      <c r="Q49" s="80">
        <f t="shared" si="6"/>
        <v>8599502625</v>
      </c>
      <c r="R49" s="80" t="s">
        <v>25</v>
      </c>
      <c r="S49" s="81">
        <v>110.42700000000001</v>
      </c>
      <c r="T49" s="82">
        <f t="shared" si="7"/>
        <v>41747</v>
      </c>
      <c r="U49" s="83" t="s">
        <v>40</v>
      </c>
      <c r="V49" s="80">
        <f t="shared" si="8"/>
        <v>66256.2</v>
      </c>
      <c r="W49" s="81">
        <v>155.75</v>
      </c>
      <c r="X49" s="80">
        <f t="shared" si="9"/>
        <v>10319403.15</v>
      </c>
      <c r="Y49" s="80" t="s">
        <v>40</v>
      </c>
      <c r="Z49" s="85" t="s">
        <v>40</v>
      </c>
      <c r="AA49" s="84" t="s">
        <v>40</v>
      </c>
    </row>
    <row r="50" spans="1:27" s="86" customFormat="1" ht="90.75" customHeight="1" x14ac:dyDescent="0.45">
      <c r="A50" s="388"/>
      <c r="B50" s="71" t="s">
        <v>91</v>
      </c>
      <c r="C50" s="76" t="s">
        <v>57</v>
      </c>
      <c r="D50" s="72" t="s">
        <v>57</v>
      </c>
      <c r="E50" s="391"/>
      <c r="F50" s="76" t="s">
        <v>41</v>
      </c>
      <c r="G50" s="73" t="s">
        <v>140</v>
      </c>
      <c r="H50" s="74" t="s">
        <v>34</v>
      </c>
      <c r="I50" s="74">
        <v>27090000</v>
      </c>
      <c r="J50" s="87">
        <v>41657</v>
      </c>
      <c r="K50" s="76" t="s">
        <v>151</v>
      </c>
      <c r="L50" s="89" t="s">
        <v>32</v>
      </c>
      <c r="M50" s="74" t="s">
        <v>43</v>
      </c>
      <c r="N50" s="78" t="s">
        <v>56</v>
      </c>
      <c r="O50" s="79">
        <v>310000</v>
      </c>
      <c r="P50" s="80">
        <f t="shared" si="5"/>
        <v>34232370</v>
      </c>
      <c r="Q50" s="80">
        <f t="shared" si="6"/>
        <v>5331691627.5</v>
      </c>
      <c r="R50" s="80" t="s">
        <v>25</v>
      </c>
      <c r="S50" s="81">
        <v>110.42700000000001</v>
      </c>
      <c r="T50" s="82">
        <f t="shared" si="7"/>
        <v>41747</v>
      </c>
      <c r="U50" s="83" t="s">
        <v>40</v>
      </c>
      <c r="V50" s="80">
        <f t="shared" si="8"/>
        <v>41078.843999999997</v>
      </c>
      <c r="W50" s="81">
        <v>155.75</v>
      </c>
      <c r="X50" s="80">
        <f t="shared" si="9"/>
        <v>6398029.9529999997</v>
      </c>
      <c r="Y50" s="80" t="s">
        <v>40</v>
      </c>
      <c r="Z50" s="85" t="s">
        <v>40</v>
      </c>
      <c r="AA50" s="84" t="s">
        <v>40</v>
      </c>
    </row>
    <row r="51" spans="1:27" s="86" customFormat="1" ht="90.75" customHeight="1" x14ac:dyDescent="0.45">
      <c r="A51" s="389"/>
      <c r="B51" s="71" t="s">
        <v>92</v>
      </c>
      <c r="C51" s="76" t="s">
        <v>57</v>
      </c>
      <c r="D51" s="72" t="s">
        <v>57</v>
      </c>
      <c r="E51" s="392"/>
      <c r="F51" s="76" t="s">
        <v>41</v>
      </c>
      <c r="G51" s="73" t="s">
        <v>140</v>
      </c>
      <c r="H51" s="74" t="s">
        <v>34</v>
      </c>
      <c r="I51" s="74">
        <v>27090000</v>
      </c>
      <c r="J51" s="87">
        <v>41657</v>
      </c>
      <c r="K51" s="76" t="s">
        <v>151</v>
      </c>
      <c r="L51" s="89" t="s">
        <v>32</v>
      </c>
      <c r="M51" s="74" t="s">
        <v>43</v>
      </c>
      <c r="N51" s="78" t="s">
        <v>56</v>
      </c>
      <c r="O51" s="79">
        <v>238469</v>
      </c>
      <c r="P51" s="80">
        <f t="shared" ref="P51:P64" si="10">O51*S51</f>
        <v>26333416.263</v>
      </c>
      <c r="Q51" s="80">
        <f t="shared" ref="Q51:Q64" si="11">P51*W51</f>
        <v>4101429582.9622502</v>
      </c>
      <c r="R51" s="80" t="s">
        <v>25</v>
      </c>
      <c r="S51" s="81">
        <v>110.42700000000001</v>
      </c>
      <c r="T51" s="82">
        <f t="shared" si="7"/>
        <v>41747</v>
      </c>
      <c r="U51" s="83" t="s">
        <v>40</v>
      </c>
      <c r="V51" s="80">
        <f t="shared" ref="V51:V64" si="12">P51*0.12%</f>
        <v>31600.099515599999</v>
      </c>
      <c r="W51" s="81">
        <v>155.75</v>
      </c>
      <c r="X51" s="80">
        <f t="shared" si="9"/>
        <v>4921715.4995547002</v>
      </c>
      <c r="Y51" s="80" t="s">
        <v>40</v>
      </c>
      <c r="Z51" s="85" t="s">
        <v>40</v>
      </c>
      <c r="AA51" s="84" t="s">
        <v>40</v>
      </c>
    </row>
    <row r="52" spans="1:27" s="86" customFormat="1" ht="90.75" customHeight="1" x14ac:dyDescent="0.45">
      <c r="A52" s="373">
        <v>21</v>
      </c>
      <c r="B52" s="71" t="s">
        <v>93</v>
      </c>
      <c r="C52" s="76" t="s">
        <v>114</v>
      </c>
      <c r="D52" s="72">
        <v>41673</v>
      </c>
      <c r="E52" s="85" t="s">
        <v>131</v>
      </c>
      <c r="F52" s="76" t="s">
        <v>54</v>
      </c>
      <c r="G52" s="73" t="s">
        <v>38</v>
      </c>
      <c r="H52" s="74" t="s">
        <v>33</v>
      </c>
      <c r="I52" s="74">
        <v>27090000</v>
      </c>
      <c r="J52" s="87">
        <v>41658</v>
      </c>
      <c r="K52" s="76" t="s">
        <v>152</v>
      </c>
      <c r="L52" s="89" t="s">
        <v>31</v>
      </c>
      <c r="M52" s="74" t="s">
        <v>65</v>
      </c>
      <c r="N52" s="78" t="s">
        <v>168</v>
      </c>
      <c r="O52" s="79">
        <v>905173</v>
      </c>
      <c r="P52" s="80">
        <f t="shared" si="10"/>
        <v>100343858.088</v>
      </c>
      <c r="Q52" s="80">
        <f t="shared" si="11"/>
        <v>15628555897.205999</v>
      </c>
      <c r="R52" s="80" t="s">
        <v>25</v>
      </c>
      <c r="S52" s="81">
        <v>110.85599999999999</v>
      </c>
      <c r="T52" s="82">
        <f t="shared" si="7"/>
        <v>41748</v>
      </c>
      <c r="U52" s="83" t="s">
        <v>40</v>
      </c>
      <c r="V52" s="80">
        <f t="shared" si="12"/>
        <v>120412.62970559999</v>
      </c>
      <c r="W52" s="81">
        <v>155.75</v>
      </c>
      <c r="X52" s="80">
        <f t="shared" si="9"/>
        <v>18754267.0766472</v>
      </c>
      <c r="Y52" s="80" t="s">
        <v>40</v>
      </c>
      <c r="Z52" s="85" t="s">
        <v>40</v>
      </c>
      <c r="AA52" s="325" t="s">
        <v>40</v>
      </c>
    </row>
    <row r="53" spans="1:27" s="86" customFormat="1" ht="90.75" customHeight="1" x14ac:dyDescent="0.45">
      <c r="A53" s="373">
        <v>22</v>
      </c>
      <c r="B53" s="71" t="s">
        <v>94</v>
      </c>
      <c r="C53" s="76" t="s">
        <v>57</v>
      </c>
      <c r="D53" s="72" t="s">
        <v>57</v>
      </c>
      <c r="E53" s="85" t="s">
        <v>40</v>
      </c>
      <c r="F53" s="76" t="s">
        <v>40</v>
      </c>
      <c r="G53" s="73" t="s">
        <v>35</v>
      </c>
      <c r="H53" s="74" t="s">
        <v>33</v>
      </c>
      <c r="I53" s="74">
        <v>27090000</v>
      </c>
      <c r="J53" s="87">
        <v>41660</v>
      </c>
      <c r="K53" s="76" t="s">
        <v>63</v>
      </c>
      <c r="L53" s="89" t="s">
        <v>31</v>
      </c>
      <c r="M53" s="74" t="s">
        <v>48</v>
      </c>
      <c r="N53" s="78" t="s">
        <v>169</v>
      </c>
      <c r="O53" s="79">
        <v>458189</v>
      </c>
      <c r="P53" s="80">
        <f t="shared" si="10"/>
        <v>51092197.200999998</v>
      </c>
      <c r="Q53" s="80">
        <f t="shared" si="11"/>
        <v>7957609714.0557499</v>
      </c>
      <c r="R53" s="80" t="s">
        <v>25</v>
      </c>
      <c r="S53" s="81">
        <v>111.509</v>
      </c>
      <c r="T53" s="82">
        <f t="shared" si="7"/>
        <v>41750</v>
      </c>
      <c r="U53" s="83" t="s">
        <v>40</v>
      </c>
      <c r="V53" s="80">
        <f t="shared" si="12"/>
        <v>61310.636641199992</v>
      </c>
      <c r="W53" s="81">
        <v>155.75</v>
      </c>
      <c r="X53" s="80">
        <f t="shared" si="9"/>
        <v>9549131.6568668988</v>
      </c>
      <c r="Y53" s="80" t="s">
        <v>40</v>
      </c>
      <c r="Z53" s="85" t="s">
        <v>40</v>
      </c>
      <c r="AA53" s="84" t="s">
        <v>40</v>
      </c>
    </row>
    <row r="54" spans="1:27" s="86" customFormat="1" ht="90.75" customHeight="1" x14ac:dyDescent="0.45">
      <c r="A54" s="373">
        <v>23</v>
      </c>
      <c r="B54" s="71" t="s">
        <v>95</v>
      </c>
      <c r="C54" s="76" t="s">
        <v>57</v>
      </c>
      <c r="D54" s="72" t="s">
        <v>57</v>
      </c>
      <c r="E54" s="85" t="s">
        <v>40</v>
      </c>
      <c r="F54" s="76" t="s">
        <v>40</v>
      </c>
      <c r="G54" s="73" t="s">
        <v>35</v>
      </c>
      <c r="H54" s="74" t="s">
        <v>33</v>
      </c>
      <c r="I54" s="74">
        <v>27090000</v>
      </c>
      <c r="J54" s="87">
        <v>41660</v>
      </c>
      <c r="K54" s="76" t="s">
        <v>63</v>
      </c>
      <c r="L54" s="89" t="s">
        <v>31</v>
      </c>
      <c r="M54" s="74" t="s">
        <v>51</v>
      </c>
      <c r="N54" s="78" t="s">
        <v>166</v>
      </c>
      <c r="O54" s="79">
        <v>400000</v>
      </c>
      <c r="P54" s="80">
        <f t="shared" si="10"/>
        <v>44603600</v>
      </c>
      <c r="Q54" s="80">
        <f t="shared" si="11"/>
        <v>6947010700</v>
      </c>
      <c r="R54" s="80" t="s">
        <v>25</v>
      </c>
      <c r="S54" s="81">
        <v>111.509</v>
      </c>
      <c r="T54" s="82">
        <f t="shared" si="7"/>
        <v>41750</v>
      </c>
      <c r="U54" s="83" t="s">
        <v>40</v>
      </c>
      <c r="V54" s="80">
        <f t="shared" si="12"/>
        <v>53524.319999999992</v>
      </c>
      <c r="W54" s="81">
        <v>155.75</v>
      </c>
      <c r="X54" s="80">
        <f t="shared" si="9"/>
        <v>8336412.8399999989</v>
      </c>
      <c r="Y54" s="80" t="s">
        <v>40</v>
      </c>
      <c r="Z54" s="85" t="s">
        <v>40</v>
      </c>
      <c r="AA54" s="84" t="s">
        <v>40</v>
      </c>
    </row>
    <row r="55" spans="1:27" s="86" customFormat="1" ht="90.75" customHeight="1" x14ac:dyDescent="0.45">
      <c r="A55" s="373">
        <v>24</v>
      </c>
      <c r="B55" s="71" t="s">
        <v>96</v>
      </c>
      <c r="C55" s="76" t="s">
        <v>57</v>
      </c>
      <c r="D55" s="72" t="s">
        <v>57</v>
      </c>
      <c r="E55" s="85" t="s">
        <v>40</v>
      </c>
      <c r="F55" s="76" t="s">
        <v>40</v>
      </c>
      <c r="G55" s="73" t="s">
        <v>38</v>
      </c>
      <c r="H55" s="74" t="s">
        <v>34</v>
      </c>
      <c r="I55" s="74">
        <v>27090000</v>
      </c>
      <c r="J55" s="87">
        <v>41661</v>
      </c>
      <c r="K55" s="76" t="s">
        <v>60</v>
      </c>
      <c r="L55" s="89" t="s">
        <v>32</v>
      </c>
      <c r="M55" s="74" t="s">
        <v>59</v>
      </c>
      <c r="N55" s="78" t="s">
        <v>170</v>
      </c>
      <c r="O55" s="79">
        <v>448143</v>
      </c>
      <c r="P55" s="80">
        <f t="shared" si="10"/>
        <v>50040095.523000002</v>
      </c>
      <c r="Q55" s="80">
        <f t="shared" si="11"/>
        <v>7793744877.7072506</v>
      </c>
      <c r="R55" s="80" t="s">
        <v>25</v>
      </c>
      <c r="S55" s="81">
        <v>111.661</v>
      </c>
      <c r="T55" s="82">
        <f t="shared" si="7"/>
        <v>41751</v>
      </c>
      <c r="U55" s="83" t="s">
        <v>40</v>
      </c>
      <c r="V55" s="80">
        <f t="shared" si="12"/>
        <v>60048.1146276</v>
      </c>
      <c r="W55" s="81">
        <v>155.75</v>
      </c>
      <c r="X55" s="80">
        <f t="shared" si="9"/>
        <v>9352493.8532487005</v>
      </c>
      <c r="Y55" s="80" t="s">
        <v>40</v>
      </c>
      <c r="Z55" s="85" t="s">
        <v>40</v>
      </c>
      <c r="AA55" s="84" t="s">
        <v>40</v>
      </c>
    </row>
    <row r="56" spans="1:27" s="86" customFormat="1" ht="90.75" customHeight="1" x14ac:dyDescent="0.45">
      <c r="A56" s="373">
        <v>25</v>
      </c>
      <c r="B56" s="71" t="s">
        <v>97</v>
      </c>
      <c r="C56" s="76" t="s">
        <v>57</v>
      </c>
      <c r="D56" s="72" t="s">
        <v>57</v>
      </c>
      <c r="E56" s="85" t="s">
        <v>40</v>
      </c>
      <c r="F56" s="76" t="s">
        <v>40</v>
      </c>
      <c r="G56" s="73" t="s">
        <v>38</v>
      </c>
      <c r="H56" s="74" t="s">
        <v>33</v>
      </c>
      <c r="I56" s="74">
        <v>27090000</v>
      </c>
      <c r="J56" s="87">
        <v>41662</v>
      </c>
      <c r="K56" s="76" t="s">
        <v>153</v>
      </c>
      <c r="L56" s="89" t="s">
        <v>31</v>
      </c>
      <c r="M56" s="74" t="s">
        <v>36</v>
      </c>
      <c r="N56" s="78" t="s">
        <v>52</v>
      </c>
      <c r="O56" s="79">
        <v>904784</v>
      </c>
      <c r="P56" s="80">
        <f t="shared" si="10"/>
        <v>101166613.392</v>
      </c>
      <c r="Q56" s="80">
        <f t="shared" si="11"/>
        <v>15756700035.804001</v>
      </c>
      <c r="R56" s="80" t="s">
        <v>25</v>
      </c>
      <c r="S56" s="81">
        <v>111.813</v>
      </c>
      <c r="T56" s="82">
        <f t="shared" si="7"/>
        <v>41752</v>
      </c>
      <c r="U56" s="83" t="s">
        <v>40</v>
      </c>
      <c r="V56" s="80">
        <f t="shared" si="12"/>
        <v>121399.9360704</v>
      </c>
      <c r="W56" s="81">
        <v>155.75</v>
      </c>
      <c r="X56" s="80">
        <f t="shared" si="9"/>
        <v>18908040.042964801</v>
      </c>
      <c r="Y56" s="80" t="s">
        <v>40</v>
      </c>
      <c r="Z56" s="85" t="s">
        <v>40</v>
      </c>
      <c r="AA56" s="84" t="s">
        <v>40</v>
      </c>
    </row>
    <row r="57" spans="1:27" s="86" customFormat="1" ht="90.75" customHeight="1" x14ac:dyDescent="0.45">
      <c r="A57" s="373">
        <v>26</v>
      </c>
      <c r="B57" s="71" t="s">
        <v>98</v>
      </c>
      <c r="C57" s="76" t="s">
        <v>57</v>
      </c>
      <c r="D57" s="72" t="s">
        <v>57</v>
      </c>
      <c r="E57" s="85" t="s">
        <v>40</v>
      </c>
      <c r="F57" s="76" t="s">
        <v>40</v>
      </c>
      <c r="G57" s="73" t="s">
        <v>35</v>
      </c>
      <c r="H57" s="74" t="s">
        <v>33</v>
      </c>
      <c r="I57" s="74">
        <v>27090000</v>
      </c>
      <c r="J57" s="87">
        <v>41662</v>
      </c>
      <c r="K57" s="76" t="s">
        <v>153</v>
      </c>
      <c r="L57" s="89" t="s">
        <v>31</v>
      </c>
      <c r="M57" s="74" t="s">
        <v>36</v>
      </c>
      <c r="N57" s="78" t="s">
        <v>52</v>
      </c>
      <c r="O57" s="79">
        <v>50000</v>
      </c>
      <c r="P57" s="80">
        <f t="shared" si="10"/>
        <v>5590650</v>
      </c>
      <c r="Q57" s="80">
        <f t="shared" si="11"/>
        <v>870743737.5</v>
      </c>
      <c r="R57" s="80" t="s">
        <v>25</v>
      </c>
      <c r="S57" s="81">
        <v>111.813</v>
      </c>
      <c r="T57" s="82">
        <f t="shared" si="7"/>
        <v>41752</v>
      </c>
      <c r="U57" s="83" t="s">
        <v>40</v>
      </c>
      <c r="V57" s="80">
        <f t="shared" si="12"/>
        <v>6708.78</v>
      </c>
      <c r="W57" s="81">
        <v>155.75</v>
      </c>
      <c r="X57" s="80">
        <f t="shared" si="9"/>
        <v>1044892.485</v>
      </c>
      <c r="Y57" s="80" t="s">
        <v>40</v>
      </c>
      <c r="Z57" s="85" t="s">
        <v>40</v>
      </c>
      <c r="AA57" s="84" t="s">
        <v>40</v>
      </c>
    </row>
    <row r="58" spans="1:27" s="90" customFormat="1" ht="90.75" customHeight="1" x14ac:dyDescent="0.5">
      <c r="A58" s="373">
        <v>27</v>
      </c>
      <c r="B58" s="71" t="s">
        <v>99</v>
      </c>
      <c r="C58" s="76" t="s">
        <v>115</v>
      </c>
      <c r="D58" s="72">
        <v>41673</v>
      </c>
      <c r="E58" s="85" t="s">
        <v>132</v>
      </c>
      <c r="F58" s="76" t="s">
        <v>54</v>
      </c>
      <c r="G58" s="73" t="s">
        <v>38</v>
      </c>
      <c r="H58" s="74" t="s">
        <v>33</v>
      </c>
      <c r="I58" s="74">
        <v>27090000</v>
      </c>
      <c r="J58" s="87">
        <v>41664</v>
      </c>
      <c r="K58" s="76" t="s">
        <v>154</v>
      </c>
      <c r="L58" s="89" t="s">
        <v>31</v>
      </c>
      <c r="M58" s="74" t="s">
        <v>65</v>
      </c>
      <c r="N58" s="78" t="s">
        <v>168</v>
      </c>
      <c r="O58" s="79">
        <v>905041</v>
      </c>
      <c r="P58" s="80">
        <f t="shared" si="10"/>
        <v>100735588.50500001</v>
      </c>
      <c r="Q58" s="80">
        <f t="shared" si="11"/>
        <v>15689567909.653751</v>
      </c>
      <c r="R58" s="80" t="s">
        <v>25</v>
      </c>
      <c r="S58" s="81">
        <v>111.30500000000001</v>
      </c>
      <c r="T58" s="82">
        <f t="shared" si="7"/>
        <v>41754</v>
      </c>
      <c r="U58" s="83" t="s">
        <v>40</v>
      </c>
      <c r="V58" s="80">
        <f t="shared" si="12"/>
        <v>120882.706206</v>
      </c>
      <c r="W58" s="81">
        <v>155.75</v>
      </c>
      <c r="X58" s="80">
        <f t="shared" si="9"/>
        <v>18827481.491584502</v>
      </c>
      <c r="Y58" s="80" t="s">
        <v>40</v>
      </c>
      <c r="Z58" s="85" t="s">
        <v>40</v>
      </c>
      <c r="AA58" s="84" t="s">
        <v>40</v>
      </c>
    </row>
    <row r="59" spans="1:27" ht="72.75" customHeight="1" x14ac:dyDescent="0.45">
      <c r="A59" s="373">
        <v>28</v>
      </c>
      <c r="B59" s="71" t="s">
        <v>100</v>
      </c>
      <c r="C59" s="76" t="s">
        <v>116</v>
      </c>
      <c r="D59" s="72">
        <v>41673</v>
      </c>
      <c r="E59" s="85" t="s">
        <v>133</v>
      </c>
      <c r="F59" s="76" t="s">
        <v>54</v>
      </c>
      <c r="G59" s="73" t="s">
        <v>38</v>
      </c>
      <c r="H59" s="74" t="s">
        <v>34</v>
      </c>
      <c r="I59" s="74">
        <v>27090000</v>
      </c>
      <c r="J59" s="87">
        <v>41664</v>
      </c>
      <c r="K59" s="76" t="s">
        <v>155</v>
      </c>
      <c r="L59" s="89" t="s">
        <v>32</v>
      </c>
      <c r="M59" s="74" t="s">
        <v>44</v>
      </c>
      <c r="N59" s="78" t="s">
        <v>55</v>
      </c>
      <c r="O59" s="79">
        <v>90000</v>
      </c>
      <c r="P59" s="80">
        <f t="shared" si="10"/>
        <v>10017450</v>
      </c>
      <c r="Q59" s="80">
        <f t="shared" si="11"/>
        <v>1560217837.5</v>
      </c>
      <c r="R59" s="80" t="s">
        <v>25</v>
      </c>
      <c r="S59" s="81">
        <v>111.30500000000001</v>
      </c>
      <c r="T59" s="82">
        <f t="shared" si="7"/>
        <v>41754</v>
      </c>
      <c r="U59" s="83" t="s">
        <v>40</v>
      </c>
      <c r="V59" s="80">
        <f t="shared" si="12"/>
        <v>12020.939999999999</v>
      </c>
      <c r="W59" s="81">
        <v>155.75</v>
      </c>
      <c r="X59" s="80">
        <f t="shared" si="9"/>
        <v>1872261.4049999998</v>
      </c>
      <c r="Y59" s="80" t="s">
        <v>40</v>
      </c>
      <c r="Z59" s="85" t="s">
        <v>40</v>
      </c>
      <c r="AA59" s="325" t="s">
        <v>40</v>
      </c>
    </row>
    <row r="60" spans="1:27" ht="69" customHeight="1" x14ac:dyDescent="0.45">
      <c r="A60" s="373">
        <v>29</v>
      </c>
      <c r="B60" s="71" t="s">
        <v>101</v>
      </c>
      <c r="C60" s="76" t="s">
        <v>117</v>
      </c>
      <c r="D60" s="72">
        <v>41673</v>
      </c>
      <c r="E60" s="85" t="s">
        <v>134</v>
      </c>
      <c r="F60" s="76" t="s">
        <v>54</v>
      </c>
      <c r="G60" s="73" t="s">
        <v>38</v>
      </c>
      <c r="H60" s="74" t="s">
        <v>34</v>
      </c>
      <c r="I60" s="74">
        <v>27090000</v>
      </c>
      <c r="J60" s="87">
        <v>41664</v>
      </c>
      <c r="K60" s="76" t="s">
        <v>155</v>
      </c>
      <c r="L60" s="89" t="s">
        <v>32</v>
      </c>
      <c r="M60" s="74" t="s">
        <v>44</v>
      </c>
      <c r="N60" s="78" t="s">
        <v>55</v>
      </c>
      <c r="O60" s="79">
        <v>857832</v>
      </c>
      <c r="P60" s="80">
        <f t="shared" si="10"/>
        <v>95480990.760000005</v>
      </c>
      <c r="Q60" s="80">
        <f t="shared" si="11"/>
        <v>14871164310.870001</v>
      </c>
      <c r="R60" s="80" t="s">
        <v>25</v>
      </c>
      <c r="S60" s="81">
        <v>111.30500000000001</v>
      </c>
      <c r="T60" s="82">
        <f t="shared" si="7"/>
        <v>41754</v>
      </c>
      <c r="U60" s="83" t="s">
        <v>40</v>
      </c>
      <c r="V60" s="80">
        <f t="shared" si="12"/>
        <v>114577.188912</v>
      </c>
      <c r="W60" s="81">
        <v>155.75</v>
      </c>
      <c r="X60" s="80">
        <f t="shared" si="9"/>
        <v>17845397.173044</v>
      </c>
      <c r="Y60" s="80" t="s">
        <v>40</v>
      </c>
      <c r="Z60" s="85" t="s">
        <v>40</v>
      </c>
      <c r="AA60" s="84" t="s">
        <v>40</v>
      </c>
    </row>
    <row r="61" spans="1:27" ht="80.25" customHeight="1" x14ac:dyDescent="0.45">
      <c r="A61" s="373">
        <v>30</v>
      </c>
      <c r="B61" s="71" t="s">
        <v>102</v>
      </c>
      <c r="C61" s="76" t="s">
        <v>57</v>
      </c>
      <c r="D61" s="72" t="s">
        <v>57</v>
      </c>
      <c r="E61" s="85" t="s">
        <v>135</v>
      </c>
      <c r="F61" s="76" t="s">
        <v>138</v>
      </c>
      <c r="G61" s="73" t="s">
        <v>50</v>
      </c>
      <c r="H61" s="74" t="s">
        <v>34</v>
      </c>
      <c r="I61" s="74">
        <v>27090000</v>
      </c>
      <c r="J61" s="87">
        <v>41664</v>
      </c>
      <c r="K61" s="76" t="s">
        <v>155</v>
      </c>
      <c r="L61" s="89" t="s">
        <v>32</v>
      </c>
      <c r="M61" s="74" t="s">
        <v>44</v>
      </c>
      <c r="N61" s="78" t="s">
        <v>55</v>
      </c>
      <c r="O61" s="79">
        <v>50000</v>
      </c>
      <c r="P61" s="80">
        <f t="shared" si="10"/>
        <v>5565250</v>
      </c>
      <c r="Q61" s="80">
        <f t="shared" si="11"/>
        <v>866787687.5</v>
      </c>
      <c r="R61" s="80" t="s">
        <v>25</v>
      </c>
      <c r="S61" s="81">
        <v>111.30500000000001</v>
      </c>
      <c r="T61" s="82">
        <f t="shared" si="7"/>
        <v>41754</v>
      </c>
      <c r="U61" s="83" t="s">
        <v>40</v>
      </c>
      <c r="V61" s="80">
        <f t="shared" si="12"/>
        <v>6678.2999999999993</v>
      </c>
      <c r="W61" s="81">
        <v>155.75</v>
      </c>
      <c r="X61" s="80">
        <f t="shared" si="9"/>
        <v>1040145.2249999999</v>
      </c>
      <c r="Y61" s="80" t="s">
        <v>40</v>
      </c>
      <c r="Z61" s="85" t="s">
        <v>40</v>
      </c>
      <c r="AA61" s="84" t="s">
        <v>40</v>
      </c>
    </row>
    <row r="62" spans="1:27" ht="66.75" customHeight="1" x14ac:dyDescent="0.45">
      <c r="A62" s="373">
        <v>31</v>
      </c>
      <c r="B62" s="71" t="s">
        <v>103</v>
      </c>
      <c r="C62" s="76" t="s">
        <v>118</v>
      </c>
      <c r="D62" s="72">
        <v>41673</v>
      </c>
      <c r="E62" s="85" t="s">
        <v>136</v>
      </c>
      <c r="F62" s="76" t="s">
        <v>54</v>
      </c>
      <c r="G62" s="73" t="s">
        <v>38</v>
      </c>
      <c r="H62" s="74" t="s">
        <v>33</v>
      </c>
      <c r="I62" s="74">
        <v>27090000</v>
      </c>
      <c r="J62" s="87">
        <v>41666</v>
      </c>
      <c r="K62" s="76" t="s">
        <v>156</v>
      </c>
      <c r="L62" s="89" t="s">
        <v>31</v>
      </c>
      <c r="M62" s="74" t="s">
        <v>26</v>
      </c>
      <c r="N62" s="78" t="s">
        <v>46</v>
      </c>
      <c r="O62" s="79">
        <v>905108</v>
      </c>
      <c r="P62" s="80">
        <f t="shared" si="10"/>
        <v>100381907.848</v>
      </c>
      <c r="Q62" s="80">
        <f t="shared" si="11"/>
        <v>15634482147.326</v>
      </c>
      <c r="R62" s="80" t="s">
        <v>25</v>
      </c>
      <c r="S62" s="81">
        <v>110.90600000000001</v>
      </c>
      <c r="T62" s="82">
        <f t="shared" si="7"/>
        <v>41756</v>
      </c>
      <c r="U62" s="83" t="s">
        <v>40</v>
      </c>
      <c r="V62" s="80">
        <f t="shared" si="12"/>
        <v>120458.2894176</v>
      </c>
      <c r="W62" s="81">
        <v>155.75</v>
      </c>
      <c r="X62" s="80">
        <f t="shared" si="9"/>
        <v>18761378.576791201</v>
      </c>
      <c r="Y62" s="80" t="s">
        <v>40</v>
      </c>
      <c r="Z62" s="85" t="s">
        <v>40</v>
      </c>
      <c r="AA62" s="84" t="s">
        <v>40</v>
      </c>
    </row>
    <row r="63" spans="1:27" ht="70.5" customHeight="1" x14ac:dyDescent="0.45">
      <c r="A63" s="373">
        <v>32</v>
      </c>
      <c r="B63" s="71" t="s">
        <v>104</v>
      </c>
      <c r="C63" s="76" t="s">
        <v>57</v>
      </c>
      <c r="D63" s="72" t="s">
        <v>57</v>
      </c>
      <c r="E63" s="85" t="s">
        <v>40</v>
      </c>
      <c r="F63" s="76" t="s">
        <v>40</v>
      </c>
      <c r="G63" s="73" t="s">
        <v>38</v>
      </c>
      <c r="H63" s="74" t="s">
        <v>34</v>
      </c>
      <c r="I63" s="74">
        <v>27090000</v>
      </c>
      <c r="J63" s="87">
        <v>41667</v>
      </c>
      <c r="K63" s="76" t="s">
        <v>157</v>
      </c>
      <c r="L63" s="89" t="s">
        <v>32</v>
      </c>
      <c r="M63" s="74" t="s">
        <v>162</v>
      </c>
      <c r="N63" s="78" t="s">
        <v>171</v>
      </c>
      <c r="O63" s="79">
        <v>905624</v>
      </c>
      <c r="P63" s="80">
        <f t="shared" si="10"/>
        <v>100490755.912</v>
      </c>
      <c r="Q63" s="80">
        <f t="shared" si="11"/>
        <v>15651435233.294001</v>
      </c>
      <c r="R63" s="80" t="s">
        <v>25</v>
      </c>
      <c r="S63" s="81">
        <v>110.96299999999999</v>
      </c>
      <c r="T63" s="82">
        <f t="shared" si="7"/>
        <v>41757</v>
      </c>
      <c r="U63" s="83" t="s">
        <v>40</v>
      </c>
      <c r="V63" s="80">
        <f t="shared" si="12"/>
        <v>120588.90709439998</v>
      </c>
      <c r="W63" s="81">
        <v>155.75</v>
      </c>
      <c r="X63" s="80">
        <f t="shared" si="9"/>
        <v>18781722.279952798</v>
      </c>
      <c r="Y63" s="80" t="s">
        <v>40</v>
      </c>
      <c r="Z63" s="85" t="s">
        <v>40</v>
      </c>
      <c r="AA63" s="84" t="s">
        <v>40</v>
      </c>
    </row>
    <row r="64" spans="1:27" ht="60.75" customHeight="1" x14ac:dyDescent="0.45">
      <c r="A64" s="373">
        <v>33</v>
      </c>
      <c r="B64" s="71" t="s">
        <v>105</v>
      </c>
      <c r="C64" s="76" t="s">
        <v>119</v>
      </c>
      <c r="D64" s="72">
        <v>41673</v>
      </c>
      <c r="E64" s="85" t="s">
        <v>137</v>
      </c>
      <c r="F64" s="76" t="s">
        <v>54</v>
      </c>
      <c r="G64" s="73" t="s">
        <v>38</v>
      </c>
      <c r="H64" s="74" t="s">
        <v>33</v>
      </c>
      <c r="I64" s="74">
        <v>27090000</v>
      </c>
      <c r="J64" s="87">
        <v>41669</v>
      </c>
      <c r="K64" s="76" t="s">
        <v>158</v>
      </c>
      <c r="L64" s="89" t="s">
        <v>31</v>
      </c>
      <c r="M64" s="74" t="s">
        <v>45</v>
      </c>
      <c r="N64" s="78" t="s">
        <v>42</v>
      </c>
      <c r="O64" s="79">
        <v>904965</v>
      </c>
      <c r="P64" s="80">
        <f t="shared" si="10"/>
        <v>100231208.50500001</v>
      </c>
      <c r="Q64" s="80">
        <f t="shared" si="11"/>
        <v>15611010724.653751</v>
      </c>
      <c r="R64" s="80" t="s">
        <v>25</v>
      </c>
      <c r="S64" s="81">
        <v>110.75700000000001</v>
      </c>
      <c r="T64" s="82">
        <f t="shared" si="7"/>
        <v>41759</v>
      </c>
      <c r="U64" s="83" t="s">
        <v>40</v>
      </c>
      <c r="V64" s="80">
        <f t="shared" si="12"/>
        <v>120277.45020600001</v>
      </c>
      <c r="W64" s="81">
        <v>155.75</v>
      </c>
      <c r="X64" s="80">
        <f t="shared" si="9"/>
        <v>18733212.869584501</v>
      </c>
      <c r="Y64" s="80" t="s">
        <v>40</v>
      </c>
      <c r="Z64" s="85" t="s">
        <v>40</v>
      </c>
      <c r="AA64" s="84" t="s">
        <v>40</v>
      </c>
    </row>
    <row r="65" spans="1:27" ht="48" customHeight="1" x14ac:dyDescent="0.45">
      <c r="A65" s="369"/>
      <c r="B65" s="354"/>
      <c r="C65" s="356"/>
      <c r="D65" s="355"/>
      <c r="E65" s="367"/>
      <c r="F65" s="356"/>
      <c r="G65" s="357"/>
      <c r="H65" s="358"/>
      <c r="I65" s="358"/>
      <c r="J65" s="359"/>
      <c r="K65" s="356"/>
      <c r="L65" s="360"/>
      <c r="M65" s="358"/>
      <c r="N65" s="361"/>
      <c r="O65" s="362"/>
      <c r="P65" s="363"/>
      <c r="Q65" s="363"/>
      <c r="R65" s="363"/>
      <c r="S65" s="364"/>
      <c r="T65" s="365"/>
      <c r="U65" s="366"/>
      <c r="V65" s="363"/>
      <c r="W65" s="364"/>
      <c r="X65" s="363"/>
      <c r="Y65" s="363"/>
      <c r="Z65" s="367"/>
      <c r="AA65" s="368"/>
    </row>
    <row r="66" spans="1:27" ht="48" customHeight="1" x14ac:dyDescent="0.45">
      <c r="A66" s="369"/>
      <c r="B66" s="358"/>
      <c r="C66" s="366"/>
      <c r="D66" s="355"/>
      <c r="E66" s="366"/>
      <c r="F66" s="366"/>
      <c r="G66" s="357"/>
      <c r="H66" s="358"/>
      <c r="I66" s="358"/>
      <c r="J66" s="370"/>
      <c r="K66" s="356"/>
      <c r="L66" s="356"/>
      <c r="M66" s="358"/>
      <c r="N66" s="371"/>
      <c r="O66" s="362"/>
      <c r="P66" s="363"/>
      <c r="Q66" s="363"/>
      <c r="R66" s="363"/>
      <c r="S66" s="364"/>
      <c r="T66" s="365"/>
      <c r="U66" s="356"/>
      <c r="V66" s="363"/>
      <c r="W66" s="364"/>
      <c r="X66" s="363"/>
      <c r="Y66" s="363"/>
      <c r="Z66" s="366"/>
      <c r="AA66" s="372"/>
    </row>
    <row r="67" spans="1:27" ht="53.25" customHeight="1" thickBot="1" x14ac:dyDescent="0.55000000000000004">
      <c r="A67" s="291"/>
      <c r="B67" s="292" t="s">
        <v>28</v>
      </c>
      <c r="C67" s="293"/>
      <c r="D67" s="294"/>
      <c r="E67" s="293"/>
      <c r="F67" s="293"/>
      <c r="G67" s="295"/>
      <c r="H67" s="292"/>
      <c r="I67" s="292"/>
      <c r="J67" s="296"/>
      <c r="K67" s="297"/>
      <c r="L67" s="297"/>
      <c r="M67" s="292"/>
      <c r="N67" s="298"/>
      <c r="O67" s="299">
        <f>SUM(O30:O66)</f>
        <v>19613472</v>
      </c>
      <c r="P67" s="300">
        <f>SUM(P30:P66)</f>
        <v>2163325184.6840005</v>
      </c>
      <c r="Q67" s="300">
        <f>SUM(Q30:Q64)</f>
        <v>336937897514.53302</v>
      </c>
      <c r="R67" s="300"/>
      <c r="S67" s="301"/>
      <c r="T67" s="302"/>
      <c r="U67" s="297"/>
      <c r="V67" s="300">
        <f>SUM(V30:V66)</f>
        <v>2595990.221620799</v>
      </c>
      <c r="W67" s="301"/>
      <c r="X67" s="300">
        <f>SUM(X30:X66)</f>
        <v>404325477.0174396</v>
      </c>
      <c r="Y67" s="300">
        <f>SUM(Y30:Y64)</f>
        <v>1924699.2</v>
      </c>
      <c r="Z67" s="293"/>
      <c r="AA67" s="303"/>
    </row>
    <row r="68" spans="1:27" ht="15.75" customHeight="1" x14ac:dyDescent="0.2">
      <c r="A68" s="7"/>
      <c r="B68" s="8"/>
      <c r="C68" s="6"/>
      <c r="D68" s="17"/>
      <c r="E68" s="18"/>
      <c r="F68" s="6"/>
      <c r="G68" s="19"/>
      <c r="H68" s="6"/>
      <c r="I68" s="6"/>
      <c r="J68" s="20"/>
      <c r="K68" s="8"/>
      <c r="L68" s="8"/>
      <c r="M68" s="6"/>
      <c r="N68" s="6"/>
      <c r="O68" s="21"/>
      <c r="P68" s="22"/>
      <c r="Q68" s="22"/>
      <c r="R68" s="22"/>
      <c r="S68" s="27"/>
      <c r="V68" s="22"/>
      <c r="W68" s="27"/>
      <c r="X68" s="22"/>
      <c r="Y68" s="22"/>
      <c r="Z68" s="6"/>
      <c r="AA68" s="6"/>
    </row>
    <row r="69" spans="1:27" ht="15.75" customHeight="1" x14ac:dyDescent="0.2"/>
    <row r="70" spans="1:27" ht="15.75" customHeight="1" x14ac:dyDescent="0.2"/>
    <row r="79" spans="1:27" x14ac:dyDescent="0.2">
      <c r="N79" s="23"/>
      <c r="O79" s="24"/>
    </row>
  </sheetData>
  <autoFilter ref="C29:D55"/>
  <mergeCells count="2">
    <mergeCell ref="A49:A51"/>
    <mergeCell ref="E49:E51"/>
  </mergeCells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67" max="25" man="1"/>
  </rowBreaks>
  <colBreaks count="1" manualBreakCount="1">
    <brk id="14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4"/>
  <sheetViews>
    <sheetView zoomScale="30" zoomScaleNormal="30" zoomScaleSheetLayoutView="10" workbookViewId="0">
      <selection activeCell="AB50" sqref="AB50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91" customFormat="1" ht="42" customHeight="1" x14ac:dyDescent="0.6">
      <c r="B18" s="92"/>
      <c r="C18" s="93"/>
      <c r="D18" s="93"/>
      <c r="E18" s="94"/>
      <c r="F18" s="93"/>
      <c r="G18" s="93"/>
      <c r="H18" s="93"/>
      <c r="I18" s="93"/>
      <c r="J18" s="95"/>
      <c r="K18" s="93"/>
      <c r="L18" s="93"/>
      <c r="M18" s="93"/>
      <c r="N18" s="93"/>
      <c r="O18" s="96"/>
      <c r="P18" s="97"/>
      <c r="Q18" s="97"/>
      <c r="R18" s="97"/>
      <c r="S18" s="98"/>
      <c r="T18" s="99"/>
      <c r="U18" s="93"/>
      <c r="V18" s="97"/>
      <c r="W18" s="98"/>
      <c r="X18" s="97"/>
      <c r="Y18" s="97"/>
      <c r="Z18" s="93"/>
      <c r="AA18" s="93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</row>
    <row r="19" spans="1:69" s="101" customFormat="1" ht="27" customHeight="1" x14ac:dyDescent="0.6">
      <c r="A19" s="253"/>
      <c r="B19" s="170"/>
      <c r="C19" s="169"/>
      <c r="D19" s="171"/>
      <c r="E19" s="172"/>
      <c r="F19" s="169"/>
      <c r="G19" s="173"/>
      <c r="H19" s="174"/>
      <c r="I19" s="175"/>
      <c r="J19" s="176"/>
      <c r="K19" s="170"/>
      <c r="L19" s="177"/>
      <c r="M19" s="175"/>
      <c r="N19" s="178"/>
      <c r="O19" s="179"/>
      <c r="P19" s="180"/>
      <c r="Q19" s="181"/>
      <c r="R19" s="182"/>
      <c r="S19" s="183"/>
      <c r="T19" s="184"/>
      <c r="U19" s="169"/>
      <c r="V19" s="181"/>
      <c r="W19" s="185"/>
      <c r="X19" s="182"/>
      <c r="Y19" s="182"/>
      <c r="Z19" s="172"/>
      <c r="AA19" s="254"/>
    </row>
    <row r="20" spans="1:69" s="102" customFormat="1" ht="72" customHeight="1" x14ac:dyDescent="0.6">
      <c r="A20" s="255"/>
      <c r="B20" s="228" t="s">
        <v>216</v>
      </c>
      <c r="C20" s="133"/>
      <c r="D20" s="133"/>
      <c r="E20" s="229"/>
      <c r="F20" s="133"/>
      <c r="G20" s="133"/>
      <c r="H20" s="133"/>
      <c r="I20" s="133"/>
      <c r="J20" s="230"/>
      <c r="K20" s="133"/>
      <c r="L20" s="133"/>
      <c r="M20" s="133"/>
      <c r="N20" s="133"/>
      <c r="O20" s="231"/>
      <c r="P20" s="197"/>
      <c r="Q20" s="197"/>
      <c r="R20" s="197"/>
      <c r="S20" s="232"/>
      <c r="T20" s="188"/>
      <c r="U20" s="133"/>
      <c r="V20" s="197"/>
      <c r="W20" s="232"/>
      <c r="X20" s="197"/>
      <c r="Y20" s="197"/>
      <c r="Z20" s="133"/>
      <c r="AA20" s="256"/>
    </row>
    <row r="21" spans="1:69" s="129" customFormat="1" ht="72" customHeight="1" thickBot="1" x14ac:dyDescent="0.6">
      <c r="A21" s="252"/>
      <c r="B21" s="187"/>
      <c r="C21" s="186"/>
      <c r="D21" s="188"/>
      <c r="E21" s="189"/>
      <c r="F21" s="186"/>
      <c r="G21" s="190"/>
      <c r="H21" s="191"/>
      <c r="I21" s="192"/>
      <c r="J21" s="193"/>
      <c r="K21" s="187"/>
      <c r="L21" s="194"/>
      <c r="M21" s="192"/>
      <c r="N21" s="195"/>
      <c r="O21" s="196"/>
      <c r="P21" s="197"/>
      <c r="Q21" s="198"/>
      <c r="R21" s="199"/>
      <c r="S21" s="200"/>
      <c r="T21" s="201"/>
      <c r="U21" s="186"/>
      <c r="V21" s="198"/>
      <c r="W21" s="202"/>
      <c r="X21" s="199"/>
      <c r="Y21" s="199"/>
      <c r="Z21" s="189"/>
      <c r="AA21" s="257"/>
    </row>
    <row r="22" spans="1:69" s="93" customFormat="1" ht="72" customHeight="1" x14ac:dyDescent="0.55000000000000004">
      <c r="A22" s="114">
        <v>1</v>
      </c>
      <c r="B22" s="115">
        <v>2</v>
      </c>
      <c r="C22" s="115">
        <v>3</v>
      </c>
      <c r="D22" s="116">
        <v>4</v>
      </c>
      <c r="E22" s="115">
        <v>5</v>
      </c>
      <c r="F22" s="115">
        <v>6</v>
      </c>
      <c r="G22" s="117">
        <v>7</v>
      </c>
      <c r="H22" s="115">
        <v>8</v>
      </c>
      <c r="I22" s="115">
        <v>9</v>
      </c>
      <c r="J22" s="115">
        <v>10</v>
      </c>
      <c r="K22" s="115">
        <v>11</v>
      </c>
      <c r="L22" s="115">
        <v>12</v>
      </c>
      <c r="M22" s="115">
        <v>13</v>
      </c>
      <c r="N22" s="115">
        <v>14</v>
      </c>
      <c r="O22" s="115">
        <v>15</v>
      </c>
      <c r="P22" s="115">
        <v>16</v>
      </c>
      <c r="Q22" s="115">
        <v>17</v>
      </c>
      <c r="R22" s="115">
        <v>18</v>
      </c>
      <c r="S22" s="115">
        <v>19</v>
      </c>
      <c r="T22" s="115">
        <v>20</v>
      </c>
      <c r="U22" s="115">
        <v>21</v>
      </c>
      <c r="V22" s="115">
        <v>22</v>
      </c>
      <c r="W22" s="115">
        <v>23</v>
      </c>
      <c r="X22" s="115">
        <v>24</v>
      </c>
      <c r="Y22" s="115">
        <v>25</v>
      </c>
      <c r="Z22" s="115">
        <v>26</v>
      </c>
      <c r="AA22" s="118">
        <v>27</v>
      </c>
    </row>
    <row r="23" spans="1:69" s="93" customFormat="1" ht="72" customHeight="1" thickBot="1" x14ac:dyDescent="0.6">
      <c r="A23" s="119" t="s">
        <v>0</v>
      </c>
      <c r="B23" s="120" t="s">
        <v>1</v>
      </c>
      <c r="C23" s="121" t="s">
        <v>2</v>
      </c>
      <c r="D23" s="122" t="s">
        <v>3</v>
      </c>
      <c r="E23" s="123" t="s">
        <v>4</v>
      </c>
      <c r="F23" s="120" t="s">
        <v>5</v>
      </c>
      <c r="G23" s="124" t="s">
        <v>6</v>
      </c>
      <c r="H23" s="121" t="s">
        <v>7</v>
      </c>
      <c r="I23" s="121" t="s">
        <v>8</v>
      </c>
      <c r="J23" s="122" t="s">
        <v>9</v>
      </c>
      <c r="K23" s="120" t="s">
        <v>10</v>
      </c>
      <c r="L23" s="120" t="s">
        <v>11</v>
      </c>
      <c r="M23" s="121" t="s">
        <v>12</v>
      </c>
      <c r="N23" s="121" t="s">
        <v>13</v>
      </c>
      <c r="O23" s="125" t="s">
        <v>14</v>
      </c>
      <c r="P23" s="126" t="s">
        <v>29</v>
      </c>
      <c r="Q23" s="126" t="s">
        <v>37</v>
      </c>
      <c r="R23" s="126" t="s">
        <v>15</v>
      </c>
      <c r="S23" s="127" t="s">
        <v>16</v>
      </c>
      <c r="T23" s="122" t="s">
        <v>17</v>
      </c>
      <c r="U23" s="121" t="s">
        <v>18</v>
      </c>
      <c r="V23" s="126" t="s">
        <v>19</v>
      </c>
      <c r="W23" s="127" t="s">
        <v>30</v>
      </c>
      <c r="X23" s="126" t="s">
        <v>21</v>
      </c>
      <c r="Y23" s="126" t="s">
        <v>22</v>
      </c>
      <c r="Z23" s="121" t="s">
        <v>24</v>
      </c>
      <c r="AA23" s="128" t="s">
        <v>23</v>
      </c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</row>
    <row r="24" spans="1:69" s="93" customFormat="1" ht="72" customHeight="1" x14ac:dyDescent="0.55000000000000004">
      <c r="A24" s="234">
        <v>1</v>
      </c>
      <c r="B24" s="236" t="s">
        <v>173</v>
      </c>
      <c r="C24" s="258" t="s">
        <v>177</v>
      </c>
      <c r="D24" s="259">
        <v>41666</v>
      </c>
      <c r="E24" s="260" t="s">
        <v>181</v>
      </c>
      <c r="F24" s="235" t="s">
        <v>41</v>
      </c>
      <c r="G24" s="235" t="s">
        <v>35</v>
      </c>
      <c r="H24" s="235" t="s">
        <v>33</v>
      </c>
      <c r="I24" s="235">
        <v>27090000</v>
      </c>
      <c r="J24" s="237">
        <v>41553</v>
      </c>
      <c r="K24" s="236" t="s">
        <v>185</v>
      </c>
      <c r="L24" s="236" t="s">
        <v>31</v>
      </c>
      <c r="M24" s="235" t="s">
        <v>48</v>
      </c>
      <c r="N24" s="235" t="s">
        <v>188</v>
      </c>
      <c r="O24" s="238">
        <v>901022</v>
      </c>
      <c r="P24" s="261">
        <f>O24*S24</f>
        <v>99930097.469999999</v>
      </c>
      <c r="Q24" s="239">
        <f>P24*W24</f>
        <v>15719753807.762026</v>
      </c>
      <c r="R24" s="239" t="s">
        <v>25</v>
      </c>
      <c r="S24" s="262">
        <v>110.90750000554925</v>
      </c>
      <c r="T24" s="237">
        <f>J24+90</f>
        <v>41643</v>
      </c>
      <c r="U24" s="263" t="s">
        <v>69</v>
      </c>
      <c r="V24" s="239">
        <f>P24*0.12%</f>
        <v>119916.11696399999</v>
      </c>
      <c r="W24" s="264" t="s">
        <v>189</v>
      </c>
      <c r="X24" s="265">
        <f>V24*W24</f>
        <v>18863704.569314428</v>
      </c>
      <c r="Y24" s="239">
        <v>18863704.57</v>
      </c>
      <c r="Z24" s="266" t="s">
        <v>190</v>
      </c>
      <c r="AA24" s="267">
        <v>41635</v>
      </c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</row>
    <row r="25" spans="1:69" s="93" customFormat="1" ht="74.25" customHeight="1" x14ac:dyDescent="0.55000000000000004">
      <c r="A25" s="240">
        <v>2</v>
      </c>
      <c r="B25" s="130" t="s">
        <v>174</v>
      </c>
      <c r="C25" s="246" t="s">
        <v>178</v>
      </c>
      <c r="D25" s="247">
        <v>41666</v>
      </c>
      <c r="E25" s="248" t="s">
        <v>182</v>
      </c>
      <c r="F25" s="131" t="s">
        <v>41</v>
      </c>
      <c r="G25" s="131" t="s">
        <v>35</v>
      </c>
      <c r="H25" s="131" t="s">
        <v>33</v>
      </c>
      <c r="I25" s="131">
        <v>27090000</v>
      </c>
      <c r="J25" s="132">
        <v>41566</v>
      </c>
      <c r="K25" s="130" t="s">
        <v>186</v>
      </c>
      <c r="L25" s="130" t="s">
        <v>31</v>
      </c>
      <c r="M25" s="131" t="s">
        <v>43</v>
      </c>
      <c r="N25" s="131" t="s">
        <v>68</v>
      </c>
      <c r="O25" s="249">
        <v>701161</v>
      </c>
      <c r="P25" s="150">
        <f t="shared" ref="P25:P26" si="0">O25*S25</f>
        <v>77732461.359999999</v>
      </c>
      <c r="Q25" s="137">
        <f t="shared" ref="Q25:Q26" si="1">P25*W25</f>
        <v>12227899165.388201</v>
      </c>
      <c r="R25" s="137" t="s">
        <v>25</v>
      </c>
      <c r="S25" s="250">
        <v>110.86249999643448</v>
      </c>
      <c r="T25" s="136">
        <f t="shared" ref="T25:T36" si="2">J25+90</f>
        <v>41656</v>
      </c>
      <c r="U25" s="251" t="s">
        <v>69</v>
      </c>
      <c r="V25" s="137">
        <f t="shared" ref="V25:V36" si="3">P25*0.12%</f>
        <v>93278.95363199999</v>
      </c>
      <c r="W25" s="210" t="s">
        <v>189</v>
      </c>
      <c r="X25" s="138">
        <f t="shared" ref="X25:X36" si="4">V25*W25</f>
        <v>14673478.998465838</v>
      </c>
      <c r="Y25" s="241">
        <v>14673479</v>
      </c>
      <c r="Z25" s="211" t="s">
        <v>191</v>
      </c>
      <c r="AA25" s="245">
        <v>41635</v>
      </c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</row>
    <row r="26" spans="1:69" s="93" customFormat="1" ht="89.25" customHeight="1" x14ac:dyDescent="0.55000000000000004">
      <c r="A26" s="240">
        <v>3</v>
      </c>
      <c r="B26" s="130" t="s">
        <v>175</v>
      </c>
      <c r="C26" s="246" t="s">
        <v>179</v>
      </c>
      <c r="D26" s="247">
        <v>41666</v>
      </c>
      <c r="E26" s="248" t="s">
        <v>183</v>
      </c>
      <c r="F26" s="131" t="s">
        <v>41</v>
      </c>
      <c r="G26" s="131" t="s">
        <v>35</v>
      </c>
      <c r="H26" s="131" t="s">
        <v>33</v>
      </c>
      <c r="I26" s="131">
        <v>27090000</v>
      </c>
      <c r="J26" s="132">
        <v>41578</v>
      </c>
      <c r="K26" s="130" t="s">
        <v>187</v>
      </c>
      <c r="L26" s="130" t="s">
        <v>31</v>
      </c>
      <c r="M26" s="131" t="s">
        <v>44</v>
      </c>
      <c r="N26" s="131" t="s">
        <v>55</v>
      </c>
      <c r="O26" s="249">
        <v>950000</v>
      </c>
      <c r="P26" s="150">
        <f t="shared" si="0"/>
        <v>105359275</v>
      </c>
      <c r="Q26" s="137">
        <f t="shared" si="1"/>
        <v>16573804152.0625</v>
      </c>
      <c r="R26" s="137" t="s">
        <v>25</v>
      </c>
      <c r="S26" s="250">
        <v>110.9045</v>
      </c>
      <c r="T26" s="136">
        <f t="shared" si="2"/>
        <v>41668</v>
      </c>
      <c r="U26" s="251" t="s">
        <v>69</v>
      </c>
      <c r="V26" s="137">
        <f t="shared" si="3"/>
        <v>126431.12999999999</v>
      </c>
      <c r="W26" s="210" t="s">
        <v>189</v>
      </c>
      <c r="X26" s="138">
        <f t="shared" si="4"/>
        <v>19888564.982474998</v>
      </c>
      <c r="Y26" s="241">
        <v>19888564.98</v>
      </c>
      <c r="Z26" s="211" t="s">
        <v>192</v>
      </c>
      <c r="AA26" s="245">
        <v>41635</v>
      </c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</row>
    <row r="27" spans="1:69" s="93" customFormat="1" ht="72" customHeight="1" x14ac:dyDescent="0.55000000000000004">
      <c r="A27" s="240">
        <v>4</v>
      </c>
      <c r="B27" s="130" t="s">
        <v>176</v>
      </c>
      <c r="C27" s="246" t="s">
        <v>180</v>
      </c>
      <c r="D27" s="247">
        <v>41666</v>
      </c>
      <c r="E27" s="248" t="s">
        <v>184</v>
      </c>
      <c r="F27" s="131" t="s">
        <v>41</v>
      </c>
      <c r="G27" s="131" t="s">
        <v>35</v>
      </c>
      <c r="H27" s="131" t="s">
        <v>33</v>
      </c>
      <c r="I27" s="131">
        <v>27090000</v>
      </c>
      <c r="J27" s="132">
        <v>41578</v>
      </c>
      <c r="K27" s="130" t="s">
        <v>187</v>
      </c>
      <c r="L27" s="130" t="s">
        <v>31</v>
      </c>
      <c r="M27" s="131" t="s">
        <v>44</v>
      </c>
      <c r="N27" s="131" t="s">
        <v>55</v>
      </c>
      <c r="O27" s="249">
        <v>949997</v>
      </c>
      <c r="P27" s="150">
        <v>105358942.29000001</v>
      </c>
      <c r="Q27" s="137">
        <f t="shared" ref="Q27:Q35" si="5">P27*W27</f>
        <v>16573751814.284176</v>
      </c>
      <c r="R27" s="137" t="s">
        <v>25</v>
      </c>
      <c r="S27" s="250">
        <v>110.90450526685875</v>
      </c>
      <c r="T27" s="136">
        <f t="shared" si="2"/>
        <v>41668</v>
      </c>
      <c r="U27" s="251" t="s">
        <v>69</v>
      </c>
      <c r="V27" s="137">
        <f t="shared" si="3"/>
        <v>126430.730748</v>
      </c>
      <c r="W27" s="210" t="s">
        <v>189</v>
      </c>
      <c r="X27" s="138">
        <f t="shared" si="4"/>
        <v>19888502.177141011</v>
      </c>
      <c r="Y27" s="241">
        <v>19888502.18</v>
      </c>
      <c r="Z27" s="211" t="s">
        <v>193</v>
      </c>
      <c r="AA27" s="245">
        <v>41635</v>
      </c>
    </row>
    <row r="28" spans="1:69" s="92" customFormat="1" ht="72" customHeight="1" x14ac:dyDescent="0.6">
      <c r="A28" s="240">
        <v>5</v>
      </c>
      <c r="B28" s="130" t="s">
        <v>194</v>
      </c>
      <c r="C28" s="246" t="s">
        <v>199</v>
      </c>
      <c r="D28" s="247">
        <v>41659</v>
      </c>
      <c r="E28" s="248" t="s">
        <v>202</v>
      </c>
      <c r="F28" s="131" t="s">
        <v>138</v>
      </c>
      <c r="G28" s="131" t="s">
        <v>50</v>
      </c>
      <c r="H28" s="131" t="s">
        <v>34</v>
      </c>
      <c r="I28" s="131">
        <v>27090000</v>
      </c>
      <c r="J28" s="132">
        <v>41586</v>
      </c>
      <c r="K28" s="130" t="s">
        <v>206</v>
      </c>
      <c r="L28" s="130" t="s">
        <v>32</v>
      </c>
      <c r="M28" s="131" t="s">
        <v>48</v>
      </c>
      <c r="N28" s="131" t="s">
        <v>210</v>
      </c>
      <c r="O28" s="249">
        <v>999870</v>
      </c>
      <c r="P28" s="150">
        <v>109191803.22</v>
      </c>
      <c r="Q28" s="137">
        <f t="shared" si="5"/>
        <v>16948751693.037134</v>
      </c>
      <c r="R28" s="137" t="s">
        <v>25</v>
      </c>
      <c r="S28" s="250">
        <v>109.20603521457791</v>
      </c>
      <c r="T28" s="136">
        <f t="shared" si="2"/>
        <v>41676</v>
      </c>
      <c r="U28" s="131" t="s">
        <v>138</v>
      </c>
      <c r="V28" s="137">
        <f t="shared" si="3"/>
        <v>131030.16386399999</v>
      </c>
      <c r="W28" s="210">
        <v>155.21999997462021</v>
      </c>
      <c r="X28" s="138">
        <f t="shared" si="4"/>
        <v>20338502.03164456</v>
      </c>
      <c r="Y28" s="241">
        <v>20338508.59</v>
      </c>
      <c r="Z28" s="211" t="s">
        <v>211</v>
      </c>
      <c r="AA28" s="245">
        <v>41652</v>
      </c>
    </row>
    <row r="29" spans="1:69" s="384" customFormat="1" ht="72" customHeight="1" x14ac:dyDescent="0.6">
      <c r="A29" s="399">
        <v>6</v>
      </c>
      <c r="B29" s="203" t="s">
        <v>195</v>
      </c>
      <c r="C29" s="397" t="s">
        <v>200</v>
      </c>
      <c r="D29" s="247">
        <v>41668</v>
      </c>
      <c r="E29" s="403" t="s">
        <v>203</v>
      </c>
      <c r="F29" s="246" t="s">
        <v>205</v>
      </c>
      <c r="G29" s="246" t="s">
        <v>140</v>
      </c>
      <c r="H29" s="246" t="s">
        <v>34</v>
      </c>
      <c r="I29" s="246">
        <v>27090000</v>
      </c>
      <c r="J29" s="247">
        <v>41596</v>
      </c>
      <c r="K29" s="203" t="s">
        <v>207</v>
      </c>
      <c r="L29" s="203" t="s">
        <v>32</v>
      </c>
      <c r="M29" s="246" t="s">
        <v>51</v>
      </c>
      <c r="N29" s="246" t="s">
        <v>166</v>
      </c>
      <c r="O29" s="374">
        <v>694795</v>
      </c>
      <c r="P29" s="375">
        <f t="shared" ref="P29:P35" si="6">O29*S29</f>
        <v>75889122.834000006</v>
      </c>
      <c r="Q29" s="376">
        <f t="shared" si="5"/>
        <v>11817454207.710482</v>
      </c>
      <c r="R29" s="376" t="s">
        <v>25</v>
      </c>
      <c r="S29" s="377">
        <v>109.2252</v>
      </c>
      <c r="T29" s="378">
        <f t="shared" si="2"/>
        <v>41686</v>
      </c>
      <c r="U29" s="379" t="s">
        <v>41</v>
      </c>
      <c r="V29" s="376">
        <f t="shared" si="3"/>
        <v>91066.947400799996</v>
      </c>
      <c r="W29" s="380">
        <v>155.72</v>
      </c>
      <c r="X29" s="381">
        <f t="shared" si="4"/>
        <v>14180945.049252575</v>
      </c>
      <c r="Y29" s="393">
        <v>19425952.68</v>
      </c>
      <c r="Z29" s="382" t="s">
        <v>212</v>
      </c>
      <c r="AA29" s="383">
        <v>41660</v>
      </c>
    </row>
    <row r="30" spans="1:69" s="386" customFormat="1" ht="72" customHeight="1" x14ac:dyDescent="0.55000000000000004">
      <c r="A30" s="400"/>
      <c r="B30" s="203" t="s">
        <v>196</v>
      </c>
      <c r="C30" s="398"/>
      <c r="D30" s="247">
        <v>41668</v>
      </c>
      <c r="E30" s="404"/>
      <c r="F30" s="246" t="s">
        <v>205</v>
      </c>
      <c r="G30" s="246" t="s">
        <v>140</v>
      </c>
      <c r="H30" s="246" t="s">
        <v>34</v>
      </c>
      <c r="I30" s="246">
        <v>27090000</v>
      </c>
      <c r="J30" s="247">
        <v>41596</v>
      </c>
      <c r="K30" s="203" t="s">
        <v>207</v>
      </c>
      <c r="L30" s="203" t="s">
        <v>32</v>
      </c>
      <c r="M30" s="246" t="s">
        <v>51</v>
      </c>
      <c r="N30" s="246" t="s">
        <v>166</v>
      </c>
      <c r="O30" s="374">
        <v>256979</v>
      </c>
      <c r="P30" s="375">
        <f t="shared" si="6"/>
        <v>28068582.6708</v>
      </c>
      <c r="Q30" s="376">
        <f t="shared" si="5"/>
        <v>4370839693.4969759</v>
      </c>
      <c r="R30" s="376" t="s">
        <v>25</v>
      </c>
      <c r="S30" s="377">
        <v>109.2252</v>
      </c>
      <c r="T30" s="378">
        <f t="shared" si="2"/>
        <v>41686</v>
      </c>
      <c r="U30" s="379" t="s">
        <v>41</v>
      </c>
      <c r="V30" s="376">
        <f t="shared" si="3"/>
        <v>33682.29920496</v>
      </c>
      <c r="W30" s="380">
        <v>155.72</v>
      </c>
      <c r="X30" s="381">
        <f t="shared" si="4"/>
        <v>5245007.6321963714</v>
      </c>
      <c r="Y30" s="394"/>
      <c r="Z30" s="382" t="s">
        <v>212</v>
      </c>
      <c r="AA30" s="383">
        <v>41660</v>
      </c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5"/>
      <c r="AQ30" s="385"/>
      <c r="AR30" s="385"/>
      <c r="AS30" s="385"/>
      <c r="AT30" s="385"/>
      <c r="AU30" s="385"/>
      <c r="AV30" s="385"/>
      <c r="AW30" s="385"/>
      <c r="AX30" s="385"/>
      <c r="AY30" s="385"/>
      <c r="AZ30" s="385"/>
      <c r="BA30" s="385"/>
      <c r="BB30" s="385"/>
      <c r="BC30" s="385"/>
      <c r="BD30" s="385"/>
      <c r="BE30" s="385"/>
      <c r="BF30" s="385"/>
      <c r="BG30" s="385"/>
      <c r="BH30" s="385"/>
      <c r="BI30" s="385"/>
      <c r="BJ30" s="385"/>
      <c r="BK30" s="385"/>
      <c r="BL30" s="385"/>
      <c r="BM30" s="385"/>
      <c r="BN30" s="385"/>
      <c r="BO30" s="385"/>
      <c r="BP30" s="385"/>
      <c r="BQ30" s="385"/>
    </row>
    <row r="31" spans="1:69" s="212" customFormat="1" ht="72" customHeight="1" x14ac:dyDescent="0.55000000000000004">
      <c r="A31" s="401">
        <v>7</v>
      </c>
      <c r="B31" s="203" t="s">
        <v>197</v>
      </c>
      <c r="C31" s="397" t="s">
        <v>201</v>
      </c>
      <c r="D31" s="247">
        <v>41659</v>
      </c>
      <c r="E31" s="405" t="s">
        <v>204</v>
      </c>
      <c r="F31" s="246" t="s">
        <v>138</v>
      </c>
      <c r="G31" s="246" t="s">
        <v>50</v>
      </c>
      <c r="H31" s="246" t="s">
        <v>34</v>
      </c>
      <c r="I31" s="246">
        <v>27090000</v>
      </c>
      <c r="J31" s="247">
        <v>41608</v>
      </c>
      <c r="K31" s="203" t="s">
        <v>208</v>
      </c>
      <c r="L31" s="203" t="s">
        <v>32</v>
      </c>
      <c r="M31" s="246" t="s">
        <v>209</v>
      </c>
      <c r="N31" s="246" t="s">
        <v>209</v>
      </c>
      <c r="O31" s="374">
        <v>375000</v>
      </c>
      <c r="P31" s="375">
        <f t="shared" si="6"/>
        <v>40952250</v>
      </c>
      <c r="Q31" s="376">
        <f t="shared" si="5"/>
        <v>6356608243.96064</v>
      </c>
      <c r="R31" s="376" t="s">
        <v>25</v>
      </c>
      <c r="S31" s="377">
        <v>109.206</v>
      </c>
      <c r="T31" s="378">
        <f t="shared" si="2"/>
        <v>41698</v>
      </c>
      <c r="U31" s="246" t="s">
        <v>138</v>
      </c>
      <c r="V31" s="376">
        <f t="shared" si="3"/>
        <v>49142.7</v>
      </c>
      <c r="W31" s="380">
        <v>155.21999997462021</v>
      </c>
      <c r="X31" s="381">
        <f t="shared" si="4"/>
        <v>7627929.8927527685</v>
      </c>
      <c r="Y31" s="395">
        <v>14336159.82</v>
      </c>
      <c r="Z31" s="382" t="s">
        <v>211</v>
      </c>
      <c r="AA31" s="383">
        <v>41652</v>
      </c>
    </row>
    <row r="32" spans="1:69" s="102" customFormat="1" ht="72" customHeight="1" x14ac:dyDescent="0.55000000000000004">
      <c r="A32" s="402"/>
      <c r="B32" s="130" t="s">
        <v>198</v>
      </c>
      <c r="C32" s="398"/>
      <c r="D32" s="247">
        <v>41659</v>
      </c>
      <c r="E32" s="406"/>
      <c r="F32" s="131" t="s">
        <v>138</v>
      </c>
      <c r="G32" s="131" t="s">
        <v>50</v>
      </c>
      <c r="H32" s="131" t="s">
        <v>34</v>
      </c>
      <c r="I32" s="131">
        <v>27090000</v>
      </c>
      <c r="J32" s="132">
        <v>41608</v>
      </c>
      <c r="K32" s="130" t="s">
        <v>208</v>
      </c>
      <c r="L32" s="130" t="s">
        <v>32</v>
      </c>
      <c r="M32" s="131" t="s">
        <v>209</v>
      </c>
      <c r="N32" s="131" t="s">
        <v>209</v>
      </c>
      <c r="O32" s="249">
        <v>329786</v>
      </c>
      <c r="P32" s="150">
        <f t="shared" si="6"/>
        <v>36014609.916000001</v>
      </c>
      <c r="Q32" s="137">
        <f t="shared" si="5"/>
        <v>5590187750.2474766</v>
      </c>
      <c r="R32" s="137" t="s">
        <v>25</v>
      </c>
      <c r="S32" s="250">
        <v>109.206</v>
      </c>
      <c r="T32" s="136">
        <f t="shared" si="2"/>
        <v>41698</v>
      </c>
      <c r="U32" s="131" t="s">
        <v>138</v>
      </c>
      <c r="V32" s="137">
        <f t="shared" si="3"/>
        <v>43217.531899199996</v>
      </c>
      <c r="W32" s="210">
        <v>155.21999997462021</v>
      </c>
      <c r="X32" s="138">
        <f t="shared" si="4"/>
        <v>6708225.3002969716</v>
      </c>
      <c r="Y32" s="396"/>
      <c r="Z32" s="211" t="s">
        <v>211</v>
      </c>
      <c r="AA32" s="245">
        <v>41652</v>
      </c>
    </row>
    <row r="33" spans="1:69" s="129" customFormat="1" ht="72" customHeight="1" x14ac:dyDescent="0.55000000000000004">
      <c r="A33" s="240">
        <v>8</v>
      </c>
      <c r="B33" s="130" t="s">
        <v>62</v>
      </c>
      <c r="C33" s="246" t="s">
        <v>213</v>
      </c>
      <c r="D33" s="247">
        <v>41680</v>
      </c>
      <c r="E33" s="248" t="s">
        <v>214</v>
      </c>
      <c r="F33" s="131" t="s">
        <v>138</v>
      </c>
      <c r="G33" s="131" t="s">
        <v>50</v>
      </c>
      <c r="H33" s="131" t="s">
        <v>34</v>
      </c>
      <c r="I33" s="131">
        <v>27090000</v>
      </c>
      <c r="J33" s="132">
        <v>41638</v>
      </c>
      <c r="K33" s="130" t="s">
        <v>64</v>
      </c>
      <c r="L33" s="130" t="s">
        <v>32</v>
      </c>
      <c r="M33" s="131" t="s">
        <v>44</v>
      </c>
      <c r="N33" s="131" t="s">
        <v>55</v>
      </c>
      <c r="O33" s="249">
        <v>916324</v>
      </c>
      <c r="P33" s="150">
        <f t="shared" si="6"/>
        <v>102580180.98999999</v>
      </c>
      <c r="Q33" s="137">
        <f t="shared" si="5"/>
        <v>15920444091.66667</v>
      </c>
      <c r="R33" s="137" t="s">
        <v>25</v>
      </c>
      <c r="S33" s="250">
        <v>111.94749999999999</v>
      </c>
      <c r="T33" s="136">
        <f t="shared" si="2"/>
        <v>41728</v>
      </c>
      <c r="U33" s="131" t="s">
        <v>138</v>
      </c>
      <c r="V33" s="137">
        <f t="shared" si="3"/>
        <v>123096.21718799998</v>
      </c>
      <c r="W33" s="210">
        <v>155.20000001967895</v>
      </c>
      <c r="X33" s="138">
        <f t="shared" si="4"/>
        <v>19104532.91</v>
      </c>
      <c r="Y33" s="241">
        <v>19104532.91</v>
      </c>
      <c r="Z33" s="211" t="s">
        <v>215</v>
      </c>
      <c r="AA33" s="245">
        <v>41669</v>
      </c>
    </row>
    <row r="34" spans="1:69" s="93" customFormat="1" ht="81.75" customHeight="1" x14ac:dyDescent="0.55000000000000004">
      <c r="A34" s="240">
        <v>9</v>
      </c>
      <c r="B34" s="130" t="s">
        <v>73</v>
      </c>
      <c r="C34" s="246" t="s">
        <v>106</v>
      </c>
      <c r="D34" s="247">
        <v>41673</v>
      </c>
      <c r="E34" s="248" t="s">
        <v>120</v>
      </c>
      <c r="F34" s="131" t="s">
        <v>54</v>
      </c>
      <c r="G34" s="131" t="s">
        <v>38</v>
      </c>
      <c r="H34" s="131" t="s">
        <v>33</v>
      </c>
      <c r="I34" s="131">
        <v>27090000</v>
      </c>
      <c r="J34" s="132">
        <v>41645</v>
      </c>
      <c r="K34" s="130" t="s">
        <v>143</v>
      </c>
      <c r="L34" s="130" t="s">
        <v>31</v>
      </c>
      <c r="M34" s="131" t="s">
        <v>44</v>
      </c>
      <c r="N34" s="131" t="s">
        <v>164</v>
      </c>
      <c r="O34" s="249">
        <v>949735</v>
      </c>
      <c r="P34" s="150">
        <f t="shared" si="6"/>
        <v>103385302.895</v>
      </c>
      <c r="Q34" s="137">
        <f t="shared" si="5"/>
        <v>16102260925.89625</v>
      </c>
      <c r="R34" s="137" t="s">
        <v>25</v>
      </c>
      <c r="S34" s="250">
        <v>108.857</v>
      </c>
      <c r="T34" s="136">
        <f t="shared" si="2"/>
        <v>41735</v>
      </c>
      <c r="U34" s="251" t="s">
        <v>54</v>
      </c>
      <c r="V34" s="137">
        <f t="shared" si="3"/>
        <v>124062.36347399998</v>
      </c>
      <c r="W34" s="210">
        <v>155.75</v>
      </c>
      <c r="X34" s="138">
        <f t="shared" si="4"/>
        <v>19322713.111075498</v>
      </c>
      <c r="Y34" s="241" t="s">
        <v>40</v>
      </c>
      <c r="Z34" s="211" t="s">
        <v>40</v>
      </c>
      <c r="AA34" s="245" t="s">
        <v>40</v>
      </c>
      <c r="AB34" s="154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</row>
    <row r="35" spans="1:69" s="93" customFormat="1" ht="84.75" customHeight="1" x14ac:dyDescent="0.55000000000000004">
      <c r="A35" s="240">
        <v>10</v>
      </c>
      <c r="B35" s="130" t="s">
        <v>77</v>
      </c>
      <c r="C35" s="246" t="s">
        <v>107</v>
      </c>
      <c r="D35" s="247">
        <v>41673</v>
      </c>
      <c r="E35" s="248" t="s">
        <v>121</v>
      </c>
      <c r="F35" s="131" t="s">
        <v>54</v>
      </c>
      <c r="G35" s="131" t="s">
        <v>38</v>
      </c>
      <c r="H35" s="131" t="s">
        <v>34</v>
      </c>
      <c r="I35" s="131">
        <v>27090000</v>
      </c>
      <c r="J35" s="132">
        <v>41647</v>
      </c>
      <c r="K35" s="130" t="s">
        <v>145</v>
      </c>
      <c r="L35" s="130" t="s">
        <v>32</v>
      </c>
      <c r="M35" s="131" t="s">
        <v>44</v>
      </c>
      <c r="N35" s="131" t="s">
        <v>55</v>
      </c>
      <c r="O35" s="249">
        <v>50000</v>
      </c>
      <c r="P35" s="150">
        <f t="shared" si="6"/>
        <v>5449900</v>
      </c>
      <c r="Q35" s="137">
        <f t="shared" si="5"/>
        <v>848821925</v>
      </c>
      <c r="R35" s="137" t="s">
        <v>25</v>
      </c>
      <c r="S35" s="250">
        <v>108.998</v>
      </c>
      <c r="T35" s="136">
        <f t="shared" si="2"/>
        <v>41737</v>
      </c>
      <c r="U35" s="251" t="s">
        <v>54</v>
      </c>
      <c r="V35" s="137">
        <f t="shared" si="3"/>
        <v>6539.8799999999992</v>
      </c>
      <c r="W35" s="210">
        <v>155.75</v>
      </c>
      <c r="X35" s="138">
        <f t="shared" si="4"/>
        <v>1018586.3099999998</v>
      </c>
      <c r="Y35" s="241" t="s">
        <v>40</v>
      </c>
      <c r="Z35" s="211" t="s">
        <v>40</v>
      </c>
      <c r="AA35" s="245" t="s">
        <v>40</v>
      </c>
      <c r="AB35" s="154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</row>
    <row r="36" spans="1:69" s="93" customFormat="1" ht="92.25" customHeight="1" x14ac:dyDescent="0.55000000000000004">
      <c r="A36" s="240">
        <v>11</v>
      </c>
      <c r="B36" s="203" t="s">
        <v>78</v>
      </c>
      <c r="C36" s="203" t="s">
        <v>108</v>
      </c>
      <c r="D36" s="204">
        <v>41673</v>
      </c>
      <c r="E36" s="211" t="s">
        <v>122</v>
      </c>
      <c r="F36" s="242" t="s">
        <v>54</v>
      </c>
      <c r="G36" s="205" t="s">
        <v>38</v>
      </c>
      <c r="H36" s="206" t="s">
        <v>34</v>
      </c>
      <c r="I36" s="131">
        <v>27090000</v>
      </c>
      <c r="J36" s="243">
        <v>41647</v>
      </c>
      <c r="K36" s="130" t="s">
        <v>145</v>
      </c>
      <c r="L36" s="207" t="s">
        <v>32</v>
      </c>
      <c r="M36" s="131" t="s">
        <v>44</v>
      </c>
      <c r="N36" s="206" t="s">
        <v>55</v>
      </c>
      <c r="O36" s="208">
        <v>899414</v>
      </c>
      <c r="P36" s="244">
        <f>O36*S36</f>
        <v>98034327.172000006</v>
      </c>
      <c r="Q36" s="241">
        <f t="shared" ref="Q36" si="7">P36*W36</f>
        <v>15268846457.039001</v>
      </c>
      <c r="R36" s="209" t="s">
        <v>25</v>
      </c>
      <c r="S36" s="210">
        <v>108.998</v>
      </c>
      <c r="T36" s="136">
        <f t="shared" si="2"/>
        <v>41737</v>
      </c>
      <c r="U36" s="251" t="s">
        <v>54</v>
      </c>
      <c r="V36" s="137">
        <f t="shared" si="3"/>
        <v>117641.1926064</v>
      </c>
      <c r="W36" s="210">
        <v>155.75</v>
      </c>
      <c r="X36" s="138">
        <f t="shared" si="4"/>
        <v>18322615.7484468</v>
      </c>
      <c r="Y36" s="241" t="s">
        <v>40</v>
      </c>
      <c r="Z36" s="211" t="s">
        <v>40</v>
      </c>
      <c r="AA36" s="245" t="s">
        <v>40</v>
      </c>
      <c r="AB36" s="154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</row>
    <row r="37" spans="1:69" s="93" customFormat="1" ht="92.25" customHeight="1" x14ac:dyDescent="0.55000000000000004">
      <c r="A37" s="240">
        <v>12</v>
      </c>
      <c r="B37" s="143" t="s">
        <v>79</v>
      </c>
      <c r="C37" s="143" t="s">
        <v>109</v>
      </c>
      <c r="D37" s="139">
        <v>41673</v>
      </c>
      <c r="E37" s="153" t="s">
        <v>123</v>
      </c>
      <c r="F37" s="152" t="s">
        <v>54</v>
      </c>
      <c r="G37" s="160" t="s">
        <v>38</v>
      </c>
      <c r="H37" s="145" t="s">
        <v>33</v>
      </c>
      <c r="I37" s="131">
        <v>27090000</v>
      </c>
      <c r="J37" s="146">
        <v>41648</v>
      </c>
      <c r="K37" s="143" t="s">
        <v>146</v>
      </c>
      <c r="L37" s="147" t="s">
        <v>31</v>
      </c>
      <c r="M37" s="145" t="s">
        <v>47</v>
      </c>
      <c r="N37" s="148" t="s">
        <v>66</v>
      </c>
      <c r="O37" s="149">
        <v>949985</v>
      </c>
      <c r="P37" s="150">
        <f>O37*S37</f>
        <v>103542665.09</v>
      </c>
      <c r="Q37" s="137">
        <f>P37*W37</f>
        <v>16126770087.7675</v>
      </c>
      <c r="R37" s="141" t="s">
        <v>25</v>
      </c>
      <c r="S37" s="140">
        <v>108.994</v>
      </c>
      <c r="T37" s="151">
        <f>J37+90</f>
        <v>41738</v>
      </c>
      <c r="U37" s="251" t="s">
        <v>54</v>
      </c>
      <c r="V37" s="137">
        <f>P37*0.12%</f>
        <v>124251.198108</v>
      </c>
      <c r="W37" s="210">
        <v>155.75</v>
      </c>
      <c r="X37" s="141">
        <f>V37*W37</f>
        <v>19352124.105321001</v>
      </c>
      <c r="Y37" s="241" t="s">
        <v>40</v>
      </c>
      <c r="Z37" s="211" t="s">
        <v>40</v>
      </c>
      <c r="AA37" s="245" t="s">
        <v>40</v>
      </c>
      <c r="AB37" s="154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</row>
    <row r="38" spans="1:69" s="93" customFormat="1" ht="92.25" customHeight="1" x14ac:dyDescent="0.55000000000000004">
      <c r="A38" s="240">
        <v>13</v>
      </c>
      <c r="B38" s="135" t="s">
        <v>86</v>
      </c>
      <c r="C38" s="157" t="s">
        <v>110</v>
      </c>
      <c r="D38" s="139">
        <v>41673</v>
      </c>
      <c r="E38" s="157" t="s">
        <v>126</v>
      </c>
      <c r="F38" s="157" t="s">
        <v>54</v>
      </c>
      <c r="G38" s="144" t="s">
        <v>38</v>
      </c>
      <c r="H38" s="135" t="s">
        <v>33</v>
      </c>
      <c r="I38" s="131">
        <v>27090000</v>
      </c>
      <c r="J38" s="136">
        <v>41655</v>
      </c>
      <c r="K38" s="134" t="s">
        <v>150</v>
      </c>
      <c r="L38" s="134" t="s">
        <v>31</v>
      </c>
      <c r="M38" s="135" t="s">
        <v>43</v>
      </c>
      <c r="N38" s="214" t="s">
        <v>56</v>
      </c>
      <c r="O38" s="149">
        <v>60000</v>
      </c>
      <c r="P38" s="150">
        <f>O38*S38</f>
        <v>6606120</v>
      </c>
      <c r="Q38" s="137">
        <f>P38*W38</f>
        <v>1028903190</v>
      </c>
      <c r="R38" s="141" t="s">
        <v>25</v>
      </c>
      <c r="S38" s="140">
        <v>110.102</v>
      </c>
      <c r="T38" s="151">
        <f>J38+90</f>
        <v>41745</v>
      </c>
      <c r="U38" s="251" t="s">
        <v>54</v>
      </c>
      <c r="V38" s="137">
        <f>P38*0.12%</f>
        <v>7927.3439999999991</v>
      </c>
      <c r="W38" s="210">
        <v>155.75</v>
      </c>
      <c r="X38" s="141">
        <f>V38*W38</f>
        <v>1234683.828</v>
      </c>
      <c r="Y38" s="241" t="s">
        <v>40</v>
      </c>
      <c r="Z38" s="211" t="s">
        <v>40</v>
      </c>
      <c r="AA38" s="245" t="s">
        <v>40</v>
      </c>
      <c r="AB38" s="154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</row>
    <row r="39" spans="1:69" s="93" customFormat="1" ht="92.25" customHeight="1" x14ac:dyDescent="0.55000000000000004">
      <c r="A39" s="240">
        <v>14</v>
      </c>
      <c r="B39" s="135" t="s">
        <v>87</v>
      </c>
      <c r="C39" s="157" t="s">
        <v>111</v>
      </c>
      <c r="D39" s="139">
        <v>41673</v>
      </c>
      <c r="E39" s="157" t="s">
        <v>127</v>
      </c>
      <c r="F39" s="157" t="s">
        <v>54</v>
      </c>
      <c r="G39" s="144" t="s">
        <v>38</v>
      </c>
      <c r="H39" s="135" t="s">
        <v>33</v>
      </c>
      <c r="I39" s="131">
        <v>27090000</v>
      </c>
      <c r="J39" s="136">
        <v>41655</v>
      </c>
      <c r="K39" s="134" t="s">
        <v>150</v>
      </c>
      <c r="L39" s="134" t="s">
        <v>31</v>
      </c>
      <c r="M39" s="135" t="s">
        <v>43</v>
      </c>
      <c r="N39" s="214" t="s">
        <v>56</v>
      </c>
      <c r="O39" s="149">
        <v>15000</v>
      </c>
      <c r="P39" s="150">
        <f t="shared" ref="P39:P47" si="8">O39*S39</f>
        <v>1651530</v>
      </c>
      <c r="Q39" s="137">
        <f t="shared" ref="Q39:Q47" si="9">P39*W39</f>
        <v>257225797.5</v>
      </c>
      <c r="R39" s="141" t="s">
        <v>25</v>
      </c>
      <c r="S39" s="140">
        <v>110.102</v>
      </c>
      <c r="T39" s="151">
        <f t="shared" ref="T39:T47" si="10">J39+90</f>
        <v>41745</v>
      </c>
      <c r="U39" s="251" t="s">
        <v>54</v>
      </c>
      <c r="V39" s="137">
        <f t="shared" ref="V39:V47" si="11">P39*0.12%</f>
        <v>1981.8359999999998</v>
      </c>
      <c r="W39" s="210">
        <v>155.75</v>
      </c>
      <c r="X39" s="141">
        <f t="shared" ref="X39:X47" si="12">V39*W39</f>
        <v>308670.95699999999</v>
      </c>
      <c r="Y39" s="241" t="s">
        <v>40</v>
      </c>
      <c r="Z39" s="211" t="s">
        <v>40</v>
      </c>
      <c r="AA39" s="245" t="s">
        <v>40</v>
      </c>
      <c r="AB39" s="154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</row>
    <row r="40" spans="1:69" s="93" customFormat="1" ht="92.25" customHeight="1" x14ac:dyDescent="0.55000000000000004">
      <c r="A40" s="240">
        <v>15</v>
      </c>
      <c r="B40" s="135" t="s">
        <v>88</v>
      </c>
      <c r="C40" s="157" t="s">
        <v>112</v>
      </c>
      <c r="D40" s="139">
        <v>41673</v>
      </c>
      <c r="E40" s="157" t="s">
        <v>128</v>
      </c>
      <c r="F40" s="157" t="s">
        <v>54</v>
      </c>
      <c r="G40" s="144" t="s">
        <v>38</v>
      </c>
      <c r="H40" s="135" t="s">
        <v>33</v>
      </c>
      <c r="I40" s="131">
        <v>27090000</v>
      </c>
      <c r="J40" s="136">
        <v>41655</v>
      </c>
      <c r="K40" s="134" t="s">
        <v>150</v>
      </c>
      <c r="L40" s="134" t="s">
        <v>31</v>
      </c>
      <c r="M40" s="135" t="s">
        <v>43</v>
      </c>
      <c r="N40" s="214" t="s">
        <v>56</v>
      </c>
      <c r="O40" s="149">
        <v>70000</v>
      </c>
      <c r="P40" s="150">
        <f t="shared" si="8"/>
        <v>7707140</v>
      </c>
      <c r="Q40" s="137">
        <f t="shared" si="9"/>
        <v>1200387055</v>
      </c>
      <c r="R40" s="141" t="s">
        <v>25</v>
      </c>
      <c r="S40" s="140">
        <v>110.102</v>
      </c>
      <c r="T40" s="151">
        <f t="shared" si="10"/>
        <v>41745</v>
      </c>
      <c r="U40" s="251" t="s">
        <v>54</v>
      </c>
      <c r="V40" s="137">
        <f t="shared" si="11"/>
        <v>9248.5679999999993</v>
      </c>
      <c r="W40" s="210">
        <v>155.75</v>
      </c>
      <c r="X40" s="141">
        <f t="shared" si="12"/>
        <v>1440464.4659999998</v>
      </c>
      <c r="Y40" s="241" t="s">
        <v>40</v>
      </c>
      <c r="Z40" s="211" t="s">
        <v>40</v>
      </c>
      <c r="AA40" s="245" t="s">
        <v>40</v>
      </c>
      <c r="AB40" s="154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</row>
    <row r="41" spans="1:69" s="93" customFormat="1" ht="92.25" customHeight="1" x14ac:dyDescent="0.55000000000000004">
      <c r="A41" s="240">
        <v>16</v>
      </c>
      <c r="B41" s="135" t="s">
        <v>89</v>
      </c>
      <c r="C41" s="157" t="s">
        <v>113</v>
      </c>
      <c r="D41" s="139">
        <v>41673</v>
      </c>
      <c r="E41" s="157" t="s">
        <v>129</v>
      </c>
      <c r="F41" s="157" t="s">
        <v>54</v>
      </c>
      <c r="G41" s="144" t="s">
        <v>38</v>
      </c>
      <c r="H41" s="135" t="s">
        <v>33</v>
      </c>
      <c r="I41" s="131">
        <v>27090000</v>
      </c>
      <c r="J41" s="136">
        <v>41655</v>
      </c>
      <c r="K41" s="134" t="s">
        <v>150</v>
      </c>
      <c r="L41" s="134" t="s">
        <v>31</v>
      </c>
      <c r="M41" s="135" t="s">
        <v>43</v>
      </c>
      <c r="N41" s="214" t="s">
        <v>56</v>
      </c>
      <c r="O41" s="149">
        <v>759706</v>
      </c>
      <c r="P41" s="150">
        <f t="shared" si="8"/>
        <v>83645150.012000009</v>
      </c>
      <c r="Q41" s="137">
        <f t="shared" si="9"/>
        <v>13027732114.369001</v>
      </c>
      <c r="R41" s="141" t="s">
        <v>25</v>
      </c>
      <c r="S41" s="140">
        <v>110.102</v>
      </c>
      <c r="T41" s="151">
        <f t="shared" si="10"/>
        <v>41745</v>
      </c>
      <c r="U41" s="251" t="s">
        <v>54</v>
      </c>
      <c r="V41" s="137">
        <f t="shared" si="11"/>
        <v>100374.1800144</v>
      </c>
      <c r="W41" s="210">
        <v>155.75</v>
      </c>
      <c r="X41" s="141">
        <f t="shared" si="12"/>
        <v>15633278.5372428</v>
      </c>
      <c r="Y41" s="241" t="s">
        <v>40</v>
      </c>
      <c r="Z41" s="211" t="s">
        <v>40</v>
      </c>
      <c r="AA41" s="245" t="s">
        <v>40</v>
      </c>
      <c r="AB41" s="154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</row>
    <row r="42" spans="1:69" s="93" customFormat="1" ht="92.25" customHeight="1" x14ac:dyDescent="0.55000000000000004">
      <c r="A42" s="240">
        <v>17</v>
      </c>
      <c r="B42" s="135" t="s">
        <v>93</v>
      </c>
      <c r="C42" s="157" t="s">
        <v>114</v>
      </c>
      <c r="D42" s="139">
        <v>41673</v>
      </c>
      <c r="E42" s="157" t="s">
        <v>131</v>
      </c>
      <c r="F42" s="157" t="s">
        <v>54</v>
      </c>
      <c r="G42" s="144" t="s">
        <v>38</v>
      </c>
      <c r="H42" s="135" t="s">
        <v>33</v>
      </c>
      <c r="I42" s="131">
        <v>27090000</v>
      </c>
      <c r="J42" s="136">
        <v>41658</v>
      </c>
      <c r="K42" s="134" t="s">
        <v>152</v>
      </c>
      <c r="L42" s="134" t="s">
        <v>31</v>
      </c>
      <c r="M42" s="135" t="s">
        <v>65</v>
      </c>
      <c r="N42" s="214" t="s">
        <v>168</v>
      </c>
      <c r="O42" s="149">
        <v>905173</v>
      </c>
      <c r="P42" s="150">
        <f t="shared" si="8"/>
        <v>100343858.088</v>
      </c>
      <c r="Q42" s="137">
        <f t="shared" si="9"/>
        <v>15628555897.205999</v>
      </c>
      <c r="R42" s="141" t="s">
        <v>25</v>
      </c>
      <c r="S42" s="140">
        <v>110.85599999999999</v>
      </c>
      <c r="T42" s="151">
        <f t="shared" si="10"/>
        <v>41748</v>
      </c>
      <c r="U42" s="251" t="s">
        <v>54</v>
      </c>
      <c r="V42" s="137">
        <f t="shared" si="11"/>
        <v>120412.62970559999</v>
      </c>
      <c r="W42" s="210">
        <v>155.75</v>
      </c>
      <c r="X42" s="141">
        <f t="shared" si="12"/>
        <v>18754267.0766472</v>
      </c>
      <c r="Y42" s="241" t="s">
        <v>40</v>
      </c>
      <c r="Z42" s="211" t="s">
        <v>40</v>
      </c>
      <c r="AA42" s="245" t="s">
        <v>40</v>
      </c>
      <c r="AB42" s="154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</row>
    <row r="43" spans="1:69" s="93" customFormat="1" ht="92.25" customHeight="1" x14ac:dyDescent="0.55000000000000004">
      <c r="A43" s="240">
        <v>18</v>
      </c>
      <c r="B43" s="135" t="s">
        <v>99</v>
      </c>
      <c r="C43" s="157" t="s">
        <v>115</v>
      </c>
      <c r="D43" s="139">
        <v>41673</v>
      </c>
      <c r="E43" s="157" t="s">
        <v>132</v>
      </c>
      <c r="F43" s="157" t="s">
        <v>54</v>
      </c>
      <c r="G43" s="144" t="s">
        <v>38</v>
      </c>
      <c r="H43" s="135" t="s">
        <v>33</v>
      </c>
      <c r="I43" s="131">
        <v>27090000</v>
      </c>
      <c r="J43" s="136">
        <v>41664</v>
      </c>
      <c r="K43" s="134" t="s">
        <v>154</v>
      </c>
      <c r="L43" s="134" t="s">
        <v>31</v>
      </c>
      <c r="M43" s="135" t="s">
        <v>65</v>
      </c>
      <c r="N43" s="214" t="s">
        <v>168</v>
      </c>
      <c r="O43" s="149">
        <v>905041</v>
      </c>
      <c r="P43" s="150">
        <f t="shared" si="8"/>
        <v>100735588.50500001</v>
      </c>
      <c r="Q43" s="137">
        <f t="shared" si="9"/>
        <v>15689567909.653751</v>
      </c>
      <c r="R43" s="141" t="s">
        <v>25</v>
      </c>
      <c r="S43" s="140">
        <v>111.30500000000001</v>
      </c>
      <c r="T43" s="151">
        <f t="shared" si="10"/>
        <v>41754</v>
      </c>
      <c r="U43" s="251" t="s">
        <v>54</v>
      </c>
      <c r="V43" s="137">
        <f t="shared" si="11"/>
        <v>120882.706206</v>
      </c>
      <c r="W43" s="210">
        <v>155.75</v>
      </c>
      <c r="X43" s="141">
        <f t="shared" si="12"/>
        <v>18827481.491584502</v>
      </c>
      <c r="Y43" s="241" t="s">
        <v>40</v>
      </c>
      <c r="Z43" s="211" t="s">
        <v>40</v>
      </c>
      <c r="AA43" s="245" t="s">
        <v>40</v>
      </c>
      <c r="AB43" s="154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</row>
    <row r="44" spans="1:69" s="93" customFormat="1" ht="92.25" customHeight="1" x14ac:dyDescent="0.55000000000000004">
      <c r="A44" s="240">
        <v>19</v>
      </c>
      <c r="B44" s="135" t="s">
        <v>100</v>
      </c>
      <c r="C44" s="157" t="s">
        <v>116</v>
      </c>
      <c r="D44" s="139">
        <v>41673</v>
      </c>
      <c r="E44" s="157" t="s">
        <v>133</v>
      </c>
      <c r="F44" s="157" t="s">
        <v>54</v>
      </c>
      <c r="G44" s="144" t="s">
        <v>38</v>
      </c>
      <c r="H44" s="135" t="s">
        <v>34</v>
      </c>
      <c r="I44" s="131">
        <v>27090000</v>
      </c>
      <c r="J44" s="136">
        <v>41664</v>
      </c>
      <c r="K44" s="134" t="s">
        <v>155</v>
      </c>
      <c r="L44" s="134" t="s">
        <v>32</v>
      </c>
      <c r="M44" s="135" t="s">
        <v>44</v>
      </c>
      <c r="N44" s="214" t="s">
        <v>55</v>
      </c>
      <c r="O44" s="149">
        <v>90000</v>
      </c>
      <c r="P44" s="150">
        <f t="shared" si="8"/>
        <v>10017450</v>
      </c>
      <c r="Q44" s="137">
        <f t="shared" si="9"/>
        <v>1560217837.5</v>
      </c>
      <c r="R44" s="141" t="s">
        <v>25</v>
      </c>
      <c r="S44" s="140">
        <v>111.30500000000001</v>
      </c>
      <c r="T44" s="151">
        <f t="shared" si="10"/>
        <v>41754</v>
      </c>
      <c r="U44" s="251" t="s">
        <v>54</v>
      </c>
      <c r="V44" s="137">
        <f t="shared" si="11"/>
        <v>12020.939999999999</v>
      </c>
      <c r="W44" s="210">
        <v>155.75</v>
      </c>
      <c r="X44" s="141">
        <f t="shared" si="12"/>
        <v>1872261.4049999998</v>
      </c>
      <c r="Y44" s="241" t="s">
        <v>40</v>
      </c>
      <c r="Z44" s="211" t="s">
        <v>40</v>
      </c>
      <c r="AA44" s="245" t="s">
        <v>40</v>
      </c>
      <c r="AB44" s="154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</row>
    <row r="45" spans="1:69" s="93" customFormat="1" ht="92.25" customHeight="1" x14ac:dyDescent="0.55000000000000004">
      <c r="A45" s="240">
        <v>20</v>
      </c>
      <c r="B45" s="135" t="s">
        <v>101</v>
      </c>
      <c r="C45" s="157" t="s">
        <v>117</v>
      </c>
      <c r="D45" s="139">
        <v>41673</v>
      </c>
      <c r="E45" s="157" t="s">
        <v>134</v>
      </c>
      <c r="F45" s="157" t="s">
        <v>54</v>
      </c>
      <c r="G45" s="144" t="s">
        <v>38</v>
      </c>
      <c r="H45" s="135" t="s">
        <v>34</v>
      </c>
      <c r="I45" s="131">
        <v>27090000</v>
      </c>
      <c r="J45" s="136">
        <v>41664</v>
      </c>
      <c r="K45" s="134" t="s">
        <v>155</v>
      </c>
      <c r="L45" s="134" t="s">
        <v>32</v>
      </c>
      <c r="M45" s="135" t="s">
        <v>44</v>
      </c>
      <c r="N45" s="214" t="s">
        <v>55</v>
      </c>
      <c r="O45" s="149">
        <v>857832</v>
      </c>
      <c r="P45" s="150">
        <f t="shared" si="8"/>
        <v>95480990.760000005</v>
      </c>
      <c r="Q45" s="137">
        <f t="shared" si="9"/>
        <v>14871164310.870001</v>
      </c>
      <c r="R45" s="141" t="s">
        <v>25</v>
      </c>
      <c r="S45" s="140">
        <v>111.30500000000001</v>
      </c>
      <c r="T45" s="151">
        <f t="shared" si="10"/>
        <v>41754</v>
      </c>
      <c r="U45" s="251" t="s">
        <v>54</v>
      </c>
      <c r="V45" s="137">
        <f t="shared" si="11"/>
        <v>114577.188912</v>
      </c>
      <c r="W45" s="210">
        <v>155.75</v>
      </c>
      <c r="X45" s="141">
        <f t="shared" si="12"/>
        <v>17845397.173044</v>
      </c>
      <c r="Y45" s="241" t="s">
        <v>40</v>
      </c>
      <c r="Z45" s="211" t="s">
        <v>40</v>
      </c>
      <c r="AA45" s="245" t="s">
        <v>40</v>
      </c>
      <c r="AB45" s="154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</row>
    <row r="46" spans="1:69" s="212" customFormat="1" ht="94.5" customHeight="1" x14ac:dyDescent="0.55000000000000004">
      <c r="A46" s="240">
        <v>21</v>
      </c>
      <c r="B46" s="135" t="s">
        <v>103</v>
      </c>
      <c r="C46" s="157" t="s">
        <v>118</v>
      </c>
      <c r="D46" s="139">
        <v>41673</v>
      </c>
      <c r="E46" s="157" t="s">
        <v>136</v>
      </c>
      <c r="F46" s="157" t="s">
        <v>54</v>
      </c>
      <c r="G46" s="144" t="s">
        <v>38</v>
      </c>
      <c r="H46" s="135" t="s">
        <v>33</v>
      </c>
      <c r="I46" s="131">
        <v>27090000</v>
      </c>
      <c r="J46" s="136">
        <v>41666</v>
      </c>
      <c r="K46" s="134" t="s">
        <v>156</v>
      </c>
      <c r="L46" s="134" t="s">
        <v>31</v>
      </c>
      <c r="M46" s="135" t="s">
        <v>26</v>
      </c>
      <c r="N46" s="214" t="s">
        <v>46</v>
      </c>
      <c r="O46" s="149">
        <v>905108</v>
      </c>
      <c r="P46" s="150">
        <f t="shared" si="8"/>
        <v>100381907.848</v>
      </c>
      <c r="Q46" s="137">
        <f t="shared" si="9"/>
        <v>15634482147.326</v>
      </c>
      <c r="R46" s="141" t="s">
        <v>25</v>
      </c>
      <c r="S46" s="140">
        <v>110.90600000000001</v>
      </c>
      <c r="T46" s="151">
        <f t="shared" si="10"/>
        <v>41756</v>
      </c>
      <c r="U46" s="251" t="s">
        <v>54</v>
      </c>
      <c r="V46" s="137">
        <f t="shared" si="11"/>
        <v>120458.2894176</v>
      </c>
      <c r="W46" s="210">
        <v>155.75</v>
      </c>
      <c r="X46" s="141">
        <f t="shared" si="12"/>
        <v>18761378.576791201</v>
      </c>
      <c r="Y46" s="241" t="s">
        <v>40</v>
      </c>
      <c r="Z46" s="211" t="s">
        <v>40</v>
      </c>
      <c r="AA46" s="245" t="s">
        <v>40</v>
      </c>
    </row>
    <row r="47" spans="1:69" s="93" customFormat="1" ht="94.5" customHeight="1" x14ac:dyDescent="0.55000000000000004">
      <c r="A47" s="240">
        <v>22</v>
      </c>
      <c r="B47" s="135" t="s">
        <v>105</v>
      </c>
      <c r="C47" s="157" t="s">
        <v>119</v>
      </c>
      <c r="D47" s="139">
        <v>41673</v>
      </c>
      <c r="E47" s="157" t="s">
        <v>137</v>
      </c>
      <c r="F47" s="157" t="s">
        <v>54</v>
      </c>
      <c r="G47" s="144" t="s">
        <v>38</v>
      </c>
      <c r="H47" s="135" t="s">
        <v>33</v>
      </c>
      <c r="I47" s="131">
        <v>27090000</v>
      </c>
      <c r="J47" s="136">
        <v>41669</v>
      </c>
      <c r="K47" s="134" t="s">
        <v>158</v>
      </c>
      <c r="L47" s="134" t="s">
        <v>31</v>
      </c>
      <c r="M47" s="135" t="s">
        <v>45</v>
      </c>
      <c r="N47" s="214" t="s">
        <v>42</v>
      </c>
      <c r="O47" s="149">
        <v>904965</v>
      </c>
      <c r="P47" s="150">
        <f t="shared" si="8"/>
        <v>100231208.50500001</v>
      </c>
      <c r="Q47" s="137">
        <f t="shared" si="9"/>
        <v>15611010724.653751</v>
      </c>
      <c r="R47" s="141" t="s">
        <v>25</v>
      </c>
      <c r="S47" s="140">
        <v>110.75700000000001</v>
      </c>
      <c r="T47" s="151">
        <f t="shared" si="10"/>
        <v>41759</v>
      </c>
      <c r="U47" s="251" t="s">
        <v>54</v>
      </c>
      <c r="V47" s="137">
        <f t="shared" si="11"/>
        <v>120277.45020600001</v>
      </c>
      <c r="W47" s="210">
        <v>155.75</v>
      </c>
      <c r="X47" s="141">
        <f t="shared" si="12"/>
        <v>18733212.869584501</v>
      </c>
      <c r="Y47" s="241" t="s">
        <v>40</v>
      </c>
      <c r="Z47" s="211" t="s">
        <v>40</v>
      </c>
      <c r="AA47" s="245" t="s">
        <v>40</v>
      </c>
    </row>
    <row r="48" spans="1:69" ht="66" customHeight="1" x14ac:dyDescent="0.55000000000000004">
      <c r="A48" s="326"/>
      <c r="B48" s="135"/>
      <c r="C48" s="327"/>
      <c r="D48" s="139"/>
      <c r="E48" s="327"/>
      <c r="F48" s="157"/>
      <c r="G48" s="144"/>
      <c r="H48" s="135"/>
      <c r="I48" s="131"/>
      <c r="J48" s="136"/>
      <c r="K48" s="134"/>
      <c r="L48" s="134"/>
      <c r="M48" s="135"/>
      <c r="N48" s="214"/>
      <c r="O48" s="149"/>
      <c r="P48" s="150"/>
      <c r="Q48" s="137"/>
      <c r="R48" s="141"/>
      <c r="S48" s="140"/>
      <c r="T48" s="151"/>
      <c r="U48" s="251"/>
      <c r="V48" s="137"/>
      <c r="W48" s="140"/>
      <c r="X48" s="141"/>
      <c r="Y48" s="141"/>
      <c r="Z48" s="157"/>
      <c r="AA48" s="215"/>
    </row>
    <row r="49" spans="1:27" s="16" customFormat="1" ht="66" customHeight="1" x14ac:dyDescent="0.55000000000000004">
      <c r="A49" s="328"/>
      <c r="B49" s="329"/>
      <c r="C49" s="330"/>
      <c r="D49" s="331"/>
      <c r="E49" s="330"/>
      <c r="F49" s="332"/>
      <c r="G49" s="333"/>
      <c r="H49" s="329"/>
      <c r="I49" s="334"/>
      <c r="J49" s="335"/>
      <c r="K49" s="336"/>
      <c r="L49" s="336"/>
      <c r="M49" s="329"/>
      <c r="N49" s="337"/>
      <c r="O49" s="338"/>
      <c r="P49" s="339"/>
      <c r="Q49" s="340"/>
      <c r="R49" s="341"/>
      <c r="S49" s="342"/>
      <c r="T49" s="343"/>
      <c r="U49" s="344"/>
      <c r="V49" s="340"/>
      <c r="W49" s="342"/>
      <c r="X49" s="341"/>
      <c r="Y49" s="341"/>
      <c r="Z49" s="332"/>
      <c r="AA49" s="345"/>
    </row>
    <row r="50" spans="1:27" s="16" customFormat="1" ht="66" customHeight="1" thickBot="1" x14ac:dyDescent="0.65">
      <c r="A50" s="233"/>
      <c r="B50" s="161" t="s">
        <v>28</v>
      </c>
      <c r="C50" s="161"/>
      <c r="D50" s="162"/>
      <c r="E50" s="161"/>
      <c r="F50" s="161"/>
      <c r="G50" s="346"/>
      <c r="H50" s="161"/>
      <c r="I50" s="161"/>
      <c r="J50" s="162"/>
      <c r="K50" s="161"/>
      <c r="L50" s="161"/>
      <c r="M50" s="161"/>
      <c r="N50" s="347"/>
      <c r="O50" s="348">
        <f>SUM(O24:O49)</f>
        <v>15396893</v>
      </c>
      <c r="P50" s="166">
        <f>SUM(P24:P49)</f>
        <v>1698290464.6258004</v>
      </c>
      <c r="Q50" s="166"/>
      <c r="R50" s="166"/>
      <c r="S50" s="167"/>
      <c r="T50" s="162"/>
      <c r="U50" s="166"/>
      <c r="V50" s="166">
        <f>SUM(V24:V49)</f>
        <v>2037948.5575509598</v>
      </c>
      <c r="W50" s="167"/>
      <c r="X50" s="166">
        <f>SUM(X24:X49)</f>
        <v>317946529.19927704</v>
      </c>
      <c r="Y50" s="166">
        <f>SUM(Y24:Y49)</f>
        <v>146519404.72999999</v>
      </c>
      <c r="Z50" s="161"/>
      <c r="AA50" s="225"/>
    </row>
    <row r="51" spans="1:27" s="16" customFormat="1" ht="23.25" x14ac:dyDescent="0.35">
      <c r="A51" s="39"/>
      <c r="B51" s="37"/>
      <c r="C51" s="35"/>
      <c r="D51" s="36"/>
      <c r="E51" s="35"/>
      <c r="F51" s="35"/>
      <c r="G51" s="40"/>
      <c r="H51" s="35"/>
      <c r="I51" s="35"/>
      <c r="J51" s="36"/>
      <c r="K51" s="35"/>
      <c r="L51" s="35"/>
      <c r="M51" s="35"/>
      <c r="N51" s="41"/>
      <c r="O51" s="29"/>
      <c r="P51" s="30"/>
      <c r="Q51" s="30"/>
      <c r="R51" s="30"/>
      <c r="S51" s="38"/>
      <c r="T51" s="36"/>
      <c r="U51" s="30"/>
      <c r="V51" s="30"/>
      <c r="W51" s="38"/>
      <c r="X51" s="30"/>
      <c r="Y51" s="30"/>
      <c r="Z51" s="35"/>
      <c r="AA51" s="35"/>
    </row>
    <row r="52" spans="1:27" x14ac:dyDescent="0.2">
      <c r="A52" s="7"/>
      <c r="B52" s="8"/>
      <c r="C52" s="6"/>
      <c r="D52" s="17"/>
      <c r="E52" s="18"/>
      <c r="F52" s="6"/>
      <c r="G52" s="19"/>
      <c r="H52" s="6"/>
      <c r="I52" s="6"/>
      <c r="J52" s="20"/>
      <c r="K52" s="8"/>
      <c r="L52" s="8"/>
      <c r="M52" s="6"/>
      <c r="N52" s="6"/>
      <c r="O52" s="21"/>
      <c r="P52" s="22"/>
      <c r="Q52" s="22"/>
      <c r="R52" s="22"/>
      <c r="S52" s="27"/>
      <c r="V52" s="22"/>
      <c r="W52" s="27"/>
      <c r="X52" s="22"/>
      <c r="Y52" s="22"/>
      <c r="Z52" s="6"/>
      <c r="AA52" s="6"/>
    </row>
    <row r="64" spans="1:27" x14ac:dyDescent="0.2">
      <c r="N64" s="23"/>
      <c r="O64" s="24"/>
    </row>
  </sheetData>
  <mergeCells count="8">
    <mergeCell ref="Y29:Y30"/>
    <mergeCell ref="Y31:Y32"/>
    <mergeCell ref="C29:C30"/>
    <mergeCell ref="C31:C32"/>
    <mergeCell ref="A29:A30"/>
    <mergeCell ref="A31:A32"/>
    <mergeCell ref="E29:E30"/>
    <mergeCell ref="E31:E32"/>
  </mergeCells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topLeftCell="A3" zoomScale="37" zoomScaleNormal="37" zoomScaleSheetLayoutView="10" workbookViewId="0">
      <selection activeCell="AB53" sqref="AB53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91" customFormat="1" ht="160.5" customHeight="1" x14ac:dyDescent="0.6">
      <c r="B27" s="219" t="s">
        <v>217</v>
      </c>
      <c r="C27" s="93"/>
      <c r="D27" s="220"/>
      <c r="E27" s="94"/>
      <c r="F27" s="93"/>
      <c r="G27" s="221"/>
      <c r="H27" s="93"/>
      <c r="I27" s="93"/>
      <c r="J27" s="220"/>
      <c r="K27" s="93"/>
      <c r="L27" s="93"/>
      <c r="M27" s="93"/>
      <c r="N27" s="93"/>
      <c r="O27" s="96"/>
      <c r="P27" s="97"/>
      <c r="Q27" s="97"/>
      <c r="R27" s="97"/>
      <c r="S27" s="98"/>
      <c r="T27" s="99"/>
      <c r="U27" s="93"/>
      <c r="V27" s="97"/>
      <c r="W27" s="98"/>
      <c r="X27" s="97"/>
      <c r="Y27" s="97"/>
      <c r="Z27" s="93"/>
      <c r="AA27" s="93"/>
    </row>
    <row r="28" spans="1:27" s="101" customFormat="1" ht="160.5" customHeight="1" thickBot="1" x14ac:dyDescent="0.3">
      <c r="B28" s="102"/>
      <c r="C28" s="102"/>
      <c r="D28" s="103"/>
      <c r="E28" s="104"/>
      <c r="F28" s="102"/>
      <c r="G28" s="105"/>
      <c r="H28" s="106"/>
      <c r="I28" s="106"/>
      <c r="J28" s="107"/>
      <c r="K28" s="108"/>
      <c r="L28" s="109"/>
      <c r="M28" s="106"/>
      <c r="N28" s="109"/>
      <c r="O28" s="110"/>
      <c r="P28" s="111"/>
      <c r="Q28" s="111"/>
      <c r="R28" s="111"/>
      <c r="S28" s="112"/>
      <c r="T28" s="113"/>
      <c r="U28" s="102"/>
      <c r="V28" s="111"/>
      <c r="W28" s="112"/>
      <c r="X28" s="111"/>
      <c r="Y28" s="111"/>
      <c r="Z28" s="102"/>
      <c r="AA28" s="102"/>
    </row>
    <row r="29" spans="1:27" s="102" customFormat="1" ht="160.5" customHeight="1" x14ac:dyDescent="0.25">
      <c r="A29" s="114">
        <v>1</v>
      </c>
      <c r="B29" s="115">
        <v>2</v>
      </c>
      <c r="C29" s="115">
        <v>3</v>
      </c>
      <c r="D29" s="116">
        <v>4</v>
      </c>
      <c r="E29" s="115">
        <v>5</v>
      </c>
      <c r="F29" s="115">
        <v>6</v>
      </c>
      <c r="G29" s="117">
        <v>7</v>
      </c>
      <c r="H29" s="115">
        <v>8</v>
      </c>
      <c r="I29" s="351">
        <v>9</v>
      </c>
      <c r="J29" s="115">
        <v>10</v>
      </c>
      <c r="K29" s="115">
        <v>11</v>
      </c>
      <c r="L29" s="115">
        <v>12</v>
      </c>
      <c r="M29" s="115">
        <v>13</v>
      </c>
      <c r="N29" s="115">
        <v>14</v>
      </c>
      <c r="O29" s="115">
        <v>15</v>
      </c>
      <c r="P29" s="115">
        <v>16</v>
      </c>
      <c r="Q29" s="115">
        <v>17</v>
      </c>
      <c r="R29" s="115">
        <v>18</v>
      </c>
      <c r="S29" s="115">
        <v>19</v>
      </c>
      <c r="T29" s="115">
        <v>20</v>
      </c>
      <c r="U29" s="115">
        <v>21</v>
      </c>
      <c r="V29" s="115">
        <v>22</v>
      </c>
      <c r="W29" s="116">
        <v>23</v>
      </c>
      <c r="X29" s="115">
        <v>24</v>
      </c>
      <c r="Y29" s="115">
        <v>25</v>
      </c>
      <c r="Z29" s="115">
        <v>26</v>
      </c>
      <c r="AA29" s="118">
        <v>27</v>
      </c>
    </row>
    <row r="30" spans="1:27" s="129" customFormat="1" ht="160.5" customHeight="1" thickBot="1" x14ac:dyDescent="0.3">
      <c r="A30" s="304" t="s">
        <v>0</v>
      </c>
      <c r="B30" s="305" t="s">
        <v>1</v>
      </c>
      <c r="C30" s="306" t="s">
        <v>2</v>
      </c>
      <c r="D30" s="307" t="s">
        <v>3</v>
      </c>
      <c r="E30" s="308" t="s">
        <v>4</v>
      </c>
      <c r="F30" s="306" t="s">
        <v>5</v>
      </c>
      <c r="G30" s="309" t="s">
        <v>6</v>
      </c>
      <c r="H30" s="349" t="s">
        <v>7</v>
      </c>
      <c r="I30" s="121" t="s">
        <v>8</v>
      </c>
      <c r="J30" s="350" t="s">
        <v>9</v>
      </c>
      <c r="K30" s="305" t="s">
        <v>10</v>
      </c>
      <c r="L30" s="305" t="s">
        <v>11</v>
      </c>
      <c r="M30" s="306" t="s">
        <v>12</v>
      </c>
      <c r="N30" s="306" t="s">
        <v>13</v>
      </c>
      <c r="O30" s="310" t="s">
        <v>14</v>
      </c>
      <c r="P30" s="311" t="s">
        <v>27</v>
      </c>
      <c r="Q30" s="311" t="s">
        <v>39</v>
      </c>
      <c r="R30" s="311" t="s">
        <v>15</v>
      </c>
      <c r="S30" s="312" t="s">
        <v>16</v>
      </c>
      <c r="T30" s="307" t="s">
        <v>17</v>
      </c>
      <c r="U30" s="306" t="s">
        <v>18</v>
      </c>
      <c r="V30" s="311" t="s">
        <v>19</v>
      </c>
      <c r="W30" s="312" t="s">
        <v>20</v>
      </c>
      <c r="X30" s="311" t="s">
        <v>21</v>
      </c>
      <c r="Y30" s="311" t="s">
        <v>22</v>
      </c>
      <c r="Z30" s="306" t="s">
        <v>24</v>
      </c>
      <c r="AA30" s="313" t="s">
        <v>23</v>
      </c>
    </row>
    <row r="31" spans="1:27" s="93" customFormat="1" ht="160.5" customHeight="1" x14ac:dyDescent="0.55000000000000004">
      <c r="A31" s="314">
        <v>1</v>
      </c>
      <c r="B31" s="315" t="s">
        <v>71</v>
      </c>
      <c r="C31" s="236" t="s">
        <v>57</v>
      </c>
      <c r="D31" s="316" t="s">
        <v>57</v>
      </c>
      <c r="E31" s="236" t="s">
        <v>40</v>
      </c>
      <c r="F31" s="236" t="s">
        <v>40</v>
      </c>
      <c r="G31" s="317" t="s">
        <v>139</v>
      </c>
      <c r="H31" s="235" t="s">
        <v>141</v>
      </c>
      <c r="I31" s="131">
        <v>27090000</v>
      </c>
      <c r="J31" s="237">
        <v>41642</v>
      </c>
      <c r="K31" s="236" t="s">
        <v>142</v>
      </c>
      <c r="L31" s="318" t="s">
        <v>159</v>
      </c>
      <c r="M31" s="235" t="s">
        <v>160</v>
      </c>
      <c r="N31" s="319" t="s">
        <v>163</v>
      </c>
      <c r="O31" s="320">
        <v>983021</v>
      </c>
      <c r="P31" s="321">
        <f t="shared" ref="P31" si="0">O31*S31</f>
        <v>109819174.036</v>
      </c>
      <c r="Q31" s="321">
        <f t="shared" ref="Q31" si="1">P31*W31</f>
        <v>17104336356.107</v>
      </c>
      <c r="R31" s="321" t="s">
        <v>25</v>
      </c>
      <c r="S31" s="264">
        <v>111.71599999999999</v>
      </c>
      <c r="T31" s="322">
        <f t="shared" ref="T31" si="2">J31+90</f>
        <v>41732</v>
      </c>
      <c r="U31" s="323" t="s">
        <v>40</v>
      </c>
      <c r="V31" s="321">
        <f t="shared" ref="V31" si="3">P31*0.12%</f>
        <v>131783.00884319999</v>
      </c>
      <c r="W31" s="264">
        <v>155.75</v>
      </c>
      <c r="X31" s="321">
        <f t="shared" ref="X31" si="4">V31*W31</f>
        <v>20525203.6273284</v>
      </c>
      <c r="Y31" s="321" t="s">
        <v>40</v>
      </c>
      <c r="Z31" s="236" t="s">
        <v>40</v>
      </c>
      <c r="AA31" s="324" t="s">
        <v>40</v>
      </c>
    </row>
    <row r="32" spans="1:27" s="93" customFormat="1" ht="160.5" customHeight="1" x14ac:dyDescent="0.55000000000000004">
      <c r="A32" s="213">
        <v>2</v>
      </c>
      <c r="B32" s="143" t="s">
        <v>72</v>
      </c>
      <c r="C32" s="134" t="s">
        <v>57</v>
      </c>
      <c r="D32" s="139" t="s">
        <v>57</v>
      </c>
      <c r="E32" s="134" t="s">
        <v>40</v>
      </c>
      <c r="F32" s="134" t="s">
        <v>40</v>
      </c>
      <c r="G32" s="144" t="s">
        <v>35</v>
      </c>
      <c r="H32" s="135" t="s">
        <v>33</v>
      </c>
      <c r="I32" s="135">
        <v>27090000</v>
      </c>
      <c r="J32" s="136">
        <v>41642</v>
      </c>
      <c r="K32" s="134" t="s">
        <v>61</v>
      </c>
      <c r="L32" s="147" t="s">
        <v>31</v>
      </c>
      <c r="M32" s="135" t="s">
        <v>44</v>
      </c>
      <c r="N32" s="156" t="s">
        <v>55</v>
      </c>
      <c r="O32" s="149">
        <v>904709</v>
      </c>
      <c r="P32" s="141">
        <f t="shared" ref="P32:P51" si="5">O32*S32</f>
        <v>99215817.193999991</v>
      </c>
      <c r="Q32" s="141">
        <f t="shared" ref="Q32" si="6">P32*W32</f>
        <v>15452863527.965498</v>
      </c>
      <c r="R32" s="141" t="s">
        <v>25</v>
      </c>
      <c r="S32" s="140">
        <v>109.666</v>
      </c>
      <c r="T32" s="151">
        <f t="shared" ref="T32" si="7">J32+90</f>
        <v>41732</v>
      </c>
      <c r="U32" s="157" t="s">
        <v>40</v>
      </c>
      <c r="V32" s="141">
        <f t="shared" ref="V32" si="8">P32*0.12%</f>
        <v>119058.98063279998</v>
      </c>
      <c r="W32" s="140">
        <v>155.75</v>
      </c>
      <c r="X32" s="141">
        <f t="shared" ref="X32" si="9">V32*W32</f>
        <v>18543436.233558599</v>
      </c>
      <c r="Y32" s="141" t="s">
        <v>40</v>
      </c>
      <c r="Z32" s="134" t="s">
        <v>40</v>
      </c>
      <c r="AA32" s="222" t="s">
        <v>40</v>
      </c>
    </row>
    <row r="33" spans="1:27" s="93" customFormat="1" ht="160.5" customHeight="1" x14ac:dyDescent="0.55000000000000004">
      <c r="A33" s="213">
        <v>3</v>
      </c>
      <c r="B33" s="143" t="s">
        <v>74</v>
      </c>
      <c r="C33" s="134" t="s">
        <v>57</v>
      </c>
      <c r="D33" s="139" t="s">
        <v>57</v>
      </c>
      <c r="E33" s="134" t="s">
        <v>40</v>
      </c>
      <c r="F33" s="134" t="s">
        <v>40</v>
      </c>
      <c r="G33" s="144" t="s">
        <v>38</v>
      </c>
      <c r="H33" s="135" t="s">
        <v>34</v>
      </c>
      <c r="I33" s="135">
        <v>27090000</v>
      </c>
      <c r="J33" s="136">
        <v>41645</v>
      </c>
      <c r="K33" s="134" t="s">
        <v>144</v>
      </c>
      <c r="L33" s="147" t="s">
        <v>32</v>
      </c>
      <c r="M33" s="135" t="s">
        <v>45</v>
      </c>
      <c r="N33" s="156" t="s">
        <v>42</v>
      </c>
      <c r="O33" s="149">
        <v>170000</v>
      </c>
      <c r="P33" s="141">
        <f t="shared" si="5"/>
        <v>18505690</v>
      </c>
      <c r="Q33" s="141">
        <f t="shared" ref="Q33:Q51" si="10">P33*W33</f>
        <v>2882261217.5</v>
      </c>
      <c r="R33" s="141" t="s">
        <v>25</v>
      </c>
      <c r="S33" s="140">
        <v>108.857</v>
      </c>
      <c r="T33" s="151">
        <f t="shared" ref="T33:T51" si="11">J33+90</f>
        <v>41735</v>
      </c>
      <c r="U33" s="157" t="s">
        <v>40</v>
      </c>
      <c r="V33" s="141">
        <f t="shared" ref="V33:V51" si="12">P33*0.12%</f>
        <v>22206.827999999998</v>
      </c>
      <c r="W33" s="140">
        <v>155.75</v>
      </c>
      <c r="X33" s="141">
        <f t="shared" ref="X33:X51" si="13">V33*W33</f>
        <v>3458713.4609999997</v>
      </c>
      <c r="Y33" s="141" t="s">
        <v>40</v>
      </c>
      <c r="Z33" s="134" t="s">
        <v>40</v>
      </c>
      <c r="AA33" s="222" t="s">
        <v>40</v>
      </c>
    </row>
    <row r="34" spans="1:27" s="93" customFormat="1" ht="160.5" customHeight="1" x14ac:dyDescent="0.55000000000000004">
      <c r="A34" s="213">
        <v>4</v>
      </c>
      <c r="B34" s="143" t="s">
        <v>75</v>
      </c>
      <c r="C34" s="134" t="s">
        <v>57</v>
      </c>
      <c r="D34" s="139" t="s">
        <v>57</v>
      </c>
      <c r="E34" s="134" t="s">
        <v>40</v>
      </c>
      <c r="F34" s="134" t="s">
        <v>40</v>
      </c>
      <c r="G34" s="144" t="s">
        <v>38</v>
      </c>
      <c r="H34" s="135" t="s">
        <v>34</v>
      </c>
      <c r="I34" s="135">
        <v>27090000</v>
      </c>
      <c r="J34" s="136">
        <v>41645</v>
      </c>
      <c r="K34" s="134" t="s">
        <v>144</v>
      </c>
      <c r="L34" s="147" t="s">
        <v>32</v>
      </c>
      <c r="M34" s="135" t="s">
        <v>45</v>
      </c>
      <c r="N34" s="156" t="s">
        <v>42</v>
      </c>
      <c r="O34" s="149">
        <v>300000</v>
      </c>
      <c r="P34" s="141">
        <f t="shared" si="5"/>
        <v>32657100</v>
      </c>
      <c r="Q34" s="141">
        <f t="shared" si="10"/>
        <v>5086343325</v>
      </c>
      <c r="R34" s="141" t="s">
        <v>25</v>
      </c>
      <c r="S34" s="140">
        <v>108.857</v>
      </c>
      <c r="T34" s="151">
        <f t="shared" si="11"/>
        <v>41735</v>
      </c>
      <c r="U34" s="157" t="s">
        <v>40</v>
      </c>
      <c r="V34" s="141">
        <f t="shared" si="12"/>
        <v>39188.519999999997</v>
      </c>
      <c r="W34" s="140">
        <v>155.75</v>
      </c>
      <c r="X34" s="141">
        <f t="shared" si="13"/>
        <v>6103611.9899999993</v>
      </c>
      <c r="Y34" s="141" t="s">
        <v>40</v>
      </c>
      <c r="Z34" s="134" t="s">
        <v>40</v>
      </c>
      <c r="AA34" s="222" t="s">
        <v>40</v>
      </c>
    </row>
    <row r="35" spans="1:27" s="93" customFormat="1" ht="160.5" customHeight="1" x14ac:dyDescent="0.55000000000000004">
      <c r="A35" s="213">
        <v>5</v>
      </c>
      <c r="B35" s="143" t="s">
        <v>76</v>
      </c>
      <c r="C35" s="134" t="s">
        <v>57</v>
      </c>
      <c r="D35" s="139" t="s">
        <v>57</v>
      </c>
      <c r="E35" s="134" t="s">
        <v>40</v>
      </c>
      <c r="F35" s="134" t="s">
        <v>40</v>
      </c>
      <c r="G35" s="144" t="s">
        <v>38</v>
      </c>
      <c r="H35" s="135" t="s">
        <v>34</v>
      </c>
      <c r="I35" s="135">
        <v>27090000</v>
      </c>
      <c r="J35" s="136">
        <v>41645</v>
      </c>
      <c r="K35" s="134" t="s">
        <v>144</v>
      </c>
      <c r="L35" s="147" t="s">
        <v>32</v>
      </c>
      <c r="M35" s="135" t="s">
        <v>45</v>
      </c>
      <c r="N35" s="156" t="s">
        <v>42</v>
      </c>
      <c r="O35" s="149">
        <v>953678</v>
      </c>
      <c r="P35" s="141">
        <f t="shared" si="5"/>
        <v>103814526.046</v>
      </c>
      <c r="Q35" s="141">
        <f t="shared" si="10"/>
        <v>16169112431.664501</v>
      </c>
      <c r="R35" s="141" t="s">
        <v>25</v>
      </c>
      <c r="S35" s="140">
        <v>108.857</v>
      </c>
      <c r="T35" s="151">
        <f t="shared" si="11"/>
        <v>41735</v>
      </c>
      <c r="U35" s="157" t="s">
        <v>40</v>
      </c>
      <c r="V35" s="141">
        <f t="shared" si="12"/>
        <v>124577.43125519999</v>
      </c>
      <c r="W35" s="140">
        <v>155.75</v>
      </c>
      <c r="X35" s="141">
        <f t="shared" si="13"/>
        <v>19402934.917997397</v>
      </c>
      <c r="Y35" s="141" t="s">
        <v>40</v>
      </c>
      <c r="Z35" s="134" t="s">
        <v>40</v>
      </c>
      <c r="AA35" s="222" t="s">
        <v>40</v>
      </c>
    </row>
    <row r="36" spans="1:27" s="93" customFormat="1" ht="160.5" customHeight="1" x14ac:dyDescent="0.55000000000000004">
      <c r="A36" s="213">
        <v>6</v>
      </c>
      <c r="B36" s="143" t="s">
        <v>80</v>
      </c>
      <c r="C36" s="134" t="s">
        <v>57</v>
      </c>
      <c r="D36" s="139" t="s">
        <v>57</v>
      </c>
      <c r="E36" s="134" t="s">
        <v>40</v>
      </c>
      <c r="F36" s="134" t="s">
        <v>40</v>
      </c>
      <c r="G36" s="144" t="s">
        <v>58</v>
      </c>
      <c r="H36" s="135" t="s">
        <v>34</v>
      </c>
      <c r="I36" s="135">
        <v>27090000</v>
      </c>
      <c r="J36" s="136">
        <v>41650</v>
      </c>
      <c r="K36" s="134" t="s">
        <v>147</v>
      </c>
      <c r="L36" s="147" t="s">
        <v>32</v>
      </c>
      <c r="M36" s="135" t="s">
        <v>161</v>
      </c>
      <c r="N36" s="156" t="s">
        <v>165</v>
      </c>
      <c r="O36" s="149">
        <v>75000</v>
      </c>
      <c r="P36" s="141">
        <f t="shared" si="5"/>
        <v>8210850</v>
      </c>
      <c r="Q36" s="141">
        <f t="shared" si="10"/>
        <v>1278839887.5</v>
      </c>
      <c r="R36" s="141" t="s">
        <v>25</v>
      </c>
      <c r="S36" s="140">
        <v>109.47799999999999</v>
      </c>
      <c r="T36" s="151">
        <f t="shared" si="11"/>
        <v>41740</v>
      </c>
      <c r="U36" s="157" t="s">
        <v>40</v>
      </c>
      <c r="V36" s="141">
        <f t="shared" si="12"/>
        <v>9853.0199999999986</v>
      </c>
      <c r="W36" s="140">
        <v>155.75</v>
      </c>
      <c r="X36" s="141">
        <f t="shared" si="13"/>
        <v>1534607.8649999998</v>
      </c>
      <c r="Y36" s="141" t="s">
        <v>40</v>
      </c>
      <c r="Z36" s="134" t="s">
        <v>40</v>
      </c>
      <c r="AA36" s="222" t="s">
        <v>40</v>
      </c>
    </row>
    <row r="37" spans="1:27" s="93" customFormat="1" ht="160.5" customHeight="1" x14ac:dyDescent="0.55000000000000004">
      <c r="A37" s="213">
        <v>7</v>
      </c>
      <c r="B37" s="143" t="s">
        <v>81</v>
      </c>
      <c r="C37" s="134" t="s">
        <v>57</v>
      </c>
      <c r="D37" s="139" t="s">
        <v>57</v>
      </c>
      <c r="E37" s="134" t="s">
        <v>124</v>
      </c>
      <c r="F37" s="134" t="s">
        <v>53</v>
      </c>
      <c r="G37" s="144" t="s">
        <v>49</v>
      </c>
      <c r="H37" s="135" t="s">
        <v>34</v>
      </c>
      <c r="I37" s="135">
        <v>27090000</v>
      </c>
      <c r="J37" s="136">
        <v>41650</v>
      </c>
      <c r="K37" s="134" t="s">
        <v>147</v>
      </c>
      <c r="L37" s="147" t="s">
        <v>32</v>
      </c>
      <c r="M37" s="135" t="s">
        <v>161</v>
      </c>
      <c r="N37" s="156" t="s">
        <v>165</v>
      </c>
      <c r="O37" s="149">
        <v>100000</v>
      </c>
      <c r="P37" s="141">
        <f t="shared" si="5"/>
        <v>10947800</v>
      </c>
      <c r="Q37" s="141">
        <f t="shared" si="10"/>
        <v>1705119850</v>
      </c>
      <c r="R37" s="141" t="s">
        <v>25</v>
      </c>
      <c r="S37" s="140">
        <v>109.47799999999999</v>
      </c>
      <c r="T37" s="151">
        <f t="shared" si="11"/>
        <v>41740</v>
      </c>
      <c r="U37" s="157" t="s">
        <v>53</v>
      </c>
      <c r="V37" s="141">
        <f t="shared" si="12"/>
        <v>13137.359999999999</v>
      </c>
      <c r="W37" s="140">
        <v>155.75</v>
      </c>
      <c r="X37" s="141">
        <f t="shared" si="13"/>
        <v>2046143.8199999998</v>
      </c>
      <c r="Y37" s="141">
        <v>1924699.2</v>
      </c>
      <c r="Z37" s="134" t="s">
        <v>172</v>
      </c>
      <c r="AA37" s="142">
        <v>41647</v>
      </c>
    </row>
    <row r="38" spans="1:27" s="93" customFormat="1" ht="160.5" customHeight="1" x14ac:dyDescent="0.55000000000000004">
      <c r="A38" s="213">
        <v>8</v>
      </c>
      <c r="B38" s="143" t="s">
        <v>82</v>
      </c>
      <c r="C38" s="134" t="s">
        <v>57</v>
      </c>
      <c r="D38" s="139" t="s">
        <v>57</v>
      </c>
      <c r="E38" s="134" t="s">
        <v>125</v>
      </c>
      <c r="F38" s="134" t="s">
        <v>138</v>
      </c>
      <c r="G38" s="144" t="s">
        <v>50</v>
      </c>
      <c r="H38" s="135" t="s">
        <v>34</v>
      </c>
      <c r="I38" s="135">
        <v>27090000</v>
      </c>
      <c r="J38" s="136">
        <v>41650</v>
      </c>
      <c r="K38" s="134" t="s">
        <v>147</v>
      </c>
      <c r="L38" s="147" t="s">
        <v>32</v>
      </c>
      <c r="M38" s="135" t="s">
        <v>161</v>
      </c>
      <c r="N38" s="156" t="s">
        <v>165</v>
      </c>
      <c r="O38" s="149">
        <v>782120</v>
      </c>
      <c r="P38" s="141">
        <f t="shared" si="5"/>
        <v>85624933.359999999</v>
      </c>
      <c r="Q38" s="141">
        <f t="shared" si="10"/>
        <v>13336083370.82</v>
      </c>
      <c r="R38" s="141" t="s">
        <v>25</v>
      </c>
      <c r="S38" s="140">
        <v>109.47799999999999</v>
      </c>
      <c r="T38" s="151">
        <f t="shared" si="11"/>
        <v>41740</v>
      </c>
      <c r="U38" s="157" t="s">
        <v>40</v>
      </c>
      <c r="V38" s="141">
        <f t="shared" si="12"/>
        <v>102749.92003199999</v>
      </c>
      <c r="W38" s="140">
        <v>155.75</v>
      </c>
      <c r="X38" s="141">
        <f t="shared" si="13"/>
        <v>16003300.044984</v>
      </c>
      <c r="Y38" s="141" t="s">
        <v>40</v>
      </c>
      <c r="Z38" s="134" t="s">
        <v>40</v>
      </c>
      <c r="AA38" s="222" t="s">
        <v>40</v>
      </c>
    </row>
    <row r="39" spans="1:27" s="93" customFormat="1" ht="160.5" customHeight="1" x14ac:dyDescent="0.55000000000000004">
      <c r="A39" s="213">
        <v>9</v>
      </c>
      <c r="B39" s="143" t="s">
        <v>83</v>
      </c>
      <c r="C39" s="134" t="s">
        <v>57</v>
      </c>
      <c r="D39" s="139" t="s">
        <v>57</v>
      </c>
      <c r="E39" s="134" t="s">
        <v>40</v>
      </c>
      <c r="F39" s="134" t="s">
        <v>40</v>
      </c>
      <c r="G39" s="144" t="s">
        <v>35</v>
      </c>
      <c r="H39" s="135" t="s">
        <v>33</v>
      </c>
      <c r="I39" s="135">
        <v>27090000</v>
      </c>
      <c r="J39" s="136">
        <v>41651</v>
      </c>
      <c r="K39" s="134" t="s">
        <v>67</v>
      </c>
      <c r="L39" s="147" t="s">
        <v>31</v>
      </c>
      <c r="M39" s="135" t="s">
        <v>44</v>
      </c>
      <c r="N39" s="156" t="s">
        <v>55</v>
      </c>
      <c r="O39" s="149">
        <v>904741</v>
      </c>
      <c r="P39" s="141">
        <f t="shared" si="5"/>
        <v>99060092.089999989</v>
      </c>
      <c r="Q39" s="141">
        <f t="shared" si="10"/>
        <v>15428609343.017498</v>
      </c>
      <c r="R39" s="141" t="s">
        <v>25</v>
      </c>
      <c r="S39" s="140">
        <v>109.49</v>
      </c>
      <c r="T39" s="151">
        <f t="shared" si="11"/>
        <v>41741</v>
      </c>
      <c r="U39" s="157" t="s">
        <v>40</v>
      </c>
      <c r="V39" s="141">
        <f t="shared" si="12"/>
        <v>118872.11050799997</v>
      </c>
      <c r="W39" s="140">
        <v>155.75</v>
      </c>
      <c r="X39" s="141">
        <f t="shared" si="13"/>
        <v>18514331.211620994</v>
      </c>
      <c r="Y39" s="141" t="s">
        <v>40</v>
      </c>
      <c r="Z39" s="134" t="s">
        <v>40</v>
      </c>
      <c r="AA39" s="142" t="s">
        <v>40</v>
      </c>
    </row>
    <row r="40" spans="1:27" s="93" customFormat="1" ht="160.5" customHeight="1" x14ac:dyDescent="0.55000000000000004">
      <c r="A40" s="213">
        <v>10</v>
      </c>
      <c r="B40" s="143" t="s">
        <v>84</v>
      </c>
      <c r="C40" s="134" t="s">
        <v>57</v>
      </c>
      <c r="D40" s="139" t="s">
        <v>57</v>
      </c>
      <c r="E40" s="134" t="s">
        <v>40</v>
      </c>
      <c r="F40" s="134" t="s">
        <v>40</v>
      </c>
      <c r="G40" s="144" t="s">
        <v>38</v>
      </c>
      <c r="H40" s="135" t="s">
        <v>34</v>
      </c>
      <c r="I40" s="135">
        <v>27090000</v>
      </c>
      <c r="J40" s="136">
        <v>41653</v>
      </c>
      <c r="K40" s="134" t="s">
        <v>148</v>
      </c>
      <c r="L40" s="147" t="s">
        <v>32</v>
      </c>
      <c r="M40" s="135" t="s">
        <v>51</v>
      </c>
      <c r="N40" s="156" t="s">
        <v>166</v>
      </c>
      <c r="O40" s="149">
        <v>948282</v>
      </c>
      <c r="P40" s="141">
        <f t="shared" si="5"/>
        <v>104343261.588</v>
      </c>
      <c r="Q40" s="141">
        <f t="shared" si="10"/>
        <v>16251462992.330999</v>
      </c>
      <c r="R40" s="141" t="s">
        <v>25</v>
      </c>
      <c r="S40" s="140">
        <v>110.03400000000001</v>
      </c>
      <c r="T40" s="151">
        <f t="shared" si="11"/>
        <v>41743</v>
      </c>
      <c r="U40" s="157" t="s">
        <v>40</v>
      </c>
      <c r="V40" s="141">
        <f t="shared" si="12"/>
        <v>125211.91390559998</v>
      </c>
      <c r="W40" s="140">
        <v>155.75</v>
      </c>
      <c r="X40" s="141">
        <f t="shared" si="13"/>
        <v>19501755.590797197</v>
      </c>
      <c r="Y40" s="141" t="s">
        <v>40</v>
      </c>
      <c r="Z40" s="134" t="s">
        <v>40</v>
      </c>
      <c r="AA40" s="222" t="s">
        <v>40</v>
      </c>
    </row>
    <row r="41" spans="1:27" s="93" customFormat="1" ht="160.5" customHeight="1" x14ac:dyDescent="0.55000000000000004">
      <c r="A41" s="213">
        <v>11</v>
      </c>
      <c r="B41" s="143" t="s">
        <v>85</v>
      </c>
      <c r="C41" s="134" t="s">
        <v>57</v>
      </c>
      <c r="D41" s="139" t="s">
        <v>57</v>
      </c>
      <c r="E41" s="134" t="s">
        <v>40</v>
      </c>
      <c r="F41" s="134" t="s">
        <v>40</v>
      </c>
      <c r="G41" s="144" t="s">
        <v>35</v>
      </c>
      <c r="H41" s="135" t="s">
        <v>33</v>
      </c>
      <c r="I41" s="131">
        <v>27090000</v>
      </c>
      <c r="J41" s="136">
        <v>41654</v>
      </c>
      <c r="K41" s="134" t="s">
        <v>149</v>
      </c>
      <c r="L41" s="147" t="s">
        <v>31</v>
      </c>
      <c r="M41" s="135" t="s">
        <v>44</v>
      </c>
      <c r="N41" s="156" t="s">
        <v>167</v>
      </c>
      <c r="O41" s="149">
        <v>904753</v>
      </c>
      <c r="P41" s="141">
        <f t="shared" si="5"/>
        <v>99584353.203999996</v>
      </c>
      <c r="Q41" s="141">
        <f t="shared" si="10"/>
        <v>15510263011.522999</v>
      </c>
      <c r="R41" s="141" t="s">
        <v>25</v>
      </c>
      <c r="S41" s="140">
        <v>110.068</v>
      </c>
      <c r="T41" s="151">
        <f t="shared" si="11"/>
        <v>41744</v>
      </c>
      <c r="U41" s="157" t="s">
        <v>40</v>
      </c>
      <c r="V41" s="141">
        <f t="shared" si="12"/>
        <v>119501.22384479998</v>
      </c>
      <c r="W41" s="140">
        <v>155.75</v>
      </c>
      <c r="X41" s="141">
        <f t="shared" si="13"/>
        <v>18612315.613827597</v>
      </c>
      <c r="Y41" s="141" t="s">
        <v>40</v>
      </c>
      <c r="Z41" s="134" t="s">
        <v>40</v>
      </c>
      <c r="AA41" s="222" t="s">
        <v>40</v>
      </c>
    </row>
    <row r="42" spans="1:27" s="93" customFormat="1" ht="160.5" customHeight="1" x14ac:dyDescent="0.55000000000000004">
      <c r="A42" s="410">
        <v>12</v>
      </c>
      <c r="B42" s="143" t="s">
        <v>90</v>
      </c>
      <c r="C42" s="134" t="s">
        <v>57</v>
      </c>
      <c r="D42" s="139" t="s">
        <v>57</v>
      </c>
      <c r="E42" s="407" t="s">
        <v>130</v>
      </c>
      <c r="F42" s="134" t="s">
        <v>41</v>
      </c>
      <c r="G42" s="144" t="s">
        <v>140</v>
      </c>
      <c r="H42" s="135" t="s">
        <v>34</v>
      </c>
      <c r="I42" s="131">
        <v>27090000</v>
      </c>
      <c r="J42" s="136">
        <v>41657</v>
      </c>
      <c r="K42" s="134" t="s">
        <v>151</v>
      </c>
      <c r="L42" s="147" t="s">
        <v>32</v>
      </c>
      <c r="M42" s="135" t="s">
        <v>43</v>
      </c>
      <c r="N42" s="156" t="s">
        <v>56</v>
      </c>
      <c r="O42" s="149">
        <v>500000</v>
      </c>
      <c r="P42" s="141">
        <f t="shared" si="5"/>
        <v>55213500</v>
      </c>
      <c r="Q42" s="141">
        <f t="shared" si="10"/>
        <v>8599502625</v>
      </c>
      <c r="R42" s="141" t="s">
        <v>25</v>
      </c>
      <c r="S42" s="140">
        <v>110.42700000000001</v>
      </c>
      <c r="T42" s="151">
        <f t="shared" si="11"/>
        <v>41747</v>
      </c>
      <c r="U42" s="157" t="s">
        <v>40</v>
      </c>
      <c r="V42" s="141">
        <f t="shared" si="12"/>
        <v>66256.2</v>
      </c>
      <c r="W42" s="140">
        <v>155.75</v>
      </c>
      <c r="X42" s="141">
        <f t="shared" si="13"/>
        <v>10319403.15</v>
      </c>
      <c r="Y42" s="141" t="s">
        <v>40</v>
      </c>
      <c r="Z42" s="134" t="s">
        <v>40</v>
      </c>
      <c r="AA42" s="222" t="s">
        <v>40</v>
      </c>
    </row>
    <row r="43" spans="1:27" s="93" customFormat="1" ht="160.5" customHeight="1" x14ac:dyDescent="0.55000000000000004">
      <c r="A43" s="411"/>
      <c r="B43" s="143" t="s">
        <v>91</v>
      </c>
      <c r="C43" s="134" t="s">
        <v>57</v>
      </c>
      <c r="D43" s="139" t="s">
        <v>57</v>
      </c>
      <c r="E43" s="408"/>
      <c r="F43" s="134" t="s">
        <v>41</v>
      </c>
      <c r="G43" s="144" t="s">
        <v>140</v>
      </c>
      <c r="H43" s="135" t="s">
        <v>34</v>
      </c>
      <c r="I43" s="131">
        <v>27090000</v>
      </c>
      <c r="J43" s="136">
        <v>41657</v>
      </c>
      <c r="K43" s="134" t="s">
        <v>151</v>
      </c>
      <c r="L43" s="147" t="s">
        <v>32</v>
      </c>
      <c r="M43" s="135" t="s">
        <v>43</v>
      </c>
      <c r="N43" s="156" t="s">
        <v>56</v>
      </c>
      <c r="O43" s="149">
        <v>310000</v>
      </c>
      <c r="P43" s="141">
        <f t="shared" si="5"/>
        <v>34232370</v>
      </c>
      <c r="Q43" s="141">
        <f t="shared" si="10"/>
        <v>5331691627.5</v>
      </c>
      <c r="R43" s="141" t="s">
        <v>25</v>
      </c>
      <c r="S43" s="140">
        <v>110.42700000000001</v>
      </c>
      <c r="T43" s="151">
        <f t="shared" si="11"/>
        <v>41747</v>
      </c>
      <c r="U43" s="157" t="s">
        <v>40</v>
      </c>
      <c r="V43" s="141">
        <f t="shared" si="12"/>
        <v>41078.843999999997</v>
      </c>
      <c r="W43" s="140">
        <v>155.75</v>
      </c>
      <c r="X43" s="141">
        <f t="shared" si="13"/>
        <v>6398029.9529999997</v>
      </c>
      <c r="Y43" s="141" t="s">
        <v>40</v>
      </c>
      <c r="Z43" s="134" t="s">
        <v>40</v>
      </c>
      <c r="AA43" s="222" t="s">
        <v>40</v>
      </c>
    </row>
    <row r="44" spans="1:27" s="93" customFormat="1" ht="160.5" customHeight="1" x14ac:dyDescent="0.55000000000000004">
      <c r="A44" s="412"/>
      <c r="B44" s="143" t="s">
        <v>92</v>
      </c>
      <c r="C44" s="134" t="s">
        <v>57</v>
      </c>
      <c r="D44" s="139" t="s">
        <v>57</v>
      </c>
      <c r="E44" s="409"/>
      <c r="F44" s="134" t="s">
        <v>41</v>
      </c>
      <c r="G44" s="144" t="s">
        <v>140</v>
      </c>
      <c r="H44" s="135" t="s">
        <v>34</v>
      </c>
      <c r="I44" s="131">
        <v>27090000</v>
      </c>
      <c r="J44" s="136">
        <v>41657</v>
      </c>
      <c r="K44" s="134" t="s">
        <v>151</v>
      </c>
      <c r="L44" s="147" t="s">
        <v>32</v>
      </c>
      <c r="M44" s="135" t="s">
        <v>43</v>
      </c>
      <c r="N44" s="156" t="s">
        <v>56</v>
      </c>
      <c r="O44" s="149">
        <v>238469</v>
      </c>
      <c r="P44" s="141">
        <f t="shared" si="5"/>
        <v>26333416.263</v>
      </c>
      <c r="Q44" s="141">
        <f t="shared" si="10"/>
        <v>4101429582.9622502</v>
      </c>
      <c r="R44" s="141" t="s">
        <v>25</v>
      </c>
      <c r="S44" s="140">
        <v>110.42700000000001</v>
      </c>
      <c r="T44" s="151">
        <f t="shared" si="11"/>
        <v>41747</v>
      </c>
      <c r="U44" s="157" t="s">
        <v>40</v>
      </c>
      <c r="V44" s="141">
        <f t="shared" si="12"/>
        <v>31600.099515599999</v>
      </c>
      <c r="W44" s="140">
        <v>155.75</v>
      </c>
      <c r="X44" s="141">
        <f t="shared" si="13"/>
        <v>4921715.4995547002</v>
      </c>
      <c r="Y44" s="141" t="s">
        <v>40</v>
      </c>
      <c r="Z44" s="134" t="s">
        <v>40</v>
      </c>
      <c r="AA44" s="222" t="s">
        <v>40</v>
      </c>
    </row>
    <row r="45" spans="1:27" s="93" customFormat="1" ht="160.5" customHeight="1" x14ac:dyDescent="0.55000000000000004">
      <c r="A45" s="213">
        <v>13</v>
      </c>
      <c r="B45" s="143" t="s">
        <v>94</v>
      </c>
      <c r="C45" s="134" t="s">
        <v>57</v>
      </c>
      <c r="D45" s="139" t="s">
        <v>57</v>
      </c>
      <c r="E45" s="134" t="s">
        <v>40</v>
      </c>
      <c r="F45" s="134" t="s">
        <v>40</v>
      </c>
      <c r="G45" s="144" t="s">
        <v>35</v>
      </c>
      <c r="H45" s="135" t="s">
        <v>33</v>
      </c>
      <c r="I45" s="131">
        <v>27090000</v>
      </c>
      <c r="J45" s="136">
        <v>41660</v>
      </c>
      <c r="K45" s="134" t="s">
        <v>63</v>
      </c>
      <c r="L45" s="147" t="s">
        <v>31</v>
      </c>
      <c r="M45" s="135" t="s">
        <v>48</v>
      </c>
      <c r="N45" s="156" t="s">
        <v>169</v>
      </c>
      <c r="O45" s="149">
        <v>458189</v>
      </c>
      <c r="P45" s="141">
        <f t="shared" si="5"/>
        <v>51092197.200999998</v>
      </c>
      <c r="Q45" s="141">
        <f t="shared" si="10"/>
        <v>7957609714.0557499</v>
      </c>
      <c r="R45" s="141" t="s">
        <v>25</v>
      </c>
      <c r="S45" s="140">
        <v>111.509</v>
      </c>
      <c r="T45" s="151">
        <f t="shared" si="11"/>
        <v>41750</v>
      </c>
      <c r="U45" s="157" t="s">
        <v>40</v>
      </c>
      <c r="V45" s="141">
        <f t="shared" si="12"/>
        <v>61310.636641199992</v>
      </c>
      <c r="W45" s="140">
        <v>155.75</v>
      </c>
      <c r="X45" s="141">
        <f t="shared" si="13"/>
        <v>9549131.6568668988</v>
      </c>
      <c r="Y45" s="141" t="s">
        <v>40</v>
      </c>
      <c r="Z45" s="134" t="s">
        <v>40</v>
      </c>
      <c r="AA45" s="222" t="s">
        <v>40</v>
      </c>
    </row>
    <row r="46" spans="1:27" s="93" customFormat="1" ht="160.5" customHeight="1" x14ac:dyDescent="0.55000000000000004">
      <c r="A46" s="213">
        <v>14</v>
      </c>
      <c r="B46" s="143" t="s">
        <v>95</v>
      </c>
      <c r="C46" s="134" t="s">
        <v>57</v>
      </c>
      <c r="D46" s="139" t="s">
        <v>57</v>
      </c>
      <c r="E46" s="134" t="s">
        <v>40</v>
      </c>
      <c r="F46" s="134" t="s">
        <v>40</v>
      </c>
      <c r="G46" s="144" t="s">
        <v>35</v>
      </c>
      <c r="H46" s="135" t="s">
        <v>33</v>
      </c>
      <c r="I46" s="131">
        <v>27090000</v>
      </c>
      <c r="J46" s="136">
        <v>41660</v>
      </c>
      <c r="K46" s="134" t="s">
        <v>63</v>
      </c>
      <c r="L46" s="147" t="s">
        <v>31</v>
      </c>
      <c r="M46" s="135" t="s">
        <v>51</v>
      </c>
      <c r="N46" s="156" t="s">
        <v>166</v>
      </c>
      <c r="O46" s="149">
        <v>400000</v>
      </c>
      <c r="P46" s="141">
        <f t="shared" si="5"/>
        <v>44603600</v>
      </c>
      <c r="Q46" s="141">
        <f t="shared" si="10"/>
        <v>6947010700</v>
      </c>
      <c r="R46" s="141" t="s">
        <v>25</v>
      </c>
      <c r="S46" s="140">
        <v>111.509</v>
      </c>
      <c r="T46" s="151">
        <f t="shared" si="11"/>
        <v>41750</v>
      </c>
      <c r="U46" s="157" t="s">
        <v>40</v>
      </c>
      <c r="V46" s="141">
        <f t="shared" si="12"/>
        <v>53524.319999999992</v>
      </c>
      <c r="W46" s="140">
        <v>155.75</v>
      </c>
      <c r="X46" s="141">
        <f t="shared" si="13"/>
        <v>8336412.8399999989</v>
      </c>
      <c r="Y46" s="141" t="s">
        <v>40</v>
      </c>
      <c r="Z46" s="134" t="s">
        <v>40</v>
      </c>
      <c r="AA46" s="222" t="s">
        <v>40</v>
      </c>
    </row>
    <row r="47" spans="1:27" s="93" customFormat="1" ht="160.5" customHeight="1" x14ac:dyDescent="0.55000000000000004">
      <c r="A47" s="213">
        <v>15</v>
      </c>
      <c r="B47" s="143" t="s">
        <v>96</v>
      </c>
      <c r="C47" s="134" t="s">
        <v>57</v>
      </c>
      <c r="D47" s="139" t="s">
        <v>57</v>
      </c>
      <c r="E47" s="134" t="s">
        <v>40</v>
      </c>
      <c r="F47" s="134" t="s">
        <v>40</v>
      </c>
      <c r="G47" s="144" t="s">
        <v>38</v>
      </c>
      <c r="H47" s="135" t="s">
        <v>34</v>
      </c>
      <c r="I47" s="131">
        <v>27090000</v>
      </c>
      <c r="J47" s="136">
        <v>41661</v>
      </c>
      <c r="K47" s="134" t="s">
        <v>60</v>
      </c>
      <c r="L47" s="147" t="s">
        <v>32</v>
      </c>
      <c r="M47" s="135" t="s">
        <v>59</v>
      </c>
      <c r="N47" s="156" t="s">
        <v>170</v>
      </c>
      <c r="O47" s="149">
        <v>448143</v>
      </c>
      <c r="P47" s="141">
        <f t="shared" si="5"/>
        <v>50040095.523000002</v>
      </c>
      <c r="Q47" s="141">
        <f t="shared" si="10"/>
        <v>7793744877.7072506</v>
      </c>
      <c r="R47" s="141" t="s">
        <v>25</v>
      </c>
      <c r="S47" s="140">
        <v>111.661</v>
      </c>
      <c r="T47" s="151">
        <f t="shared" si="11"/>
        <v>41751</v>
      </c>
      <c r="U47" s="157" t="s">
        <v>40</v>
      </c>
      <c r="V47" s="141">
        <f t="shared" si="12"/>
        <v>60048.1146276</v>
      </c>
      <c r="W47" s="140">
        <v>155.75</v>
      </c>
      <c r="X47" s="141">
        <f t="shared" si="13"/>
        <v>9352493.8532487005</v>
      </c>
      <c r="Y47" s="141" t="s">
        <v>40</v>
      </c>
      <c r="Z47" s="134" t="s">
        <v>40</v>
      </c>
      <c r="AA47" s="222" t="s">
        <v>40</v>
      </c>
    </row>
    <row r="48" spans="1:27" s="93" customFormat="1" ht="160.5" customHeight="1" x14ac:dyDescent="0.55000000000000004">
      <c r="A48" s="213">
        <v>16</v>
      </c>
      <c r="B48" s="143" t="s">
        <v>97</v>
      </c>
      <c r="C48" s="134" t="s">
        <v>57</v>
      </c>
      <c r="D48" s="139" t="s">
        <v>57</v>
      </c>
      <c r="E48" s="134" t="s">
        <v>40</v>
      </c>
      <c r="F48" s="134" t="s">
        <v>40</v>
      </c>
      <c r="G48" s="144" t="s">
        <v>38</v>
      </c>
      <c r="H48" s="135" t="s">
        <v>33</v>
      </c>
      <c r="I48" s="131">
        <v>27090000</v>
      </c>
      <c r="J48" s="136">
        <v>41662</v>
      </c>
      <c r="K48" s="134" t="s">
        <v>153</v>
      </c>
      <c r="L48" s="147" t="s">
        <v>31</v>
      </c>
      <c r="M48" s="135" t="s">
        <v>36</v>
      </c>
      <c r="N48" s="156" t="s">
        <v>52</v>
      </c>
      <c r="O48" s="149">
        <v>904784</v>
      </c>
      <c r="P48" s="141">
        <f t="shared" si="5"/>
        <v>101166613.392</v>
      </c>
      <c r="Q48" s="141">
        <f t="shared" si="10"/>
        <v>15756700035.804001</v>
      </c>
      <c r="R48" s="141" t="s">
        <v>25</v>
      </c>
      <c r="S48" s="140">
        <v>111.813</v>
      </c>
      <c r="T48" s="151">
        <f t="shared" si="11"/>
        <v>41752</v>
      </c>
      <c r="U48" s="157" t="s">
        <v>40</v>
      </c>
      <c r="V48" s="141">
        <f t="shared" si="12"/>
        <v>121399.9360704</v>
      </c>
      <c r="W48" s="140">
        <v>155.75</v>
      </c>
      <c r="X48" s="141">
        <f t="shared" si="13"/>
        <v>18908040.042964801</v>
      </c>
      <c r="Y48" s="141" t="s">
        <v>40</v>
      </c>
      <c r="Z48" s="134" t="s">
        <v>40</v>
      </c>
      <c r="AA48" s="222" t="s">
        <v>40</v>
      </c>
    </row>
    <row r="49" spans="1:27" s="93" customFormat="1" ht="160.5" customHeight="1" x14ac:dyDescent="0.55000000000000004">
      <c r="A49" s="213">
        <v>17</v>
      </c>
      <c r="B49" s="143" t="s">
        <v>98</v>
      </c>
      <c r="C49" s="134" t="s">
        <v>57</v>
      </c>
      <c r="D49" s="139" t="s">
        <v>57</v>
      </c>
      <c r="E49" s="134" t="s">
        <v>40</v>
      </c>
      <c r="F49" s="134" t="s">
        <v>40</v>
      </c>
      <c r="G49" s="144" t="s">
        <v>35</v>
      </c>
      <c r="H49" s="135" t="s">
        <v>33</v>
      </c>
      <c r="I49" s="131">
        <v>27090000</v>
      </c>
      <c r="J49" s="136">
        <v>41662</v>
      </c>
      <c r="K49" s="134" t="s">
        <v>153</v>
      </c>
      <c r="L49" s="147" t="s">
        <v>31</v>
      </c>
      <c r="M49" s="135" t="s">
        <v>36</v>
      </c>
      <c r="N49" s="156" t="s">
        <v>52</v>
      </c>
      <c r="O49" s="149">
        <v>50000</v>
      </c>
      <c r="P49" s="141">
        <f t="shared" si="5"/>
        <v>5590650</v>
      </c>
      <c r="Q49" s="141">
        <f t="shared" si="10"/>
        <v>870743737.5</v>
      </c>
      <c r="R49" s="141" t="s">
        <v>25</v>
      </c>
      <c r="S49" s="140">
        <v>111.813</v>
      </c>
      <c r="T49" s="151">
        <f t="shared" si="11"/>
        <v>41752</v>
      </c>
      <c r="U49" s="157" t="s">
        <v>40</v>
      </c>
      <c r="V49" s="141">
        <f t="shared" si="12"/>
        <v>6708.78</v>
      </c>
      <c r="W49" s="140">
        <v>155.75</v>
      </c>
      <c r="X49" s="141">
        <f t="shared" si="13"/>
        <v>1044892.485</v>
      </c>
      <c r="Y49" s="141" t="s">
        <v>40</v>
      </c>
      <c r="Z49" s="134" t="s">
        <v>40</v>
      </c>
      <c r="AA49" s="222" t="s">
        <v>40</v>
      </c>
    </row>
    <row r="50" spans="1:27" s="93" customFormat="1" ht="160.5" customHeight="1" x14ac:dyDescent="0.55000000000000004">
      <c r="A50" s="213">
        <v>18</v>
      </c>
      <c r="B50" s="143" t="s">
        <v>102</v>
      </c>
      <c r="C50" s="134" t="s">
        <v>57</v>
      </c>
      <c r="D50" s="139" t="s">
        <v>57</v>
      </c>
      <c r="E50" s="134" t="s">
        <v>135</v>
      </c>
      <c r="F50" s="134" t="s">
        <v>138</v>
      </c>
      <c r="G50" s="144" t="s">
        <v>50</v>
      </c>
      <c r="H50" s="135" t="s">
        <v>34</v>
      </c>
      <c r="I50" s="131">
        <v>27090000</v>
      </c>
      <c r="J50" s="136">
        <v>41664</v>
      </c>
      <c r="K50" s="134" t="s">
        <v>155</v>
      </c>
      <c r="L50" s="147" t="s">
        <v>32</v>
      </c>
      <c r="M50" s="135" t="s">
        <v>44</v>
      </c>
      <c r="N50" s="156" t="s">
        <v>55</v>
      </c>
      <c r="O50" s="149">
        <v>50000</v>
      </c>
      <c r="P50" s="141">
        <f t="shared" si="5"/>
        <v>5565250</v>
      </c>
      <c r="Q50" s="141">
        <f t="shared" si="10"/>
        <v>866787687.5</v>
      </c>
      <c r="R50" s="141" t="s">
        <v>25</v>
      </c>
      <c r="S50" s="140">
        <v>111.30500000000001</v>
      </c>
      <c r="T50" s="151">
        <f t="shared" si="11"/>
        <v>41754</v>
      </c>
      <c r="U50" s="157" t="s">
        <v>40</v>
      </c>
      <c r="V50" s="141">
        <f t="shared" si="12"/>
        <v>6678.2999999999993</v>
      </c>
      <c r="W50" s="140">
        <v>155.75</v>
      </c>
      <c r="X50" s="141">
        <f t="shared" si="13"/>
        <v>1040145.2249999999</v>
      </c>
      <c r="Y50" s="141" t="s">
        <v>40</v>
      </c>
      <c r="Z50" s="134" t="s">
        <v>40</v>
      </c>
      <c r="AA50" s="222" t="s">
        <v>40</v>
      </c>
    </row>
    <row r="51" spans="1:27" s="158" customFormat="1" ht="160.5" customHeight="1" x14ac:dyDescent="0.55000000000000004">
      <c r="A51" s="213">
        <v>19</v>
      </c>
      <c r="B51" s="143" t="s">
        <v>104</v>
      </c>
      <c r="C51" s="134" t="s">
        <v>57</v>
      </c>
      <c r="D51" s="139" t="s">
        <v>57</v>
      </c>
      <c r="E51" s="134" t="s">
        <v>40</v>
      </c>
      <c r="F51" s="134" t="s">
        <v>40</v>
      </c>
      <c r="G51" s="144" t="s">
        <v>38</v>
      </c>
      <c r="H51" s="135" t="s">
        <v>34</v>
      </c>
      <c r="I51" s="131">
        <v>27090000</v>
      </c>
      <c r="J51" s="136">
        <v>41667</v>
      </c>
      <c r="K51" s="134" t="s">
        <v>157</v>
      </c>
      <c r="L51" s="147" t="s">
        <v>32</v>
      </c>
      <c r="M51" s="135" t="s">
        <v>162</v>
      </c>
      <c r="N51" s="156" t="s">
        <v>171</v>
      </c>
      <c r="O51" s="149">
        <v>905624</v>
      </c>
      <c r="P51" s="141">
        <f t="shared" si="5"/>
        <v>100490755.912</v>
      </c>
      <c r="Q51" s="141">
        <f t="shared" si="10"/>
        <v>15651435233.294001</v>
      </c>
      <c r="R51" s="141" t="s">
        <v>25</v>
      </c>
      <c r="S51" s="140">
        <v>110.96299999999999</v>
      </c>
      <c r="T51" s="151">
        <f t="shared" si="11"/>
        <v>41757</v>
      </c>
      <c r="U51" s="157" t="s">
        <v>40</v>
      </c>
      <c r="V51" s="141">
        <f t="shared" si="12"/>
        <v>120588.90709439998</v>
      </c>
      <c r="W51" s="140">
        <v>155.75</v>
      </c>
      <c r="X51" s="141">
        <f t="shared" si="13"/>
        <v>18781722.279952798</v>
      </c>
      <c r="Y51" s="141" t="s">
        <v>40</v>
      </c>
      <c r="Z51" s="134" t="s">
        <v>40</v>
      </c>
      <c r="AA51" s="222" t="s">
        <v>40</v>
      </c>
    </row>
    <row r="52" spans="1:27" s="216" customFormat="1" ht="160.5" customHeight="1" x14ac:dyDescent="0.6">
      <c r="A52" s="213"/>
      <c r="B52" s="143"/>
      <c r="C52" s="152"/>
      <c r="D52" s="139"/>
      <c r="E52" s="134"/>
      <c r="F52" s="134"/>
      <c r="G52" s="144"/>
      <c r="H52" s="135"/>
      <c r="I52" s="135"/>
      <c r="J52" s="136"/>
      <c r="K52" s="134"/>
      <c r="L52" s="155"/>
      <c r="M52" s="135"/>
      <c r="N52" s="156"/>
      <c r="O52" s="149"/>
      <c r="P52" s="141"/>
      <c r="Q52" s="141"/>
      <c r="R52" s="141"/>
      <c r="S52" s="140"/>
      <c r="T52" s="151"/>
      <c r="U52" s="159"/>
      <c r="V52" s="141"/>
      <c r="W52" s="140"/>
      <c r="X52" s="141"/>
      <c r="Y52" s="141"/>
      <c r="Z52" s="134"/>
      <c r="AA52" s="222"/>
    </row>
    <row r="53" spans="1:27" ht="54" customHeight="1" thickBot="1" x14ac:dyDescent="0.65">
      <c r="A53" s="223"/>
      <c r="B53" s="164" t="s">
        <v>28</v>
      </c>
      <c r="C53" s="224"/>
      <c r="D53" s="162"/>
      <c r="E53" s="161"/>
      <c r="F53" s="161"/>
      <c r="G53" s="163"/>
      <c r="H53" s="164"/>
      <c r="I53" s="164"/>
      <c r="J53" s="217"/>
      <c r="K53" s="161"/>
      <c r="L53" s="226"/>
      <c r="M53" s="164"/>
      <c r="N53" s="165"/>
      <c r="O53" s="218">
        <f>SUM(O31:O52)</f>
        <v>11291513</v>
      </c>
      <c r="P53" s="166">
        <f>SUM(P31:P52)</f>
        <v>1246112045.809</v>
      </c>
      <c r="Q53" s="166">
        <f>SUM(Q31:Q52)</f>
        <v>194081951134.75177</v>
      </c>
      <c r="R53" s="166"/>
      <c r="S53" s="167"/>
      <c r="T53" s="168"/>
      <c r="U53" s="227"/>
      <c r="V53" s="166">
        <f>SUM(V31:V52)</f>
        <v>1495334.4549707999</v>
      </c>
      <c r="W53" s="167"/>
      <c r="X53" s="166">
        <f>SUM(X31:X52)</f>
        <v>232898341.36170214</v>
      </c>
      <c r="Y53" s="166">
        <f>SUM(Y31:Y51)</f>
        <v>1924699.2</v>
      </c>
      <c r="Z53" s="161"/>
      <c r="AA53" s="225"/>
    </row>
    <row r="54" spans="1:27" x14ac:dyDescent="0.2">
      <c r="A54" s="8"/>
      <c r="B54" s="8"/>
      <c r="C54" s="6"/>
      <c r="D54" s="17"/>
      <c r="E54" s="18"/>
      <c r="F54" s="6"/>
      <c r="G54" s="19"/>
      <c r="H54" s="6"/>
      <c r="I54" s="6"/>
      <c r="J54" s="20"/>
      <c r="K54" s="8"/>
      <c r="L54" s="8"/>
      <c r="M54" s="6"/>
      <c r="N54" s="6"/>
      <c r="O54" s="21"/>
      <c r="P54" s="22"/>
      <c r="Q54" s="22"/>
      <c r="R54" s="22"/>
      <c r="S54" s="27"/>
      <c r="V54" s="22"/>
      <c r="W54" s="27"/>
      <c r="X54" s="22"/>
      <c r="Y54" s="22"/>
      <c r="Z54" s="6"/>
      <c r="AA54" s="6"/>
    </row>
    <row r="57" spans="1:27" ht="23.25" x14ac:dyDescent="0.35">
      <c r="O57" s="29"/>
      <c r="P57" s="30"/>
      <c r="Q57" s="30"/>
    </row>
    <row r="58" spans="1:27" x14ac:dyDescent="0.2">
      <c r="O58" s="24"/>
      <c r="P58" s="31"/>
      <c r="Q58" s="31"/>
    </row>
    <row r="59" spans="1:27" x14ac:dyDescent="0.2">
      <c r="O59" s="24"/>
      <c r="P59" s="24"/>
      <c r="Q59" s="24"/>
    </row>
    <row r="65" spans="1:27" s="16" customFormat="1" ht="15.75" customHeight="1" x14ac:dyDescent="0.2">
      <c r="A65" s="5"/>
      <c r="B65" s="5"/>
      <c r="C65" s="5"/>
      <c r="D65" s="14"/>
      <c r="E65" s="12"/>
      <c r="F65" s="5"/>
      <c r="G65" s="13"/>
      <c r="H65" s="5"/>
      <c r="I65" s="5"/>
      <c r="J65" s="14"/>
      <c r="K65" s="5"/>
      <c r="L65" s="5"/>
      <c r="M65" s="5"/>
      <c r="N65" s="5"/>
      <c r="O65" s="15"/>
      <c r="S65" s="26"/>
      <c r="T65" s="17"/>
      <c r="U65" s="5"/>
      <c r="W65" s="26"/>
      <c r="Z65" s="5"/>
      <c r="AA65" s="5"/>
    </row>
    <row r="66" spans="1:27" x14ac:dyDescent="0.2">
      <c r="N66" s="23"/>
      <c r="O66" s="24"/>
    </row>
  </sheetData>
  <mergeCells count="2">
    <mergeCell ref="E42:E44"/>
    <mergeCell ref="A42:A44"/>
  </mergeCells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JANUARY 2014</vt:lpstr>
      <vt:lpstr>CID JANUARY 2014 </vt:lpstr>
      <vt:lpstr>NCI JANUARY 2014</vt:lpstr>
      <vt:lpstr>'CID JANUARY 2014 '!Print_Area</vt:lpstr>
      <vt:lpstr>'CIR JANUARY 2014'!Print_Area</vt:lpstr>
      <vt:lpstr>'NCI JANUARY 2014'!Print_Area</vt:lpstr>
      <vt:lpstr>'CID JANUARY 2014 '!Print_Titles</vt:lpstr>
      <vt:lpstr>'CIR JANUARY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2013-11-05T10:21:15Z</cp:lastPrinted>
  <dcterms:created xsi:type="dcterms:W3CDTF">2012-08-07T13:29:00Z</dcterms:created>
  <dcterms:modified xsi:type="dcterms:W3CDTF">2014-02-10T08:01:07Z</dcterms:modified>
</cp:coreProperties>
</file>