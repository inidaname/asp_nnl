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30" windowWidth="19335" windowHeight="7080" activeTab="1"/>
  </bookViews>
  <sheets>
    <sheet name="COMPREHENSIVE (JUN'14)" sheetId="3" r:id="rId1"/>
    <sheet name="COMPLIANT (JUN'14)" sheetId="2" r:id="rId2"/>
    <sheet name="NON-COMPLIANT (JUN'14)" sheetId="5" r:id="rId3"/>
  </sheets>
  <calcPr calcId="125725"/>
</workbook>
</file>

<file path=xl/calcChain.xml><?xml version="1.0" encoding="utf-8"?>
<calcChain xmlns="http://schemas.openxmlformats.org/spreadsheetml/2006/main">
  <c r="P20" i="5"/>
  <c r="T19"/>
  <c r="Q19"/>
  <c r="V19" s="1"/>
  <c r="X19" s="1"/>
  <c r="Y20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T5"/>
  <c r="Q5"/>
  <c r="P27" i="3"/>
  <c r="T26"/>
  <c r="Q26"/>
  <c r="V26" s="1"/>
  <c r="X26" s="1"/>
  <c r="T25"/>
  <c r="Q25"/>
  <c r="V25" s="1"/>
  <c r="X25" s="1"/>
  <c r="Y25" s="1"/>
  <c r="T24"/>
  <c r="Q24"/>
  <c r="V24" s="1"/>
  <c r="X24" s="1"/>
  <c r="Y24" s="1"/>
  <c r="T23"/>
  <c r="Q23"/>
  <c r="V23" s="1"/>
  <c r="X23" s="1"/>
  <c r="Y23" s="1"/>
  <c r="T22"/>
  <c r="Q22"/>
  <c r="V22" s="1"/>
  <c r="X22" s="1"/>
  <c r="T21"/>
  <c r="Q21"/>
  <c r="V21" s="1"/>
  <c r="X21" s="1"/>
  <c r="T20"/>
  <c r="Q20"/>
  <c r="V20" s="1"/>
  <c r="X20" s="1"/>
  <c r="T19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Y15" s="1"/>
  <c r="T14"/>
  <c r="Q14"/>
  <c r="V14" s="1"/>
  <c r="X14" s="1"/>
  <c r="Y14" s="1"/>
  <c r="T13"/>
  <c r="Q13"/>
  <c r="V13" s="1"/>
  <c r="X13" s="1"/>
  <c r="Y13" s="1"/>
  <c r="T12"/>
  <c r="Q12"/>
  <c r="V12" s="1"/>
  <c r="X12" s="1"/>
  <c r="Y12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T5"/>
  <c r="Q5"/>
  <c r="V5" s="1"/>
  <c r="X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Q27"/>
  <c r="P23" i="2"/>
  <c r="T22"/>
  <c r="Q22"/>
  <c r="V22" s="1"/>
  <c r="X22" s="1"/>
  <c r="Y22" s="1"/>
  <c r="T21"/>
  <c r="Q21"/>
  <c r="V21" s="1"/>
  <c r="X21" s="1"/>
  <c r="Y21" s="1"/>
  <c r="T20"/>
  <c r="Q20"/>
  <c r="V20" s="1"/>
  <c r="X20" s="1"/>
  <c r="Y20" s="1"/>
  <c r="T19"/>
  <c r="Q19"/>
  <c r="V19" s="1"/>
  <c r="X19" s="1"/>
  <c r="Y19" s="1"/>
  <c r="T18"/>
  <c r="Q18"/>
  <c r="V18" s="1"/>
  <c r="X18" s="1"/>
  <c r="Y18" s="1"/>
  <c r="T17"/>
  <c r="Q17"/>
  <c r="V17" s="1"/>
  <c r="X17" s="1"/>
  <c r="Y17" s="1"/>
  <c r="T16"/>
  <c r="Q16"/>
  <c r="V16" s="1"/>
  <c r="X16" s="1"/>
  <c r="Y16" s="1"/>
  <c r="Y23" s="1"/>
  <c r="Q20" i="5" l="1"/>
  <c r="V5"/>
  <c r="Y27" i="3"/>
  <c r="T15" i="2"/>
  <c r="Q15"/>
  <c r="V15" s="1"/>
  <c r="X15" s="1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X5" i="5" l="1"/>
  <c r="X20" s="1"/>
  <c r="V20"/>
  <c r="V27" i="3"/>
  <c r="X27"/>
  <c r="T10" i="2"/>
  <c r="Q10"/>
  <c r="V10" s="1"/>
  <c r="X10" s="1"/>
  <c r="T9" l="1"/>
  <c r="Q9"/>
  <c r="V9" l="1"/>
  <c r="X9" s="1"/>
  <c r="T8"/>
  <c r="Q8"/>
  <c r="V8" s="1"/>
  <c r="X8" s="1"/>
  <c r="T7"/>
  <c r="Q7"/>
  <c r="V7" s="1"/>
  <c r="T6"/>
  <c r="Q6"/>
  <c r="T5"/>
  <c r="Q5"/>
  <c r="Q23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X7" l="1"/>
  <c r="V6"/>
  <c r="X6" s="1"/>
  <c r="V5"/>
  <c r="V23" s="1"/>
  <c r="X5" l="1"/>
  <c r="X23" s="1"/>
</calcChain>
</file>

<file path=xl/sharedStrings.xml><?xml version="1.0" encoding="utf-8"?>
<sst xmlns="http://schemas.openxmlformats.org/spreadsheetml/2006/main" count="742" uniqueCount="188">
  <si>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</si>
  <si>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</si>
  <si>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</si>
  <si>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</si>
  <si>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</si>
  <si>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</si>
  <si>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</si>
  <si>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</si>
  <si>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</si>
  <si>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</si>
  <si>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</si>
  <si>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</si>
  <si>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</si>
  <si>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</si>
  <si>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</si>
  <si>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</si>
  <si>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</si>
  <si>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</si>
  <si>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</si>
  <si>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</si>
  <si>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DESIGNATED BANK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</si>
  <si>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</si>
  <si>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</si>
  <si>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</si>
  <si>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</si>
  <si>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</si>
  <si>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</si>
  <si>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C182</t>
  </si>
  <si>
    <t>BRASS</t>
  </si>
  <si>
    <t>PORTUGAL</t>
  </si>
  <si>
    <t>INDIA</t>
  </si>
  <si>
    <t>SINES</t>
  </si>
  <si>
    <t>MIDWESTERN OIL</t>
  </si>
  <si>
    <t>GUARANTY TRUST BANK</t>
  </si>
  <si>
    <t>BRASS BLEND CRUDE OIL</t>
  </si>
  <si>
    <t>GTB</t>
  </si>
  <si>
    <t>TOLEDO SPIRIT</t>
  </si>
  <si>
    <t>ONE OR MORE SAFE PORT(S)</t>
  </si>
  <si>
    <t>FLEVES</t>
  </si>
  <si>
    <t>BRASS 461</t>
  </si>
  <si>
    <t>BRASS 472</t>
  </si>
  <si>
    <t>201402050172</t>
  </si>
  <si>
    <t>201402050184</t>
  </si>
  <si>
    <t>MIDWESTERN BRASS 040</t>
  </si>
  <si>
    <t>MIDWESTERN BRASS 039</t>
  </si>
  <si>
    <t>COMPLIANT INSPECTION REPORT FOR THE PERIOD OF JUNE 2014</t>
  </si>
  <si>
    <t>BRASS 390</t>
  </si>
  <si>
    <t>PHILLIPS BRASS 037</t>
  </si>
  <si>
    <t>201300010380</t>
  </si>
  <si>
    <t>STANDARD CHARTERED</t>
  </si>
  <si>
    <t>PHILLIPS OIL</t>
  </si>
  <si>
    <t>PSERIMOS</t>
  </si>
  <si>
    <t xml:space="preserve">BRASS </t>
  </si>
  <si>
    <t>GERMANY</t>
  </si>
  <si>
    <t>WILHELMSHAVEN</t>
  </si>
  <si>
    <t>UBA</t>
  </si>
  <si>
    <t>EBOK 018</t>
  </si>
  <si>
    <t>ORIENTAL EBOK 018</t>
  </si>
  <si>
    <t>201400010338</t>
  </si>
  <si>
    <t>STANBIC IBTC</t>
  </si>
  <si>
    <t>ORIENTAL ENERGY</t>
  </si>
  <si>
    <t>EBOK BLEND CRUDE OIL</t>
  </si>
  <si>
    <t>GREEN WARRIOR</t>
  </si>
  <si>
    <t>EBOK</t>
  </si>
  <si>
    <t>MUNDRA</t>
  </si>
  <si>
    <t>BRASS 421</t>
  </si>
  <si>
    <t>PHILLIPS BRASS 039</t>
  </si>
  <si>
    <t>201300010480</t>
  </si>
  <si>
    <t>ITHAKI</t>
  </si>
  <si>
    <t>ONE OR MORE SAFE PORTS, INDIA</t>
  </si>
  <si>
    <t>ANTAN 100</t>
  </si>
  <si>
    <t>ADDAX ANTAN 035</t>
  </si>
  <si>
    <t>201400020008</t>
  </si>
  <si>
    <t>CITI BANK OF NIG</t>
  </si>
  <si>
    <t>ADDAX PETROLEUM</t>
  </si>
  <si>
    <t>ANTAN BLEND CRUDE OIL</t>
  </si>
  <si>
    <t>AEGEAN HORIZON</t>
  </si>
  <si>
    <t>ANTAN</t>
  </si>
  <si>
    <t>LEIXOES</t>
  </si>
  <si>
    <t>CITI BANK</t>
  </si>
  <si>
    <t>BRASS 458</t>
  </si>
  <si>
    <t>PLATFORM BRASS 098</t>
  </si>
  <si>
    <t>201401010064</t>
  </si>
  <si>
    <t>SKYE BANK</t>
  </si>
  <si>
    <t>PLATFORM PETROLEUM</t>
  </si>
  <si>
    <t>BRASS 459</t>
  </si>
  <si>
    <t>PLATFORM BRASS 099</t>
  </si>
  <si>
    <t>201401010065</t>
  </si>
  <si>
    <t>BRASS 460</t>
  </si>
  <si>
    <t>PLATFORM BRASS 100</t>
  </si>
  <si>
    <t>201409030003</t>
  </si>
  <si>
    <t>STERLING BANK</t>
  </si>
  <si>
    <t>BRASS 470</t>
  </si>
  <si>
    <t>PLATFORM BRASS 101</t>
  </si>
  <si>
    <t>201401010066</t>
  </si>
  <si>
    <t>BRASS 471</t>
  </si>
  <si>
    <t>PLATFORM BRASS 102</t>
  </si>
  <si>
    <t>20149030004</t>
  </si>
  <si>
    <t>BRASS 492</t>
  </si>
  <si>
    <t>NNPC BRASS 157</t>
  </si>
  <si>
    <t>41405105C38/78</t>
  </si>
  <si>
    <t>CENTRAL BANK</t>
  </si>
  <si>
    <t>NNPC</t>
  </si>
  <si>
    <t>NIPPON PRINCESS</t>
  </si>
  <si>
    <t>GHANA</t>
  </si>
  <si>
    <t>ABOADZE</t>
  </si>
  <si>
    <t>BRASS 493</t>
  </si>
  <si>
    <t>NNPC BRASS 158</t>
  </si>
  <si>
    <t>41405105C13/60</t>
  </si>
  <si>
    <t>DELTA TOLMI</t>
  </si>
  <si>
    <t>NETHERLANDS</t>
  </si>
  <si>
    <t>ROTTERDAM FOR ORDERS</t>
  </si>
  <si>
    <t>YOHO 102</t>
  </si>
  <si>
    <t>NNPC YOHO 061</t>
  </si>
  <si>
    <t>41405109C48/286</t>
  </si>
  <si>
    <t>YOHO BLEND CRUDE OIL</t>
  </si>
  <si>
    <t>PHAETHON</t>
  </si>
  <si>
    <t>YOHO</t>
  </si>
  <si>
    <t>BRASS 494</t>
  </si>
  <si>
    <t>NNPC OKONO 061</t>
  </si>
  <si>
    <t>41405115C42/43</t>
  </si>
  <si>
    <t>OKONO BLEND CRUDE OIL</t>
  </si>
  <si>
    <t>VALTAMED</t>
  </si>
  <si>
    <t>OKONO</t>
  </si>
  <si>
    <t>SPAIN</t>
  </si>
  <si>
    <t>ALGECIRAS FOR ORDERS</t>
  </si>
  <si>
    <t>ANTAN 104</t>
  </si>
  <si>
    <t>NNPC ANTAN 049</t>
  </si>
  <si>
    <t>1405111C38/790A</t>
  </si>
  <si>
    <t>DELTA MARINER</t>
  </si>
  <si>
    <t>ANTAN 105</t>
  </si>
  <si>
    <t>NNPC ANTAN 050</t>
  </si>
  <si>
    <t>1405111C38/790B</t>
  </si>
  <si>
    <t>ANTAN 106</t>
  </si>
  <si>
    <t>NNPC ANTAN 051</t>
  </si>
  <si>
    <t>1405111C38/790C</t>
  </si>
  <si>
    <t>MOBIL PRODUCING</t>
  </si>
  <si>
    <t>MONI PULO</t>
  </si>
  <si>
    <t>AGIP ENERGY</t>
  </si>
  <si>
    <t>NIGERIAN AGIP</t>
  </si>
  <si>
    <t>ITALY</t>
  </si>
  <si>
    <t>TRIESTE</t>
  </si>
  <si>
    <t>BRAZIL</t>
  </si>
  <si>
    <t>ONE OR MORE SAFE PORTS, BRAZIL</t>
  </si>
  <si>
    <t>NOT YET ISSUED</t>
  </si>
  <si>
    <t>SEAVOYAGER</t>
  </si>
  <si>
    <t>UNITED KINGDOM</t>
  </si>
  <si>
    <t>MIDWESTERN OIL &amp; GAS</t>
  </si>
  <si>
    <t>NORDIC FREEDOM</t>
  </si>
  <si>
    <t>TETNEY</t>
  </si>
  <si>
    <t>QUILIANO (ITALY) FOR ORDERS</t>
  </si>
  <si>
    <t>EXPLORER</t>
  </si>
  <si>
    <t>PHOENIX STRENGTH</t>
  </si>
  <si>
    <t>YOHO 101</t>
  </si>
  <si>
    <t>AWAITING 01</t>
  </si>
  <si>
    <t>EBOK 019</t>
  </si>
  <si>
    <t>AWAITING 02</t>
  </si>
  <si>
    <t>ANTAN 103</t>
  </si>
  <si>
    <t>201400020009</t>
  </si>
  <si>
    <t>DONAT</t>
  </si>
  <si>
    <t>BRASS 488</t>
  </si>
  <si>
    <t>201400010234</t>
  </si>
  <si>
    <t>BRASS 489</t>
  </si>
  <si>
    <t>201401010072</t>
  </si>
  <si>
    <t>BRASS 490</t>
  </si>
  <si>
    <t>201401010073</t>
  </si>
  <si>
    <t>BRASS 491</t>
  </si>
  <si>
    <t>BRASS 495</t>
  </si>
  <si>
    <t>201400010263</t>
  </si>
  <si>
    <t>BRASS 496</t>
  </si>
  <si>
    <t>201400010264</t>
  </si>
  <si>
    <t>BRASS 497</t>
  </si>
  <si>
    <t>201400010223</t>
  </si>
  <si>
    <t xml:space="preserve">PHILLPS OIL </t>
  </si>
  <si>
    <t>BRASS 498</t>
  </si>
  <si>
    <t>00201400010224</t>
  </si>
  <si>
    <t>BRASS 499</t>
  </si>
  <si>
    <t>201401010075</t>
  </si>
  <si>
    <t>BRASS 500</t>
  </si>
  <si>
    <t>AWAITING 03</t>
  </si>
  <si>
    <t>EBOK 020</t>
  </si>
  <si>
    <t>AWAITING 04</t>
  </si>
  <si>
    <t>EVERGLADES</t>
  </si>
  <si>
    <t>ANTAN 107</t>
  </si>
  <si>
    <t>AWAITING 05</t>
  </si>
  <si>
    <t>NS BURGAS</t>
  </si>
  <si>
    <t>COMPREHENSIVE INSPECTION REPORT FOR THE PERIOD OF  JUNE 2014</t>
  </si>
  <si>
    <t>NON-COMPLIANT INSPECTION REPORT FOR THE PERIOD OF  JUNE 2014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</si>
</sst>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0.0000"/>
    <numFmt numFmtId="165" formatCode="0000000"/>
    <numFmt numFmtId="166" formatCode="00000000000000"/>
    <numFmt numFmtId="167" formatCode="_-* #,##0_-;\-* #,##0_-;_-* &quot;-&quot;??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6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3">
    <xf numFmtId="0" fontId="0" fillId="0" borderId="0" xfId="0"/>
    <xf numFmtId="164" fontId="6" fillId="0" borderId="5" xfId="0" applyNumberFormat="1" applyFont="1" applyFill="1" applyBorder="1" applyAlignment="1">
      <alignment horizontal="center"/>
    </xf>
    <xf numFmtId="164" fontId="6" fillId="0" borderId="6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4" fillId="0" borderId="0" xfId="0" applyFont="1" applyFill="1" applyAlignment="1">
      <alignment horizontal="left"/>
    </xf>
    <xf numFmtId="0" fontId="0" fillId="0" borderId="0" xfId="0" applyFill="1" applyAlignment="1">
      <alignment horizontal="center" wrapText="1"/>
    </xf>
    <xf numFmtId="0" fontId="5" fillId="0" borderId="0" xfId="0" applyFont="1" applyFill="1" applyAlignment="1">
      <alignment horizontal="center" wrapText="1"/>
    </xf>
    <xf numFmtId="164" fontId="0" fillId="0" borderId="0" xfId="0" applyNumberFormat="1" applyFill="1" applyAlignment="1">
      <alignment horizontal="center"/>
    </xf>
    <xf numFmtId="0" fontId="3" fillId="0" borderId="0" xfId="0" applyFont="1" applyFill="1"/>
    <xf numFmtId="0" fontId="6" fillId="0" borderId="6" xfId="0" applyFont="1" applyFill="1" applyBorder="1" applyAlignment="1">
      <alignment horizontal="center" wrapText="1"/>
    </xf>
    <xf numFmtId="1" fontId="6" fillId="0" borderId="6" xfId="0" applyNumberFormat="1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7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164" fontId="7" fillId="0" borderId="0" xfId="0" applyNumberFormat="1" applyFont="1" applyFill="1" applyAlignment="1">
      <alignment horizontal="center"/>
    </xf>
    <xf numFmtId="0" fontId="9" fillId="0" borderId="0" xfId="0" applyFont="1" applyFill="1"/>
    <xf numFmtId="0" fontId="10" fillId="0" borderId="2" xfId="2" applyFont="1" applyFill="1" applyBorder="1" applyAlignment="1">
      <alignment horizontal="center" vertical="center" wrapText="1"/>
    </xf>
    <xf numFmtId="0" fontId="10" fillId="0" borderId="3" xfId="2" applyFont="1" applyFill="1" applyBorder="1" applyAlignment="1">
      <alignment horizontal="center" vertical="center" wrapText="1"/>
    </xf>
    <xf numFmtId="49" fontId="10" fillId="0" borderId="3" xfId="2" applyNumberFormat="1" applyFont="1" applyFill="1" applyBorder="1" applyAlignment="1">
      <alignment horizontal="center" vertical="center"/>
    </xf>
    <xf numFmtId="49" fontId="10" fillId="0" borderId="3" xfId="2" applyNumberFormat="1" applyFont="1" applyFill="1" applyBorder="1" applyAlignment="1">
      <alignment horizontal="center" vertical="center" wrapText="1"/>
    </xf>
    <xf numFmtId="164" fontId="10" fillId="0" borderId="3" xfId="2" applyNumberFormat="1" applyFont="1" applyFill="1" applyBorder="1" applyAlignment="1">
      <alignment horizontal="center" vertical="center" wrapText="1"/>
    </xf>
    <xf numFmtId="0" fontId="10" fillId="0" borderId="4" xfId="2" applyFont="1" applyFill="1" applyBorder="1" applyAlignment="1">
      <alignment horizontal="center" vertical="center" wrapText="1"/>
    </xf>
    <xf numFmtId="0" fontId="6" fillId="0" borderId="6" xfId="0" applyFont="1" applyFill="1" applyBorder="1"/>
    <xf numFmtId="0" fontId="6" fillId="0" borderId="6" xfId="0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 vertical="center" wrapText="1"/>
    </xf>
    <xf numFmtId="14" fontId="6" fillId="0" borderId="6" xfId="0" applyNumberFormat="1" applyFont="1" applyFill="1" applyBorder="1" applyAlignment="1">
      <alignment horizontal="center" wrapText="1"/>
    </xf>
    <xf numFmtId="49" fontId="6" fillId="0" borderId="5" xfId="0" applyNumberFormat="1" applyFont="1" applyFill="1" applyBorder="1" applyAlignment="1">
      <alignment horizontal="center" wrapText="1"/>
    </xf>
    <xf numFmtId="164" fontId="6" fillId="0" borderId="6" xfId="0" applyNumberFormat="1" applyFont="1" applyFill="1" applyBorder="1" applyAlignment="1">
      <alignment horizontal="center" wrapText="1"/>
    </xf>
    <xf numFmtId="14" fontId="6" fillId="0" borderId="5" xfId="0" applyNumberFormat="1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3" fontId="6" fillId="0" borderId="6" xfId="0" applyNumberFormat="1" applyFont="1" applyFill="1" applyBorder="1"/>
    <xf numFmtId="4" fontId="6" fillId="0" borderId="6" xfId="0" applyNumberFormat="1" applyFont="1" applyFill="1" applyBorder="1" applyAlignment="1">
      <alignment horizontal="right"/>
    </xf>
    <xf numFmtId="4" fontId="6" fillId="0" borderId="6" xfId="0" applyNumberFormat="1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wrapText="1"/>
    </xf>
    <xf numFmtId="4" fontId="6" fillId="0" borderId="9" xfId="0" applyNumberFormat="1" applyFont="1" applyFill="1" applyBorder="1"/>
    <xf numFmtId="2" fontId="6" fillId="0" borderId="11" xfId="0" applyNumberFormat="1" applyFont="1" applyFill="1" applyBorder="1"/>
    <xf numFmtId="3" fontId="6" fillId="0" borderId="5" xfId="0" applyNumberFormat="1" applyFont="1" applyFill="1" applyBorder="1"/>
    <xf numFmtId="0" fontId="6" fillId="0" borderId="5" xfId="0" applyFont="1" applyFill="1" applyBorder="1" applyAlignment="1">
      <alignment horizontal="center"/>
    </xf>
    <xf numFmtId="2" fontId="6" fillId="0" borderId="6" xfId="0" applyNumberFormat="1" applyFont="1" applyFill="1" applyBorder="1"/>
    <xf numFmtId="0" fontId="6" fillId="0" borderId="8" xfId="0" applyFont="1" applyFill="1" applyBorder="1" applyAlignment="1">
      <alignment horizontal="center" wrapText="1"/>
    </xf>
    <xf numFmtId="164" fontId="6" fillId="0" borderId="6" xfId="4" applyNumberFormat="1" applyFont="1" applyFill="1" applyBorder="1" applyAlignment="1">
      <alignment horizontal="center"/>
    </xf>
    <xf numFmtId="43" fontId="6" fillId="0" borderId="9" xfId="1" applyFont="1" applyFill="1" applyBorder="1"/>
    <xf numFmtId="164" fontId="6" fillId="0" borderId="5" xfId="4" applyNumberFormat="1" applyFont="1" applyFill="1" applyBorder="1" applyAlignment="1">
      <alignment horizontal="center"/>
    </xf>
    <xf numFmtId="3" fontId="6" fillId="0" borderId="9" xfId="0" applyNumberFormat="1" applyFont="1" applyFill="1" applyBorder="1" applyAlignment="1" applyProtection="1">
      <protection locked="0"/>
    </xf>
    <xf numFmtId="4" fontId="6" fillId="0" borderId="6" xfId="0" applyNumberFormat="1" applyFont="1" applyFill="1" applyBorder="1"/>
    <xf numFmtId="3" fontId="10" fillId="0" borderId="7" xfId="0" applyNumberFormat="1" applyFont="1" applyFill="1" applyBorder="1"/>
    <xf numFmtId="4" fontId="10" fillId="0" borderId="7" xfId="0" applyNumberFormat="1" applyFont="1" applyFill="1" applyBorder="1"/>
    <xf numFmtId="0" fontId="6" fillId="0" borderId="0" xfId="0" applyFont="1" applyFill="1"/>
    <xf numFmtId="164" fontId="6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center"/>
    </xf>
    <xf numFmtId="43" fontId="10" fillId="0" borderId="7" xfId="0" applyNumberFormat="1" applyFont="1" applyFill="1" applyBorder="1"/>
    <xf numFmtId="0" fontId="10" fillId="0" borderId="0" xfId="0" applyFont="1" applyFill="1"/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horizontal="center"/>
    </xf>
    <xf numFmtId="3" fontId="6" fillId="0" borderId="6" xfId="0" applyNumberFormat="1" applyFont="1" applyFill="1" applyBorder="1" applyAlignment="1">
      <alignment horizontal="center" wrapText="1"/>
    </xf>
    <xf numFmtId="43" fontId="6" fillId="0" borderId="6" xfId="1" applyFont="1" applyFill="1" applyBorder="1"/>
    <xf numFmtId="165" fontId="6" fillId="0" borderId="6" xfId="0" applyNumberFormat="1" applyFont="1" applyFill="1" applyBorder="1" applyAlignment="1">
      <alignment horizontal="center"/>
    </xf>
    <xf numFmtId="3" fontId="6" fillId="0" borderId="6" xfId="0" applyNumberFormat="1" applyFont="1" applyFill="1" applyBorder="1" applyAlignment="1" applyProtection="1">
      <protection locked="0"/>
    </xf>
    <xf numFmtId="49" fontId="6" fillId="0" borderId="6" xfId="0" applyNumberFormat="1" applyFont="1" applyFill="1" applyBorder="1" applyAlignment="1">
      <alignment horizontal="center" wrapText="1"/>
    </xf>
    <xf numFmtId="167" fontId="6" fillId="0" borderId="6" xfId="5" applyNumberFormat="1" applyFont="1" applyFill="1" applyBorder="1"/>
    <xf numFmtId="2" fontId="6" fillId="0" borderId="6" xfId="0" applyNumberFormat="1" applyFont="1" applyFill="1" applyBorder="1" applyAlignment="1">
      <alignment horizontal="center"/>
    </xf>
    <xf numFmtId="43" fontId="10" fillId="0" borderId="7" xfId="1" applyFont="1" applyFill="1" applyBorder="1"/>
    <xf numFmtId="164" fontId="10" fillId="0" borderId="0" xfId="0" applyNumberFormat="1" applyFont="1" applyFill="1" applyAlignment="1">
      <alignment horizontal="center"/>
    </xf>
    <xf numFmtId="0" fontId="11" fillId="0" borderId="0" xfId="0" applyFont="1" applyFill="1"/>
    <xf numFmtId="0" fontId="12" fillId="0" borderId="0" xfId="0" applyFont="1" applyFill="1"/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38100</xdr:rowOff>
    </xdr:from>
    <xdr:to>
      <xdr:col>4</xdr:col>
      <xdr:colOff>76200</xdr:colOff>
      <xdr:row>2</xdr:row>
      <xdr:rowOff>209551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7725" y="228600"/>
          <a:ext cx="485775" cy="371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38099</xdr:rowOff>
    </xdr:from>
    <xdr:to>
      <xdr:col>3</xdr:col>
      <xdr:colOff>523875</xdr:colOff>
      <xdr:row>2</xdr:row>
      <xdr:rowOff>180975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228599"/>
          <a:ext cx="485775" cy="3429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38100</xdr:rowOff>
    </xdr:from>
    <xdr:to>
      <xdr:col>4</xdr:col>
      <xdr:colOff>95250</xdr:colOff>
      <xdr:row>2</xdr:row>
      <xdr:rowOff>190501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7725" y="228600"/>
          <a:ext cx="504825" cy="3524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A27"/>
  <sheetViews>
    <sheetView workbookViewId="0">
      <selection activeCell="A35" sqref="A35:XFD41"/>
    </sheetView>
  </sheetViews>
  <sheetFormatPr defaultRowHeight="15"/>
  <cols>
    <col min="1" max="1" width="3.85546875" style="14" customWidth="1"/>
    <col min="2" max="2" width="3.42578125" style="14" customWidth="1"/>
    <col min="3" max="3" width="4.85546875" style="15" customWidth="1"/>
    <col min="4" max="4" width="6.7109375" style="15" customWidth="1"/>
    <col min="5" max="5" width="6.140625" style="15" customWidth="1"/>
    <col min="6" max="6" width="10.7109375" style="15" customWidth="1"/>
    <col min="7" max="7" width="8.85546875" style="15" customWidth="1"/>
    <col min="8" max="8" width="8.7109375" style="15" customWidth="1"/>
    <col min="9" max="9" width="9" style="15" customWidth="1"/>
    <col min="10" max="10" width="5.85546875" style="14" customWidth="1"/>
    <col min="11" max="11" width="6.28515625" style="16" customWidth="1"/>
    <col min="12" max="12" width="8.140625" style="15" customWidth="1"/>
    <col min="13" max="13" width="5.5703125" style="15" customWidth="1"/>
    <col min="14" max="14" width="8.140625" style="18" customWidth="1"/>
    <col min="15" max="15" width="10.7109375" style="19" customWidth="1"/>
    <col min="16" max="16" width="7.7109375" style="14" customWidth="1"/>
    <col min="17" max="17" width="11.85546875" style="14" customWidth="1"/>
    <col min="18" max="18" width="5.28515625" style="14" customWidth="1"/>
    <col min="19" max="19" width="6.85546875" style="20" customWidth="1"/>
    <col min="20" max="20" width="6.140625" style="16" customWidth="1"/>
    <col min="21" max="21" width="8" style="15" customWidth="1"/>
    <col min="22" max="22" width="8.85546875" style="14" customWidth="1"/>
    <col min="23" max="23" width="5.140625" style="14" customWidth="1"/>
    <col min="24" max="24" width="11" style="14" customWidth="1"/>
    <col min="25" max="25" width="11.7109375" style="14" customWidth="1"/>
    <col min="26" max="27" width="8" style="14" customWidth="1"/>
    <col min="28" max="16384" width="9.140625" style="14"/>
  </cols>
  <sheetData>
    <row r="2" spans="2:27" ht="15.75">
      <c r="L2" s="17" t="s">
        <v>0</v>
      </c>
    </row>
    <row r="3" spans="2:27" ht="23.25" customHeight="1" thickBot="1">
      <c r="L3" s="17" t="s">
        <v>186</v>
      </c>
      <c r="P3" s="21"/>
    </row>
    <row r="4" spans="2:27" s="15" customFormat="1" ht="42.6" customHeight="1" thickBot="1">
      <c r="B4" s="22" t="s">
        <v>1</v>
      </c>
      <c r="C4" s="23" t="s">
        <v>2</v>
      </c>
      <c r="D4" s="23" t="s">
        <v>3</v>
      </c>
      <c r="E4" s="23" t="s">
        <v>4</v>
      </c>
      <c r="F4" s="24" t="s">
        <v>5</v>
      </c>
      <c r="G4" s="25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3" t="s">
        <v>11</v>
      </c>
      <c r="M4" s="23" t="s">
        <v>12</v>
      </c>
      <c r="N4" s="23" t="s">
        <v>13</v>
      </c>
      <c r="O4" s="23" t="s">
        <v>14</v>
      </c>
      <c r="P4" s="23" t="s">
        <v>15</v>
      </c>
      <c r="Q4" s="23" t="s">
        <v>16</v>
      </c>
      <c r="R4" s="23" t="s">
        <v>17</v>
      </c>
      <c r="S4" s="26" t="s">
        <v>18</v>
      </c>
      <c r="T4" s="23" t="s">
        <v>19</v>
      </c>
      <c r="U4" s="23" t="s">
        <v>20</v>
      </c>
      <c r="V4" s="23" t="s">
        <v>21</v>
      </c>
      <c r="W4" s="23" t="s">
        <v>22</v>
      </c>
      <c r="X4" s="23" t="s">
        <v>23</v>
      </c>
      <c r="Y4" s="23" t="s">
        <v>24</v>
      </c>
      <c r="Z4" s="23" t="s">
        <v>25</v>
      </c>
      <c r="AA4" s="27" t="s">
        <v>26</v>
      </c>
    </row>
    <row r="5" spans="2:27" ht="25.5" customHeight="1">
      <c r="B5" s="28">
        <v>1</v>
      </c>
      <c r="C5" s="11" t="s">
        <v>153</v>
      </c>
      <c r="D5" s="30" t="s">
        <v>144</v>
      </c>
      <c r="E5" s="31"/>
      <c r="F5" s="32" t="s">
        <v>154</v>
      </c>
      <c r="G5" s="11" t="s">
        <v>49</v>
      </c>
      <c r="H5" s="11" t="s">
        <v>136</v>
      </c>
      <c r="I5" s="11" t="s">
        <v>115</v>
      </c>
      <c r="J5" s="33">
        <v>801.22</v>
      </c>
      <c r="K5" s="34">
        <v>41791</v>
      </c>
      <c r="L5" s="35" t="s">
        <v>148</v>
      </c>
      <c r="M5" s="35" t="s">
        <v>117</v>
      </c>
      <c r="N5" s="11" t="s">
        <v>142</v>
      </c>
      <c r="O5" s="13" t="s">
        <v>143</v>
      </c>
      <c r="P5" s="36">
        <v>950125</v>
      </c>
      <c r="Q5" s="37">
        <f t="shared" ref="Q5:Q17" si="0">SUM(P5*S5)</f>
        <v>106182169.5</v>
      </c>
      <c r="R5" s="38" t="s">
        <v>27</v>
      </c>
      <c r="S5" s="1">
        <v>111.756</v>
      </c>
      <c r="T5" s="39">
        <f t="shared" ref="T5:T26" si="1">SUM(K5)+89</f>
        <v>41880</v>
      </c>
      <c r="U5" s="40" t="s">
        <v>55</v>
      </c>
      <c r="V5" s="41">
        <f t="shared" ref="V5:V26" si="2">SUM(Q5*0.12%)</f>
        <v>127418.60339999999</v>
      </c>
      <c r="W5" s="29">
        <v>155.72999999999999</v>
      </c>
      <c r="X5" s="37">
        <f t="shared" ref="X5:X26" si="3">SUM(V5*W5)</f>
        <v>19842899.107481997</v>
      </c>
      <c r="Y5" s="42">
        <v>0</v>
      </c>
      <c r="Z5" s="29"/>
      <c r="AA5" s="29"/>
    </row>
    <row r="6" spans="2:27" ht="19.5" customHeight="1">
      <c r="B6" s="28">
        <f t="shared" ref="B6:B26" si="4">B5+1</f>
        <v>2</v>
      </c>
      <c r="C6" s="11" t="s">
        <v>155</v>
      </c>
      <c r="D6" s="30" t="s">
        <v>144</v>
      </c>
      <c r="E6" s="31"/>
      <c r="F6" s="32" t="s">
        <v>156</v>
      </c>
      <c r="G6" s="11" t="s">
        <v>59</v>
      </c>
      <c r="H6" s="11" t="s">
        <v>60</v>
      </c>
      <c r="I6" s="11" t="s">
        <v>61</v>
      </c>
      <c r="J6" s="33">
        <v>801.22</v>
      </c>
      <c r="K6" s="34">
        <v>41792</v>
      </c>
      <c r="L6" s="35" t="s">
        <v>152</v>
      </c>
      <c r="M6" s="35" t="s">
        <v>63</v>
      </c>
      <c r="N6" s="11" t="s">
        <v>146</v>
      </c>
      <c r="O6" s="13" t="s">
        <v>149</v>
      </c>
      <c r="P6" s="43">
        <v>618102</v>
      </c>
      <c r="Q6" s="37">
        <f t="shared" si="0"/>
        <v>64946449.548</v>
      </c>
      <c r="R6" s="38" t="s">
        <v>27</v>
      </c>
      <c r="S6" s="1">
        <v>105.074</v>
      </c>
      <c r="T6" s="39">
        <f t="shared" si="1"/>
        <v>41881</v>
      </c>
      <c r="U6" s="11" t="s">
        <v>49</v>
      </c>
      <c r="V6" s="41">
        <f t="shared" si="2"/>
        <v>77935.739457599993</v>
      </c>
      <c r="W6" s="44">
        <v>155.72999999999999</v>
      </c>
      <c r="X6" s="37">
        <f t="shared" si="3"/>
        <v>12136932.705732046</v>
      </c>
      <c r="Y6" s="45">
        <v>0</v>
      </c>
      <c r="Z6" s="29"/>
      <c r="AA6" s="29"/>
    </row>
    <row r="7" spans="2:27" ht="19.5" customHeight="1">
      <c r="B7" s="28">
        <f t="shared" si="4"/>
        <v>3</v>
      </c>
      <c r="C7" s="11" t="s">
        <v>157</v>
      </c>
      <c r="D7" s="30" t="s">
        <v>144</v>
      </c>
      <c r="E7" s="31"/>
      <c r="F7" s="32" t="s">
        <v>158</v>
      </c>
      <c r="G7" s="11" t="s">
        <v>73</v>
      </c>
      <c r="H7" s="11" t="s">
        <v>74</v>
      </c>
      <c r="I7" s="11" t="s">
        <v>75</v>
      </c>
      <c r="J7" s="33">
        <v>801.22</v>
      </c>
      <c r="K7" s="34">
        <v>41793</v>
      </c>
      <c r="L7" s="35" t="s">
        <v>159</v>
      </c>
      <c r="M7" s="35" t="s">
        <v>77</v>
      </c>
      <c r="N7" s="11" t="s">
        <v>110</v>
      </c>
      <c r="O7" s="13" t="s">
        <v>111</v>
      </c>
      <c r="P7" s="43">
        <v>949018</v>
      </c>
      <c r="Q7" s="37">
        <f t="shared" si="0"/>
        <v>103463840.396</v>
      </c>
      <c r="R7" s="38" t="s">
        <v>27</v>
      </c>
      <c r="S7" s="1">
        <v>109.02200000000001</v>
      </c>
      <c r="T7" s="39">
        <f t="shared" si="1"/>
        <v>41882</v>
      </c>
      <c r="U7" s="11" t="s">
        <v>79</v>
      </c>
      <c r="V7" s="41">
        <f t="shared" si="2"/>
        <v>124156.60847519999</v>
      </c>
      <c r="W7" s="29">
        <v>155.72999999999999</v>
      </c>
      <c r="X7" s="37">
        <f t="shared" si="3"/>
        <v>19334908.637842894</v>
      </c>
      <c r="Y7" s="45">
        <v>0</v>
      </c>
      <c r="Z7" s="29"/>
      <c r="AA7" s="29"/>
    </row>
    <row r="8" spans="2:27" ht="24.75" customHeight="1">
      <c r="B8" s="28">
        <f t="shared" si="4"/>
        <v>4</v>
      </c>
      <c r="C8" s="11" t="s">
        <v>160</v>
      </c>
      <c r="D8" s="30" t="s">
        <v>144</v>
      </c>
      <c r="E8" s="31"/>
      <c r="F8" s="32" t="s">
        <v>161</v>
      </c>
      <c r="G8" s="11" t="s">
        <v>73</v>
      </c>
      <c r="H8" s="11" t="s">
        <v>139</v>
      </c>
      <c r="I8" s="11" t="s">
        <v>34</v>
      </c>
      <c r="J8" s="33">
        <v>801.22</v>
      </c>
      <c r="K8" s="34">
        <v>41793</v>
      </c>
      <c r="L8" s="35" t="s">
        <v>151</v>
      </c>
      <c r="M8" s="35" t="s">
        <v>28</v>
      </c>
      <c r="N8" s="11" t="s">
        <v>142</v>
      </c>
      <c r="O8" s="13" t="s">
        <v>143</v>
      </c>
      <c r="P8" s="43">
        <v>149638</v>
      </c>
      <c r="Q8" s="37">
        <f t="shared" si="0"/>
        <v>16613110.036</v>
      </c>
      <c r="R8" s="38" t="s">
        <v>27</v>
      </c>
      <c r="S8" s="1">
        <v>111.02200000000001</v>
      </c>
      <c r="T8" s="39">
        <f t="shared" si="1"/>
        <v>41882</v>
      </c>
      <c r="U8" s="11" t="s">
        <v>55</v>
      </c>
      <c r="V8" s="41">
        <f t="shared" si="2"/>
        <v>19935.732043199998</v>
      </c>
      <c r="W8" s="29">
        <v>155.72999999999999</v>
      </c>
      <c r="X8" s="37">
        <f t="shared" si="3"/>
        <v>3104591.5510875355</v>
      </c>
      <c r="Y8" s="45">
        <v>0</v>
      </c>
      <c r="Z8" s="29"/>
      <c r="AA8" s="29"/>
    </row>
    <row r="9" spans="2:27" ht="24.75" customHeight="1">
      <c r="B9" s="28">
        <f t="shared" si="4"/>
        <v>5</v>
      </c>
      <c r="C9" s="11" t="s">
        <v>162</v>
      </c>
      <c r="D9" s="30" t="s">
        <v>144</v>
      </c>
      <c r="E9" s="31"/>
      <c r="F9" s="32" t="s">
        <v>163</v>
      </c>
      <c r="G9" s="11" t="s">
        <v>83</v>
      </c>
      <c r="H9" s="11" t="s">
        <v>84</v>
      </c>
      <c r="I9" s="11" t="s">
        <v>34</v>
      </c>
      <c r="J9" s="33">
        <v>801.22</v>
      </c>
      <c r="K9" s="34">
        <v>41793</v>
      </c>
      <c r="L9" s="35" t="s">
        <v>151</v>
      </c>
      <c r="M9" s="35" t="s">
        <v>28</v>
      </c>
      <c r="N9" s="11" t="s">
        <v>142</v>
      </c>
      <c r="O9" s="13" t="s">
        <v>143</v>
      </c>
      <c r="P9" s="43">
        <v>32000</v>
      </c>
      <c r="Q9" s="37">
        <f t="shared" si="0"/>
        <v>3631328</v>
      </c>
      <c r="R9" s="38" t="s">
        <v>27</v>
      </c>
      <c r="S9" s="1">
        <v>113.479</v>
      </c>
      <c r="T9" s="39">
        <f t="shared" si="1"/>
        <v>41882</v>
      </c>
      <c r="U9" s="11" t="s">
        <v>83</v>
      </c>
      <c r="V9" s="41">
        <f t="shared" si="2"/>
        <v>4357.5935999999992</v>
      </c>
      <c r="W9" s="29">
        <v>155.72999999999999</v>
      </c>
      <c r="X9" s="37">
        <f t="shared" si="3"/>
        <v>678608.0513279998</v>
      </c>
      <c r="Y9" s="45">
        <v>0</v>
      </c>
      <c r="Z9" s="29"/>
      <c r="AA9" s="29"/>
    </row>
    <row r="10" spans="2:27" ht="24.75" customHeight="1">
      <c r="B10" s="28">
        <f t="shared" si="4"/>
        <v>6</v>
      </c>
      <c r="C10" s="11" t="s">
        <v>164</v>
      </c>
      <c r="D10" s="30" t="s">
        <v>144</v>
      </c>
      <c r="E10" s="31"/>
      <c r="F10" s="32" t="s">
        <v>165</v>
      </c>
      <c r="G10" s="11" t="s">
        <v>83</v>
      </c>
      <c r="H10" s="11" t="s">
        <v>84</v>
      </c>
      <c r="I10" s="11" t="s">
        <v>34</v>
      </c>
      <c r="J10" s="33">
        <v>801.22</v>
      </c>
      <c r="K10" s="34">
        <v>41793</v>
      </c>
      <c r="L10" s="35" t="s">
        <v>151</v>
      </c>
      <c r="M10" s="35" t="s">
        <v>28</v>
      </c>
      <c r="N10" s="11" t="s">
        <v>142</v>
      </c>
      <c r="O10" s="13" t="s">
        <v>143</v>
      </c>
      <c r="P10" s="43">
        <v>34000</v>
      </c>
      <c r="Q10" s="37">
        <f t="shared" si="0"/>
        <v>3858286</v>
      </c>
      <c r="R10" s="38" t="s">
        <v>27</v>
      </c>
      <c r="S10" s="1">
        <v>113.479</v>
      </c>
      <c r="T10" s="39">
        <f t="shared" si="1"/>
        <v>41882</v>
      </c>
      <c r="U10" s="11" t="s">
        <v>83</v>
      </c>
      <c r="V10" s="41">
        <f t="shared" si="2"/>
        <v>4629.9431999999997</v>
      </c>
      <c r="W10" s="29">
        <v>155.72999999999999</v>
      </c>
      <c r="X10" s="37">
        <f t="shared" si="3"/>
        <v>721021.05453599989</v>
      </c>
      <c r="Y10" s="45">
        <v>0</v>
      </c>
      <c r="Z10" s="29"/>
      <c r="AA10" s="29"/>
    </row>
    <row r="11" spans="2:27" ht="24.75" customHeight="1">
      <c r="B11" s="28">
        <f t="shared" si="4"/>
        <v>7</v>
      </c>
      <c r="C11" s="11" t="s">
        <v>166</v>
      </c>
      <c r="D11" s="30" t="s">
        <v>144</v>
      </c>
      <c r="E11" s="31"/>
      <c r="F11" s="12">
        <v>20149030006</v>
      </c>
      <c r="G11" s="11" t="s">
        <v>91</v>
      </c>
      <c r="H11" s="11" t="s">
        <v>84</v>
      </c>
      <c r="I11" s="11" t="s">
        <v>34</v>
      </c>
      <c r="J11" s="33">
        <v>801.22</v>
      </c>
      <c r="K11" s="34">
        <v>41793</v>
      </c>
      <c r="L11" s="35" t="s">
        <v>151</v>
      </c>
      <c r="M11" s="35" t="s">
        <v>28</v>
      </c>
      <c r="N11" s="11" t="s">
        <v>142</v>
      </c>
      <c r="O11" s="13" t="s">
        <v>143</v>
      </c>
      <c r="P11" s="43">
        <v>78000</v>
      </c>
      <c r="Q11" s="37">
        <f t="shared" si="0"/>
        <v>8851362</v>
      </c>
      <c r="R11" s="38" t="s">
        <v>27</v>
      </c>
      <c r="S11" s="1">
        <v>113.479</v>
      </c>
      <c r="T11" s="39">
        <f t="shared" si="1"/>
        <v>41882</v>
      </c>
      <c r="U11" s="11" t="s">
        <v>83</v>
      </c>
      <c r="V11" s="41">
        <f t="shared" si="2"/>
        <v>10621.634399999999</v>
      </c>
      <c r="W11" s="29">
        <v>155.72999999999999</v>
      </c>
      <c r="X11" s="37">
        <f t="shared" si="3"/>
        <v>1654107.1251119997</v>
      </c>
      <c r="Y11" s="45">
        <v>0</v>
      </c>
      <c r="Z11" s="29"/>
      <c r="AA11" s="29"/>
    </row>
    <row r="12" spans="2:27" ht="25.5" customHeight="1">
      <c r="B12" s="28">
        <f t="shared" si="4"/>
        <v>8</v>
      </c>
      <c r="C12" s="11" t="s">
        <v>98</v>
      </c>
      <c r="D12" s="31" t="s">
        <v>99</v>
      </c>
      <c r="E12" s="34">
        <v>41820</v>
      </c>
      <c r="F12" s="12" t="s">
        <v>100</v>
      </c>
      <c r="G12" s="11" t="s">
        <v>101</v>
      </c>
      <c r="H12" s="11" t="s">
        <v>102</v>
      </c>
      <c r="I12" s="11" t="s">
        <v>34</v>
      </c>
      <c r="J12" s="33">
        <v>801.22</v>
      </c>
      <c r="K12" s="34">
        <v>41799</v>
      </c>
      <c r="L12" s="35" t="s">
        <v>103</v>
      </c>
      <c r="M12" s="46" t="s">
        <v>28</v>
      </c>
      <c r="N12" s="11" t="s">
        <v>104</v>
      </c>
      <c r="O12" s="13" t="s">
        <v>105</v>
      </c>
      <c r="P12" s="43">
        <v>399733</v>
      </c>
      <c r="Q12" s="37">
        <f t="shared" si="0"/>
        <v>44673360.614</v>
      </c>
      <c r="R12" s="38" t="s">
        <v>27</v>
      </c>
      <c r="S12" s="47">
        <v>111.758</v>
      </c>
      <c r="T12" s="39">
        <f t="shared" si="1"/>
        <v>41888</v>
      </c>
      <c r="U12" s="11" t="s">
        <v>101</v>
      </c>
      <c r="V12" s="41">
        <f t="shared" si="2"/>
        <v>53608.032736799993</v>
      </c>
      <c r="W12" s="29">
        <v>155.72999999999999</v>
      </c>
      <c r="X12" s="37">
        <f t="shared" si="3"/>
        <v>8348378.9381018626</v>
      </c>
      <c r="Y12" s="48">
        <f t="shared" ref="Y12:Y15" si="5">X12</f>
        <v>8348378.9381018626</v>
      </c>
      <c r="Z12" s="29"/>
      <c r="AA12" s="29"/>
    </row>
    <row r="13" spans="2:27" ht="25.5" customHeight="1">
      <c r="B13" s="28">
        <f t="shared" si="4"/>
        <v>9</v>
      </c>
      <c r="C13" s="11" t="s">
        <v>106</v>
      </c>
      <c r="D13" s="31" t="s">
        <v>107</v>
      </c>
      <c r="E13" s="34">
        <v>41820</v>
      </c>
      <c r="F13" s="12" t="s">
        <v>108</v>
      </c>
      <c r="G13" s="11" t="s">
        <v>101</v>
      </c>
      <c r="H13" s="11" t="s">
        <v>102</v>
      </c>
      <c r="I13" s="11" t="s">
        <v>34</v>
      </c>
      <c r="J13" s="33">
        <v>801.22</v>
      </c>
      <c r="K13" s="34">
        <v>41802</v>
      </c>
      <c r="L13" s="35" t="s">
        <v>109</v>
      </c>
      <c r="M13" s="46" t="s">
        <v>28</v>
      </c>
      <c r="N13" s="11" t="s">
        <v>110</v>
      </c>
      <c r="O13" s="13" t="s">
        <v>111</v>
      </c>
      <c r="P13" s="43">
        <v>949823</v>
      </c>
      <c r="Q13" s="37">
        <f t="shared" si="0"/>
        <v>107770716.87199999</v>
      </c>
      <c r="R13" s="38" t="s">
        <v>27</v>
      </c>
      <c r="S13" s="47">
        <v>113.464</v>
      </c>
      <c r="T13" s="39">
        <f t="shared" si="1"/>
        <v>41891</v>
      </c>
      <c r="U13" s="11" t="s">
        <v>101</v>
      </c>
      <c r="V13" s="41">
        <f t="shared" si="2"/>
        <v>129324.86024639999</v>
      </c>
      <c r="W13" s="29">
        <v>155.72999999999999</v>
      </c>
      <c r="X13" s="37">
        <f t="shared" si="3"/>
        <v>20139760.486171868</v>
      </c>
      <c r="Y13" s="48">
        <f t="shared" si="5"/>
        <v>20139760.486171868</v>
      </c>
      <c r="Z13" s="29"/>
      <c r="AA13" s="29"/>
    </row>
    <row r="14" spans="2:27" ht="25.5" customHeight="1">
      <c r="B14" s="28">
        <f t="shared" si="4"/>
        <v>10</v>
      </c>
      <c r="C14" s="11" t="s">
        <v>112</v>
      </c>
      <c r="D14" s="31" t="s">
        <v>113</v>
      </c>
      <c r="E14" s="34">
        <v>41820</v>
      </c>
      <c r="F14" s="32" t="s">
        <v>114</v>
      </c>
      <c r="G14" s="11" t="s">
        <v>101</v>
      </c>
      <c r="H14" s="35" t="s">
        <v>102</v>
      </c>
      <c r="I14" s="11" t="s">
        <v>115</v>
      </c>
      <c r="J14" s="33">
        <v>801.22</v>
      </c>
      <c r="K14" s="34">
        <v>41807</v>
      </c>
      <c r="L14" s="35" t="s">
        <v>116</v>
      </c>
      <c r="M14" s="35" t="s">
        <v>117</v>
      </c>
      <c r="N14" s="11" t="s">
        <v>30</v>
      </c>
      <c r="O14" s="13" t="s">
        <v>69</v>
      </c>
      <c r="P14" s="43">
        <v>950330</v>
      </c>
      <c r="Q14" s="37">
        <f t="shared" si="0"/>
        <v>110929169.91</v>
      </c>
      <c r="R14" s="38" t="s">
        <v>27</v>
      </c>
      <c r="S14" s="47">
        <v>116.727</v>
      </c>
      <c r="T14" s="39">
        <f t="shared" si="1"/>
        <v>41896</v>
      </c>
      <c r="U14" s="11" t="s">
        <v>101</v>
      </c>
      <c r="V14" s="41">
        <f t="shared" si="2"/>
        <v>133115.00389199998</v>
      </c>
      <c r="W14" s="29">
        <v>155.72999999999999</v>
      </c>
      <c r="X14" s="37">
        <f t="shared" si="3"/>
        <v>20729999.556101155</v>
      </c>
      <c r="Y14" s="48">
        <f t="shared" si="5"/>
        <v>20729999.556101155</v>
      </c>
      <c r="Z14" s="29"/>
      <c r="AA14" s="29"/>
    </row>
    <row r="15" spans="2:27" ht="25.5" customHeight="1">
      <c r="B15" s="28">
        <f t="shared" si="4"/>
        <v>11</v>
      </c>
      <c r="C15" s="11" t="s">
        <v>118</v>
      </c>
      <c r="D15" s="31" t="s">
        <v>119</v>
      </c>
      <c r="E15" s="34">
        <v>41820</v>
      </c>
      <c r="F15" s="32" t="s">
        <v>120</v>
      </c>
      <c r="G15" s="11" t="s">
        <v>101</v>
      </c>
      <c r="H15" s="35" t="s">
        <v>102</v>
      </c>
      <c r="I15" s="11" t="s">
        <v>121</v>
      </c>
      <c r="J15" s="33">
        <v>801.22</v>
      </c>
      <c r="K15" s="34">
        <v>41809</v>
      </c>
      <c r="L15" s="35" t="s">
        <v>122</v>
      </c>
      <c r="M15" s="35" t="s">
        <v>123</v>
      </c>
      <c r="N15" s="11" t="s">
        <v>124</v>
      </c>
      <c r="O15" s="13" t="s">
        <v>125</v>
      </c>
      <c r="P15" s="43">
        <v>899955</v>
      </c>
      <c r="Q15" s="37">
        <f t="shared" si="0"/>
        <v>105461226.675</v>
      </c>
      <c r="R15" s="38" t="s">
        <v>27</v>
      </c>
      <c r="S15" s="47">
        <v>117.185</v>
      </c>
      <c r="T15" s="39">
        <f t="shared" si="1"/>
        <v>41898</v>
      </c>
      <c r="U15" s="11" t="s">
        <v>101</v>
      </c>
      <c r="V15" s="41">
        <f t="shared" si="2"/>
        <v>126553.47200999998</v>
      </c>
      <c r="W15" s="29">
        <v>155.72999999999999</v>
      </c>
      <c r="X15" s="37">
        <f t="shared" si="3"/>
        <v>19708172.196117297</v>
      </c>
      <c r="Y15" s="48">
        <f t="shared" si="5"/>
        <v>19708172.196117297</v>
      </c>
      <c r="Z15" s="29"/>
      <c r="AA15" s="29"/>
    </row>
    <row r="16" spans="2:27" ht="25.5" customHeight="1">
      <c r="B16" s="28">
        <f t="shared" si="4"/>
        <v>12</v>
      </c>
      <c r="C16" s="11" t="s">
        <v>167</v>
      </c>
      <c r="D16" s="30" t="s">
        <v>144</v>
      </c>
      <c r="E16" s="31"/>
      <c r="F16" s="32" t="s">
        <v>168</v>
      </c>
      <c r="G16" s="11" t="s">
        <v>73</v>
      </c>
      <c r="H16" s="35" t="s">
        <v>138</v>
      </c>
      <c r="I16" s="11" t="s">
        <v>34</v>
      </c>
      <c r="J16" s="33">
        <v>801.22</v>
      </c>
      <c r="K16" s="34">
        <v>41812</v>
      </c>
      <c r="L16" s="35" t="s">
        <v>145</v>
      </c>
      <c r="M16" s="35" t="s">
        <v>28</v>
      </c>
      <c r="N16" s="11" t="s">
        <v>140</v>
      </c>
      <c r="O16" s="13" t="s">
        <v>141</v>
      </c>
      <c r="P16" s="43">
        <v>80000</v>
      </c>
      <c r="Q16" s="37">
        <f t="shared" si="0"/>
        <v>9274800</v>
      </c>
      <c r="R16" s="38" t="s">
        <v>27</v>
      </c>
      <c r="S16" s="47">
        <v>115.935</v>
      </c>
      <c r="T16" s="39">
        <f t="shared" si="1"/>
        <v>41901</v>
      </c>
      <c r="U16" s="13" t="s">
        <v>55</v>
      </c>
      <c r="V16" s="41">
        <f t="shared" si="2"/>
        <v>11129.759999999998</v>
      </c>
      <c r="W16" s="29">
        <v>155.72999999999999</v>
      </c>
      <c r="X16" s="37">
        <f t="shared" si="3"/>
        <v>1733237.5247999995</v>
      </c>
      <c r="Y16" s="45">
        <v>0</v>
      </c>
      <c r="Z16" s="29"/>
      <c r="AA16" s="29"/>
    </row>
    <row r="17" spans="2:27" ht="25.5" customHeight="1">
      <c r="B17" s="28">
        <f t="shared" si="4"/>
        <v>13</v>
      </c>
      <c r="C17" s="11" t="s">
        <v>169</v>
      </c>
      <c r="D17" s="30" t="s">
        <v>144</v>
      </c>
      <c r="E17" s="31"/>
      <c r="F17" s="32" t="s">
        <v>170</v>
      </c>
      <c r="G17" s="11" t="s">
        <v>73</v>
      </c>
      <c r="H17" s="35" t="s">
        <v>139</v>
      </c>
      <c r="I17" s="11" t="s">
        <v>34</v>
      </c>
      <c r="J17" s="33">
        <v>801.22</v>
      </c>
      <c r="K17" s="34">
        <v>41812</v>
      </c>
      <c r="L17" s="35" t="s">
        <v>145</v>
      </c>
      <c r="M17" s="35" t="s">
        <v>28</v>
      </c>
      <c r="N17" s="11" t="s">
        <v>140</v>
      </c>
      <c r="O17" s="13" t="s">
        <v>141</v>
      </c>
      <c r="P17" s="43">
        <v>242344</v>
      </c>
      <c r="Q17" s="37">
        <f t="shared" si="0"/>
        <v>28096151.640000001</v>
      </c>
      <c r="R17" s="38" t="s">
        <v>27</v>
      </c>
      <c r="S17" s="47">
        <v>115.935</v>
      </c>
      <c r="T17" s="39">
        <f t="shared" si="1"/>
        <v>41901</v>
      </c>
      <c r="U17" s="13" t="s">
        <v>55</v>
      </c>
      <c r="V17" s="41">
        <f t="shared" si="2"/>
        <v>33715.381967999994</v>
      </c>
      <c r="W17" s="29">
        <v>155.72999999999999</v>
      </c>
      <c r="X17" s="37">
        <f t="shared" si="3"/>
        <v>5250496.4338766383</v>
      </c>
      <c r="Y17" s="45">
        <v>0</v>
      </c>
      <c r="Z17" s="29"/>
      <c r="AA17" s="29"/>
    </row>
    <row r="18" spans="2:27" ht="25.5" customHeight="1">
      <c r="B18" s="28">
        <f t="shared" si="4"/>
        <v>14</v>
      </c>
      <c r="C18" s="11" t="s">
        <v>171</v>
      </c>
      <c r="D18" s="30" t="s">
        <v>144</v>
      </c>
      <c r="E18" s="31"/>
      <c r="F18" s="32" t="s">
        <v>172</v>
      </c>
      <c r="G18" s="11" t="s">
        <v>49</v>
      </c>
      <c r="H18" s="11" t="s">
        <v>173</v>
      </c>
      <c r="I18" s="11" t="s">
        <v>34</v>
      </c>
      <c r="J18" s="33">
        <v>801.22</v>
      </c>
      <c r="K18" s="34">
        <v>41812</v>
      </c>
      <c r="L18" s="35" t="s">
        <v>145</v>
      </c>
      <c r="M18" s="35" t="s">
        <v>28</v>
      </c>
      <c r="N18" s="11" t="s">
        <v>140</v>
      </c>
      <c r="O18" s="13" t="s">
        <v>141</v>
      </c>
      <c r="P18" s="43">
        <v>208000</v>
      </c>
      <c r="Q18" s="37">
        <f t="shared" ref="Q18:Q26" si="6">SUM(P18*S18)</f>
        <v>24114480</v>
      </c>
      <c r="R18" s="38" t="s">
        <v>27</v>
      </c>
      <c r="S18" s="47">
        <v>115.935</v>
      </c>
      <c r="T18" s="39">
        <f t="shared" si="1"/>
        <v>41901</v>
      </c>
      <c r="U18" s="13" t="s">
        <v>55</v>
      </c>
      <c r="V18" s="41">
        <f t="shared" si="2"/>
        <v>28937.375999999997</v>
      </c>
      <c r="W18" s="29">
        <v>155.72999999999999</v>
      </c>
      <c r="X18" s="37">
        <f t="shared" si="3"/>
        <v>4506417.5644799992</v>
      </c>
      <c r="Y18" s="45">
        <v>0</v>
      </c>
      <c r="Z18" s="29"/>
      <c r="AA18" s="29"/>
    </row>
    <row r="19" spans="2:27" ht="25.5" customHeight="1">
      <c r="B19" s="28">
        <f t="shared" si="4"/>
        <v>15</v>
      </c>
      <c r="C19" s="11" t="s">
        <v>174</v>
      </c>
      <c r="D19" s="30" t="s">
        <v>144</v>
      </c>
      <c r="E19" s="31"/>
      <c r="F19" s="32" t="s">
        <v>175</v>
      </c>
      <c r="G19" s="11" t="s">
        <v>49</v>
      </c>
      <c r="H19" s="11" t="s">
        <v>173</v>
      </c>
      <c r="I19" s="11" t="s">
        <v>34</v>
      </c>
      <c r="J19" s="33">
        <v>801.22</v>
      </c>
      <c r="K19" s="34">
        <v>41812</v>
      </c>
      <c r="L19" s="35" t="s">
        <v>145</v>
      </c>
      <c r="M19" s="35" t="s">
        <v>28</v>
      </c>
      <c r="N19" s="11" t="s">
        <v>140</v>
      </c>
      <c r="O19" s="13" t="s">
        <v>150</v>
      </c>
      <c r="P19" s="43">
        <v>124000</v>
      </c>
      <c r="Q19" s="37">
        <f t="shared" si="6"/>
        <v>14375940</v>
      </c>
      <c r="R19" s="38" t="s">
        <v>27</v>
      </c>
      <c r="S19" s="47">
        <v>115.935</v>
      </c>
      <c r="T19" s="39">
        <f t="shared" si="1"/>
        <v>41901</v>
      </c>
      <c r="U19" s="13" t="s">
        <v>55</v>
      </c>
      <c r="V19" s="41">
        <f t="shared" si="2"/>
        <v>17251.127999999997</v>
      </c>
      <c r="W19" s="29">
        <v>155.72999999999999</v>
      </c>
      <c r="X19" s="37">
        <f t="shared" si="3"/>
        <v>2686518.1634399993</v>
      </c>
      <c r="Y19" s="45">
        <v>0</v>
      </c>
      <c r="Z19" s="29"/>
      <c r="AA19" s="29"/>
    </row>
    <row r="20" spans="2:27" ht="25.5" customHeight="1">
      <c r="B20" s="28">
        <f t="shared" si="4"/>
        <v>16</v>
      </c>
      <c r="C20" s="11" t="s">
        <v>176</v>
      </c>
      <c r="D20" s="30" t="s">
        <v>144</v>
      </c>
      <c r="E20" s="31"/>
      <c r="F20" s="32" t="s">
        <v>177</v>
      </c>
      <c r="G20" s="11" t="s">
        <v>83</v>
      </c>
      <c r="H20" s="11" t="s">
        <v>84</v>
      </c>
      <c r="I20" s="11" t="s">
        <v>34</v>
      </c>
      <c r="J20" s="33">
        <v>801.22</v>
      </c>
      <c r="K20" s="34">
        <v>41812</v>
      </c>
      <c r="L20" s="35" t="s">
        <v>145</v>
      </c>
      <c r="M20" s="35" t="s">
        <v>28</v>
      </c>
      <c r="N20" s="11" t="s">
        <v>140</v>
      </c>
      <c r="O20" s="13" t="s">
        <v>150</v>
      </c>
      <c r="P20" s="43">
        <v>50000</v>
      </c>
      <c r="Q20" s="37">
        <f t="shared" si="6"/>
        <v>5673950</v>
      </c>
      <c r="R20" s="38" t="s">
        <v>27</v>
      </c>
      <c r="S20" s="1">
        <v>113.479</v>
      </c>
      <c r="T20" s="39">
        <f t="shared" si="1"/>
        <v>41901</v>
      </c>
      <c r="U20" s="13" t="s">
        <v>83</v>
      </c>
      <c r="V20" s="41">
        <f t="shared" si="2"/>
        <v>6808.74</v>
      </c>
      <c r="W20" s="29">
        <v>155.72999999999999</v>
      </c>
      <c r="X20" s="37">
        <f t="shared" si="3"/>
        <v>1060325.0802</v>
      </c>
      <c r="Y20" s="45">
        <v>0</v>
      </c>
      <c r="Z20" s="29"/>
      <c r="AA20" s="29"/>
    </row>
    <row r="21" spans="2:27" ht="25.5" customHeight="1">
      <c r="B21" s="28">
        <f t="shared" si="4"/>
        <v>17</v>
      </c>
      <c r="C21" s="11" t="s">
        <v>178</v>
      </c>
      <c r="D21" s="30" t="s">
        <v>144</v>
      </c>
      <c r="E21" s="31"/>
      <c r="F21" s="32" t="s">
        <v>179</v>
      </c>
      <c r="G21" s="11" t="s">
        <v>33</v>
      </c>
      <c r="H21" s="11" t="s">
        <v>147</v>
      </c>
      <c r="I21" s="11" t="s">
        <v>34</v>
      </c>
      <c r="J21" s="33">
        <v>801.22</v>
      </c>
      <c r="K21" s="34">
        <v>41812</v>
      </c>
      <c r="L21" s="35" t="s">
        <v>145</v>
      </c>
      <c r="M21" s="35" t="s">
        <v>28</v>
      </c>
      <c r="N21" s="11" t="s">
        <v>140</v>
      </c>
      <c r="O21" s="13" t="s">
        <v>150</v>
      </c>
      <c r="P21" s="43">
        <v>326000</v>
      </c>
      <c r="Q21" s="37">
        <f t="shared" si="6"/>
        <v>37794810</v>
      </c>
      <c r="R21" s="38" t="s">
        <v>27</v>
      </c>
      <c r="S21" s="47">
        <v>115.935</v>
      </c>
      <c r="T21" s="39">
        <f t="shared" si="1"/>
        <v>41901</v>
      </c>
      <c r="U21" s="13" t="s">
        <v>35</v>
      </c>
      <c r="V21" s="41">
        <f t="shared" si="2"/>
        <v>45353.771999999997</v>
      </c>
      <c r="W21" s="29">
        <v>155.72999999999999</v>
      </c>
      <c r="X21" s="37">
        <f t="shared" si="3"/>
        <v>7062942.9135599993</v>
      </c>
      <c r="Y21" s="45">
        <v>0</v>
      </c>
      <c r="Z21" s="29"/>
      <c r="AA21" s="29"/>
    </row>
    <row r="22" spans="2:27" ht="25.5" customHeight="1">
      <c r="B22" s="28">
        <f t="shared" si="4"/>
        <v>18</v>
      </c>
      <c r="C22" s="11" t="s">
        <v>180</v>
      </c>
      <c r="D22" s="30" t="s">
        <v>144</v>
      </c>
      <c r="E22" s="31"/>
      <c r="F22" s="32" t="s">
        <v>181</v>
      </c>
      <c r="G22" s="11" t="s">
        <v>59</v>
      </c>
      <c r="H22" s="11" t="s">
        <v>60</v>
      </c>
      <c r="I22" s="11" t="s">
        <v>61</v>
      </c>
      <c r="J22" s="33">
        <v>801.22</v>
      </c>
      <c r="K22" s="34">
        <v>41813</v>
      </c>
      <c r="L22" s="35" t="s">
        <v>182</v>
      </c>
      <c r="M22" s="35" t="s">
        <v>63</v>
      </c>
      <c r="N22" s="11" t="s">
        <v>146</v>
      </c>
      <c r="O22" s="13" t="s">
        <v>149</v>
      </c>
      <c r="P22" s="43">
        <v>702158</v>
      </c>
      <c r="Q22" s="37">
        <f t="shared" si="6"/>
        <v>76873662.156000003</v>
      </c>
      <c r="R22" s="38" t="s">
        <v>27</v>
      </c>
      <c r="S22" s="47">
        <v>109.482</v>
      </c>
      <c r="T22" s="39">
        <f t="shared" si="1"/>
        <v>41902</v>
      </c>
      <c r="U22" s="13" t="s">
        <v>49</v>
      </c>
      <c r="V22" s="41">
        <f t="shared" si="2"/>
        <v>92248.394587199989</v>
      </c>
      <c r="W22" s="29">
        <v>155.72999999999999</v>
      </c>
      <c r="X22" s="37">
        <f t="shared" si="3"/>
        <v>14365842.489064654</v>
      </c>
      <c r="Y22" s="45">
        <v>0</v>
      </c>
      <c r="Z22" s="29"/>
      <c r="AA22" s="29"/>
    </row>
    <row r="23" spans="2:27" ht="25.5" customHeight="1">
      <c r="B23" s="28">
        <f t="shared" si="4"/>
        <v>19</v>
      </c>
      <c r="C23" s="11" t="s">
        <v>126</v>
      </c>
      <c r="D23" s="31" t="s">
        <v>127</v>
      </c>
      <c r="E23" s="34">
        <v>41820</v>
      </c>
      <c r="F23" s="32" t="s">
        <v>128</v>
      </c>
      <c r="G23" s="11" t="s">
        <v>101</v>
      </c>
      <c r="H23" s="11" t="s">
        <v>102</v>
      </c>
      <c r="I23" s="11" t="s">
        <v>75</v>
      </c>
      <c r="J23" s="33">
        <v>801.22</v>
      </c>
      <c r="K23" s="34">
        <v>41813</v>
      </c>
      <c r="L23" s="35" t="s">
        <v>129</v>
      </c>
      <c r="M23" s="35" t="s">
        <v>77</v>
      </c>
      <c r="N23" s="11" t="s">
        <v>29</v>
      </c>
      <c r="O23" s="13" t="s">
        <v>78</v>
      </c>
      <c r="P23" s="43">
        <v>507077</v>
      </c>
      <c r="Q23" s="37">
        <f t="shared" si="6"/>
        <v>57594819.813999996</v>
      </c>
      <c r="R23" s="38" t="s">
        <v>27</v>
      </c>
      <c r="S23" s="49">
        <v>113.58199999999999</v>
      </c>
      <c r="T23" s="39">
        <f t="shared" si="1"/>
        <v>41902</v>
      </c>
      <c r="U23" s="11" t="s">
        <v>101</v>
      </c>
      <c r="V23" s="41">
        <f t="shared" si="2"/>
        <v>69113.783776799988</v>
      </c>
      <c r="W23" s="29">
        <v>155.72999999999999</v>
      </c>
      <c r="X23" s="37">
        <f t="shared" si="3"/>
        <v>10763089.547561061</v>
      </c>
      <c r="Y23" s="48">
        <f t="shared" ref="Y23:Y25" si="7">X23</f>
        <v>10763089.547561061</v>
      </c>
      <c r="Z23" s="29"/>
      <c r="AA23" s="29"/>
    </row>
    <row r="24" spans="2:27" ht="25.5" customHeight="1">
      <c r="B24" s="28">
        <f t="shared" si="4"/>
        <v>20</v>
      </c>
      <c r="C24" s="11" t="s">
        <v>130</v>
      </c>
      <c r="D24" s="31" t="s">
        <v>131</v>
      </c>
      <c r="E24" s="34">
        <v>41820</v>
      </c>
      <c r="F24" s="32" t="s">
        <v>132</v>
      </c>
      <c r="G24" s="11" t="s">
        <v>101</v>
      </c>
      <c r="H24" s="11" t="s">
        <v>102</v>
      </c>
      <c r="I24" s="11" t="s">
        <v>75</v>
      </c>
      <c r="J24" s="33">
        <v>801.22</v>
      </c>
      <c r="K24" s="34">
        <v>41813</v>
      </c>
      <c r="L24" s="35" t="s">
        <v>129</v>
      </c>
      <c r="M24" s="35" t="s">
        <v>77</v>
      </c>
      <c r="N24" s="11" t="s">
        <v>29</v>
      </c>
      <c r="O24" s="13" t="s">
        <v>78</v>
      </c>
      <c r="P24" s="43">
        <v>30000</v>
      </c>
      <c r="Q24" s="37">
        <f t="shared" si="6"/>
        <v>3407460</v>
      </c>
      <c r="R24" s="38" t="s">
        <v>27</v>
      </c>
      <c r="S24" s="49">
        <v>113.58199999999999</v>
      </c>
      <c r="T24" s="39">
        <f t="shared" si="1"/>
        <v>41902</v>
      </c>
      <c r="U24" s="11" t="s">
        <v>101</v>
      </c>
      <c r="V24" s="41">
        <f t="shared" si="2"/>
        <v>4088.9519999999998</v>
      </c>
      <c r="W24" s="29">
        <v>155.72999999999999</v>
      </c>
      <c r="X24" s="37">
        <f t="shared" si="3"/>
        <v>636772.49495999992</v>
      </c>
      <c r="Y24" s="48">
        <f t="shared" si="7"/>
        <v>636772.49495999992</v>
      </c>
      <c r="Z24" s="29"/>
      <c r="AA24" s="29"/>
    </row>
    <row r="25" spans="2:27" ht="25.5" customHeight="1">
      <c r="B25" s="28">
        <f t="shared" si="4"/>
        <v>21</v>
      </c>
      <c r="C25" s="11" t="s">
        <v>133</v>
      </c>
      <c r="D25" s="31" t="s">
        <v>134</v>
      </c>
      <c r="E25" s="34">
        <v>41820</v>
      </c>
      <c r="F25" s="32" t="s">
        <v>135</v>
      </c>
      <c r="G25" s="11" t="s">
        <v>101</v>
      </c>
      <c r="H25" s="11" t="s">
        <v>102</v>
      </c>
      <c r="I25" s="11" t="s">
        <v>75</v>
      </c>
      <c r="J25" s="33">
        <v>801.22</v>
      </c>
      <c r="K25" s="34">
        <v>41813</v>
      </c>
      <c r="L25" s="35" t="s">
        <v>129</v>
      </c>
      <c r="M25" s="35" t="s">
        <v>77</v>
      </c>
      <c r="N25" s="11" t="s">
        <v>29</v>
      </c>
      <c r="O25" s="13" t="s">
        <v>78</v>
      </c>
      <c r="P25" s="43">
        <v>400000</v>
      </c>
      <c r="Q25" s="37">
        <f t="shared" si="6"/>
        <v>45432800</v>
      </c>
      <c r="R25" s="38" t="s">
        <v>27</v>
      </c>
      <c r="S25" s="49">
        <v>113.58199999999999</v>
      </c>
      <c r="T25" s="39">
        <f t="shared" si="1"/>
        <v>41902</v>
      </c>
      <c r="U25" s="11" t="s">
        <v>101</v>
      </c>
      <c r="V25" s="41">
        <f t="shared" si="2"/>
        <v>54519.359999999993</v>
      </c>
      <c r="W25" s="29">
        <v>155.72999999999999</v>
      </c>
      <c r="X25" s="37">
        <f t="shared" si="3"/>
        <v>8490299.9327999987</v>
      </c>
      <c r="Y25" s="48">
        <f t="shared" si="7"/>
        <v>8490299.9327999987</v>
      </c>
      <c r="Z25" s="29"/>
      <c r="AA25" s="29"/>
    </row>
    <row r="26" spans="2:27" ht="25.5" customHeight="1" thickBot="1">
      <c r="B26" s="28">
        <f t="shared" si="4"/>
        <v>22</v>
      </c>
      <c r="C26" s="11" t="s">
        <v>183</v>
      </c>
      <c r="D26" s="30" t="s">
        <v>144</v>
      </c>
      <c r="E26" s="31"/>
      <c r="F26" s="32" t="s">
        <v>184</v>
      </c>
      <c r="G26" s="11" t="s">
        <v>83</v>
      </c>
      <c r="H26" s="11" t="s">
        <v>137</v>
      </c>
      <c r="I26" s="11" t="s">
        <v>75</v>
      </c>
      <c r="J26" s="33">
        <v>801.22</v>
      </c>
      <c r="K26" s="34">
        <v>41820</v>
      </c>
      <c r="L26" s="35" t="s">
        <v>185</v>
      </c>
      <c r="M26" s="35" t="s">
        <v>77</v>
      </c>
      <c r="N26" s="11" t="s">
        <v>110</v>
      </c>
      <c r="O26" s="13" t="s">
        <v>111</v>
      </c>
      <c r="P26" s="50">
        <v>299495</v>
      </c>
      <c r="Q26" s="37">
        <f t="shared" si="6"/>
        <v>33252031.365000002</v>
      </c>
      <c r="R26" s="38" t="s">
        <v>27</v>
      </c>
      <c r="S26" s="47">
        <v>111.027</v>
      </c>
      <c r="T26" s="39">
        <f t="shared" si="1"/>
        <v>41909</v>
      </c>
      <c r="U26" s="11" t="s">
        <v>83</v>
      </c>
      <c r="V26" s="51">
        <f t="shared" si="2"/>
        <v>39902.437637999996</v>
      </c>
      <c r="W26" s="29">
        <v>155.72999999999999</v>
      </c>
      <c r="X26" s="37">
        <f t="shared" si="3"/>
        <v>6214006.6133657387</v>
      </c>
      <c r="Y26" s="45">
        <v>0</v>
      </c>
      <c r="Z26" s="29"/>
      <c r="AA26" s="29"/>
    </row>
    <row r="27" spans="2:27" ht="15.75" thickBot="1">
      <c r="P27" s="52">
        <f>SUM(P5:P26)</f>
        <v>8979798</v>
      </c>
      <c r="Q27" s="53">
        <f>SUM(Q5:Q26)</f>
        <v>1012271924.526</v>
      </c>
      <c r="R27" s="54"/>
      <c r="S27" s="55"/>
      <c r="T27" s="56"/>
      <c r="U27" s="57"/>
      <c r="V27" s="53">
        <f>SUM(V5:V26)</f>
        <v>1214726.3094311999</v>
      </c>
      <c r="W27" s="54"/>
      <c r="X27" s="53">
        <f>SUM(X5:X26)</f>
        <v>189169328.16772074</v>
      </c>
      <c r="Y27" s="58">
        <f>SUM(Y5:Y26)</f>
        <v>88816473.151813239</v>
      </c>
    </row>
  </sheetData>
  <pageMargins left="0" right="0" top="0" bottom="0" header="0.31496062992125984" footer="0"/>
  <pageSetup paperSize="8" orientation="landscape" r:id="rId1"/>
  <ignoredErrors>
    <ignoredError sqref="F7:F2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A34"/>
  <sheetViews>
    <sheetView tabSelected="1" workbookViewId="0">
      <selection activeCell="A36" sqref="A36:XFD43"/>
    </sheetView>
  </sheetViews>
  <sheetFormatPr defaultRowHeight="15"/>
  <cols>
    <col min="1" max="1" width="4.7109375" style="3" customWidth="1"/>
    <col min="2" max="2" width="3.5703125" style="3" customWidth="1"/>
    <col min="3" max="3" width="6.28515625" style="3" customWidth="1"/>
    <col min="4" max="4" width="8.28515625" style="4" customWidth="1"/>
    <col min="5" max="5" width="6" style="4" customWidth="1"/>
    <col min="6" max="6" width="10.5703125" style="4" customWidth="1"/>
    <col min="7" max="7" width="8.5703125" style="4" customWidth="1"/>
    <col min="8" max="8" width="8.42578125" style="4" customWidth="1"/>
    <col min="9" max="9" width="9.28515625" style="4" customWidth="1"/>
    <col min="10" max="10" width="6.140625" style="3" customWidth="1"/>
    <col min="11" max="11" width="6.42578125" style="5" customWidth="1"/>
    <col min="12" max="12" width="8.85546875" style="4" customWidth="1"/>
    <col min="13" max="13" width="5.7109375" style="5" customWidth="1"/>
    <col min="14" max="14" width="6.85546875" style="7" customWidth="1"/>
    <col min="15" max="15" width="9.5703125" style="8" customWidth="1"/>
    <col min="16" max="16" width="7.42578125" style="3" customWidth="1"/>
    <col min="17" max="17" width="11.7109375" style="3" customWidth="1"/>
    <col min="18" max="18" width="6" style="3" customWidth="1"/>
    <col min="19" max="19" width="5.85546875" style="9" customWidth="1"/>
    <col min="20" max="20" width="6.28515625" style="5" customWidth="1"/>
    <col min="21" max="21" width="8.28515625" style="4" customWidth="1"/>
    <col min="22" max="22" width="9.42578125" style="3" customWidth="1"/>
    <col min="23" max="23" width="5.140625" style="3" customWidth="1"/>
    <col min="24" max="25" width="12" style="3" customWidth="1"/>
    <col min="26" max="26" width="6.140625" style="3" customWidth="1"/>
    <col min="27" max="27" width="7.140625" style="3" customWidth="1"/>
    <col min="28" max="16384" width="9.140625" style="3"/>
  </cols>
  <sheetData>
    <row r="2" spans="2:27" ht="15.75">
      <c r="L2" s="6" t="s">
        <v>0</v>
      </c>
    </row>
    <row r="3" spans="2:27" ht="23.25" customHeight="1" thickBot="1">
      <c r="L3" s="6" t="s">
        <v>45</v>
      </c>
      <c r="P3" s="10"/>
    </row>
    <row r="4" spans="2:27" s="4" customFormat="1" ht="42.6" customHeight="1" thickBot="1">
      <c r="B4" s="22" t="s">
        <v>1</v>
      </c>
      <c r="C4" s="23" t="s">
        <v>2</v>
      </c>
      <c r="D4" s="23" t="s">
        <v>3</v>
      </c>
      <c r="E4" s="23" t="s">
        <v>4</v>
      </c>
      <c r="F4" s="24" t="s">
        <v>5</v>
      </c>
      <c r="G4" s="25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3" t="s">
        <v>11</v>
      </c>
      <c r="M4" s="23" t="s">
        <v>12</v>
      </c>
      <c r="N4" s="23" t="s">
        <v>13</v>
      </c>
      <c r="O4" s="23" t="s">
        <v>14</v>
      </c>
      <c r="P4" s="23" t="s">
        <v>15</v>
      </c>
      <c r="Q4" s="23" t="s">
        <v>16</v>
      </c>
      <c r="R4" s="23" t="s">
        <v>17</v>
      </c>
      <c r="S4" s="26" t="s">
        <v>18</v>
      </c>
      <c r="T4" s="23" t="s">
        <v>19</v>
      </c>
      <c r="U4" s="23" t="s">
        <v>20</v>
      </c>
      <c r="V4" s="23" t="s">
        <v>21</v>
      </c>
      <c r="W4" s="23" t="s">
        <v>22</v>
      </c>
      <c r="X4" s="23" t="s">
        <v>23</v>
      </c>
      <c r="Y4" s="23" t="s">
        <v>24</v>
      </c>
      <c r="Z4" s="23" t="s">
        <v>25</v>
      </c>
      <c r="AA4" s="27" t="s">
        <v>26</v>
      </c>
    </row>
    <row r="5" spans="2:27" ht="24" customHeight="1">
      <c r="B5" s="28">
        <v>1</v>
      </c>
      <c r="C5" s="11" t="s">
        <v>39</v>
      </c>
      <c r="D5" s="62" t="s">
        <v>44</v>
      </c>
      <c r="E5" s="31">
        <v>41801</v>
      </c>
      <c r="F5" s="32" t="s">
        <v>41</v>
      </c>
      <c r="G5" s="11" t="s">
        <v>33</v>
      </c>
      <c r="H5" s="11" t="s">
        <v>32</v>
      </c>
      <c r="I5" s="11" t="s">
        <v>34</v>
      </c>
      <c r="J5" s="33">
        <v>801.22</v>
      </c>
      <c r="K5" s="31">
        <v>41731</v>
      </c>
      <c r="L5" s="11" t="s">
        <v>38</v>
      </c>
      <c r="M5" s="11" t="s">
        <v>28</v>
      </c>
      <c r="N5" s="11" t="s">
        <v>30</v>
      </c>
      <c r="O5" s="13" t="s">
        <v>37</v>
      </c>
      <c r="P5" s="36">
        <v>110000</v>
      </c>
      <c r="Q5" s="37">
        <f t="shared" ref="Q5:Q6" si="0">SUM(P5*S5)</f>
        <v>12059520</v>
      </c>
      <c r="R5" s="38" t="s">
        <v>27</v>
      </c>
      <c r="S5" s="1">
        <v>109.63200000000001</v>
      </c>
      <c r="T5" s="39">
        <f>SUM(K5)+89</f>
        <v>41820</v>
      </c>
      <c r="U5" s="11" t="s">
        <v>35</v>
      </c>
      <c r="V5" s="51">
        <f t="shared" ref="V5:V6" si="1">SUM(Q5*0.12%)</f>
        <v>14471.423999999999</v>
      </c>
      <c r="W5" s="29">
        <v>155.72999999999999</v>
      </c>
      <c r="X5" s="37">
        <f t="shared" ref="X5:X6" si="2">SUM(V5*W5)</f>
        <v>2253634.8595199995</v>
      </c>
      <c r="Y5" s="63">
        <v>2253634.86</v>
      </c>
      <c r="Z5" s="39">
        <v>41800</v>
      </c>
      <c r="AA5" s="64">
        <v>29698</v>
      </c>
    </row>
    <row r="6" spans="2:27" ht="24" customHeight="1">
      <c r="B6" s="28">
        <f t="shared" ref="B6:B22" si="3">B5+1</f>
        <v>2</v>
      </c>
      <c r="C6" s="11" t="s">
        <v>40</v>
      </c>
      <c r="D6" s="62" t="s">
        <v>43</v>
      </c>
      <c r="E6" s="31">
        <v>41801</v>
      </c>
      <c r="F6" s="32" t="s">
        <v>42</v>
      </c>
      <c r="G6" s="11" t="s">
        <v>33</v>
      </c>
      <c r="H6" s="11" t="s">
        <v>32</v>
      </c>
      <c r="I6" s="11" t="s">
        <v>34</v>
      </c>
      <c r="J6" s="33">
        <v>801.22</v>
      </c>
      <c r="K6" s="31">
        <v>41747</v>
      </c>
      <c r="L6" s="11" t="s">
        <v>36</v>
      </c>
      <c r="M6" s="11" t="s">
        <v>28</v>
      </c>
      <c r="N6" s="11" t="s">
        <v>29</v>
      </c>
      <c r="O6" s="13" t="s">
        <v>31</v>
      </c>
      <c r="P6" s="65">
        <v>178000</v>
      </c>
      <c r="Q6" s="37">
        <f t="shared" si="0"/>
        <v>19514496</v>
      </c>
      <c r="R6" s="38" t="s">
        <v>27</v>
      </c>
      <c r="S6" s="1">
        <v>109.63200000000001</v>
      </c>
      <c r="T6" s="39">
        <f>SUM(K6)+89</f>
        <v>41836</v>
      </c>
      <c r="U6" s="11" t="s">
        <v>35</v>
      </c>
      <c r="V6" s="51">
        <f t="shared" si="1"/>
        <v>23417.395199999999</v>
      </c>
      <c r="W6" s="29">
        <v>155.72999999999999</v>
      </c>
      <c r="X6" s="37">
        <f t="shared" si="2"/>
        <v>3646790.9544959995</v>
      </c>
      <c r="Y6" s="63">
        <v>3646790.95</v>
      </c>
      <c r="Z6" s="39">
        <v>41800</v>
      </c>
      <c r="AA6" s="64">
        <v>29699</v>
      </c>
    </row>
    <row r="7" spans="2:27" ht="24" customHeight="1">
      <c r="B7" s="28">
        <f t="shared" si="3"/>
        <v>3</v>
      </c>
      <c r="C7" s="11" t="s">
        <v>46</v>
      </c>
      <c r="D7" s="13" t="s">
        <v>47</v>
      </c>
      <c r="E7" s="34">
        <v>41803</v>
      </c>
      <c r="F7" s="66" t="s">
        <v>48</v>
      </c>
      <c r="G7" s="11" t="s">
        <v>49</v>
      </c>
      <c r="H7" s="11" t="s">
        <v>50</v>
      </c>
      <c r="I7" s="11" t="s">
        <v>34</v>
      </c>
      <c r="J7" s="33">
        <v>801.22</v>
      </c>
      <c r="K7" s="31">
        <v>41542</v>
      </c>
      <c r="L7" s="11" t="s">
        <v>51</v>
      </c>
      <c r="M7" s="11" t="s">
        <v>52</v>
      </c>
      <c r="N7" s="11" t="s">
        <v>53</v>
      </c>
      <c r="O7" s="13" t="s">
        <v>54</v>
      </c>
      <c r="P7" s="67">
        <v>123000</v>
      </c>
      <c r="Q7" s="37">
        <f t="shared" ref="Q7:Q8" si="4">SUM(P7*S7)</f>
        <v>13592853</v>
      </c>
      <c r="R7" s="38" t="s">
        <v>27</v>
      </c>
      <c r="S7" s="2">
        <v>110.511</v>
      </c>
      <c r="T7" s="39">
        <f t="shared" ref="T7" si="5">SUM(K7)+89</f>
        <v>41631</v>
      </c>
      <c r="U7" s="29" t="s">
        <v>55</v>
      </c>
      <c r="V7" s="51">
        <f t="shared" ref="V7:V15" si="6">SUM(Q7*0.12%)</f>
        <v>16311.423599999998</v>
      </c>
      <c r="W7" s="29">
        <v>155.75</v>
      </c>
      <c r="X7" s="37">
        <f t="shared" ref="X7:X22" si="7">SUM(V7*W7)</f>
        <v>2540504.2256999998</v>
      </c>
      <c r="Y7" s="63">
        <v>2635110.48</v>
      </c>
      <c r="Z7" s="39">
        <v>41603</v>
      </c>
      <c r="AA7" s="64">
        <v>8977</v>
      </c>
    </row>
    <row r="8" spans="2:27" ht="24" customHeight="1">
      <c r="B8" s="28">
        <f t="shared" si="3"/>
        <v>4</v>
      </c>
      <c r="C8" s="11" t="s">
        <v>56</v>
      </c>
      <c r="D8" s="30" t="s">
        <v>57</v>
      </c>
      <c r="E8" s="31">
        <v>41806</v>
      </c>
      <c r="F8" s="32" t="s">
        <v>58</v>
      </c>
      <c r="G8" s="11" t="s">
        <v>59</v>
      </c>
      <c r="H8" s="11" t="s">
        <v>60</v>
      </c>
      <c r="I8" s="11" t="s">
        <v>61</v>
      </c>
      <c r="J8" s="33">
        <v>801.22</v>
      </c>
      <c r="K8" s="31">
        <v>41768</v>
      </c>
      <c r="L8" s="11" t="s">
        <v>62</v>
      </c>
      <c r="M8" s="11" t="s">
        <v>63</v>
      </c>
      <c r="N8" s="11" t="s">
        <v>30</v>
      </c>
      <c r="O8" s="13" t="s">
        <v>64</v>
      </c>
      <c r="P8" s="36">
        <v>631195</v>
      </c>
      <c r="Q8" s="37">
        <f t="shared" si="4"/>
        <v>66642830.489999995</v>
      </c>
      <c r="R8" s="38" t="s">
        <v>27</v>
      </c>
      <c r="S8" s="1">
        <v>105.58199999999999</v>
      </c>
      <c r="T8" s="39">
        <f t="shared" ref="T8" si="8">SUM(K8)+89</f>
        <v>41857</v>
      </c>
      <c r="U8" s="11" t="s">
        <v>49</v>
      </c>
      <c r="V8" s="51">
        <f t="shared" si="6"/>
        <v>79971.396587999989</v>
      </c>
      <c r="W8" s="29">
        <v>155.72999999999999</v>
      </c>
      <c r="X8" s="37">
        <f t="shared" si="7"/>
        <v>12453945.590649238</v>
      </c>
      <c r="Y8" s="63">
        <v>12453946.119999999</v>
      </c>
      <c r="Z8" s="39">
        <v>41803</v>
      </c>
      <c r="AA8" s="64">
        <v>4132</v>
      </c>
    </row>
    <row r="9" spans="2:27" ht="24" customHeight="1">
      <c r="B9" s="28">
        <f t="shared" si="3"/>
        <v>5</v>
      </c>
      <c r="C9" s="11" t="s">
        <v>65</v>
      </c>
      <c r="D9" s="13" t="s">
        <v>66</v>
      </c>
      <c r="E9" s="34">
        <v>41813</v>
      </c>
      <c r="F9" s="32" t="s">
        <v>67</v>
      </c>
      <c r="G9" s="11" t="s">
        <v>49</v>
      </c>
      <c r="H9" s="11" t="s">
        <v>50</v>
      </c>
      <c r="I9" s="11" t="s">
        <v>34</v>
      </c>
      <c r="J9" s="33">
        <v>801.22</v>
      </c>
      <c r="K9" s="31">
        <v>41615</v>
      </c>
      <c r="L9" s="11" t="s">
        <v>68</v>
      </c>
      <c r="M9" s="11" t="s">
        <v>28</v>
      </c>
      <c r="N9" s="11" t="s">
        <v>30</v>
      </c>
      <c r="O9" s="13" t="s">
        <v>69</v>
      </c>
      <c r="P9" s="36">
        <v>509000</v>
      </c>
      <c r="Q9" s="37">
        <f t="shared" ref="Q9:Q22" si="9">SUM(P9*S9)</f>
        <v>56395673</v>
      </c>
      <c r="R9" s="38" t="s">
        <v>27</v>
      </c>
      <c r="S9" s="1">
        <v>110.797</v>
      </c>
      <c r="T9" s="39">
        <f t="shared" ref="T9" si="10">SUM(K9)+89</f>
        <v>41704</v>
      </c>
      <c r="U9" s="29" t="s">
        <v>55</v>
      </c>
      <c r="V9" s="51">
        <f t="shared" si="6"/>
        <v>67674.8076</v>
      </c>
      <c r="W9" s="68">
        <v>155.69999999999999</v>
      </c>
      <c r="X9" s="37">
        <f t="shared" si="7"/>
        <v>10536967.54332</v>
      </c>
      <c r="Y9" s="63">
        <v>10829992.689999999</v>
      </c>
      <c r="Z9" s="39">
        <v>41787</v>
      </c>
      <c r="AA9" s="64">
        <v>7711</v>
      </c>
    </row>
    <row r="10" spans="2:27" ht="24" customHeight="1">
      <c r="B10" s="28">
        <f t="shared" si="3"/>
        <v>6</v>
      </c>
      <c r="C10" s="11" t="s">
        <v>70</v>
      </c>
      <c r="D10" s="31" t="s">
        <v>71</v>
      </c>
      <c r="E10" s="31">
        <v>41820</v>
      </c>
      <c r="F10" s="66" t="s">
        <v>72</v>
      </c>
      <c r="G10" s="11" t="s">
        <v>73</v>
      </c>
      <c r="H10" s="11" t="s">
        <v>74</v>
      </c>
      <c r="I10" s="11" t="s">
        <v>75</v>
      </c>
      <c r="J10" s="33">
        <v>801.22</v>
      </c>
      <c r="K10" s="31">
        <v>41754</v>
      </c>
      <c r="L10" s="11" t="s">
        <v>76</v>
      </c>
      <c r="M10" s="11" t="s">
        <v>77</v>
      </c>
      <c r="N10" s="11" t="s">
        <v>29</v>
      </c>
      <c r="O10" s="13" t="s">
        <v>78</v>
      </c>
      <c r="P10" s="65">
        <v>949194</v>
      </c>
      <c r="Q10" s="37">
        <f t="shared" si="9"/>
        <v>103501062.954</v>
      </c>
      <c r="R10" s="38" t="s">
        <v>27</v>
      </c>
      <c r="S10" s="47">
        <v>109.041</v>
      </c>
      <c r="T10" s="39">
        <f t="shared" ref="T10" si="11">SUM(K10)+89</f>
        <v>41843</v>
      </c>
      <c r="U10" s="11" t="s">
        <v>79</v>
      </c>
      <c r="V10" s="51">
        <f t="shared" si="6"/>
        <v>124201.27554479998</v>
      </c>
      <c r="W10" s="29">
        <v>155.72999999999999</v>
      </c>
      <c r="X10" s="37">
        <f t="shared" si="7"/>
        <v>19341864.6405917</v>
      </c>
      <c r="Y10" s="63">
        <v>19341865.329999998</v>
      </c>
      <c r="Z10" s="39">
        <v>41816</v>
      </c>
      <c r="AA10" s="64">
        <v>1518</v>
      </c>
    </row>
    <row r="11" spans="2:27" ht="24" customHeight="1">
      <c r="B11" s="28">
        <f t="shared" si="3"/>
        <v>7</v>
      </c>
      <c r="C11" s="11" t="s">
        <v>80</v>
      </c>
      <c r="D11" s="11" t="s">
        <v>81</v>
      </c>
      <c r="E11" s="31">
        <v>41820</v>
      </c>
      <c r="F11" s="66" t="s">
        <v>82</v>
      </c>
      <c r="G11" s="11" t="s">
        <v>83</v>
      </c>
      <c r="H11" s="11" t="s">
        <v>84</v>
      </c>
      <c r="I11" s="11" t="s">
        <v>34</v>
      </c>
      <c r="J11" s="33">
        <v>801.22</v>
      </c>
      <c r="K11" s="31">
        <v>41731</v>
      </c>
      <c r="L11" s="11" t="s">
        <v>38</v>
      </c>
      <c r="M11" s="11" t="s">
        <v>28</v>
      </c>
      <c r="N11" s="11" t="s">
        <v>30</v>
      </c>
      <c r="O11" s="13" t="s">
        <v>37</v>
      </c>
      <c r="P11" s="36">
        <v>24000</v>
      </c>
      <c r="Q11" s="37">
        <f t="shared" si="9"/>
        <v>2626368</v>
      </c>
      <c r="R11" s="38" t="s">
        <v>27</v>
      </c>
      <c r="S11" s="1">
        <v>109.432</v>
      </c>
      <c r="T11" s="39">
        <f t="shared" ref="T11:T15" si="12">SUM(K11)+89</f>
        <v>41820</v>
      </c>
      <c r="U11" s="13" t="s">
        <v>83</v>
      </c>
      <c r="V11" s="51">
        <f t="shared" si="6"/>
        <v>3151.6415999999999</v>
      </c>
      <c r="W11" s="29">
        <v>155.72999999999999</v>
      </c>
      <c r="X11" s="37">
        <f t="shared" si="7"/>
        <v>490805.14636799996</v>
      </c>
      <c r="Y11" s="63">
        <v>490805.15</v>
      </c>
      <c r="Z11" s="39">
        <v>41820</v>
      </c>
      <c r="AA11" s="64">
        <v>3594</v>
      </c>
    </row>
    <row r="12" spans="2:27" ht="24" customHeight="1">
      <c r="B12" s="28">
        <f t="shared" si="3"/>
        <v>8</v>
      </c>
      <c r="C12" s="11" t="s">
        <v>85</v>
      </c>
      <c r="D12" s="11" t="s">
        <v>86</v>
      </c>
      <c r="E12" s="31">
        <v>41820</v>
      </c>
      <c r="F12" s="66" t="s">
        <v>87</v>
      </c>
      <c r="G12" s="11" t="s">
        <v>83</v>
      </c>
      <c r="H12" s="11" t="s">
        <v>84</v>
      </c>
      <c r="I12" s="11" t="s">
        <v>34</v>
      </c>
      <c r="J12" s="33">
        <v>801.22</v>
      </c>
      <c r="K12" s="31">
        <v>41731</v>
      </c>
      <c r="L12" s="11" t="s">
        <v>38</v>
      </c>
      <c r="M12" s="11" t="s">
        <v>28</v>
      </c>
      <c r="N12" s="11" t="s">
        <v>30</v>
      </c>
      <c r="O12" s="13" t="s">
        <v>37</v>
      </c>
      <c r="P12" s="36">
        <v>36000</v>
      </c>
      <c r="Q12" s="37">
        <f t="shared" si="9"/>
        <v>3939552</v>
      </c>
      <c r="R12" s="38" t="s">
        <v>27</v>
      </c>
      <c r="S12" s="1">
        <v>109.432</v>
      </c>
      <c r="T12" s="39">
        <f t="shared" si="12"/>
        <v>41820</v>
      </c>
      <c r="U12" s="13" t="s">
        <v>83</v>
      </c>
      <c r="V12" s="51">
        <f t="shared" si="6"/>
        <v>4727.4623999999994</v>
      </c>
      <c r="W12" s="29">
        <v>155.72999999999999</v>
      </c>
      <c r="X12" s="37">
        <f t="shared" si="7"/>
        <v>736207.71955199982</v>
      </c>
      <c r="Y12" s="63">
        <v>736204.72</v>
      </c>
      <c r="Z12" s="39">
        <v>41820</v>
      </c>
      <c r="AA12" s="64">
        <v>3595</v>
      </c>
    </row>
    <row r="13" spans="2:27" ht="24" customHeight="1">
      <c r="B13" s="28">
        <f t="shared" si="3"/>
        <v>9</v>
      </c>
      <c r="C13" s="11" t="s">
        <v>88</v>
      </c>
      <c r="D13" s="11" t="s">
        <v>89</v>
      </c>
      <c r="E13" s="31">
        <v>41820</v>
      </c>
      <c r="F13" s="66" t="s">
        <v>90</v>
      </c>
      <c r="G13" s="11" t="s">
        <v>91</v>
      </c>
      <c r="H13" s="11" t="s">
        <v>84</v>
      </c>
      <c r="I13" s="11" t="s">
        <v>34</v>
      </c>
      <c r="J13" s="33">
        <v>801.22</v>
      </c>
      <c r="K13" s="31">
        <v>41731</v>
      </c>
      <c r="L13" s="11" t="s">
        <v>38</v>
      </c>
      <c r="M13" s="11" t="s">
        <v>28</v>
      </c>
      <c r="N13" s="11" t="s">
        <v>30</v>
      </c>
      <c r="O13" s="13" t="s">
        <v>37</v>
      </c>
      <c r="P13" s="36">
        <v>30000</v>
      </c>
      <c r="Q13" s="37">
        <f t="shared" si="9"/>
        <v>3282960</v>
      </c>
      <c r="R13" s="38" t="s">
        <v>27</v>
      </c>
      <c r="S13" s="1">
        <v>109.432</v>
      </c>
      <c r="T13" s="39">
        <f t="shared" si="12"/>
        <v>41820</v>
      </c>
      <c r="U13" s="13" t="s">
        <v>83</v>
      </c>
      <c r="V13" s="51">
        <f t="shared" si="6"/>
        <v>3939.5519999999997</v>
      </c>
      <c r="W13" s="29">
        <v>155.72999999999999</v>
      </c>
      <c r="X13" s="37">
        <f t="shared" si="7"/>
        <v>613506.43295999989</v>
      </c>
      <c r="Y13" s="63">
        <v>613506.43000000005</v>
      </c>
      <c r="Z13" s="39">
        <v>41820</v>
      </c>
      <c r="AA13" s="64">
        <v>3596</v>
      </c>
    </row>
    <row r="14" spans="2:27" ht="24" customHeight="1">
      <c r="B14" s="28">
        <f t="shared" si="3"/>
        <v>10</v>
      </c>
      <c r="C14" s="11" t="s">
        <v>92</v>
      </c>
      <c r="D14" s="11" t="s">
        <v>93</v>
      </c>
      <c r="E14" s="31">
        <v>41820</v>
      </c>
      <c r="F14" s="66" t="s">
        <v>94</v>
      </c>
      <c r="G14" s="11" t="s">
        <v>83</v>
      </c>
      <c r="H14" s="11" t="s">
        <v>84</v>
      </c>
      <c r="I14" s="11" t="s">
        <v>34</v>
      </c>
      <c r="J14" s="33">
        <v>801.22</v>
      </c>
      <c r="K14" s="31">
        <v>41747</v>
      </c>
      <c r="L14" s="11" t="s">
        <v>36</v>
      </c>
      <c r="M14" s="11" t="s">
        <v>28</v>
      </c>
      <c r="N14" s="11" t="s">
        <v>29</v>
      </c>
      <c r="O14" s="13" t="s">
        <v>31</v>
      </c>
      <c r="P14" s="65">
        <v>25000</v>
      </c>
      <c r="Q14" s="37">
        <f t="shared" si="9"/>
        <v>2778600</v>
      </c>
      <c r="R14" s="38" t="s">
        <v>27</v>
      </c>
      <c r="S14" s="1">
        <v>111.14400000000001</v>
      </c>
      <c r="T14" s="39">
        <f t="shared" si="12"/>
        <v>41836</v>
      </c>
      <c r="U14" s="13" t="s">
        <v>83</v>
      </c>
      <c r="V14" s="51">
        <f t="shared" si="6"/>
        <v>3334.3199999999997</v>
      </c>
      <c r="W14" s="29">
        <v>155.72999999999999</v>
      </c>
      <c r="X14" s="37">
        <f t="shared" si="7"/>
        <v>519253.6535999999</v>
      </c>
      <c r="Y14" s="63">
        <v>519253.65</v>
      </c>
      <c r="Z14" s="39">
        <v>41820</v>
      </c>
      <c r="AA14" s="64">
        <v>3597</v>
      </c>
    </row>
    <row r="15" spans="2:27" ht="24" customHeight="1">
      <c r="B15" s="28">
        <f t="shared" si="3"/>
        <v>11</v>
      </c>
      <c r="C15" s="11" t="s">
        <v>95</v>
      </c>
      <c r="D15" s="11" t="s">
        <v>96</v>
      </c>
      <c r="E15" s="31">
        <v>41820</v>
      </c>
      <c r="F15" s="66" t="s">
        <v>97</v>
      </c>
      <c r="G15" s="11" t="s">
        <v>91</v>
      </c>
      <c r="H15" s="11" t="s">
        <v>84</v>
      </c>
      <c r="I15" s="11" t="s">
        <v>34</v>
      </c>
      <c r="J15" s="33">
        <v>801.22</v>
      </c>
      <c r="K15" s="31">
        <v>41747</v>
      </c>
      <c r="L15" s="11" t="s">
        <v>36</v>
      </c>
      <c r="M15" s="11" t="s">
        <v>28</v>
      </c>
      <c r="N15" s="11" t="s">
        <v>29</v>
      </c>
      <c r="O15" s="13" t="s">
        <v>31</v>
      </c>
      <c r="P15" s="65">
        <v>37000</v>
      </c>
      <c r="Q15" s="37">
        <f t="shared" si="9"/>
        <v>4112328</v>
      </c>
      <c r="R15" s="38" t="s">
        <v>27</v>
      </c>
      <c r="S15" s="1">
        <v>111.14400000000001</v>
      </c>
      <c r="T15" s="39">
        <f t="shared" si="12"/>
        <v>41836</v>
      </c>
      <c r="U15" s="13" t="s">
        <v>83</v>
      </c>
      <c r="V15" s="51">
        <f t="shared" si="6"/>
        <v>4934.7936</v>
      </c>
      <c r="W15" s="29">
        <v>155.72999999999999</v>
      </c>
      <c r="X15" s="37">
        <f t="shared" si="7"/>
        <v>768495.40732799994</v>
      </c>
      <c r="Y15" s="63">
        <v>768495.41</v>
      </c>
      <c r="Z15" s="39">
        <v>41820</v>
      </c>
      <c r="AA15" s="64">
        <v>3599</v>
      </c>
    </row>
    <row r="16" spans="2:27" ht="24" customHeight="1">
      <c r="B16" s="28">
        <f t="shared" si="3"/>
        <v>12</v>
      </c>
      <c r="C16" s="11" t="s">
        <v>98</v>
      </c>
      <c r="D16" s="31" t="s">
        <v>99</v>
      </c>
      <c r="E16" s="34">
        <v>41820</v>
      </c>
      <c r="F16" s="12" t="s">
        <v>100</v>
      </c>
      <c r="G16" s="11" t="s">
        <v>101</v>
      </c>
      <c r="H16" s="11" t="s">
        <v>102</v>
      </c>
      <c r="I16" s="11" t="s">
        <v>34</v>
      </c>
      <c r="J16" s="33">
        <v>801.22</v>
      </c>
      <c r="K16" s="34">
        <v>41799</v>
      </c>
      <c r="L16" s="35" t="s">
        <v>103</v>
      </c>
      <c r="M16" s="46" t="s">
        <v>28</v>
      </c>
      <c r="N16" s="11" t="s">
        <v>104</v>
      </c>
      <c r="O16" s="13" t="s">
        <v>105</v>
      </c>
      <c r="P16" s="43">
        <v>399733</v>
      </c>
      <c r="Q16" s="37">
        <f t="shared" si="9"/>
        <v>44673360.614</v>
      </c>
      <c r="R16" s="38" t="s">
        <v>27</v>
      </c>
      <c r="S16" s="47">
        <v>111.758</v>
      </c>
      <c r="T16" s="39">
        <f t="shared" ref="T16:T22" si="13">SUM(K16)+89</f>
        <v>41888</v>
      </c>
      <c r="U16" s="11" t="s">
        <v>101</v>
      </c>
      <c r="V16" s="41">
        <f t="shared" ref="V16:V22" si="14">SUM(Q16*0.12%)</f>
        <v>53608.032736799993</v>
      </c>
      <c r="W16" s="29">
        <v>155.72999999999999</v>
      </c>
      <c r="X16" s="37">
        <f t="shared" si="7"/>
        <v>8348378.9381018626</v>
      </c>
      <c r="Y16" s="48">
        <f t="shared" ref="Y16:Y22" si="15">X16</f>
        <v>8348378.9381018626</v>
      </c>
      <c r="Z16" s="29"/>
      <c r="AA16" s="29"/>
    </row>
    <row r="17" spans="2:27" ht="24" customHeight="1">
      <c r="B17" s="28">
        <f t="shared" si="3"/>
        <v>13</v>
      </c>
      <c r="C17" s="11" t="s">
        <v>106</v>
      </c>
      <c r="D17" s="31" t="s">
        <v>107</v>
      </c>
      <c r="E17" s="34">
        <v>41820</v>
      </c>
      <c r="F17" s="12" t="s">
        <v>108</v>
      </c>
      <c r="G17" s="11" t="s">
        <v>101</v>
      </c>
      <c r="H17" s="11" t="s">
        <v>102</v>
      </c>
      <c r="I17" s="11" t="s">
        <v>34</v>
      </c>
      <c r="J17" s="33">
        <v>801.22</v>
      </c>
      <c r="K17" s="34">
        <v>41802</v>
      </c>
      <c r="L17" s="35" t="s">
        <v>109</v>
      </c>
      <c r="M17" s="46" t="s">
        <v>28</v>
      </c>
      <c r="N17" s="11" t="s">
        <v>110</v>
      </c>
      <c r="O17" s="13" t="s">
        <v>111</v>
      </c>
      <c r="P17" s="43">
        <v>949823</v>
      </c>
      <c r="Q17" s="37">
        <f t="shared" si="9"/>
        <v>107770716.87199999</v>
      </c>
      <c r="R17" s="38" t="s">
        <v>27</v>
      </c>
      <c r="S17" s="47">
        <v>113.464</v>
      </c>
      <c r="T17" s="39">
        <f t="shared" si="13"/>
        <v>41891</v>
      </c>
      <c r="U17" s="11" t="s">
        <v>101</v>
      </c>
      <c r="V17" s="41">
        <f t="shared" si="14"/>
        <v>129324.86024639999</v>
      </c>
      <c r="W17" s="29">
        <v>155.72999999999999</v>
      </c>
      <c r="X17" s="37">
        <f t="shared" si="7"/>
        <v>20139760.486171868</v>
      </c>
      <c r="Y17" s="48">
        <f t="shared" si="15"/>
        <v>20139760.486171868</v>
      </c>
      <c r="Z17" s="29"/>
      <c r="AA17" s="29"/>
    </row>
    <row r="18" spans="2:27" ht="24" customHeight="1">
      <c r="B18" s="28">
        <f t="shared" si="3"/>
        <v>14</v>
      </c>
      <c r="C18" s="11" t="s">
        <v>112</v>
      </c>
      <c r="D18" s="31" t="s">
        <v>113</v>
      </c>
      <c r="E18" s="34">
        <v>41820</v>
      </c>
      <c r="F18" s="32" t="s">
        <v>114</v>
      </c>
      <c r="G18" s="11" t="s">
        <v>101</v>
      </c>
      <c r="H18" s="35" t="s">
        <v>102</v>
      </c>
      <c r="I18" s="11" t="s">
        <v>115</v>
      </c>
      <c r="J18" s="33">
        <v>801.22</v>
      </c>
      <c r="K18" s="34">
        <v>41807</v>
      </c>
      <c r="L18" s="35" t="s">
        <v>116</v>
      </c>
      <c r="M18" s="35" t="s">
        <v>117</v>
      </c>
      <c r="N18" s="11" t="s">
        <v>30</v>
      </c>
      <c r="O18" s="13" t="s">
        <v>69</v>
      </c>
      <c r="P18" s="43">
        <v>950330</v>
      </c>
      <c r="Q18" s="37">
        <f t="shared" si="9"/>
        <v>110929169.91</v>
      </c>
      <c r="R18" s="38" t="s">
        <v>27</v>
      </c>
      <c r="S18" s="47">
        <v>116.727</v>
      </c>
      <c r="T18" s="39">
        <f t="shared" si="13"/>
        <v>41896</v>
      </c>
      <c r="U18" s="11" t="s">
        <v>101</v>
      </c>
      <c r="V18" s="41">
        <f t="shared" si="14"/>
        <v>133115.00389199998</v>
      </c>
      <c r="W18" s="29">
        <v>155.72999999999999</v>
      </c>
      <c r="X18" s="37">
        <f t="shared" si="7"/>
        <v>20729999.556101155</v>
      </c>
      <c r="Y18" s="48">
        <f t="shared" si="15"/>
        <v>20729999.556101155</v>
      </c>
      <c r="Z18" s="29"/>
      <c r="AA18" s="29"/>
    </row>
    <row r="19" spans="2:27" ht="24" customHeight="1">
      <c r="B19" s="28">
        <f t="shared" si="3"/>
        <v>15</v>
      </c>
      <c r="C19" s="11" t="s">
        <v>118</v>
      </c>
      <c r="D19" s="31" t="s">
        <v>119</v>
      </c>
      <c r="E19" s="34">
        <v>41820</v>
      </c>
      <c r="F19" s="32" t="s">
        <v>120</v>
      </c>
      <c r="G19" s="11" t="s">
        <v>101</v>
      </c>
      <c r="H19" s="35" t="s">
        <v>102</v>
      </c>
      <c r="I19" s="11" t="s">
        <v>121</v>
      </c>
      <c r="J19" s="33">
        <v>801.22</v>
      </c>
      <c r="K19" s="34">
        <v>41809</v>
      </c>
      <c r="L19" s="35" t="s">
        <v>122</v>
      </c>
      <c r="M19" s="35" t="s">
        <v>123</v>
      </c>
      <c r="N19" s="11" t="s">
        <v>124</v>
      </c>
      <c r="O19" s="13" t="s">
        <v>125</v>
      </c>
      <c r="P19" s="43">
        <v>899955</v>
      </c>
      <c r="Q19" s="37">
        <f t="shared" si="9"/>
        <v>105461226.675</v>
      </c>
      <c r="R19" s="38" t="s">
        <v>27</v>
      </c>
      <c r="S19" s="47">
        <v>117.185</v>
      </c>
      <c r="T19" s="39">
        <f t="shared" si="13"/>
        <v>41898</v>
      </c>
      <c r="U19" s="11" t="s">
        <v>101</v>
      </c>
      <c r="V19" s="41">
        <f t="shared" si="14"/>
        <v>126553.47200999998</v>
      </c>
      <c r="W19" s="29">
        <v>155.72999999999999</v>
      </c>
      <c r="X19" s="37">
        <f t="shared" si="7"/>
        <v>19708172.196117297</v>
      </c>
      <c r="Y19" s="48">
        <f t="shared" si="15"/>
        <v>19708172.196117297</v>
      </c>
      <c r="Z19" s="29"/>
      <c r="AA19" s="29"/>
    </row>
    <row r="20" spans="2:27" ht="24" customHeight="1">
      <c r="B20" s="28">
        <f t="shared" si="3"/>
        <v>16</v>
      </c>
      <c r="C20" s="11" t="s">
        <v>126</v>
      </c>
      <c r="D20" s="31" t="s">
        <v>127</v>
      </c>
      <c r="E20" s="34">
        <v>41820</v>
      </c>
      <c r="F20" s="32" t="s">
        <v>128</v>
      </c>
      <c r="G20" s="11" t="s">
        <v>101</v>
      </c>
      <c r="H20" s="11" t="s">
        <v>102</v>
      </c>
      <c r="I20" s="11" t="s">
        <v>75</v>
      </c>
      <c r="J20" s="33">
        <v>801.22</v>
      </c>
      <c r="K20" s="34">
        <v>41813</v>
      </c>
      <c r="L20" s="35" t="s">
        <v>129</v>
      </c>
      <c r="M20" s="35" t="s">
        <v>77</v>
      </c>
      <c r="N20" s="11" t="s">
        <v>29</v>
      </c>
      <c r="O20" s="13" t="s">
        <v>78</v>
      </c>
      <c r="P20" s="43">
        <v>507077</v>
      </c>
      <c r="Q20" s="37">
        <f t="shared" si="9"/>
        <v>57594819.813999996</v>
      </c>
      <c r="R20" s="38" t="s">
        <v>27</v>
      </c>
      <c r="S20" s="49">
        <v>113.58199999999999</v>
      </c>
      <c r="T20" s="39">
        <f t="shared" si="13"/>
        <v>41902</v>
      </c>
      <c r="U20" s="11" t="s">
        <v>101</v>
      </c>
      <c r="V20" s="41">
        <f t="shared" si="14"/>
        <v>69113.783776799988</v>
      </c>
      <c r="W20" s="29">
        <v>155.72999999999999</v>
      </c>
      <c r="X20" s="37">
        <f t="shared" si="7"/>
        <v>10763089.547561061</v>
      </c>
      <c r="Y20" s="48">
        <f t="shared" si="15"/>
        <v>10763089.547561061</v>
      </c>
      <c r="Z20" s="29"/>
      <c r="AA20" s="29"/>
    </row>
    <row r="21" spans="2:27" ht="24" customHeight="1">
      <c r="B21" s="28">
        <f t="shared" si="3"/>
        <v>17</v>
      </c>
      <c r="C21" s="11" t="s">
        <v>130</v>
      </c>
      <c r="D21" s="31" t="s">
        <v>131</v>
      </c>
      <c r="E21" s="34">
        <v>41820</v>
      </c>
      <c r="F21" s="32" t="s">
        <v>132</v>
      </c>
      <c r="G21" s="11" t="s">
        <v>101</v>
      </c>
      <c r="H21" s="11" t="s">
        <v>102</v>
      </c>
      <c r="I21" s="11" t="s">
        <v>75</v>
      </c>
      <c r="J21" s="33">
        <v>801.22</v>
      </c>
      <c r="K21" s="34">
        <v>41813</v>
      </c>
      <c r="L21" s="35" t="s">
        <v>129</v>
      </c>
      <c r="M21" s="35" t="s">
        <v>77</v>
      </c>
      <c r="N21" s="11" t="s">
        <v>29</v>
      </c>
      <c r="O21" s="13" t="s">
        <v>78</v>
      </c>
      <c r="P21" s="43">
        <v>30000</v>
      </c>
      <c r="Q21" s="37">
        <f t="shared" si="9"/>
        <v>3407460</v>
      </c>
      <c r="R21" s="38" t="s">
        <v>27</v>
      </c>
      <c r="S21" s="49">
        <v>113.58199999999999</v>
      </c>
      <c r="T21" s="39">
        <f t="shared" si="13"/>
        <v>41902</v>
      </c>
      <c r="U21" s="11" t="s">
        <v>101</v>
      </c>
      <c r="V21" s="41">
        <f t="shared" si="14"/>
        <v>4088.9519999999998</v>
      </c>
      <c r="W21" s="29">
        <v>155.72999999999999</v>
      </c>
      <c r="X21" s="37">
        <f t="shared" si="7"/>
        <v>636772.49495999992</v>
      </c>
      <c r="Y21" s="48">
        <f t="shared" si="15"/>
        <v>636772.49495999992</v>
      </c>
      <c r="Z21" s="29"/>
      <c r="AA21" s="29"/>
    </row>
    <row r="22" spans="2:27" ht="24" customHeight="1" thickBot="1">
      <c r="B22" s="28">
        <f t="shared" si="3"/>
        <v>18</v>
      </c>
      <c r="C22" s="11" t="s">
        <v>133</v>
      </c>
      <c r="D22" s="31" t="s">
        <v>134</v>
      </c>
      <c r="E22" s="34">
        <v>41820</v>
      </c>
      <c r="F22" s="32" t="s">
        <v>135</v>
      </c>
      <c r="G22" s="11" t="s">
        <v>101</v>
      </c>
      <c r="H22" s="11" t="s">
        <v>102</v>
      </c>
      <c r="I22" s="11" t="s">
        <v>75</v>
      </c>
      <c r="J22" s="33">
        <v>801.22</v>
      </c>
      <c r="K22" s="34">
        <v>41813</v>
      </c>
      <c r="L22" s="35" t="s">
        <v>129</v>
      </c>
      <c r="M22" s="35" t="s">
        <v>77</v>
      </c>
      <c r="N22" s="11" t="s">
        <v>29</v>
      </c>
      <c r="O22" s="13" t="s">
        <v>78</v>
      </c>
      <c r="P22" s="43">
        <v>400000</v>
      </c>
      <c r="Q22" s="37">
        <f t="shared" si="9"/>
        <v>45432800</v>
      </c>
      <c r="R22" s="38" t="s">
        <v>27</v>
      </c>
      <c r="S22" s="49">
        <v>113.58199999999999</v>
      </c>
      <c r="T22" s="39">
        <f t="shared" si="13"/>
        <v>41902</v>
      </c>
      <c r="U22" s="11" t="s">
        <v>101</v>
      </c>
      <c r="V22" s="41">
        <f t="shared" si="14"/>
        <v>54519.359999999993</v>
      </c>
      <c r="W22" s="29">
        <v>155.72999999999999</v>
      </c>
      <c r="X22" s="37">
        <f t="shared" si="7"/>
        <v>8490299.9327999987</v>
      </c>
      <c r="Y22" s="48">
        <f t="shared" si="15"/>
        <v>8490299.9327999987</v>
      </c>
      <c r="Z22" s="29"/>
      <c r="AA22" s="29"/>
    </row>
    <row r="23" spans="2:27" ht="15.75" thickBot="1">
      <c r="B23" s="14"/>
      <c r="C23" s="14"/>
      <c r="D23" s="15"/>
      <c r="E23" s="15"/>
      <c r="F23" s="15"/>
      <c r="G23" s="15"/>
      <c r="H23" s="15"/>
      <c r="I23" s="15"/>
      <c r="J23" s="14"/>
      <c r="K23" s="16"/>
      <c r="L23" s="15"/>
      <c r="M23" s="16"/>
      <c r="N23" s="18"/>
      <c r="O23" s="19"/>
      <c r="P23" s="52">
        <f>SUM(P5:P22)</f>
        <v>6789307</v>
      </c>
      <c r="Q23" s="69">
        <f>SUM(Q5:Q22)</f>
        <v>763715797.329</v>
      </c>
      <c r="R23" s="59"/>
      <c r="S23" s="70"/>
      <c r="T23" s="60"/>
      <c r="U23" s="61"/>
      <c r="V23" s="69">
        <f>SUM(V5:V22)</f>
        <v>916458.95679479989</v>
      </c>
      <c r="W23" s="59"/>
      <c r="X23" s="69">
        <f t="shared" ref="X23:Y23" si="16">SUM(X5:X22)</f>
        <v>142718449.32589817</v>
      </c>
      <c r="Y23" s="69">
        <f t="shared" si="16"/>
        <v>143106078.94181323</v>
      </c>
      <c r="Z23" s="14"/>
      <c r="AA23" s="14"/>
    </row>
    <row r="30" spans="2:27">
      <c r="C30" s="71"/>
    </row>
    <row r="31" spans="2:27">
      <c r="C31" s="71"/>
    </row>
    <row r="32" spans="2:27">
      <c r="C32" s="72"/>
    </row>
    <row r="33" spans="3:3">
      <c r="C33" s="71"/>
    </row>
    <row r="34" spans="3:3">
      <c r="C34" s="71"/>
    </row>
  </sheetData>
  <pageMargins left="0" right="0" top="0" bottom="0" header="0.31496062992125984" footer="0"/>
  <pageSetup paperSize="8" orientation="landscape" r:id="rId1"/>
  <ignoredErrors>
    <ignoredError sqref="F5:F10 F11:F15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AA30"/>
  <sheetViews>
    <sheetView workbookViewId="0">
      <selection activeCell="A38" sqref="A38:XFD44"/>
    </sheetView>
  </sheetViews>
  <sheetFormatPr defaultRowHeight="15"/>
  <cols>
    <col min="1" max="1" width="3.85546875" style="14" customWidth="1"/>
    <col min="2" max="2" width="3.42578125" style="14" customWidth="1"/>
    <col min="3" max="3" width="4.85546875" style="15" customWidth="1"/>
    <col min="4" max="4" width="6.7109375" style="15" customWidth="1"/>
    <col min="5" max="5" width="6.140625" style="15" customWidth="1"/>
    <col min="6" max="6" width="10.7109375" style="15" customWidth="1"/>
    <col min="7" max="7" width="8.85546875" style="15" customWidth="1"/>
    <col min="8" max="8" width="8.7109375" style="15" customWidth="1"/>
    <col min="9" max="9" width="9" style="15" customWidth="1"/>
    <col min="10" max="10" width="5.85546875" style="14" customWidth="1"/>
    <col min="11" max="11" width="6.28515625" style="16" customWidth="1"/>
    <col min="12" max="12" width="8.140625" style="15" customWidth="1"/>
    <col min="13" max="13" width="5.5703125" style="15" customWidth="1"/>
    <col min="14" max="14" width="8.140625" style="18" customWidth="1"/>
    <col min="15" max="15" width="10.7109375" style="19" customWidth="1"/>
    <col min="16" max="16" width="7.7109375" style="14" customWidth="1"/>
    <col min="17" max="17" width="11.85546875" style="14" customWidth="1"/>
    <col min="18" max="18" width="5.28515625" style="14" customWidth="1"/>
    <col min="19" max="19" width="6.85546875" style="20" customWidth="1"/>
    <col min="20" max="20" width="6.140625" style="16" customWidth="1"/>
    <col min="21" max="21" width="8" style="15" customWidth="1"/>
    <col min="22" max="22" width="8.85546875" style="14" customWidth="1"/>
    <col min="23" max="23" width="5.140625" style="14" customWidth="1"/>
    <col min="24" max="24" width="11" style="14" customWidth="1"/>
    <col min="25" max="25" width="11.7109375" style="14" customWidth="1"/>
    <col min="26" max="27" width="8" style="14" customWidth="1"/>
    <col min="28" max="16384" width="9.140625" style="14"/>
  </cols>
  <sheetData>
    <row r="2" spans="2:27" ht="15.75">
      <c r="L2" s="17" t="s">
        <v>0</v>
      </c>
    </row>
    <row r="3" spans="2:27" ht="23.25" customHeight="1" thickBot="1">
      <c r="L3" s="17" t="s">
        <v>187</v>
      </c>
      <c r="P3" s="21"/>
    </row>
    <row r="4" spans="2:27" s="15" customFormat="1" ht="42.6" customHeight="1" thickBot="1">
      <c r="B4" s="22" t="s">
        <v>1</v>
      </c>
      <c r="C4" s="23" t="s">
        <v>2</v>
      </c>
      <c r="D4" s="23" t="s">
        <v>3</v>
      </c>
      <c r="E4" s="23" t="s">
        <v>4</v>
      </c>
      <c r="F4" s="24" t="s">
        <v>5</v>
      </c>
      <c r="G4" s="25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3" t="s">
        <v>11</v>
      </c>
      <c r="M4" s="23" t="s">
        <v>12</v>
      </c>
      <c r="N4" s="23" t="s">
        <v>13</v>
      </c>
      <c r="O4" s="23" t="s">
        <v>14</v>
      </c>
      <c r="P4" s="23" t="s">
        <v>15</v>
      </c>
      <c r="Q4" s="23" t="s">
        <v>16</v>
      </c>
      <c r="R4" s="23" t="s">
        <v>17</v>
      </c>
      <c r="S4" s="26" t="s">
        <v>18</v>
      </c>
      <c r="T4" s="23" t="s">
        <v>19</v>
      </c>
      <c r="U4" s="23" t="s">
        <v>20</v>
      </c>
      <c r="V4" s="23" t="s">
        <v>21</v>
      </c>
      <c r="W4" s="23" t="s">
        <v>22</v>
      </c>
      <c r="X4" s="23" t="s">
        <v>23</v>
      </c>
      <c r="Y4" s="23" t="s">
        <v>24</v>
      </c>
      <c r="Z4" s="23" t="s">
        <v>25</v>
      </c>
      <c r="AA4" s="27" t="s">
        <v>26</v>
      </c>
    </row>
    <row r="5" spans="2:27" ht="24.75" customHeight="1">
      <c r="B5" s="28">
        <v>1</v>
      </c>
      <c r="C5" s="11" t="s">
        <v>153</v>
      </c>
      <c r="D5" s="30" t="s">
        <v>144</v>
      </c>
      <c r="E5" s="31"/>
      <c r="F5" s="32" t="s">
        <v>154</v>
      </c>
      <c r="G5" s="11" t="s">
        <v>49</v>
      </c>
      <c r="H5" s="11" t="s">
        <v>136</v>
      </c>
      <c r="I5" s="11" t="s">
        <v>115</v>
      </c>
      <c r="J5" s="33">
        <v>801.22</v>
      </c>
      <c r="K5" s="34">
        <v>41791</v>
      </c>
      <c r="L5" s="35" t="s">
        <v>148</v>
      </c>
      <c r="M5" s="35" t="s">
        <v>117</v>
      </c>
      <c r="N5" s="11" t="s">
        <v>142</v>
      </c>
      <c r="O5" s="13" t="s">
        <v>143</v>
      </c>
      <c r="P5" s="36">
        <v>950125</v>
      </c>
      <c r="Q5" s="37">
        <f t="shared" ref="Q5:Q13" si="0">SUM(P5*S5)</f>
        <v>106182169.5</v>
      </c>
      <c r="R5" s="38" t="s">
        <v>27</v>
      </c>
      <c r="S5" s="1">
        <v>111.756</v>
      </c>
      <c r="T5" s="39">
        <f t="shared" ref="T5:T19" si="1">SUM(K5)+89</f>
        <v>41880</v>
      </c>
      <c r="U5" s="40" t="s">
        <v>55</v>
      </c>
      <c r="V5" s="41">
        <f t="shared" ref="V5:V19" si="2">SUM(Q5*0.12%)</f>
        <v>127418.60339999999</v>
      </c>
      <c r="W5" s="29">
        <v>155.72999999999999</v>
      </c>
      <c r="X5" s="37">
        <f t="shared" ref="X5:X19" si="3">SUM(V5*W5)</f>
        <v>19842899.107481997</v>
      </c>
      <c r="Y5" s="42">
        <v>0</v>
      </c>
      <c r="Z5" s="29"/>
      <c r="AA5" s="29"/>
    </row>
    <row r="6" spans="2:27" ht="24.75" customHeight="1">
      <c r="B6" s="28">
        <f t="shared" ref="B6:B19" si="4">B5+1</f>
        <v>2</v>
      </c>
      <c r="C6" s="11" t="s">
        <v>155</v>
      </c>
      <c r="D6" s="30" t="s">
        <v>144</v>
      </c>
      <c r="E6" s="31"/>
      <c r="F6" s="32" t="s">
        <v>156</v>
      </c>
      <c r="G6" s="11" t="s">
        <v>59</v>
      </c>
      <c r="H6" s="11" t="s">
        <v>60</v>
      </c>
      <c r="I6" s="11" t="s">
        <v>61</v>
      </c>
      <c r="J6" s="33">
        <v>801.22</v>
      </c>
      <c r="K6" s="34">
        <v>41792</v>
      </c>
      <c r="L6" s="35" t="s">
        <v>152</v>
      </c>
      <c r="M6" s="35" t="s">
        <v>63</v>
      </c>
      <c r="N6" s="11" t="s">
        <v>146</v>
      </c>
      <c r="O6" s="13" t="s">
        <v>149</v>
      </c>
      <c r="P6" s="43">
        <v>618102</v>
      </c>
      <c r="Q6" s="37">
        <f t="shared" si="0"/>
        <v>64946449.548</v>
      </c>
      <c r="R6" s="38" t="s">
        <v>27</v>
      </c>
      <c r="S6" s="1">
        <v>105.074</v>
      </c>
      <c r="T6" s="39">
        <f t="shared" si="1"/>
        <v>41881</v>
      </c>
      <c r="U6" s="11" t="s">
        <v>49</v>
      </c>
      <c r="V6" s="41">
        <f t="shared" si="2"/>
        <v>77935.739457599993</v>
      </c>
      <c r="W6" s="44">
        <v>155.72999999999999</v>
      </c>
      <c r="X6" s="37">
        <f t="shared" si="3"/>
        <v>12136932.705732046</v>
      </c>
      <c r="Y6" s="45">
        <v>0</v>
      </c>
      <c r="Z6" s="29"/>
      <c r="AA6" s="29"/>
    </row>
    <row r="7" spans="2:27" ht="24.75" customHeight="1">
      <c r="B7" s="28">
        <f t="shared" si="4"/>
        <v>3</v>
      </c>
      <c r="C7" s="11" t="s">
        <v>157</v>
      </c>
      <c r="D7" s="30" t="s">
        <v>144</v>
      </c>
      <c r="E7" s="31"/>
      <c r="F7" s="32" t="s">
        <v>158</v>
      </c>
      <c r="G7" s="11" t="s">
        <v>73</v>
      </c>
      <c r="H7" s="11" t="s">
        <v>74</v>
      </c>
      <c r="I7" s="11" t="s">
        <v>75</v>
      </c>
      <c r="J7" s="33">
        <v>801.22</v>
      </c>
      <c r="K7" s="34">
        <v>41793</v>
      </c>
      <c r="L7" s="35" t="s">
        <v>159</v>
      </c>
      <c r="M7" s="35" t="s">
        <v>77</v>
      </c>
      <c r="N7" s="11" t="s">
        <v>110</v>
      </c>
      <c r="O7" s="13" t="s">
        <v>111</v>
      </c>
      <c r="P7" s="43">
        <v>949018</v>
      </c>
      <c r="Q7" s="37">
        <f t="shared" si="0"/>
        <v>103463840.396</v>
      </c>
      <c r="R7" s="38" t="s">
        <v>27</v>
      </c>
      <c r="S7" s="1">
        <v>109.02200000000001</v>
      </c>
      <c r="T7" s="39">
        <f t="shared" si="1"/>
        <v>41882</v>
      </c>
      <c r="U7" s="11" t="s">
        <v>79</v>
      </c>
      <c r="V7" s="41">
        <f t="shared" si="2"/>
        <v>124156.60847519999</v>
      </c>
      <c r="W7" s="29">
        <v>155.72999999999999</v>
      </c>
      <c r="X7" s="37">
        <f t="shared" si="3"/>
        <v>19334908.637842894</v>
      </c>
      <c r="Y7" s="45">
        <v>0</v>
      </c>
      <c r="Z7" s="29"/>
      <c r="AA7" s="29"/>
    </row>
    <row r="8" spans="2:27" ht="24.75" customHeight="1">
      <c r="B8" s="28">
        <f t="shared" si="4"/>
        <v>4</v>
      </c>
      <c r="C8" s="11" t="s">
        <v>160</v>
      </c>
      <c r="D8" s="30" t="s">
        <v>144</v>
      </c>
      <c r="E8" s="31"/>
      <c r="F8" s="32" t="s">
        <v>161</v>
      </c>
      <c r="G8" s="11" t="s">
        <v>73</v>
      </c>
      <c r="H8" s="11" t="s">
        <v>139</v>
      </c>
      <c r="I8" s="11" t="s">
        <v>34</v>
      </c>
      <c r="J8" s="33">
        <v>801.22</v>
      </c>
      <c r="K8" s="34">
        <v>41793</v>
      </c>
      <c r="L8" s="35" t="s">
        <v>151</v>
      </c>
      <c r="M8" s="35" t="s">
        <v>28</v>
      </c>
      <c r="N8" s="11" t="s">
        <v>142</v>
      </c>
      <c r="O8" s="13" t="s">
        <v>143</v>
      </c>
      <c r="P8" s="43">
        <v>149638</v>
      </c>
      <c r="Q8" s="37">
        <f t="shared" si="0"/>
        <v>16613110.036</v>
      </c>
      <c r="R8" s="38" t="s">
        <v>27</v>
      </c>
      <c r="S8" s="1">
        <v>111.02200000000001</v>
      </c>
      <c r="T8" s="39">
        <f t="shared" si="1"/>
        <v>41882</v>
      </c>
      <c r="U8" s="11" t="s">
        <v>55</v>
      </c>
      <c r="V8" s="41">
        <f t="shared" si="2"/>
        <v>19935.732043199998</v>
      </c>
      <c r="W8" s="29">
        <v>155.72999999999999</v>
      </c>
      <c r="X8" s="37">
        <f t="shared" si="3"/>
        <v>3104591.5510875355</v>
      </c>
      <c r="Y8" s="45">
        <v>0</v>
      </c>
      <c r="Z8" s="29"/>
      <c r="AA8" s="29"/>
    </row>
    <row r="9" spans="2:27" ht="24.75" customHeight="1">
      <c r="B9" s="28">
        <f t="shared" si="4"/>
        <v>5</v>
      </c>
      <c r="C9" s="11" t="s">
        <v>162</v>
      </c>
      <c r="D9" s="30" t="s">
        <v>144</v>
      </c>
      <c r="E9" s="31"/>
      <c r="F9" s="32" t="s">
        <v>163</v>
      </c>
      <c r="G9" s="11" t="s">
        <v>83</v>
      </c>
      <c r="H9" s="11" t="s">
        <v>84</v>
      </c>
      <c r="I9" s="11" t="s">
        <v>34</v>
      </c>
      <c r="J9" s="33">
        <v>801.22</v>
      </c>
      <c r="K9" s="34">
        <v>41793</v>
      </c>
      <c r="L9" s="35" t="s">
        <v>151</v>
      </c>
      <c r="M9" s="35" t="s">
        <v>28</v>
      </c>
      <c r="N9" s="11" t="s">
        <v>142</v>
      </c>
      <c r="O9" s="13" t="s">
        <v>143</v>
      </c>
      <c r="P9" s="43">
        <v>32000</v>
      </c>
      <c r="Q9" s="37">
        <f t="shared" si="0"/>
        <v>3631328</v>
      </c>
      <c r="R9" s="38" t="s">
        <v>27</v>
      </c>
      <c r="S9" s="1">
        <v>113.479</v>
      </c>
      <c r="T9" s="39">
        <f t="shared" si="1"/>
        <v>41882</v>
      </c>
      <c r="U9" s="11" t="s">
        <v>83</v>
      </c>
      <c r="V9" s="41">
        <f t="shared" si="2"/>
        <v>4357.5935999999992</v>
      </c>
      <c r="W9" s="29">
        <v>155.72999999999999</v>
      </c>
      <c r="X9" s="37">
        <f t="shared" si="3"/>
        <v>678608.0513279998</v>
      </c>
      <c r="Y9" s="45">
        <v>0</v>
      </c>
      <c r="Z9" s="29"/>
      <c r="AA9" s="29"/>
    </row>
    <row r="10" spans="2:27" ht="24.75" customHeight="1">
      <c r="B10" s="28">
        <f t="shared" si="4"/>
        <v>6</v>
      </c>
      <c r="C10" s="11" t="s">
        <v>164</v>
      </c>
      <c r="D10" s="30" t="s">
        <v>144</v>
      </c>
      <c r="E10" s="31"/>
      <c r="F10" s="32" t="s">
        <v>165</v>
      </c>
      <c r="G10" s="11" t="s">
        <v>83</v>
      </c>
      <c r="H10" s="11" t="s">
        <v>84</v>
      </c>
      <c r="I10" s="11" t="s">
        <v>34</v>
      </c>
      <c r="J10" s="33">
        <v>801.22</v>
      </c>
      <c r="K10" s="34">
        <v>41793</v>
      </c>
      <c r="L10" s="35" t="s">
        <v>151</v>
      </c>
      <c r="M10" s="35" t="s">
        <v>28</v>
      </c>
      <c r="N10" s="11" t="s">
        <v>142</v>
      </c>
      <c r="O10" s="13" t="s">
        <v>143</v>
      </c>
      <c r="P10" s="43">
        <v>34000</v>
      </c>
      <c r="Q10" s="37">
        <f t="shared" si="0"/>
        <v>3858286</v>
      </c>
      <c r="R10" s="38" t="s">
        <v>27</v>
      </c>
      <c r="S10" s="1">
        <v>113.479</v>
      </c>
      <c r="T10" s="39">
        <f t="shared" si="1"/>
        <v>41882</v>
      </c>
      <c r="U10" s="11" t="s">
        <v>83</v>
      </c>
      <c r="V10" s="41">
        <f t="shared" si="2"/>
        <v>4629.9431999999997</v>
      </c>
      <c r="W10" s="29">
        <v>155.72999999999999</v>
      </c>
      <c r="X10" s="37">
        <f t="shared" si="3"/>
        <v>721021.05453599989</v>
      </c>
      <c r="Y10" s="45">
        <v>0</v>
      </c>
      <c r="Z10" s="29"/>
      <c r="AA10" s="29"/>
    </row>
    <row r="11" spans="2:27" ht="24.75" customHeight="1">
      <c r="B11" s="28">
        <f t="shared" si="4"/>
        <v>7</v>
      </c>
      <c r="C11" s="11" t="s">
        <v>166</v>
      </c>
      <c r="D11" s="30" t="s">
        <v>144</v>
      </c>
      <c r="E11" s="31"/>
      <c r="F11" s="12">
        <v>20149030006</v>
      </c>
      <c r="G11" s="11" t="s">
        <v>91</v>
      </c>
      <c r="H11" s="11" t="s">
        <v>84</v>
      </c>
      <c r="I11" s="11" t="s">
        <v>34</v>
      </c>
      <c r="J11" s="33">
        <v>801.22</v>
      </c>
      <c r="K11" s="34">
        <v>41793</v>
      </c>
      <c r="L11" s="35" t="s">
        <v>151</v>
      </c>
      <c r="M11" s="35" t="s">
        <v>28</v>
      </c>
      <c r="N11" s="11" t="s">
        <v>142</v>
      </c>
      <c r="O11" s="13" t="s">
        <v>143</v>
      </c>
      <c r="P11" s="43">
        <v>78000</v>
      </c>
      <c r="Q11" s="37">
        <f t="shared" si="0"/>
        <v>8851362</v>
      </c>
      <c r="R11" s="38" t="s">
        <v>27</v>
      </c>
      <c r="S11" s="1">
        <v>113.479</v>
      </c>
      <c r="T11" s="39">
        <f t="shared" si="1"/>
        <v>41882</v>
      </c>
      <c r="U11" s="11" t="s">
        <v>83</v>
      </c>
      <c r="V11" s="41">
        <f t="shared" si="2"/>
        <v>10621.634399999999</v>
      </c>
      <c r="W11" s="29">
        <v>155.72999999999999</v>
      </c>
      <c r="X11" s="37">
        <f t="shared" si="3"/>
        <v>1654107.1251119997</v>
      </c>
      <c r="Y11" s="45">
        <v>0</v>
      </c>
      <c r="Z11" s="29"/>
      <c r="AA11" s="29"/>
    </row>
    <row r="12" spans="2:27" ht="24.75" customHeight="1">
      <c r="B12" s="28">
        <f t="shared" si="4"/>
        <v>8</v>
      </c>
      <c r="C12" s="11" t="s">
        <v>167</v>
      </c>
      <c r="D12" s="30" t="s">
        <v>144</v>
      </c>
      <c r="E12" s="31"/>
      <c r="F12" s="32" t="s">
        <v>168</v>
      </c>
      <c r="G12" s="11" t="s">
        <v>73</v>
      </c>
      <c r="H12" s="35" t="s">
        <v>138</v>
      </c>
      <c r="I12" s="11" t="s">
        <v>34</v>
      </c>
      <c r="J12" s="33">
        <v>801.22</v>
      </c>
      <c r="K12" s="34">
        <v>41812</v>
      </c>
      <c r="L12" s="35" t="s">
        <v>145</v>
      </c>
      <c r="M12" s="35" t="s">
        <v>28</v>
      </c>
      <c r="N12" s="11" t="s">
        <v>140</v>
      </c>
      <c r="O12" s="13" t="s">
        <v>141</v>
      </c>
      <c r="P12" s="43">
        <v>80000</v>
      </c>
      <c r="Q12" s="37">
        <f t="shared" si="0"/>
        <v>9274800</v>
      </c>
      <c r="R12" s="38" t="s">
        <v>27</v>
      </c>
      <c r="S12" s="47">
        <v>115.935</v>
      </c>
      <c r="T12" s="39">
        <f t="shared" si="1"/>
        <v>41901</v>
      </c>
      <c r="U12" s="13" t="s">
        <v>55</v>
      </c>
      <c r="V12" s="41">
        <f t="shared" si="2"/>
        <v>11129.759999999998</v>
      </c>
      <c r="W12" s="29">
        <v>155.72999999999999</v>
      </c>
      <c r="X12" s="37">
        <f t="shared" si="3"/>
        <v>1733237.5247999995</v>
      </c>
      <c r="Y12" s="45">
        <v>0</v>
      </c>
      <c r="Z12" s="29"/>
      <c r="AA12" s="29"/>
    </row>
    <row r="13" spans="2:27" ht="24.75" customHeight="1">
      <c r="B13" s="28">
        <f t="shared" si="4"/>
        <v>9</v>
      </c>
      <c r="C13" s="11" t="s">
        <v>169</v>
      </c>
      <c r="D13" s="30" t="s">
        <v>144</v>
      </c>
      <c r="E13" s="31"/>
      <c r="F13" s="32" t="s">
        <v>170</v>
      </c>
      <c r="G13" s="11" t="s">
        <v>73</v>
      </c>
      <c r="H13" s="35" t="s">
        <v>139</v>
      </c>
      <c r="I13" s="11" t="s">
        <v>34</v>
      </c>
      <c r="J13" s="33">
        <v>801.22</v>
      </c>
      <c r="K13" s="34">
        <v>41812</v>
      </c>
      <c r="L13" s="35" t="s">
        <v>145</v>
      </c>
      <c r="M13" s="35" t="s">
        <v>28</v>
      </c>
      <c r="N13" s="11" t="s">
        <v>140</v>
      </c>
      <c r="O13" s="13" t="s">
        <v>141</v>
      </c>
      <c r="P13" s="43">
        <v>242344</v>
      </c>
      <c r="Q13" s="37">
        <f t="shared" si="0"/>
        <v>28096151.640000001</v>
      </c>
      <c r="R13" s="38" t="s">
        <v>27</v>
      </c>
      <c r="S13" s="47">
        <v>115.935</v>
      </c>
      <c r="T13" s="39">
        <f t="shared" si="1"/>
        <v>41901</v>
      </c>
      <c r="U13" s="13" t="s">
        <v>55</v>
      </c>
      <c r="V13" s="41">
        <f t="shared" si="2"/>
        <v>33715.381967999994</v>
      </c>
      <c r="W13" s="29">
        <v>155.72999999999999</v>
      </c>
      <c r="X13" s="37">
        <f t="shared" si="3"/>
        <v>5250496.4338766383</v>
      </c>
      <c r="Y13" s="45">
        <v>0</v>
      </c>
      <c r="Z13" s="29"/>
      <c r="AA13" s="29"/>
    </row>
    <row r="14" spans="2:27" ht="24.75" customHeight="1">
      <c r="B14" s="28">
        <f t="shared" si="4"/>
        <v>10</v>
      </c>
      <c r="C14" s="11" t="s">
        <v>171</v>
      </c>
      <c r="D14" s="30" t="s">
        <v>144</v>
      </c>
      <c r="E14" s="31"/>
      <c r="F14" s="32" t="s">
        <v>172</v>
      </c>
      <c r="G14" s="11" t="s">
        <v>49</v>
      </c>
      <c r="H14" s="11" t="s">
        <v>173</v>
      </c>
      <c r="I14" s="11" t="s">
        <v>34</v>
      </c>
      <c r="J14" s="33">
        <v>801.22</v>
      </c>
      <c r="K14" s="34">
        <v>41812</v>
      </c>
      <c r="L14" s="35" t="s">
        <v>145</v>
      </c>
      <c r="M14" s="35" t="s">
        <v>28</v>
      </c>
      <c r="N14" s="11" t="s">
        <v>140</v>
      </c>
      <c r="O14" s="13" t="s">
        <v>141</v>
      </c>
      <c r="P14" s="43">
        <v>208000</v>
      </c>
      <c r="Q14" s="37">
        <f t="shared" ref="Q14:Q19" si="5">SUM(P14*S14)</f>
        <v>24114480</v>
      </c>
      <c r="R14" s="38" t="s">
        <v>27</v>
      </c>
      <c r="S14" s="47">
        <v>115.935</v>
      </c>
      <c r="T14" s="39">
        <f t="shared" si="1"/>
        <v>41901</v>
      </c>
      <c r="U14" s="13" t="s">
        <v>55</v>
      </c>
      <c r="V14" s="41">
        <f t="shared" si="2"/>
        <v>28937.375999999997</v>
      </c>
      <c r="W14" s="29">
        <v>155.72999999999999</v>
      </c>
      <c r="X14" s="37">
        <f t="shared" si="3"/>
        <v>4506417.5644799992</v>
      </c>
      <c r="Y14" s="45">
        <v>0</v>
      </c>
      <c r="Z14" s="29"/>
      <c r="AA14" s="29"/>
    </row>
    <row r="15" spans="2:27" ht="24.75" customHeight="1">
      <c r="B15" s="28">
        <f t="shared" si="4"/>
        <v>11</v>
      </c>
      <c r="C15" s="11" t="s">
        <v>174</v>
      </c>
      <c r="D15" s="30" t="s">
        <v>144</v>
      </c>
      <c r="E15" s="31"/>
      <c r="F15" s="32" t="s">
        <v>175</v>
      </c>
      <c r="G15" s="11" t="s">
        <v>49</v>
      </c>
      <c r="H15" s="11" t="s">
        <v>173</v>
      </c>
      <c r="I15" s="11" t="s">
        <v>34</v>
      </c>
      <c r="J15" s="33">
        <v>801.22</v>
      </c>
      <c r="K15" s="34">
        <v>41812</v>
      </c>
      <c r="L15" s="35" t="s">
        <v>145</v>
      </c>
      <c r="M15" s="35" t="s">
        <v>28</v>
      </c>
      <c r="N15" s="11" t="s">
        <v>140</v>
      </c>
      <c r="O15" s="13" t="s">
        <v>150</v>
      </c>
      <c r="P15" s="43">
        <v>124000</v>
      </c>
      <c r="Q15" s="37">
        <f t="shared" si="5"/>
        <v>14375940</v>
      </c>
      <c r="R15" s="38" t="s">
        <v>27</v>
      </c>
      <c r="S15" s="47">
        <v>115.935</v>
      </c>
      <c r="T15" s="39">
        <f t="shared" si="1"/>
        <v>41901</v>
      </c>
      <c r="U15" s="13" t="s">
        <v>55</v>
      </c>
      <c r="V15" s="41">
        <f t="shared" si="2"/>
        <v>17251.127999999997</v>
      </c>
      <c r="W15" s="29">
        <v>155.72999999999999</v>
      </c>
      <c r="X15" s="37">
        <f t="shared" si="3"/>
        <v>2686518.1634399993</v>
      </c>
      <c r="Y15" s="45">
        <v>0</v>
      </c>
      <c r="Z15" s="29"/>
      <c r="AA15" s="29"/>
    </row>
    <row r="16" spans="2:27" ht="24.75" customHeight="1">
      <c r="B16" s="28">
        <f t="shared" si="4"/>
        <v>12</v>
      </c>
      <c r="C16" s="11" t="s">
        <v>176</v>
      </c>
      <c r="D16" s="30" t="s">
        <v>144</v>
      </c>
      <c r="E16" s="31"/>
      <c r="F16" s="32" t="s">
        <v>177</v>
      </c>
      <c r="G16" s="11" t="s">
        <v>83</v>
      </c>
      <c r="H16" s="11" t="s">
        <v>84</v>
      </c>
      <c r="I16" s="11" t="s">
        <v>34</v>
      </c>
      <c r="J16" s="33">
        <v>801.22</v>
      </c>
      <c r="K16" s="34">
        <v>41812</v>
      </c>
      <c r="L16" s="35" t="s">
        <v>145</v>
      </c>
      <c r="M16" s="35" t="s">
        <v>28</v>
      </c>
      <c r="N16" s="11" t="s">
        <v>140</v>
      </c>
      <c r="O16" s="13" t="s">
        <v>150</v>
      </c>
      <c r="P16" s="43">
        <v>50000</v>
      </c>
      <c r="Q16" s="37">
        <f t="shared" si="5"/>
        <v>5673950</v>
      </c>
      <c r="R16" s="38" t="s">
        <v>27</v>
      </c>
      <c r="S16" s="1">
        <v>113.479</v>
      </c>
      <c r="T16" s="39">
        <f t="shared" si="1"/>
        <v>41901</v>
      </c>
      <c r="U16" s="13" t="s">
        <v>83</v>
      </c>
      <c r="V16" s="41">
        <f t="shared" si="2"/>
        <v>6808.74</v>
      </c>
      <c r="W16" s="29">
        <v>155.72999999999999</v>
      </c>
      <c r="X16" s="37">
        <f t="shared" si="3"/>
        <v>1060325.0802</v>
      </c>
      <c r="Y16" s="45">
        <v>0</v>
      </c>
      <c r="Z16" s="29"/>
      <c r="AA16" s="29"/>
    </row>
    <row r="17" spans="2:27" ht="24.75" customHeight="1">
      <c r="B17" s="28">
        <f t="shared" si="4"/>
        <v>13</v>
      </c>
      <c r="C17" s="11" t="s">
        <v>178</v>
      </c>
      <c r="D17" s="30" t="s">
        <v>144</v>
      </c>
      <c r="E17" s="31"/>
      <c r="F17" s="32" t="s">
        <v>179</v>
      </c>
      <c r="G17" s="11" t="s">
        <v>33</v>
      </c>
      <c r="H17" s="11" t="s">
        <v>147</v>
      </c>
      <c r="I17" s="11" t="s">
        <v>34</v>
      </c>
      <c r="J17" s="33">
        <v>801.22</v>
      </c>
      <c r="K17" s="34">
        <v>41812</v>
      </c>
      <c r="L17" s="35" t="s">
        <v>145</v>
      </c>
      <c r="M17" s="35" t="s">
        <v>28</v>
      </c>
      <c r="N17" s="11" t="s">
        <v>140</v>
      </c>
      <c r="O17" s="13" t="s">
        <v>150</v>
      </c>
      <c r="P17" s="43">
        <v>326000</v>
      </c>
      <c r="Q17" s="37">
        <f t="shared" si="5"/>
        <v>37794810</v>
      </c>
      <c r="R17" s="38" t="s">
        <v>27</v>
      </c>
      <c r="S17" s="47">
        <v>115.935</v>
      </c>
      <c r="T17" s="39">
        <f t="shared" si="1"/>
        <v>41901</v>
      </c>
      <c r="U17" s="13" t="s">
        <v>35</v>
      </c>
      <c r="V17" s="41">
        <f t="shared" si="2"/>
        <v>45353.771999999997</v>
      </c>
      <c r="W17" s="29">
        <v>155.72999999999999</v>
      </c>
      <c r="X17" s="37">
        <f t="shared" si="3"/>
        <v>7062942.9135599993</v>
      </c>
      <c r="Y17" s="45">
        <v>0</v>
      </c>
      <c r="Z17" s="29"/>
      <c r="AA17" s="29"/>
    </row>
    <row r="18" spans="2:27" ht="24.75" customHeight="1">
      <c r="B18" s="28">
        <f t="shared" si="4"/>
        <v>14</v>
      </c>
      <c r="C18" s="11" t="s">
        <v>180</v>
      </c>
      <c r="D18" s="30" t="s">
        <v>144</v>
      </c>
      <c r="E18" s="31"/>
      <c r="F18" s="32" t="s">
        <v>181</v>
      </c>
      <c r="G18" s="11" t="s">
        <v>59</v>
      </c>
      <c r="H18" s="11" t="s">
        <v>60</v>
      </c>
      <c r="I18" s="11" t="s">
        <v>61</v>
      </c>
      <c r="J18" s="33">
        <v>801.22</v>
      </c>
      <c r="K18" s="34">
        <v>41813</v>
      </c>
      <c r="L18" s="35" t="s">
        <v>182</v>
      </c>
      <c r="M18" s="35" t="s">
        <v>63</v>
      </c>
      <c r="N18" s="11" t="s">
        <v>146</v>
      </c>
      <c r="O18" s="13" t="s">
        <v>149</v>
      </c>
      <c r="P18" s="43">
        <v>702158</v>
      </c>
      <c r="Q18" s="37">
        <f t="shared" si="5"/>
        <v>76873662.156000003</v>
      </c>
      <c r="R18" s="38" t="s">
        <v>27</v>
      </c>
      <c r="S18" s="47">
        <v>109.482</v>
      </c>
      <c r="T18" s="39">
        <f t="shared" si="1"/>
        <v>41902</v>
      </c>
      <c r="U18" s="13" t="s">
        <v>49</v>
      </c>
      <c r="V18" s="41">
        <f t="shared" si="2"/>
        <v>92248.394587199989</v>
      </c>
      <c r="W18" s="29">
        <v>155.72999999999999</v>
      </c>
      <c r="X18" s="37">
        <f t="shared" si="3"/>
        <v>14365842.489064654</v>
      </c>
      <c r="Y18" s="45">
        <v>0</v>
      </c>
      <c r="Z18" s="29"/>
      <c r="AA18" s="29"/>
    </row>
    <row r="19" spans="2:27" ht="24.75" customHeight="1" thickBot="1">
      <c r="B19" s="28">
        <f t="shared" si="4"/>
        <v>15</v>
      </c>
      <c r="C19" s="11" t="s">
        <v>183</v>
      </c>
      <c r="D19" s="30" t="s">
        <v>144</v>
      </c>
      <c r="E19" s="31"/>
      <c r="F19" s="32" t="s">
        <v>184</v>
      </c>
      <c r="G19" s="11" t="s">
        <v>83</v>
      </c>
      <c r="H19" s="11" t="s">
        <v>137</v>
      </c>
      <c r="I19" s="11" t="s">
        <v>75</v>
      </c>
      <c r="J19" s="33">
        <v>801.22</v>
      </c>
      <c r="K19" s="34">
        <v>41820</v>
      </c>
      <c r="L19" s="35" t="s">
        <v>185</v>
      </c>
      <c r="M19" s="35" t="s">
        <v>77</v>
      </c>
      <c r="N19" s="11" t="s">
        <v>110</v>
      </c>
      <c r="O19" s="13" t="s">
        <v>111</v>
      </c>
      <c r="P19" s="50">
        <v>299495</v>
      </c>
      <c r="Q19" s="37">
        <f t="shared" si="5"/>
        <v>33252031.365000002</v>
      </c>
      <c r="R19" s="38" t="s">
        <v>27</v>
      </c>
      <c r="S19" s="47">
        <v>111.027</v>
      </c>
      <c r="T19" s="39">
        <f t="shared" si="1"/>
        <v>41909</v>
      </c>
      <c r="U19" s="11" t="s">
        <v>83</v>
      </c>
      <c r="V19" s="51">
        <f t="shared" si="2"/>
        <v>39902.437637999996</v>
      </c>
      <c r="W19" s="29">
        <v>155.72999999999999</v>
      </c>
      <c r="X19" s="37">
        <f t="shared" si="3"/>
        <v>6214006.6133657387</v>
      </c>
      <c r="Y19" s="45">
        <v>0</v>
      </c>
      <c r="Z19" s="29"/>
      <c r="AA19" s="29"/>
    </row>
    <row r="20" spans="2:27" ht="15.75" thickBot="1">
      <c r="P20" s="52">
        <f>SUM(P5:P19)</f>
        <v>4842880</v>
      </c>
      <c r="Q20" s="53">
        <f>SUM(Q5:Q19)</f>
        <v>537002370.64100003</v>
      </c>
      <c r="R20" s="54"/>
      <c r="S20" s="55"/>
      <c r="T20" s="56"/>
      <c r="U20" s="57"/>
      <c r="V20" s="53">
        <f>SUM(V5:V19)</f>
        <v>644402.84476919996</v>
      </c>
      <c r="W20" s="54"/>
      <c r="X20" s="53">
        <f>SUM(X5:X19)</f>
        <v>100352855.01590751</v>
      </c>
      <c r="Y20" s="58">
        <f>SUM(Y5:Y19)</f>
        <v>0</v>
      </c>
    </row>
    <row r="26" spans="2:27">
      <c r="D26" s="71"/>
    </row>
    <row r="27" spans="2:27">
      <c r="D27" s="71"/>
    </row>
    <row r="28" spans="2:27">
      <c r="D28" s="72"/>
    </row>
    <row r="29" spans="2:27">
      <c r="D29" s="71"/>
    </row>
    <row r="30" spans="2:27">
      <c r="D30" s="71"/>
    </row>
  </sheetData>
  <pageMargins left="0" right="0" top="0" bottom="0" header="0.31496062992125984" footer="0"/>
  <pageSetup paperSize="8" orientation="landscape" r:id="rId1"/>
  <ignoredErrors>
    <ignoredError sqref="F7:F1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(JUN'14)</vt:lpstr>
      <vt:lpstr>COMPLIANT (JUN'14)</vt:lpstr>
      <vt:lpstr>NON-COMPLIANT (JUN'14)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2014-07-08T08:24:06Z</cp:lastPrinted>
  <dcterms:created xsi:type="dcterms:W3CDTF">2013-10-09T11:18:50Z</dcterms:created>
  <dcterms:modified xsi:type="dcterms:W3CDTF">2014-07-11T08:17:07Z</dcterms:modified>
</cp:coreProperties>
</file>