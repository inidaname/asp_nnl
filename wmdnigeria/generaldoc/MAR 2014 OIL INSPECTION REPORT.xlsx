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0" windowWidth="20100" windowHeight="7440"/>
  </bookViews>
  <sheets>
    <sheet name="CIR MARCH 2014" sheetId="4" r:id="rId1"/>
    <sheet name="CID MARCH 2014 " sheetId="7" r:id="rId2"/>
    <sheet name="NCI MARCH 2014" sheetId="6" r:id="rId3"/>
  </sheets>
  <definedNames>
    <definedName name="_xlnm._FilterDatabase" localSheetId="1" hidden="1">'CID MARCH 2014 '!$H$23:$I$38</definedName>
    <definedName name="_xlnm._FilterDatabase" localSheetId="0" hidden="1">'CIR MARCH 2014'!$C$29:$D$58</definedName>
    <definedName name="_xlnm._FilterDatabase" localSheetId="2" hidden="1">'NCI MARCH 2014'!$A$31:$AA$41</definedName>
    <definedName name="_xlnm.Print_Area" localSheetId="1">'CID MARCH 2014 '!$A$1:$AA$45</definedName>
    <definedName name="_xlnm.Print_Area" localSheetId="0">'CIR MARCH 2014'!$A$1:$AA$61</definedName>
    <definedName name="_xlnm.Print_Area" localSheetId="2">'NCI MARCH 2014'!$A$1:$AA$50</definedName>
    <definedName name="_xlnm.Print_Titles" localSheetId="1">'CID MARCH 2014 '!$A:$A,'CID MARCH 2014 '!$21:$21</definedName>
    <definedName name="_xlnm.Print_Titles" localSheetId="0">'CIR MARCH 2014'!$A:$A,'CIR MARCH 2014'!$29:$29</definedName>
    <definedName name="_xlnm.Print_Titles" localSheetId="2">'NCI MARCH 2014'!$A:$A,'NCI MARCH 2014'!#REF!</definedName>
  </definedNames>
  <calcPr calcId="145621"/>
</workbook>
</file>

<file path=xl/calcChain.xml><?xml version="1.0" encoding="utf-8"?>
<calcChain xmlns="http://schemas.openxmlformats.org/spreadsheetml/2006/main">
  <c r="X45" i="7" l="1"/>
  <c r="Y50" i="6" l="1"/>
  <c r="X50" i="6"/>
  <c r="V50" i="6"/>
  <c r="Q50" i="6"/>
  <c r="P50" i="6"/>
  <c r="O50" i="6"/>
  <c r="T47" i="6"/>
  <c r="T48" i="6"/>
  <c r="P47" i="6"/>
  <c r="Q47" i="6" s="1"/>
  <c r="P48" i="6"/>
  <c r="Q48" i="6" s="1"/>
  <c r="V47" i="6"/>
  <c r="X47" i="6" s="1"/>
  <c r="V48" i="6"/>
  <c r="X48" i="6" s="1"/>
  <c r="O61" i="4"/>
  <c r="Y61" i="4"/>
  <c r="T57" i="4"/>
  <c r="T58" i="4"/>
  <c r="P57" i="4"/>
  <c r="V57" i="4" s="1"/>
  <c r="X57" i="4" s="1"/>
  <c r="P58" i="4"/>
  <c r="V58" i="4" s="1"/>
  <c r="X58" i="4" s="1"/>
  <c r="Q58" i="4" l="1"/>
  <c r="Q57" i="4"/>
  <c r="O45" i="7" l="1"/>
  <c r="Y45" i="7"/>
  <c r="P27" i="7" l="1"/>
  <c r="V27" i="7" s="1"/>
  <c r="X27" i="7" s="1"/>
  <c r="P28" i="7"/>
  <c r="V28" i="7" s="1"/>
  <c r="X28" i="7" s="1"/>
  <c r="T42" i="6" l="1"/>
  <c r="T43" i="6"/>
  <c r="T44" i="6"/>
  <c r="T45" i="6"/>
  <c r="T46" i="6"/>
  <c r="P42" i="6"/>
  <c r="V42" i="6" s="1"/>
  <c r="X42" i="6" s="1"/>
  <c r="P43" i="6"/>
  <c r="V43" i="6" s="1"/>
  <c r="X43" i="6" s="1"/>
  <c r="P44" i="6"/>
  <c r="V44" i="6" s="1"/>
  <c r="X44" i="6" s="1"/>
  <c r="P45" i="6"/>
  <c r="V45" i="6" s="1"/>
  <c r="X45" i="6" s="1"/>
  <c r="P46" i="6"/>
  <c r="V46" i="6" s="1"/>
  <c r="X46" i="6" s="1"/>
  <c r="Q45" i="6" l="1"/>
  <c r="Q43" i="6"/>
  <c r="Q46" i="6"/>
  <c r="Q44" i="6"/>
  <c r="Q42" i="6"/>
  <c r="T39" i="7" l="1"/>
  <c r="T40" i="7"/>
  <c r="T41" i="7"/>
  <c r="T42" i="7"/>
  <c r="T43" i="7"/>
  <c r="P39" i="7"/>
  <c r="V39" i="7" s="1"/>
  <c r="X39" i="7" s="1"/>
  <c r="P40" i="7"/>
  <c r="V40" i="7" s="1"/>
  <c r="X40" i="7" s="1"/>
  <c r="P41" i="7"/>
  <c r="V41" i="7" s="1"/>
  <c r="X41" i="7" s="1"/>
  <c r="P42" i="7"/>
  <c r="V42" i="7" s="1"/>
  <c r="X42" i="7" s="1"/>
  <c r="P43" i="7"/>
  <c r="Q43" i="7" s="1"/>
  <c r="Q42" i="7" l="1"/>
  <c r="V43" i="7"/>
  <c r="X43" i="7" s="1"/>
  <c r="Q41" i="7"/>
  <c r="Q39" i="7"/>
  <c r="Q40" i="7"/>
  <c r="T56" i="4"/>
  <c r="P56" i="4"/>
  <c r="V56" i="4" s="1"/>
  <c r="X56" i="4" s="1"/>
  <c r="Q56" i="4" l="1"/>
  <c r="T33" i="6" l="1"/>
  <c r="T34" i="6"/>
  <c r="T35" i="6"/>
  <c r="T36" i="6"/>
  <c r="T37" i="6"/>
  <c r="T38" i="6"/>
  <c r="T39" i="6"/>
  <c r="T40" i="6"/>
  <c r="T41" i="6"/>
  <c r="P33" i="6"/>
  <c r="Q33" i="6" s="1"/>
  <c r="P34" i="6"/>
  <c r="Q34" i="6" s="1"/>
  <c r="P35" i="6"/>
  <c r="Q35" i="6" s="1"/>
  <c r="P36" i="6"/>
  <c r="Q36" i="6" s="1"/>
  <c r="P37" i="6"/>
  <c r="Q37" i="6" s="1"/>
  <c r="P38" i="6"/>
  <c r="P39" i="6"/>
  <c r="Q39" i="6" s="1"/>
  <c r="P40" i="6"/>
  <c r="Q40" i="6" s="1"/>
  <c r="P41" i="6"/>
  <c r="Q41" i="6" s="1"/>
  <c r="Q38" i="6" l="1"/>
  <c r="V40" i="6"/>
  <c r="X40" i="6" s="1"/>
  <c r="V38" i="6"/>
  <c r="V36" i="6"/>
  <c r="X36" i="6" s="1"/>
  <c r="V34" i="6"/>
  <c r="X34" i="6" s="1"/>
  <c r="V41" i="6"/>
  <c r="X41" i="6" s="1"/>
  <c r="V39" i="6"/>
  <c r="X39" i="6" s="1"/>
  <c r="V37" i="6"/>
  <c r="X37" i="6" s="1"/>
  <c r="V35" i="6"/>
  <c r="X35" i="6" s="1"/>
  <c r="V33" i="6"/>
  <c r="X33" i="6" s="1"/>
  <c r="T51" i="4"/>
  <c r="T52" i="4"/>
  <c r="T53" i="4"/>
  <c r="T54" i="4"/>
  <c r="T55" i="4"/>
  <c r="P51" i="4"/>
  <c r="Q51" i="4" s="1"/>
  <c r="P52" i="4"/>
  <c r="V52" i="4" s="1"/>
  <c r="X52" i="4" s="1"/>
  <c r="P53" i="4"/>
  <c r="Q53" i="4" s="1"/>
  <c r="P54" i="4"/>
  <c r="V54" i="4" s="1"/>
  <c r="X54" i="4" s="1"/>
  <c r="P55" i="4"/>
  <c r="Q55" i="4" s="1"/>
  <c r="X38" i="6" l="1"/>
  <c r="V55" i="4"/>
  <c r="X55" i="4" s="1"/>
  <c r="V53" i="4"/>
  <c r="X53" i="4" s="1"/>
  <c r="V51" i="4"/>
  <c r="X51" i="4" s="1"/>
  <c r="Q54" i="4"/>
  <c r="Q52" i="4"/>
  <c r="P38" i="7" l="1"/>
  <c r="Q38" i="7" s="1"/>
  <c r="T38" i="7"/>
  <c r="T27" i="7"/>
  <c r="T28" i="7"/>
  <c r="T29" i="7"/>
  <c r="T30" i="7"/>
  <c r="T31" i="7"/>
  <c r="T32" i="7"/>
  <c r="T33" i="7"/>
  <c r="T34" i="7"/>
  <c r="T35" i="7"/>
  <c r="P29" i="7"/>
  <c r="V29" i="7" s="1"/>
  <c r="X29" i="7" s="1"/>
  <c r="P30" i="7"/>
  <c r="Q30" i="7" s="1"/>
  <c r="P31" i="7"/>
  <c r="V31" i="7" s="1"/>
  <c r="X31" i="7" s="1"/>
  <c r="P32" i="7"/>
  <c r="Q32" i="7" s="1"/>
  <c r="P33" i="7"/>
  <c r="Q33" i="7" s="1"/>
  <c r="P34" i="7"/>
  <c r="Q34" i="7" s="1"/>
  <c r="P35" i="7"/>
  <c r="V35" i="7" s="1"/>
  <c r="X35" i="7" s="1"/>
  <c r="Q28" i="7" l="1"/>
  <c r="V34" i="7"/>
  <c r="X34" i="7" s="1"/>
  <c r="V32" i="7"/>
  <c r="X32" i="7" s="1"/>
  <c r="V30" i="7"/>
  <c r="X30" i="7" s="1"/>
  <c r="V38" i="7"/>
  <c r="X38" i="7" s="1"/>
  <c r="Q35" i="7"/>
  <c r="Q31" i="7"/>
  <c r="Q29" i="7"/>
  <c r="Q27" i="7"/>
  <c r="V33" i="7"/>
  <c r="X33" i="7" s="1"/>
  <c r="T36" i="7"/>
  <c r="T25" i="7"/>
  <c r="T26" i="7"/>
  <c r="P25" i="7"/>
  <c r="P26" i="7"/>
  <c r="Q26" i="7" l="1"/>
  <c r="V26" i="7"/>
  <c r="X26" i="7" s="1"/>
  <c r="Q25" i="7"/>
  <c r="V25" i="7"/>
  <c r="X25" i="7" s="1"/>
  <c r="P32" i="6"/>
  <c r="Q32" i="6" s="1"/>
  <c r="T32" i="6"/>
  <c r="P32" i="4"/>
  <c r="Q32" i="4" s="1"/>
  <c r="T32" i="4"/>
  <c r="P33" i="4"/>
  <c r="Q33" i="4" s="1"/>
  <c r="T33" i="4"/>
  <c r="P34" i="4"/>
  <c r="Q34" i="4" s="1"/>
  <c r="T34" i="4"/>
  <c r="P35" i="4"/>
  <c r="Q35" i="4" s="1"/>
  <c r="T35" i="4"/>
  <c r="P36" i="4"/>
  <c r="Q36" i="4" s="1"/>
  <c r="T36" i="4"/>
  <c r="P37" i="4"/>
  <c r="Q37" i="4" s="1"/>
  <c r="T37" i="4"/>
  <c r="P38" i="4"/>
  <c r="Q38" i="4" s="1"/>
  <c r="T38" i="4"/>
  <c r="P39" i="4"/>
  <c r="Q39" i="4" s="1"/>
  <c r="T39" i="4"/>
  <c r="P40" i="4"/>
  <c r="Q40" i="4" s="1"/>
  <c r="T40" i="4"/>
  <c r="P41" i="4"/>
  <c r="Q41" i="4" s="1"/>
  <c r="T41" i="4"/>
  <c r="P42" i="4"/>
  <c r="Q42" i="4" s="1"/>
  <c r="T42" i="4"/>
  <c r="P43" i="4"/>
  <c r="Q43" i="4" s="1"/>
  <c r="T43" i="4"/>
  <c r="P44" i="4"/>
  <c r="Q44" i="4" s="1"/>
  <c r="T44" i="4"/>
  <c r="P45" i="4"/>
  <c r="Q45" i="4" s="1"/>
  <c r="T45" i="4"/>
  <c r="P46" i="4"/>
  <c r="Q46" i="4" s="1"/>
  <c r="T46" i="4"/>
  <c r="P47" i="4"/>
  <c r="Q47" i="4" s="1"/>
  <c r="T47" i="4"/>
  <c r="P48" i="4"/>
  <c r="Q48" i="4" s="1"/>
  <c r="T48" i="4"/>
  <c r="P49" i="4"/>
  <c r="Q49" i="4" s="1"/>
  <c r="T49" i="4"/>
  <c r="P50" i="4"/>
  <c r="Q50" i="4" s="1"/>
  <c r="T50" i="4"/>
  <c r="V32" i="6" l="1"/>
  <c r="X32" i="6" s="1"/>
  <c r="V50" i="4"/>
  <c r="X50" i="4" s="1"/>
  <c r="V48" i="4"/>
  <c r="X48" i="4" s="1"/>
  <c r="V46" i="4"/>
  <c r="X46" i="4" s="1"/>
  <c r="V44" i="4"/>
  <c r="X44" i="4" s="1"/>
  <c r="V42" i="4"/>
  <c r="X42" i="4" s="1"/>
  <c r="V40" i="4"/>
  <c r="X40" i="4" s="1"/>
  <c r="V38" i="4"/>
  <c r="X38" i="4" s="1"/>
  <c r="V36" i="4"/>
  <c r="X36" i="4" s="1"/>
  <c r="V34" i="4"/>
  <c r="X34" i="4" s="1"/>
  <c r="V32" i="4"/>
  <c r="X32" i="4" s="1"/>
  <c r="V49" i="4"/>
  <c r="X49" i="4" s="1"/>
  <c r="V47" i="4"/>
  <c r="X47" i="4" s="1"/>
  <c r="V45" i="4"/>
  <c r="X45" i="4" s="1"/>
  <c r="V43" i="4"/>
  <c r="X43" i="4" s="1"/>
  <c r="V41" i="4"/>
  <c r="X41" i="4" s="1"/>
  <c r="V39" i="4"/>
  <c r="X39" i="4" s="1"/>
  <c r="V37" i="4"/>
  <c r="X37" i="4" s="1"/>
  <c r="V35" i="4"/>
  <c r="X35" i="4" s="1"/>
  <c r="V33" i="4"/>
  <c r="X33" i="4" s="1"/>
  <c r="T24" i="7" l="1"/>
  <c r="T31" i="6" l="1"/>
  <c r="P31" i="6"/>
  <c r="V31" i="6" l="1"/>
  <c r="Q31" i="6"/>
  <c r="X31" i="6" l="1"/>
  <c r="P24" i="7"/>
  <c r="V24" i="7" l="1"/>
  <c r="Q24" i="7"/>
  <c r="X24" i="7" l="1"/>
  <c r="P36" i="7"/>
  <c r="V36" i="7" l="1"/>
  <c r="X36" i="7" l="1"/>
  <c r="P37" i="7"/>
  <c r="P45" i="7" s="1"/>
  <c r="T37" i="7"/>
  <c r="V37" i="7" l="1"/>
  <c r="V45" i="7" s="1"/>
  <c r="Q37" i="7"/>
  <c r="X37" i="7" l="1"/>
  <c r="Q36" i="7" l="1"/>
  <c r="T31" i="4" l="1"/>
  <c r="P31" i="4"/>
  <c r="T30" i="4"/>
  <c r="P30" i="4"/>
  <c r="P61" i="4" s="1"/>
  <c r="V30" i="4" l="1"/>
  <c r="Q30" i="4"/>
  <c r="V31" i="4"/>
  <c r="X31" i="4" s="1"/>
  <c r="Q31" i="4"/>
  <c r="Q61" i="4" l="1"/>
  <c r="V61" i="4"/>
  <c r="X30" i="4"/>
  <c r="X61" i="4" s="1"/>
</calcChain>
</file>

<file path=xl/sharedStrings.xml><?xml version="1.0" encoding="utf-8"?>
<sst xmlns="http://schemas.openxmlformats.org/spreadsheetml/2006/main" count="1117" uniqueCount="206">
  <si>
    <t>S/N</t>
  </si>
  <si>
    <t xml:space="preserve">REF NUMBER </t>
  </si>
  <si>
    <t>CCI NUMBER</t>
  </si>
  <si>
    <t>CCI DATE</t>
  </si>
  <si>
    <t>NXP NUMBER</t>
  </si>
  <si>
    <t>NXP ISSUING BANK</t>
  </si>
  <si>
    <t>EXPORTER NAME</t>
  </si>
  <si>
    <t>CRUDE OIL TYPE</t>
  </si>
  <si>
    <t>HS CODE</t>
  </si>
  <si>
    <t>BILL OF LADING DATE</t>
  </si>
  <si>
    <t>VESSEL</t>
  </si>
  <si>
    <t>TERMINAL</t>
  </si>
  <si>
    <t>DESTINATION</t>
  </si>
  <si>
    <t>POINT OF EXIT</t>
  </si>
  <si>
    <t>QUANTITY IN BARRELS</t>
  </si>
  <si>
    <t>FOB CURRENCY (CCY)</t>
  </si>
  <si>
    <t>PRICE PER BARREL</t>
  </si>
  <si>
    <t>REPATRIATION DUE DATE</t>
  </si>
  <si>
    <t>DESIGNATED BANK</t>
  </si>
  <si>
    <t>NESS FEE PAYABLE (USD)</t>
  </si>
  <si>
    <t>EXCHANGE RATE FOR THE MONTH</t>
  </si>
  <si>
    <t>NESS FEE PAYABLE (NAIRA)</t>
  </si>
  <si>
    <t>NESS FEE PAID (NAIRA)</t>
  </si>
  <si>
    <t>NESS RECEIPT DATE</t>
  </si>
  <si>
    <t>NESS RECEIPT NUMBER</t>
  </si>
  <si>
    <t>USD</t>
  </si>
  <si>
    <t>USA</t>
  </si>
  <si>
    <t>GSTL FOB VALUE  ($)</t>
  </si>
  <si>
    <t>TOTAL</t>
  </si>
  <si>
    <t>FOB VALUE  ($)</t>
  </si>
  <si>
    <t xml:space="preserve">EXCHANGE RATE </t>
  </si>
  <si>
    <t>QUA IBOE</t>
  </si>
  <si>
    <t>BONNY</t>
  </si>
  <si>
    <t>QUA IBOE LIGHT</t>
  </si>
  <si>
    <t>BONNY LIGHT</t>
  </si>
  <si>
    <t>MOBIL PRODUCING NIGERIA LIMITED</t>
  </si>
  <si>
    <t>INDONESIA</t>
  </si>
  <si>
    <t>FOB VALUE  (NGN)</t>
  </si>
  <si>
    <t>NIGERIAN NATIONAL PETROLEUM CORPORATION</t>
  </si>
  <si>
    <t>GSTL FOB VALUE  (NGN)</t>
  </si>
  <si>
    <t>NOT RECEIVED</t>
  </si>
  <si>
    <t>STANDARD CHARTERED BANK</t>
  </si>
  <si>
    <t>ROTTERDAM</t>
  </si>
  <si>
    <t>ITALY</t>
  </si>
  <si>
    <t>INDIA</t>
  </si>
  <si>
    <t>NETHERLANDS</t>
  </si>
  <si>
    <t>WALTERSMITH PETROMAN OIL LIMITED</t>
  </si>
  <si>
    <t>SHELL PETROLEUM DEVELOPMENT COMPANY</t>
  </si>
  <si>
    <t>PERTAMINA RU IV CILACAP</t>
  </si>
  <si>
    <t>SKYE BANK PLC</t>
  </si>
  <si>
    <t>CENTRAL BANK OF NIGERIA</t>
  </si>
  <si>
    <t>OMSP-INDIA</t>
  </si>
  <si>
    <t>TRIESTE</t>
  </si>
  <si>
    <t>NOT ISSUED</t>
  </si>
  <si>
    <t>NIGER DELTA PETROLEUM RESOURCES</t>
  </si>
  <si>
    <t>CHEVRON NIGERIA LTD</t>
  </si>
  <si>
    <t>TOTAL E &amp; P NIGERIA LIMITED</t>
  </si>
  <si>
    <t>CHINA</t>
  </si>
  <si>
    <t>OMSP-CHINA</t>
  </si>
  <si>
    <t>UNITED BANK FOR AFRICA</t>
  </si>
  <si>
    <t>TURKEY</t>
  </si>
  <si>
    <t>068201400010026</t>
  </si>
  <si>
    <t>ALMI GALAXY</t>
  </si>
  <si>
    <t>GERMANY</t>
  </si>
  <si>
    <t>WILHELMSHAVEN</t>
  </si>
  <si>
    <t>OMSP - INDIA</t>
  </si>
  <si>
    <t>COMPREHENSIVE INSPECTION REPORT FOR THE MONTH OF MARCH 2014</t>
  </si>
  <si>
    <t>GRAND LADY</t>
  </si>
  <si>
    <t>TAIPAN</t>
  </si>
  <si>
    <t>BLUE SKY</t>
  </si>
  <si>
    <t>DALIAN</t>
  </si>
  <si>
    <t>HOUSTON</t>
  </si>
  <si>
    <t>PRINCIMAR CONFIDENCE</t>
  </si>
  <si>
    <t>ROMANTIC</t>
  </si>
  <si>
    <t>LUCKY TRADER</t>
  </si>
  <si>
    <t>ICE TRAVELLER</t>
  </si>
  <si>
    <t>COSGRAND LAKE</t>
  </si>
  <si>
    <t>PRINCIMAR COURAGE</t>
  </si>
  <si>
    <t>TRIATHLON</t>
  </si>
  <si>
    <t>SKS SKEENA</t>
  </si>
  <si>
    <t>COSMIC JEWEL</t>
  </si>
  <si>
    <t>SONANGOL LUANDA</t>
  </si>
  <si>
    <t>CHARLES EDDIE</t>
  </si>
  <si>
    <t>GODAVARI SPIRIT</t>
  </si>
  <si>
    <t>SUEZ VASILIS</t>
  </si>
  <si>
    <t>GSTL/041/2014/MAR-1/Q-25/1</t>
  </si>
  <si>
    <t>GSTL/042/2014/MAR-2/B-14/1A</t>
  </si>
  <si>
    <t>GSTL/042/2014/MAR-2/B-14/1B</t>
  </si>
  <si>
    <t>GSTL/043/2014/MAR-3/Q-26/2</t>
  </si>
  <si>
    <t>GSTL/044/2014/MAR-4/B-15/2</t>
  </si>
  <si>
    <t>GSTL/045/2014/MAR-5/Q-27/3</t>
  </si>
  <si>
    <t>GSTL/046/2014/MAR-6/Q-28/4</t>
  </si>
  <si>
    <t>GSTL/047/2014/MAR-7/B-16/3A</t>
  </si>
  <si>
    <t>GSTL/047/2014/MAR-7/B-16/3B</t>
  </si>
  <si>
    <t>GSTL/048/2014/MAR-8/Q-29/5</t>
  </si>
  <si>
    <t>GSTL/049/2014/MAR-9/B-17/4A</t>
  </si>
  <si>
    <t>GSTL/049/2014/MAR-9/B-17/4B</t>
  </si>
  <si>
    <t>GSTL/049/2014/MAR-9/B-17/4C</t>
  </si>
  <si>
    <t>GSTL/050/2014/MAR-10/Q-30/6</t>
  </si>
  <si>
    <t>GSTL/051/2014/MAR-11/Q-31/7A</t>
  </si>
  <si>
    <t>GSTL/051/2014/MAR-11/Q-31/7B</t>
  </si>
  <si>
    <t>GSTL/051/2014/MAR-11/Q-31/7C</t>
  </si>
  <si>
    <t>GSTL/052/2014/MAR-12/Q-32/8</t>
  </si>
  <si>
    <t>GSTL/053/2014/MAR-13/B-18/5A</t>
  </si>
  <si>
    <t>GSTL/053/2014/MAR-13/B-18/5B</t>
  </si>
  <si>
    <t>GSTL/054/2014/MAR-14/Q-33/9</t>
  </si>
  <si>
    <t>GSTL/055/2014/MAR-15/B-19/6</t>
  </si>
  <si>
    <t>GSTL/056/2014/MAR-16/Q-34/10</t>
  </si>
  <si>
    <t>GSTL/057/2014/MAR-17/B-20/7A</t>
  </si>
  <si>
    <t>GSTL/057/2014/MAR-17/B-20/7B</t>
  </si>
  <si>
    <t>GSTL/057/2014/MAR-17/B-20/7C</t>
  </si>
  <si>
    <t>GSTL/058/2014/MAR-18/Q-35/11</t>
  </si>
  <si>
    <t>GSTL/059/2014/MAR-19/Q-36/12A</t>
  </si>
  <si>
    <t>GSTL/059/2014/MAR-19/Q-36/12B</t>
  </si>
  <si>
    <t>NIGERIAN AGIP OIL COMPANY</t>
  </si>
  <si>
    <t>IZMIT/TUTUNCIFLIK</t>
  </si>
  <si>
    <t>CAP LIMBOH</t>
  </si>
  <si>
    <t>KOCHI SPM</t>
  </si>
  <si>
    <t>PERTAMINA RUV BALIKPAPAN</t>
  </si>
  <si>
    <t>PHILADELPHIA</t>
  </si>
  <si>
    <t>LA PAMPILLA</t>
  </si>
  <si>
    <t>STS MALTA</t>
  </si>
  <si>
    <t>US ATLANTIC COAST</t>
  </si>
  <si>
    <t>PORT HARCOURT</t>
  </si>
  <si>
    <t>SINGAPORE</t>
  </si>
  <si>
    <t>SRIRACHA</t>
  </si>
  <si>
    <t>CAMEROUN</t>
  </si>
  <si>
    <t>PERU</t>
  </si>
  <si>
    <t>MALTA</t>
  </si>
  <si>
    <t>NIGERIA</t>
  </si>
  <si>
    <t>THAILAND</t>
  </si>
  <si>
    <t>G003201410</t>
  </si>
  <si>
    <t>G003201411</t>
  </si>
  <si>
    <t>G003201412</t>
  </si>
  <si>
    <t>G003201413</t>
  </si>
  <si>
    <t>G003201414</t>
  </si>
  <si>
    <t>G003201415</t>
  </si>
  <si>
    <t>G003201416</t>
  </si>
  <si>
    <t>G003201417</t>
  </si>
  <si>
    <t>G003201418</t>
  </si>
  <si>
    <t>G003201419</t>
  </si>
  <si>
    <t>G003201420</t>
  </si>
  <si>
    <t>ST042002104C5/9</t>
  </si>
  <si>
    <t>ST042002104C62/6</t>
  </si>
  <si>
    <t>023201400010094</t>
  </si>
  <si>
    <t>CITIBANK NIGERIA PLC</t>
  </si>
  <si>
    <t>ST042002C1355</t>
  </si>
  <si>
    <t>076201401360024</t>
  </si>
  <si>
    <t>ST042002104C4/11A</t>
  </si>
  <si>
    <t>ST042002104C4/11B</t>
  </si>
  <si>
    <t>ST042002104C4/11C</t>
  </si>
  <si>
    <t>ST042002104C48/249</t>
  </si>
  <si>
    <t>ST042002101C2/8A</t>
  </si>
  <si>
    <t>ST042002101C2/8B</t>
  </si>
  <si>
    <t>ST042002104C65/1</t>
  </si>
  <si>
    <t>ST042002104C48/252</t>
  </si>
  <si>
    <t>0000624</t>
  </si>
  <si>
    <t xml:space="preserve">NON-COMPLIANT INSPECTION REPORT FOR THE MONTH OF MARCH 2014 </t>
  </si>
  <si>
    <t>CAPTAIN X KYRIAKOU</t>
  </si>
  <si>
    <t>ITHAKI</t>
  </si>
  <si>
    <t>PETALIDI</t>
  </si>
  <si>
    <t>POETIC</t>
  </si>
  <si>
    <t>PATROCLUS</t>
  </si>
  <si>
    <t>GSTL/0253/2013/DEC-3/Q-124/2</t>
  </si>
  <si>
    <t>GSTL/0257/2013/DEC-7/Q-126/4</t>
  </si>
  <si>
    <t>GSTL/0258/2013/DEC-8/B-65/4</t>
  </si>
  <si>
    <t>GSTL/0261/2013/DEC-11/Q-129/7</t>
  </si>
  <si>
    <t>GSTL/0263/2013/DEC-13/Q-130/8</t>
  </si>
  <si>
    <t>GSTL/0270/2013/DEC-20/Q-134/12</t>
  </si>
  <si>
    <t>OMSP-ITALY</t>
  </si>
  <si>
    <t>G003201401</t>
  </si>
  <si>
    <t>G003201402</t>
  </si>
  <si>
    <t>G003201403</t>
  </si>
  <si>
    <t>G003201404</t>
  </si>
  <si>
    <t>G003201405</t>
  </si>
  <si>
    <t>G003201406</t>
  </si>
  <si>
    <t>24/03/2014</t>
  </si>
  <si>
    <t>068201400010030</t>
  </si>
  <si>
    <t>068201400010035</t>
  </si>
  <si>
    <t>023201300010384</t>
  </si>
  <si>
    <t>068201400010034</t>
  </si>
  <si>
    <t>068201400010033</t>
  </si>
  <si>
    <t>068201400010032</t>
  </si>
  <si>
    <t>0009333</t>
  </si>
  <si>
    <t>28/02/2014</t>
  </si>
  <si>
    <t>0009334</t>
  </si>
  <si>
    <t>0009327</t>
  </si>
  <si>
    <t>0009335</t>
  </si>
  <si>
    <t>0009336</t>
  </si>
  <si>
    <t>0009337</t>
  </si>
  <si>
    <t>UNIVERSAL CROWN</t>
  </si>
  <si>
    <t>FORMOSAPETRO CHALLENGER</t>
  </si>
  <si>
    <t>GSTL/007/2014/JAN-7/B-3/3C</t>
  </si>
  <si>
    <t>GSTL/018/2014/JAN-18/B-7/7C</t>
  </si>
  <si>
    <t>G003201407</t>
  </si>
  <si>
    <t>G003201408</t>
  </si>
  <si>
    <t>011201402300003</t>
  </si>
  <si>
    <t>FIRST BANK OF NIGERIA</t>
  </si>
  <si>
    <t>011201402300004</t>
  </si>
  <si>
    <t>0083412</t>
  </si>
  <si>
    <t>GSTL/025/2014/FEB-4/B-9/2A/B</t>
  </si>
  <si>
    <t>ALIAGA/IZMIR /TUTUNCIFLIK REFINERY</t>
  </si>
  <si>
    <t>G003201409</t>
  </si>
  <si>
    <t>0004068</t>
  </si>
  <si>
    <t>COMPLIANT INSPECTION DURING THE MONTH OF MARCH 2014 FOR SWEDE CONTROL INTERTEK LIMITED</t>
  </si>
  <si>
    <t>ST042002C13/55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</si>
</sst>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_-* #,##0_-;\-* #,##0_-;_-* &quot;-&quot;??_-;_-@_-"/>
    <numFmt numFmtId="166" formatCode="0.0000"/>
    <numFmt numFmtId="167" formatCode="#,##0.0000"/>
    <numFmt numFmtId="168" formatCode="#,##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6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28"/>
      <color theme="1"/>
      <name val="Arial"/>
      <family val="2"/>
    </font>
    <font>
      <b/>
      <sz val="28"/>
      <color theme="1"/>
      <name val="Arial"/>
      <family val="2"/>
    </font>
    <font>
      <sz val="28"/>
      <name val="Arial"/>
      <family val="2"/>
    </font>
    <font>
      <b/>
      <u/>
      <sz val="28"/>
      <color theme="1"/>
      <name val="Arial"/>
      <family val="2"/>
    </font>
    <font>
      <b/>
      <sz val="28"/>
      <name val="Arial"/>
      <family val="2"/>
    </font>
    <font>
      <sz val="36"/>
      <color theme="1"/>
      <name val="Arial"/>
      <family val="2"/>
    </font>
    <font>
      <b/>
      <sz val="36"/>
      <color theme="1"/>
      <name val="Arial"/>
      <family val="2"/>
    </font>
    <font>
      <sz val="36"/>
      <name val="Arial"/>
      <family val="2"/>
    </font>
    <font>
      <b/>
      <u/>
      <sz val="36"/>
      <color theme="1"/>
      <name val="Arial"/>
      <family val="2"/>
    </font>
    <font>
      <b/>
      <sz val="3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3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3" fillId="2" borderId="0" xfId="0" applyFont="1" applyFill="1"/>
    <xf numFmtId="0" fontId="4" fillId="0" borderId="0" xfId="0" applyFont="1" applyFill="1"/>
    <xf numFmtId="0" fontId="4" fillId="0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NumberFormat="1" applyFont="1" applyFill="1" applyAlignment="1">
      <alignment horizontal="left"/>
    </xf>
    <xf numFmtId="164" fontId="3" fillId="2" borderId="0" xfId="1" applyFont="1" applyFill="1" applyAlignment="1">
      <alignment horizontal="left"/>
    </xf>
    <xf numFmtId="49" fontId="5" fillId="0" borderId="0" xfId="0" applyNumberFormat="1" applyFont="1" applyFill="1" applyAlignment="1">
      <alignment horizontal="left"/>
    </xf>
    <xf numFmtId="0" fontId="4" fillId="0" borderId="0" xfId="0" applyNumberFormat="1" applyFont="1" applyFill="1" applyAlignment="1">
      <alignment horizontal="left"/>
    </xf>
    <xf numFmtId="14" fontId="4" fillId="0" borderId="0" xfId="0" applyNumberFormat="1" applyFont="1" applyFill="1" applyAlignment="1">
      <alignment horizontal="left"/>
    </xf>
    <xf numFmtId="3" fontId="4" fillId="0" borderId="0" xfId="0" applyNumberFormat="1" applyFont="1" applyFill="1" applyAlignment="1">
      <alignment horizontal="left"/>
    </xf>
    <xf numFmtId="4" fontId="4" fillId="0" borderId="0" xfId="0" applyNumberFormat="1" applyFont="1" applyFill="1" applyAlignment="1">
      <alignment horizontal="left"/>
    </xf>
    <xf numFmtId="14" fontId="4" fillId="2" borderId="0" xfId="0" applyNumberFormat="1" applyFont="1" applyFill="1" applyAlignment="1">
      <alignment horizontal="left"/>
    </xf>
    <xf numFmtId="49" fontId="5" fillId="2" borderId="0" xfId="0" applyNumberFormat="1" applyFont="1" applyFill="1" applyAlignment="1">
      <alignment horizontal="left"/>
    </xf>
    <xf numFmtId="0" fontId="4" fillId="2" borderId="0" xfId="0" applyNumberFormat="1" applyFont="1" applyFill="1" applyBorder="1" applyAlignment="1">
      <alignment horizontal="left"/>
    </xf>
    <xf numFmtId="14" fontId="4" fillId="2" borderId="0" xfId="0" applyNumberFormat="1" applyFont="1" applyFill="1" applyBorder="1" applyAlignment="1">
      <alignment horizontal="left"/>
    </xf>
    <xf numFmtId="3" fontId="4" fillId="2" borderId="0" xfId="0" applyNumberFormat="1" applyFont="1" applyFill="1" applyAlignment="1">
      <alignment horizontal="left"/>
    </xf>
    <xf numFmtId="4" fontId="4" fillId="2" borderId="0" xfId="0" applyNumberFormat="1" applyFont="1" applyFill="1" applyAlignment="1">
      <alignment horizontal="left"/>
    </xf>
    <xf numFmtId="165" fontId="4" fillId="0" borderId="0" xfId="0" applyNumberFormat="1" applyFont="1" applyFill="1" applyAlignment="1">
      <alignment horizontal="left"/>
    </xf>
    <xf numFmtId="3" fontId="4" fillId="0" borderId="0" xfId="0" applyNumberFormat="1" applyFont="1" applyFill="1" applyBorder="1" applyAlignment="1">
      <alignment horizontal="left"/>
    </xf>
    <xf numFmtId="166" fontId="3" fillId="2" borderId="0" xfId="0" applyNumberFormat="1" applyFont="1" applyFill="1" applyAlignment="1">
      <alignment horizontal="left"/>
    </xf>
    <xf numFmtId="166" fontId="4" fillId="0" borderId="0" xfId="0" applyNumberFormat="1" applyFont="1" applyFill="1" applyAlignment="1">
      <alignment horizontal="left"/>
    </xf>
    <xf numFmtId="166" fontId="4" fillId="2" borderId="0" xfId="0" applyNumberFormat="1" applyFont="1" applyFill="1" applyAlignment="1">
      <alignment horizontal="left"/>
    </xf>
    <xf numFmtId="14" fontId="2" fillId="2" borderId="0" xfId="0" applyNumberFormat="1" applyFont="1" applyFill="1" applyAlignment="1">
      <alignment horizontal="left"/>
    </xf>
    <xf numFmtId="3" fontId="7" fillId="2" borderId="0" xfId="0" applyNumberFormat="1" applyFont="1" applyFill="1" applyBorder="1" applyAlignment="1">
      <alignment horizontal="left"/>
    </xf>
    <xf numFmtId="4" fontId="7" fillId="2" borderId="0" xfId="0" applyNumberFormat="1" applyFont="1" applyFill="1" applyBorder="1" applyAlignment="1">
      <alignment horizontal="left"/>
    </xf>
    <xf numFmtId="4" fontId="4" fillId="0" borderId="0" xfId="0" applyNumberFormat="1" applyFont="1" applyFill="1" applyBorder="1" applyAlignment="1">
      <alignment horizontal="left"/>
    </xf>
    <xf numFmtId="4" fontId="6" fillId="2" borderId="0" xfId="0" applyNumberFormat="1" applyFont="1" applyFill="1" applyBorder="1" applyAlignment="1">
      <alignment horizontal="left" wrapText="1"/>
    </xf>
    <xf numFmtId="4" fontId="6" fillId="0" borderId="0" xfId="0" applyNumberFormat="1" applyFont="1" applyFill="1" applyAlignment="1">
      <alignment horizontal="left"/>
    </xf>
    <xf numFmtId="167" fontId="6" fillId="2" borderId="0" xfId="0" applyNumberFormat="1" applyFont="1" applyFill="1" applyBorder="1" applyAlignment="1">
      <alignment wrapText="1"/>
    </xf>
    <xf numFmtId="0" fontId="7" fillId="2" borderId="0" xfId="0" applyFont="1" applyFill="1" applyBorder="1" applyAlignment="1">
      <alignment horizontal="left"/>
    </xf>
    <xf numFmtId="14" fontId="7" fillId="2" borderId="0" xfId="0" applyNumberFormat="1" applyFont="1" applyFill="1" applyBorder="1" applyAlignment="1">
      <alignment horizontal="left"/>
    </xf>
    <xf numFmtId="0" fontId="7" fillId="2" borderId="0" xfId="0" applyFont="1" applyFill="1" applyBorder="1" applyAlignment="1">
      <alignment horizontal="left" wrapText="1"/>
    </xf>
    <xf numFmtId="166" fontId="7" fillId="2" borderId="0" xfId="0" applyNumberFormat="1" applyFont="1" applyFill="1" applyBorder="1" applyAlignment="1">
      <alignment horizontal="left"/>
    </xf>
    <xf numFmtId="0" fontId="8" fillId="2" borderId="0" xfId="0" applyFont="1" applyFill="1" applyBorder="1" applyAlignment="1">
      <alignment horizontal="left" wrapText="1"/>
    </xf>
    <xf numFmtId="0" fontId="7" fillId="2" borderId="0" xfId="0" applyNumberFormat="1" applyFont="1" applyFill="1" applyBorder="1" applyAlignment="1">
      <alignment horizontal="left"/>
    </xf>
    <xf numFmtId="165" fontId="7" fillId="2" borderId="0" xfId="0" applyNumberFormat="1" applyFont="1" applyFill="1" applyBorder="1" applyAlignment="1">
      <alignment horizontal="left" wrapText="1"/>
    </xf>
    <xf numFmtId="0" fontId="9" fillId="0" borderId="0" xfId="0" applyFont="1" applyFill="1"/>
    <xf numFmtId="0" fontId="10" fillId="0" borderId="0" xfId="0" applyFont="1" applyFill="1"/>
    <xf numFmtId="0" fontId="9" fillId="0" borderId="0" xfId="0" applyFont="1" applyFill="1" applyAlignment="1">
      <alignment horizontal="left"/>
    </xf>
    <xf numFmtId="14" fontId="9" fillId="0" borderId="0" xfId="0" applyNumberFormat="1" applyFont="1" applyFill="1" applyAlignment="1">
      <alignment horizontal="left"/>
    </xf>
    <xf numFmtId="49" fontId="11" fillId="0" borderId="0" xfId="0" applyNumberFormat="1" applyFont="1" applyFill="1" applyAlignment="1">
      <alignment horizontal="left"/>
    </xf>
    <xf numFmtId="0" fontId="9" fillId="0" borderId="0" xfId="0" applyNumberFormat="1" applyFont="1" applyFill="1" applyAlignment="1">
      <alignment horizontal="left"/>
    </xf>
    <xf numFmtId="3" fontId="9" fillId="0" borderId="0" xfId="0" applyNumberFormat="1" applyFont="1" applyFill="1" applyAlignment="1">
      <alignment horizontal="left"/>
    </xf>
    <xf numFmtId="4" fontId="9" fillId="0" borderId="0" xfId="0" applyNumberFormat="1" applyFont="1" applyFill="1" applyAlignment="1">
      <alignment horizontal="left"/>
    </xf>
    <xf numFmtId="166" fontId="9" fillId="0" borderId="0" xfId="0" applyNumberFormat="1" applyFont="1" applyFill="1" applyAlignment="1">
      <alignment horizontal="left"/>
    </xf>
    <xf numFmtId="14" fontId="9" fillId="2" borderId="0" xfId="0" applyNumberFormat="1" applyFont="1" applyFill="1" applyAlignment="1">
      <alignment horizontal="left"/>
    </xf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horizontal="left" vertical="center"/>
    </xf>
    <xf numFmtId="14" fontId="9" fillId="0" borderId="0" xfId="0" applyNumberFormat="1" applyFont="1" applyFill="1" applyAlignment="1">
      <alignment horizontal="left" vertical="center"/>
    </xf>
    <xf numFmtId="49" fontId="11" fillId="0" borderId="0" xfId="0" applyNumberFormat="1" applyFont="1" applyFill="1" applyAlignment="1">
      <alignment horizontal="left" vertical="center"/>
    </xf>
    <xf numFmtId="0" fontId="9" fillId="0" borderId="0" xfId="0" applyNumberFormat="1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14" fontId="9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3" fontId="9" fillId="0" borderId="0" xfId="0" applyNumberFormat="1" applyFont="1" applyFill="1" applyBorder="1" applyAlignment="1">
      <alignment horizontal="left" vertical="center"/>
    </xf>
    <xf numFmtId="4" fontId="9" fillId="0" borderId="0" xfId="0" applyNumberFormat="1" applyFont="1" applyFill="1" applyAlignment="1">
      <alignment horizontal="left" vertical="center"/>
    </xf>
    <xf numFmtId="166" fontId="9" fillId="0" borderId="0" xfId="0" applyNumberFormat="1" applyFont="1" applyFill="1" applyAlignment="1">
      <alignment horizontal="left" vertical="center"/>
    </xf>
    <xf numFmtId="14" fontId="9" fillId="2" borderId="0" xfId="0" applyNumberFormat="1" applyFont="1" applyFill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left" vertical="center"/>
    </xf>
    <xf numFmtId="1" fontId="9" fillId="0" borderId="9" xfId="0" applyNumberFormat="1" applyFont="1" applyFill="1" applyBorder="1" applyAlignment="1">
      <alignment horizontal="left" vertical="center"/>
    </xf>
    <xf numFmtId="0" fontId="9" fillId="0" borderId="9" xfId="0" applyNumberFormat="1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/>
    </xf>
    <xf numFmtId="0" fontId="10" fillId="0" borderId="0" xfId="0" applyFont="1" applyFill="1" applyAlignment="1">
      <alignment horizontal="left" vertical="top"/>
    </xf>
    <xf numFmtId="0" fontId="11" fillId="2" borderId="2" xfId="0" applyFont="1" applyFill="1" applyBorder="1" applyAlignment="1">
      <alignment horizontal="left"/>
    </xf>
    <xf numFmtId="14" fontId="9" fillId="2" borderId="2" xfId="0" applyNumberFormat="1" applyFont="1" applyFill="1" applyBorder="1" applyAlignment="1">
      <alignment horizontal="left"/>
    </xf>
    <xf numFmtId="0" fontId="9" fillId="2" borderId="2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horizontal="left" wrapText="1"/>
    </xf>
    <xf numFmtId="14" fontId="9" fillId="2" borderId="2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horizontal="left"/>
    </xf>
    <xf numFmtId="0" fontId="9" fillId="0" borderId="2" xfId="0" applyNumberFormat="1" applyFont="1" applyBorder="1" applyAlignment="1">
      <alignment horizontal="left"/>
    </xf>
    <xf numFmtId="0" fontId="9" fillId="2" borderId="2" xfId="1" applyNumberFormat="1" applyFont="1" applyFill="1" applyBorder="1" applyAlignment="1">
      <alignment horizontal="left" wrapText="1"/>
    </xf>
    <xf numFmtId="3" fontId="9" fillId="2" borderId="2" xfId="1" applyNumberFormat="1" applyFont="1" applyFill="1" applyBorder="1" applyAlignment="1">
      <alignment horizontal="left"/>
    </xf>
    <xf numFmtId="4" fontId="9" fillId="2" borderId="2" xfId="0" applyNumberFormat="1" applyFont="1" applyFill="1" applyBorder="1" applyAlignment="1">
      <alignment horizontal="left"/>
    </xf>
    <xf numFmtId="166" fontId="9" fillId="2" borderId="2" xfId="0" applyNumberFormat="1" applyFont="1" applyFill="1" applyBorder="1" applyAlignment="1">
      <alignment horizontal="left"/>
    </xf>
    <xf numFmtId="14" fontId="11" fillId="2" borderId="2" xfId="1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9" fillId="2" borderId="2" xfId="0" quotePrefix="1" applyFont="1" applyFill="1" applyBorder="1" applyAlignment="1">
      <alignment horizontal="left"/>
    </xf>
    <xf numFmtId="0" fontId="9" fillId="2" borderId="0" xfId="0" applyFont="1" applyFill="1" applyAlignment="1">
      <alignment horizontal="left"/>
    </xf>
    <xf numFmtId="14" fontId="9" fillId="0" borderId="2" xfId="0" applyNumberFormat="1" applyFont="1" applyBorder="1" applyAlignment="1">
      <alignment horizontal="left" wrapText="1"/>
    </xf>
    <xf numFmtId="14" fontId="9" fillId="0" borderId="2" xfId="0" applyNumberFormat="1" applyFont="1" applyFill="1" applyBorder="1" applyAlignment="1">
      <alignment horizontal="left"/>
    </xf>
    <xf numFmtId="0" fontId="9" fillId="0" borderId="2" xfId="0" applyNumberFormat="1" applyFont="1" applyFill="1" applyBorder="1" applyAlignment="1">
      <alignment horizontal="left"/>
    </xf>
    <xf numFmtId="0" fontId="14" fillId="0" borderId="0" xfId="0" applyFont="1" applyFill="1"/>
    <xf numFmtId="0" fontId="15" fillId="0" borderId="0" xfId="0" applyFont="1" applyFill="1" applyAlignment="1">
      <alignment horizontal="left"/>
    </xf>
    <xf numFmtId="0" fontId="14" fillId="0" borderId="0" xfId="0" applyFont="1" applyFill="1" applyAlignment="1">
      <alignment horizontal="left"/>
    </xf>
    <xf numFmtId="49" fontId="16" fillId="0" borderId="0" xfId="0" applyNumberFormat="1" applyFont="1" applyFill="1" applyAlignment="1">
      <alignment horizontal="left"/>
    </xf>
    <xf numFmtId="15" fontId="14" fillId="0" borderId="0" xfId="0" applyNumberFormat="1" applyFont="1" applyFill="1" applyAlignment="1">
      <alignment horizontal="left"/>
    </xf>
    <xf numFmtId="3" fontId="14" fillId="0" borderId="0" xfId="0" applyNumberFormat="1" applyFont="1" applyFill="1" applyAlignment="1">
      <alignment horizontal="left"/>
    </xf>
    <xf numFmtId="4" fontId="14" fillId="0" borderId="0" xfId="0" applyNumberFormat="1" applyFont="1" applyFill="1" applyAlignment="1">
      <alignment horizontal="left"/>
    </xf>
    <xf numFmtId="166" fontId="14" fillId="0" borderId="0" xfId="0" applyNumberFormat="1" applyFont="1" applyFill="1" applyAlignment="1">
      <alignment horizontal="left"/>
    </xf>
    <xf numFmtId="14" fontId="14" fillId="2" borderId="0" xfId="0" applyNumberFormat="1" applyFont="1" applyFill="1" applyAlignment="1">
      <alignment horizontal="left"/>
    </xf>
    <xf numFmtId="0" fontId="14" fillId="0" borderId="0" xfId="0" applyFont="1" applyFill="1" applyBorder="1"/>
    <xf numFmtId="0" fontId="14" fillId="0" borderId="0" xfId="0" applyFont="1" applyFill="1" applyAlignment="1">
      <alignment vertical="center"/>
    </xf>
    <xf numFmtId="0" fontId="14" fillId="0" borderId="0" xfId="0" applyFont="1" applyFill="1" applyAlignment="1">
      <alignment horizontal="left" vertical="center"/>
    </xf>
    <xf numFmtId="14" fontId="14" fillId="0" borderId="0" xfId="0" applyNumberFormat="1" applyFont="1" applyFill="1" applyAlignment="1">
      <alignment horizontal="left" vertical="center"/>
    </xf>
    <xf numFmtId="49" fontId="16" fillId="0" borderId="0" xfId="0" applyNumberFormat="1" applyFont="1" applyFill="1" applyAlignment="1">
      <alignment horizontal="left" vertical="center"/>
    </xf>
    <xf numFmtId="0" fontId="14" fillId="0" borderId="0" xfId="0" applyNumberFormat="1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14" fontId="14" fillId="0" borderId="0" xfId="0" applyNumberFormat="1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3" fontId="14" fillId="0" borderId="0" xfId="0" applyNumberFormat="1" applyFont="1" applyFill="1" applyBorder="1" applyAlignment="1">
      <alignment horizontal="left" vertical="center"/>
    </xf>
    <xf numFmtId="4" fontId="14" fillId="0" borderId="0" xfId="0" applyNumberFormat="1" applyFont="1" applyFill="1" applyAlignment="1">
      <alignment horizontal="left" vertical="center"/>
    </xf>
    <xf numFmtId="166" fontId="14" fillId="0" borderId="0" xfId="0" applyNumberFormat="1" applyFont="1" applyFill="1" applyAlignment="1">
      <alignment horizontal="left" vertical="center"/>
    </xf>
    <xf numFmtId="14" fontId="14" fillId="2" borderId="0" xfId="0" applyNumberFormat="1" applyFont="1" applyFill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0" fontId="14" fillId="0" borderId="9" xfId="0" applyFont="1" applyFill="1" applyBorder="1" applyAlignment="1">
      <alignment horizontal="left" vertical="center"/>
    </xf>
    <xf numFmtId="1" fontId="14" fillId="0" borderId="9" xfId="0" applyNumberFormat="1" applyFont="1" applyFill="1" applyBorder="1" applyAlignment="1">
      <alignment horizontal="left" vertical="center"/>
    </xf>
    <xf numFmtId="0" fontId="14" fillId="0" borderId="9" xfId="0" applyNumberFormat="1" applyFont="1" applyFill="1" applyBorder="1" applyAlignment="1">
      <alignment horizontal="left" vertical="center"/>
    </xf>
    <xf numFmtId="0" fontId="14" fillId="0" borderId="10" xfId="0" applyFont="1" applyFill="1" applyBorder="1" applyAlignment="1">
      <alignment horizontal="left" vertical="center"/>
    </xf>
    <xf numFmtId="0" fontId="15" fillId="2" borderId="6" xfId="0" applyFont="1" applyFill="1" applyBorder="1" applyAlignment="1">
      <alignment horizontal="left" vertical="top"/>
    </xf>
    <xf numFmtId="0" fontId="15" fillId="2" borderId="4" xfId="0" applyFont="1" applyFill="1" applyBorder="1" applyAlignment="1">
      <alignment horizontal="left" vertical="top"/>
    </xf>
    <xf numFmtId="0" fontId="15" fillId="2" borderId="4" xfId="0" applyFont="1" applyFill="1" applyBorder="1" applyAlignment="1">
      <alignment horizontal="left" vertical="top" wrapText="1"/>
    </xf>
    <xf numFmtId="14" fontId="15" fillId="2" borderId="4" xfId="0" applyNumberFormat="1" applyFont="1" applyFill="1" applyBorder="1" applyAlignment="1">
      <alignment horizontal="left" vertical="top" wrapText="1"/>
    </xf>
    <xf numFmtId="49" fontId="18" fillId="2" borderId="4" xfId="0" applyNumberFormat="1" applyFont="1" applyFill="1" applyBorder="1" applyAlignment="1">
      <alignment horizontal="left" vertical="top" wrapText="1"/>
    </xf>
    <xf numFmtId="0" fontId="15" fillId="2" borderId="4" xfId="0" applyNumberFormat="1" applyFont="1" applyFill="1" applyBorder="1" applyAlignment="1">
      <alignment horizontal="left" vertical="top"/>
    </xf>
    <xf numFmtId="3" fontId="15" fillId="2" borderId="4" xfId="0" applyNumberFormat="1" applyFont="1" applyFill="1" applyBorder="1" applyAlignment="1">
      <alignment horizontal="left" vertical="top" wrapText="1"/>
    </xf>
    <xf numFmtId="4" fontId="15" fillId="2" borderId="4" xfId="0" applyNumberFormat="1" applyFont="1" applyFill="1" applyBorder="1" applyAlignment="1">
      <alignment horizontal="left" vertical="top" wrapText="1"/>
    </xf>
    <xf numFmtId="166" fontId="15" fillId="2" borderId="4" xfId="0" applyNumberFormat="1" applyFont="1" applyFill="1" applyBorder="1" applyAlignment="1">
      <alignment horizontal="left" vertical="top" wrapText="1"/>
    </xf>
    <xf numFmtId="0" fontId="15" fillId="2" borderId="5" xfId="0" applyFont="1" applyFill="1" applyBorder="1" applyAlignment="1">
      <alignment horizontal="left" vertical="top" wrapText="1"/>
    </xf>
    <xf numFmtId="0" fontId="15" fillId="0" borderId="0" xfId="0" applyFont="1" applyFill="1" applyAlignment="1">
      <alignment horizontal="left" vertical="top"/>
    </xf>
    <xf numFmtId="0" fontId="14" fillId="2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 wrapText="1"/>
    </xf>
    <xf numFmtId="14" fontId="14" fillId="2" borderId="1" xfId="0" applyNumberFormat="1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left"/>
    </xf>
    <xf numFmtId="0" fontId="14" fillId="2" borderId="2" xfId="0" applyFont="1" applyFill="1" applyBorder="1" applyAlignment="1">
      <alignment horizontal="left"/>
    </xf>
    <xf numFmtId="0" fontId="14" fillId="2" borderId="2" xfId="0" applyFont="1" applyFill="1" applyBorder="1" applyAlignment="1">
      <alignment horizontal="left" wrapText="1"/>
    </xf>
    <xf numFmtId="14" fontId="14" fillId="2" borderId="2" xfId="0" applyNumberFormat="1" applyFont="1" applyFill="1" applyBorder="1" applyAlignment="1">
      <alignment horizontal="left" wrapText="1"/>
    </xf>
    <xf numFmtId="4" fontId="14" fillId="2" borderId="2" xfId="0" applyNumberFormat="1" applyFont="1" applyFill="1" applyBorder="1" applyAlignment="1">
      <alignment horizontal="left" wrapText="1"/>
    </xf>
    <xf numFmtId="4" fontId="14" fillId="0" borderId="2" xfId="0" applyNumberFormat="1" applyFont="1" applyFill="1" applyBorder="1" applyAlignment="1">
      <alignment horizontal="left" wrapText="1"/>
    </xf>
    <xf numFmtId="14" fontId="14" fillId="2" borderId="2" xfId="0" applyNumberFormat="1" applyFont="1" applyFill="1" applyBorder="1" applyAlignment="1">
      <alignment horizontal="left"/>
    </xf>
    <xf numFmtId="166" fontId="14" fillId="2" borderId="2" xfId="0" applyNumberFormat="1" applyFont="1" applyFill="1" applyBorder="1" applyAlignment="1">
      <alignment horizontal="left"/>
    </xf>
    <xf numFmtId="4" fontId="14" fillId="2" borderId="2" xfId="0" applyNumberFormat="1" applyFont="1" applyFill="1" applyBorder="1" applyAlignment="1">
      <alignment horizontal="left"/>
    </xf>
    <xf numFmtId="14" fontId="14" fillId="2" borderId="3" xfId="0" applyNumberFormat="1" applyFont="1" applyFill="1" applyBorder="1" applyAlignment="1">
      <alignment horizontal="left"/>
    </xf>
    <xf numFmtId="0" fontId="16" fillId="2" borderId="2" xfId="0" applyFont="1" applyFill="1" applyBorder="1" applyAlignment="1">
      <alignment horizontal="left"/>
    </xf>
    <xf numFmtId="0" fontId="14" fillId="2" borderId="2" xfId="0" applyNumberFormat="1" applyFont="1" applyFill="1" applyBorder="1" applyAlignment="1">
      <alignment horizontal="left" wrapText="1"/>
    </xf>
    <xf numFmtId="0" fontId="16" fillId="2" borderId="2" xfId="0" applyFont="1" applyFill="1" applyBorder="1" applyAlignment="1">
      <alignment horizontal="left" wrapText="1"/>
    </xf>
    <xf numFmtId="14" fontId="14" fillId="0" borderId="2" xfId="0" applyNumberFormat="1" applyFont="1" applyBorder="1" applyAlignment="1">
      <alignment horizontal="left" wrapText="1"/>
    </xf>
    <xf numFmtId="0" fontId="14" fillId="0" borderId="2" xfId="0" applyNumberFormat="1" applyFont="1" applyBorder="1" applyAlignment="1">
      <alignment horizontal="left"/>
    </xf>
    <xf numFmtId="0" fontId="16" fillId="2" borderId="2" xfId="1" applyNumberFormat="1" applyFont="1" applyFill="1" applyBorder="1" applyAlignment="1">
      <alignment horizontal="left" wrapText="1"/>
    </xf>
    <xf numFmtId="3" fontId="14" fillId="2" borderId="2" xfId="1" applyNumberFormat="1" applyFont="1" applyFill="1" applyBorder="1" applyAlignment="1">
      <alignment horizontal="left"/>
    </xf>
    <xf numFmtId="4" fontId="14" fillId="0" borderId="2" xfId="0" applyNumberFormat="1" applyFont="1" applyFill="1" applyBorder="1" applyAlignment="1">
      <alignment horizontal="left"/>
    </xf>
    <xf numFmtId="14" fontId="16" fillId="2" borderId="2" xfId="1" applyNumberFormat="1" applyFont="1" applyFill="1" applyBorder="1" applyAlignment="1">
      <alignment horizontal="left"/>
    </xf>
    <xf numFmtId="0" fontId="14" fillId="2" borderId="2" xfId="0" applyFont="1" applyFill="1" applyBorder="1" applyAlignment="1"/>
    <xf numFmtId="0" fontId="14" fillId="2" borderId="2" xfId="0" quotePrefix="1" applyFont="1" applyFill="1" applyBorder="1" applyAlignment="1">
      <alignment horizontal="left" wrapText="1"/>
    </xf>
    <xf numFmtId="14" fontId="14" fillId="0" borderId="0" xfId="0" applyNumberFormat="1" applyFont="1" applyFill="1" applyBorder="1" applyAlignment="1">
      <alignment horizontal="left"/>
    </xf>
    <xf numFmtId="0" fontId="14" fillId="0" borderId="2" xfId="0" applyNumberFormat="1" applyFont="1" applyFill="1" applyBorder="1" applyAlignment="1">
      <alignment horizontal="left"/>
    </xf>
    <xf numFmtId="0" fontId="14" fillId="2" borderId="2" xfId="1" applyNumberFormat="1" applyFont="1" applyFill="1" applyBorder="1" applyAlignment="1">
      <alignment horizontal="left" wrapText="1"/>
    </xf>
    <xf numFmtId="49" fontId="14" fillId="2" borderId="2" xfId="0" applyNumberFormat="1" applyFont="1" applyFill="1" applyBorder="1" applyAlignment="1">
      <alignment horizontal="left"/>
    </xf>
    <xf numFmtId="0" fontId="14" fillId="0" borderId="2" xfId="0" applyFont="1" applyFill="1" applyBorder="1" applyAlignment="1">
      <alignment horizontal="left"/>
    </xf>
    <xf numFmtId="0" fontId="16" fillId="2" borderId="2" xfId="0" applyNumberFormat="1" applyFont="1" applyFill="1" applyBorder="1" applyAlignment="1">
      <alignment horizontal="left" wrapText="1"/>
    </xf>
    <xf numFmtId="0" fontId="15" fillId="2" borderId="4" xfId="0" applyFont="1" applyFill="1" applyBorder="1" applyAlignment="1">
      <alignment horizontal="left"/>
    </xf>
    <xf numFmtId="14" fontId="15" fillId="2" borderId="4" xfId="0" applyNumberFormat="1" applyFont="1" applyFill="1" applyBorder="1" applyAlignment="1">
      <alignment horizontal="left"/>
    </xf>
    <xf numFmtId="0" fontId="15" fillId="2" borderId="4" xfId="0" applyNumberFormat="1" applyFont="1" applyFill="1" applyBorder="1" applyAlignment="1">
      <alignment horizontal="left" wrapText="1"/>
    </xf>
    <xf numFmtId="0" fontId="15" fillId="2" borderId="4" xfId="0" applyFont="1" applyFill="1" applyBorder="1" applyAlignment="1">
      <alignment horizontal="left" wrapText="1"/>
    </xf>
    <xf numFmtId="0" fontId="15" fillId="2" borderId="4" xfId="1" applyNumberFormat="1" applyFont="1" applyFill="1" applyBorder="1" applyAlignment="1">
      <alignment horizontal="left" wrapText="1"/>
    </xf>
    <xf numFmtId="4" fontId="15" fillId="2" borderId="4" xfId="0" applyNumberFormat="1" applyFont="1" applyFill="1" applyBorder="1" applyAlignment="1">
      <alignment horizontal="left"/>
    </xf>
    <xf numFmtId="166" fontId="15" fillId="2" borderId="4" xfId="0" applyNumberFormat="1" applyFont="1" applyFill="1" applyBorder="1" applyAlignment="1">
      <alignment horizontal="left"/>
    </xf>
    <xf numFmtId="14" fontId="18" fillId="2" borderId="4" xfId="1" applyNumberFormat="1" applyFont="1" applyFill="1" applyBorder="1" applyAlignment="1">
      <alignment horizontal="left"/>
    </xf>
    <xf numFmtId="0" fontId="15" fillId="2" borderId="0" xfId="0" applyFont="1" applyFill="1" applyBorder="1" applyAlignment="1">
      <alignment horizontal="left"/>
    </xf>
    <xf numFmtId="0" fontId="18" fillId="2" borderId="0" xfId="0" applyFont="1" applyFill="1" applyBorder="1" applyAlignment="1">
      <alignment horizontal="left"/>
    </xf>
    <xf numFmtId="14" fontId="15" fillId="2" borderId="0" xfId="0" applyNumberFormat="1" applyFont="1" applyFill="1" applyBorder="1" applyAlignment="1">
      <alignment horizontal="left"/>
    </xf>
    <xf numFmtId="0" fontId="15" fillId="2" borderId="0" xfId="0" quotePrefix="1" applyFont="1" applyFill="1" applyBorder="1" applyAlignment="1">
      <alignment horizontal="left"/>
    </xf>
    <xf numFmtId="0" fontId="15" fillId="2" borderId="0" xfId="0" applyNumberFormat="1" applyFont="1" applyFill="1" applyBorder="1" applyAlignment="1">
      <alignment horizontal="left" wrapText="1"/>
    </xf>
    <xf numFmtId="0" fontId="18" fillId="2" borderId="0" xfId="0" applyFont="1" applyFill="1" applyBorder="1" applyAlignment="1">
      <alignment horizontal="left" wrapText="1"/>
    </xf>
    <xf numFmtId="0" fontId="15" fillId="2" borderId="0" xfId="0" applyFont="1" applyFill="1" applyBorder="1" applyAlignment="1">
      <alignment horizontal="left" wrapText="1"/>
    </xf>
    <xf numFmtId="14" fontId="15" fillId="0" borderId="0" xfId="0" applyNumberFormat="1" applyFont="1" applyBorder="1" applyAlignment="1">
      <alignment horizontal="left" wrapText="1"/>
    </xf>
    <xf numFmtId="0" fontId="15" fillId="0" borderId="0" xfId="0" applyNumberFormat="1" applyFont="1" applyBorder="1" applyAlignment="1">
      <alignment horizontal="left"/>
    </xf>
    <xf numFmtId="0" fontId="15" fillId="2" borderId="0" xfId="1" applyNumberFormat="1" applyFont="1" applyFill="1" applyBorder="1" applyAlignment="1">
      <alignment horizontal="left" wrapText="1"/>
    </xf>
    <xf numFmtId="168" fontId="15" fillId="2" borderId="0" xfId="1" applyNumberFormat="1" applyFont="1" applyFill="1" applyBorder="1" applyAlignment="1">
      <alignment horizontal="left"/>
    </xf>
    <xf numFmtId="4" fontId="15" fillId="0" borderId="0" xfId="0" applyNumberFormat="1" applyFont="1" applyFill="1" applyBorder="1" applyAlignment="1">
      <alignment horizontal="left"/>
    </xf>
    <xf numFmtId="4" fontId="15" fillId="2" borderId="0" xfId="0" applyNumberFormat="1" applyFont="1" applyFill="1" applyBorder="1" applyAlignment="1">
      <alignment horizontal="left" wrapText="1"/>
    </xf>
    <xf numFmtId="4" fontId="15" fillId="2" borderId="0" xfId="0" applyNumberFormat="1" applyFont="1" applyFill="1" applyBorder="1" applyAlignment="1">
      <alignment horizontal="left"/>
    </xf>
    <xf numFmtId="166" fontId="15" fillId="2" borderId="0" xfId="0" applyNumberFormat="1" applyFont="1" applyFill="1" applyBorder="1" applyAlignment="1">
      <alignment horizontal="left"/>
    </xf>
    <xf numFmtId="14" fontId="18" fillId="2" borderId="0" xfId="1" applyNumberFormat="1" applyFont="1" applyFill="1" applyBorder="1" applyAlignment="1">
      <alignment horizontal="left"/>
    </xf>
    <xf numFmtId="167" fontId="15" fillId="2" borderId="0" xfId="0" applyNumberFormat="1" applyFont="1" applyFill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0" fontId="16" fillId="2" borderId="0" xfId="0" applyFont="1" applyFill="1" applyBorder="1" applyAlignment="1">
      <alignment horizontal="left"/>
    </xf>
    <xf numFmtId="14" fontId="14" fillId="2" borderId="0" xfId="0" applyNumberFormat="1" applyFont="1" applyFill="1" applyBorder="1" applyAlignment="1">
      <alignment horizontal="left"/>
    </xf>
    <xf numFmtId="0" fontId="14" fillId="2" borderId="0" xfId="0" quotePrefix="1" applyFont="1" applyFill="1" applyBorder="1" applyAlignment="1">
      <alignment horizontal="left"/>
    </xf>
    <xf numFmtId="0" fontId="14" fillId="2" borderId="0" xfId="0" applyNumberFormat="1" applyFont="1" applyFill="1" applyBorder="1" applyAlignment="1">
      <alignment horizontal="left" wrapText="1"/>
    </xf>
    <xf numFmtId="0" fontId="16" fillId="2" borderId="0" xfId="0" applyFont="1" applyFill="1" applyBorder="1" applyAlignment="1">
      <alignment horizontal="left" wrapText="1"/>
    </xf>
    <xf numFmtId="0" fontId="14" fillId="2" borderId="0" xfId="0" applyFont="1" applyFill="1" applyBorder="1" applyAlignment="1">
      <alignment horizontal="left" wrapText="1"/>
    </xf>
    <xf numFmtId="14" fontId="14" fillId="0" borderId="0" xfId="0" applyNumberFormat="1" applyFont="1" applyBorder="1" applyAlignment="1">
      <alignment horizontal="left" wrapText="1"/>
    </xf>
    <xf numFmtId="0" fontId="14" fillId="0" borderId="0" xfId="0" applyNumberFormat="1" applyFont="1" applyBorder="1" applyAlignment="1">
      <alignment horizontal="left"/>
    </xf>
    <xf numFmtId="0" fontId="14" fillId="2" borderId="0" xfId="1" applyNumberFormat="1" applyFont="1" applyFill="1" applyBorder="1" applyAlignment="1">
      <alignment horizontal="left" wrapText="1"/>
    </xf>
    <xf numFmtId="3" fontId="14" fillId="2" borderId="0" xfId="1" applyNumberFormat="1" applyFont="1" applyFill="1" applyBorder="1" applyAlignment="1">
      <alignment horizontal="left"/>
    </xf>
    <xf numFmtId="4" fontId="14" fillId="0" borderId="0" xfId="0" applyNumberFormat="1" applyFont="1" applyFill="1" applyBorder="1" applyAlignment="1">
      <alignment horizontal="left"/>
    </xf>
    <xf numFmtId="4" fontId="14" fillId="2" borderId="0" xfId="0" applyNumberFormat="1" applyFont="1" applyFill="1" applyBorder="1" applyAlignment="1">
      <alignment horizontal="left" wrapText="1"/>
    </xf>
    <xf numFmtId="4" fontId="14" fillId="2" borderId="0" xfId="0" applyNumberFormat="1" applyFont="1" applyFill="1" applyBorder="1" applyAlignment="1">
      <alignment horizontal="left"/>
    </xf>
    <xf numFmtId="166" fontId="14" fillId="2" borderId="0" xfId="0" applyNumberFormat="1" applyFont="1" applyFill="1" applyBorder="1" applyAlignment="1">
      <alignment horizontal="left"/>
    </xf>
    <xf numFmtId="14" fontId="16" fillId="2" borderId="0" xfId="1" applyNumberFormat="1" applyFont="1" applyFill="1" applyBorder="1" applyAlignment="1">
      <alignment horizontal="left"/>
    </xf>
    <xf numFmtId="167" fontId="14" fillId="2" borderId="0" xfId="0" applyNumberFormat="1" applyFont="1" applyFill="1" applyBorder="1" applyAlignment="1">
      <alignment horizontal="left"/>
    </xf>
    <xf numFmtId="0" fontId="14" fillId="2" borderId="1" xfId="1" applyNumberFormat="1" applyFont="1" applyFill="1" applyBorder="1" applyAlignment="1">
      <alignment horizontal="left" wrapText="1"/>
    </xf>
    <xf numFmtId="0" fontId="14" fillId="0" borderId="1" xfId="0" applyNumberFormat="1" applyFont="1" applyBorder="1" applyAlignment="1">
      <alignment horizontal="left"/>
    </xf>
    <xf numFmtId="3" fontId="14" fillId="2" borderId="1" xfId="1" applyNumberFormat="1" applyFont="1" applyFill="1" applyBorder="1" applyAlignment="1">
      <alignment horizontal="left"/>
    </xf>
    <xf numFmtId="4" fontId="14" fillId="2" borderId="1" xfId="0" applyNumberFormat="1" applyFont="1" applyFill="1" applyBorder="1" applyAlignment="1">
      <alignment horizontal="left"/>
    </xf>
    <xf numFmtId="166" fontId="14" fillId="2" borderId="1" xfId="0" applyNumberFormat="1" applyFont="1" applyFill="1" applyBorder="1" applyAlignment="1">
      <alignment horizontal="left"/>
    </xf>
    <xf numFmtId="0" fontId="14" fillId="2" borderId="7" xfId="0" applyFont="1" applyFill="1" applyBorder="1" applyAlignment="1">
      <alignment horizontal="left" wrapText="1"/>
    </xf>
    <xf numFmtId="165" fontId="14" fillId="2" borderId="2" xfId="1" applyNumberFormat="1" applyFont="1" applyFill="1" applyBorder="1" applyAlignment="1">
      <alignment horizontal="left" wrapText="1"/>
    </xf>
    <xf numFmtId="49" fontId="14" fillId="2" borderId="3" xfId="0" applyNumberFormat="1" applyFont="1" applyFill="1" applyBorder="1" applyAlignment="1">
      <alignment horizontal="left"/>
    </xf>
    <xf numFmtId="0" fontId="15" fillId="2" borderId="0" xfId="0" applyFont="1" applyFill="1" applyAlignment="1">
      <alignment horizontal="left"/>
    </xf>
    <xf numFmtId="14" fontId="15" fillId="2" borderId="4" xfId="0" applyNumberFormat="1" applyFont="1" applyFill="1" applyBorder="1" applyAlignment="1">
      <alignment horizontal="left" wrapText="1"/>
    </xf>
    <xf numFmtId="3" fontId="15" fillId="2" borderId="4" xfId="1" applyNumberFormat="1" applyFont="1" applyFill="1" applyBorder="1" applyAlignment="1">
      <alignment horizontal="left"/>
    </xf>
    <xf numFmtId="0" fontId="15" fillId="0" borderId="0" xfId="0" applyFont="1" applyFill="1"/>
    <xf numFmtId="14" fontId="14" fillId="0" borderId="0" xfId="0" applyNumberFormat="1" applyFont="1" applyFill="1" applyAlignment="1">
      <alignment horizontal="left"/>
    </xf>
    <xf numFmtId="0" fontId="14" fillId="0" borderId="0" xfId="0" applyNumberFormat="1" applyFont="1" applyFill="1" applyAlignment="1">
      <alignment horizontal="left"/>
    </xf>
    <xf numFmtId="0" fontId="14" fillId="2" borderId="3" xfId="0" applyFont="1" applyFill="1" applyBorder="1" applyAlignment="1">
      <alignment horizontal="left"/>
    </xf>
    <xf numFmtId="0" fontId="15" fillId="2" borderId="6" xfId="0" applyFont="1" applyFill="1" applyBorder="1" applyAlignment="1">
      <alignment horizontal="left" wrapText="1"/>
    </xf>
    <xf numFmtId="0" fontId="15" fillId="2" borderId="4" xfId="0" applyFont="1" applyFill="1" applyBorder="1" applyAlignment="1"/>
    <xf numFmtId="0" fontId="15" fillId="2" borderId="5" xfId="0" applyFont="1" applyFill="1" applyBorder="1" applyAlignment="1">
      <alignment horizontal="left"/>
    </xf>
    <xf numFmtId="0" fontId="15" fillId="0" borderId="4" xfId="0" applyNumberFormat="1" applyFont="1" applyFill="1" applyBorder="1" applyAlignment="1">
      <alignment horizontal="left"/>
    </xf>
    <xf numFmtId="0" fontId="15" fillId="0" borderId="4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49" fontId="16" fillId="0" borderId="0" xfId="0" applyNumberFormat="1" applyFont="1" applyFill="1" applyBorder="1" applyAlignment="1">
      <alignment horizontal="left"/>
    </xf>
    <xf numFmtId="15" fontId="14" fillId="0" borderId="0" xfId="0" applyNumberFormat="1" applyFont="1" applyFill="1" applyBorder="1" applyAlignment="1">
      <alignment horizontal="left"/>
    </xf>
    <xf numFmtId="3" fontId="14" fillId="0" borderId="0" xfId="0" applyNumberFormat="1" applyFont="1" applyFill="1" applyBorder="1" applyAlignment="1">
      <alignment horizontal="left"/>
    </xf>
    <xf numFmtId="166" fontId="14" fillId="0" borderId="0" xfId="0" applyNumberFormat="1" applyFont="1" applyFill="1" applyBorder="1" applyAlignment="1">
      <alignment horizontal="left"/>
    </xf>
    <xf numFmtId="0" fontId="15" fillId="0" borderId="6" xfId="0" applyFont="1" applyFill="1" applyBorder="1" applyAlignment="1">
      <alignment horizontal="left"/>
    </xf>
    <xf numFmtId="0" fontId="14" fillId="2" borderId="8" xfId="0" applyFont="1" applyFill="1" applyBorder="1" applyAlignment="1">
      <alignment horizontal="left"/>
    </xf>
    <xf numFmtId="0" fontId="14" fillId="2" borderId="9" xfId="0" applyFont="1" applyFill="1" applyBorder="1" applyAlignment="1">
      <alignment horizontal="left" wrapText="1"/>
    </xf>
    <xf numFmtId="0" fontId="14" fillId="2" borderId="9" xfId="0" applyFont="1" applyFill="1" applyBorder="1" applyAlignment="1">
      <alignment horizontal="left"/>
    </xf>
    <xf numFmtId="14" fontId="14" fillId="2" borderId="9" xfId="0" applyNumberFormat="1" applyFont="1" applyFill="1" applyBorder="1" applyAlignment="1">
      <alignment horizontal="left" wrapText="1"/>
    </xf>
    <xf numFmtId="3" fontId="14" fillId="2" borderId="9" xfId="0" applyNumberFormat="1" applyFont="1" applyFill="1" applyBorder="1" applyAlignment="1">
      <alignment horizontal="left" wrapText="1"/>
    </xf>
    <xf numFmtId="4" fontId="14" fillId="2" borderId="9" xfId="0" applyNumberFormat="1" applyFont="1" applyFill="1" applyBorder="1" applyAlignment="1">
      <alignment horizontal="left" wrapText="1"/>
    </xf>
    <xf numFmtId="0" fontId="14" fillId="2" borderId="11" xfId="0" applyFont="1" applyFill="1" applyBorder="1" applyAlignment="1">
      <alignment horizontal="left"/>
    </xf>
    <xf numFmtId="4" fontId="14" fillId="2" borderId="1" xfId="0" applyNumberFormat="1" applyFont="1" applyFill="1" applyBorder="1" applyAlignment="1">
      <alignment horizontal="left" wrapText="1"/>
    </xf>
    <xf numFmtId="14" fontId="14" fillId="0" borderId="1" xfId="0" applyNumberFormat="1" applyFont="1" applyBorder="1" applyAlignment="1">
      <alignment horizontal="left" wrapText="1"/>
    </xf>
    <xf numFmtId="4" fontId="14" fillId="0" borderId="1" xfId="0" applyNumberFormat="1" applyFont="1" applyFill="1" applyBorder="1" applyAlignment="1">
      <alignment horizontal="left"/>
    </xf>
    <xf numFmtId="3" fontId="14" fillId="2" borderId="1" xfId="0" applyNumberFormat="1" applyFont="1" applyFill="1" applyBorder="1" applyAlignment="1">
      <alignment horizontal="left" wrapText="1"/>
    </xf>
    <xf numFmtId="167" fontId="14" fillId="2" borderId="1" xfId="0" applyNumberFormat="1" applyFont="1" applyFill="1" applyBorder="1" applyAlignment="1">
      <alignment horizontal="left" wrapText="1"/>
    </xf>
    <xf numFmtId="49" fontId="14" fillId="0" borderId="1" xfId="0" applyNumberFormat="1" applyFont="1" applyFill="1" applyBorder="1" applyAlignment="1">
      <alignment horizontal="left"/>
    </xf>
    <xf numFmtId="0" fontId="14" fillId="2" borderId="14" xfId="0" applyFont="1" applyFill="1" applyBorder="1" applyAlignment="1">
      <alignment horizontal="left"/>
    </xf>
    <xf numFmtId="0" fontId="15" fillId="2" borderId="14" xfId="0" applyFont="1" applyFill="1" applyBorder="1" applyAlignment="1">
      <alignment horizontal="left"/>
    </xf>
    <xf numFmtId="0" fontId="14" fillId="0" borderId="14" xfId="0" applyFont="1" applyFill="1" applyBorder="1"/>
    <xf numFmtId="0" fontId="16" fillId="2" borderId="9" xfId="0" applyFont="1" applyFill="1" applyBorder="1" applyAlignment="1">
      <alignment horizontal="left" wrapText="1"/>
    </xf>
    <xf numFmtId="14" fontId="16" fillId="2" borderId="9" xfId="0" applyNumberFormat="1" applyFont="1" applyFill="1" applyBorder="1" applyAlignment="1">
      <alignment horizontal="left" wrapText="1"/>
    </xf>
    <xf numFmtId="0" fontId="14" fillId="2" borderId="9" xfId="0" quotePrefix="1" applyFont="1" applyFill="1" applyBorder="1" applyAlignment="1">
      <alignment horizontal="left" wrapText="1"/>
    </xf>
    <xf numFmtId="4" fontId="14" fillId="0" borderId="9" xfId="0" applyNumberFormat="1" applyFont="1" applyFill="1" applyBorder="1" applyAlignment="1">
      <alignment horizontal="left"/>
    </xf>
    <xf numFmtId="167" fontId="14" fillId="2" borderId="9" xfId="0" applyNumberFormat="1" applyFont="1" applyFill="1" applyBorder="1" applyAlignment="1">
      <alignment horizontal="left" wrapText="1"/>
    </xf>
    <xf numFmtId="49" fontId="14" fillId="0" borderId="9" xfId="0" applyNumberFormat="1" applyFont="1" applyFill="1" applyBorder="1" applyAlignment="1">
      <alignment horizontal="left"/>
    </xf>
    <xf numFmtId="166" fontId="14" fillId="2" borderId="9" xfId="0" applyNumberFormat="1" applyFont="1" applyFill="1" applyBorder="1" applyAlignment="1">
      <alignment horizontal="left"/>
    </xf>
    <xf numFmtId="4" fontId="14" fillId="0" borderId="9" xfId="0" applyNumberFormat="1" applyFont="1" applyFill="1" applyBorder="1" applyAlignment="1">
      <alignment horizontal="left" wrapText="1"/>
    </xf>
    <xf numFmtId="0" fontId="14" fillId="2" borderId="9" xfId="0" quotePrefix="1" applyFont="1" applyFill="1" applyBorder="1" applyAlignment="1">
      <alignment horizontal="left"/>
    </xf>
    <xf numFmtId="14" fontId="14" fillId="2" borderId="10" xfId="0" applyNumberFormat="1" applyFont="1" applyFill="1" applyBorder="1" applyAlignment="1">
      <alignment horizontal="left"/>
    </xf>
    <xf numFmtId="0" fontId="10" fillId="2" borderId="6" xfId="0" applyFont="1" applyFill="1" applyBorder="1" applyAlignment="1">
      <alignment horizontal="left" wrapText="1"/>
    </xf>
    <xf numFmtId="0" fontId="10" fillId="2" borderId="4" xfId="0" applyFont="1" applyFill="1" applyBorder="1" applyAlignment="1">
      <alignment horizontal="left" wrapText="1"/>
    </xf>
    <xf numFmtId="49" fontId="10" fillId="2" borderId="4" xfId="0" applyNumberFormat="1" applyFont="1" applyFill="1" applyBorder="1" applyAlignment="1">
      <alignment horizontal="left"/>
    </xf>
    <xf numFmtId="14" fontId="10" fillId="2" borderId="4" xfId="0" applyNumberFormat="1" applyFont="1" applyFill="1" applyBorder="1" applyAlignment="1">
      <alignment horizontal="left"/>
    </xf>
    <xf numFmtId="0" fontId="10" fillId="2" borderId="4" xfId="0" applyNumberFormat="1" applyFont="1" applyFill="1" applyBorder="1" applyAlignment="1">
      <alignment horizontal="left" wrapText="1"/>
    </xf>
    <xf numFmtId="14" fontId="10" fillId="2" borderId="4" xfId="0" applyNumberFormat="1" applyFont="1" applyFill="1" applyBorder="1" applyAlignment="1">
      <alignment horizontal="left" wrapText="1"/>
    </xf>
    <xf numFmtId="0" fontId="10" fillId="2" borderId="4" xfId="0" applyFont="1" applyFill="1" applyBorder="1" applyAlignment="1">
      <alignment horizontal="left"/>
    </xf>
    <xf numFmtId="165" fontId="10" fillId="2" borderId="4" xfId="1" applyNumberFormat="1" applyFont="1" applyFill="1" applyBorder="1" applyAlignment="1">
      <alignment horizontal="left" wrapText="1"/>
    </xf>
    <xf numFmtId="3" fontId="10" fillId="2" borderId="4" xfId="1" applyNumberFormat="1" applyFont="1" applyFill="1" applyBorder="1" applyAlignment="1">
      <alignment horizontal="left"/>
    </xf>
    <xf numFmtId="4" fontId="10" fillId="2" borderId="4" xfId="0" applyNumberFormat="1" applyFont="1" applyFill="1" applyBorder="1" applyAlignment="1">
      <alignment horizontal="left"/>
    </xf>
    <xf numFmtId="166" fontId="10" fillId="2" borderId="4" xfId="0" applyNumberFormat="1" applyFont="1" applyFill="1" applyBorder="1" applyAlignment="1">
      <alignment horizontal="left"/>
    </xf>
    <xf numFmtId="14" fontId="13" fillId="2" borderId="4" xfId="1" applyNumberFormat="1" applyFont="1" applyFill="1" applyBorder="1" applyAlignment="1">
      <alignment horizontal="left"/>
    </xf>
    <xf numFmtId="49" fontId="10" fillId="2" borderId="5" xfId="0" applyNumberFormat="1" applyFont="1" applyFill="1" applyBorder="1" applyAlignment="1">
      <alignment horizontal="left"/>
    </xf>
    <xf numFmtId="0" fontId="14" fillId="2" borderId="8" xfId="0" applyFont="1" applyFill="1" applyBorder="1" applyAlignment="1">
      <alignment horizontal="left" wrapText="1"/>
    </xf>
    <xf numFmtId="0" fontId="14" fillId="0" borderId="9" xfId="0" applyNumberFormat="1" applyFont="1" applyBorder="1" applyAlignment="1">
      <alignment horizontal="left"/>
    </xf>
    <xf numFmtId="0" fontId="14" fillId="2" borderId="9" xfId="1" applyNumberFormat="1" applyFont="1" applyFill="1" applyBorder="1" applyAlignment="1">
      <alignment horizontal="left" wrapText="1"/>
    </xf>
    <xf numFmtId="3" fontId="14" fillId="2" borderId="9" xfId="1" applyNumberFormat="1" applyFont="1" applyFill="1" applyBorder="1" applyAlignment="1">
      <alignment horizontal="left"/>
    </xf>
    <xf numFmtId="4" fontId="14" fillId="2" borderId="9" xfId="0" applyNumberFormat="1" applyFont="1" applyFill="1" applyBorder="1" applyAlignment="1">
      <alignment horizontal="left"/>
    </xf>
    <xf numFmtId="14" fontId="16" fillId="2" borderId="9" xfId="1" applyNumberFormat="1" applyFont="1" applyFill="1" applyBorder="1" applyAlignment="1">
      <alignment horizontal="left"/>
    </xf>
    <xf numFmtId="49" fontId="14" fillId="2" borderId="9" xfId="0" applyNumberFormat="1" applyFont="1" applyFill="1" applyBorder="1" applyAlignment="1">
      <alignment horizontal="left"/>
    </xf>
    <xf numFmtId="0" fontId="14" fillId="2" borderId="10" xfId="0" applyFont="1" applyFill="1" applyBorder="1" applyAlignment="1">
      <alignment horizontal="left"/>
    </xf>
    <xf numFmtId="14" fontId="9" fillId="2" borderId="3" xfId="0" applyNumberFormat="1" applyFont="1" applyFill="1" applyBorder="1" applyAlignment="1">
      <alignment horizontal="left"/>
    </xf>
    <xf numFmtId="0" fontId="15" fillId="2" borderId="4" xfId="0" applyNumberFormat="1" applyFont="1" applyFill="1" applyBorder="1" applyAlignment="1">
      <alignment horizontal="left"/>
    </xf>
    <xf numFmtId="165" fontId="15" fillId="2" borderId="4" xfId="0" applyNumberFormat="1" applyFont="1" applyFill="1" applyBorder="1" applyAlignment="1">
      <alignment horizontal="left" wrapText="1"/>
    </xf>
    <xf numFmtId="3" fontId="15" fillId="2" borderId="4" xfId="0" applyNumberFormat="1" applyFont="1" applyFill="1" applyBorder="1" applyAlignment="1">
      <alignment horizontal="left"/>
    </xf>
    <xf numFmtId="0" fontId="14" fillId="0" borderId="15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wrapText="1"/>
    </xf>
    <xf numFmtId="0" fontId="10" fillId="2" borderId="6" xfId="0" applyFont="1" applyFill="1" applyBorder="1" applyAlignment="1">
      <alignment horizontal="left" vertical="top"/>
    </xf>
    <xf numFmtId="0" fontId="11" fillId="2" borderId="2" xfId="0" applyFont="1" applyFill="1" applyBorder="1" applyAlignment="1"/>
    <xf numFmtId="14" fontId="9" fillId="2" borderId="2" xfId="0" applyNumberFormat="1" applyFont="1" applyFill="1" applyBorder="1" applyAlignment="1"/>
    <xf numFmtId="0" fontId="9" fillId="2" borderId="2" xfId="0" applyFont="1" applyFill="1" applyBorder="1" applyAlignment="1"/>
    <xf numFmtId="0" fontId="9" fillId="2" borderId="2" xfId="0" applyNumberFormat="1" applyFont="1" applyFill="1" applyBorder="1" applyAlignment="1">
      <alignment wrapText="1"/>
    </xf>
    <xf numFmtId="0" fontId="9" fillId="2" borderId="2" xfId="0" applyFont="1" applyFill="1" applyBorder="1" applyAlignment="1">
      <alignment wrapText="1"/>
    </xf>
    <xf numFmtId="14" fontId="9" fillId="0" borderId="2" xfId="0" applyNumberFormat="1" applyFont="1" applyBorder="1" applyAlignment="1">
      <alignment wrapText="1"/>
    </xf>
    <xf numFmtId="0" fontId="9" fillId="0" borderId="2" xfId="0" applyNumberFormat="1" applyFont="1" applyFill="1" applyBorder="1" applyAlignment="1"/>
    <xf numFmtId="0" fontId="9" fillId="2" borderId="2" xfId="1" applyNumberFormat="1" applyFont="1" applyFill="1" applyBorder="1" applyAlignment="1">
      <alignment wrapText="1"/>
    </xf>
    <xf numFmtId="3" fontId="9" fillId="2" borderId="2" xfId="1" applyNumberFormat="1" applyFont="1" applyFill="1" applyBorder="1" applyAlignment="1"/>
    <xf numFmtId="4" fontId="9" fillId="2" borderId="2" xfId="0" applyNumberFormat="1" applyFont="1" applyFill="1" applyBorder="1" applyAlignment="1"/>
    <xf numFmtId="166" fontId="9" fillId="2" borderId="2" xfId="0" applyNumberFormat="1" applyFont="1" applyFill="1" applyBorder="1" applyAlignment="1"/>
    <xf numFmtId="14" fontId="11" fillId="2" borderId="2" xfId="1" applyNumberFormat="1" applyFont="1" applyFill="1" applyBorder="1" applyAlignment="1"/>
    <xf numFmtId="49" fontId="9" fillId="2" borderId="2" xfId="0" applyNumberFormat="1" applyFont="1" applyFill="1" applyBorder="1" applyAlignment="1"/>
    <xf numFmtId="0" fontId="9" fillId="2" borderId="2" xfId="0" quotePrefix="1" applyFont="1" applyFill="1" applyBorder="1" applyAlignment="1"/>
    <xf numFmtId="0" fontId="9" fillId="2" borderId="3" xfId="0" applyFont="1" applyFill="1" applyBorder="1" applyAlignment="1"/>
    <xf numFmtId="0" fontId="9" fillId="2" borderId="7" xfId="0" applyFont="1" applyFill="1" applyBorder="1" applyAlignment="1">
      <alignment wrapText="1"/>
    </xf>
    <xf numFmtId="14" fontId="9" fillId="2" borderId="2" xfId="0" applyNumberFormat="1" applyFont="1" applyFill="1" applyBorder="1" applyAlignment="1">
      <alignment wrapText="1"/>
    </xf>
    <xf numFmtId="165" fontId="9" fillId="2" borderId="2" xfId="1" applyNumberFormat="1" applyFont="1" applyFill="1" applyBorder="1" applyAlignment="1">
      <alignment wrapText="1"/>
    </xf>
    <xf numFmtId="49" fontId="9" fillId="2" borderId="3" xfId="0" applyNumberFormat="1" applyFont="1" applyFill="1" applyBorder="1" applyAlignment="1"/>
    <xf numFmtId="0" fontId="9" fillId="2" borderId="1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left" vertical="top" wrapText="1"/>
    </xf>
    <xf numFmtId="0" fontId="14" fillId="2" borderId="13" xfId="0" applyFont="1" applyFill="1" applyBorder="1" applyAlignment="1">
      <alignment horizontal="left"/>
    </xf>
    <xf numFmtId="49" fontId="14" fillId="2" borderId="1" xfId="0" applyNumberFormat="1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/>
    </xf>
    <xf numFmtId="14" fontId="9" fillId="2" borderId="1" xfId="0" applyNumberFormat="1" applyFont="1" applyFill="1" applyBorder="1" applyAlignment="1">
      <alignment horizontal="left"/>
    </xf>
    <xf numFmtId="0" fontId="9" fillId="2" borderId="1" xfId="0" applyNumberFormat="1" applyFont="1" applyFill="1" applyBorder="1" applyAlignment="1">
      <alignment horizontal="left" wrapText="1"/>
    </xf>
    <xf numFmtId="14" fontId="9" fillId="2" borderId="1" xfId="0" applyNumberFormat="1" applyFont="1" applyFill="1" applyBorder="1" applyAlignment="1">
      <alignment horizontal="left" wrapText="1"/>
    </xf>
    <xf numFmtId="0" fontId="9" fillId="0" borderId="1" xfId="0" applyNumberFormat="1" applyFont="1" applyBorder="1" applyAlignment="1">
      <alignment horizontal="left"/>
    </xf>
    <xf numFmtId="0" fontId="9" fillId="2" borderId="1" xfId="1" applyNumberFormat="1" applyFont="1" applyFill="1" applyBorder="1" applyAlignment="1">
      <alignment horizontal="left" wrapText="1"/>
    </xf>
    <xf numFmtId="3" fontId="9" fillId="2" borderId="1" xfId="1" applyNumberFormat="1" applyFont="1" applyFill="1" applyBorder="1" applyAlignment="1">
      <alignment horizontal="left"/>
    </xf>
    <xf numFmtId="4" fontId="9" fillId="2" borderId="1" xfId="0" applyNumberFormat="1" applyFont="1" applyFill="1" applyBorder="1" applyAlignment="1">
      <alignment horizontal="left"/>
    </xf>
    <xf numFmtId="166" fontId="9" fillId="2" borderId="1" xfId="0" applyNumberFormat="1" applyFont="1" applyFill="1" applyBorder="1" applyAlignment="1">
      <alignment horizontal="left"/>
    </xf>
    <xf numFmtId="14" fontId="11" fillId="2" borderId="1" xfId="1" applyNumberFormat="1" applyFont="1" applyFill="1" applyBorder="1" applyAlignment="1">
      <alignment horizontal="left"/>
    </xf>
    <xf numFmtId="49" fontId="9" fillId="2" borderId="1" xfId="0" applyNumberFormat="1" applyFont="1" applyFill="1" applyBorder="1" applyAlignment="1">
      <alignment horizontal="left"/>
    </xf>
    <xf numFmtId="0" fontId="9" fillId="2" borderId="12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left" vertical="top"/>
    </xf>
    <xf numFmtId="14" fontId="10" fillId="2" borderId="4" xfId="0" applyNumberFormat="1" applyFont="1" applyFill="1" applyBorder="1" applyAlignment="1">
      <alignment horizontal="left" vertical="top" wrapText="1"/>
    </xf>
    <xf numFmtId="49" fontId="13" fillId="2" borderId="4" xfId="0" applyNumberFormat="1" applyFont="1" applyFill="1" applyBorder="1" applyAlignment="1">
      <alignment horizontal="left" vertical="top" wrapText="1"/>
    </xf>
    <xf numFmtId="0" fontId="10" fillId="2" borderId="4" xfId="0" applyNumberFormat="1" applyFont="1" applyFill="1" applyBorder="1" applyAlignment="1">
      <alignment horizontal="left" vertical="top" wrapText="1"/>
    </xf>
    <xf numFmtId="3" fontId="10" fillId="2" borderId="4" xfId="0" applyNumberFormat="1" applyFont="1" applyFill="1" applyBorder="1" applyAlignment="1">
      <alignment horizontal="left" vertical="top" wrapText="1"/>
    </xf>
    <xf numFmtId="4" fontId="10" fillId="2" borderId="4" xfId="0" applyNumberFormat="1" applyFont="1" applyFill="1" applyBorder="1" applyAlignment="1">
      <alignment horizontal="left" vertical="top" wrapText="1"/>
    </xf>
    <xf numFmtId="166" fontId="10" fillId="2" borderId="4" xfId="0" applyNumberFormat="1" applyFont="1" applyFill="1" applyBorder="1" applyAlignment="1">
      <alignment horizontal="left" vertical="top" wrapText="1"/>
    </xf>
    <xf numFmtId="0" fontId="10" fillId="2" borderId="5" xfId="0" applyFont="1" applyFill="1" applyBorder="1" applyAlignment="1">
      <alignment horizontal="left" vertical="top" wrapText="1"/>
    </xf>
    <xf numFmtId="14" fontId="16" fillId="2" borderId="2" xfId="0" applyNumberFormat="1" applyFont="1" applyFill="1" applyBorder="1" applyAlignment="1">
      <alignment horizontal="left" wrapText="1"/>
    </xf>
    <xf numFmtId="0" fontId="14" fillId="2" borderId="2" xfId="0" quotePrefix="1" applyFont="1" applyFill="1" applyBorder="1" applyAlignment="1">
      <alignment horizontal="left"/>
    </xf>
    <xf numFmtId="0" fontId="14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horizontal="left" vertical="top"/>
    </xf>
    <xf numFmtId="0" fontId="14" fillId="2" borderId="2" xfId="0" applyFont="1" applyFill="1" applyBorder="1" applyAlignment="1">
      <alignment horizontal="left" vertical="center"/>
    </xf>
    <xf numFmtId="0" fontId="15" fillId="2" borderId="4" xfId="0" applyNumberFormat="1" applyFont="1" applyFill="1" applyBorder="1" applyAlignment="1">
      <alignment horizontal="left" vertical="top" wrapText="1"/>
    </xf>
    <xf numFmtId="0" fontId="15" fillId="2" borderId="16" xfId="0" applyFont="1" applyFill="1" applyBorder="1" applyAlignment="1">
      <alignment horizontal="left" vertical="top" wrapText="1"/>
    </xf>
    <xf numFmtId="14" fontId="15" fillId="2" borderId="17" xfId="0" applyNumberFormat="1" applyFont="1" applyFill="1" applyBorder="1" applyAlignment="1">
      <alignment horizontal="left" vertical="top" wrapText="1"/>
    </xf>
    <xf numFmtId="0" fontId="16" fillId="2" borderId="9" xfId="0" applyFont="1" applyFill="1" applyBorder="1" applyAlignment="1">
      <alignment horizontal="left"/>
    </xf>
    <xf numFmtId="14" fontId="14" fillId="2" borderId="9" xfId="0" applyNumberFormat="1" applyFont="1" applyFill="1" applyBorder="1" applyAlignment="1">
      <alignment horizontal="left"/>
    </xf>
    <xf numFmtId="0" fontId="14" fillId="2" borderId="9" xfId="0" applyNumberFormat="1" applyFont="1" applyFill="1" applyBorder="1" applyAlignment="1">
      <alignment horizontal="left" wrapText="1"/>
    </xf>
  </cellXfs>
  <cellStyles count="10">
    <cellStyle name="Comma" xfId="1" builtinId="3"/>
    <cellStyle name="Comma 2" xfId="2"/>
    <cellStyle name="Comma 2 2" xfId="3"/>
    <cellStyle name="Comma 3" xfId="4"/>
    <cellStyle name="Comma 3 2" xfId="5"/>
    <cellStyle name="Comma 4" xfId="6"/>
    <cellStyle name="Comma 4 2" xfId="7"/>
    <cellStyle name="Comma 5" xfId="8"/>
    <cellStyle name="Comma 5 2" xf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152400</xdr:rowOff>
    </xdr:from>
    <xdr:to>
      <xdr:col>5</xdr:col>
      <xdr:colOff>2566987</xdr:colOff>
      <xdr:row>23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52400"/>
          <a:ext cx="18249900" cy="429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152400</xdr:rowOff>
    </xdr:from>
    <xdr:to>
      <xdr:col>5</xdr:col>
      <xdr:colOff>241300</xdr:colOff>
      <xdr:row>16</xdr:row>
      <xdr:rowOff>247650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152400"/>
          <a:ext cx="19335750" cy="401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152400</xdr:rowOff>
    </xdr:from>
    <xdr:to>
      <xdr:col>4</xdr:col>
      <xdr:colOff>1619250</xdr:colOff>
      <xdr:row>24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152400"/>
          <a:ext cx="16154400" cy="451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3"/>
  <sheetViews>
    <sheetView tabSelected="1" zoomScale="40" zoomScaleNormal="40" zoomScaleSheetLayoutView="10" workbookViewId="0">
      <selection activeCell="O61" sqref="O61"/>
    </sheetView>
  </sheetViews>
  <sheetFormatPr defaultRowHeight="15" x14ac:dyDescent="0.2"/>
  <cols>
    <col min="1" max="1" width="12" style="4" customWidth="1"/>
    <col min="2" max="2" width="89.42578125" style="5" customWidth="1"/>
    <col min="3" max="3" width="41" style="5" customWidth="1"/>
    <col min="4" max="4" width="43" style="14" customWidth="1"/>
    <col min="5" max="5" width="62.7109375" style="12" bestFit="1" customWidth="1"/>
    <col min="6" max="6" width="81.85546875" style="5" customWidth="1"/>
    <col min="7" max="7" width="143.5703125" style="13" bestFit="1" customWidth="1"/>
    <col min="8" max="8" width="54" style="5" customWidth="1"/>
    <col min="9" max="9" width="28.42578125" style="5" customWidth="1"/>
    <col min="10" max="10" width="65.5703125" style="14" customWidth="1"/>
    <col min="11" max="11" width="89.85546875" style="5" bestFit="1" customWidth="1"/>
    <col min="12" max="12" width="36.140625" style="5" customWidth="1"/>
    <col min="13" max="13" width="52.42578125" style="5" customWidth="1"/>
    <col min="14" max="14" width="79.85546875" style="5" bestFit="1" customWidth="1"/>
    <col min="15" max="15" width="67.7109375" style="15" bestFit="1" customWidth="1"/>
    <col min="16" max="16" width="62.7109375" style="16" bestFit="1" customWidth="1"/>
    <col min="17" max="17" width="71.85546875" style="16" bestFit="1" customWidth="1"/>
    <col min="18" max="18" width="66.5703125" style="16" bestFit="1" customWidth="1"/>
    <col min="19" max="19" width="57.85546875" style="26" bestFit="1" customWidth="1"/>
    <col min="20" max="20" width="75.140625" style="17" bestFit="1" customWidth="1"/>
    <col min="21" max="21" width="57.85546875" style="5" customWidth="1"/>
    <col min="22" max="22" width="75.85546875" style="16" bestFit="1" customWidth="1"/>
    <col min="23" max="23" width="67" style="26" customWidth="1"/>
    <col min="24" max="24" width="53.85546875" style="16" customWidth="1"/>
    <col min="25" max="25" width="68.140625" style="16" bestFit="1" customWidth="1"/>
    <col min="26" max="26" width="48.42578125" style="5" customWidth="1"/>
    <col min="27" max="27" width="61.28515625" style="5" bestFit="1" customWidth="1"/>
    <col min="28" max="16384" width="9.140625" style="4"/>
  </cols>
  <sheetData>
    <row r="1" spans="1:27" s="3" customFormat="1" ht="18" x14ac:dyDescent="0.25">
      <c r="A1" s="1"/>
      <c r="B1" s="2"/>
      <c r="C1" s="2"/>
      <c r="D1" s="28"/>
      <c r="E1" s="2"/>
      <c r="F1" s="9"/>
      <c r="G1" s="10"/>
      <c r="H1" s="9"/>
      <c r="I1" s="9"/>
      <c r="J1" s="11"/>
      <c r="K1" s="9"/>
      <c r="L1" s="9"/>
      <c r="M1" s="9"/>
      <c r="N1" s="9"/>
      <c r="O1" s="9"/>
      <c r="P1" s="9"/>
      <c r="Q1" s="9"/>
      <c r="R1" s="9"/>
      <c r="S1" s="25"/>
      <c r="T1" s="9"/>
      <c r="U1" s="9"/>
      <c r="V1" s="9"/>
      <c r="W1" s="25"/>
      <c r="X1" s="9"/>
      <c r="Y1" s="9"/>
      <c r="Z1" s="9"/>
      <c r="AA1" s="9"/>
    </row>
    <row r="26" spans="1:27" s="42" customFormat="1" ht="90.75" customHeight="1" x14ac:dyDescent="0.5">
      <c r="B26" s="43" t="s">
        <v>66</v>
      </c>
      <c r="C26" s="44"/>
      <c r="D26" s="45"/>
      <c r="E26" s="46"/>
      <c r="F26" s="44"/>
      <c r="G26" s="47"/>
      <c r="H26" s="44"/>
      <c r="I26" s="44"/>
      <c r="J26" s="45"/>
      <c r="K26" s="44"/>
      <c r="L26" s="44"/>
      <c r="M26" s="44"/>
      <c r="N26" s="44"/>
      <c r="O26" s="48"/>
      <c r="P26" s="49"/>
      <c r="Q26" s="49"/>
      <c r="R26" s="49"/>
      <c r="S26" s="50"/>
      <c r="T26" s="51"/>
      <c r="U26" s="44"/>
      <c r="V26" s="49"/>
      <c r="W26" s="50"/>
      <c r="X26" s="49"/>
      <c r="Y26" s="49"/>
      <c r="Z26" s="44"/>
      <c r="AA26" s="44"/>
    </row>
    <row r="27" spans="1:27" s="52" customFormat="1" ht="90.75" customHeight="1" thickBot="1" x14ac:dyDescent="0.3">
      <c r="B27" s="53"/>
      <c r="C27" s="53"/>
      <c r="D27" s="54"/>
      <c r="E27" s="55"/>
      <c r="F27" s="53"/>
      <c r="G27" s="56"/>
      <c r="H27" s="57"/>
      <c r="I27" s="57"/>
      <c r="J27" s="58"/>
      <c r="K27" s="59"/>
      <c r="L27" s="60"/>
      <c r="M27" s="57"/>
      <c r="N27" s="60"/>
      <c r="O27" s="61"/>
      <c r="P27" s="62"/>
      <c r="Q27" s="62"/>
      <c r="R27" s="62"/>
      <c r="S27" s="63"/>
      <c r="T27" s="64"/>
      <c r="U27" s="53"/>
      <c r="V27" s="62"/>
      <c r="W27" s="63"/>
      <c r="X27" s="62"/>
      <c r="Y27" s="62"/>
      <c r="Z27" s="53"/>
      <c r="AA27" s="53"/>
    </row>
    <row r="28" spans="1:27" s="53" customFormat="1" ht="90.75" customHeight="1" x14ac:dyDescent="0.25">
      <c r="A28" s="65">
        <v>1</v>
      </c>
      <c r="B28" s="66">
        <v>2</v>
      </c>
      <c r="C28" s="66">
        <v>3</v>
      </c>
      <c r="D28" s="67">
        <v>4</v>
      </c>
      <c r="E28" s="66">
        <v>5</v>
      </c>
      <c r="F28" s="66">
        <v>6</v>
      </c>
      <c r="G28" s="68">
        <v>7</v>
      </c>
      <c r="H28" s="66">
        <v>8</v>
      </c>
      <c r="I28" s="66">
        <v>9</v>
      </c>
      <c r="J28" s="66">
        <v>10</v>
      </c>
      <c r="K28" s="66">
        <v>11</v>
      </c>
      <c r="L28" s="66">
        <v>12</v>
      </c>
      <c r="M28" s="66">
        <v>13</v>
      </c>
      <c r="N28" s="66">
        <v>14</v>
      </c>
      <c r="O28" s="66">
        <v>15</v>
      </c>
      <c r="P28" s="66">
        <v>16</v>
      </c>
      <c r="Q28" s="66">
        <v>17</v>
      </c>
      <c r="R28" s="66">
        <v>18</v>
      </c>
      <c r="S28" s="66">
        <v>19</v>
      </c>
      <c r="T28" s="66">
        <v>20</v>
      </c>
      <c r="U28" s="66">
        <v>21</v>
      </c>
      <c r="V28" s="66">
        <v>22</v>
      </c>
      <c r="W28" s="67">
        <v>23</v>
      </c>
      <c r="X28" s="66">
        <v>24</v>
      </c>
      <c r="Y28" s="66">
        <v>25</v>
      </c>
      <c r="Z28" s="66">
        <v>26</v>
      </c>
      <c r="AA28" s="69">
        <v>27</v>
      </c>
    </row>
    <row r="29" spans="1:27" s="70" customFormat="1" ht="90.75" customHeight="1" thickBot="1" x14ac:dyDescent="0.3">
      <c r="A29" s="280" t="s">
        <v>0</v>
      </c>
      <c r="B29" s="316" t="s">
        <v>1</v>
      </c>
      <c r="C29" s="301" t="s">
        <v>2</v>
      </c>
      <c r="D29" s="317" t="s">
        <v>3</v>
      </c>
      <c r="E29" s="318" t="s">
        <v>4</v>
      </c>
      <c r="F29" s="301" t="s">
        <v>5</v>
      </c>
      <c r="G29" s="319" t="s">
        <v>6</v>
      </c>
      <c r="H29" s="301" t="s">
        <v>7</v>
      </c>
      <c r="I29" s="301" t="s">
        <v>8</v>
      </c>
      <c r="J29" s="317" t="s">
        <v>9</v>
      </c>
      <c r="K29" s="316" t="s">
        <v>10</v>
      </c>
      <c r="L29" s="316" t="s">
        <v>11</v>
      </c>
      <c r="M29" s="301" t="s">
        <v>12</v>
      </c>
      <c r="N29" s="301" t="s">
        <v>13</v>
      </c>
      <c r="O29" s="320" t="s">
        <v>14</v>
      </c>
      <c r="P29" s="321" t="s">
        <v>27</v>
      </c>
      <c r="Q29" s="321" t="s">
        <v>39</v>
      </c>
      <c r="R29" s="321" t="s">
        <v>15</v>
      </c>
      <c r="S29" s="322" t="s">
        <v>16</v>
      </c>
      <c r="T29" s="317" t="s">
        <v>17</v>
      </c>
      <c r="U29" s="301" t="s">
        <v>18</v>
      </c>
      <c r="V29" s="321" t="s">
        <v>19</v>
      </c>
      <c r="W29" s="322" t="s">
        <v>20</v>
      </c>
      <c r="X29" s="321" t="s">
        <v>21</v>
      </c>
      <c r="Y29" s="321" t="s">
        <v>22</v>
      </c>
      <c r="Z29" s="301" t="s">
        <v>24</v>
      </c>
      <c r="AA29" s="323" t="s">
        <v>23</v>
      </c>
    </row>
    <row r="30" spans="1:27" s="44" customFormat="1" ht="90.75" customHeight="1" x14ac:dyDescent="0.45">
      <c r="A30" s="279">
        <v>1</v>
      </c>
      <c r="B30" s="304" t="s">
        <v>85</v>
      </c>
      <c r="C30" s="300" t="s">
        <v>131</v>
      </c>
      <c r="D30" s="305">
        <v>41736</v>
      </c>
      <c r="E30" s="300" t="s">
        <v>142</v>
      </c>
      <c r="F30" s="300" t="s">
        <v>50</v>
      </c>
      <c r="G30" s="306" t="s">
        <v>38</v>
      </c>
      <c r="H30" s="279" t="s">
        <v>33</v>
      </c>
      <c r="I30" s="279">
        <v>27090000</v>
      </c>
      <c r="J30" s="307">
        <v>41703</v>
      </c>
      <c r="K30" s="300" t="s">
        <v>67</v>
      </c>
      <c r="L30" s="308" t="s">
        <v>31</v>
      </c>
      <c r="M30" s="279" t="s">
        <v>44</v>
      </c>
      <c r="N30" s="309" t="s">
        <v>51</v>
      </c>
      <c r="O30" s="310">
        <v>949756</v>
      </c>
      <c r="P30" s="311">
        <f t="shared" ref="P30:P31" si="0">O30*S30</f>
        <v>105641359.88000001</v>
      </c>
      <c r="Q30" s="311">
        <f t="shared" ref="Q30:Q31" si="1">P30*W30</f>
        <v>16452585387.711203</v>
      </c>
      <c r="R30" s="311" t="s">
        <v>25</v>
      </c>
      <c r="S30" s="312">
        <v>111.23</v>
      </c>
      <c r="T30" s="313">
        <f t="shared" ref="T30:T31" si="2">J30+90</f>
        <v>41793</v>
      </c>
      <c r="U30" s="314" t="s">
        <v>40</v>
      </c>
      <c r="V30" s="311">
        <f t="shared" ref="V30:V31" si="3">P30*0.12%</f>
        <v>126769.63185600001</v>
      </c>
      <c r="W30" s="312">
        <v>155.74</v>
      </c>
      <c r="X30" s="311">
        <f t="shared" ref="X30:X31" si="4">V30*W30</f>
        <v>19743102.465253443</v>
      </c>
      <c r="Y30" s="311" t="s">
        <v>40</v>
      </c>
      <c r="Z30" s="300" t="s">
        <v>40</v>
      </c>
      <c r="AA30" s="315" t="s">
        <v>40</v>
      </c>
    </row>
    <row r="31" spans="1:27" s="86" customFormat="1" ht="90.75" customHeight="1" x14ac:dyDescent="0.45">
      <c r="A31" s="74">
        <v>2</v>
      </c>
      <c r="B31" s="71" t="s">
        <v>86</v>
      </c>
      <c r="C31" s="76" t="s">
        <v>53</v>
      </c>
      <c r="D31" s="72" t="s">
        <v>53</v>
      </c>
      <c r="E31" s="76" t="s">
        <v>40</v>
      </c>
      <c r="F31" s="76" t="s">
        <v>40</v>
      </c>
      <c r="G31" s="73" t="s">
        <v>56</v>
      </c>
      <c r="H31" s="74" t="s">
        <v>34</v>
      </c>
      <c r="I31" s="74">
        <v>27090000</v>
      </c>
      <c r="J31" s="75">
        <v>41703</v>
      </c>
      <c r="K31" s="76" t="s">
        <v>68</v>
      </c>
      <c r="L31" s="77" t="s">
        <v>32</v>
      </c>
      <c r="M31" s="74" t="s">
        <v>60</v>
      </c>
      <c r="N31" s="78" t="s">
        <v>115</v>
      </c>
      <c r="O31" s="79">
        <v>600000</v>
      </c>
      <c r="P31" s="80">
        <f t="shared" si="0"/>
        <v>66738000</v>
      </c>
      <c r="Q31" s="80">
        <f t="shared" si="1"/>
        <v>10393776120</v>
      </c>
      <c r="R31" s="80" t="s">
        <v>25</v>
      </c>
      <c r="S31" s="81">
        <v>111.23</v>
      </c>
      <c r="T31" s="82">
        <f t="shared" si="2"/>
        <v>41793</v>
      </c>
      <c r="U31" s="83" t="s">
        <v>40</v>
      </c>
      <c r="V31" s="80">
        <f t="shared" si="3"/>
        <v>80085.599999999991</v>
      </c>
      <c r="W31" s="81">
        <v>155.74</v>
      </c>
      <c r="X31" s="80">
        <f t="shared" si="4"/>
        <v>12472531.343999999</v>
      </c>
      <c r="Y31" s="80" t="s">
        <v>40</v>
      </c>
      <c r="Z31" s="85" t="s">
        <v>40</v>
      </c>
      <c r="AA31" s="84" t="s">
        <v>40</v>
      </c>
    </row>
    <row r="32" spans="1:27" s="86" customFormat="1" ht="90.75" customHeight="1" x14ac:dyDescent="0.45">
      <c r="A32" s="74">
        <v>3</v>
      </c>
      <c r="B32" s="71" t="s">
        <v>87</v>
      </c>
      <c r="C32" s="76" t="s">
        <v>53</v>
      </c>
      <c r="D32" s="72" t="s">
        <v>53</v>
      </c>
      <c r="E32" s="76" t="s">
        <v>40</v>
      </c>
      <c r="F32" s="76" t="s">
        <v>40</v>
      </c>
      <c r="G32" s="73" t="s">
        <v>56</v>
      </c>
      <c r="H32" s="74" t="s">
        <v>34</v>
      </c>
      <c r="I32" s="74">
        <v>27090000</v>
      </c>
      <c r="J32" s="75">
        <v>41703</v>
      </c>
      <c r="K32" s="76" t="s">
        <v>68</v>
      </c>
      <c r="L32" s="77" t="s">
        <v>32</v>
      </c>
      <c r="M32" s="74" t="s">
        <v>60</v>
      </c>
      <c r="N32" s="78" t="s">
        <v>115</v>
      </c>
      <c r="O32" s="79">
        <v>399179</v>
      </c>
      <c r="P32" s="80">
        <f t="shared" ref="P32:P50" si="5">O32*S32</f>
        <v>44400680.170000002</v>
      </c>
      <c r="Q32" s="80">
        <f t="shared" ref="Q32:Q50" si="6">P32*W32</f>
        <v>6914961929.6758003</v>
      </c>
      <c r="R32" s="80" t="s">
        <v>25</v>
      </c>
      <c r="S32" s="81">
        <v>111.23</v>
      </c>
      <c r="T32" s="82">
        <f t="shared" ref="T32:T58" si="7">J32+90</f>
        <v>41793</v>
      </c>
      <c r="U32" s="83" t="s">
        <v>40</v>
      </c>
      <c r="V32" s="80">
        <f t="shared" ref="V32:V50" si="8">P32*0.12%</f>
        <v>53280.816203999995</v>
      </c>
      <c r="W32" s="81">
        <v>155.74</v>
      </c>
      <c r="X32" s="80">
        <f t="shared" ref="X32:X58" si="9">V32*W32</f>
        <v>8297954.3156109601</v>
      </c>
      <c r="Y32" s="80" t="s">
        <v>40</v>
      </c>
      <c r="Z32" s="85" t="s">
        <v>40</v>
      </c>
      <c r="AA32" s="84" t="s">
        <v>40</v>
      </c>
    </row>
    <row r="33" spans="1:27" s="86" customFormat="1" ht="90.75" customHeight="1" x14ac:dyDescent="0.45">
      <c r="A33" s="74">
        <v>4</v>
      </c>
      <c r="B33" s="71" t="s">
        <v>88</v>
      </c>
      <c r="C33" s="76" t="s">
        <v>132</v>
      </c>
      <c r="D33" s="72">
        <v>41736</v>
      </c>
      <c r="E33" s="76" t="s">
        <v>143</v>
      </c>
      <c r="F33" s="76" t="s">
        <v>50</v>
      </c>
      <c r="G33" s="73" t="s">
        <v>38</v>
      </c>
      <c r="H33" s="74" t="s">
        <v>33</v>
      </c>
      <c r="I33" s="74">
        <v>27090000</v>
      </c>
      <c r="J33" s="75">
        <v>41704</v>
      </c>
      <c r="K33" s="76" t="s">
        <v>67</v>
      </c>
      <c r="L33" s="77" t="s">
        <v>31</v>
      </c>
      <c r="M33" s="74" t="s">
        <v>44</v>
      </c>
      <c r="N33" s="78" t="s">
        <v>51</v>
      </c>
      <c r="O33" s="79">
        <v>949830</v>
      </c>
      <c r="P33" s="80">
        <f t="shared" si="5"/>
        <v>105247812.81</v>
      </c>
      <c r="Q33" s="80">
        <f t="shared" si="6"/>
        <v>16391294367.029402</v>
      </c>
      <c r="R33" s="80" t="s">
        <v>25</v>
      </c>
      <c r="S33" s="81">
        <v>110.807</v>
      </c>
      <c r="T33" s="82">
        <f t="shared" si="7"/>
        <v>41794</v>
      </c>
      <c r="U33" s="83" t="s">
        <v>40</v>
      </c>
      <c r="V33" s="80">
        <f t="shared" si="8"/>
        <v>126297.37537199999</v>
      </c>
      <c r="W33" s="81">
        <v>155.74</v>
      </c>
      <c r="X33" s="80">
        <f t="shared" si="9"/>
        <v>19669553.24043528</v>
      </c>
      <c r="Y33" s="80" t="s">
        <v>40</v>
      </c>
      <c r="Z33" s="85" t="s">
        <v>40</v>
      </c>
      <c r="AA33" s="84" t="s">
        <v>40</v>
      </c>
    </row>
    <row r="34" spans="1:27" s="86" customFormat="1" ht="90.75" customHeight="1" x14ac:dyDescent="0.45">
      <c r="A34" s="74">
        <v>5</v>
      </c>
      <c r="B34" s="71" t="s">
        <v>89</v>
      </c>
      <c r="C34" s="76" t="s">
        <v>53</v>
      </c>
      <c r="D34" s="72" t="s">
        <v>53</v>
      </c>
      <c r="E34" s="76" t="s">
        <v>40</v>
      </c>
      <c r="F34" s="76" t="s">
        <v>40</v>
      </c>
      <c r="G34" s="73" t="s">
        <v>38</v>
      </c>
      <c r="H34" s="74" t="s">
        <v>34</v>
      </c>
      <c r="I34" s="74">
        <v>27090000</v>
      </c>
      <c r="J34" s="75">
        <v>41705</v>
      </c>
      <c r="K34" s="76" t="s">
        <v>69</v>
      </c>
      <c r="L34" s="77" t="s">
        <v>32</v>
      </c>
      <c r="M34" s="74" t="s">
        <v>126</v>
      </c>
      <c r="N34" s="78" t="s">
        <v>116</v>
      </c>
      <c r="O34" s="79">
        <v>199451</v>
      </c>
      <c r="P34" s="80">
        <f t="shared" si="5"/>
        <v>22068455.346000001</v>
      </c>
      <c r="Q34" s="80">
        <f t="shared" si="6"/>
        <v>3436941235.5860405</v>
      </c>
      <c r="R34" s="80" t="s">
        <v>25</v>
      </c>
      <c r="S34" s="81">
        <v>110.646</v>
      </c>
      <c r="T34" s="82">
        <f t="shared" si="7"/>
        <v>41795</v>
      </c>
      <c r="U34" s="83" t="s">
        <v>40</v>
      </c>
      <c r="V34" s="80">
        <f t="shared" si="8"/>
        <v>26482.146415199997</v>
      </c>
      <c r="W34" s="81">
        <v>155.74</v>
      </c>
      <c r="X34" s="80">
        <f t="shared" si="9"/>
        <v>4124329.4827032476</v>
      </c>
      <c r="Y34" s="80" t="s">
        <v>40</v>
      </c>
      <c r="Z34" s="85" t="s">
        <v>40</v>
      </c>
      <c r="AA34" s="84" t="s">
        <v>40</v>
      </c>
    </row>
    <row r="35" spans="1:27" s="86" customFormat="1" ht="90.75" customHeight="1" x14ac:dyDescent="0.45">
      <c r="A35" s="74">
        <v>6</v>
      </c>
      <c r="B35" s="71" t="s">
        <v>90</v>
      </c>
      <c r="C35" s="76" t="s">
        <v>53</v>
      </c>
      <c r="D35" s="72" t="s">
        <v>53</v>
      </c>
      <c r="E35" s="76" t="s">
        <v>40</v>
      </c>
      <c r="F35" s="76" t="s">
        <v>40</v>
      </c>
      <c r="G35" s="73" t="s">
        <v>35</v>
      </c>
      <c r="H35" s="74" t="s">
        <v>33</v>
      </c>
      <c r="I35" s="74">
        <v>27090000</v>
      </c>
      <c r="J35" s="75">
        <v>41707</v>
      </c>
      <c r="K35" s="76" t="s">
        <v>70</v>
      </c>
      <c r="L35" s="77" t="s">
        <v>31</v>
      </c>
      <c r="M35" s="74" t="s">
        <v>44</v>
      </c>
      <c r="N35" s="78" t="s">
        <v>117</v>
      </c>
      <c r="O35" s="79">
        <v>906087</v>
      </c>
      <c r="P35" s="80">
        <f t="shared" si="5"/>
        <v>100307455.248</v>
      </c>
      <c r="Q35" s="80">
        <f t="shared" si="6"/>
        <v>15621883080.323521</v>
      </c>
      <c r="R35" s="80" t="s">
        <v>25</v>
      </c>
      <c r="S35" s="81">
        <v>110.70399999999999</v>
      </c>
      <c r="T35" s="82">
        <f t="shared" si="7"/>
        <v>41797</v>
      </c>
      <c r="U35" s="83" t="s">
        <v>40</v>
      </c>
      <c r="V35" s="80">
        <f t="shared" si="8"/>
        <v>120368.94629759998</v>
      </c>
      <c r="W35" s="81">
        <v>155.74</v>
      </c>
      <c r="X35" s="80">
        <f t="shared" si="9"/>
        <v>18746259.696388222</v>
      </c>
      <c r="Y35" s="80" t="s">
        <v>40</v>
      </c>
      <c r="Z35" s="85" t="s">
        <v>40</v>
      </c>
      <c r="AA35" s="84" t="s">
        <v>40</v>
      </c>
    </row>
    <row r="36" spans="1:27" s="86" customFormat="1" ht="90.75" customHeight="1" x14ac:dyDescent="0.45">
      <c r="A36" s="74">
        <v>7</v>
      </c>
      <c r="B36" s="71" t="s">
        <v>91</v>
      </c>
      <c r="C36" s="76" t="s">
        <v>53</v>
      </c>
      <c r="D36" s="72" t="s">
        <v>53</v>
      </c>
      <c r="E36" s="76" t="s">
        <v>40</v>
      </c>
      <c r="F36" s="76" t="s">
        <v>40</v>
      </c>
      <c r="G36" s="73" t="s">
        <v>35</v>
      </c>
      <c r="H36" s="74" t="s">
        <v>33</v>
      </c>
      <c r="I36" s="74">
        <v>27090000</v>
      </c>
      <c r="J36" s="75">
        <v>41710</v>
      </c>
      <c r="K36" s="76" t="s">
        <v>71</v>
      </c>
      <c r="L36" s="77" t="s">
        <v>31</v>
      </c>
      <c r="M36" s="74" t="s">
        <v>44</v>
      </c>
      <c r="N36" s="78" t="s">
        <v>51</v>
      </c>
      <c r="O36" s="79">
        <v>949586</v>
      </c>
      <c r="P36" s="80">
        <f t="shared" si="5"/>
        <v>104450661.65599999</v>
      </c>
      <c r="Q36" s="80">
        <f t="shared" si="6"/>
        <v>16267146046.305439</v>
      </c>
      <c r="R36" s="80" t="s">
        <v>25</v>
      </c>
      <c r="S36" s="81">
        <v>109.996</v>
      </c>
      <c r="T36" s="82">
        <f t="shared" si="7"/>
        <v>41800</v>
      </c>
      <c r="U36" s="83" t="s">
        <v>40</v>
      </c>
      <c r="V36" s="80">
        <f t="shared" si="8"/>
        <v>125340.79398719997</v>
      </c>
      <c r="W36" s="81">
        <v>155.74</v>
      </c>
      <c r="X36" s="80">
        <f t="shared" si="9"/>
        <v>19520575.255566526</v>
      </c>
      <c r="Y36" s="80" t="s">
        <v>40</v>
      </c>
      <c r="Z36" s="85" t="s">
        <v>40</v>
      </c>
      <c r="AA36" s="84" t="s">
        <v>40</v>
      </c>
    </row>
    <row r="37" spans="1:27" s="86" customFormat="1" ht="90.75" customHeight="1" x14ac:dyDescent="0.45">
      <c r="A37" s="74">
        <v>8</v>
      </c>
      <c r="B37" s="71" t="s">
        <v>92</v>
      </c>
      <c r="C37" s="76" t="s">
        <v>53</v>
      </c>
      <c r="D37" s="72" t="s">
        <v>53</v>
      </c>
      <c r="E37" s="76" t="s">
        <v>40</v>
      </c>
      <c r="F37" s="76" t="s">
        <v>40</v>
      </c>
      <c r="G37" s="73" t="s">
        <v>38</v>
      </c>
      <c r="H37" s="74" t="s">
        <v>34</v>
      </c>
      <c r="I37" s="74">
        <v>27090000</v>
      </c>
      <c r="J37" s="75">
        <v>41711</v>
      </c>
      <c r="K37" s="76" t="s">
        <v>72</v>
      </c>
      <c r="L37" s="77" t="s">
        <v>32</v>
      </c>
      <c r="M37" s="74" t="s">
        <v>36</v>
      </c>
      <c r="N37" s="78" t="s">
        <v>118</v>
      </c>
      <c r="O37" s="79">
        <v>90000</v>
      </c>
      <c r="P37" s="80">
        <f t="shared" si="5"/>
        <v>9895320</v>
      </c>
      <c r="Q37" s="80">
        <f t="shared" si="6"/>
        <v>1541097136.8000002</v>
      </c>
      <c r="R37" s="80" t="s">
        <v>25</v>
      </c>
      <c r="S37" s="81">
        <v>109.94799999999999</v>
      </c>
      <c r="T37" s="82">
        <f t="shared" si="7"/>
        <v>41801</v>
      </c>
      <c r="U37" s="83" t="s">
        <v>40</v>
      </c>
      <c r="V37" s="80">
        <f t="shared" si="8"/>
        <v>11874.383999999998</v>
      </c>
      <c r="W37" s="81">
        <v>155.74</v>
      </c>
      <c r="X37" s="80">
        <f t="shared" si="9"/>
        <v>1849316.5641599998</v>
      </c>
      <c r="Y37" s="80" t="s">
        <v>40</v>
      </c>
      <c r="Z37" s="85" t="s">
        <v>40</v>
      </c>
      <c r="AA37" s="84" t="s">
        <v>40</v>
      </c>
    </row>
    <row r="38" spans="1:27" s="86" customFormat="1" ht="90.75" customHeight="1" x14ac:dyDescent="0.45">
      <c r="A38" s="74">
        <v>9</v>
      </c>
      <c r="B38" s="71" t="s">
        <v>93</v>
      </c>
      <c r="C38" s="76" t="s">
        <v>53</v>
      </c>
      <c r="D38" s="72" t="s">
        <v>53</v>
      </c>
      <c r="E38" s="76" t="s">
        <v>144</v>
      </c>
      <c r="F38" s="76" t="s">
        <v>145</v>
      </c>
      <c r="G38" s="73" t="s">
        <v>114</v>
      </c>
      <c r="H38" s="74" t="s">
        <v>34</v>
      </c>
      <c r="I38" s="74">
        <v>27090000</v>
      </c>
      <c r="J38" s="75">
        <v>41711</v>
      </c>
      <c r="K38" s="76" t="s">
        <v>72</v>
      </c>
      <c r="L38" s="77" t="s">
        <v>32</v>
      </c>
      <c r="M38" s="74" t="s">
        <v>36</v>
      </c>
      <c r="N38" s="78" t="s">
        <v>118</v>
      </c>
      <c r="O38" s="79">
        <v>905800</v>
      </c>
      <c r="P38" s="80">
        <f t="shared" si="5"/>
        <v>99590898.399999991</v>
      </c>
      <c r="Q38" s="80">
        <f t="shared" si="6"/>
        <v>15510286516.816</v>
      </c>
      <c r="R38" s="80" t="s">
        <v>25</v>
      </c>
      <c r="S38" s="81">
        <v>109.94799999999999</v>
      </c>
      <c r="T38" s="82">
        <f t="shared" si="7"/>
        <v>41801</v>
      </c>
      <c r="U38" s="83" t="s">
        <v>40</v>
      </c>
      <c r="V38" s="80">
        <f t="shared" si="8"/>
        <v>119509.07807999998</v>
      </c>
      <c r="W38" s="81">
        <v>155.74</v>
      </c>
      <c r="X38" s="80">
        <f t="shared" si="9"/>
        <v>18612343.820179198</v>
      </c>
      <c r="Y38" s="80" t="s">
        <v>40</v>
      </c>
      <c r="Z38" s="85" t="s">
        <v>40</v>
      </c>
      <c r="AA38" s="84" t="s">
        <v>40</v>
      </c>
    </row>
    <row r="39" spans="1:27" s="86" customFormat="1" ht="90.75" customHeight="1" x14ac:dyDescent="0.45">
      <c r="A39" s="74">
        <v>10</v>
      </c>
      <c r="B39" s="71" t="s">
        <v>94</v>
      </c>
      <c r="C39" s="76" t="s">
        <v>133</v>
      </c>
      <c r="D39" s="72">
        <v>41736</v>
      </c>
      <c r="E39" s="76" t="s">
        <v>146</v>
      </c>
      <c r="F39" s="76" t="s">
        <v>50</v>
      </c>
      <c r="G39" s="73" t="s">
        <v>38</v>
      </c>
      <c r="H39" s="74" t="s">
        <v>33</v>
      </c>
      <c r="I39" s="74">
        <v>27090000</v>
      </c>
      <c r="J39" s="75">
        <v>41713</v>
      </c>
      <c r="K39" s="76" t="s">
        <v>73</v>
      </c>
      <c r="L39" s="77" t="s">
        <v>31</v>
      </c>
      <c r="M39" s="74" t="s">
        <v>26</v>
      </c>
      <c r="N39" s="78" t="s">
        <v>119</v>
      </c>
      <c r="O39" s="79">
        <v>949920</v>
      </c>
      <c r="P39" s="80">
        <f t="shared" si="5"/>
        <v>104027639.04000001</v>
      </c>
      <c r="Q39" s="80">
        <f t="shared" si="6"/>
        <v>16201264504.089602</v>
      </c>
      <c r="R39" s="80" t="s">
        <v>25</v>
      </c>
      <c r="S39" s="81">
        <v>109.512</v>
      </c>
      <c r="T39" s="82">
        <f t="shared" si="7"/>
        <v>41803</v>
      </c>
      <c r="U39" s="83" t="s">
        <v>40</v>
      </c>
      <c r="V39" s="80">
        <f t="shared" si="8"/>
        <v>124833.16684799999</v>
      </c>
      <c r="W39" s="81">
        <v>155.74</v>
      </c>
      <c r="X39" s="80">
        <f t="shared" si="9"/>
        <v>19441517.404907521</v>
      </c>
      <c r="Y39" s="80" t="s">
        <v>40</v>
      </c>
      <c r="Z39" s="85" t="s">
        <v>40</v>
      </c>
      <c r="AA39" s="84" t="s">
        <v>40</v>
      </c>
    </row>
    <row r="40" spans="1:27" s="86" customFormat="1" ht="90.75" customHeight="1" x14ac:dyDescent="0.45">
      <c r="A40" s="74">
        <v>11</v>
      </c>
      <c r="B40" s="71" t="s">
        <v>95</v>
      </c>
      <c r="C40" s="76" t="s">
        <v>53</v>
      </c>
      <c r="D40" s="72" t="s">
        <v>53</v>
      </c>
      <c r="E40" s="76" t="s">
        <v>147</v>
      </c>
      <c r="F40" s="76" t="s">
        <v>49</v>
      </c>
      <c r="G40" s="73" t="s">
        <v>46</v>
      </c>
      <c r="H40" s="74" t="s">
        <v>34</v>
      </c>
      <c r="I40" s="74">
        <v>27090000</v>
      </c>
      <c r="J40" s="75">
        <v>41714</v>
      </c>
      <c r="K40" s="76" t="s">
        <v>74</v>
      </c>
      <c r="L40" s="77" t="s">
        <v>32</v>
      </c>
      <c r="M40" s="74" t="s">
        <v>44</v>
      </c>
      <c r="N40" s="78" t="s">
        <v>51</v>
      </c>
      <c r="O40" s="79">
        <v>85950</v>
      </c>
      <c r="P40" s="80">
        <f t="shared" si="5"/>
        <v>9408001.0500000007</v>
      </c>
      <c r="Q40" s="80">
        <f t="shared" si="6"/>
        <v>1465202083.5270002</v>
      </c>
      <c r="R40" s="80" t="s">
        <v>25</v>
      </c>
      <c r="S40" s="81">
        <v>109.459</v>
      </c>
      <c r="T40" s="82">
        <f t="shared" si="7"/>
        <v>41804</v>
      </c>
      <c r="U40" s="83" t="s">
        <v>49</v>
      </c>
      <c r="V40" s="80">
        <f t="shared" si="8"/>
        <v>11289.601259999999</v>
      </c>
      <c r="W40" s="81">
        <v>155.74</v>
      </c>
      <c r="X40" s="80">
        <f t="shared" si="9"/>
        <v>1758242.5002323999</v>
      </c>
      <c r="Y40" s="80">
        <v>1678693.75</v>
      </c>
      <c r="Z40" s="85" t="s">
        <v>156</v>
      </c>
      <c r="AA40" s="274">
        <v>41705</v>
      </c>
    </row>
    <row r="41" spans="1:27" s="86" customFormat="1" ht="90.75" customHeight="1" x14ac:dyDescent="0.45">
      <c r="A41" s="74">
        <v>12</v>
      </c>
      <c r="B41" s="71" t="s">
        <v>96</v>
      </c>
      <c r="C41" s="76" t="s">
        <v>53</v>
      </c>
      <c r="D41" s="72" t="s">
        <v>53</v>
      </c>
      <c r="E41" s="85" t="s">
        <v>40</v>
      </c>
      <c r="F41" s="76" t="s">
        <v>40</v>
      </c>
      <c r="G41" s="73" t="s">
        <v>54</v>
      </c>
      <c r="H41" s="74" t="s">
        <v>34</v>
      </c>
      <c r="I41" s="74">
        <v>27090000</v>
      </c>
      <c r="J41" s="75">
        <v>41714</v>
      </c>
      <c r="K41" s="76" t="s">
        <v>74</v>
      </c>
      <c r="L41" s="77" t="s">
        <v>32</v>
      </c>
      <c r="M41" s="74" t="s">
        <v>44</v>
      </c>
      <c r="N41" s="78" t="s">
        <v>51</v>
      </c>
      <c r="O41" s="79">
        <v>100000</v>
      </c>
      <c r="P41" s="80">
        <f t="shared" si="5"/>
        <v>10945900</v>
      </c>
      <c r="Q41" s="80">
        <f t="shared" si="6"/>
        <v>1704714466</v>
      </c>
      <c r="R41" s="80" t="s">
        <v>25</v>
      </c>
      <c r="S41" s="81">
        <v>109.459</v>
      </c>
      <c r="T41" s="82">
        <f t="shared" si="7"/>
        <v>41804</v>
      </c>
      <c r="U41" s="83" t="s">
        <v>40</v>
      </c>
      <c r="V41" s="80">
        <f t="shared" si="8"/>
        <v>13135.079999999998</v>
      </c>
      <c r="W41" s="81">
        <v>155.74</v>
      </c>
      <c r="X41" s="80">
        <f t="shared" si="9"/>
        <v>2045657.3591999998</v>
      </c>
      <c r="Y41" s="80" t="s">
        <v>40</v>
      </c>
      <c r="Z41" s="85" t="s">
        <v>40</v>
      </c>
      <c r="AA41" s="84" t="s">
        <v>40</v>
      </c>
    </row>
    <row r="42" spans="1:27" s="86" customFormat="1" ht="90.75" customHeight="1" x14ac:dyDescent="0.45">
      <c r="A42" s="74">
        <v>13</v>
      </c>
      <c r="B42" s="71" t="s">
        <v>97</v>
      </c>
      <c r="C42" s="76" t="s">
        <v>53</v>
      </c>
      <c r="D42" s="72" t="s">
        <v>53</v>
      </c>
      <c r="E42" s="76" t="s">
        <v>40</v>
      </c>
      <c r="F42" s="76" t="s">
        <v>40</v>
      </c>
      <c r="G42" s="73" t="s">
        <v>47</v>
      </c>
      <c r="H42" s="74" t="s">
        <v>34</v>
      </c>
      <c r="I42" s="74">
        <v>27090000</v>
      </c>
      <c r="J42" s="75">
        <v>41714</v>
      </c>
      <c r="K42" s="76" t="s">
        <v>74</v>
      </c>
      <c r="L42" s="77" t="s">
        <v>32</v>
      </c>
      <c r="M42" s="74" t="s">
        <v>44</v>
      </c>
      <c r="N42" s="78" t="s">
        <v>51</v>
      </c>
      <c r="O42" s="79">
        <v>767870</v>
      </c>
      <c r="P42" s="80">
        <f t="shared" si="5"/>
        <v>84050282.329999998</v>
      </c>
      <c r="Q42" s="80">
        <f t="shared" si="6"/>
        <v>13089990970.0742</v>
      </c>
      <c r="R42" s="80" t="s">
        <v>25</v>
      </c>
      <c r="S42" s="81">
        <v>109.459</v>
      </c>
      <c r="T42" s="82">
        <f t="shared" si="7"/>
        <v>41804</v>
      </c>
      <c r="U42" s="83" t="s">
        <v>40</v>
      </c>
      <c r="V42" s="80">
        <f t="shared" si="8"/>
        <v>100860.33879599998</v>
      </c>
      <c r="W42" s="81">
        <v>155.74</v>
      </c>
      <c r="X42" s="80">
        <f t="shared" si="9"/>
        <v>15707989.164089039</v>
      </c>
      <c r="Y42" s="80" t="s">
        <v>40</v>
      </c>
      <c r="Z42" s="85" t="s">
        <v>40</v>
      </c>
      <c r="AA42" s="84" t="s">
        <v>40</v>
      </c>
    </row>
    <row r="43" spans="1:27" s="86" customFormat="1" ht="90.75" customHeight="1" x14ac:dyDescent="0.45">
      <c r="A43" s="74">
        <v>14</v>
      </c>
      <c r="B43" s="71" t="s">
        <v>98</v>
      </c>
      <c r="C43" s="76" t="s">
        <v>53</v>
      </c>
      <c r="D43" s="72" t="s">
        <v>53</v>
      </c>
      <c r="E43" s="85" t="s">
        <v>40</v>
      </c>
      <c r="F43" s="76" t="s">
        <v>40</v>
      </c>
      <c r="G43" s="73" t="s">
        <v>35</v>
      </c>
      <c r="H43" s="74" t="s">
        <v>33</v>
      </c>
      <c r="I43" s="74">
        <v>27090000</v>
      </c>
      <c r="J43" s="75">
        <v>41715</v>
      </c>
      <c r="K43" s="76" t="s">
        <v>75</v>
      </c>
      <c r="L43" s="77" t="s">
        <v>31</v>
      </c>
      <c r="M43" s="74" t="s">
        <v>127</v>
      </c>
      <c r="N43" s="78" t="s">
        <v>120</v>
      </c>
      <c r="O43" s="79">
        <v>948456</v>
      </c>
      <c r="P43" s="80">
        <f t="shared" si="5"/>
        <v>103419642.24000001</v>
      </c>
      <c r="Q43" s="80">
        <f t="shared" si="6"/>
        <v>16106575082.457602</v>
      </c>
      <c r="R43" s="80" t="s">
        <v>25</v>
      </c>
      <c r="S43" s="81">
        <v>109.04</v>
      </c>
      <c r="T43" s="82">
        <f t="shared" si="7"/>
        <v>41805</v>
      </c>
      <c r="U43" s="83" t="s">
        <v>40</v>
      </c>
      <c r="V43" s="80">
        <f t="shared" si="8"/>
        <v>124103.57068800001</v>
      </c>
      <c r="W43" s="81">
        <v>155.74</v>
      </c>
      <c r="X43" s="80">
        <f t="shared" si="9"/>
        <v>19327890.098949123</v>
      </c>
      <c r="Y43" s="80" t="s">
        <v>40</v>
      </c>
      <c r="Z43" s="85" t="s">
        <v>40</v>
      </c>
      <c r="AA43" s="84" t="s">
        <v>40</v>
      </c>
    </row>
    <row r="44" spans="1:27" s="86" customFormat="1" ht="90.75" customHeight="1" x14ac:dyDescent="0.45">
      <c r="A44" s="74">
        <v>15</v>
      </c>
      <c r="B44" s="71" t="s">
        <v>99</v>
      </c>
      <c r="C44" s="76" t="s">
        <v>134</v>
      </c>
      <c r="D44" s="72">
        <v>41736</v>
      </c>
      <c r="E44" s="76" t="s">
        <v>148</v>
      </c>
      <c r="F44" s="76" t="s">
        <v>50</v>
      </c>
      <c r="G44" s="73" t="s">
        <v>38</v>
      </c>
      <c r="H44" s="74" t="s">
        <v>33</v>
      </c>
      <c r="I44" s="74">
        <v>27090000</v>
      </c>
      <c r="J44" s="75">
        <v>41717</v>
      </c>
      <c r="K44" s="76" t="s">
        <v>76</v>
      </c>
      <c r="L44" s="77" t="s">
        <v>31</v>
      </c>
      <c r="M44" s="74" t="s">
        <v>57</v>
      </c>
      <c r="N44" s="78" t="s">
        <v>58</v>
      </c>
      <c r="O44" s="79">
        <v>150000</v>
      </c>
      <c r="P44" s="80">
        <f t="shared" si="5"/>
        <v>16287450</v>
      </c>
      <c r="Q44" s="80">
        <f t="shared" si="6"/>
        <v>2536607463</v>
      </c>
      <c r="R44" s="80" t="s">
        <v>25</v>
      </c>
      <c r="S44" s="81">
        <v>108.583</v>
      </c>
      <c r="T44" s="82">
        <f t="shared" si="7"/>
        <v>41807</v>
      </c>
      <c r="U44" s="83" t="s">
        <v>40</v>
      </c>
      <c r="V44" s="80">
        <f t="shared" si="8"/>
        <v>19544.939999999999</v>
      </c>
      <c r="W44" s="81">
        <v>155.74</v>
      </c>
      <c r="X44" s="80">
        <f t="shared" si="9"/>
        <v>3043928.9556</v>
      </c>
      <c r="Y44" s="80" t="s">
        <v>40</v>
      </c>
      <c r="Z44" s="85" t="s">
        <v>40</v>
      </c>
      <c r="AA44" s="84" t="s">
        <v>40</v>
      </c>
    </row>
    <row r="45" spans="1:27" s="86" customFormat="1" ht="90.75" customHeight="1" x14ac:dyDescent="0.45">
      <c r="A45" s="74">
        <v>16</v>
      </c>
      <c r="B45" s="71" t="s">
        <v>100</v>
      </c>
      <c r="C45" s="76" t="s">
        <v>135</v>
      </c>
      <c r="D45" s="72">
        <v>41736</v>
      </c>
      <c r="E45" s="76" t="s">
        <v>149</v>
      </c>
      <c r="F45" s="76" t="s">
        <v>50</v>
      </c>
      <c r="G45" s="73" t="s">
        <v>38</v>
      </c>
      <c r="H45" s="74" t="s">
        <v>33</v>
      </c>
      <c r="I45" s="74">
        <v>27090000</v>
      </c>
      <c r="J45" s="75">
        <v>41717</v>
      </c>
      <c r="K45" s="76" t="s">
        <v>76</v>
      </c>
      <c r="L45" s="77" t="s">
        <v>31</v>
      </c>
      <c r="M45" s="74" t="s">
        <v>57</v>
      </c>
      <c r="N45" s="78" t="s">
        <v>58</v>
      </c>
      <c r="O45" s="79">
        <v>128000</v>
      </c>
      <c r="P45" s="80">
        <f t="shared" si="5"/>
        <v>13898624</v>
      </c>
      <c r="Q45" s="80">
        <f t="shared" si="6"/>
        <v>2164571701.7600002</v>
      </c>
      <c r="R45" s="80" t="s">
        <v>25</v>
      </c>
      <c r="S45" s="81">
        <v>108.583</v>
      </c>
      <c r="T45" s="82">
        <f t="shared" si="7"/>
        <v>41807</v>
      </c>
      <c r="U45" s="83" t="s">
        <v>40</v>
      </c>
      <c r="V45" s="80">
        <f t="shared" si="8"/>
        <v>16678.3488</v>
      </c>
      <c r="W45" s="81">
        <v>155.74</v>
      </c>
      <c r="X45" s="80">
        <f t="shared" si="9"/>
        <v>2597486.0421120003</v>
      </c>
      <c r="Y45" s="80" t="s">
        <v>40</v>
      </c>
      <c r="Z45" s="85" t="s">
        <v>40</v>
      </c>
      <c r="AA45" s="84" t="s">
        <v>40</v>
      </c>
    </row>
    <row r="46" spans="1:27" s="86" customFormat="1" ht="90.75" customHeight="1" x14ac:dyDescent="0.45">
      <c r="A46" s="74">
        <v>17</v>
      </c>
      <c r="B46" s="71" t="s">
        <v>101</v>
      </c>
      <c r="C46" s="76" t="s">
        <v>136</v>
      </c>
      <c r="D46" s="72">
        <v>41736</v>
      </c>
      <c r="E46" s="76" t="s">
        <v>150</v>
      </c>
      <c r="F46" s="76" t="s">
        <v>50</v>
      </c>
      <c r="G46" s="73" t="s">
        <v>38</v>
      </c>
      <c r="H46" s="74" t="s">
        <v>33</v>
      </c>
      <c r="I46" s="74">
        <v>27090000</v>
      </c>
      <c r="J46" s="75">
        <v>41717</v>
      </c>
      <c r="K46" s="76" t="s">
        <v>76</v>
      </c>
      <c r="L46" s="77" t="s">
        <v>31</v>
      </c>
      <c r="M46" s="74" t="s">
        <v>57</v>
      </c>
      <c r="N46" s="78" t="s">
        <v>58</v>
      </c>
      <c r="O46" s="79">
        <v>671940</v>
      </c>
      <c r="P46" s="80">
        <f t="shared" si="5"/>
        <v>72961261.019999996</v>
      </c>
      <c r="Q46" s="80">
        <f t="shared" si="6"/>
        <v>11362986791.254801</v>
      </c>
      <c r="R46" s="80" t="s">
        <v>25</v>
      </c>
      <c r="S46" s="81">
        <v>108.583</v>
      </c>
      <c r="T46" s="82">
        <f t="shared" si="7"/>
        <v>41807</v>
      </c>
      <c r="U46" s="83" t="s">
        <v>40</v>
      </c>
      <c r="V46" s="80">
        <f t="shared" si="8"/>
        <v>87553.51322399998</v>
      </c>
      <c r="W46" s="81">
        <v>155.74</v>
      </c>
      <c r="X46" s="80">
        <f t="shared" si="9"/>
        <v>13635584.149505757</v>
      </c>
      <c r="Y46" s="80" t="s">
        <v>40</v>
      </c>
      <c r="Z46" s="85" t="s">
        <v>40</v>
      </c>
      <c r="AA46" s="84" t="s">
        <v>40</v>
      </c>
    </row>
    <row r="47" spans="1:27" s="86" customFormat="1" ht="90.75" customHeight="1" x14ac:dyDescent="0.45">
      <c r="A47" s="74">
        <v>18</v>
      </c>
      <c r="B47" s="71" t="s">
        <v>102</v>
      </c>
      <c r="C47" s="76" t="s">
        <v>137</v>
      </c>
      <c r="D47" s="72">
        <v>41736</v>
      </c>
      <c r="E47" s="76" t="s">
        <v>151</v>
      </c>
      <c r="F47" s="76" t="s">
        <v>50</v>
      </c>
      <c r="G47" s="73" t="s">
        <v>38</v>
      </c>
      <c r="H47" s="74" t="s">
        <v>33</v>
      </c>
      <c r="I47" s="74">
        <v>27090000</v>
      </c>
      <c r="J47" s="75">
        <v>41719</v>
      </c>
      <c r="K47" s="76" t="s">
        <v>77</v>
      </c>
      <c r="L47" s="77" t="s">
        <v>31</v>
      </c>
      <c r="M47" s="74" t="s">
        <v>45</v>
      </c>
      <c r="N47" s="78" t="s">
        <v>42</v>
      </c>
      <c r="O47" s="79">
        <v>950003</v>
      </c>
      <c r="P47" s="80">
        <f t="shared" si="5"/>
        <v>103144675.719</v>
      </c>
      <c r="Q47" s="80">
        <f t="shared" si="6"/>
        <v>16063751796.47706</v>
      </c>
      <c r="R47" s="80" t="s">
        <v>25</v>
      </c>
      <c r="S47" s="81">
        <v>108.57299999999999</v>
      </c>
      <c r="T47" s="82">
        <f t="shared" si="7"/>
        <v>41809</v>
      </c>
      <c r="U47" s="83" t="s">
        <v>40</v>
      </c>
      <c r="V47" s="80">
        <f t="shared" si="8"/>
        <v>123773.61086279998</v>
      </c>
      <c r="W47" s="81">
        <v>155.74</v>
      </c>
      <c r="X47" s="80">
        <f t="shared" si="9"/>
        <v>19276502.15577247</v>
      </c>
      <c r="Y47" s="80" t="s">
        <v>40</v>
      </c>
      <c r="Z47" s="85" t="s">
        <v>40</v>
      </c>
      <c r="AA47" s="84" t="s">
        <v>40</v>
      </c>
    </row>
    <row r="48" spans="1:27" s="86" customFormat="1" ht="90.75" customHeight="1" x14ac:dyDescent="0.45">
      <c r="A48" s="74">
        <v>19</v>
      </c>
      <c r="B48" s="71" t="s">
        <v>103</v>
      </c>
      <c r="C48" s="76" t="s">
        <v>138</v>
      </c>
      <c r="D48" s="72">
        <v>41736</v>
      </c>
      <c r="E48" s="76" t="s">
        <v>152</v>
      </c>
      <c r="F48" s="76" t="s">
        <v>50</v>
      </c>
      <c r="G48" s="73" t="s">
        <v>38</v>
      </c>
      <c r="H48" s="74" t="s">
        <v>34</v>
      </c>
      <c r="I48" s="74">
        <v>27090000</v>
      </c>
      <c r="J48" s="75">
        <v>41719</v>
      </c>
      <c r="K48" s="76" t="s">
        <v>78</v>
      </c>
      <c r="L48" s="77" t="s">
        <v>32</v>
      </c>
      <c r="M48" s="74" t="s">
        <v>128</v>
      </c>
      <c r="N48" s="78" t="s">
        <v>121</v>
      </c>
      <c r="O48" s="79">
        <v>667968</v>
      </c>
      <c r="P48" s="80">
        <f t="shared" si="5"/>
        <v>72523289.66399999</v>
      </c>
      <c r="Q48" s="80">
        <f t="shared" si="6"/>
        <v>11294777132.271358</v>
      </c>
      <c r="R48" s="80" t="s">
        <v>25</v>
      </c>
      <c r="S48" s="81">
        <v>108.57299999999999</v>
      </c>
      <c r="T48" s="82">
        <f t="shared" si="7"/>
        <v>41809</v>
      </c>
      <c r="U48" s="83" t="s">
        <v>40</v>
      </c>
      <c r="V48" s="80">
        <f t="shared" si="8"/>
        <v>87027.947596799975</v>
      </c>
      <c r="W48" s="81">
        <v>155.74</v>
      </c>
      <c r="X48" s="80">
        <f t="shared" si="9"/>
        <v>13553732.558725629</v>
      </c>
      <c r="Y48" s="80" t="s">
        <v>40</v>
      </c>
      <c r="Z48" s="85" t="s">
        <v>40</v>
      </c>
      <c r="AA48" s="84" t="s">
        <v>40</v>
      </c>
    </row>
    <row r="49" spans="1:27" s="86" customFormat="1" ht="90.75" customHeight="1" x14ac:dyDescent="0.45">
      <c r="A49" s="74">
        <v>20</v>
      </c>
      <c r="B49" s="71" t="s">
        <v>104</v>
      </c>
      <c r="C49" s="76" t="s">
        <v>139</v>
      </c>
      <c r="D49" s="72">
        <v>41736</v>
      </c>
      <c r="E49" s="85" t="s">
        <v>153</v>
      </c>
      <c r="F49" s="76" t="s">
        <v>50</v>
      </c>
      <c r="G49" s="73" t="s">
        <v>38</v>
      </c>
      <c r="H49" s="74" t="s">
        <v>34</v>
      </c>
      <c r="I49" s="74">
        <v>27090000</v>
      </c>
      <c r="J49" s="87">
        <v>41719</v>
      </c>
      <c r="K49" s="76" t="s">
        <v>78</v>
      </c>
      <c r="L49" s="77" t="s">
        <v>32</v>
      </c>
      <c r="M49" s="74" t="s">
        <v>128</v>
      </c>
      <c r="N49" s="88" t="s">
        <v>121</v>
      </c>
      <c r="O49" s="79">
        <v>238750</v>
      </c>
      <c r="P49" s="80">
        <f t="shared" si="5"/>
        <v>25921803.75</v>
      </c>
      <c r="Q49" s="80">
        <f t="shared" si="6"/>
        <v>4037061716.0250001</v>
      </c>
      <c r="R49" s="80" t="s">
        <v>25</v>
      </c>
      <c r="S49" s="81">
        <v>108.57299999999999</v>
      </c>
      <c r="T49" s="82">
        <f t="shared" si="7"/>
        <v>41809</v>
      </c>
      <c r="U49" s="83" t="s">
        <v>40</v>
      </c>
      <c r="V49" s="80">
        <f t="shared" si="8"/>
        <v>31106.164499999999</v>
      </c>
      <c r="W49" s="81">
        <v>155.74</v>
      </c>
      <c r="X49" s="80">
        <f t="shared" si="9"/>
        <v>4844474.0592299998</v>
      </c>
      <c r="Y49" s="80" t="s">
        <v>40</v>
      </c>
      <c r="Z49" s="85" t="s">
        <v>40</v>
      </c>
      <c r="AA49" s="84" t="s">
        <v>40</v>
      </c>
    </row>
    <row r="50" spans="1:27" s="86" customFormat="1" ht="90.75" customHeight="1" x14ac:dyDescent="0.45">
      <c r="A50" s="74">
        <v>21</v>
      </c>
      <c r="B50" s="71" t="s">
        <v>105</v>
      </c>
      <c r="C50" s="76" t="s">
        <v>140</v>
      </c>
      <c r="D50" s="72">
        <v>41736</v>
      </c>
      <c r="E50" s="85" t="s">
        <v>154</v>
      </c>
      <c r="F50" s="76" t="s">
        <v>50</v>
      </c>
      <c r="G50" s="73" t="s">
        <v>38</v>
      </c>
      <c r="H50" s="74" t="s">
        <v>33</v>
      </c>
      <c r="I50" s="74">
        <v>27090000</v>
      </c>
      <c r="J50" s="87">
        <v>41722</v>
      </c>
      <c r="K50" s="76" t="s">
        <v>79</v>
      </c>
      <c r="L50" s="89" t="s">
        <v>31</v>
      </c>
      <c r="M50" s="74" t="s">
        <v>26</v>
      </c>
      <c r="N50" s="78" t="s">
        <v>122</v>
      </c>
      <c r="O50" s="79">
        <v>997311</v>
      </c>
      <c r="P50" s="80">
        <f t="shared" si="5"/>
        <v>108406708.389</v>
      </c>
      <c r="Q50" s="80">
        <f t="shared" si="6"/>
        <v>16883260764.502861</v>
      </c>
      <c r="R50" s="80" t="s">
        <v>25</v>
      </c>
      <c r="S50" s="81">
        <v>108.699</v>
      </c>
      <c r="T50" s="82">
        <f t="shared" si="7"/>
        <v>41812</v>
      </c>
      <c r="U50" s="83" t="s">
        <v>40</v>
      </c>
      <c r="V50" s="80">
        <f t="shared" si="8"/>
        <v>130088.05006679999</v>
      </c>
      <c r="W50" s="81">
        <v>155.74</v>
      </c>
      <c r="X50" s="80">
        <f t="shared" si="9"/>
        <v>20259912.91740343</v>
      </c>
      <c r="Y50" s="80" t="s">
        <v>40</v>
      </c>
      <c r="Z50" s="85" t="s">
        <v>40</v>
      </c>
      <c r="AA50" s="84" t="s">
        <v>40</v>
      </c>
    </row>
    <row r="51" spans="1:27" s="86" customFormat="1" ht="90.75" customHeight="1" x14ac:dyDescent="0.45">
      <c r="A51" s="74">
        <v>22</v>
      </c>
      <c r="B51" s="71" t="s">
        <v>106</v>
      </c>
      <c r="C51" s="76" t="s">
        <v>53</v>
      </c>
      <c r="D51" s="72" t="s">
        <v>53</v>
      </c>
      <c r="E51" s="85" t="s">
        <v>40</v>
      </c>
      <c r="F51" s="76" t="s">
        <v>40</v>
      </c>
      <c r="G51" s="73" t="s">
        <v>38</v>
      </c>
      <c r="H51" s="74" t="s">
        <v>34</v>
      </c>
      <c r="I51" s="74">
        <v>27090000</v>
      </c>
      <c r="J51" s="87">
        <v>41722</v>
      </c>
      <c r="K51" s="76" t="s">
        <v>80</v>
      </c>
      <c r="L51" s="89" t="s">
        <v>32</v>
      </c>
      <c r="M51" s="74" t="s">
        <v>129</v>
      </c>
      <c r="N51" s="78" t="s">
        <v>123</v>
      </c>
      <c r="O51" s="79">
        <v>953980</v>
      </c>
      <c r="P51" s="80">
        <f t="shared" ref="P51:P58" si="10">O51*S51</f>
        <v>103696672.02</v>
      </c>
      <c r="Q51" s="80">
        <f t="shared" ref="Q51:Q58" si="11">P51*W51</f>
        <v>16149719700.3948</v>
      </c>
      <c r="R51" s="80" t="s">
        <v>25</v>
      </c>
      <c r="S51" s="81">
        <v>108.699</v>
      </c>
      <c r="T51" s="82">
        <f t="shared" si="7"/>
        <v>41812</v>
      </c>
      <c r="U51" s="83" t="s">
        <v>40</v>
      </c>
      <c r="V51" s="80">
        <f t="shared" ref="V51:V58" si="12">P51*0.12%</f>
        <v>124436.00642399998</v>
      </c>
      <c r="W51" s="81">
        <v>155.74</v>
      </c>
      <c r="X51" s="80">
        <f t="shared" si="9"/>
        <v>19379663.640473757</v>
      </c>
      <c r="Y51" s="80" t="s">
        <v>40</v>
      </c>
      <c r="Z51" s="85" t="s">
        <v>40</v>
      </c>
      <c r="AA51" s="84" t="s">
        <v>40</v>
      </c>
    </row>
    <row r="52" spans="1:27" s="86" customFormat="1" ht="90.75" customHeight="1" x14ac:dyDescent="0.45">
      <c r="A52" s="74">
        <v>23</v>
      </c>
      <c r="B52" s="71" t="s">
        <v>107</v>
      </c>
      <c r="C52" s="76" t="s">
        <v>53</v>
      </c>
      <c r="D52" s="72" t="s">
        <v>53</v>
      </c>
      <c r="E52" s="85" t="s">
        <v>40</v>
      </c>
      <c r="F52" s="76" t="s">
        <v>40</v>
      </c>
      <c r="G52" s="73" t="s">
        <v>38</v>
      </c>
      <c r="H52" s="74" t="s">
        <v>33</v>
      </c>
      <c r="I52" s="74">
        <v>27090000</v>
      </c>
      <c r="J52" s="87">
        <v>41724</v>
      </c>
      <c r="K52" s="76" t="s">
        <v>81</v>
      </c>
      <c r="L52" s="89" t="s">
        <v>31</v>
      </c>
      <c r="M52" s="74" t="s">
        <v>63</v>
      </c>
      <c r="N52" s="78" t="s">
        <v>64</v>
      </c>
      <c r="O52" s="79">
        <v>997562</v>
      </c>
      <c r="P52" s="80">
        <f t="shared" si="10"/>
        <v>108304308.778</v>
      </c>
      <c r="Q52" s="80">
        <f t="shared" si="11"/>
        <v>16867313049.08572</v>
      </c>
      <c r="R52" s="80" t="s">
        <v>25</v>
      </c>
      <c r="S52" s="81">
        <v>108.569</v>
      </c>
      <c r="T52" s="82">
        <f t="shared" si="7"/>
        <v>41814</v>
      </c>
      <c r="U52" s="83" t="s">
        <v>40</v>
      </c>
      <c r="V52" s="80">
        <f t="shared" si="12"/>
        <v>129965.17053359999</v>
      </c>
      <c r="W52" s="81">
        <v>155.74</v>
      </c>
      <c r="X52" s="80">
        <f t="shared" si="9"/>
        <v>20240775.658902865</v>
      </c>
      <c r="Y52" s="80" t="s">
        <v>40</v>
      </c>
      <c r="Z52" s="85" t="s">
        <v>40</v>
      </c>
      <c r="AA52" s="274" t="s">
        <v>40</v>
      </c>
    </row>
    <row r="53" spans="1:27" s="86" customFormat="1" ht="90.75" customHeight="1" x14ac:dyDescent="0.45">
      <c r="A53" s="74">
        <v>24</v>
      </c>
      <c r="B53" s="71" t="s">
        <v>108</v>
      </c>
      <c r="C53" s="76" t="s">
        <v>53</v>
      </c>
      <c r="D53" s="72" t="s">
        <v>53</v>
      </c>
      <c r="E53" s="85" t="s">
        <v>40</v>
      </c>
      <c r="F53" s="76" t="s">
        <v>40</v>
      </c>
      <c r="G53" s="73" t="s">
        <v>55</v>
      </c>
      <c r="H53" s="74" t="s">
        <v>34</v>
      </c>
      <c r="I53" s="74">
        <v>27090000</v>
      </c>
      <c r="J53" s="87">
        <v>41725</v>
      </c>
      <c r="K53" s="76" t="s">
        <v>82</v>
      </c>
      <c r="L53" s="89" t="s">
        <v>32</v>
      </c>
      <c r="M53" s="74" t="s">
        <v>44</v>
      </c>
      <c r="N53" s="78" t="s">
        <v>51</v>
      </c>
      <c r="O53" s="79">
        <v>167125</v>
      </c>
      <c r="P53" s="80">
        <f t="shared" si="10"/>
        <v>18145931.125</v>
      </c>
      <c r="Q53" s="80">
        <f t="shared" si="11"/>
        <v>2826047313.4075003</v>
      </c>
      <c r="R53" s="80" t="s">
        <v>25</v>
      </c>
      <c r="S53" s="81">
        <v>108.577</v>
      </c>
      <c r="T53" s="82">
        <f t="shared" si="7"/>
        <v>41815</v>
      </c>
      <c r="U53" s="83" t="s">
        <v>40</v>
      </c>
      <c r="V53" s="80">
        <f t="shared" si="12"/>
        <v>21775.117349999997</v>
      </c>
      <c r="W53" s="81">
        <v>155.74</v>
      </c>
      <c r="X53" s="80">
        <f t="shared" si="9"/>
        <v>3391256.7760889996</v>
      </c>
      <c r="Y53" s="80" t="s">
        <v>40</v>
      </c>
      <c r="Z53" s="85" t="s">
        <v>40</v>
      </c>
      <c r="AA53" s="84" t="s">
        <v>40</v>
      </c>
    </row>
    <row r="54" spans="1:27" s="86" customFormat="1" ht="90.75" customHeight="1" x14ac:dyDescent="0.45">
      <c r="A54" s="74">
        <v>25</v>
      </c>
      <c r="B54" s="71" t="s">
        <v>109</v>
      </c>
      <c r="C54" s="76" t="s">
        <v>53</v>
      </c>
      <c r="D54" s="72" t="s">
        <v>53</v>
      </c>
      <c r="E54" s="85" t="s">
        <v>40</v>
      </c>
      <c r="F54" s="76" t="s">
        <v>40</v>
      </c>
      <c r="G54" s="73" t="s">
        <v>47</v>
      </c>
      <c r="H54" s="74" t="s">
        <v>34</v>
      </c>
      <c r="I54" s="74">
        <v>27090000</v>
      </c>
      <c r="J54" s="87">
        <v>41725</v>
      </c>
      <c r="K54" s="76" t="s">
        <v>82</v>
      </c>
      <c r="L54" s="89" t="s">
        <v>32</v>
      </c>
      <c r="M54" s="74" t="s">
        <v>44</v>
      </c>
      <c r="N54" s="78" t="s">
        <v>51</v>
      </c>
      <c r="O54" s="79">
        <v>701984</v>
      </c>
      <c r="P54" s="80">
        <f t="shared" si="10"/>
        <v>76219316.767999992</v>
      </c>
      <c r="Q54" s="80">
        <f t="shared" si="11"/>
        <v>11870396393.448318</v>
      </c>
      <c r="R54" s="80" t="s">
        <v>25</v>
      </c>
      <c r="S54" s="81">
        <v>108.577</v>
      </c>
      <c r="T54" s="82">
        <f t="shared" si="7"/>
        <v>41815</v>
      </c>
      <c r="U54" s="83" t="s">
        <v>40</v>
      </c>
      <c r="V54" s="80">
        <f t="shared" si="12"/>
        <v>91463.180121599988</v>
      </c>
      <c r="W54" s="81">
        <v>155.74</v>
      </c>
      <c r="X54" s="80">
        <f t="shared" si="9"/>
        <v>14244475.672137983</v>
      </c>
      <c r="Y54" s="80" t="s">
        <v>40</v>
      </c>
      <c r="Z54" s="85" t="s">
        <v>40</v>
      </c>
      <c r="AA54" s="84" t="s">
        <v>40</v>
      </c>
    </row>
    <row r="55" spans="1:27" s="86" customFormat="1" ht="90.75" customHeight="1" x14ac:dyDescent="0.45">
      <c r="A55" s="74">
        <v>26</v>
      </c>
      <c r="B55" s="71" t="s">
        <v>110</v>
      </c>
      <c r="C55" s="76" t="s">
        <v>53</v>
      </c>
      <c r="D55" s="72" t="s">
        <v>53</v>
      </c>
      <c r="E55" s="85" t="s">
        <v>40</v>
      </c>
      <c r="F55" s="76" t="s">
        <v>40</v>
      </c>
      <c r="G55" s="73" t="s">
        <v>47</v>
      </c>
      <c r="H55" s="74" t="s">
        <v>34</v>
      </c>
      <c r="I55" s="74">
        <v>27090000</v>
      </c>
      <c r="J55" s="87">
        <v>41725</v>
      </c>
      <c r="K55" s="76" t="s">
        <v>82</v>
      </c>
      <c r="L55" s="89" t="s">
        <v>32</v>
      </c>
      <c r="M55" s="74" t="s">
        <v>44</v>
      </c>
      <c r="N55" s="78" t="s">
        <v>51</v>
      </c>
      <c r="O55" s="79">
        <v>85950</v>
      </c>
      <c r="P55" s="80">
        <f t="shared" si="10"/>
        <v>9332193.1500000004</v>
      </c>
      <c r="Q55" s="80">
        <f t="shared" si="11"/>
        <v>1453395761.1810002</v>
      </c>
      <c r="R55" s="80" t="s">
        <v>25</v>
      </c>
      <c r="S55" s="81">
        <v>108.577</v>
      </c>
      <c r="T55" s="82">
        <f t="shared" si="7"/>
        <v>41815</v>
      </c>
      <c r="U55" s="83" t="s">
        <v>40</v>
      </c>
      <c r="V55" s="80">
        <f t="shared" si="12"/>
        <v>11198.63178</v>
      </c>
      <c r="W55" s="81">
        <v>155.74</v>
      </c>
      <c r="X55" s="80">
        <f t="shared" si="9"/>
        <v>1744074.9134172001</v>
      </c>
      <c r="Y55" s="80" t="s">
        <v>40</v>
      </c>
      <c r="Z55" s="85" t="s">
        <v>40</v>
      </c>
      <c r="AA55" s="84" t="s">
        <v>40</v>
      </c>
    </row>
    <row r="56" spans="1:27" s="86" customFormat="1" ht="90.75" customHeight="1" x14ac:dyDescent="0.45">
      <c r="A56" s="74">
        <v>27</v>
      </c>
      <c r="B56" s="71" t="s">
        <v>111</v>
      </c>
      <c r="C56" s="76" t="s">
        <v>141</v>
      </c>
      <c r="D56" s="72">
        <v>41736</v>
      </c>
      <c r="E56" s="85" t="s">
        <v>155</v>
      </c>
      <c r="F56" s="76" t="s">
        <v>50</v>
      </c>
      <c r="G56" s="73" t="s">
        <v>38</v>
      </c>
      <c r="H56" s="74" t="s">
        <v>33</v>
      </c>
      <c r="I56" s="74">
        <v>27090000</v>
      </c>
      <c r="J56" s="87">
        <v>41726</v>
      </c>
      <c r="K56" s="76" t="s">
        <v>83</v>
      </c>
      <c r="L56" s="89" t="s">
        <v>31</v>
      </c>
      <c r="M56" s="74" t="s">
        <v>36</v>
      </c>
      <c r="N56" s="78" t="s">
        <v>48</v>
      </c>
      <c r="O56" s="79">
        <v>997277</v>
      </c>
      <c r="P56" s="80">
        <f t="shared" si="10"/>
        <v>108082886.706</v>
      </c>
      <c r="Q56" s="80">
        <f t="shared" si="11"/>
        <v>16832828775.592442</v>
      </c>
      <c r="R56" s="80" t="s">
        <v>25</v>
      </c>
      <c r="S56" s="81">
        <v>108.378</v>
      </c>
      <c r="T56" s="82">
        <f t="shared" si="7"/>
        <v>41816</v>
      </c>
      <c r="U56" s="83" t="s">
        <v>40</v>
      </c>
      <c r="V56" s="80">
        <f t="shared" si="12"/>
        <v>129699.46404719999</v>
      </c>
      <c r="W56" s="81">
        <v>155.74</v>
      </c>
      <c r="X56" s="80">
        <f t="shared" si="9"/>
        <v>20199394.530710928</v>
      </c>
      <c r="Y56" s="80" t="s">
        <v>40</v>
      </c>
      <c r="Z56" s="85" t="s">
        <v>40</v>
      </c>
      <c r="AA56" s="84" t="s">
        <v>40</v>
      </c>
    </row>
    <row r="57" spans="1:27" s="86" customFormat="1" ht="90.75" customHeight="1" x14ac:dyDescent="0.45">
      <c r="A57" s="74">
        <v>28</v>
      </c>
      <c r="B57" s="71" t="s">
        <v>112</v>
      </c>
      <c r="C57" s="76" t="s">
        <v>53</v>
      </c>
      <c r="D57" s="72" t="s">
        <v>53</v>
      </c>
      <c r="E57" s="85" t="s">
        <v>40</v>
      </c>
      <c r="F57" s="76" t="s">
        <v>40</v>
      </c>
      <c r="G57" s="73" t="s">
        <v>35</v>
      </c>
      <c r="H57" s="74" t="s">
        <v>33</v>
      </c>
      <c r="I57" s="74">
        <v>27090000</v>
      </c>
      <c r="J57" s="87">
        <v>41728</v>
      </c>
      <c r="K57" s="76" t="s">
        <v>84</v>
      </c>
      <c r="L57" s="89" t="s">
        <v>31</v>
      </c>
      <c r="M57" s="74" t="s">
        <v>124</v>
      </c>
      <c r="N57" s="78" t="s">
        <v>124</v>
      </c>
      <c r="O57" s="79">
        <v>475053</v>
      </c>
      <c r="P57" s="80">
        <f t="shared" si="10"/>
        <v>51405485.129999995</v>
      </c>
      <c r="Q57" s="80">
        <f t="shared" si="11"/>
        <v>8005890254.1462002</v>
      </c>
      <c r="R57" s="80" t="s">
        <v>25</v>
      </c>
      <c r="S57" s="81">
        <v>108.21</v>
      </c>
      <c r="T57" s="82">
        <f t="shared" si="7"/>
        <v>41818</v>
      </c>
      <c r="U57" s="83" t="s">
        <v>40</v>
      </c>
      <c r="V57" s="80">
        <f t="shared" si="12"/>
        <v>61686.582155999989</v>
      </c>
      <c r="W57" s="81">
        <v>155.74</v>
      </c>
      <c r="X57" s="80">
        <f t="shared" si="9"/>
        <v>9607068.3049754389</v>
      </c>
      <c r="Y57" s="80" t="s">
        <v>40</v>
      </c>
      <c r="Z57" s="85" t="s">
        <v>40</v>
      </c>
      <c r="AA57" s="84" t="s">
        <v>40</v>
      </c>
    </row>
    <row r="58" spans="1:27" s="86" customFormat="1" ht="90.75" customHeight="1" x14ac:dyDescent="0.45">
      <c r="A58" s="74">
        <v>29</v>
      </c>
      <c r="B58" s="71" t="s">
        <v>113</v>
      </c>
      <c r="C58" s="76" t="s">
        <v>53</v>
      </c>
      <c r="D58" s="72" t="s">
        <v>53</v>
      </c>
      <c r="E58" s="85" t="s">
        <v>40</v>
      </c>
      <c r="F58" s="76" t="s">
        <v>40</v>
      </c>
      <c r="G58" s="73" t="s">
        <v>35</v>
      </c>
      <c r="H58" s="74" t="s">
        <v>33</v>
      </c>
      <c r="I58" s="74">
        <v>27090000</v>
      </c>
      <c r="J58" s="87">
        <v>41728</v>
      </c>
      <c r="K58" s="76" t="s">
        <v>84</v>
      </c>
      <c r="L58" s="89" t="s">
        <v>31</v>
      </c>
      <c r="M58" s="74" t="s">
        <v>130</v>
      </c>
      <c r="N58" s="78" t="s">
        <v>125</v>
      </c>
      <c r="O58" s="79">
        <v>475000</v>
      </c>
      <c r="P58" s="80">
        <f t="shared" si="10"/>
        <v>51399750</v>
      </c>
      <c r="Q58" s="80">
        <f t="shared" si="11"/>
        <v>8004997065</v>
      </c>
      <c r="R58" s="80" t="s">
        <v>25</v>
      </c>
      <c r="S58" s="81">
        <v>108.21</v>
      </c>
      <c r="T58" s="82">
        <f t="shared" si="7"/>
        <v>41818</v>
      </c>
      <c r="U58" s="83" t="s">
        <v>40</v>
      </c>
      <c r="V58" s="80">
        <f t="shared" si="12"/>
        <v>61679.7</v>
      </c>
      <c r="W58" s="81">
        <v>155.74</v>
      </c>
      <c r="X58" s="80">
        <f t="shared" si="9"/>
        <v>9605996.4780000001</v>
      </c>
      <c r="Y58" s="80" t="s">
        <v>40</v>
      </c>
      <c r="Z58" s="85" t="s">
        <v>40</v>
      </c>
      <c r="AA58" s="84" t="s">
        <v>40</v>
      </c>
    </row>
    <row r="59" spans="1:27" ht="48" customHeight="1" x14ac:dyDescent="0.45">
      <c r="A59" s="296"/>
      <c r="B59" s="281"/>
      <c r="C59" s="283"/>
      <c r="D59" s="282"/>
      <c r="E59" s="294"/>
      <c r="F59" s="283"/>
      <c r="G59" s="284"/>
      <c r="H59" s="285"/>
      <c r="I59" s="285"/>
      <c r="J59" s="286"/>
      <c r="K59" s="283"/>
      <c r="L59" s="287"/>
      <c r="M59" s="285"/>
      <c r="N59" s="288"/>
      <c r="O59" s="289"/>
      <c r="P59" s="290"/>
      <c r="Q59" s="290"/>
      <c r="R59" s="290"/>
      <c r="S59" s="291"/>
      <c r="T59" s="82"/>
      <c r="U59" s="293"/>
      <c r="V59" s="290"/>
      <c r="W59" s="291"/>
      <c r="X59" s="290"/>
      <c r="Y59" s="290"/>
      <c r="Z59" s="294"/>
      <c r="AA59" s="295"/>
    </row>
    <row r="60" spans="1:27" ht="48" customHeight="1" x14ac:dyDescent="0.45">
      <c r="A60" s="296"/>
      <c r="B60" s="285"/>
      <c r="C60" s="293"/>
      <c r="D60" s="282"/>
      <c r="E60" s="293"/>
      <c r="F60" s="293"/>
      <c r="G60" s="284"/>
      <c r="H60" s="285"/>
      <c r="I60" s="285"/>
      <c r="J60" s="297"/>
      <c r="K60" s="283"/>
      <c r="L60" s="283"/>
      <c r="M60" s="285"/>
      <c r="N60" s="298"/>
      <c r="O60" s="289"/>
      <c r="P60" s="290"/>
      <c r="Q60" s="290"/>
      <c r="R60" s="290"/>
      <c r="S60" s="291"/>
      <c r="T60" s="292"/>
      <c r="U60" s="283"/>
      <c r="V60" s="290"/>
      <c r="W60" s="291"/>
      <c r="X60" s="290"/>
      <c r="Y60" s="290"/>
      <c r="Z60" s="293"/>
      <c r="AA60" s="299"/>
    </row>
    <row r="61" spans="1:27" ht="53.25" customHeight="1" thickBot="1" x14ac:dyDescent="0.55000000000000004">
      <c r="A61" s="253"/>
      <c r="B61" s="254" t="s">
        <v>28</v>
      </c>
      <c r="C61" s="255"/>
      <c r="D61" s="256"/>
      <c r="E61" s="255"/>
      <c r="F61" s="255"/>
      <c r="G61" s="257"/>
      <c r="H61" s="254"/>
      <c r="I61" s="254"/>
      <c r="J61" s="258"/>
      <c r="K61" s="259"/>
      <c r="L61" s="259"/>
      <c r="M61" s="254"/>
      <c r="N61" s="260"/>
      <c r="O61" s="261">
        <f>SUM(O30:O58)</f>
        <v>17459788</v>
      </c>
      <c r="P61" s="262">
        <f>SUM(P30:P58)</f>
        <v>1909922464.3889999</v>
      </c>
      <c r="Q61" s="262">
        <f>SUM(Q30:Q58)</f>
        <v>297451324603.94281</v>
      </c>
      <c r="R61" s="262"/>
      <c r="S61" s="263"/>
      <c r="T61" s="264"/>
      <c r="U61" s="259"/>
      <c r="V61" s="262">
        <f>SUM(V30:V58)</f>
        <v>2291906.9572668001</v>
      </c>
      <c r="W61" s="263"/>
      <c r="X61" s="262">
        <f>SUM(X30:X58)</f>
        <v>356941589.52473152</v>
      </c>
      <c r="Y61" s="262">
        <f>SUM(Y30:Y58)</f>
        <v>1678693.75</v>
      </c>
      <c r="Z61" s="255"/>
      <c r="AA61" s="265"/>
    </row>
    <row r="62" spans="1:27" ht="15.75" customHeight="1" x14ac:dyDescent="0.2">
      <c r="A62" s="7"/>
      <c r="B62" s="8"/>
      <c r="C62" s="6"/>
      <c r="D62" s="17"/>
      <c r="E62" s="18"/>
      <c r="F62" s="6"/>
      <c r="G62" s="19"/>
      <c r="H62" s="6"/>
      <c r="I62" s="6"/>
      <c r="J62" s="20"/>
      <c r="K62" s="8"/>
      <c r="L62" s="8"/>
      <c r="M62" s="6"/>
      <c r="N62" s="6"/>
      <c r="O62" s="21"/>
      <c r="P62" s="22"/>
      <c r="Q62" s="22"/>
      <c r="R62" s="22"/>
      <c r="S62" s="27"/>
      <c r="V62" s="22"/>
      <c r="W62" s="27"/>
      <c r="X62" s="22"/>
      <c r="Y62" s="22"/>
      <c r="Z62" s="6"/>
      <c r="AA62" s="6"/>
    </row>
    <row r="63" spans="1:27" ht="15.75" customHeight="1" x14ac:dyDescent="0.2"/>
    <row r="64" spans="1:27" ht="15.75" customHeight="1" x14ac:dyDescent="0.2"/>
    <row r="73" spans="14:15" x14ac:dyDescent="0.2">
      <c r="N73" s="23"/>
      <c r="O73" s="24"/>
    </row>
  </sheetData>
  <pageMargins left="0.31496062992125984" right="0.19685039370078741" top="0.15748031496062992" bottom="0.15748031496062992" header="0.31496062992125984" footer="0.31496062992125984"/>
  <pageSetup paperSize="9" scale="22" orientation="landscape" r:id="rId1"/>
  <headerFooter>
    <oddFooter>&amp;R2</oddFooter>
  </headerFooter>
  <rowBreaks count="1" manualBreakCount="1">
    <brk id="61" max="25" man="1"/>
  </rowBreaks>
  <colBreaks count="1" manualBreakCount="1">
    <brk id="14" max="42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9"/>
  <sheetViews>
    <sheetView topLeftCell="X34" zoomScale="30" zoomScaleNormal="30" zoomScaleSheetLayoutView="10" workbookViewId="0">
      <selection activeCell="X28" sqref="X28"/>
    </sheetView>
  </sheetViews>
  <sheetFormatPr defaultRowHeight="15" x14ac:dyDescent="0.2"/>
  <cols>
    <col min="1" max="1" width="14.85546875" style="4" customWidth="1"/>
    <col min="2" max="2" width="120.85546875" style="5" customWidth="1"/>
    <col min="3" max="3" width="48.7109375" style="5" bestFit="1" customWidth="1"/>
    <col min="4" max="4" width="38.140625" style="14" bestFit="1" customWidth="1"/>
    <col min="5" max="5" width="79.140625" style="12" bestFit="1" customWidth="1"/>
    <col min="6" max="6" width="105.28515625" style="5" bestFit="1" customWidth="1"/>
    <col min="7" max="7" width="183.7109375" style="13" customWidth="1"/>
    <col min="8" max="8" width="69.28515625" style="5" bestFit="1" customWidth="1"/>
    <col min="9" max="9" width="35" style="5" bestFit="1" customWidth="1"/>
    <col min="10" max="10" width="82.7109375" style="14" bestFit="1" customWidth="1"/>
    <col min="11" max="11" width="111.28515625" style="5" customWidth="1"/>
    <col min="12" max="12" width="48.5703125" style="5" customWidth="1"/>
    <col min="13" max="13" width="65" style="5" bestFit="1" customWidth="1"/>
    <col min="14" max="14" width="106.42578125" style="5" bestFit="1" customWidth="1"/>
    <col min="15" max="15" width="85.5703125" style="15" bestFit="1" customWidth="1"/>
    <col min="16" max="16" width="58.140625" style="16" bestFit="1" customWidth="1"/>
    <col min="17" max="17" width="69.28515625" style="16" bestFit="1" customWidth="1"/>
    <col min="18" max="18" width="81.85546875" style="16" bestFit="1" customWidth="1"/>
    <col min="19" max="19" width="73.5703125" style="26" bestFit="1" customWidth="1"/>
    <col min="20" max="20" width="95.85546875" style="17" bestFit="1" customWidth="1"/>
    <col min="21" max="21" width="109.28515625" style="5" bestFit="1" customWidth="1"/>
    <col min="22" max="22" width="97" style="16" bestFit="1" customWidth="1"/>
    <col min="23" max="23" width="65" style="26" bestFit="1" customWidth="1"/>
    <col min="24" max="24" width="104.7109375" style="16" bestFit="1" customWidth="1"/>
    <col min="25" max="25" width="87.5703125" style="16" bestFit="1" customWidth="1"/>
    <col min="26" max="26" width="89.85546875" style="5" bestFit="1" customWidth="1"/>
    <col min="27" max="27" width="77.5703125" style="5" bestFit="1" customWidth="1"/>
    <col min="28" max="28" width="19.85546875" style="4" bestFit="1" customWidth="1"/>
    <col min="29" max="16384" width="9.140625" style="4"/>
  </cols>
  <sheetData>
    <row r="1" spans="1:27" s="3" customFormat="1" ht="18" x14ac:dyDescent="0.25">
      <c r="A1" s="1"/>
      <c r="B1" s="2"/>
      <c r="C1" s="2"/>
      <c r="D1" s="28"/>
      <c r="E1" s="2"/>
      <c r="F1" s="9"/>
      <c r="G1" s="10"/>
      <c r="H1" s="9"/>
      <c r="I1" s="9"/>
      <c r="J1" s="11"/>
      <c r="K1" s="9"/>
      <c r="L1" s="9"/>
      <c r="M1" s="9"/>
      <c r="N1" s="9"/>
      <c r="O1" s="9"/>
      <c r="P1" s="9"/>
      <c r="Q1" s="9"/>
      <c r="R1" s="9"/>
      <c r="S1" s="25"/>
      <c r="T1" s="9"/>
      <c r="U1" s="9"/>
      <c r="V1" s="9"/>
      <c r="W1" s="25"/>
      <c r="X1" s="9"/>
      <c r="Y1" s="9"/>
      <c r="Z1" s="9"/>
      <c r="AA1" s="9"/>
    </row>
    <row r="4" spans="1:27" ht="20.25" x14ac:dyDescent="0.3">
      <c r="P4" s="32"/>
      <c r="R4" s="34"/>
    </row>
    <row r="7" spans="1:27" ht="20.25" x14ac:dyDescent="0.3">
      <c r="P7" s="33"/>
    </row>
    <row r="8" spans="1:27" ht="20.25" x14ac:dyDescent="0.3">
      <c r="P8" s="33"/>
    </row>
    <row r="9" spans="1:27" ht="20.25" x14ac:dyDescent="0.3">
      <c r="P9" s="33"/>
    </row>
    <row r="10" spans="1:27" ht="20.25" x14ac:dyDescent="0.3">
      <c r="P10" s="33"/>
    </row>
    <row r="11" spans="1:27" ht="20.25" x14ac:dyDescent="0.3">
      <c r="P11" s="33"/>
    </row>
    <row r="12" spans="1:27" ht="20.25" x14ac:dyDescent="0.3">
      <c r="P12" s="33"/>
    </row>
    <row r="13" spans="1:27" ht="20.25" x14ac:dyDescent="0.3">
      <c r="P13" s="33"/>
    </row>
    <row r="14" spans="1:27" ht="20.25" x14ac:dyDescent="0.3">
      <c r="P14" s="33"/>
    </row>
    <row r="15" spans="1:27" ht="20.25" x14ac:dyDescent="0.3">
      <c r="P15" s="33"/>
    </row>
    <row r="16" spans="1:27" ht="20.25" x14ac:dyDescent="0.3">
      <c r="P16" s="33"/>
    </row>
    <row r="17" spans="1:69" ht="20.25" x14ac:dyDescent="0.3">
      <c r="P17" s="33"/>
    </row>
    <row r="18" spans="1:69" s="90" customFormat="1" ht="42" customHeight="1" x14ac:dyDescent="0.6">
      <c r="B18" s="91"/>
      <c r="C18" s="92"/>
      <c r="D18" s="92"/>
      <c r="E18" s="93"/>
      <c r="F18" s="92"/>
      <c r="G18" s="92"/>
      <c r="H18" s="92"/>
      <c r="I18" s="92"/>
      <c r="J18" s="94"/>
      <c r="K18" s="92"/>
      <c r="L18" s="92"/>
      <c r="M18" s="92"/>
      <c r="N18" s="92"/>
      <c r="O18" s="95"/>
      <c r="P18" s="96"/>
      <c r="Q18" s="96"/>
      <c r="R18" s="96"/>
      <c r="S18" s="97"/>
      <c r="T18" s="98"/>
      <c r="U18" s="92"/>
      <c r="V18" s="96"/>
      <c r="W18" s="97"/>
      <c r="X18" s="96"/>
      <c r="Y18" s="96"/>
      <c r="Z18" s="92"/>
      <c r="AA18" s="92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99"/>
      <c r="BF18" s="99"/>
      <c r="BG18" s="99"/>
      <c r="BH18" s="99"/>
      <c r="BI18" s="99"/>
      <c r="BJ18" s="99"/>
      <c r="BK18" s="99"/>
      <c r="BL18" s="99"/>
      <c r="BM18" s="99"/>
      <c r="BN18" s="99"/>
      <c r="BO18" s="99"/>
      <c r="BP18" s="99"/>
      <c r="BQ18" s="99"/>
    </row>
    <row r="19" spans="1:69" s="100" customFormat="1" ht="27" customHeight="1" x14ac:dyDescent="0.6">
      <c r="A19" s="241"/>
      <c r="B19" s="168"/>
      <c r="C19" s="167"/>
      <c r="D19" s="169"/>
      <c r="E19" s="170"/>
      <c r="F19" s="167"/>
      <c r="G19" s="171"/>
      <c r="H19" s="172"/>
      <c r="I19" s="173"/>
      <c r="J19" s="174"/>
      <c r="K19" s="168"/>
      <c r="L19" s="175"/>
      <c r="M19" s="173"/>
      <c r="N19" s="176"/>
      <c r="O19" s="177"/>
      <c r="P19" s="178"/>
      <c r="Q19" s="179"/>
      <c r="R19" s="180"/>
      <c r="S19" s="181"/>
      <c r="T19" s="182"/>
      <c r="U19" s="167"/>
      <c r="V19" s="179"/>
      <c r="W19" s="183"/>
      <c r="X19" s="180"/>
      <c r="Y19" s="180"/>
      <c r="Z19" s="170"/>
      <c r="AA19" s="169"/>
      <c r="AB19" s="326"/>
    </row>
    <row r="20" spans="1:69" s="101" customFormat="1" ht="72" customHeight="1" x14ac:dyDescent="0.6">
      <c r="A20" s="242"/>
      <c r="B20" s="221" t="s">
        <v>204</v>
      </c>
      <c r="C20" s="132"/>
      <c r="D20" s="132"/>
      <c r="E20" s="222"/>
      <c r="F20" s="132"/>
      <c r="G20" s="132"/>
      <c r="H20" s="132"/>
      <c r="I20" s="132"/>
      <c r="J20" s="223"/>
      <c r="K20" s="132"/>
      <c r="L20" s="132"/>
      <c r="M20" s="132"/>
      <c r="N20" s="132"/>
      <c r="O20" s="224"/>
      <c r="P20" s="195"/>
      <c r="Q20" s="195"/>
      <c r="R20" s="195"/>
      <c r="S20" s="225"/>
      <c r="T20" s="186"/>
      <c r="U20" s="132"/>
      <c r="V20" s="195"/>
      <c r="W20" s="225"/>
      <c r="X20" s="195"/>
      <c r="Y20" s="195"/>
      <c r="Z20" s="132"/>
      <c r="AA20" s="132"/>
      <c r="AB20" s="108"/>
    </row>
    <row r="21" spans="1:69" s="128" customFormat="1" ht="72" customHeight="1" thickBot="1" x14ac:dyDescent="0.6">
      <c r="A21" s="240"/>
      <c r="B21" s="185"/>
      <c r="C21" s="184"/>
      <c r="D21" s="186"/>
      <c r="E21" s="187"/>
      <c r="F21" s="184"/>
      <c r="G21" s="188"/>
      <c r="H21" s="189"/>
      <c r="I21" s="190"/>
      <c r="J21" s="191"/>
      <c r="K21" s="185"/>
      <c r="L21" s="192"/>
      <c r="M21" s="190"/>
      <c r="N21" s="193"/>
      <c r="O21" s="194"/>
      <c r="P21" s="195"/>
      <c r="Q21" s="196"/>
      <c r="R21" s="197"/>
      <c r="S21" s="198"/>
      <c r="T21" s="199"/>
      <c r="U21" s="184"/>
      <c r="V21" s="196"/>
      <c r="W21" s="200"/>
      <c r="X21" s="197"/>
      <c r="Y21" s="197"/>
      <c r="Z21" s="187"/>
      <c r="AA21" s="186"/>
      <c r="AB21" s="327"/>
    </row>
    <row r="22" spans="1:69" s="92" customFormat="1" ht="72" customHeight="1" x14ac:dyDescent="0.55000000000000004">
      <c r="A22" s="113">
        <v>1</v>
      </c>
      <c r="B22" s="114">
        <v>2</v>
      </c>
      <c r="C22" s="114">
        <v>3</v>
      </c>
      <c r="D22" s="115">
        <v>4</v>
      </c>
      <c r="E22" s="114">
        <v>5</v>
      </c>
      <c r="F22" s="114">
        <v>6</v>
      </c>
      <c r="G22" s="116">
        <v>7</v>
      </c>
      <c r="H22" s="114">
        <v>8</v>
      </c>
      <c r="I22" s="114">
        <v>9</v>
      </c>
      <c r="J22" s="114">
        <v>10</v>
      </c>
      <c r="K22" s="114">
        <v>11</v>
      </c>
      <c r="L22" s="114">
        <v>12</v>
      </c>
      <c r="M22" s="114">
        <v>13</v>
      </c>
      <c r="N22" s="114">
        <v>14</v>
      </c>
      <c r="O22" s="114">
        <v>15</v>
      </c>
      <c r="P22" s="114">
        <v>16</v>
      </c>
      <c r="Q22" s="114">
        <v>17</v>
      </c>
      <c r="R22" s="114">
        <v>18</v>
      </c>
      <c r="S22" s="114">
        <v>19</v>
      </c>
      <c r="T22" s="114">
        <v>20</v>
      </c>
      <c r="U22" s="114">
        <v>21</v>
      </c>
      <c r="V22" s="114">
        <v>22</v>
      </c>
      <c r="W22" s="114">
        <v>23</v>
      </c>
      <c r="X22" s="114">
        <v>24</v>
      </c>
      <c r="Y22" s="114">
        <v>25</v>
      </c>
      <c r="Z22" s="114">
        <v>26</v>
      </c>
      <c r="AA22" s="117">
        <v>27</v>
      </c>
    </row>
    <row r="23" spans="1:69" s="92" customFormat="1" ht="72" customHeight="1" thickBot="1" x14ac:dyDescent="0.6">
      <c r="A23" s="118" t="s">
        <v>0</v>
      </c>
      <c r="B23" s="119" t="s">
        <v>1</v>
      </c>
      <c r="C23" s="120" t="s">
        <v>2</v>
      </c>
      <c r="D23" s="121" t="s">
        <v>3</v>
      </c>
      <c r="E23" s="122" t="s">
        <v>4</v>
      </c>
      <c r="F23" s="119" t="s">
        <v>5</v>
      </c>
      <c r="G23" s="123" t="s">
        <v>6</v>
      </c>
      <c r="H23" s="120" t="s">
        <v>7</v>
      </c>
      <c r="I23" s="120" t="s">
        <v>8</v>
      </c>
      <c r="J23" s="121" t="s">
        <v>9</v>
      </c>
      <c r="K23" s="119" t="s">
        <v>10</v>
      </c>
      <c r="L23" s="119" t="s">
        <v>11</v>
      </c>
      <c r="M23" s="120" t="s">
        <v>12</v>
      </c>
      <c r="N23" s="120" t="s">
        <v>13</v>
      </c>
      <c r="O23" s="124" t="s">
        <v>14</v>
      </c>
      <c r="P23" s="125" t="s">
        <v>29</v>
      </c>
      <c r="Q23" s="125" t="s">
        <v>37</v>
      </c>
      <c r="R23" s="125" t="s">
        <v>15</v>
      </c>
      <c r="S23" s="126" t="s">
        <v>16</v>
      </c>
      <c r="T23" s="121" t="s">
        <v>17</v>
      </c>
      <c r="U23" s="120" t="s">
        <v>18</v>
      </c>
      <c r="V23" s="125" t="s">
        <v>19</v>
      </c>
      <c r="W23" s="126" t="s">
        <v>30</v>
      </c>
      <c r="X23" s="125" t="s">
        <v>21</v>
      </c>
      <c r="Y23" s="125" t="s">
        <v>22</v>
      </c>
      <c r="Z23" s="120" t="s">
        <v>24</v>
      </c>
      <c r="AA23" s="127" t="s">
        <v>23</v>
      </c>
      <c r="AB23" s="132"/>
      <c r="AC23" s="132"/>
      <c r="AD23" s="132"/>
      <c r="AE23" s="132"/>
      <c r="AF23" s="132"/>
      <c r="AG23" s="132"/>
      <c r="AH23" s="132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  <c r="AY23" s="132"/>
      <c r="AZ23" s="132"/>
      <c r="BA23" s="132"/>
      <c r="BB23" s="132"/>
      <c r="BC23" s="132"/>
      <c r="BD23" s="132"/>
      <c r="BE23" s="132"/>
      <c r="BF23" s="132"/>
      <c r="BG23" s="132"/>
      <c r="BH23" s="132"/>
      <c r="BI23" s="132"/>
      <c r="BJ23" s="132"/>
      <c r="BK23" s="132"/>
      <c r="BL23" s="132"/>
      <c r="BM23" s="132"/>
      <c r="BN23" s="132"/>
      <c r="BO23" s="132"/>
      <c r="BP23" s="132"/>
      <c r="BQ23" s="132"/>
    </row>
    <row r="24" spans="1:69" s="92" customFormat="1" ht="72" customHeight="1" x14ac:dyDescent="0.55000000000000004">
      <c r="A24" s="227">
        <v>1</v>
      </c>
      <c r="B24" s="229" t="s">
        <v>163</v>
      </c>
      <c r="C24" s="243" t="s">
        <v>170</v>
      </c>
      <c r="D24" s="244" t="s">
        <v>176</v>
      </c>
      <c r="E24" s="245" t="s">
        <v>177</v>
      </c>
      <c r="F24" s="228" t="s">
        <v>41</v>
      </c>
      <c r="G24" s="228" t="s">
        <v>35</v>
      </c>
      <c r="H24" s="228" t="s">
        <v>33</v>
      </c>
      <c r="I24" s="228">
        <v>27090000</v>
      </c>
      <c r="J24" s="230">
        <v>41614</v>
      </c>
      <c r="K24" s="229" t="s">
        <v>158</v>
      </c>
      <c r="L24" s="229" t="s">
        <v>31</v>
      </c>
      <c r="M24" s="228" t="s">
        <v>44</v>
      </c>
      <c r="N24" s="228" t="s">
        <v>65</v>
      </c>
      <c r="O24" s="231">
        <v>950172</v>
      </c>
      <c r="P24" s="246">
        <f>O24*S24</f>
        <v>106293176.17560001</v>
      </c>
      <c r="Q24" s="232">
        <f>P24*W24</f>
        <v>16717493128.005077</v>
      </c>
      <c r="R24" s="232" t="s">
        <v>25</v>
      </c>
      <c r="S24" s="247">
        <v>111.8673</v>
      </c>
      <c r="T24" s="230">
        <f>J24+90</f>
        <v>41704</v>
      </c>
      <c r="U24" s="248" t="s">
        <v>59</v>
      </c>
      <c r="V24" s="232">
        <f>P24*0.12%</f>
        <v>127551.81141071999</v>
      </c>
      <c r="W24" s="249">
        <v>157.27719999999999</v>
      </c>
      <c r="X24" s="250">
        <f>V24*W24</f>
        <v>20060991.753606088</v>
      </c>
      <c r="Y24" s="232">
        <v>20060991.75</v>
      </c>
      <c r="Z24" s="251" t="s">
        <v>183</v>
      </c>
      <c r="AA24" s="252" t="s">
        <v>184</v>
      </c>
      <c r="AB24" s="132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  <c r="AZ24" s="132"/>
      <c r="BA24" s="132"/>
      <c r="BB24" s="132"/>
      <c r="BC24" s="132"/>
      <c r="BD24" s="132"/>
      <c r="BE24" s="132"/>
      <c r="BF24" s="132"/>
      <c r="BG24" s="132"/>
      <c r="BH24" s="132"/>
      <c r="BI24" s="132"/>
      <c r="BJ24" s="132"/>
      <c r="BK24" s="132"/>
      <c r="BL24" s="132"/>
      <c r="BM24" s="132"/>
      <c r="BN24" s="132"/>
      <c r="BO24" s="132"/>
      <c r="BP24" s="132"/>
      <c r="BQ24" s="132"/>
    </row>
    <row r="25" spans="1:69" s="92" customFormat="1" ht="74.25" customHeight="1" x14ac:dyDescent="0.55000000000000004">
      <c r="A25" s="233">
        <v>2</v>
      </c>
      <c r="B25" s="133" t="s">
        <v>164</v>
      </c>
      <c r="C25" s="144" t="s">
        <v>171</v>
      </c>
      <c r="D25" s="324" t="s">
        <v>176</v>
      </c>
      <c r="E25" s="152" t="s">
        <v>178</v>
      </c>
      <c r="F25" s="134" t="s">
        <v>41</v>
      </c>
      <c r="G25" s="134" t="s">
        <v>35</v>
      </c>
      <c r="H25" s="134" t="s">
        <v>33</v>
      </c>
      <c r="I25" s="130">
        <v>27090000</v>
      </c>
      <c r="J25" s="131">
        <v>41620</v>
      </c>
      <c r="K25" s="129" t="s">
        <v>159</v>
      </c>
      <c r="L25" s="129" t="s">
        <v>31</v>
      </c>
      <c r="M25" s="130" t="s">
        <v>44</v>
      </c>
      <c r="N25" s="130" t="s">
        <v>51</v>
      </c>
      <c r="O25" s="237">
        <v>950081</v>
      </c>
      <c r="P25" s="149">
        <f t="shared" ref="P25:P28" si="0">O25*S25</f>
        <v>106294397.2233</v>
      </c>
      <c r="Q25" s="136">
        <f t="shared" ref="Q25:Q26" si="1">P25*W25</f>
        <v>16717685170.968397</v>
      </c>
      <c r="R25" s="136" t="s">
        <v>25</v>
      </c>
      <c r="S25" s="238">
        <v>111.8793</v>
      </c>
      <c r="T25" s="135">
        <f t="shared" ref="T25:T36" si="2">J25+90</f>
        <v>41710</v>
      </c>
      <c r="U25" s="239" t="s">
        <v>59</v>
      </c>
      <c r="V25" s="136">
        <f t="shared" ref="V25:V36" si="3">P25*0.12%</f>
        <v>127553.27666795999</v>
      </c>
      <c r="W25" s="205">
        <v>157.27719999999999</v>
      </c>
      <c r="X25" s="137">
        <f t="shared" ref="X25:X36" si="4">V25*W25</f>
        <v>20061222.205162074</v>
      </c>
      <c r="Y25" s="136">
        <v>20061222.210000001</v>
      </c>
      <c r="Z25" s="325" t="s">
        <v>185</v>
      </c>
      <c r="AA25" s="141" t="s">
        <v>184</v>
      </c>
      <c r="AB25" s="132"/>
      <c r="AC25" s="132"/>
      <c r="AD25" s="132"/>
      <c r="AE25" s="132"/>
      <c r="AF25" s="132"/>
      <c r="AG25" s="132"/>
      <c r="AH25" s="132"/>
      <c r="AI25" s="132"/>
      <c r="AJ25" s="132"/>
      <c r="AK25" s="132"/>
      <c r="AL25" s="132"/>
      <c r="AM25" s="132"/>
      <c r="AN25" s="132"/>
      <c r="AO25" s="132"/>
      <c r="AP25" s="132"/>
      <c r="AQ25" s="132"/>
      <c r="AR25" s="132"/>
      <c r="AS25" s="132"/>
      <c r="AT25" s="132"/>
      <c r="AU25" s="132"/>
      <c r="AV25" s="132"/>
      <c r="AW25" s="132"/>
      <c r="AX25" s="132"/>
      <c r="AY25" s="132"/>
      <c r="AZ25" s="132"/>
      <c r="BA25" s="132"/>
      <c r="BB25" s="132"/>
      <c r="BC25" s="132"/>
      <c r="BD25" s="132"/>
      <c r="BE25" s="132"/>
      <c r="BF25" s="132"/>
      <c r="BG25" s="132"/>
      <c r="BH25" s="132"/>
      <c r="BI25" s="132"/>
      <c r="BJ25" s="132"/>
      <c r="BK25" s="132"/>
      <c r="BL25" s="132"/>
      <c r="BM25" s="132"/>
      <c r="BN25" s="132"/>
      <c r="BO25" s="132"/>
      <c r="BP25" s="132"/>
      <c r="BQ25" s="132"/>
    </row>
    <row r="26" spans="1:69" s="92" customFormat="1" ht="89.25" customHeight="1" x14ac:dyDescent="0.55000000000000004">
      <c r="A26" s="233">
        <v>3</v>
      </c>
      <c r="B26" s="133" t="s">
        <v>165</v>
      </c>
      <c r="C26" s="144" t="s">
        <v>172</v>
      </c>
      <c r="D26" s="324" t="s">
        <v>176</v>
      </c>
      <c r="E26" s="152" t="s">
        <v>179</v>
      </c>
      <c r="F26" s="134" t="s">
        <v>145</v>
      </c>
      <c r="G26" s="134" t="s">
        <v>114</v>
      </c>
      <c r="H26" s="134" t="s">
        <v>34</v>
      </c>
      <c r="I26" s="130">
        <v>27090000</v>
      </c>
      <c r="J26" s="131">
        <v>41620</v>
      </c>
      <c r="K26" s="129" t="s">
        <v>160</v>
      </c>
      <c r="L26" s="129" t="s">
        <v>32</v>
      </c>
      <c r="M26" s="130" t="s">
        <v>43</v>
      </c>
      <c r="N26" s="130" t="s">
        <v>169</v>
      </c>
      <c r="O26" s="237">
        <v>950548</v>
      </c>
      <c r="P26" s="149">
        <f t="shared" si="0"/>
        <v>106421167.8196</v>
      </c>
      <c r="Q26" s="136">
        <f t="shared" si="1"/>
        <v>16466547296.726707</v>
      </c>
      <c r="R26" s="136" t="s">
        <v>25</v>
      </c>
      <c r="S26" s="238">
        <v>111.9577</v>
      </c>
      <c r="T26" s="135">
        <f t="shared" si="2"/>
        <v>41710</v>
      </c>
      <c r="U26" s="239" t="s">
        <v>59</v>
      </c>
      <c r="V26" s="136">
        <f t="shared" si="3"/>
        <v>127705.40138351999</v>
      </c>
      <c r="W26" s="205">
        <v>154.72999999999999</v>
      </c>
      <c r="X26" s="137">
        <f t="shared" si="4"/>
        <v>19759856.756072048</v>
      </c>
      <c r="Y26" s="137">
        <v>19759856.539999999</v>
      </c>
      <c r="Z26" s="325" t="s">
        <v>186</v>
      </c>
      <c r="AA26" s="141">
        <v>41677</v>
      </c>
      <c r="AB26" s="132"/>
      <c r="AC26" s="132"/>
      <c r="AD26" s="132"/>
      <c r="AE26" s="132"/>
      <c r="AF26" s="132"/>
      <c r="AG26" s="132"/>
      <c r="AH26" s="132"/>
      <c r="AI26" s="132"/>
      <c r="AJ26" s="132"/>
      <c r="AK26" s="132"/>
      <c r="AL26" s="132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  <c r="AW26" s="132"/>
      <c r="AX26" s="132"/>
      <c r="AY26" s="132"/>
      <c r="AZ26" s="132"/>
      <c r="BA26" s="132"/>
      <c r="BB26" s="132"/>
      <c r="BC26" s="132"/>
      <c r="BD26" s="132"/>
      <c r="BE26" s="132"/>
      <c r="BF26" s="132"/>
      <c r="BG26" s="132"/>
      <c r="BH26" s="132"/>
      <c r="BI26" s="132"/>
      <c r="BJ26" s="132"/>
      <c r="BK26" s="132"/>
      <c r="BL26" s="132"/>
      <c r="BM26" s="132"/>
      <c r="BN26" s="132"/>
      <c r="BO26" s="132"/>
      <c r="BP26" s="132"/>
      <c r="BQ26" s="132"/>
    </row>
    <row r="27" spans="1:69" s="92" customFormat="1" ht="72" customHeight="1" x14ac:dyDescent="0.55000000000000004">
      <c r="A27" s="233">
        <v>4</v>
      </c>
      <c r="B27" s="133" t="s">
        <v>166</v>
      </c>
      <c r="C27" s="144" t="s">
        <v>173</v>
      </c>
      <c r="D27" s="324" t="s">
        <v>176</v>
      </c>
      <c r="E27" s="152" t="s">
        <v>180</v>
      </c>
      <c r="F27" s="134" t="s">
        <v>41</v>
      </c>
      <c r="G27" s="134" t="s">
        <v>35</v>
      </c>
      <c r="H27" s="134" t="s">
        <v>33</v>
      </c>
      <c r="I27" s="130">
        <v>27090000</v>
      </c>
      <c r="J27" s="131">
        <v>41625</v>
      </c>
      <c r="K27" s="129" t="s">
        <v>161</v>
      </c>
      <c r="L27" s="129" t="s">
        <v>31</v>
      </c>
      <c r="M27" s="130" t="s">
        <v>43</v>
      </c>
      <c r="N27" s="130" t="s">
        <v>52</v>
      </c>
      <c r="O27" s="237">
        <v>905058</v>
      </c>
      <c r="P27" s="149">
        <f t="shared" si="0"/>
        <v>101265401.0214</v>
      </c>
      <c r="Q27" s="136">
        <f t="shared" ref="Q27:Q35" si="5">P27*W27</f>
        <v>15926738729.522932</v>
      </c>
      <c r="R27" s="136" t="s">
        <v>25</v>
      </c>
      <c r="S27" s="238">
        <v>111.8883</v>
      </c>
      <c r="T27" s="135">
        <f t="shared" si="2"/>
        <v>41715</v>
      </c>
      <c r="U27" s="239" t="s">
        <v>59</v>
      </c>
      <c r="V27" s="136">
        <f t="shared" si="3"/>
        <v>121518.48122567999</v>
      </c>
      <c r="W27" s="205">
        <v>157.27719999999999</v>
      </c>
      <c r="X27" s="137">
        <f t="shared" si="4"/>
        <v>19112086.475427516</v>
      </c>
      <c r="Y27" s="136">
        <v>19112086.48</v>
      </c>
      <c r="Z27" s="325" t="s">
        <v>187</v>
      </c>
      <c r="AA27" s="141" t="s">
        <v>184</v>
      </c>
    </row>
    <row r="28" spans="1:69" s="91" customFormat="1" ht="72" customHeight="1" x14ac:dyDescent="0.6">
      <c r="A28" s="233">
        <v>5</v>
      </c>
      <c r="B28" s="133" t="s">
        <v>167</v>
      </c>
      <c r="C28" s="144" t="s">
        <v>174</v>
      </c>
      <c r="D28" s="324" t="s">
        <v>176</v>
      </c>
      <c r="E28" s="152" t="s">
        <v>181</v>
      </c>
      <c r="F28" s="134" t="s">
        <v>41</v>
      </c>
      <c r="G28" s="134" t="s">
        <v>35</v>
      </c>
      <c r="H28" s="134" t="s">
        <v>33</v>
      </c>
      <c r="I28" s="130">
        <v>27090000</v>
      </c>
      <c r="J28" s="131">
        <v>41627</v>
      </c>
      <c r="K28" s="129" t="s">
        <v>162</v>
      </c>
      <c r="L28" s="129" t="s">
        <v>31</v>
      </c>
      <c r="M28" s="130" t="s">
        <v>45</v>
      </c>
      <c r="N28" s="130" t="s">
        <v>42</v>
      </c>
      <c r="O28" s="237">
        <v>904951</v>
      </c>
      <c r="P28" s="149">
        <f t="shared" si="0"/>
        <v>101256143.8263</v>
      </c>
      <c r="Q28" s="136">
        <f t="shared" si="5"/>
        <v>15925282783.797749</v>
      </c>
      <c r="R28" s="136" t="s">
        <v>25</v>
      </c>
      <c r="S28" s="238">
        <v>111.8913</v>
      </c>
      <c r="T28" s="135">
        <f t="shared" si="2"/>
        <v>41717</v>
      </c>
      <c r="U28" s="130" t="s">
        <v>59</v>
      </c>
      <c r="V28" s="136">
        <f t="shared" si="3"/>
        <v>121507.37259155998</v>
      </c>
      <c r="W28" s="205">
        <v>157.27719999999999</v>
      </c>
      <c r="X28" s="137">
        <f t="shared" si="4"/>
        <v>19110339.340557296</v>
      </c>
      <c r="Y28" s="136">
        <v>19110339.34</v>
      </c>
      <c r="Z28" s="325" t="s">
        <v>188</v>
      </c>
      <c r="AA28" s="141" t="s">
        <v>184</v>
      </c>
    </row>
    <row r="29" spans="1:69" s="91" customFormat="1" ht="72" customHeight="1" x14ac:dyDescent="0.6">
      <c r="A29" s="302">
        <v>6</v>
      </c>
      <c r="B29" s="133" t="s">
        <v>168</v>
      </c>
      <c r="C29" s="144" t="s">
        <v>175</v>
      </c>
      <c r="D29" s="324" t="s">
        <v>176</v>
      </c>
      <c r="E29" s="152" t="s">
        <v>182</v>
      </c>
      <c r="F29" s="134" t="s">
        <v>41</v>
      </c>
      <c r="G29" s="134" t="s">
        <v>35</v>
      </c>
      <c r="H29" s="134" t="s">
        <v>33</v>
      </c>
      <c r="I29" s="130">
        <v>27090000</v>
      </c>
      <c r="J29" s="131">
        <v>41638</v>
      </c>
      <c r="K29" s="129" t="s">
        <v>71</v>
      </c>
      <c r="L29" s="129" t="s">
        <v>31</v>
      </c>
      <c r="M29" s="130" t="s">
        <v>44</v>
      </c>
      <c r="N29" s="130" t="s">
        <v>51</v>
      </c>
      <c r="O29" s="237">
        <v>904969</v>
      </c>
      <c r="P29" s="149">
        <f t="shared" ref="P29:P35" si="6">O29*S29</f>
        <v>101263587.6837</v>
      </c>
      <c r="Q29" s="136">
        <f t="shared" si="5"/>
        <v>15926453532.846821</v>
      </c>
      <c r="R29" s="136" t="s">
        <v>25</v>
      </c>
      <c r="S29" s="238">
        <v>111.8973</v>
      </c>
      <c r="T29" s="135">
        <f t="shared" si="2"/>
        <v>41728</v>
      </c>
      <c r="U29" s="239" t="s">
        <v>59</v>
      </c>
      <c r="V29" s="136">
        <f t="shared" si="3"/>
        <v>121516.30522043999</v>
      </c>
      <c r="W29" s="205">
        <v>157.27719999999999</v>
      </c>
      <c r="X29" s="137">
        <f t="shared" si="4"/>
        <v>19111744.239416182</v>
      </c>
      <c r="Y29" s="136">
        <v>19111744.239999998</v>
      </c>
      <c r="Z29" s="325" t="s">
        <v>189</v>
      </c>
      <c r="AA29" s="141" t="s">
        <v>184</v>
      </c>
    </row>
    <row r="30" spans="1:69" s="90" customFormat="1" ht="72" customHeight="1" x14ac:dyDescent="0.55000000000000004">
      <c r="A30" s="302">
        <v>7</v>
      </c>
      <c r="B30" s="133" t="s">
        <v>192</v>
      </c>
      <c r="C30" s="144" t="s">
        <v>194</v>
      </c>
      <c r="D30" s="324">
        <v>41715</v>
      </c>
      <c r="E30" s="152" t="s">
        <v>196</v>
      </c>
      <c r="F30" s="134" t="s">
        <v>197</v>
      </c>
      <c r="G30" s="134" t="s">
        <v>47</v>
      </c>
      <c r="H30" s="134" t="s">
        <v>34</v>
      </c>
      <c r="I30" s="130">
        <v>27090000</v>
      </c>
      <c r="J30" s="131">
        <v>41650</v>
      </c>
      <c r="K30" s="129" t="s">
        <v>190</v>
      </c>
      <c r="L30" s="129" t="s">
        <v>32</v>
      </c>
      <c r="M30" s="130" t="s">
        <v>57</v>
      </c>
      <c r="N30" s="130" t="s">
        <v>58</v>
      </c>
      <c r="O30" s="237">
        <v>782120</v>
      </c>
      <c r="P30" s="149">
        <f t="shared" si="6"/>
        <v>85753513.887999997</v>
      </c>
      <c r="Q30" s="136">
        <f t="shared" si="5"/>
        <v>13313233028.732836</v>
      </c>
      <c r="R30" s="136" t="s">
        <v>25</v>
      </c>
      <c r="S30" s="238">
        <v>109.64239999999999</v>
      </c>
      <c r="T30" s="135">
        <f t="shared" si="2"/>
        <v>41740</v>
      </c>
      <c r="U30" s="239" t="s">
        <v>197</v>
      </c>
      <c r="V30" s="136">
        <f t="shared" si="3"/>
        <v>102904.21666559999</v>
      </c>
      <c r="W30" s="205">
        <v>155.24999997225578</v>
      </c>
      <c r="X30" s="137">
        <f t="shared" si="4"/>
        <v>15975879.634479402</v>
      </c>
      <c r="Y30" s="136">
        <v>15975880</v>
      </c>
      <c r="Z30" s="325" t="s">
        <v>199</v>
      </c>
      <c r="AA30" s="141">
        <v>41703</v>
      </c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99"/>
      <c r="BF30" s="99"/>
      <c r="BG30" s="99"/>
      <c r="BH30" s="99"/>
      <c r="BI30" s="99"/>
      <c r="BJ30" s="99"/>
      <c r="BK30" s="99"/>
      <c r="BL30" s="99"/>
      <c r="BM30" s="99"/>
      <c r="BN30" s="99"/>
      <c r="BO30" s="99"/>
      <c r="BP30" s="99"/>
      <c r="BQ30" s="99"/>
    </row>
    <row r="31" spans="1:69" s="92" customFormat="1" ht="72" customHeight="1" x14ac:dyDescent="0.55000000000000004">
      <c r="A31" s="302">
        <v>8</v>
      </c>
      <c r="B31" s="133" t="s">
        <v>193</v>
      </c>
      <c r="C31" s="144" t="s">
        <v>195</v>
      </c>
      <c r="D31" s="324">
        <v>41715</v>
      </c>
      <c r="E31" s="152" t="s">
        <v>198</v>
      </c>
      <c r="F31" s="134" t="s">
        <v>197</v>
      </c>
      <c r="G31" s="134" t="s">
        <v>47</v>
      </c>
      <c r="H31" s="134" t="s">
        <v>34</v>
      </c>
      <c r="I31" s="130">
        <v>27090000</v>
      </c>
      <c r="J31" s="131">
        <v>41664</v>
      </c>
      <c r="K31" s="129" t="s">
        <v>191</v>
      </c>
      <c r="L31" s="129" t="s">
        <v>32</v>
      </c>
      <c r="M31" s="130" t="s">
        <v>44</v>
      </c>
      <c r="N31" s="130" t="s">
        <v>51</v>
      </c>
      <c r="O31" s="237">
        <v>50000</v>
      </c>
      <c r="P31" s="149">
        <f t="shared" si="6"/>
        <v>5482120.1299999999</v>
      </c>
      <c r="Q31" s="136">
        <f t="shared" si="5"/>
        <v>851099150.00000012</v>
      </c>
      <c r="R31" s="136" t="s">
        <v>25</v>
      </c>
      <c r="S31" s="238">
        <v>109.6424026</v>
      </c>
      <c r="T31" s="135">
        <f t="shared" si="2"/>
        <v>41754</v>
      </c>
      <c r="U31" s="130" t="s">
        <v>197</v>
      </c>
      <c r="V31" s="136">
        <f t="shared" si="3"/>
        <v>6578.544155999999</v>
      </c>
      <c r="W31" s="205">
        <v>155.24999996670999</v>
      </c>
      <c r="X31" s="137">
        <f t="shared" si="4"/>
        <v>1021318.9800000001</v>
      </c>
      <c r="Y31" s="136">
        <v>1021318.98</v>
      </c>
      <c r="Z31" s="325" t="s">
        <v>199</v>
      </c>
      <c r="AA31" s="141">
        <v>41703</v>
      </c>
    </row>
    <row r="32" spans="1:69" s="101" customFormat="1" ht="89.25" customHeight="1" x14ac:dyDescent="0.55000000000000004">
      <c r="A32" s="302">
        <v>9</v>
      </c>
      <c r="B32" s="133" t="s">
        <v>200</v>
      </c>
      <c r="C32" s="144" t="s">
        <v>202</v>
      </c>
      <c r="D32" s="324">
        <v>41736</v>
      </c>
      <c r="E32" s="152" t="s">
        <v>61</v>
      </c>
      <c r="F32" s="134" t="s">
        <v>41</v>
      </c>
      <c r="G32" s="134" t="s">
        <v>56</v>
      </c>
      <c r="H32" s="134" t="s">
        <v>34</v>
      </c>
      <c r="I32" s="130">
        <v>27090000</v>
      </c>
      <c r="J32" s="131">
        <v>41676</v>
      </c>
      <c r="K32" s="129" t="s">
        <v>62</v>
      </c>
      <c r="L32" s="129" t="s">
        <v>32</v>
      </c>
      <c r="M32" s="130" t="s">
        <v>60</v>
      </c>
      <c r="N32" s="130" t="s">
        <v>201</v>
      </c>
      <c r="O32" s="237">
        <v>954596</v>
      </c>
      <c r="P32" s="149">
        <f t="shared" si="6"/>
        <v>105504622.7888</v>
      </c>
      <c r="Q32" s="136">
        <f t="shared" si="5"/>
        <v>16431289953.127712</v>
      </c>
      <c r="R32" s="136" t="s">
        <v>25</v>
      </c>
      <c r="S32" s="238">
        <v>110.5228</v>
      </c>
      <c r="T32" s="135">
        <f t="shared" si="2"/>
        <v>41766</v>
      </c>
      <c r="U32" s="130" t="s">
        <v>41</v>
      </c>
      <c r="V32" s="136">
        <f t="shared" si="3"/>
        <v>126605.54734655999</v>
      </c>
      <c r="W32" s="205">
        <v>155.74</v>
      </c>
      <c r="X32" s="137">
        <f t="shared" si="4"/>
        <v>19717547.943753254</v>
      </c>
      <c r="Y32" s="136">
        <v>19717547.940000001</v>
      </c>
      <c r="Z32" s="325" t="s">
        <v>203</v>
      </c>
      <c r="AA32" s="141">
        <v>41726</v>
      </c>
    </row>
    <row r="33" spans="1:69" s="128" customFormat="1" ht="72" customHeight="1" x14ac:dyDescent="0.55000000000000004">
      <c r="A33" s="302">
        <v>10</v>
      </c>
      <c r="B33" s="133" t="s">
        <v>85</v>
      </c>
      <c r="C33" s="144" t="s">
        <v>131</v>
      </c>
      <c r="D33" s="324">
        <v>41736</v>
      </c>
      <c r="E33" s="152" t="s">
        <v>142</v>
      </c>
      <c r="F33" s="134" t="s">
        <v>50</v>
      </c>
      <c r="G33" s="134" t="s">
        <v>38</v>
      </c>
      <c r="H33" s="134" t="s">
        <v>33</v>
      </c>
      <c r="I33" s="130">
        <v>27090000</v>
      </c>
      <c r="J33" s="131">
        <v>41703</v>
      </c>
      <c r="K33" s="129" t="s">
        <v>67</v>
      </c>
      <c r="L33" s="129" t="s">
        <v>31</v>
      </c>
      <c r="M33" s="130" t="s">
        <v>44</v>
      </c>
      <c r="N33" s="130" t="s">
        <v>51</v>
      </c>
      <c r="O33" s="237">
        <v>949756</v>
      </c>
      <c r="P33" s="149">
        <f t="shared" si="6"/>
        <v>105641359.88000001</v>
      </c>
      <c r="Q33" s="136">
        <f t="shared" si="5"/>
        <v>16452585387.711203</v>
      </c>
      <c r="R33" s="136" t="s">
        <v>25</v>
      </c>
      <c r="S33" s="238">
        <v>111.23</v>
      </c>
      <c r="T33" s="135">
        <f t="shared" si="2"/>
        <v>41793</v>
      </c>
      <c r="U33" s="130" t="s">
        <v>40</v>
      </c>
      <c r="V33" s="136">
        <f t="shared" si="3"/>
        <v>126769.63185600001</v>
      </c>
      <c r="W33" s="205">
        <v>155.74</v>
      </c>
      <c r="X33" s="137">
        <f t="shared" si="4"/>
        <v>19743102.465253443</v>
      </c>
      <c r="Y33" s="136" t="s">
        <v>40</v>
      </c>
      <c r="Z33" s="325" t="s">
        <v>40</v>
      </c>
      <c r="AA33" s="141" t="s">
        <v>40</v>
      </c>
    </row>
    <row r="34" spans="1:69" s="92" customFormat="1" ht="81.75" customHeight="1" x14ac:dyDescent="0.55000000000000004">
      <c r="A34" s="302">
        <v>11</v>
      </c>
      <c r="B34" s="133" t="s">
        <v>88</v>
      </c>
      <c r="C34" s="144" t="s">
        <v>132</v>
      </c>
      <c r="D34" s="324">
        <v>41736</v>
      </c>
      <c r="E34" s="152" t="s">
        <v>143</v>
      </c>
      <c r="F34" s="134" t="s">
        <v>50</v>
      </c>
      <c r="G34" s="134" t="s">
        <v>38</v>
      </c>
      <c r="H34" s="134" t="s">
        <v>33</v>
      </c>
      <c r="I34" s="130">
        <v>27090000</v>
      </c>
      <c r="J34" s="131">
        <v>41704</v>
      </c>
      <c r="K34" s="129" t="s">
        <v>67</v>
      </c>
      <c r="L34" s="129" t="s">
        <v>31</v>
      </c>
      <c r="M34" s="130" t="s">
        <v>44</v>
      </c>
      <c r="N34" s="130" t="s">
        <v>51</v>
      </c>
      <c r="O34" s="237">
        <v>949830</v>
      </c>
      <c r="P34" s="149">
        <f t="shared" si="6"/>
        <v>105247812.81</v>
      </c>
      <c r="Q34" s="136">
        <f t="shared" si="5"/>
        <v>16391294367.029402</v>
      </c>
      <c r="R34" s="136" t="s">
        <v>25</v>
      </c>
      <c r="S34" s="238">
        <v>110.807</v>
      </c>
      <c r="T34" s="135">
        <f t="shared" si="2"/>
        <v>41794</v>
      </c>
      <c r="U34" s="239" t="s">
        <v>40</v>
      </c>
      <c r="V34" s="136">
        <f t="shared" si="3"/>
        <v>126297.37537199999</v>
      </c>
      <c r="W34" s="205">
        <v>155.74</v>
      </c>
      <c r="X34" s="137">
        <f t="shared" si="4"/>
        <v>19669553.24043528</v>
      </c>
      <c r="Y34" s="136" t="s">
        <v>40</v>
      </c>
      <c r="Z34" s="325" t="s">
        <v>40</v>
      </c>
      <c r="AA34" s="141" t="s">
        <v>40</v>
      </c>
      <c r="AB34" s="153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2"/>
      <c r="AX34" s="132"/>
      <c r="AY34" s="132"/>
      <c r="AZ34" s="132"/>
      <c r="BA34" s="132"/>
      <c r="BB34" s="132"/>
      <c r="BC34" s="132"/>
      <c r="BD34" s="132"/>
      <c r="BE34" s="132"/>
      <c r="BF34" s="132"/>
      <c r="BG34" s="132"/>
      <c r="BH34" s="132"/>
      <c r="BI34" s="132"/>
      <c r="BJ34" s="132"/>
      <c r="BK34" s="132"/>
      <c r="BL34" s="132"/>
      <c r="BM34" s="132"/>
      <c r="BN34" s="132"/>
      <c r="BO34" s="132"/>
      <c r="BP34" s="132"/>
      <c r="BQ34" s="132"/>
    </row>
    <row r="35" spans="1:69" s="92" customFormat="1" ht="84.75" customHeight="1" x14ac:dyDescent="0.55000000000000004">
      <c r="A35" s="302">
        <v>12</v>
      </c>
      <c r="B35" s="133" t="s">
        <v>94</v>
      </c>
      <c r="C35" s="144" t="s">
        <v>133</v>
      </c>
      <c r="D35" s="324">
        <v>41736</v>
      </c>
      <c r="E35" s="152" t="s">
        <v>205</v>
      </c>
      <c r="F35" s="134" t="s">
        <v>50</v>
      </c>
      <c r="G35" s="134" t="s">
        <v>38</v>
      </c>
      <c r="H35" s="134" t="s">
        <v>33</v>
      </c>
      <c r="I35" s="130">
        <v>27090000</v>
      </c>
      <c r="J35" s="131">
        <v>41713</v>
      </c>
      <c r="K35" s="129" t="s">
        <v>73</v>
      </c>
      <c r="L35" s="129" t="s">
        <v>31</v>
      </c>
      <c r="M35" s="130" t="s">
        <v>26</v>
      </c>
      <c r="N35" s="130" t="s">
        <v>119</v>
      </c>
      <c r="O35" s="237">
        <v>949920</v>
      </c>
      <c r="P35" s="149">
        <f t="shared" si="6"/>
        <v>104027639.04000001</v>
      </c>
      <c r="Q35" s="136">
        <f t="shared" si="5"/>
        <v>16201264504.089602</v>
      </c>
      <c r="R35" s="136" t="s">
        <v>25</v>
      </c>
      <c r="S35" s="238">
        <v>109.512</v>
      </c>
      <c r="T35" s="135">
        <f t="shared" si="2"/>
        <v>41803</v>
      </c>
      <c r="U35" s="239" t="s">
        <v>40</v>
      </c>
      <c r="V35" s="136">
        <f t="shared" si="3"/>
        <v>124833.16684799999</v>
      </c>
      <c r="W35" s="205">
        <v>155.74</v>
      </c>
      <c r="X35" s="137">
        <f t="shared" si="4"/>
        <v>19441517.404907521</v>
      </c>
      <c r="Y35" s="136" t="s">
        <v>40</v>
      </c>
      <c r="Z35" s="325" t="s">
        <v>40</v>
      </c>
      <c r="AA35" s="141" t="s">
        <v>40</v>
      </c>
      <c r="AB35" s="153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2"/>
      <c r="BC35" s="132"/>
      <c r="BD35" s="132"/>
      <c r="BE35" s="132"/>
      <c r="BF35" s="132"/>
      <c r="BG35" s="132"/>
      <c r="BH35" s="132"/>
      <c r="BI35" s="132"/>
      <c r="BJ35" s="132"/>
      <c r="BK35" s="132"/>
      <c r="BL35" s="132"/>
      <c r="BM35" s="132"/>
      <c r="BN35" s="132"/>
      <c r="BO35" s="132"/>
      <c r="BP35" s="132"/>
      <c r="BQ35" s="132"/>
    </row>
    <row r="36" spans="1:69" s="92" customFormat="1" ht="92.25" customHeight="1" x14ac:dyDescent="0.55000000000000004">
      <c r="A36" s="302">
        <v>13</v>
      </c>
      <c r="B36" s="142" t="s">
        <v>99</v>
      </c>
      <c r="C36" s="144" t="s">
        <v>134</v>
      </c>
      <c r="D36" s="138">
        <v>41736</v>
      </c>
      <c r="E36" s="152" t="s">
        <v>148</v>
      </c>
      <c r="F36" s="133" t="s">
        <v>50</v>
      </c>
      <c r="G36" s="143" t="s">
        <v>38</v>
      </c>
      <c r="H36" s="155" t="s">
        <v>33</v>
      </c>
      <c r="I36" s="130">
        <v>27090000</v>
      </c>
      <c r="J36" s="235">
        <v>41717</v>
      </c>
      <c r="K36" s="129" t="s">
        <v>76</v>
      </c>
      <c r="L36" s="202" t="s">
        <v>31</v>
      </c>
      <c r="M36" s="130" t="s">
        <v>57</v>
      </c>
      <c r="N36" s="201" t="s">
        <v>58</v>
      </c>
      <c r="O36" s="203">
        <v>150000</v>
      </c>
      <c r="P36" s="236">
        <f>O36*S36</f>
        <v>16287450</v>
      </c>
      <c r="Q36" s="234">
        <f t="shared" ref="Q36" si="7">P36*W36</f>
        <v>2536607463</v>
      </c>
      <c r="R36" s="204" t="s">
        <v>25</v>
      </c>
      <c r="S36" s="205">
        <v>108.583</v>
      </c>
      <c r="T36" s="135">
        <f t="shared" si="2"/>
        <v>41807</v>
      </c>
      <c r="U36" s="239" t="s">
        <v>40</v>
      </c>
      <c r="V36" s="136">
        <f t="shared" si="3"/>
        <v>19544.939999999999</v>
      </c>
      <c r="W36" s="205">
        <v>155.74</v>
      </c>
      <c r="X36" s="137">
        <f t="shared" si="4"/>
        <v>3043928.9556</v>
      </c>
      <c r="Y36" s="136" t="s">
        <v>40</v>
      </c>
      <c r="Z36" s="325" t="s">
        <v>40</v>
      </c>
      <c r="AA36" s="141" t="s">
        <v>40</v>
      </c>
      <c r="AB36" s="153"/>
      <c r="AC36" s="132"/>
      <c r="AD36" s="132"/>
      <c r="AE36" s="132"/>
      <c r="AF36" s="132"/>
      <c r="AG36" s="132"/>
      <c r="AH36" s="132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2"/>
      <c r="AX36" s="132"/>
      <c r="AY36" s="132"/>
      <c r="AZ36" s="132"/>
      <c r="BA36" s="132"/>
      <c r="BB36" s="132"/>
      <c r="BC36" s="132"/>
      <c r="BD36" s="132"/>
      <c r="BE36" s="132"/>
      <c r="BF36" s="132"/>
      <c r="BG36" s="132"/>
      <c r="BH36" s="132"/>
      <c r="BI36" s="132"/>
      <c r="BJ36" s="132"/>
      <c r="BK36" s="132"/>
      <c r="BL36" s="132"/>
      <c r="BM36" s="132"/>
      <c r="BN36" s="132"/>
      <c r="BO36" s="132"/>
      <c r="BP36" s="132"/>
      <c r="BQ36" s="132"/>
    </row>
    <row r="37" spans="1:69" s="92" customFormat="1" ht="92.25" customHeight="1" x14ac:dyDescent="0.55000000000000004">
      <c r="A37" s="302">
        <v>14</v>
      </c>
      <c r="B37" s="142" t="s">
        <v>100</v>
      </c>
      <c r="C37" s="142" t="s">
        <v>135</v>
      </c>
      <c r="D37" s="138">
        <v>41736</v>
      </c>
      <c r="E37" s="152" t="s">
        <v>149</v>
      </c>
      <c r="F37" s="133" t="s">
        <v>50</v>
      </c>
      <c r="G37" s="158" t="s">
        <v>38</v>
      </c>
      <c r="H37" s="144" t="s">
        <v>33</v>
      </c>
      <c r="I37" s="130">
        <v>27090000</v>
      </c>
      <c r="J37" s="145">
        <v>41717</v>
      </c>
      <c r="K37" s="142" t="s">
        <v>76</v>
      </c>
      <c r="L37" s="146" t="s">
        <v>31</v>
      </c>
      <c r="M37" s="144" t="s">
        <v>57</v>
      </c>
      <c r="N37" s="147" t="s">
        <v>58</v>
      </c>
      <c r="O37" s="148">
        <v>128000</v>
      </c>
      <c r="P37" s="149">
        <f>O37*S37</f>
        <v>13898624</v>
      </c>
      <c r="Q37" s="136">
        <f>P37*W37</f>
        <v>2164571701.7600002</v>
      </c>
      <c r="R37" s="140" t="s">
        <v>25</v>
      </c>
      <c r="S37" s="139">
        <v>108.583</v>
      </c>
      <c r="T37" s="150">
        <f>J37+90</f>
        <v>41807</v>
      </c>
      <c r="U37" s="239" t="s">
        <v>40</v>
      </c>
      <c r="V37" s="136">
        <f>P37*0.12%</f>
        <v>16678.3488</v>
      </c>
      <c r="W37" s="205">
        <v>155.74</v>
      </c>
      <c r="X37" s="140">
        <f>V37*W37</f>
        <v>2597486.0421120003</v>
      </c>
      <c r="Y37" s="136" t="s">
        <v>40</v>
      </c>
      <c r="Z37" s="325" t="s">
        <v>40</v>
      </c>
      <c r="AA37" s="141" t="s">
        <v>40</v>
      </c>
      <c r="AB37" s="153"/>
      <c r="AC37" s="132"/>
      <c r="AD37" s="132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2"/>
      <c r="AX37" s="132"/>
      <c r="AY37" s="132"/>
      <c r="AZ37" s="132"/>
      <c r="BA37" s="132"/>
      <c r="BB37" s="132"/>
      <c r="BC37" s="132"/>
      <c r="BD37" s="132"/>
      <c r="BE37" s="132"/>
      <c r="BF37" s="132"/>
      <c r="BG37" s="132"/>
      <c r="BH37" s="132"/>
      <c r="BI37" s="132"/>
      <c r="BJ37" s="132"/>
      <c r="BK37" s="132"/>
      <c r="BL37" s="132"/>
      <c r="BM37" s="132"/>
      <c r="BN37" s="132"/>
      <c r="BO37" s="132"/>
      <c r="BP37" s="132"/>
      <c r="BQ37" s="132"/>
    </row>
    <row r="38" spans="1:69" s="92" customFormat="1" ht="92.25" customHeight="1" x14ac:dyDescent="0.55000000000000004">
      <c r="A38" s="302">
        <v>15</v>
      </c>
      <c r="B38" s="134" t="s">
        <v>101</v>
      </c>
      <c r="C38" s="156" t="s">
        <v>136</v>
      </c>
      <c r="D38" s="138">
        <v>41736</v>
      </c>
      <c r="E38" s="156" t="s">
        <v>150</v>
      </c>
      <c r="F38" s="156" t="s">
        <v>50</v>
      </c>
      <c r="G38" s="143" t="s">
        <v>38</v>
      </c>
      <c r="H38" s="134" t="s">
        <v>33</v>
      </c>
      <c r="I38" s="130">
        <v>27090000</v>
      </c>
      <c r="J38" s="135">
        <v>41717</v>
      </c>
      <c r="K38" s="133" t="s">
        <v>76</v>
      </c>
      <c r="L38" s="133" t="s">
        <v>31</v>
      </c>
      <c r="M38" s="134" t="s">
        <v>57</v>
      </c>
      <c r="N38" s="207" t="s">
        <v>58</v>
      </c>
      <c r="O38" s="148">
        <v>671940</v>
      </c>
      <c r="P38" s="149">
        <f>O38*S38</f>
        <v>72961261.019999996</v>
      </c>
      <c r="Q38" s="136">
        <f>P38*W38</f>
        <v>11362986791.254801</v>
      </c>
      <c r="R38" s="140" t="s">
        <v>25</v>
      </c>
      <c r="S38" s="139">
        <v>108.583</v>
      </c>
      <c r="T38" s="150">
        <f>J38+90</f>
        <v>41807</v>
      </c>
      <c r="U38" s="239" t="s">
        <v>40</v>
      </c>
      <c r="V38" s="136">
        <f>P38*0.12%</f>
        <v>87553.51322399998</v>
      </c>
      <c r="W38" s="205">
        <v>155.74</v>
      </c>
      <c r="X38" s="140">
        <f>V38*W38</f>
        <v>13635584.149505757</v>
      </c>
      <c r="Y38" s="136" t="s">
        <v>40</v>
      </c>
      <c r="Z38" s="325" t="s">
        <v>40</v>
      </c>
      <c r="AA38" s="141" t="s">
        <v>40</v>
      </c>
      <c r="AB38" s="153"/>
      <c r="AC38" s="132"/>
      <c r="AD38" s="132"/>
      <c r="AE38" s="132"/>
      <c r="AF38" s="132"/>
      <c r="AG38" s="132"/>
      <c r="AH38" s="132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  <c r="AW38" s="132"/>
      <c r="AX38" s="132"/>
      <c r="AY38" s="132"/>
      <c r="AZ38" s="132"/>
      <c r="BA38" s="132"/>
      <c r="BB38" s="132"/>
      <c r="BC38" s="132"/>
      <c r="BD38" s="132"/>
      <c r="BE38" s="132"/>
      <c r="BF38" s="132"/>
      <c r="BG38" s="132"/>
      <c r="BH38" s="132"/>
      <c r="BI38" s="132"/>
      <c r="BJ38" s="132"/>
      <c r="BK38" s="132"/>
      <c r="BL38" s="132"/>
      <c r="BM38" s="132"/>
      <c r="BN38" s="132"/>
      <c r="BO38" s="132"/>
      <c r="BP38" s="132"/>
      <c r="BQ38" s="132"/>
    </row>
    <row r="39" spans="1:69" s="92" customFormat="1" ht="92.25" customHeight="1" x14ac:dyDescent="0.55000000000000004">
      <c r="A39" s="302">
        <v>16</v>
      </c>
      <c r="B39" s="134" t="s">
        <v>102</v>
      </c>
      <c r="C39" s="156" t="s">
        <v>137</v>
      </c>
      <c r="D39" s="138">
        <v>41736</v>
      </c>
      <c r="E39" s="156" t="s">
        <v>151</v>
      </c>
      <c r="F39" s="156" t="s">
        <v>50</v>
      </c>
      <c r="G39" s="143" t="s">
        <v>38</v>
      </c>
      <c r="H39" s="134" t="s">
        <v>33</v>
      </c>
      <c r="I39" s="130">
        <v>27090000</v>
      </c>
      <c r="J39" s="135">
        <v>41719</v>
      </c>
      <c r="K39" s="133" t="s">
        <v>77</v>
      </c>
      <c r="L39" s="133" t="s">
        <v>31</v>
      </c>
      <c r="M39" s="134" t="s">
        <v>45</v>
      </c>
      <c r="N39" s="207" t="s">
        <v>42</v>
      </c>
      <c r="O39" s="148">
        <v>950003</v>
      </c>
      <c r="P39" s="149">
        <f t="shared" ref="P39:P43" si="8">O39*S39</f>
        <v>103144675.719</v>
      </c>
      <c r="Q39" s="136">
        <f t="shared" ref="Q39:Q43" si="9">P39*W39</f>
        <v>16063751796.47706</v>
      </c>
      <c r="R39" s="140" t="s">
        <v>25</v>
      </c>
      <c r="S39" s="139">
        <v>108.57299999999999</v>
      </c>
      <c r="T39" s="150">
        <f t="shared" ref="T39:T43" si="10">J39+90</f>
        <v>41809</v>
      </c>
      <c r="U39" s="239" t="s">
        <v>40</v>
      </c>
      <c r="V39" s="136">
        <f t="shared" ref="V39:V43" si="11">P39*0.12%</f>
        <v>123773.61086279998</v>
      </c>
      <c r="W39" s="205">
        <v>155.74</v>
      </c>
      <c r="X39" s="140">
        <f t="shared" ref="X39:X43" si="12">V39*W39</f>
        <v>19276502.15577247</v>
      </c>
      <c r="Y39" s="136" t="s">
        <v>40</v>
      </c>
      <c r="Z39" s="325" t="s">
        <v>40</v>
      </c>
      <c r="AA39" s="141" t="s">
        <v>40</v>
      </c>
      <c r="AB39" s="153"/>
      <c r="AC39" s="132"/>
      <c r="AD39" s="132"/>
      <c r="AE39" s="132"/>
      <c r="AF39" s="132"/>
      <c r="AG39" s="132"/>
      <c r="AH39" s="132"/>
      <c r="AI39" s="132"/>
      <c r="AJ39" s="132"/>
      <c r="AK39" s="132"/>
      <c r="AL39" s="132"/>
      <c r="AM39" s="132"/>
      <c r="AN39" s="132"/>
      <c r="AO39" s="132"/>
      <c r="AP39" s="132"/>
      <c r="AQ39" s="132"/>
      <c r="AR39" s="132"/>
      <c r="AS39" s="132"/>
      <c r="AT39" s="132"/>
      <c r="AU39" s="132"/>
      <c r="AV39" s="132"/>
      <c r="AW39" s="132"/>
      <c r="AX39" s="132"/>
      <c r="AY39" s="132"/>
      <c r="AZ39" s="132"/>
      <c r="BA39" s="132"/>
      <c r="BB39" s="132"/>
      <c r="BC39" s="132"/>
      <c r="BD39" s="132"/>
      <c r="BE39" s="132"/>
      <c r="BF39" s="132"/>
      <c r="BG39" s="132"/>
      <c r="BH39" s="132"/>
      <c r="BI39" s="132"/>
      <c r="BJ39" s="132"/>
      <c r="BK39" s="132"/>
      <c r="BL39" s="132"/>
      <c r="BM39" s="132"/>
      <c r="BN39" s="132"/>
      <c r="BO39" s="132"/>
      <c r="BP39" s="132"/>
      <c r="BQ39" s="132"/>
    </row>
    <row r="40" spans="1:69" s="92" customFormat="1" ht="92.25" customHeight="1" x14ac:dyDescent="0.55000000000000004">
      <c r="A40" s="302">
        <v>17</v>
      </c>
      <c r="B40" s="134" t="s">
        <v>103</v>
      </c>
      <c r="C40" s="156" t="s">
        <v>138</v>
      </c>
      <c r="D40" s="138">
        <v>41736</v>
      </c>
      <c r="E40" s="156" t="s">
        <v>152</v>
      </c>
      <c r="F40" s="156" t="s">
        <v>50</v>
      </c>
      <c r="G40" s="143" t="s">
        <v>38</v>
      </c>
      <c r="H40" s="134" t="s">
        <v>34</v>
      </c>
      <c r="I40" s="130">
        <v>27090000</v>
      </c>
      <c r="J40" s="135">
        <v>41719</v>
      </c>
      <c r="K40" s="133" t="s">
        <v>78</v>
      </c>
      <c r="L40" s="133" t="s">
        <v>32</v>
      </c>
      <c r="M40" s="134" t="s">
        <v>128</v>
      </c>
      <c r="N40" s="207" t="s">
        <v>121</v>
      </c>
      <c r="O40" s="148">
        <v>667968</v>
      </c>
      <c r="P40" s="149">
        <f t="shared" si="8"/>
        <v>72523289.66399999</v>
      </c>
      <c r="Q40" s="136">
        <f t="shared" si="9"/>
        <v>11294777132.271358</v>
      </c>
      <c r="R40" s="140" t="s">
        <v>25</v>
      </c>
      <c r="S40" s="139">
        <v>108.57299999999999</v>
      </c>
      <c r="T40" s="150">
        <f t="shared" si="10"/>
        <v>41809</v>
      </c>
      <c r="U40" s="239" t="s">
        <v>40</v>
      </c>
      <c r="V40" s="136">
        <f t="shared" si="11"/>
        <v>87027.947596799975</v>
      </c>
      <c r="W40" s="205">
        <v>155.74</v>
      </c>
      <c r="X40" s="140">
        <f t="shared" si="12"/>
        <v>13553732.558725629</v>
      </c>
      <c r="Y40" s="136" t="s">
        <v>40</v>
      </c>
      <c r="Z40" s="325" t="s">
        <v>40</v>
      </c>
      <c r="AA40" s="141" t="s">
        <v>40</v>
      </c>
      <c r="AB40" s="153"/>
      <c r="AC40" s="132"/>
      <c r="AD40" s="132"/>
      <c r="AE40" s="132"/>
      <c r="AF40" s="132"/>
      <c r="AG40" s="132"/>
      <c r="AH40" s="132"/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132"/>
      <c r="AW40" s="132"/>
      <c r="AX40" s="132"/>
      <c r="AY40" s="132"/>
      <c r="AZ40" s="132"/>
      <c r="BA40" s="132"/>
      <c r="BB40" s="132"/>
      <c r="BC40" s="132"/>
      <c r="BD40" s="132"/>
      <c r="BE40" s="132"/>
      <c r="BF40" s="132"/>
      <c r="BG40" s="132"/>
      <c r="BH40" s="132"/>
      <c r="BI40" s="132"/>
      <c r="BJ40" s="132"/>
      <c r="BK40" s="132"/>
      <c r="BL40" s="132"/>
      <c r="BM40" s="132"/>
      <c r="BN40" s="132"/>
      <c r="BO40" s="132"/>
      <c r="BP40" s="132"/>
      <c r="BQ40" s="132"/>
    </row>
    <row r="41" spans="1:69" s="92" customFormat="1" ht="92.25" customHeight="1" x14ac:dyDescent="0.55000000000000004">
      <c r="A41" s="302">
        <v>18</v>
      </c>
      <c r="B41" s="134" t="s">
        <v>104</v>
      </c>
      <c r="C41" s="156" t="s">
        <v>139</v>
      </c>
      <c r="D41" s="138">
        <v>41736</v>
      </c>
      <c r="E41" s="156" t="s">
        <v>153</v>
      </c>
      <c r="F41" s="156" t="s">
        <v>50</v>
      </c>
      <c r="G41" s="143" t="s">
        <v>38</v>
      </c>
      <c r="H41" s="134" t="s">
        <v>34</v>
      </c>
      <c r="I41" s="130">
        <v>27090000</v>
      </c>
      <c r="J41" s="135">
        <v>41719</v>
      </c>
      <c r="K41" s="133" t="s">
        <v>78</v>
      </c>
      <c r="L41" s="133" t="s">
        <v>32</v>
      </c>
      <c r="M41" s="134" t="s">
        <v>128</v>
      </c>
      <c r="N41" s="207" t="s">
        <v>121</v>
      </c>
      <c r="O41" s="148">
        <v>238750</v>
      </c>
      <c r="P41" s="149">
        <f t="shared" si="8"/>
        <v>25921803.75</v>
      </c>
      <c r="Q41" s="136">
        <f t="shared" si="9"/>
        <v>4037061716.0250001</v>
      </c>
      <c r="R41" s="140" t="s">
        <v>25</v>
      </c>
      <c r="S41" s="139">
        <v>108.57299999999999</v>
      </c>
      <c r="T41" s="150">
        <f t="shared" si="10"/>
        <v>41809</v>
      </c>
      <c r="U41" s="239" t="s">
        <v>40</v>
      </c>
      <c r="V41" s="136">
        <f t="shared" si="11"/>
        <v>31106.164499999999</v>
      </c>
      <c r="W41" s="205">
        <v>155.74</v>
      </c>
      <c r="X41" s="140">
        <f t="shared" si="12"/>
        <v>4844474.0592299998</v>
      </c>
      <c r="Y41" s="136" t="s">
        <v>40</v>
      </c>
      <c r="Z41" s="325" t="s">
        <v>40</v>
      </c>
      <c r="AA41" s="141" t="s">
        <v>40</v>
      </c>
      <c r="AB41" s="153"/>
      <c r="AC41" s="132"/>
      <c r="AD41" s="132"/>
      <c r="AE41" s="132"/>
      <c r="AF41" s="132"/>
      <c r="AG41" s="132"/>
      <c r="AH41" s="132"/>
      <c r="AI41" s="132"/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  <c r="AT41" s="132"/>
      <c r="AU41" s="132"/>
      <c r="AV41" s="132"/>
      <c r="AW41" s="132"/>
      <c r="AX41" s="132"/>
      <c r="AY41" s="132"/>
      <c r="AZ41" s="132"/>
      <c r="BA41" s="132"/>
      <c r="BB41" s="132"/>
      <c r="BC41" s="132"/>
      <c r="BD41" s="132"/>
      <c r="BE41" s="132"/>
      <c r="BF41" s="132"/>
      <c r="BG41" s="132"/>
      <c r="BH41" s="132"/>
      <c r="BI41" s="132"/>
      <c r="BJ41" s="132"/>
      <c r="BK41" s="132"/>
      <c r="BL41" s="132"/>
      <c r="BM41" s="132"/>
      <c r="BN41" s="132"/>
      <c r="BO41" s="132"/>
      <c r="BP41" s="132"/>
      <c r="BQ41" s="132"/>
    </row>
    <row r="42" spans="1:69" s="92" customFormat="1" ht="92.25" customHeight="1" x14ac:dyDescent="0.55000000000000004">
      <c r="A42" s="302">
        <v>19</v>
      </c>
      <c r="B42" s="134" t="s">
        <v>105</v>
      </c>
      <c r="C42" s="156" t="s">
        <v>140</v>
      </c>
      <c r="D42" s="138">
        <v>41736</v>
      </c>
      <c r="E42" s="156" t="s">
        <v>154</v>
      </c>
      <c r="F42" s="156" t="s">
        <v>50</v>
      </c>
      <c r="G42" s="143" t="s">
        <v>38</v>
      </c>
      <c r="H42" s="134" t="s">
        <v>33</v>
      </c>
      <c r="I42" s="130">
        <v>27090000</v>
      </c>
      <c r="J42" s="135">
        <v>41722</v>
      </c>
      <c r="K42" s="133" t="s">
        <v>79</v>
      </c>
      <c r="L42" s="133" t="s">
        <v>31</v>
      </c>
      <c r="M42" s="134" t="s">
        <v>26</v>
      </c>
      <c r="N42" s="207" t="s">
        <v>122</v>
      </c>
      <c r="O42" s="148">
        <v>997311</v>
      </c>
      <c r="P42" s="149">
        <f t="shared" si="8"/>
        <v>108406708.389</v>
      </c>
      <c r="Q42" s="136">
        <f t="shared" si="9"/>
        <v>16883260764.502861</v>
      </c>
      <c r="R42" s="140" t="s">
        <v>25</v>
      </c>
      <c r="S42" s="139">
        <v>108.699</v>
      </c>
      <c r="T42" s="150">
        <f t="shared" si="10"/>
        <v>41812</v>
      </c>
      <c r="U42" s="239" t="s">
        <v>40</v>
      </c>
      <c r="V42" s="136">
        <f t="shared" si="11"/>
        <v>130088.05006679999</v>
      </c>
      <c r="W42" s="205">
        <v>155.74</v>
      </c>
      <c r="X42" s="140">
        <f t="shared" si="12"/>
        <v>20259912.91740343</v>
      </c>
      <c r="Y42" s="136" t="s">
        <v>40</v>
      </c>
      <c r="Z42" s="325" t="s">
        <v>40</v>
      </c>
      <c r="AA42" s="141" t="s">
        <v>40</v>
      </c>
      <c r="AB42" s="153"/>
      <c r="AC42" s="132"/>
      <c r="AD42" s="132"/>
      <c r="AE42" s="132"/>
      <c r="AF42" s="132"/>
      <c r="AG42" s="132"/>
      <c r="AH42" s="132"/>
      <c r="AI42" s="132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32"/>
      <c r="AU42" s="132"/>
      <c r="AV42" s="132"/>
      <c r="AW42" s="132"/>
      <c r="AX42" s="132"/>
      <c r="AY42" s="132"/>
      <c r="AZ42" s="132"/>
      <c r="BA42" s="132"/>
      <c r="BB42" s="132"/>
      <c r="BC42" s="132"/>
      <c r="BD42" s="132"/>
      <c r="BE42" s="132"/>
      <c r="BF42" s="132"/>
      <c r="BG42" s="132"/>
      <c r="BH42" s="132"/>
      <c r="BI42" s="132"/>
      <c r="BJ42" s="132"/>
      <c r="BK42" s="132"/>
      <c r="BL42" s="132"/>
      <c r="BM42" s="132"/>
      <c r="BN42" s="132"/>
      <c r="BO42" s="132"/>
      <c r="BP42" s="132"/>
      <c r="BQ42" s="132"/>
    </row>
    <row r="43" spans="1:69" s="92" customFormat="1" ht="92.25" customHeight="1" x14ac:dyDescent="0.55000000000000004">
      <c r="A43" s="302">
        <v>20</v>
      </c>
      <c r="B43" s="134" t="s">
        <v>111</v>
      </c>
      <c r="C43" s="156" t="s">
        <v>141</v>
      </c>
      <c r="D43" s="138">
        <v>41736</v>
      </c>
      <c r="E43" s="156" t="s">
        <v>155</v>
      </c>
      <c r="F43" s="156" t="s">
        <v>50</v>
      </c>
      <c r="G43" s="143" t="s">
        <v>38</v>
      </c>
      <c r="H43" s="134" t="s">
        <v>33</v>
      </c>
      <c r="I43" s="130">
        <v>27090000</v>
      </c>
      <c r="J43" s="135">
        <v>41726</v>
      </c>
      <c r="K43" s="133" t="s">
        <v>83</v>
      </c>
      <c r="L43" s="133" t="s">
        <v>31</v>
      </c>
      <c r="M43" s="134" t="s">
        <v>36</v>
      </c>
      <c r="N43" s="207" t="s">
        <v>48</v>
      </c>
      <c r="O43" s="148">
        <v>997277</v>
      </c>
      <c r="P43" s="149">
        <f t="shared" si="8"/>
        <v>108082886.706</v>
      </c>
      <c r="Q43" s="136">
        <f t="shared" si="9"/>
        <v>16832828775.592442</v>
      </c>
      <c r="R43" s="140" t="s">
        <v>25</v>
      </c>
      <c r="S43" s="139">
        <v>108.378</v>
      </c>
      <c r="T43" s="150">
        <f t="shared" si="10"/>
        <v>41816</v>
      </c>
      <c r="U43" s="239" t="s">
        <v>40</v>
      </c>
      <c r="V43" s="136">
        <f t="shared" si="11"/>
        <v>129699.46404719999</v>
      </c>
      <c r="W43" s="205">
        <v>155.74</v>
      </c>
      <c r="X43" s="140">
        <f t="shared" si="12"/>
        <v>20199394.530710928</v>
      </c>
      <c r="Y43" s="136" t="s">
        <v>40</v>
      </c>
      <c r="Z43" s="325" t="s">
        <v>40</v>
      </c>
      <c r="AA43" s="141" t="s">
        <v>40</v>
      </c>
      <c r="AB43" s="153"/>
      <c r="AC43" s="132"/>
      <c r="AD43" s="132"/>
      <c r="AE43" s="132"/>
      <c r="AF43" s="132"/>
      <c r="AG43" s="132"/>
      <c r="AH43" s="132"/>
      <c r="AI43" s="132"/>
      <c r="AJ43" s="132"/>
      <c r="AK43" s="132"/>
      <c r="AL43" s="132"/>
      <c r="AM43" s="132"/>
      <c r="AN43" s="132"/>
      <c r="AO43" s="132"/>
      <c r="AP43" s="132"/>
      <c r="AQ43" s="132"/>
      <c r="AR43" s="132"/>
      <c r="AS43" s="132"/>
      <c r="AT43" s="132"/>
      <c r="AU43" s="132"/>
      <c r="AV43" s="132"/>
      <c r="AW43" s="132"/>
      <c r="AX43" s="132"/>
      <c r="AY43" s="132"/>
      <c r="AZ43" s="132"/>
      <c r="BA43" s="132"/>
      <c r="BB43" s="132"/>
      <c r="BC43" s="132"/>
      <c r="BD43" s="132"/>
      <c r="BE43" s="132"/>
      <c r="BF43" s="132"/>
      <c r="BG43" s="132"/>
      <c r="BH43" s="132"/>
      <c r="BI43" s="132"/>
      <c r="BJ43" s="132"/>
      <c r="BK43" s="132"/>
      <c r="BL43" s="132"/>
      <c r="BM43" s="132"/>
      <c r="BN43" s="132"/>
      <c r="BO43" s="132"/>
      <c r="BP43" s="132"/>
      <c r="BQ43" s="132"/>
    </row>
    <row r="44" spans="1:69" ht="78.75" customHeight="1" x14ac:dyDescent="0.55000000000000004">
      <c r="A44" s="328"/>
      <c r="B44" s="134"/>
      <c r="C44" s="303"/>
      <c r="D44" s="138"/>
      <c r="E44" s="303"/>
      <c r="F44" s="156"/>
      <c r="G44" s="143"/>
      <c r="H44" s="134"/>
      <c r="I44" s="130"/>
      <c r="J44" s="135"/>
      <c r="K44" s="133"/>
      <c r="L44" s="133"/>
      <c r="M44" s="134"/>
      <c r="N44" s="207"/>
      <c r="O44" s="148"/>
      <c r="P44" s="149"/>
      <c r="Q44" s="136"/>
      <c r="R44" s="140"/>
      <c r="S44" s="139"/>
      <c r="T44" s="150"/>
      <c r="U44" s="239"/>
      <c r="V44" s="136"/>
      <c r="W44" s="139"/>
      <c r="X44" s="140"/>
      <c r="Y44" s="140"/>
      <c r="Z44" s="156"/>
      <c r="AA44" s="208"/>
    </row>
    <row r="45" spans="1:69" s="16" customFormat="1" ht="78.75" customHeight="1" thickBot="1" x14ac:dyDescent="0.65">
      <c r="A45" s="226"/>
      <c r="B45" s="159" t="s">
        <v>28</v>
      </c>
      <c r="C45" s="159"/>
      <c r="D45" s="160"/>
      <c r="E45" s="159"/>
      <c r="F45" s="159"/>
      <c r="G45" s="275"/>
      <c r="H45" s="159"/>
      <c r="I45" s="159"/>
      <c r="J45" s="160"/>
      <c r="K45" s="159"/>
      <c r="L45" s="159"/>
      <c r="M45" s="159"/>
      <c r="N45" s="276"/>
      <c r="O45" s="277">
        <f>SUM(O24:O44)</f>
        <v>15003250</v>
      </c>
      <c r="P45" s="164">
        <f>SUM(P24:P44)</f>
        <v>1655677641.5347002</v>
      </c>
      <c r="Q45" s="164"/>
      <c r="R45" s="164"/>
      <c r="S45" s="165"/>
      <c r="T45" s="160"/>
      <c r="U45" s="164"/>
      <c r="V45" s="164">
        <f>SUM(V24:V44)</f>
        <v>1986813.1698416399</v>
      </c>
      <c r="W45" s="165"/>
      <c r="X45" s="164">
        <f>SUM(X24:X44)</f>
        <v>310196175.80813026</v>
      </c>
      <c r="Y45" s="164">
        <f>SUM(Y24:Y44)</f>
        <v>153930987.48000002</v>
      </c>
      <c r="Z45" s="159"/>
      <c r="AA45" s="218"/>
    </row>
    <row r="46" spans="1:69" s="16" customFormat="1" ht="23.25" x14ac:dyDescent="0.35">
      <c r="A46" s="39"/>
      <c r="B46" s="37"/>
      <c r="C46" s="35"/>
      <c r="D46" s="36"/>
      <c r="E46" s="35"/>
      <c r="F46" s="35"/>
      <c r="G46" s="40"/>
      <c r="H46" s="35"/>
      <c r="I46" s="35"/>
      <c r="J46" s="36"/>
      <c r="K46" s="35"/>
      <c r="L46" s="35"/>
      <c r="M46" s="35"/>
      <c r="N46" s="41"/>
      <c r="O46" s="29"/>
      <c r="P46" s="30"/>
      <c r="Q46" s="30"/>
      <c r="R46" s="30"/>
      <c r="S46" s="38"/>
      <c r="T46" s="36"/>
      <c r="U46" s="30"/>
      <c r="V46" s="30"/>
      <c r="W46" s="38"/>
      <c r="X46" s="30"/>
      <c r="Y46" s="30"/>
      <c r="Z46" s="35"/>
      <c r="AA46" s="35"/>
    </row>
    <row r="47" spans="1:69" x14ac:dyDescent="0.2">
      <c r="A47" s="7"/>
      <c r="B47" s="8"/>
      <c r="C47" s="6"/>
      <c r="D47" s="17"/>
      <c r="E47" s="18"/>
      <c r="F47" s="6"/>
      <c r="G47" s="19"/>
      <c r="H47" s="6"/>
      <c r="I47" s="6"/>
      <c r="J47" s="20"/>
      <c r="K47" s="8"/>
      <c r="L47" s="8"/>
      <c r="M47" s="6"/>
      <c r="N47" s="6"/>
      <c r="O47" s="21"/>
      <c r="P47" s="22"/>
      <c r="Q47" s="22"/>
      <c r="R47" s="22"/>
      <c r="S47" s="27"/>
      <c r="V47" s="22"/>
      <c r="W47" s="27"/>
      <c r="X47" s="22"/>
      <c r="Y47" s="22"/>
      <c r="Z47" s="6"/>
      <c r="AA47" s="6"/>
    </row>
    <row r="59" spans="14:15" x14ac:dyDescent="0.2">
      <c r="N59" s="23"/>
      <c r="O59" s="24"/>
    </row>
  </sheetData>
  <pageMargins left="0.31496062992125984" right="0.19685039370078741" top="0.15748031496062992" bottom="0.15748031496062992" header="0.31496062992125984" footer="0.31496062992125984"/>
  <pageSetup paperSize="9" scale="12" orientation="landscape" r:id="rId1"/>
  <headerFooter>
    <oddFooter>&amp;R2</oddFooter>
  </headerFooter>
  <colBreaks count="1" manualBreakCount="1">
    <brk id="15" max="72" man="1"/>
  </colBreaks>
  <ignoredErrors>
    <ignoredError sqref="E24:E29 E30:E32 Z24:Z32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3"/>
  <sheetViews>
    <sheetView topLeftCell="U28" zoomScale="37" zoomScaleNormal="37" zoomScaleSheetLayoutView="10" workbookViewId="0">
      <selection activeCell="C31" sqref="C31"/>
    </sheetView>
  </sheetViews>
  <sheetFormatPr defaultRowHeight="15" x14ac:dyDescent="0.2"/>
  <cols>
    <col min="1" max="1" width="14.85546875" style="5" customWidth="1"/>
    <col min="2" max="2" width="109.5703125" style="5" customWidth="1"/>
    <col min="3" max="3" width="54.7109375" style="5" customWidth="1"/>
    <col min="4" max="4" width="54.140625" style="14" customWidth="1"/>
    <col min="5" max="5" width="62" style="12" bestFit="1" customWidth="1"/>
    <col min="6" max="6" width="114.42578125" style="5" bestFit="1" customWidth="1"/>
    <col min="7" max="7" width="176.140625" style="13" bestFit="1" customWidth="1"/>
    <col min="8" max="8" width="63" style="5" bestFit="1" customWidth="1"/>
    <col min="9" max="9" width="35" style="5" bestFit="1" customWidth="1"/>
    <col min="10" max="10" width="70.7109375" style="14" customWidth="1"/>
    <col min="11" max="11" width="119" style="5" bestFit="1" customWidth="1"/>
    <col min="12" max="12" width="51.5703125" style="5" customWidth="1"/>
    <col min="13" max="13" width="55.28515625" style="5" customWidth="1"/>
    <col min="14" max="14" width="96.42578125" style="5" bestFit="1" customWidth="1"/>
    <col min="15" max="15" width="71.85546875" style="15" customWidth="1"/>
    <col min="16" max="16" width="79" style="16" bestFit="1" customWidth="1"/>
    <col min="17" max="17" width="91.28515625" style="16" bestFit="1" customWidth="1"/>
    <col min="18" max="18" width="59.5703125" style="16" customWidth="1"/>
    <col min="19" max="19" width="55.85546875" style="26" customWidth="1"/>
    <col min="20" max="20" width="65.28515625" style="17" customWidth="1"/>
    <col min="21" max="21" width="72.7109375" style="5" bestFit="1" customWidth="1"/>
    <col min="22" max="22" width="72.42578125" style="16" customWidth="1"/>
    <col min="23" max="23" width="62.140625" style="26" customWidth="1"/>
    <col min="24" max="24" width="75.5703125" style="16" customWidth="1"/>
    <col min="25" max="25" width="65.5703125" style="16" customWidth="1"/>
    <col min="26" max="26" width="71" style="5" customWidth="1"/>
    <col min="27" max="27" width="65.5703125" style="5" customWidth="1"/>
    <col min="28" max="16384" width="9.140625" style="4"/>
  </cols>
  <sheetData>
    <row r="1" spans="1:27" s="3" customFormat="1" ht="18" x14ac:dyDescent="0.25">
      <c r="A1" s="2"/>
      <c r="B1" s="2"/>
      <c r="C1" s="2"/>
      <c r="D1" s="28"/>
      <c r="E1" s="2"/>
      <c r="F1" s="9"/>
      <c r="G1" s="10"/>
      <c r="H1" s="9"/>
      <c r="I1" s="9"/>
      <c r="J1" s="11"/>
      <c r="K1" s="9"/>
      <c r="L1" s="9"/>
      <c r="M1" s="9"/>
      <c r="N1" s="9"/>
      <c r="O1" s="9"/>
      <c r="P1" s="9"/>
      <c r="Q1" s="9"/>
      <c r="R1" s="9"/>
      <c r="S1" s="25"/>
      <c r="T1" s="9"/>
      <c r="U1" s="9"/>
      <c r="V1" s="9"/>
      <c r="W1" s="25"/>
      <c r="X1" s="9"/>
      <c r="Y1" s="9"/>
      <c r="Z1" s="9"/>
      <c r="AA1" s="9"/>
    </row>
    <row r="27" spans="1:27" s="90" customFormat="1" ht="160.5" customHeight="1" x14ac:dyDescent="0.6">
      <c r="B27" s="212" t="s">
        <v>157</v>
      </c>
      <c r="C27" s="92"/>
      <c r="D27" s="213"/>
      <c r="E27" s="93"/>
      <c r="F27" s="92"/>
      <c r="G27" s="214"/>
      <c r="H27" s="92"/>
      <c r="I27" s="92"/>
      <c r="J27" s="213"/>
      <c r="K27" s="92"/>
      <c r="L27" s="92"/>
      <c r="M27" s="92"/>
      <c r="N27" s="92"/>
      <c r="O27" s="95"/>
      <c r="P27" s="96"/>
      <c r="Q27" s="96"/>
      <c r="R27" s="96"/>
      <c r="S27" s="97"/>
      <c r="T27" s="98"/>
      <c r="U27" s="92"/>
      <c r="V27" s="96"/>
      <c r="W27" s="97"/>
      <c r="X27" s="96"/>
      <c r="Y27" s="96"/>
      <c r="Z27" s="92"/>
      <c r="AA27" s="92"/>
    </row>
    <row r="28" spans="1:27" s="100" customFormat="1" ht="160.5" customHeight="1" thickBot="1" x14ac:dyDescent="0.3">
      <c r="B28" s="101"/>
      <c r="C28" s="101"/>
      <c r="D28" s="102"/>
      <c r="E28" s="103"/>
      <c r="F28" s="101"/>
      <c r="G28" s="104"/>
      <c r="H28" s="105"/>
      <c r="I28" s="105"/>
      <c r="J28" s="106"/>
      <c r="K28" s="107"/>
      <c r="L28" s="108"/>
      <c r="M28" s="105"/>
      <c r="N28" s="108"/>
      <c r="O28" s="109"/>
      <c r="P28" s="110"/>
      <c r="Q28" s="110"/>
      <c r="R28" s="110"/>
      <c r="S28" s="111"/>
      <c r="T28" s="112"/>
      <c r="U28" s="101"/>
      <c r="V28" s="110"/>
      <c r="W28" s="111"/>
      <c r="X28" s="110"/>
      <c r="Y28" s="110"/>
      <c r="Z28" s="101"/>
      <c r="AA28" s="101"/>
    </row>
    <row r="29" spans="1:27" s="101" customFormat="1" ht="160.5" customHeight="1" x14ac:dyDescent="0.25">
      <c r="A29" s="113">
        <v>1</v>
      </c>
      <c r="B29" s="114">
        <v>2</v>
      </c>
      <c r="C29" s="114">
        <v>3</v>
      </c>
      <c r="D29" s="115">
        <v>4</v>
      </c>
      <c r="E29" s="114">
        <v>5</v>
      </c>
      <c r="F29" s="114">
        <v>6</v>
      </c>
      <c r="G29" s="116">
        <v>7</v>
      </c>
      <c r="H29" s="114">
        <v>8</v>
      </c>
      <c r="I29" s="278">
        <v>9</v>
      </c>
      <c r="J29" s="114">
        <v>10</v>
      </c>
      <c r="K29" s="114">
        <v>11</v>
      </c>
      <c r="L29" s="114">
        <v>12</v>
      </c>
      <c r="M29" s="114">
        <v>13</v>
      </c>
      <c r="N29" s="114">
        <v>14</v>
      </c>
      <c r="O29" s="114">
        <v>15</v>
      </c>
      <c r="P29" s="114">
        <v>16</v>
      </c>
      <c r="Q29" s="114">
        <v>17</v>
      </c>
      <c r="R29" s="114">
        <v>18</v>
      </c>
      <c r="S29" s="114">
        <v>19</v>
      </c>
      <c r="T29" s="114">
        <v>20</v>
      </c>
      <c r="U29" s="114">
        <v>21</v>
      </c>
      <c r="V29" s="114">
        <v>22</v>
      </c>
      <c r="W29" s="115">
        <v>23</v>
      </c>
      <c r="X29" s="114">
        <v>24</v>
      </c>
      <c r="Y29" s="114">
        <v>25</v>
      </c>
      <c r="Z29" s="114">
        <v>26</v>
      </c>
      <c r="AA29" s="117">
        <v>27</v>
      </c>
    </row>
    <row r="30" spans="1:27" s="128" customFormat="1" ht="160.5" customHeight="1" thickBot="1" x14ac:dyDescent="0.3">
      <c r="A30" s="118" t="s">
        <v>0</v>
      </c>
      <c r="B30" s="119" t="s">
        <v>1</v>
      </c>
      <c r="C30" s="120" t="s">
        <v>2</v>
      </c>
      <c r="D30" s="121" t="s">
        <v>3</v>
      </c>
      <c r="E30" s="122" t="s">
        <v>4</v>
      </c>
      <c r="F30" s="120" t="s">
        <v>5</v>
      </c>
      <c r="G30" s="329" t="s">
        <v>6</v>
      </c>
      <c r="H30" s="330" t="s">
        <v>7</v>
      </c>
      <c r="I30" s="120" t="s">
        <v>8</v>
      </c>
      <c r="J30" s="331" t="s">
        <v>9</v>
      </c>
      <c r="K30" s="119" t="s">
        <v>10</v>
      </c>
      <c r="L30" s="119" t="s">
        <v>11</v>
      </c>
      <c r="M30" s="120" t="s">
        <v>12</v>
      </c>
      <c r="N30" s="120" t="s">
        <v>13</v>
      </c>
      <c r="O30" s="124" t="s">
        <v>14</v>
      </c>
      <c r="P30" s="125" t="s">
        <v>27</v>
      </c>
      <c r="Q30" s="125" t="s">
        <v>39</v>
      </c>
      <c r="R30" s="125" t="s">
        <v>15</v>
      </c>
      <c r="S30" s="126" t="s">
        <v>16</v>
      </c>
      <c r="T30" s="121" t="s">
        <v>17</v>
      </c>
      <c r="U30" s="120" t="s">
        <v>18</v>
      </c>
      <c r="V30" s="125" t="s">
        <v>19</v>
      </c>
      <c r="W30" s="126" t="s">
        <v>20</v>
      </c>
      <c r="X30" s="125" t="s">
        <v>21</v>
      </c>
      <c r="Y30" s="125" t="s">
        <v>22</v>
      </c>
      <c r="Z30" s="120" t="s">
        <v>24</v>
      </c>
      <c r="AA30" s="127" t="s">
        <v>23</v>
      </c>
    </row>
    <row r="31" spans="1:27" s="92" customFormat="1" ht="160.5" customHeight="1" x14ac:dyDescent="0.55000000000000004">
      <c r="A31" s="266">
        <v>1</v>
      </c>
      <c r="B31" s="332" t="s">
        <v>86</v>
      </c>
      <c r="C31" s="229" t="s">
        <v>53</v>
      </c>
      <c r="D31" s="333" t="s">
        <v>53</v>
      </c>
      <c r="E31" s="229" t="s">
        <v>40</v>
      </c>
      <c r="F31" s="229" t="s">
        <v>40</v>
      </c>
      <c r="G31" s="334" t="s">
        <v>56</v>
      </c>
      <c r="H31" s="228" t="s">
        <v>34</v>
      </c>
      <c r="I31" s="228">
        <v>27090000</v>
      </c>
      <c r="J31" s="230">
        <v>41703</v>
      </c>
      <c r="K31" s="229" t="s">
        <v>68</v>
      </c>
      <c r="L31" s="267" t="s">
        <v>32</v>
      </c>
      <c r="M31" s="228" t="s">
        <v>60</v>
      </c>
      <c r="N31" s="268" t="s">
        <v>115</v>
      </c>
      <c r="O31" s="269">
        <v>600000</v>
      </c>
      <c r="P31" s="270">
        <f t="shared" ref="P31" si="0">O31*S31</f>
        <v>66738000</v>
      </c>
      <c r="Q31" s="270">
        <f t="shared" ref="Q31" si="1">P31*W31</f>
        <v>10393776120</v>
      </c>
      <c r="R31" s="270" t="s">
        <v>25</v>
      </c>
      <c r="S31" s="249">
        <v>111.23</v>
      </c>
      <c r="T31" s="271">
        <f t="shared" ref="T31" si="2">J31+90</f>
        <v>41793</v>
      </c>
      <c r="U31" s="272" t="s">
        <v>40</v>
      </c>
      <c r="V31" s="270">
        <f t="shared" ref="V31" si="3">P31*0.12%</f>
        <v>80085.599999999991</v>
      </c>
      <c r="W31" s="249">
        <v>155.74</v>
      </c>
      <c r="X31" s="270">
        <f t="shared" ref="X31" si="4">V31*W31</f>
        <v>12472531.343999999</v>
      </c>
      <c r="Y31" s="270" t="s">
        <v>40</v>
      </c>
      <c r="Z31" s="229" t="s">
        <v>40</v>
      </c>
      <c r="AA31" s="273" t="s">
        <v>40</v>
      </c>
    </row>
    <row r="32" spans="1:27" s="92" customFormat="1" ht="160.5" customHeight="1" x14ac:dyDescent="0.55000000000000004">
      <c r="A32" s="206">
        <v>2</v>
      </c>
      <c r="B32" s="142" t="s">
        <v>87</v>
      </c>
      <c r="C32" s="133" t="s">
        <v>53</v>
      </c>
      <c r="D32" s="138" t="s">
        <v>53</v>
      </c>
      <c r="E32" s="133" t="s">
        <v>40</v>
      </c>
      <c r="F32" s="133" t="s">
        <v>40</v>
      </c>
      <c r="G32" s="143" t="s">
        <v>56</v>
      </c>
      <c r="H32" s="134" t="s">
        <v>34</v>
      </c>
      <c r="I32" s="134">
        <v>27090000</v>
      </c>
      <c r="J32" s="135">
        <v>41703</v>
      </c>
      <c r="K32" s="133" t="s">
        <v>68</v>
      </c>
      <c r="L32" s="146" t="s">
        <v>32</v>
      </c>
      <c r="M32" s="134" t="s">
        <v>60</v>
      </c>
      <c r="N32" s="155" t="s">
        <v>115</v>
      </c>
      <c r="O32" s="148">
        <v>399179</v>
      </c>
      <c r="P32" s="140">
        <f t="shared" ref="P32:P48" si="5">O32*S32</f>
        <v>44400680.170000002</v>
      </c>
      <c r="Q32" s="140">
        <f t="shared" ref="Q32" si="6">P32*W32</f>
        <v>6914961929.6758003</v>
      </c>
      <c r="R32" s="140" t="s">
        <v>25</v>
      </c>
      <c r="S32" s="139">
        <v>111.23</v>
      </c>
      <c r="T32" s="150">
        <f t="shared" ref="T32" si="7">J32+90</f>
        <v>41793</v>
      </c>
      <c r="U32" s="156" t="s">
        <v>40</v>
      </c>
      <c r="V32" s="140">
        <f t="shared" ref="V32" si="8">P32*0.12%</f>
        <v>53280.816203999995</v>
      </c>
      <c r="W32" s="139">
        <v>155.74</v>
      </c>
      <c r="X32" s="140">
        <f t="shared" ref="X32" si="9">V32*W32</f>
        <v>8297954.3156109601</v>
      </c>
      <c r="Y32" s="140" t="s">
        <v>40</v>
      </c>
      <c r="Z32" s="133" t="s">
        <v>40</v>
      </c>
      <c r="AA32" s="215" t="s">
        <v>40</v>
      </c>
    </row>
    <row r="33" spans="1:27" s="92" customFormat="1" ht="160.5" customHeight="1" x14ac:dyDescent="0.55000000000000004">
      <c r="A33" s="206">
        <v>3</v>
      </c>
      <c r="B33" s="142" t="s">
        <v>89</v>
      </c>
      <c r="C33" s="133" t="s">
        <v>53</v>
      </c>
      <c r="D33" s="138" t="s">
        <v>53</v>
      </c>
      <c r="E33" s="133" t="s">
        <v>40</v>
      </c>
      <c r="F33" s="133" t="s">
        <v>40</v>
      </c>
      <c r="G33" s="143" t="s">
        <v>38</v>
      </c>
      <c r="H33" s="134" t="s">
        <v>34</v>
      </c>
      <c r="I33" s="134">
        <v>27090000</v>
      </c>
      <c r="J33" s="135">
        <v>41705</v>
      </c>
      <c r="K33" s="133" t="s">
        <v>69</v>
      </c>
      <c r="L33" s="146" t="s">
        <v>32</v>
      </c>
      <c r="M33" s="134" t="s">
        <v>126</v>
      </c>
      <c r="N33" s="155" t="s">
        <v>116</v>
      </c>
      <c r="O33" s="148">
        <v>199451</v>
      </c>
      <c r="P33" s="140">
        <f t="shared" si="5"/>
        <v>22068455.346000001</v>
      </c>
      <c r="Q33" s="140">
        <f t="shared" ref="Q33:Q48" si="10">P33*W33</f>
        <v>3436941235.5860405</v>
      </c>
      <c r="R33" s="140" t="s">
        <v>25</v>
      </c>
      <c r="S33" s="139">
        <v>110.646</v>
      </c>
      <c r="T33" s="150">
        <f t="shared" ref="T33:T48" si="11">J33+90</f>
        <v>41795</v>
      </c>
      <c r="U33" s="156" t="s">
        <v>40</v>
      </c>
      <c r="V33" s="140">
        <f t="shared" ref="V33:V48" si="12">P33*0.12%</f>
        <v>26482.146415199997</v>
      </c>
      <c r="W33" s="139">
        <v>155.74</v>
      </c>
      <c r="X33" s="140">
        <f t="shared" ref="X33:X48" si="13">V33*W33</f>
        <v>4124329.4827032476</v>
      </c>
      <c r="Y33" s="140" t="s">
        <v>40</v>
      </c>
      <c r="Z33" s="133" t="s">
        <v>40</v>
      </c>
      <c r="AA33" s="215" t="s">
        <v>40</v>
      </c>
    </row>
    <row r="34" spans="1:27" s="92" customFormat="1" ht="160.5" customHeight="1" x14ac:dyDescent="0.55000000000000004">
      <c r="A34" s="206">
        <v>4</v>
      </c>
      <c r="B34" s="142" t="s">
        <v>90</v>
      </c>
      <c r="C34" s="133" t="s">
        <v>53</v>
      </c>
      <c r="D34" s="138" t="s">
        <v>53</v>
      </c>
      <c r="E34" s="133" t="s">
        <v>40</v>
      </c>
      <c r="F34" s="133" t="s">
        <v>40</v>
      </c>
      <c r="G34" s="143" t="s">
        <v>35</v>
      </c>
      <c r="H34" s="134" t="s">
        <v>33</v>
      </c>
      <c r="I34" s="134">
        <v>27090000</v>
      </c>
      <c r="J34" s="135">
        <v>41707</v>
      </c>
      <c r="K34" s="133" t="s">
        <v>70</v>
      </c>
      <c r="L34" s="146" t="s">
        <v>31</v>
      </c>
      <c r="M34" s="134" t="s">
        <v>44</v>
      </c>
      <c r="N34" s="155" t="s">
        <v>117</v>
      </c>
      <c r="O34" s="148">
        <v>906087</v>
      </c>
      <c r="P34" s="140">
        <f t="shared" si="5"/>
        <v>100307455.248</v>
      </c>
      <c r="Q34" s="140">
        <f t="shared" si="10"/>
        <v>15621883080.323521</v>
      </c>
      <c r="R34" s="140" t="s">
        <v>25</v>
      </c>
      <c r="S34" s="139">
        <v>110.70399999999999</v>
      </c>
      <c r="T34" s="150">
        <f t="shared" si="11"/>
        <v>41797</v>
      </c>
      <c r="U34" s="156" t="s">
        <v>40</v>
      </c>
      <c r="V34" s="140">
        <f t="shared" si="12"/>
        <v>120368.94629759998</v>
      </c>
      <c r="W34" s="139">
        <v>155.74</v>
      </c>
      <c r="X34" s="140">
        <f t="shared" si="13"/>
        <v>18746259.696388222</v>
      </c>
      <c r="Y34" s="140" t="s">
        <v>40</v>
      </c>
      <c r="Z34" s="133" t="s">
        <v>40</v>
      </c>
      <c r="AA34" s="215" t="s">
        <v>40</v>
      </c>
    </row>
    <row r="35" spans="1:27" s="92" customFormat="1" ht="160.5" customHeight="1" x14ac:dyDescent="0.55000000000000004">
      <c r="A35" s="206">
        <v>5</v>
      </c>
      <c r="B35" s="142" t="s">
        <v>91</v>
      </c>
      <c r="C35" s="133" t="s">
        <v>53</v>
      </c>
      <c r="D35" s="138" t="s">
        <v>53</v>
      </c>
      <c r="E35" s="133" t="s">
        <v>40</v>
      </c>
      <c r="F35" s="133" t="s">
        <v>40</v>
      </c>
      <c r="G35" s="143" t="s">
        <v>35</v>
      </c>
      <c r="H35" s="134" t="s">
        <v>33</v>
      </c>
      <c r="I35" s="134">
        <v>27090000</v>
      </c>
      <c r="J35" s="135">
        <v>41710</v>
      </c>
      <c r="K35" s="133" t="s">
        <v>71</v>
      </c>
      <c r="L35" s="146" t="s">
        <v>31</v>
      </c>
      <c r="M35" s="134" t="s">
        <v>44</v>
      </c>
      <c r="N35" s="155" t="s">
        <v>51</v>
      </c>
      <c r="O35" s="148">
        <v>949586</v>
      </c>
      <c r="P35" s="140">
        <f t="shared" si="5"/>
        <v>104450661.65599999</v>
      </c>
      <c r="Q35" s="140">
        <f t="shared" si="10"/>
        <v>16267146046.305439</v>
      </c>
      <c r="R35" s="140" t="s">
        <v>25</v>
      </c>
      <c r="S35" s="139">
        <v>109.996</v>
      </c>
      <c r="T35" s="150">
        <f t="shared" si="11"/>
        <v>41800</v>
      </c>
      <c r="U35" s="156" t="s">
        <v>40</v>
      </c>
      <c r="V35" s="140">
        <f t="shared" si="12"/>
        <v>125340.79398719997</v>
      </c>
      <c r="W35" s="139">
        <v>155.74</v>
      </c>
      <c r="X35" s="140">
        <f t="shared" si="13"/>
        <v>19520575.255566526</v>
      </c>
      <c r="Y35" s="140" t="s">
        <v>40</v>
      </c>
      <c r="Z35" s="133" t="s">
        <v>40</v>
      </c>
      <c r="AA35" s="215" t="s">
        <v>40</v>
      </c>
    </row>
    <row r="36" spans="1:27" s="92" customFormat="1" ht="160.5" customHeight="1" x14ac:dyDescent="0.55000000000000004">
      <c r="A36" s="206">
        <v>6</v>
      </c>
      <c r="B36" s="142" t="s">
        <v>92</v>
      </c>
      <c r="C36" s="133" t="s">
        <v>53</v>
      </c>
      <c r="D36" s="138" t="s">
        <v>53</v>
      </c>
      <c r="E36" s="133" t="s">
        <v>40</v>
      </c>
      <c r="F36" s="133" t="s">
        <v>40</v>
      </c>
      <c r="G36" s="143" t="s">
        <v>38</v>
      </c>
      <c r="H36" s="134" t="s">
        <v>34</v>
      </c>
      <c r="I36" s="134">
        <v>27090000</v>
      </c>
      <c r="J36" s="135">
        <v>41711</v>
      </c>
      <c r="K36" s="133" t="s">
        <v>72</v>
      </c>
      <c r="L36" s="146" t="s">
        <v>32</v>
      </c>
      <c r="M36" s="134" t="s">
        <v>36</v>
      </c>
      <c r="N36" s="155" t="s">
        <v>118</v>
      </c>
      <c r="O36" s="148">
        <v>90000</v>
      </c>
      <c r="P36" s="140">
        <f t="shared" si="5"/>
        <v>9895320</v>
      </c>
      <c r="Q36" s="140">
        <f t="shared" si="10"/>
        <v>1541097136.8000002</v>
      </c>
      <c r="R36" s="140" t="s">
        <v>25</v>
      </c>
      <c r="S36" s="139">
        <v>109.94799999999999</v>
      </c>
      <c r="T36" s="150">
        <f t="shared" si="11"/>
        <v>41801</v>
      </c>
      <c r="U36" s="156" t="s">
        <v>40</v>
      </c>
      <c r="V36" s="140">
        <f t="shared" si="12"/>
        <v>11874.383999999998</v>
      </c>
      <c r="W36" s="139">
        <v>155.74</v>
      </c>
      <c r="X36" s="140">
        <f t="shared" si="13"/>
        <v>1849316.5641599998</v>
      </c>
      <c r="Y36" s="140" t="s">
        <v>40</v>
      </c>
      <c r="Z36" s="133" t="s">
        <v>40</v>
      </c>
      <c r="AA36" s="215" t="s">
        <v>40</v>
      </c>
    </row>
    <row r="37" spans="1:27" s="92" customFormat="1" ht="160.5" customHeight="1" x14ac:dyDescent="0.55000000000000004">
      <c r="A37" s="206">
        <v>7</v>
      </c>
      <c r="B37" s="142" t="s">
        <v>93</v>
      </c>
      <c r="C37" s="133" t="s">
        <v>53</v>
      </c>
      <c r="D37" s="138" t="s">
        <v>53</v>
      </c>
      <c r="E37" s="133" t="s">
        <v>144</v>
      </c>
      <c r="F37" s="133" t="s">
        <v>145</v>
      </c>
      <c r="G37" s="143" t="s">
        <v>114</v>
      </c>
      <c r="H37" s="134" t="s">
        <v>34</v>
      </c>
      <c r="I37" s="134">
        <v>27090000</v>
      </c>
      <c r="J37" s="135">
        <v>41711</v>
      </c>
      <c r="K37" s="133" t="s">
        <v>72</v>
      </c>
      <c r="L37" s="146" t="s">
        <v>32</v>
      </c>
      <c r="M37" s="134" t="s">
        <v>36</v>
      </c>
      <c r="N37" s="155" t="s">
        <v>118</v>
      </c>
      <c r="O37" s="148">
        <v>905800</v>
      </c>
      <c r="P37" s="140">
        <f t="shared" si="5"/>
        <v>99590898.399999991</v>
      </c>
      <c r="Q37" s="140">
        <f t="shared" si="10"/>
        <v>15510286516.816</v>
      </c>
      <c r="R37" s="140" t="s">
        <v>25</v>
      </c>
      <c r="S37" s="139">
        <v>109.94799999999999</v>
      </c>
      <c r="T37" s="150">
        <f t="shared" si="11"/>
        <v>41801</v>
      </c>
      <c r="U37" s="156" t="s">
        <v>40</v>
      </c>
      <c r="V37" s="140">
        <f t="shared" si="12"/>
        <v>119509.07807999998</v>
      </c>
      <c r="W37" s="139">
        <v>155.74</v>
      </c>
      <c r="X37" s="140">
        <f t="shared" si="13"/>
        <v>18612343.820179198</v>
      </c>
      <c r="Y37" s="140" t="s">
        <v>40</v>
      </c>
      <c r="Z37" s="133" t="s">
        <v>40</v>
      </c>
      <c r="AA37" s="141" t="s">
        <v>40</v>
      </c>
    </row>
    <row r="38" spans="1:27" s="92" customFormat="1" ht="160.5" customHeight="1" x14ac:dyDescent="0.55000000000000004">
      <c r="A38" s="206">
        <v>8</v>
      </c>
      <c r="B38" s="142" t="s">
        <v>95</v>
      </c>
      <c r="C38" s="133" t="s">
        <v>53</v>
      </c>
      <c r="D38" s="138" t="s">
        <v>53</v>
      </c>
      <c r="E38" s="133" t="s">
        <v>147</v>
      </c>
      <c r="F38" s="133" t="s">
        <v>49</v>
      </c>
      <c r="G38" s="143" t="s">
        <v>46</v>
      </c>
      <c r="H38" s="134" t="s">
        <v>34</v>
      </c>
      <c r="I38" s="134">
        <v>27090000</v>
      </c>
      <c r="J38" s="135">
        <v>41714</v>
      </c>
      <c r="K38" s="133" t="s">
        <v>74</v>
      </c>
      <c r="L38" s="146" t="s">
        <v>32</v>
      </c>
      <c r="M38" s="134" t="s">
        <v>44</v>
      </c>
      <c r="N38" s="155" t="s">
        <v>51</v>
      </c>
      <c r="O38" s="148">
        <v>85950</v>
      </c>
      <c r="P38" s="140">
        <f t="shared" si="5"/>
        <v>9408001.0500000007</v>
      </c>
      <c r="Q38" s="140">
        <f t="shared" si="10"/>
        <v>1465202083.5270002</v>
      </c>
      <c r="R38" s="140" t="s">
        <v>25</v>
      </c>
      <c r="S38" s="139">
        <v>109.459</v>
      </c>
      <c r="T38" s="150">
        <f t="shared" si="11"/>
        <v>41804</v>
      </c>
      <c r="U38" s="156" t="s">
        <v>49</v>
      </c>
      <c r="V38" s="140">
        <f t="shared" si="12"/>
        <v>11289.601259999999</v>
      </c>
      <c r="W38" s="139">
        <v>155.74</v>
      </c>
      <c r="X38" s="140">
        <f t="shared" si="13"/>
        <v>1758242.5002323999</v>
      </c>
      <c r="Y38" s="140">
        <v>1678693.75</v>
      </c>
      <c r="Z38" s="133" t="s">
        <v>156</v>
      </c>
      <c r="AA38" s="141">
        <v>41705</v>
      </c>
    </row>
    <row r="39" spans="1:27" s="92" customFormat="1" ht="160.5" customHeight="1" x14ac:dyDescent="0.55000000000000004">
      <c r="A39" s="206">
        <v>9</v>
      </c>
      <c r="B39" s="142" t="s">
        <v>96</v>
      </c>
      <c r="C39" s="133" t="s">
        <v>53</v>
      </c>
      <c r="D39" s="138" t="s">
        <v>53</v>
      </c>
      <c r="E39" s="133" t="s">
        <v>40</v>
      </c>
      <c r="F39" s="133" t="s">
        <v>40</v>
      </c>
      <c r="G39" s="143" t="s">
        <v>54</v>
      </c>
      <c r="H39" s="134" t="s">
        <v>34</v>
      </c>
      <c r="I39" s="134">
        <v>27090000</v>
      </c>
      <c r="J39" s="135">
        <v>41714</v>
      </c>
      <c r="K39" s="133" t="s">
        <v>74</v>
      </c>
      <c r="L39" s="146" t="s">
        <v>32</v>
      </c>
      <c r="M39" s="134" t="s">
        <v>44</v>
      </c>
      <c r="N39" s="155" t="s">
        <v>51</v>
      </c>
      <c r="O39" s="148">
        <v>100000</v>
      </c>
      <c r="P39" s="140">
        <f t="shared" si="5"/>
        <v>10945900</v>
      </c>
      <c r="Q39" s="140">
        <f t="shared" si="10"/>
        <v>1704714466</v>
      </c>
      <c r="R39" s="140" t="s">
        <v>25</v>
      </c>
      <c r="S39" s="139">
        <v>109.459</v>
      </c>
      <c r="T39" s="150">
        <f t="shared" si="11"/>
        <v>41804</v>
      </c>
      <c r="U39" s="156" t="s">
        <v>40</v>
      </c>
      <c r="V39" s="140">
        <f t="shared" si="12"/>
        <v>13135.079999999998</v>
      </c>
      <c r="W39" s="139">
        <v>155.74</v>
      </c>
      <c r="X39" s="140">
        <f t="shared" si="13"/>
        <v>2045657.3591999998</v>
      </c>
      <c r="Y39" s="140" t="s">
        <v>40</v>
      </c>
      <c r="Z39" s="133" t="s">
        <v>40</v>
      </c>
      <c r="AA39" s="141" t="s">
        <v>40</v>
      </c>
    </row>
    <row r="40" spans="1:27" s="92" customFormat="1" ht="160.5" customHeight="1" x14ac:dyDescent="0.55000000000000004">
      <c r="A40" s="206">
        <v>10</v>
      </c>
      <c r="B40" s="142" t="s">
        <v>97</v>
      </c>
      <c r="C40" s="133" t="s">
        <v>53</v>
      </c>
      <c r="D40" s="138" t="s">
        <v>53</v>
      </c>
      <c r="E40" s="133" t="s">
        <v>40</v>
      </c>
      <c r="F40" s="133" t="s">
        <v>40</v>
      </c>
      <c r="G40" s="143" t="s">
        <v>47</v>
      </c>
      <c r="H40" s="134" t="s">
        <v>34</v>
      </c>
      <c r="I40" s="134">
        <v>27090000</v>
      </c>
      <c r="J40" s="135">
        <v>41714</v>
      </c>
      <c r="K40" s="133" t="s">
        <v>74</v>
      </c>
      <c r="L40" s="146" t="s">
        <v>32</v>
      </c>
      <c r="M40" s="134" t="s">
        <v>44</v>
      </c>
      <c r="N40" s="155" t="s">
        <v>51</v>
      </c>
      <c r="O40" s="148">
        <v>767870</v>
      </c>
      <c r="P40" s="140">
        <f t="shared" si="5"/>
        <v>84050282.329999998</v>
      </c>
      <c r="Q40" s="140">
        <f t="shared" si="10"/>
        <v>13089990970.0742</v>
      </c>
      <c r="R40" s="140" t="s">
        <v>25</v>
      </c>
      <c r="S40" s="139">
        <v>109.459</v>
      </c>
      <c r="T40" s="150">
        <f t="shared" si="11"/>
        <v>41804</v>
      </c>
      <c r="U40" s="156" t="s">
        <v>40</v>
      </c>
      <c r="V40" s="140">
        <f t="shared" si="12"/>
        <v>100860.33879599998</v>
      </c>
      <c r="W40" s="139">
        <v>155.74</v>
      </c>
      <c r="X40" s="140">
        <f t="shared" si="13"/>
        <v>15707989.164089039</v>
      </c>
      <c r="Y40" s="140" t="s">
        <v>40</v>
      </c>
      <c r="Z40" s="133" t="s">
        <v>40</v>
      </c>
      <c r="AA40" s="215" t="s">
        <v>40</v>
      </c>
    </row>
    <row r="41" spans="1:27" s="92" customFormat="1" ht="160.5" customHeight="1" x14ac:dyDescent="0.55000000000000004">
      <c r="A41" s="206">
        <v>11</v>
      </c>
      <c r="B41" s="142" t="s">
        <v>98</v>
      </c>
      <c r="C41" s="133" t="s">
        <v>53</v>
      </c>
      <c r="D41" s="138" t="s">
        <v>53</v>
      </c>
      <c r="E41" s="133" t="s">
        <v>40</v>
      </c>
      <c r="F41" s="133" t="s">
        <v>40</v>
      </c>
      <c r="G41" s="143" t="s">
        <v>35</v>
      </c>
      <c r="H41" s="134" t="s">
        <v>33</v>
      </c>
      <c r="I41" s="130">
        <v>27090000</v>
      </c>
      <c r="J41" s="135">
        <v>41715</v>
      </c>
      <c r="K41" s="133" t="s">
        <v>75</v>
      </c>
      <c r="L41" s="146" t="s">
        <v>31</v>
      </c>
      <c r="M41" s="134" t="s">
        <v>127</v>
      </c>
      <c r="N41" s="155" t="s">
        <v>120</v>
      </c>
      <c r="O41" s="148">
        <v>948456</v>
      </c>
      <c r="P41" s="140">
        <f t="shared" si="5"/>
        <v>103419642.24000001</v>
      </c>
      <c r="Q41" s="140">
        <f t="shared" si="10"/>
        <v>16106575082.457602</v>
      </c>
      <c r="R41" s="140" t="s">
        <v>25</v>
      </c>
      <c r="S41" s="139">
        <v>109.04</v>
      </c>
      <c r="T41" s="150">
        <f t="shared" si="11"/>
        <v>41805</v>
      </c>
      <c r="U41" s="156" t="s">
        <v>40</v>
      </c>
      <c r="V41" s="140">
        <f t="shared" si="12"/>
        <v>124103.57068800001</v>
      </c>
      <c r="W41" s="139">
        <v>155.74</v>
      </c>
      <c r="X41" s="140">
        <f t="shared" si="13"/>
        <v>19327890.098949123</v>
      </c>
      <c r="Y41" s="140" t="s">
        <v>40</v>
      </c>
      <c r="Z41" s="133" t="s">
        <v>40</v>
      </c>
      <c r="AA41" s="141" t="s">
        <v>40</v>
      </c>
    </row>
    <row r="42" spans="1:27" s="92" customFormat="1" ht="160.5" customHeight="1" x14ac:dyDescent="0.55000000000000004">
      <c r="A42" s="206">
        <v>12</v>
      </c>
      <c r="B42" s="142" t="s">
        <v>106</v>
      </c>
      <c r="C42" s="133" t="s">
        <v>53</v>
      </c>
      <c r="D42" s="138" t="s">
        <v>53</v>
      </c>
      <c r="E42" s="133" t="s">
        <v>40</v>
      </c>
      <c r="F42" s="133" t="s">
        <v>40</v>
      </c>
      <c r="G42" s="143" t="s">
        <v>38</v>
      </c>
      <c r="H42" s="134" t="s">
        <v>34</v>
      </c>
      <c r="I42" s="130">
        <v>27090000</v>
      </c>
      <c r="J42" s="135">
        <v>41722</v>
      </c>
      <c r="K42" s="133" t="s">
        <v>80</v>
      </c>
      <c r="L42" s="146" t="s">
        <v>32</v>
      </c>
      <c r="M42" s="134" t="s">
        <v>129</v>
      </c>
      <c r="N42" s="155" t="s">
        <v>123</v>
      </c>
      <c r="O42" s="148">
        <v>953980</v>
      </c>
      <c r="P42" s="140">
        <f t="shared" si="5"/>
        <v>103696672.02</v>
      </c>
      <c r="Q42" s="140">
        <f t="shared" si="10"/>
        <v>16149719700.3948</v>
      </c>
      <c r="R42" s="140" t="s">
        <v>25</v>
      </c>
      <c r="S42" s="139">
        <v>108.699</v>
      </c>
      <c r="T42" s="150">
        <f t="shared" si="11"/>
        <v>41812</v>
      </c>
      <c r="U42" s="156" t="s">
        <v>40</v>
      </c>
      <c r="V42" s="140">
        <f t="shared" si="12"/>
        <v>124436.00642399998</v>
      </c>
      <c r="W42" s="139">
        <v>155.74</v>
      </c>
      <c r="X42" s="140">
        <f t="shared" si="13"/>
        <v>19379663.640473757</v>
      </c>
      <c r="Y42" s="140" t="s">
        <v>40</v>
      </c>
      <c r="Z42" s="133" t="s">
        <v>40</v>
      </c>
      <c r="AA42" s="215" t="s">
        <v>40</v>
      </c>
    </row>
    <row r="43" spans="1:27" s="92" customFormat="1" ht="160.5" customHeight="1" x14ac:dyDescent="0.55000000000000004">
      <c r="A43" s="206">
        <v>13</v>
      </c>
      <c r="B43" s="142" t="s">
        <v>107</v>
      </c>
      <c r="C43" s="133" t="s">
        <v>53</v>
      </c>
      <c r="D43" s="138" t="s">
        <v>53</v>
      </c>
      <c r="E43" s="133" t="s">
        <v>40</v>
      </c>
      <c r="F43" s="133" t="s">
        <v>40</v>
      </c>
      <c r="G43" s="143" t="s">
        <v>38</v>
      </c>
      <c r="H43" s="134" t="s">
        <v>33</v>
      </c>
      <c r="I43" s="130">
        <v>27090000</v>
      </c>
      <c r="J43" s="135">
        <v>41724</v>
      </c>
      <c r="K43" s="133" t="s">
        <v>81</v>
      </c>
      <c r="L43" s="146" t="s">
        <v>31</v>
      </c>
      <c r="M43" s="134" t="s">
        <v>63</v>
      </c>
      <c r="N43" s="155" t="s">
        <v>64</v>
      </c>
      <c r="O43" s="148">
        <v>997562</v>
      </c>
      <c r="P43" s="140">
        <f t="shared" si="5"/>
        <v>108304308.778</v>
      </c>
      <c r="Q43" s="140">
        <f t="shared" si="10"/>
        <v>16867313049.08572</v>
      </c>
      <c r="R43" s="140" t="s">
        <v>25</v>
      </c>
      <c r="S43" s="139">
        <v>108.569</v>
      </c>
      <c r="T43" s="150">
        <f t="shared" si="11"/>
        <v>41814</v>
      </c>
      <c r="U43" s="156" t="s">
        <v>40</v>
      </c>
      <c r="V43" s="140">
        <f t="shared" si="12"/>
        <v>129965.17053359999</v>
      </c>
      <c r="W43" s="139">
        <v>155.74</v>
      </c>
      <c r="X43" s="140">
        <f t="shared" si="13"/>
        <v>20240775.658902865</v>
      </c>
      <c r="Y43" s="140" t="s">
        <v>40</v>
      </c>
      <c r="Z43" s="133" t="s">
        <v>40</v>
      </c>
      <c r="AA43" s="215" t="s">
        <v>40</v>
      </c>
    </row>
    <row r="44" spans="1:27" s="92" customFormat="1" ht="160.5" customHeight="1" x14ac:dyDescent="0.55000000000000004">
      <c r="A44" s="206">
        <v>14</v>
      </c>
      <c r="B44" s="142" t="s">
        <v>108</v>
      </c>
      <c r="C44" s="133" t="s">
        <v>53</v>
      </c>
      <c r="D44" s="138" t="s">
        <v>53</v>
      </c>
      <c r="E44" s="133" t="s">
        <v>40</v>
      </c>
      <c r="F44" s="133" t="s">
        <v>40</v>
      </c>
      <c r="G44" s="143" t="s">
        <v>55</v>
      </c>
      <c r="H44" s="134" t="s">
        <v>34</v>
      </c>
      <c r="I44" s="130">
        <v>27090000</v>
      </c>
      <c r="J44" s="135">
        <v>41725</v>
      </c>
      <c r="K44" s="133" t="s">
        <v>82</v>
      </c>
      <c r="L44" s="146" t="s">
        <v>32</v>
      </c>
      <c r="M44" s="134" t="s">
        <v>44</v>
      </c>
      <c r="N44" s="155" t="s">
        <v>51</v>
      </c>
      <c r="O44" s="148">
        <v>167125</v>
      </c>
      <c r="P44" s="140">
        <f t="shared" si="5"/>
        <v>18145931.125</v>
      </c>
      <c r="Q44" s="140">
        <f t="shared" si="10"/>
        <v>2826047313.4075003</v>
      </c>
      <c r="R44" s="140" t="s">
        <v>25</v>
      </c>
      <c r="S44" s="139">
        <v>108.577</v>
      </c>
      <c r="T44" s="150">
        <f t="shared" si="11"/>
        <v>41815</v>
      </c>
      <c r="U44" s="156" t="s">
        <v>40</v>
      </c>
      <c r="V44" s="140">
        <f t="shared" si="12"/>
        <v>21775.117349999997</v>
      </c>
      <c r="W44" s="139">
        <v>155.74</v>
      </c>
      <c r="X44" s="140">
        <f t="shared" si="13"/>
        <v>3391256.7760889996</v>
      </c>
      <c r="Y44" s="140" t="s">
        <v>40</v>
      </c>
      <c r="Z44" s="133" t="s">
        <v>40</v>
      </c>
      <c r="AA44" s="215" t="s">
        <v>40</v>
      </c>
    </row>
    <row r="45" spans="1:27" s="92" customFormat="1" ht="160.5" customHeight="1" x14ac:dyDescent="0.55000000000000004">
      <c r="A45" s="206">
        <v>15</v>
      </c>
      <c r="B45" s="142" t="s">
        <v>109</v>
      </c>
      <c r="C45" s="133" t="s">
        <v>53</v>
      </c>
      <c r="D45" s="138" t="s">
        <v>53</v>
      </c>
      <c r="E45" s="133" t="s">
        <v>40</v>
      </c>
      <c r="F45" s="133" t="s">
        <v>40</v>
      </c>
      <c r="G45" s="143" t="s">
        <v>47</v>
      </c>
      <c r="H45" s="134" t="s">
        <v>34</v>
      </c>
      <c r="I45" s="130">
        <v>27090000</v>
      </c>
      <c r="J45" s="135">
        <v>41725</v>
      </c>
      <c r="K45" s="133" t="s">
        <v>82</v>
      </c>
      <c r="L45" s="146" t="s">
        <v>32</v>
      </c>
      <c r="M45" s="134" t="s">
        <v>44</v>
      </c>
      <c r="N45" s="155" t="s">
        <v>51</v>
      </c>
      <c r="O45" s="148">
        <v>701984</v>
      </c>
      <c r="P45" s="140">
        <f t="shared" si="5"/>
        <v>76219316.767999992</v>
      </c>
      <c r="Q45" s="140">
        <f t="shared" si="10"/>
        <v>11870396393.448318</v>
      </c>
      <c r="R45" s="140" t="s">
        <v>25</v>
      </c>
      <c r="S45" s="139">
        <v>108.577</v>
      </c>
      <c r="T45" s="150">
        <f t="shared" si="11"/>
        <v>41815</v>
      </c>
      <c r="U45" s="156" t="s">
        <v>40</v>
      </c>
      <c r="V45" s="140">
        <f t="shared" si="12"/>
        <v>91463.180121599988</v>
      </c>
      <c r="W45" s="139">
        <v>155.74</v>
      </c>
      <c r="X45" s="140">
        <f t="shared" si="13"/>
        <v>14244475.672137983</v>
      </c>
      <c r="Y45" s="140" t="s">
        <v>40</v>
      </c>
      <c r="Z45" s="133" t="s">
        <v>40</v>
      </c>
      <c r="AA45" s="215" t="s">
        <v>40</v>
      </c>
    </row>
    <row r="46" spans="1:27" s="92" customFormat="1" ht="160.5" customHeight="1" x14ac:dyDescent="0.55000000000000004">
      <c r="A46" s="206">
        <v>16</v>
      </c>
      <c r="B46" s="142" t="s">
        <v>110</v>
      </c>
      <c r="C46" s="133" t="s">
        <v>53</v>
      </c>
      <c r="D46" s="138" t="s">
        <v>53</v>
      </c>
      <c r="E46" s="133" t="s">
        <v>40</v>
      </c>
      <c r="F46" s="133" t="s">
        <v>40</v>
      </c>
      <c r="G46" s="143" t="s">
        <v>47</v>
      </c>
      <c r="H46" s="134" t="s">
        <v>34</v>
      </c>
      <c r="I46" s="130">
        <v>27090000</v>
      </c>
      <c r="J46" s="135">
        <v>41725</v>
      </c>
      <c r="K46" s="133" t="s">
        <v>82</v>
      </c>
      <c r="L46" s="146" t="s">
        <v>32</v>
      </c>
      <c r="M46" s="134" t="s">
        <v>44</v>
      </c>
      <c r="N46" s="155" t="s">
        <v>51</v>
      </c>
      <c r="O46" s="148">
        <v>85950</v>
      </c>
      <c r="P46" s="140">
        <f t="shared" si="5"/>
        <v>9332193.1500000004</v>
      </c>
      <c r="Q46" s="140">
        <f t="shared" si="10"/>
        <v>1453395761.1810002</v>
      </c>
      <c r="R46" s="140" t="s">
        <v>25</v>
      </c>
      <c r="S46" s="139">
        <v>108.577</v>
      </c>
      <c r="T46" s="150">
        <f t="shared" si="11"/>
        <v>41815</v>
      </c>
      <c r="U46" s="156" t="s">
        <v>40</v>
      </c>
      <c r="V46" s="140">
        <f t="shared" si="12"/>
        <v>11198.63178</v>
      </c>
      <c r="W46" s="139">
        <v>155.74</v>
      </c>
      <c r="X46" s="140">
        <f t="shared" si="13"/>
        <v>1744074.9134172001</v>
      </c>
      <c r="Y46" s="140" t="s">
        <v>40</v>
      </c>
      <c r="Z46" s="133" t="s">
        <v>40</v>
      </c>
      <c r="AA46" s="215" t="s">
        <v>40</v>
      </c>
    </row>
    <row r="47" spans="1:27" s="92" customFormat="1" ht="160.5" customHeight="1" x14ac:dyDescent="0.55000000000000004">
      <c r="A47" s="206">
        <v>17</v>
      </c>
      <c r="B47" s="142" t="s">
        <v>112</v>
      </c>
      <c r="C47" s="133" t="s">
        <v>53</v>
      </c>
      <c r="D47" s="138" t="s">
        <v>53</v>
      </c>
      <c r="E47" s="133" t="s">
        <v>40</v>
      </c>
      <c r="F47" s="133" t="s">
        <v>40</v>
      </c>
      <c r="G47" s="143" t="s">
        <v>35</v>
      </c>
      <c r="H47" s="134" t="s">
        <v>33</v>
      </c>
      <c r="I47" s="130">
        <v>27090000</v>
      </c>
      <c r="J47" s="135">
        <v>41728</v>
      </c>
      <c r="K47" s="133" t="s">
        <v>84</v>
      </c>
      <c r="L47" s="146" t="s">
        <v>31</v>
      </c>
      <c r="M47" s="134" t="s">
        <v>124</v>
      </c>
      <c r="N47" s="155" t="s">
        <v>124</v>
      </c>
      <c r="O47" s="148">
        <v>475053</v>
      </c>
      <c r="P47" s="140">
        <f t="shared" si="5"/>
        <v>51405485.129999995</v>
      </c>
      <c r="Q47" s="140">
        <f t="shared" si="10"/>
        <v>8005890254.1462002</v>
      </c>
      <c r="R47" s="140" t="s">
        <v>25</v>
      </c>
      <c r="S47" s="139">
        <v>108.21</v>
      </c>
      <c r="T47" s="150">
        <f t="shared" si="11"/>
        <v>41818</v>
      </c>
      <c r="U47" s="156" t="s">
        <v>40</v>
      </c>
      <c r="V47" s="140">
        <f t="shared" si="12"/>
        <v>61686.582155999989</v>
      </c>
      <c r="W47" s="139">
        <v>155.74</v>
      </c>
      <c r="X47" s="140">
        <f t="shared" si="13"/>
        <v>9607068.3049754389</v>
      </c>
      <c r="Y47" s="140" t="s">
        <v>40</v>
      </c>
      <c r="Z47" s="133" t="s">
        <v>40</v>
      </c>
      <c r="AA47" s="215" t="s">
        <v>40</v>
      </c>
    </row>
    <row r="48" spans="1:27" s="92" customFormat="1" ht="160.5" customHeight="1" x14ac:dyDescent="0.55000000000000004">
      <c r="A48" s="206">
        <v>18</v>
      </c>
      <c r="B48" s="142" t="s">
        <v>113</v>
      </c>
      <c r="C48" s="133" t="s">
        <v>53</v>
      </c>
      <c r="D48" s="138" t="s">
        <v>53</v>
      </c>
      <c r="E48" s="133" t="s">
        <v>40</v>
      </c>
      <c r="F48" s="133" t="s">
        <v>40</v>
      </c>
      <c r="G48" s="143" t="s">
        <v>35</v>
      </c>
      <c r="H48" s="134" t="s">
        <v>33</v>
      </c>
      <c r="I48" s="130">
        <v>27090000</v>
      </c>
      <c r="J48" s="135">
        <v>41728</v>
      </c>
      <c r="K48" s="133" t="s">
        <v>84</v>
      </c>
      <c r="L48" s="146" t="s">
        <v>31</v>
      </c>
      <c r="M48" s="134" t="s">
        <v>130</v>
      </c>
      <c r="N48" s="155" t="s">
        <v>125</v>
      </c>
      <c r="O48" s="148">
        <v>475000</v>
      </c>
      <c r="P48" s="140">
        <f t="shared" si="5"/>
        <v>51399750</v>
      </c>
      <c r="Q48" s="140">
        <f t="shared" si="10"/>
        <v>8004997065</v>
      </c>
      <c r="R48" s="140" t="s">
        <v>25</v>
      </c>
      <c r="S48" s="139">
        <v>108.21</v>
      </c>
      <c r="T48" s="150">
        <f t="shared" si="11"/>
        <v>41818</v>
      </c>
      <c r="U48" s="156" t="s">
        <v>40</v>
      </c>
      <c r="V48" s="140">
        <f t="shared" si="12"/>
        <v>61679.7</v>
      </c>
      <c r="W48" s="139">
        <v>155.74</v>
      </c>
      <c r="X48" s="140">
        <f t="shared" si="13"/>
        <v>9605996.4780000001</v>
      </c>
      <c r="Y48" s="140" t="s">
        <v>40</v>
      </c>
      <c r="Z48" s="133" t="s">
        <v>40</v>
      </c>
      <c r="AA48" s="215" t="s">
        <v>40</v>
      </c>
    </row>
    <row r="49" spans="1:27" s="209" customFormat="1" ht="160.5" customHeight="1" x14ac:dyDescent="0.6">
      <c r="A49" s="206"/>
      <c r="B49" s="142"/>
      <c r="C49" s="151"/>
      <c r="D49" s="138"/>
      <c r="E49" s="133"/>
      <c r="F49" s="133"/>
      <c r="G49" s="143"/>
      <c r="H49" s="134"/>
      <c r="I49" s="134"/>
      <c r="J49" s="135"/>
      <c r="K49" s="133"/>
      <c r="L49" s="154"/>
      <c r="M49" s="134"/>
      <c r="N49" s="155"/>
      <c r="O49" s="148"/>
      <c r="P49" s="140"/>
      <c r="Q49" s="140"/>
      <c r="R49" s="140"/>
      <c r="S49" s="139"/>
      <c r="T49" s="150"/>
      <c r="U49" s="157"/>
      <c r="V49" s="140"/>
      <c r="W49" s="139"/>
      <c r="X49" s="140"/>
      <c r="Y49" s="140"/>
      <c r="Z49" s="133"/>
      <c r="AA49" s="215"/>
    </row>
    <row r="50" spans="1:27" ht="54" customHeight="1" thickBot="1" x14ac:dyDescent="0.65">
      <c r="A50" s="216"/>
      <c r="B50" s="162" t="s">
        <v>28</v>
      </c>
      <c r="C50" s="217"/>
      <c r="D50" s="160"/>
      <c r="E50" s="159"/>
      <c r="F50" s="159"/>
      <c r="G50" s="161"/>
      <c r="H50" s="162"/>
      <c r="I50" s="162"/>
      <c r="J50" s="210"/>
      <c r="K50" s="159"/>
      <c r="L50" s="219"/>
      <c r="M50" s="162"/>
      <c r="N50" s="163"/>
      <c r="O50" s="211">
        <f>SUM(O31:O48)</f>
        <v>9809033</v>
      </c>
      <c r="P50" s="164">
        <f>SUM(P31:P48)</f>
        <v>1073778953.4109998</v>
      </c>
      <c r="Q50" s="164">
        <f>SUM(Q31:Q48)</f>
        <v>167230334204.22913</v>
      </c>
      <c r="R50" s="164"/>
      <c r="S50" s="165"/>
      <c r="T50" s="166"/>
      <c r="U50" s="220"/>
      <c r="V50" s="164">
        <f>SUM(V31:V48)</f>
        <v>1288534.7440931997</v>
      </c>
      <c r="W50" s="165"/>
      <c r="X50" s="164">
        <f>SUM(X31:X48)</f>
        <v>200676401.04507494</v>
      </c>
      <c r="Y50" s="164">
        <f>SUM(Y31:Y48)</f>
        <v>1678693.75</v>
      </c>
      <c r="Z50" s="159"/>
      <c r="AA50" s="218"/>
    </row>
    <row r="51" spans="1:27" x14ac:dyDescent="0.2">
      <c r="A51" s="8"/>
      <c r="B51" s="8"/>
      <c r="C51" s="6"/>
      <c r="D51" s="17"/>
      <c r="E51" s="18"/>
      <c r="F51" s="6"/>
      <c r="G51" s="19"/>
      <c r="H51" s="6"/>
      <c r="I51" s="6"/>
      <c r="J51" s="20"/>
      <c r="K51" s="8"/>
      <c r="L51" s="8"/>
      <c r="M51" s="6"/>
      <c r="N51" s="6"/>
      <c r="O51" s="21"/>
      <c r="P51" s="22"/>
      <c r="Q51" s="22"/>
      <c r="R51" s="22"/>
      <c r="S51" s="27"/>
      <c r="V51" s="22"/>
      <c r="W51" s="27"/>
      <c r="X51" s="22"/>
      <c r="Y51" s="22"/>
      <c r="Z51" s="6"/>
      <c r="AA51" s="6"/>
    </row>
    <row r="54" spans="1:27" ht="23.25" x14ac:dyDescent="0.35">
      <c r="O54" s="29"/>
      <c r="P54" s="30"/>
      <c r="Q54" s="30"/>
    </row>
    <row r="55" spans="1:27" x14ac:dyDescent="0.2">
      <c r="O55" s="24"/>
      <c r="P55" s="31"/>
      <c r="Q55" s="31"/>
    </row>
    <row r="56" spans="1:27" x14ac:dyDescent="0.2">
      <c r="O56" s="24"/>
      <c r="P56" s="24"/>
      <c r="Q56" s="24"/>
    </row>
    <row r="62" spans="1:27" s="16" customFormat="1" ht="15.75" customHeight="1" x14ac:dyDescent="0.2">
      <c r="A62" s="5"/>
      <c r="B62" s="5"/>
      <c r="C62" s="5"/>
      <c r="D62" s="14"/>
      <c r="E62" s="12"/>
      <c r="F62" s="5"/>
      <c r="G62" s="13"/>
      <c r="H62" s="5"/>
      <c r="I62" s="5"/>
      <c r="J62" s="14"/>
      <c r="K62" s="5"/>
      <c r="L62" s="5"/>
      <c r="M62" s="5"/>
      <c r="N62" s="5"/>
      <c r="O62" s="15"/>
      <c r="S62" s="26"/>
      <c r="T62" s="17"/>
      <c r="U62" s="5"/>
      <c r="W62" s="26"/>
      <c r="Z62" s="5"/>
      <c r="AA62" s="5"/>
    </row>
    <row r="63" spans="1:27" x14ac:dyDescent="0.2">
      <c r="N63" s="23"/>
      <c r="O63" s="24"/>
    </row>
  </sheetData>
  <pageMargins left="0.31496062992125984" right="0.19685039370078741" top="0.15748031496062992" bottom="0.15748031496062992" header="0.31496062992125984" footer="0.31496062992125984"/>
  <pageSetup paperSize="9" scale="16" orientation="landscape" r:id="rId1"/>
  <headerFooter>
    <oddFooter>&amp;R2</oddFooter>
  </headerFooter>
  <colBreaks count="1" manualBreakCount="1">
    <brk id="16" max="5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CIR MARCH 2014</vt:lpstr>
      <vt:lpstr>CID MARCH 2014 </vt:lpstr>
      <vt:lpstr>NCI MARCH 2014</vt:lpstr>
      <vt:lpstr>'CID MARCH 2014 '!Print_Area</vt:lpstr>
      <vt:lpstr>'CIR MARCH 2014'!Print_Area</vt:lpstr>
      <vt:lpstr>'NCI MARCH 2014'!Print_Area</vt:lpstr>
      <vt:lpstr>'CID MARCH 2014 '!Print_Titles</vt:lpstr>
      <vt:lpstr>'CIR MARCH 2014'!Print_Titles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Ndidi</cp:lastModifiedBy>
  <cp:lastPrinted>2013-11-05T10:21:15Z</cp:lastPrinted>
  <dcterms:created xsi:type="dcterms:W3CDTF">2012-08-07T13:29:00Z</dcterms:created>
  <dcterms:modified xsi:type="dcterms:W3CDTF">2014-04-08T09:54:58Z</dcterms:modified>
</cp:coreProperties>
</file>