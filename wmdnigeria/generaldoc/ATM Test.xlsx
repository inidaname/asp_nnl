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18795" windowHeight="8445" firstSheet="12" activeTab="21"/>
  </bookViews>
  <sheets>
    <sheet name="UNION (2)" sheetId="27" r:id="rId1"/>
    <sheet name="UNION" sheetId="1" r:id="rId2"/>
    <sheet name="SPRING" sheetId="2" r:id="rId3"/>
    <sheet name="FINBANK" sheetId="4" r:id="rId4"/>
    <sheet name="DIAMOND" sheetId="5" r:id="rId5"/>
    <sheet name="FCMB" sheetId="7" r:id="rId6"/>
    <sheet name="HASAL" sheetId="8" r:id="rId7"/>
    <sheet name="FIDELITY" sheetId="10" r:id="rId8"/>
    <sheet name="ASO" sheetId="11" r:id="rId9"/>
    <sheet name="ECOBANK" sheetId="12" r:id="rId10"/>
    <sheet name="FIRSTBANK" sheetId="13" r:id="rId11"/>
    <sheet name="GTB" sheetId="14" r:id="rId12"/>
    <sheet name="MAINSTREET" sheetId="15" r:id="rId13"/>
    <sheet name="SKYE" sheetId="16" r:id="rId14"/>
    <sheet name="STANBIC" sheetId="17" r:id="rId15"/>
    <sheet name="ACCESS" sheetId="18" r:id="rId16"/>
    <sheet name="STERLING" sheetId="20" r:id="rId17"/>
    <sheet name="WEMA" sheetId="22" r:id="rId18"/>
    <sheet name="KEY STONE" sheetId="26" r:id="rId19"/>
    <sheet name="UNITY" sheetId="24" r:id="rId20"/>
    <sheet name="Sheet1" sheetId="28" r:id="rId21"/>
    <sheet name="Sheet2" sheetId="31" r:id="rId22"/>
  </sheets>
  <definedNames>
    <definedName name="_xlnm.Print_Area" localSheetId="10">FIRSTBANK!$A$1:$K$64</definedName>
    <definedName name="_xlnm.Print_Area" localSheetId="13">SKYE!$A$1:$K$78</definedName>
    <definedName name="_xlnm.Print_Area" localSheetId="16">STERLING!$B$3:$L$71</definedName>
  </definedNames>
  <calcPr calcId="144525"/>
</workbook>
</file>

<file path=xl/calcChain.xml><?xml version="1.0" encoding="utf-8"?>
<calcChain xmlns="http://schemas.openxmlformats.org/spreadsheetml/2006/main">
  <c r="J55" i="31" l="1"/>
  <c r="J54" i="31"/>
  <c r="J53" i="31"/>
  <c r="J52" i="31"/>
  <c r="J51" i="31"/>
  <c r="J50" i="31"/>
  <c r="J49" i="31"/>
  <c r="J48" i="31"/>
  <c r="J47" i="31"/>
  <c r="J46" i="31"/>
  <c r="J45" i="31"/>
  <c r="J44" i="31"/>
  <c r="J43" i="31"/>
  <c r="J42" i="31"/>
  <c r="J41" i="31"/>
  <c r="J40" i="31"/>
  <c r="J39" i="31"/>
  <c r="J38" i="31"/>
  <c r="J37" i="31"/>
  <c r="J36" i="31"/>
  <c r="J35" i="31"/>
  <c r="J34" i="31"/>
  <c r="J33" i="31"/>
  <c r="J32" i="31"/>
  <c r="J31" i="31"/>
  <c r="J30" i="31"/>
  <c r="J29" i="31"/>
  <c r="J28" i="31"/>
  <c r="J27" i="31"/>
  <c r="J26" i="31"/>
  <c r="J25" i="31"/>
  <c r="J24" i="31"/>
  <c r="J23" i="31"/>
  <c r="J22" i="31"/>
  <c r="J21" i="31"/>
  <c r="J20" i="31"/>
  <c r="J19" i="31"/>
  <c r="J6" i="18"/>
  <c r="J19" i="18"/>
  <c r="J56" i="18" s="1"/>
  <c r="J20" i="18"/>
  <c r="J21" i="18"/>
  <c r="J22" i="18"/>
  <c r="J23" i="18"/>
  <c r="J24" i="18"/>
  <c r="J25" i="18"/>
  <c r="J26" i="18"/>
  <c r="J27" i="18"/>
  <c r="J28" i="18"/>
  <c r="J29" i="18"/>
  <c r="J30" i="18"/>
  <c r="J31" i="18"/>
  <c r="J32" i="18"/>
  <c r="J33" i="18"/>
  <c r="J34" i="18"/>
  <c r="J35" i="18"/>
  <c r="J36" i="18"/>
  <c r="J37" i="18"/>
  <c r="J38" i="18"/>
  <c r="J39" i="18"/>
  <c r="J40" i="18"/>
  <c r="J41" i="18"/>
  <c r="J42" i="18"/>
  <c r="J43" i="18"/>
  <c r="J44" i="18"/>
  <c r="J45" i="18"/>
  <c r="J46" i="18"/>
  <c r="J47" i="18"/>
  <c r="J48" i="18"/>
  <c r="J49" i="18"/>
  <c r="J50" i="18"/>
  <c r="J51" i="18"/>
  <c r="J52" i="18"/>
  <c r="J53" i="18"/>
  <c r="J54" i="18"/>
  <c r="J55" i="18"/>
  <c r="J6" i="31"/>
  <c r="K6" i="28"/>
  <c r="K39" i="28"/>
  <c r="K38" i="28"/>
  <c r="K37" i="28"/>
  <c r="K36" i="28"/>
  <c r="K35" i="28"/>
  <c r="K34" i="28"/>
  <c r="K33" i="28"/>
  <c r="K32" i="28"/>
  <c r="K31" i="28"/>
  <c r="K30" i="28"/>
  <c r="K29" i="28"/>
  <c r="K28" i="28"/>
  <c r="K27" i="28"/>
  <c r="K26" i="28"/>
  <c r="K25" i="28"/>
  <c r="K24" i="28"/>
  <c r="K23" i="28"/>
  <c r="K22" i="28"/>
  <c r="K21" i="28"/>
  <c r="K20" i="28"/>
  <c r="K19" i="28"/>
  <c r="K18" i="28"/>
  <c r="K6" i="24"/>
  <c r="K20" i="24"/>
  <c r="K21" i="24"/>
  <c r="K22" i="24"/>
  <c r="K23" i="24"/>
  <c r="K24" i="24"/>
  <c r="K25" i="24"/>
  <c r="K26" i="24"/>
  <c r="K27" i="24"/>
  <c r="K28" i="24"/>
  <c r="K29" i="24"/>
  <c r="K30" i="24"/>
  <c r="K31" i="24"/>
  <c r="K32" i="24"/>
  <c r="K33" i="24"/>
  <c r="K34" i="24"/>
  <c r="K35" i="24"/>
  <c r="K36" i="24"/>
  <c r="K37" i="24"/>
  <c r="K38" i="24"/>
  <c r="K39" i="24"/>
  <c r="K40" i="24"/>
  <c r="K41" i="24"/>
  <c r="K42" i="24"/>
  <c r="K43" i="24"/>
  <c r="K44" i="24"/>
  <c r="K45" i="24"/>
  <c r="K46" i="24"/>
  <c r="K47" i="24"/>
  <c r="K48" i="24"/>
  <c r="K49" i="24"/>
  <c r="K50" i="24"/>
  <c r="K51" i="24"/>
  <c r="K52" i="24"/>
  <c r="K53" i="24"/>
  <c r="K54" i="24"/>
  <c r="K55" i="24"/>
  <c r="K56" i="24"/>
  <c r="K57" i="24"/>
  <c r="K58" i="24"/>
  <c r="K61" i="24"/>
  <c r="K6" i="26"/>
  <c r="K20" i="26"/>
  <c r="K21" i="26"/>
  <c r="K22" i="26"/>
  <c r="K23" i="26"/>
  <c r="K24" i="26"/>
  <c r="K25" i="26"/>
  <c r="K26" i="26"/>
  <c r="K27" i="26"/>
  <c r="K28" i="26"/>
  <c r="K29" i="26"/>
  <c r="K30" i="26"/>
  <c r="K31" i="26"/>
  <c r="K32" i="26"/>
  <c r="K33" i="26"/>
  <c r="K34" i="26"/>
  <c r="K35" i="26"/>
  <c r="K36" i="26"/>
  <c r="K37" i="26"/>
  <c r="K38" i="26"/>
  <c r="K39" i="26"/>
  <c r="K40" i="26"/>
  <c r="K41" i="26"/>
  <c r="K42" i="26"/>
  <c r="K43" i="26"/>
  <c r="K44" i="26"/>
  <c r="K45" i="26"/>
  <c r="K46" i="26"/>
  <c r="K47" i="26"/>
  <c r="K48" i="26"/>
  <c r="K49" i="26"/>
  <c r="K50" i="26"/>
  <c r="K51" i="26"/>
  <c r="K52" i="26"/>
  <c r="K53" i="26"/>
  <c r="K54" i="26"/>
  <c r="K55" i="26"/>
  <c r="K56" i="26"/>
  <c r="K57" i="26"/>
  <c r="K60" i="26"/>
  <c r="K6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K32" i="22"/>
  <c r="K33" i="22"/>
  <c r="K34" i="22"/>
  <c r="K35" i="22"/>
  <c r="K36" i="22"/>
  <c r="K37" i="22"/>
  <c r="K38" i="22"/>
  <c r="K39" i="22"/>
  <c r="K40" i="22"/>
  <c r="K41" i="22"/>
  <c r="K42" i="22"/>
  <c r="K43" i="22"/>
  <c r="K44" i="22"/>
  <c r="K45" i="22"/>
  <c r="K46" i="22"/>
  <c r="K47" i="22"/>
  <c r="K48" i="22"/>
  <c r="K49" i="22"/>
  <c r="K50" i="22"/>
  <c r="K51" i="22"/>
  <c r="K52" i="22"/>
  <c r="K53" i="22"/>
  <c r="K54" i="22"/>
  <c r="K55" i="22"/>
  <c r="K56" i="22"/>
  <c r="K57" i="22"/>
  <c r="K60" i="22"/>
  <c r="L8" i="20"/>
  <c r="L21" i="20"/>
  <c r="L22" i="20"/>
  <c r="L58" i="20"/>
  <c r="L61" i="20"/>
  <c r="L23" i="20"/>
  <c r="L24" i="20"/>
  <c r="L25" i="20"/>
  <c r="L26" i="20"/>
  <c r="L27" i="20"/>
  <c r="L28" i="20"/>
  <c r="L29" i="20"/>
  <c r="L30" i="20"/>
  <c r="L31" i="20"/>
  <c r="L32" i="20"/>
  <c r="L33" i="20"/>
  <c r="L34" i="20"/>
  <c r="L35" i="20"/>
  <c r="L36" i="20"/>
  <c r="L37" i="20"/>
  <c r="L38" i="20"/>
  <c r="L39" i="20"/>
  <c r="L40" i="20"/>
  <c r="L41" i="20"/>
  <c r="L42" i="20"/>
  <c r="L43" i="20"/>
  <c r="L44" i="20"/>
  <c r="L45" i="20"/>
  <c r="L46" i="20"/>
  <c r="L47" i="20"/>
  <c r="L48" i="20"/>
  <c r="L49" i="20"/>
  <c r="L50" i="20"/>
  <c r="L51" i="20"/>
  <c r="L52" i="20"/>
  <c r="L53" i="20"/>
  <c r="L54" i="20"/>
  <c r="L55" i="20"/>
  <c r="L56" i="20"/>
  <c r="K6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1" i="17"/>
  <c r="K32" i="17"/>
  <c r="K33" i="17"/>
  <c r="K34" i="17"/>
  <c r="K35" i="17"/>
  <c r="K36" i="17"/>
  <c r="K37" i="17"/>
  <c r="K38" i="17"/>
  <c r="K39" i="17"/>
  <c r="K40" i="17"/>
  <c r="K41" i="17"/>
  <c r="K42" i="17"/>
  <c r="K43" i="17"/>
  <c r="K44" i="17"/>
  <c r="K45" i="17"/>
  <c r="K46" i="17"/>
  <c r="K47" i="17"/>
  <c r="K48" i="17"/>
  <c r="K49" i="17"/>
  <c r="K50" i="17"/>
  <c r="K51" i="17"/>
  <c r="K52" i="17"/>
  <c r="K53" i="17"/>
  <c r="K54" i="17"/>
  <c r="K55" i="17"/>
  <c r="K57" i="17"/>
  <c r="K58" i="17"/>
  <c r="K6" i="16"/>
  <c r="K19" i="16"/>
  <c r="K20" i="16"/>
  <c r="K21" i="16"/>
  <c r="K22" i="16"/>
  <c r="K23" i="16"/>
  <c r="K24" i="16"/>
  <c r="K25" i="16"/>
  <c r="K26" i="16"/>
  <c r="K27" i="16"/>
  <c r="K28" i="16"/>
  <c r="K29" i="16"/>
  <c r="K30" i="16"/>
  <c r="K31" i="16"/>
  <c r="K32" i="16"/>
  <c r="K33" i="16"/>
  <c r="K34" i="16"/>
  <c r="K35" i="16"/>
  <c r="K36" i="16"/>
  <c r="K37" i="16"/>
  <c r="K38" i="16"/>
  <c r="K39" i="16"/>
  <c r="K40" i="16"/>
  <c r="K41" i="16"/>
  <c r="K42" i="16"/>
  <c r="K43" i="16"/>
  <c r="K44" i="16"/>
  <c r="K45" i="16"/>
  <c r="K46" i="16"/>
  <c r="K47" i="16"/>
  <c r="K48" i="16"/>
  <c r="K49" i="16"/>
  <c r="K50" i="16"/>
  <c r="K51" i="16"/>
  <c r="K52" i="16"/>
  <c r="K53" i="16"/>
  <c r="K54" i="16"/>
  <c r="K55" i="16"/>
  <c r="K56" i="16"/>
  <c r="K58" i="16"/>
  <c r="K59" i="16"/>
  <c r="K6" i="15"/>
  <c r="K19" i="15"/>
  <c r="K20" i="15"/>
  <c r="K21" i="15"/>
  <c r="K22" i="15"/>
  <c r="K23" i="15"/>
  <c r="K24" i="15"/>
  <c r="K25" i="15"/>
  <c r="K26" i="15"/>
  <c r="K27" i="15"/>
  <c r="K28" i="15"/>
  <c r="K29" i="15"/>
  <c r="K30" i="15"/>
  <c r="K31" i="15"/>
  <c r="K32" i="15"/>
  <c r="K33" i="15"/>
  <c r="K34" i="15"/>
  <c r="K35" i="15"/>
  <c r="K36" i="15"/>
  <c r="K37" i="15"/>
  <c r="K38" i="15"/>
  <c r="K39" i="15"/>
  <c r="K41" i="15"/>
  <c r="K42" i="15"/>
  <c r="K6" i="14"/>
  <c r="K18" i="14"/>
  <c r="K19" i="14"/>
  <c r="K20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38" i="14"/>
  <c r="K39" i="14"/>
  <c r="K40" i="14"/>
  <c r="K41" i="14"/>
  <c r="K42" i="14"/>
  <c r="K43" i="14"/>
  <c r="K44" i="14"/>
  <c r="K45" i="14"/>
  <c r="K46" i="14"/>
  <c r="K47" i="14"/>
  <c r="K48" i="14"/>
  <c r="K49" i="14"/>
  <c r="K50" i="14"/>
  <c r="K51" i="14"/>
  <c r="K52" i="14"/>
  <c r="K53" i="14"/>
  <c r="K54" i="14"/>
  <c r="K6" i="13"/>
  <c r="K19" i="13"/>
  <c r="K56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K33" i="13"/>
  <c r="K34" i="13"/>
  <c r="K35" i="13"/>
  <c r="K36" i="13"/>
  <c r="K37" i="13"/>
  <c r="K38" i="13"/>
  <c r="K39" i="13"/>
  <c r="K40" i="13"/>
  <c r="K41" i="13"/>
  <c r="K42" i="13"/>
  <c r="K43" i="13"/>
  <c r="K44" i="13"/>
  <c r="K45" i="13"/>
  <c r="K46" i="13"/>
  <c r="K47" i="13"/>
  <c r="K48" i="13"/>
  <c r="K49" i="13"/>
  <c r="K50" i="13"/>
  <c r="K51" i="13"/>
  <c r="K52" i="13"/>
  <c r="K53" i="13"/>
  <c r="K54" i="13"/>
  <c r="K55" i="13"/>
  <c r="K6" i="12"/>
  <c r="K20" i="12"/>
  <c r="K57" i="12"/>
  <c r="K59" i="12"/>
  <c r="K6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37" i="12"/>
  <c r="K38" i="12"/>
  <c r="K39" i="12"/>
  <c r="K40" i="12"/>
  <c r="K41" i="12"/>
  <c r="K42" i="12"/>
  <c r="K43" i="12"/>
  <c r="K44" i="12"/>
  <c r="K45" i="12"/>
  <c r="K46" i="12"/>
  <c r="K47" i="12"/>
  <c r="K48" i="12"/>
  <c r="K49" i="12"/>
  <c r="K50" i="12"/>
  <c r="K51" i="12"/>
  <c r="K52" i="12"/>
  <c r="K53" i="12"/>
  <c r="K54" i="12"/>
  <c r="K55" i="12"/>
  <c r="K56" i="12"/>
  <c r="K20" i="11"/>
  <c r="K33" i="11" s="1"/>
  <c r="K21" i="11"/>
  <c r="K22" i="11"/>
  <c r="K23" i="11"/>
  <c r="K24" i="11"/>
  <c r="K25" i="11"/>
  <c r="K26" i="11"/>
  <c r="K27" i="11"/>
  <c r="K28" i="11"/>
  <c r="K29" i="11"/>
  <c r="K30" i="11"/>
  <c r="K31" i="11"/>
  <c r="K32" i="11"/>
  <c r="K6" i="10"/>
  <c r="K19" i="10"/>
  <c r="K20" i="10"/>
  <c r="K21" i="10"/>
  <c r="K56" i="10" s="1"/>
  <c r="K58" i="10" s="1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6" i="8"/>
  <c r="K20" i="8"/>
  <c r="K21" i="8"/>
  <c r="K22" i="8"/>
  <c r="K23" i="8"/>
  <c r="K24" i="8"/>
  <c r="K25" i="8"/>
  <c r="K26" i="8"/>
  <c r="K27" i="8"/>
  <c r="K28" i="8"/>
  <c r="K29" i="8"/>
  <c r="K30" i="8"/>
  <c r="K32" i="8"/>
  <c r="K33" i="8"/>
  <c r="K6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6" i="5"/>
  <c r="K19" i="5"/>
  <c r="K20" i="5"/>
  <c r="K56" i="5" s="1"/>
  <c r="K21" i="5"/>
  <c r="K22" i="5"/>
  <c r="K23" i="5"/>
  <c r="K24" i="5"/>
  <c r="K25" i="5"/>
  <c r="K26" i="5"/>
  <c r="K27" i="5"/>
  <c r="K28" i="5"/>
  <c r="K29" i="5"/>
  <c r="K30" i="5"/>
  <c r="K31" i="5"/>
  <c r="K32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6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7" i="4"/>
  <c r="K59" i="4"/>
  <c r="K60" i="4"/>
  <c r="K6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6" i="2"/>
  <c r="K58" i="2"/>
  <c r="K59" i="2"/>
  <c r="K6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6" i="27"/>
  <c r="K19" i="27"/>
  <c r="K20" i="27"/>
  <c r="K21" i="27"/>
  <c r="K22" i="27"/>
  <c r="K23" i="27"/>
  <c r="K24" i="27"/>
  <c r="K25" i="27"/>
  <c r="K26" i="27"/>
  <c r="K27" i="27"/>
  <c r="K28" i="27"/>
  <c r="K29" i="27"/>
  <c r="K30" i="27"/>
  <c r="K31" i="27"/>
  <c r="K32" i="27"/>
  <c r="K33" i="27"/>
  <c r="K34" i="27"/>
  <c r="K35" i="27"/>
  <c r="K36" i="27"/>
  <c r="K37" i="27"/>
  <c r="K38" i="27"/>
  <c r="K39" i="27"/>
  <c r="K40" i="27"/>
  <c r="K41" i="27"/>
  <c r="K42" i="27"/>
  <c r="K43" i="27"/>
  <c r="K44" i="27"/>
  <c r="K45" i="27"/>
  <c r="K46" i="27"/>
  <c r="K47" i="27"/>
  <c r="K48" i="27"/>
  <c r="K49" i="27"/>
  <c r="K50" i="27"/>
  <c r="K51" i="27"/>
  <c r="K52" i="27"/>
  <c r="K53" i="27"/>
  <c r="K54" i="27"/>
  <c r="K55" i="27"/>
  <c r="K56" i="27"/>
  <c r="K58" i="27"/>
  <c r="K59" i="27"/>
  <c r="K58" i="13"/>
  <c r="K59" i="13"/>
  <c r="K55" i="14"/>
  <c r="K57" i="14"/>
  <c r="K58" i="14"/>
  <c r="K40" i="28"/>
  <c r="K43" i="28"/>
  <c r="J56" i="31" l="1"/>
  <c r="J58" i="31" s="1"/>
  <c r="J59" i="31" s="1"/>
  <c r="J58" i="18"/>
  <c r="J59" i="18" s="1"/>
  <c r="K56" i="7"/>
  <c r="K58" i="7" s="1"/>
  <c r="K59" i="7" s="1"/>
  <c r="K58" i="5"/>
  <c r="K59" i="5" s="1"/>
  <c r="K59" i="10"/>
  <c r="K35" i="11"/>
  <c r="K36" i="11" s="1"/>
</calcChain>
</file>

<file path=xl/sharedStrings.xml><?xml version="1.0" encoding="utf-8"?>
<sst xmlns="http://schemas.openxmlformats.org/spreadsheetml/2006/main" count="2177" uniqueCount="278">
  <si>
    <t>Bill</t>
  </si>
  <si>
    <t>FEDERAL MINISTRY OF TRADE AND INVESTMENT</t>
  </si>
  <si>
    <t>Old Secretariat Complex, Area 1, Garki Abuja, Nigeria</t>
  </si>
  <si>
    <t>Naira</t>
  </si>
  <si>
    <t xml:space="preserve">Address: </t>
  </si>
  <si>
    <t>Tel:</t>
  </si>
  <si>
    <t>Contact Person:</t>
  </si>
  <si>
    <t>Weights and Measures Operations</t>
  </si>
  <si>
    <t>Due Date</t>
  </si>
  <si>
    <t>Due upon receipt</t>
  </si>
  <si>
    <t>SERIAL NUMBER</t>
  </si>
  <si>
    <t>+2348188127211</t>
  </si>
  <si>
    <t>City:</t>
  </si>
  <si>
    <t>Branch:</t>
  </si>
  <si>
    <t>HEAD OFFICE</t>
  </si>
  <si>
    <t>E-mail:</t>
  </si>
  <si>
    <t>Bill Category</t>
  </si>
  <si>
    <t>Payment Terms</t>
  </si>
  <si>
    <t>S/N</t>
  </si>
  <si>
    <t>TYPE OF DEVICE</t>
  </si>
  <si>
    <t>MAKE</t>
  </si>
  <si>
    <t>MODEL</t>
  </si>
  <si>
    <t>AMOUNT =N=</t>
  </si>
  <si>
    <t xml:space="preserve">Make all cheques payable to:  Federal Ministry of Trade and Investment, Weights and Measures .  Account No. 0002257283 with Stanbic Bank  Bank PLC </t>
  </si>
  <si>
    <t>Statutory Fees - Verification</t>
  </si>
  <si>
    <t>NO. OF ATM</t>
  </si>
  <si>
    <t>ATM</t>
  </si>
  <si>
    <t>STATE</t>
  </si>
  <si>
    <t>DEVICE FEE =N=</t>
  </si>
  <si>
    <t>ABIA</t>
  </si>
  <si>
    <t>ADAMAWA</t>
  </si>
  <si>
    <t>AKWA IBOM</t>
  </si>
  <si>
    <t>ANAMBRA</t>
  </si>
  <si>
    <t>BAUCHI</t>
  </si>
  <si>
    <t>BAYELSA</t>
  </si>
  <si>
    <t>BENUE</t>
  </si>
  <si>
    <t>BORNO</t>
  </si>
  <si>
    <t>CROSS RIVER</t>
  </si>
  <si>
    <t>DELTA</t>
  </si>
  <si>
    <t>EBONYI</t>
  </si>
  <si>
    <t>EDO</t>
  </si>
  <si>
    <t>EKITI</t>
  </si>
  <si>
    <t>ENUGU</t>
  </si>
  <si>
    <t>FCT</t>
  </si>
  <si>
    <t>GOMBE</t>
  </si>
  <si>
    <t>IMO</t>
  </si>
  <si>
    <t>JIGAWA</t>
  </si>
  <si>
    <t>KADUNA</t>
  </si>
  <si>
    <t>KANO</t>
  </si>
  <si>
    <t>KATSINA</t>
  </si>
  <si>
    <t>KEBBI</t>
  </si>
  <si>
    <t>KOGI</t>
  </si>
  <si>
    <t>KWARA</t>
  </si>
  <si>
    <t>LAGOS</t>
  </si>
  <si>
    <t>NASARAWA</t>
  </si>
  <si>
    <t>NIGER</t>
  </si>
  <si>
    <t>OGUN</t>
  </si>
  <si>
    <t>ONDO</t>
  </si>
  <si>
    <t>OSUN</t>
  </si>
  <si>
    <t>OYO</t>
  </si>
  <si>
    <t>PLATEAU</t>
  </si>
  <si>
    <t>RIVERS</t>
  </si>
  <si>
    <t>SOKOTO</t>
  </si>
  <si>
    <t>TARABA</t>
  </si>
  <si>
    <t>YOBE</t>
  </si>
  <si>
    <t>ZAMFARA</t>
  </si>
  <si>
    <t>Total</t>
  </si>
  <si>
    <t>REGISTRATION FEES</t>
  </si>
  <si>
    <t>VAT 5%</t>
  </si>
  <si>
    <t>SUB TOTAL</t>
  </si>
  <si>
    <t>TOTAL</t>
  </si>
  <si>
    <t>Name of Company:</t>
  </si>
  <si>
    <t>FINBANK PLC</t>
  </si>
  <si>
    <t xml:space="preserve">CROSS RIVER      </t>
  </si>
  <si>
    <t>NASSARAWA</t>
  </si>
  <si>
    <t xml:space="preserve">BORNO      </t>
  </si>
  <si>
    <t>Amount in words:</t>
  </si>
  <si>
    <t>HASAL MFB</t>
  </si>
  <si>
    <t>FIDELITY BANK</t>
  </si>
  <si>
    <t>AFIKPO</t>
  </si>
  <si>
    <t>CROSSS RIVER</t>
  </si>
  <si>
    <t>ASO SAVINGS AND LOANS</t>
  </si>
  <si>
    <t>Abia</t>
  </si>
  <si>
    <t>Abuja</t>
  </si>
  <si>
    <t>Adamawa</t>
  </si>
  <si>
    <t>Akwa-Ibom</t>
  </si>
  <si>
    <t>Anambara</t>
  </si>
  <si>
    <t>Bauchi</t>
  </si>
  <si>
    <t>Bayelsa</t>
  </si>
  <si>
    <t>Benue</t>
  </si>
  <si>
    <t>Borno</t>
  </si>
  <si>
    <t>Cross River</t>
  </si>
  <si>
    <t>Delta</t>
  </si>
  <si>
    <t>Ebonyi</t>
  </si>
  <si>
    <t>Edo</t>
  </si>
  <si>
    <t>Ekiti</t>
  </si>
  <si>
    <t>Enugu</t>
  </si>
  <si>
    <t>Gombe</t>
  </si>
  <si>
    <t>Imo</t>
  </si>
  <si>
    <t>Jigawa</t>
  </si>
  <si>
    <t>Kaduna</t>
  </si>
  <si>
    <t>Kano</t>
  </si>
  <si>
    <t>Katsina</t>
  </si>
  <si>
    <t>Kebbi</t>
  </si>
  <si>
    <t>Kogi</t>
  </si>
  <si>
    <t>Kwara</t>
  </si>
  <si>
    <t>Lagos</t>
  </si>
  <si>
    <t>Nasarawa</t>
  </si>
  <si>
    <t>Niger</t>
  </si>
  <si>
    <t>Ogun</t>
  </si>
  <si>
    <t>Ondo</t>
  </si>
  <si>
    <t>Osun</t>
  </si>
  <si>
    <t>Oyo</t>
  </si>
  <si>
    <t>Plateau</t>
  </si>
  <si>
    <t>Rivers</t>
  </si>
  <si>
    <t>Sokoto</t>
  </si>
  <si>
    <t>Taraba</t>
  </si>
  <si>
    <t>Yobe</t>
  </si>
  <si>
    <t>Zamfara</t>
  </si>
  <si>
    <t>FIRST BANK PLC</t>
  </si>
  <si>
    <t>ABUJA</t>
  </si>
  <si>
    <t xml:space="preserve">GTB BANK PLC </t>
  </si>
  <si>
    <t>SKYE BANK PLC</t>
  </si>
  <si>
    <t>Z</t>
  </si>
  <si>
    <t>STANBIC IBTC BANK PLC</t>
  </si>
  <si>
    <t>36 MARINA LAGOS</t>
  </si>
  <si>
    <t>2665439,2665441,2665445    234-1-2805784,234-1-2805785</t>
  </si>
  <si>
    <t>customerservice@unionbankng.com ; voccentre@unionbankng.com</t>
  </si>
  <si>
    <t>Plot 143, Ahmadu Bello Way, Victoria Island, Lagos</t>
  </si>
  <si>
    <t>SPRING BANK PLC - ENTERPRISE BANK</t>
  </si>
  <si>
    <t>01-2704545, 01-2623780</t>
  </si>
  <si>
    <t>enquiries@entbankng.com;  feedback@entbankng.com</t>
  </si>
  <si>
    <t>Primrose Towers, 6-10 Floors 17A Tinubu Square</t>
  </si>
  <si>
    <t>Lagos State.</t>
  </si>
  <si>
    <t>01- 2665126</t>
  </si>
  <si>
    <t>customersolutions@firstcitygroup.com</t>
  </si>
  <si>
    <t xml:space="preserve">2 Kofo Abayomi Street, </t>
  </si>
  <si>
    <t>Victoria Island, Lagos</t>
  </si>
  <si>
    <t>234 01 2610408-12</t>
  </si>
  <si>
    <t>fidelity@alpha.linkserve.com</t>
  </si>
  <si>
    <t>ecosec@ecobank.com</t>
  </si>
  <si>
    <t>234 01 2616568, 2620920</t>
  </si>
  <si>
    <t>35 Marina Lagos</t>
  </si>
  <si>
    <t xml:space="preserve">234 01 2665900-20   +234 01 9052326                       </t>
  </si>
  <si>
    <t>firstcontact@firstbanknigeria.com</t>
  </si>
  <si>
    <t>Plot 1669, Oyin Jolayemi Street, Victoria Island.</t>
  </si>
  <si>
    <t>Corporate Office; 635 Akin Adesola Street, Victoria  Island</t>
  </si>
  <si>
    <t xml:space="preserve">234-01-2622650-69, </t>
  </si>
  <si>
    <t>corpaff@gtb.com.ng; enquiries@gtbank.com; complaints@gtbank.com</t>
  </si>
  <si>
    <t>MAINSTREET BANK LIMITED</t>
  </si>
  <si>
    <t>Mainstreet Bank Plaza, 51/55 Broad Street,</t>
  </si>
  <si>
    <t>Marina, Lagos</t>
  </si>
  <si>
    <t>234) 01 2641566, 2645132</t>
  </si>
  <si>
    <t>info@afribank.net; customerservice@mainstreetbanklimited.com; infogmdoffice@mainstreetbanklimited.com</t>
  </si>
  <si>
    <t>Plot 708/709, Adeola Hopewell Street, Victoria Island, Lagos.</t>
  </si>
  <si>
    <t>3, Akin Adesola Street, Victoria Island, Lagos</t>
  </si>
  <si>
    <t xml:space="preserve">+234-1-2627760-9, 2700496-9, 00 234 1 2701600 </t>
  </si>
  <si>
    <t>(234) 01 2620380-2, +234 01 2709676 , +234 1 2712400 , +234 1 448 8900</t>
  </si>
  <si>
    <t>customercarenigeria@stanbic.com; customercarenigeria@stanbicibtc.com</t>
  </si>
  <si>
    <t>Walter Carrington Crescent, Vicoria Island, Lagos.</t>
  </si>
  <si>
    <t>FIRST CITY MONUMENT BANK PLC</t>
  </si>
  <si>
    <t>UNION BANK PLC</t>
  </si>
  <si>
    <t>ACCESS BANK PLC</t>
  </si>
  <si>
    <t>Anambra</t>
  </si>
  <si>
    <t>(234) 01 26210404-41,2626273-76,2641571-</t>
  </si>
  <si>
    <t>contactcenter@accessbankplc.com</t>
  </si>
  <si>
    <t xml:space="preserve">Abia </t>
  </si>
  <si>
    <t xml:space="preserve">Abuja  </t>
  </si>
  <si>
    <t xml:space="preserve">Adamawa </t>
  </si>
  <si>
    <t xml:space="preserve">Akwa Ibom </t>
  </si>
  <si>
    <t xml:space="preserve">Anambra </t>
  </si>
  <si>
    <t xml:space="preserve">Bauchi </t>
  </si>
  <si>
    <t xml:space="preserve">Bayelsa </t>
  </si>
  <si>
    <t xml:space="preserve">Benue </t>
  </si>
  <si>
    <t xml:space="preserve">Borno </t>
  </si>
  <si>
    <t xml:space="preserve">Cross River </t>
  </si>
  <si>
    <t xml:space="preserve">Delta </t>
  </si>
  <si>
    <t xml:space="preserve">Ebonyi </t>
  </si>
  <si>
    <t xml:space="preserve">Edo </t>
  </si>
  <si>
    <t xml:space="preserve">Ekiti </t>
  </si>
  <si>
    <t xml:space="preserve">Enugu </t>
  </si>
  <si>
    <t xml:space="preserve">Gombe </t>
  </si>
  <si>
    <t xml:space="preserve">Imo </t>
  </si>
  <si>
    <t xml:space="preserve">Jigawa </t>
  </si>
  <si>
    <t xml:space="preserve">Kaduna </t>
  </si>
  <si>
    <t xml:space="preserve">Kano </t>
  </si>
  <si>
    <t xml:space="preserve">Katsina </t>
  </si>
  <si>
    <t xml:space="preserve">Kebbi </t>
  </si>
  <si>
    <t xml:space="preserve">Kogi </t>
  </si>
  <si>
    <t xml:space="preserve">Kwara  </t>
  </si>
  <si>
    <t xml:space="preserve">Lagos  </t>
  </si>
  <si>
    <t xml:space="preserve">Nassarawa </t>
  </si>
  <si>
    <t xml:space="preserve">Niger </t>
  </si>
  <si>
    <t xml:space="preserve">Ogun </t>
  </si>
  <si>
    <t xml:space="preserve">Ondo  </t>
  </si>
  <si>
    <t xml:space="preserve">Osun </t>
  </si>
  <si>
    <t xml:space="preserve">Oyo </t>
  </si>
  <si>
    <t xml:space="preserve">Plateau </t>
  </si>
  <si>
    <t xml:space="preserve">Rivers </t>
  </si>
  <si>
    <t xml:space="preserve">Sokoto </t>
  </si>
  <si>
    <t xml:space="preserve">Yobe </t>
  </si>
  <si>
    <t xml:space="preserve">Zamfara  </t>
  </si>
  <si>
    <t>Subtotal</t>
  </si>
  <si>
    <t>VAT (5%)</t>
  </si>
  <si>
    <t>Amonut in words:</t>
  </si>
  <si>
    <t>UNITY BANK PLC</t>
  </si>
  <si>
    <r>
      <t xml:space="preserve">Address:   </t>
    </r>
    <r>
      <rPr>
        <sz val="10"/>
        <rFont val="Times New Roman"/>
        <family val="1"/>
      </rPr>
      <t>Plot 785, Herbert Macauly Way,
Central Business District</t>
    </r>
  </si>
  <si>
    <r>
      <t xml:space="preserve">City: </t>
    </r>
    <r>
      <rPr>
        <sz val="10"/>
        <rFont val="Times New Roman"/>
        <family val="1"/>
      </rPr>
      <t>ABUJA</t>
    </r>
  </si>
  <si>
    <t>TOTAL ATM = 148</t>
  </si>
  <si>
    <t xml:space="preserve">Eight million,  Five hundred and sixty eight thousand,  Naira only. </t>
  </si>
  <si>
    <t xml:space="preserve"> STERLING BANK PLC</t>
  </si>
  <si>
    <r>
      <t>City:</t>
    </r>
    <r>
      <rPr>
        <sz val="10"/>
        <rFont val="Times New Roman"/>
        <family val="1"/>
      </rPr>
      <t>Lagos</t>
    </r>
  </si>
  <si>
    <t xml:space="preserve">Fifteen  million, five hundered and fifty five thousand,  seven hundred and fifty Naira only. </t>
  </si>
  <si>
    <r>
      <t xml:space="preserve">City:  </t>
    </r>
    <r>
      <rPr>
        <sz val="10"/>
        <rFont val="Century Gothic"/>
        <family val="2"/>
      </rPr>
      <t>Victoria Island</t>
    </r>
  </si>
  <si>
    <r>
      <t xml:space="preserve">Address:   </t>
    </r>
    <r>
      <rPr>
        <sz val="10"/>
        <rFont val="Century Gothic"/>
        <family val="2"/>
      </rPr>
      <t>Plot 707, Adeola Hopewell Street</t>
    </r>
  </si>
  <si>
    <t xml:space="preserve">  Key Stone Bank</t>
  </si>
  <si>
    <t xml:space="preserve"> Wema Bank Plc</t>
  </si>
  <si>
    <r>
      <t xml:space="preserve">Address:  </t>
    </r>
    <r>
      <rPr>
        <sz val="10"/>
        <rFont val="Times New Roman"/>
        <family val="1"/>
      </rPr>
      <t>Wema Towers 54, Marin</t>
    </r>
  </si>
  <si>
    <r>
      <t xml:space="preserve">City:    </t>
    </r>
    <r>
      <rPr>
        <sz val="10"/>
        <rFont val="Times New Roman"/>
        <family val="1"/>
      </rPr>
      <t>Lagos Island</t>
    </r>
  </si>
  <si>
    <t xml:space="preserve">Seven million,  seven hundred and fifty nine thousand,  five hundred Naira only. </t>
  </si>
  <si>
    <t>Info@skyebankng.com(Head Office)</t>
  </si>
  <si>
    <t>1 99</t>
  </si>
  <si>
    <t>Amount in Words</t>
  </si>
  <si>
    <t>Seven Million Seven Hundred and Fifty Nine Thousand Five Hundred Naira Only.</t>
  </si>
  <si>
    <t>Registration Fee</t>
  </si>
  <si>
    <t xml:space="preserve">           Registration Fee</t>
  </si>
  <si>
    <t>DATE OF ISSUE</t>
  </si>
  <si>
    <t xml:space="preserve">         DATE OF ISSUE</t>
  </si>
  <si>
    <t>STATUTORY FEES</t>
  </si>
  <si>
    <t>Amount in Words:</t>
  </si>
  <si>
    <t>TEL:</t>
  </si>
  <si>
    <t>E-MAIL:</t>
  </si>
  <si>
    <t>CONTACT PERSON:</t>
  </si>
  <si>
    <t>NAME OF COMPANY:</t>
  </si>
  <si>
    <t>CITY:                                       LAGOS ISLAND</t>
  </si>
  <si>
    <t>ADDRESS:                             54 MARINA, WEMA TOWERS</t>
  </si>
  <si>
    <t xml:space="preserve">    WEMA BANK PLC</t>
  </si>
  <si>
    <t>Seven Million Eight Hundred and Eighteen Thousand Two Hundred and Fifty Naira Only</t>
  </si>
  <si>
    <t xml:space="preserve">              Subtotal</t>
  </si>
  <si>
    <t xml:space="preserve">          VAT (5%)</t>
  </si>
  <si>
    <t xml:space="preserve">                  Total</t>
  </si>
  <si>
    <r>
      <t xml:space="preserve">Address:                            </t>
    </r>
    <r>
      <rPr>
        <sz val="10"/>
        <rFont val="Times New Roman"/>
        <family val="1"/>
      </rPr>
      <t>Sterling Towers, 20 Marina, Lagos</t>
    </r>
  </si>
  <si>
    <t>August 1, 2013</t>
  </si>
  <si>
    <t xml:space="preserve"> </t>
  </si>
  <si>
    <t>August 1st, 2013</t>
  </si>
  <si>
    <t>Sub Total</t>
  </si>
  <si>
    <t xml:space="preserve">      DATE OF ISSUE:</t>
  </si>
  <si>
    <t xml:space="preserve">                                             SUB TOTAL:</t>
  </si>
  <si>
    <t xml:space="preserve">                                                  VAT 5%:</t>
  </si>
  <si>
    <t xml:space="preserve">                                                    TOTAL:</t>
  </si>
  <si>
    <t xml:space="preserve">                            REGISTRATION FEE:</t>
  </si>
  <si>
    <t>REGISTRATION FEE:</t>
  </si>
  <si>
    <t>SUB TOTAL:</t>
  </si>
  <si>
    <t>VAT 5%:</t>
  </si>
  <si>
    <t>TOTAL:</t>
  </si>
  <si>
    <t>AMOUNT IN WORDS:</t>
  </si>
  <si>
    <t>DATE OF ISSUE:</t>
  </si>
  <si>
    <t>Plot 21, Ahmadu Bello Way,</t>
  </si>
  <si>
    <t>ECOBANK NIGERIA PLC</t>
  </si>
  <si>
    <t>Plot 266, FMBN Building, Cadastral Zone A0</t>
  </si>
  <si>
    <t>Central Business District, Abuja</t>
  </si>
  <si>
    <t>0704-163 1121, 09-2911983</t>
  </si>
  <si>
    <t>DEVICE FEE</t>
  </si>
  <si>
    <t xml:space="preserve"> =N=</t>
  </si>
  <si>
    <t>AMOUNT</t>
  </si>
  <si>
    <t>=N=</t>
  </si>
  <si>
    <t>October 9, 2013</t>
  </si>
  <si>
    <t>AMOUNT IN WORDS</t>
  </si>
  <si>
    <t>AUGUST 1, 2013</t>
  </si>
  <si>
    <t>Plot 999C, Danmole Street off Adeola Odekwu/Idejo Street</t>
  </si>
  <si>
    <t>Registration Letter</t>
  </si>
  <si>
    <t xml:space="preserve">          DIAMOND BANK</t>
  </si>
  <si>
    <t xml:space="preserve">          Plot 1261 Adeola Hopewell Street, </t>
  </si>
  <si>
    <t xml:space="preserve">          Victoria Island, Lagos          </t>
  </si>
  <si>
    <t xml:space="preserve">         +234-01-4489830, (234) 01 2626094-8</t>
  </si>
  <si>
    <t xml:space="preserve">        enquiries@diamondbank.com; complaints@diamondbank.com.</t>
  </si>
  <si>
    <t>36 MARINA, STALLION PLAZA</t>
  </si>
  <si>
    <t>LAGOS 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</si>
</sst>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[$-409]mmmm\ d\,\ yyyy;@"/>
    <numFmt numFmtId="167" formatCode="m/d/yy;@"/>
    <numFmt numFmtId="168" formatCode="#,##0.00;[Red]#,##0.00"/>
    <numFmt numFmtId="169" formatCode="_(&quot;$&quot;* #,##0.00000_);_(&quot;$&quot;* \(#,##0.00000\);_(&quot;$&quot;* &quot;-&quot;??_);_(@_)"/>
  </numFmts>
  <fonts count="59" x14ac:knownFonts="1">
    <font>
      <sz val="11"/>
      <color theme="1"/>
      <name val="Calibri"/>
      <family val="2"/>
      <scheme val="minor"/>
    </font>
    <font>
      <sz val="12"/>
      <name val="Century Gothic"/>
      <family val="2"/>
    </font>
    <font>
      <b/>
      <sz val="38"/>
      <name val="Century Gothic"/>
      <family val="2"/>
    </font>
    <font>
      <b/>
      <sz val="8"/>
      <name val="Century Gothic"/>
      <family val="2"/>
    </font>
    <font>
      <sz val="10"/>
      <name val="Century Gothic"/>
      <family val="2"/>
    </font>
    <font>
      <b/>
      <sz val="16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7.5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b/>
      <sz val="9"/>
      <name val="Century Gothic"/>
      <family val="2"/>
    </font>
    <font>
      <sz val="9"/>
      <name val="Century Gothic"/>
      <family val="2"/>
    </font>
    <font>
      <sz val="11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8"/>
      <name val="Century Gothic"/>
      <family val="2"/>
    </font>
    <font>
      <i/>
      <sz val="12"/>
      <name val="Century Gothic"/>
      <family val="2"/>
    </font>
    <font>
      <sz val="9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i/>
      <sz val="1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b/>
      <sz val="16"/>
      <name val="Times New Roman"/>
      <family val="1"/>
    </font>
    <font>
      <b/>
      <sz val="38"/>
      <name val="Times New Roman"/>
      <family val="1"/>
    </font>
    <font>
      <b/>
      <sz val="8"/>
      <name val="Times New Roman"/>
      <family val="1"/>
    </font>
    <font>
      <b/>
      <sz val="10"/>
      <name val="Times New Roman"/>
      <family val="1"/>
    </font>
    <font>
      <b/>
      <sz val="7.5"/>
      <name val="Times New Roman"/>
      <family val="1"/>
    </font>
    <font>
      <b/>
      <sz val="16"/>
      <name val="Calibri"/>
      <family val="2"/>
    </font>
    <font>
      <b/>
      <sz val="14"/>
      <name val="Calibri"/>
      <family val="2"/>
    </font>
    <font>
      <sz val="10"/>
      <name val="Calibri"/>
      <family val="2"/>
    </font>
    <font>
      <i/>
      <sz val="11"/>
      <name val="Calibri"/>
      <family val="2"/>
    </font>
    <font>
      <sz val="11"/>
      <name val="Century Gothic"/>
      <family val="2"/>
    </font>
    <font>
      <i/>
      <sz val="11"/>
      <name val="Century Gothic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u/>
      <sz val="10"/>
      <color theme="10"/>
      <name val="Times New Roman"/>
      <family val="1"/>
    </font>
    <font>
      <sz val="9"/>
      <color theme="1"/>
      <name val="Times New Roman"/>
      <family val="1"/>
    </font>
    <font>
      <sz val="8"/>
      <color rgb="FF000000"/>
      <name val="Times New Roman"/>
      <family val="1"/>
    </font>
    <font>
      <b/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</font>
    <font>
      <sz val="10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-0.24994659260841701"/>
        <bgColor indexed="64"/>
      </patternFill>
    </fill>
    <fill>
      <patternFill patternType="solid">
        <fgColor theme="8" tint="0.39994506668294322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5" fontId="40" fillId="0" borderId="0" applyFont="0" applyFill="0" applyBorder="0" applyAlignment="0" applyProtection="0"/>
    <xf numFmtId="165" fontId="40" fillId="0" borderId="0" applyFont="0" applyFill="0" applyBorder="0" applyAlignment="0" applyProtection="0"/>
    <xf numFmtId="0" fontId="41" fillId="0" borderId="0" applyNumberFormat="0" applyFill="0" applyBorder="0" applyAlignment="0" applyProtection="0">
      <alignment vertical="top"/>
      <protection locked="0"/>
    </xf>
  </cellStyleXfs>
  <cellXfs count="886">
    <xf numFmtId="0" fontId="0" fillId="0" borderId="0" xfId="0"/>
    <xf numFmtId="165" fontId="1" fillId="0" borderId="1" xfId="1" applyFont="1" applyBorder="1" applyAlignment="1">
      <alignment horizontal="left" indent="1"/>
    </xf>
    <xf numFmtId="165" fontId="1" fillId="0" borderId="2" xfId="1" applyFont="1" applyBorder="1" applyAlignment="1">
      <alignment horizontal="left" indent="1"/>
    </xf>
    <xf numFmtId="165" fontId="1" fillId="0" borderId="3" xfId="1" applyFont="1" applyBorder="1" applyAlignment="1">
      <alignment horizontal="left"/>
    </xf>
    <xf numFmtId="165" fontId="1" fillId="0" borderId="0" xfId="1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/>
    <xf numFmtId="0" fontId="3" fillId="0" borderId="0" xfId="0" applyFont="1" applyBorder="1" applyAlignment="1">
      <alignment horizontal="left"/>
    </xf>
    <xf numFmtId="166" fontId="3" fillId="0" borderId="4" xfId="0" applyNumberFormat="1" applyFont="1" applyBorder="1" applyAlignment="1">
      <alignment horizontal="left"/>
    </xf>
    <xf numFmtId="165" fontId="4" fillId="0" borderId="3" xfId="1" applyFont="1" applyBorder="1"/>
    <xf numFmtId="165" fontId="4" fillId="0" borderId="0" xfId="1" applyFont="1" applyBorder="1"/>
    <xf numFmtId="0" fontId="5" fillId="0" borderId="3" xfId="0" applyFont="1" applyBorder="1" applyAlignment="1">
      <alignment horizontal="center"/>
    </xf>
    <xf numFmtId="0" fontId="6" fillId="0" borderId="0" xfId="0" applyFont="1" applyBorder="1" applyAlignment="1"/>
    <xf numFmtId="0" fontId="7" fillId="0" borderId="0" xfId="0" applyFont="1"/>
    <xf numFmtId="0" fontId="7" fillId="0" borderId="4" xfId="0" applyFont="1" applyBorder="1"/>
    <xf numFmtId="0" fontId="8" fillId="0" borderId="0" xfId="0" applyFont="1" applyBorder="1" applyAlignment="1">
      <alignment vertical="top"/>
    </xf>
    <xf numFmtId="0" fontId="8" fillId="0" borderId="0" xfId="0" applyFont="1" applyBorder="1" applyAlignment="1">
      <alignment horizontal="center" vertical="top"/>
    </xf>
    <xf numFmtId="0" fontId="7" fillId="0" borderId="0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8" fillId="0" borderId="3" xfId="0" applyFont="1" applyBorder="1" applyAlignment="1">
      <alignment vertical="top"/>
    </xf>
    <xf numFmtId="0" fontId="9" fillId="0" borderId="0" xfId="0" applyFont="1"/>
    <xf numFmtId="49" fontId="9" fillId="0" borderId="0" xfId="0" applyNumberFormat="1" applyFont="1"/>
    <xf numFmtId="0" fontId="9" fillId="0" borderId="0" xfId="0" applyFont="1" applyBorder="1"/>
    <xf numFmtId="165" fontId="9" fillId="0" borderId="3" xfId="1" applyFont="1" applyBorder="1"/>
    <xf numFmtId="165" fontId="9" fillId="0" borderId="0" xfId="1" applyFont="1" applyBorder="1"/>
    <xf numFmtId="166" fontId="7" fillId="0" borderId="5" xfId="0" applyNumberFormat="1" applyFont="1" applyBorder="1" applyAlignment="1">
      <alignment horizontal="left"/>
    </xf>
    <xf numFmtId="0" fontId="6" fillId="0" borderId="0" xfId="0" applyFont="1" applyBorder="1" applyAlignment="1">
      <alignment horizontal="center"/>
    </xf>
    <xf numFmtId="0" fontId="7" fillId="0" borderId="0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165" fontId="10" fillId="4" borderId="6" xfId="1" applyFont="1" applyFill="1" applyBorder="1" applyAlignment="1">
      <alignment horizontal="left"/>
    </xf>
    <xf numFmtId="0" fontId="7" fillId="5" borderId="7" xfId="0" applyFont="1" applyFill="1" applyBorder="1" applyAlignment="1">
      <alignment horizontal="left" vertical="center"/>
    </xf>
    <xf numFmtId="0" fontId="11" fillId="4" borderId="8" xfId="0" applyFont="1" applyFill="1" applyBorder="1" applyAlignment="1">
      <alignment vertical="center"/>
    </xf>
    <xf numFmtId="0" fontId="4" fillId="4" borderId="8" xfId="0" applyFont="1" applyFill="1" applyBorder="1" applyAlignment="1">
      <alignment vertical="center"/>
    </xf>
    <xf numFmtId="0" fontId="7" fillId="4" borderId="8" xfId="0" applyFont="1" applyFill="1" applyBorder="1" applyAlignment="1">
      <alignment vertical="center"/>
    </xf>
    <xf numFmtId="0" fontId="3" fillId="4" borderId="9" xfId="0" applyFont="1" applyFill="1" applyBorder="1" applyAlignment="1">
      <alignment vertical="top"/>
    </xf>
    <xf numFmtId="165" fontId="3" fillId="4" borderId="3" xfId="1" applyFont="1" applyFill="1" applyBorder="1" applyAlignment="1">
      <alignment horizontal="left"/>
    </xf>
    <xf numFmtId="165" fontId="3" fillId="4" borderId="0" xfId="1" applyFont="1" applyFill="1" applyBorder="1" applyAlignment="1">
      <alignment horizontal="left"/>
    </xf>
    <xf numFmtId="0" fontId="7" fillId="5" borderId="10" xfId="0" applyFont="1" applyFill="1" applyBorder="1" applyAlignment="1">
      <alignment horizontal="left" vertical="center"/>
    </xf>
    <xf numFmtId="0" fontId="12" fillId="4" borderId="0" xfId="0" applyFont="1" applyFill="1" applyBorder="1" applyAlignment="1">
      <alignment vertical="center"/>
    </xf>
    <xf numFmtId="0" fontId="4" fillId="4" borderId="0" xfId="0" applyFont="1" applyFill="1" applyBorder="1" applyAlignment="1">
      <alignment vertical="center"/>
    </xf>
    <xf numFmtId="0" fontId="7" fillId="4" borderId="0" xfId="0" applyFont="1" applyFill="1" applyBorder="1" applyAlignment="1">
      <alignment vertical="center"/>
    </xf>
    <xf numFmtId="0" fontId="3" fillId="4" borderId="4" xfId="0" applyFont="1" applyFill="1" applyBorder="1" applyAlignment="1">
      <alignment vertical="top"/>
    </xf>
    <xf numFmtId="165" fontId="3" fillId="4" borderId="3" xfId="1" applyFont="1" applyFill="1" applyBorder="1" applyAlignment="1"/>
    <xf numFmtId="165" fontId="9" fillId="4" borderId="0" xfId="1" applyFont="1" applyFill="1" applyBorder="1" applyAlignment="1"/>
    <xf numFmtId="49" fontId="12" fillId="4" borderId="0" xfId="0" applyNumberFormat="1" applyFont="1" applyFill="1" applyBorder="1" applyAlignment="1">
      <alignment horizontal="left" vertical="center"/>
    </xf>
    <xf numFmtId="0" fontId="4" fillId="4" borderId="0" xfId="0" applyFont="1" applyFill="1" applyBorder="1" applyAlignment="1">
      <alignment horizontal="left" vertical="center"/>
    </xf>
    <xf numFmtId="49" fontId="11" fillId="4" borderId="0" xfId="0" applyNumberFormat="1" applyFont="1" applyFill="1" applyBorder="1" applyAlignment="1">
      <alignment horizontal="left" vertical="center"/>
    </xf>
    <xf numFmtId="165" fontId="9" fillId="4" borderId="3" xfId="1" applyFont="1" applyFill="1" applyBorder="1" applyAlignment="1"/>
    <xf numFmtId="0" fontId="7" fillId="5" borderId="10" xfId="0" quotePrefix="1" applyFont="1" applyFill="1" applyBorder="1" applyAlignment="1">
      <alignment horizontal="left" vertical="center"/>
    </xf>
    <xf numFmtId="0" fontId="41" fillId="4" borderId="0" xfId="3" applyFill="1" applyBorder="1" applyAlignment="1" applyProtection="1">
      <alignment horizontal="left" vertical="center"/>
    </xf>
    <xf numFmtId="165" fontId="9" fillId="4" borderId="11" xfId="1" applyFont="1" applyFill="1" applyBorder="1" applyAlignment="1"/>
    <xf numFmtId="0" fontId="9" fillId="4" borderId="0" xfId="0" applyFont="1" applyFill="1"/>
    <xf numFmtId="0" fontId="11" fillId="6" borderId="12" xfId="0" applyFont="1" applyFill="1" applyBorder="1" applyAlignment="1">
      <alignment horizontal="left"/>
    </xf>
    <xf numFmtId="0" fontId="11" fillId="6" borderId="13" xfId="0" applyFont="1" applyFill="1" applyBorder="1" applyAlignment="1">
      <alignment horizontal="left"/>
    </xf>
    <xf numFmtId="0" fontId="9" fillId="2" borderId="12" xfId="0" applyFont="1" applyFill="1" applyBorder="1" applyAlignment="1">
      <alignment horizontal="left" wrapText="1"/>
    </xf>
    <xf numFmtId="167" fontId="9" fillId="2" borderId="13" xfId="0" applyNumberFormat="1" applyFont="1" applyFill="1" applyBorder="1" applyAlignment="1">
      <alignment horizontal="left"/>
    </xf>
    <xf numFmtId="165" fontId="9" fillId="2" borderId="3" xfId="1" applyFont="1" applyFill="1" applyBorder="1" applyAlignment="1">
      <alignment horizontal="left"/>
    </xf>
    <xf numFmtId="165" fontId="9" fillId="2" borderId="0" xfId="1" applyFont="1" applyFill="1" applyBorder="1" applyAlignment="1">
      <alignment horizontal="left"/>
    </xf>
    <xf numFmtId="2" fontId="9" fillId="2" borderId="0" xfId="0" applyNumberFormat="1" applyFont="1" applyFill="1" applyBorder="1" applyAlignment="1">
      <alignment horizontal="left"/>
    </xf>
    <xf numFmtId="0" fontId="9" fillId="2" borderId="0" xfId="0" applyFont="1" applyFill="1" applyBorder="1" applyAlignment="1">
      <alignment horizontal="left" wrapText="1"/>
    </xf>
    <xf numFmtId="0" fontId="3" fillId="2" borderId="0" xfId="0" applyFont="1" applyFill="1" applyBorder="1" applyAlignment="1">
      <alignment horizontal="left" wrapText="1"/>
    </xf>
    <xf numFmtId="164" fontId="3" fillId="2" borderId="5" xfId="0" applyNumberFormat="1" applyFont="1" applyFill="1" applyBorder="1" applyAlignment="1">
      <alignment horizontal="right"/>
    </xf>
    <xf numFmtId="165" fontId="11" fillId="6" borderId="12" xfId="1" applyFont="1" applyFill="1" applyBorder="1" applyAlignment="1">
      <alignment horizontal="left"/>
    </xf>
    <xf numFmtId="0" fontId="12" fillId="7" borderId="12" xfId="1" applyNumberFormat="1" applyFont="1" applyFill="1" applyBorder="1" applyAlignment="1">
      <alignment horizontal="right"/>
    </xf>
    <xf numFmtId="0" fontId="12" fillId="7" borderId="12" xfId="0" applyFont="1" applyFill="1" applyBorder="1" applyAlignment="1">
      <alignment horizontal="left"/>
    </xf>
    <xf numFmtId="0" fontId="13" fillId="2" borderId="12" xfId="0" applyNumberFormat="1" applyFont="1" applyFill="1" applyBorder="1" applyAlignment="1">
      <alignment horizontal="right" vertical="center"/>
    </xf>
    <xf numFmtId="165" fontId="14" fillId="2" borderId="0" xfId="1" applyFont="1" applyFill="1" applyBorder="1" applyAlignment="1">
      <alignment horizontal="left" vertical="center"/>
    </xf>
    <xf numFmtId="0" fontId="14" fillId="2" borderId="0" xfId="0" applyFont="1" applyFill="1" applyBorder="1" applyAlignment="1">
      <alignment horizontal="left" vertical="center"/>
    </xf>
    <xf numFmtId="0" fontId="15" fillId="2" borderId="0" xfId="0" applyFont="1" applyFill="1" applyBorder="1" applyAlignment="1">
      <alignment horizontal="right" vertical="center"/>
    </xf>
    <xf numFmtId="165" fontId="15" fillId="2" borderId="3" xfId="1" applyFont="1" applyFill="1" applyBorder="1" applyAlignment="1">
      <alignment horizontal="left" vertical="center"/>
    </xf>
    <xf numFmtId="165" fontId="15" fillId="2" borderId="0" xfId="1" applyFont="1" applyFill="1" applyBorder="1" applyAlignment="1">
      <alignment horizontal="left" vertical="center"/>
    </xf>
    <xf numFmtId="0" fontId="15" fillId="2" borderId="0" xfId="0" applyFont="1" applyFill="1" applyBorder="1" applyAlignment="1">
      <alignment horizontal="left" vertical="center"/>
    </xf>
    <xf numFmtId="0" fontId="4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3" fillId="4" borderId="10" xfId="0" applyFont="1" applyFill="1" applyBorder="1" applyAlignment="1">
      <alignment horizontal="left"/>
    </xf>
    <xf numFmtId="168" fontId="12" fillId="7" borderId="12" xfId="0" applyNumberFormat="1" applyFont="1" applyFill="1" applyBorder="1" applyAlignment="1">
      <alignment horizontal="right"/>
    </xf>
    <xf numFmtId="168" fontId="15" fillId="6" borderId="12" xfId="0" applyNumberFormat="1" applyFont="1" applyFill="1" applyBorder="1" applyAlignment="1">
      <alignment vertical="center"/>
    </xf>
    <xf numFmtId="0" fontId="7" fillId="0" borderId="14" xfId="0" applyFont="1" applyBorder="1" applyAlignment="1">
      <alignment vertical="center"/>
    </xf>
    <xf numFmtId="0" fontId="0" fillId="0" borderId="0" xfId="0" applyBorder="1"/>
    <xf numFmtId="0" fontId="0" fillId="0" borderId="4" xfId="0" applyBorder="1"/>
    <xf numFmtId="165" fontId="10" fillId="4" borderId="8" xfId="1" applyFont="1" applyFill="1" applyBorder="1" applyAlignment="1">
      <alignment horizontal="left"/>
    </xf>
    <xf numFmtId="165" fontId="3" fillId="4" borderId="0" xfId="1" applyFont="1" applyFill="1" applyBorder="1" applyAlignment="1"/>
    <xf numFmtId="0" fontId="12" fillId="7" borderId="12" xfId="0" applyFont="1" applyFill="1" applyBorder="1" applyAlignment="1">
      <alignment horizontal="center"/>
    </xf>
    <xf numFmtId="165" fontId="12" fillId="7" borderId="12" xfId="1" applyFont="1" applyFill="1" applyBorder="1" applyAlignment="1">
      <alignment horizontal="left"/>
    </xf>
    <xf numFmtId="168" fontId="12" fillId="7" borderId="12" xfId="0" applyNumberFormat="1" applyFont="1" applyFill="1" applyBorder="1" applyAlignment="1">
      <alignment horizontal="left"/>
    </xf>
    <xf numFmtId="0" fontId="43" fillId="0" borderId="12" xfId="0" applyFont="1" applyFill="1" applyBorder="1" applyAlignment="1">
      <alignment vertical="center"/>
    </xf>
    <xf numFmtId="0" fontId="11" fillId="4" borderId="0" xfId="0" applyFont="1" applyFill="1" applyBorder="1" applyAlignment="1">
      <alignment horizontal="center" vertical="center"/>
    </xf>
    <xf numFmtId="0" fontId="11" fillId="6" borderId="15" xfId="0" applyFont="1" applyFill="1" applyBorder="1" applyAlignment="1">
      <alignment horizontal="left"/>
    </xf>
    <xf numFmtId="0" fontId="9" fillId="2" borderId="15" xfId="0" applyFont="1" applyFill="1" applyBorder="1" applyAlignment="1">
      <alignment horizontal="left" wrapText="1"/>
    </xf>
    <xf numFmtId="0" fontId="11" fillId="6" borderId="12" xfId="0" applyFont="1" applyFill="1" applyBorder="1" applyAlignment="1">
      <alignment horizontal="center"/>
    </xf>
    <xf numFmtId="0" fontId="13" fillId="0" borderId="12" xfId="0" applyFont="1" applyBorder="1" applyAlignment="1">
      <alignment vertical="center"/>
    </xf>
    <xf numFmtId="0" fontId="12" fillId="7" borderId="12" xfId="0" applyFont="1" applyFill="1" applyBorder="1" applyAlignment="1"/>
    <xf numFmtId="0" fontId="11" fillId="4" borderId="0" xfId="0" applyFont="1" applyFill="1" applyBorder="1" applyAlignment="1">
      <alignment horizontal="center" vertical="center"/>
    </xf>
    <xf numFmtId="0" fontId="12" fillId="7" borderId="12" xfId="0" applyFont="1" applyFill="1" applyBorder="1" applyAlignment="1"/>
    <xf numFmtId="0" fontId="43" fillId="0" borderId="12" xfId="0" applyFont="1" applyFill="1" applyBorder="1" applyAlignment="1">
      <alignment vertical="center"/>
    </xf>
    <xf numFmtId="0" fontId="11" fillId="6" borderId="15" xfId="0" applyFont="1" applyFill="1" applyBorder="1" applyAlignment="1">
      <alignment horizontal="left"/>
    </xf>
    <xf numFmtId="0" fontId="11" fillId="6" borderId="12" xfId="0" applyFont="1" applyFill="1" applyBorder="1" applyAlignment="1">
      <alignment horizontal="center"/>
    </xf>
    <xf numFmtId="165" fontId="15" fillId="7" borderId="0" xfId="1" applyFont="1" applyFill="1" applyBorder="1" applyAlignment="1">
      <alignment horizontal="left" vertical="center"/>
    </xf>
    <xf numFmtId="165" fontId="14" fillId="7" borderId="0" xfId="1" applyFont="1" applyFill="1" applyBorder="1" applyAlignment="1">
      <alignment horizontal="left" vertical="center"/>
    </xf>
    <xf numFmtId="0" fontId="0" fillId="7" borderId="0" xfId="0" applyFill="1"/>
    <xf numFmtId="0" fontId="15" fillId="7" borderId="0" xfId="0" applyFont="1" applyFill="1" applyBorder="1" applyAlignment="1">
      <alignment horizontal="left" vertical="center"/>
    </xf>
    <xf numFmtId="0" fontId="15" fillId="7" borderId="0" xfId="0" applyFont="1" applyFill="1" applyBorder="1" applyAlignment="1">
      <alignment horizontal="right" vertical="center"/>
    </xf>
    <xf numFmtId="168" fontId="15" fillId="7" borderId="4" xfId="0" applyNumberFormat="1" applyFont="1" applyFill="1" applyBorder="1" applyAlignment="1">
      <alignment vertical="center"/>
    </xf>
    <xf numFmtId="165" fontId="16" fillId="7" borderId="3" xfId="1" applyFont="1" applyFill="1" applyBorder="1" applyAlignment="1">
      <alignment horizontal="left" vertical="center"/>
    </xf>
    <xf numFmtId="0" fontId="13" fillId="2" borderId="12" xfId="0" applyNumberFormat="1" applyFont="1" applyFill="1" applyBorder="1" applyAlignment="1">
      <alignment horizontal="left" vertical="center"/>
    </xf>
    <xf numFmtId="0" fontId="43" fillId="0" borderId="12" xfId="0" applyFont="1" applyBorder="1" applyAlignment="1">
      <alignment vertical="center"/>
    </xf>
    <xf numFmtId="4" fontId="0" fillId="0" borderId="0" xfId="0" applyNumberFormat="1"/>
    <xf numFmtId="0" fontId="13" fillId="2" borderId="12" xfId="0" applyNumberFormat="1" applyFont="1" applyFill="1" applyBorder="1" applyAlignment="1">
      <alignment vertical="center" wrapText="1"/>
    </xf>
    <xf numFmtId="0" fontId="4" fillId="7" borderId="12" xfId="0" applyFont="1" applyFill="1" applyBorder="1" applyAlignment="1">
      <alignment vertical="center"/>
    </xf>
    <xf numFmtId="0" fontId="4" fillId="7" borderId="12" xfId="0" applyFont="1" applyFill="1" applyBorder="1" applyAlignment="1">
      <alignment vertical="center" wrapText="1"/>
    </xf>
    <xf numFmtId="0" fontId="4" fillId="7" borderId="12" xfId="0" applyFont="1" applyFill="1" applyBorder="1" applyAlignment="1"/>
    <xf numFmtId="0" fontId="4" fillId="0" borderId="12" xfId="0" applyFont="1" applyBorder="1" applyAlignment="1"/>
    <xf numFmtId="0" fontId="4" fillId="0" borderId="12" xfId="0" applyFont="1" applyBorder="1" applyAlignment="1">
      <alignment horizontal="left"/>
    </xf>
    <xf numFmtId="168" fontId="13" fillId="2" borderId="12" xfId="0" applyNumberFormat="1" applyFont="1" applyFill="1" applyBorder="1" applyAlignment="1">
      <alignment horizontal="left" vertical="center"/>
    </xf>
    <xf numFmtId="0" fontId="0" fillId="0" borderId="12" xfId="0" applyBorder="1"/>
    <xf numFmtId="168" fontId="4" fillId="0" borderId="12" xfId="0" applyNumberFormat="1" applyFont="1" applyBorder="1" applyAlignment="1">
      <alignment horizontal="left"/>
    </xf>
    <xf numFmtId="165" fontId="4" fillId="0" borderId="12" xfId="1" applyFont="1" applyBorder="1"/>
    <xf numFmtId="0" fontId="17" fillId="0" borderId="3" xfId="0" applyFont="1" applyBorder="1" applyAlignment="1">
      <alignment horizontal="center"/>
    </xf>
    <xf numFmtId="0" fontId="6" fillId="0" borderId="0" xfId="0" applyFont="1" applyBorder="1" applyAlignment="1">
      <alignment horizontal="center" vertical="top"/>
    </xf>
    <xf numFmtId="49" fontId="4" fillId="0" borderId="0" xfId="0" applyNumberFormat="1" applyFont="1"/>
    <xf numFmtId="0" fontId="6" fillId="6" borderId="15" xfId="0" applyFont="1" applyFill="1" applyBorder="1" applyAlignment="1">
      <alignment horizontal="left"/>
    </xf>
    <xf numFmtId="0" fontId="6" fillId="6" borderId="13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 wrapText="1"/>
    </xf>
    <xf numFmtId="0" fontId="1" fillId="2" borderId="15" xfId="0" applyFont="1" applyFill="1" applyBorder="1" applyAlignment="1">
      <alignment horizontal="left" wrapText="1"/>
    </xf>
    <xf numFmtId="167" fontId="1" fillId="2" borderId="13" xfId="0" applyNumberFormat="1" applyFont="1" applyFill="1" applyBorder="1" applyAlignment="1">
      <alignment horizontal="left"/>
    </xf>
    <xf numFmtId="165" fontId="1" fillId="2" borderId="3" xfId="1" applyFont="1" applyFill="1" applyBorder="1" applyAlignment="1">
      <alignment horizontal="left"/>
    </xf>
    <xf numFmtId="165" fontId="1" fillId="2" borderId="0" xfId="1" applyFont="1" applyFill="1" applyBorder="1" applyAlignment="1">
      <alignment horizontal="left"/>
    </xf>
    <xf numFmtId="2" fontId="1" fillId="2" borderId="0" xfId="0" applyNumberFormat="1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6" fillId="2" borderId="0" xfId="0" applyFont="1" applyFill="1" applyBorder="1" applyAlignment="1">
      <alignment horizontal="left" wrapText="1"/>
    </xf>
    <xf numFmtId="164" fontId="6" fillId="2" borderId="5" xfId="0" applyNumberFormat="1" applyFont="1" applyFill="1" applyBorder="1" applyAlignment="1">
      <alignment horizontal="right"/>
    </xf>
    <xf numFmtId="0" fontId="44" fillId="0" borderId="12" xfId="0" applyFont="1" applyBorder="1" applyAlignment="1">
      <alignment horizontal="left"/>
    </xf>
    <xf numFmtId="0" fontId="1" fillId="7" borderId="12" xfId="0" applyFont="1" applyFill="1" applyBorder="1" applyAlignment="1">
      <alignment horizontal="center"/>
    </xf>
    <xf numFmtId="165" fontId="1" fillId="7" borderId="12" xfId="1" applyFont="1" applyFill="1" applyBorder="1" applyAlignment="1">
      <alignment horizontal="left"/>
    </xf>
    <xf numFmtId="0" fontId="1" fillId="7" borderId="12" xfId="0" applyFont="1" applyFill="1" applyBorder="1" applyAlignment="1"/>
    <xf numFmtId="168" fontId="1" fillId="7" borderId="12" xfId="0" applyNumberFormat="1" applyFont="1" applyFill="1" applyBorder="1" applyAlignment="1">
      <alignment horizontal="left"/>
    </xf>
    <xf numFmtId="168" fontId="1" fillId="7" borderId="12" xfId="0" applyNumberFormat="1" applyFont="1" applyFill="1" applyBorder="1" applyAlignment="1">
      <alignment horizontal="right"/>
    </xf>
    <xf numFmtId="0" fontId="14" fillId="0" borderId="12" xfId="0" applyFont="1" applyBorder="1" applyAlignment="1">
      <alignment vertical="center"/>
    </xf>
    <xf numFmtId="0" fontId="45" fillId="0" borderId="12" xfId="0" applyFont="1" applyFill="1" applyBorder="1" applyAlignment="1">
      <alignment vertical="center"/>
    </xf>
    <xf numFmtId="0" fontId="44" fillId="0" borderId="12" xfId="0" applyFont="1" applyFill="1" applyBorder="1" applyAlignment="1">
      <alignment horizontal="left"/>
    </xf>
    <xf numFmtId="0" fontId="45" fillId="0" borderId="12" xfId="0" applyFont="1" applyBorder="1" applyAlignment="1">
      <alignment vertical="center"/>
    </xf>
    <xf numFmtId="49" fontId="46" fillId="0" borderId="12" xfId="0" applyNumberFormat="1" applyFont="1" applyFill="1" applyBorder="1" applyAlignment="1">
      <alignment horizontal="left"/>
    </xf>
    <xf numFmtId="0" fontId="14" fillId="2" borderId="12" xfId="0" applyNumberFormat="1" applyFont="1" applyFill="1" applyBorder="1" applyAlignment="1">
      <alignment vertical="center" wrapText="1"/>
    </xf>
    <xf numFmtId="0" fontId="1" fillId="7" borderId="12" xfId="0" applyFont="1" applyFill="1" applyBorder="1" applyAlignment="1">
      <alignment vertical="center"/>
    </xf>
    <xf numFmtId="0" fontId="1" fillId="7" borderId="12" xfId="0" applyFont="1" applyFill="1" applyBorder="1" applyAlignment="1">
      <alignment vertical="center" wrapText="1"/>
    </xf>
    <xf numFmtId="0" fontId="18" fillId="0" borderId="12" xfId="0" applyFont="1" applyBorder="1" applyAlignment="1"/>
    <xf numFmtId="0" fontId="1" fillId="0" borderId="12" xfId="0" applyFont="1" applyBorder="1" applyAlignment="1"/>
    <xf numFmtId="165" fontId="13" fillId="2" borderId="0" xfId="1" applyFont="1" applyFill="1" applyBorder="1" applyAlignment="1">
      <alignment horizontal="left" vertical="center"/>
    </xf>
    <xf numFmtId="0" fontId="13" fillId="2" borderId="0" xfId="0" applyFont="1" applyFill="1" applyBorder="1" applyAlignment="1">
      <alignment horizontal="left" vertical="center"/>
    </xf>
    <xf numFmtId="0" fontId="16" fillId="2" borderId="0" xfId="0" applyFont="1" applyFill="1" applyBorder="1" applyAlignment="1">
      <alignment horizontal="right" vertical="center"/>
    </xf>
    <xf numFmtId="165" fontId="16" fillId="2" borderId="0" xfId="1" applyFont="1" applyFill="1" applyBorder="1" applyAlignment="1">
      <alignment horizontal="left" vertical="center"/>
    </xf>
    <xf numFmtId="0" fontId="0" fillId="0" borderId="0" xfId="0" applyFont="1"/>
    <xf numFmtId="0" fontId="16" fillId="2" borderId="0" xfId="0" applyFont="1" applyFill="1" applyBorder="1" applyAlignment="1">
      <alignment horizontal="left" vertical="center"/>
    </xf>
    <xf numFmtId="165" fontId="16" fillId="7" borderId="0" xfId="1" applyFont="1" applyFill="1" applyBorder="1" applyAlignment="1">
      <alignment horizontal="left" vertical="center"/>
    </xf>
    <xf numFmtId="165" fontId="13" fillId="7" borderId="0" xfId="1" applyFont="1" applyFill="1" applyBorder="1" applyAlignment="1">
      <alignment horizontal="left" vertical="center"/>
    </xf>
    <xf numFmtId="0" fontId="0" fillId="7" borderId="0" xfId="0" applyFont="1" applyFill="1"/>
    <xf numFmtId="0" fontId="16" fillId="7" borderId="0" xfId="0" applyFont="1" applyFill="1" applyBorder="1" applyAlignment="1">
      <alignment horizontal="left" vertical="center"/>
    </xf>
    <xf numFmtId="0" fontId="16" fillId="7" borderId="0" xfId="0" applyFont="1" applyFill="1" applyBorder="1" applyAlignment="1">
      <alignment horizontal="right" vertical="center"/>
    </xf>
    <xf numFmtId="168" fontId="16" fillId="7" borderId="4" xfId="0" applyNumberFormat="1" applyFont="1" applyFill="1" applyBorder="1" applyAlignment="1">
      <alignment vertical="center"/>
    </xf>
    <xf numFmtId="0" fontId="0" fillId="4" borderId="0" xfId="0" applyFill="1"/>
    <xf numFmtId="0" fontId="11" fillId="4" borderId="0" xfId="0" applyFont="1" applyFill="1" applyBorder="1" applyAlignment="1">
      <alignment horizontal="center" vertical="center"/>
    </xf>
    <xf numFmtId="0" fontId="11" fillId="6" borderId="15" xfId="0" applyFont="1" applyFill="1" applyBorder="1" applyAlignment="1">
      <alignment horizontal="left"/>
    </xf>
    <xf numFmtId="0" fontId="11" fillId="6" borderId="12" xfId="0" applyFont="1" applyFill="1" applyBorder="1" applyAlignment="1">
      <alignment horizontal="center"/>
    </xf>
    <xf numFmtId="0" fontId="11" fillId="4" borderId="0" xfId="0" applyFont="1" applyFill="1" applyBorder="1" applyAlignment="1">
      <alignment horizontal="center" vertical="center"/>
    </xf>
    <xf numFmtId="0" fontId="11" fillId="6" borderId="15" xfId="0" applyFont="1" applyFill="1" applyBorder="1" applyAlignment="1">
      <alignment horizontal="left"/>
    </xf>
    <xf numFmtId="0" fontId="11" fillId="6" borderId="12" xfId="0" applyFont="1" applyFill="1" applyBorder="1" applyAlignment="1">
      <alignment horizontal="center"/>
    </xf>
    <xf numFmtId="0" fontId="19" fillId="7" borderId="12" xfId="0" applyFont="1" applyFill="1" applyBorder="1" applyAlignment="1">
      <alignment horizontal="center" vertical="center"/>
    </xf>
    <xf numFmtId="0" fontId="20" fillId="2" borderId="12" xfId="0" applyNumberFormat="1" applyFont="1" applyFill="1" applyBorder="1" applyAlignment="1">
      <alignment horizontal="center" vertical="center"/>
    </xf>
    <xf numFmtId="0" fontId="20" fillId="7" borderId="12" xfId="0" applyFont="1" applyFill="1" applyBorder="1" applyAlignment="1">
      <alignment horizontal="center" vertical="center"/>
    </xf>
    <xf numFmtId="0" fontId="21" fillId="7" borderId="12" xfId="0" applyFont="1" applyFill="1" applyBorder="1" applyAlignment="1">
      <alignment horizontal="center" vertical="center"/>
    </xf>
    <xf numFmtId="0" fontId="21" fillId="7" borderId="12" xfId="0" applyFont="1" applyFill="1" applyBorder="1" applyAlignment="1">
      <alignment horizontal="center" vertical="center" wrapText="1"/>
    </xf>
    <xf numFmtId="0" fontId="22" fillId="7" borderId="12" xfId="0" applyFont="1" applyFill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43" fontId="23" fillId="6" borderId="12" xfId="1" applyNumberFormat="1" applyFont="1" applyFill="1" applyBorder="1" applyAlignment="1">
      <alignment horizontal="center" vertical="center"/>
    </xf>
    <xf numFmtId="43" fontId="23" fillId="6" borderId="12" xfId="1" applyNumberFormat="1" applyFont="1" applyFill="1" applyBorder="1" applyAlignment="1">
      <alignment horizontal="left"/>
    </xf>
    <xf numFmtId="0" fontId="23" fillId="6" borderId="12" xfId="0" applyFont="1" applyFill="1" applyBorder="1" applyAlignment="1">
      <alignment horizontal="center"/>
    </xf>
    <xf numFmtId="0" fontId="23" fillId="6" borderId="12" xfId="0" applyFont="1" applyFill="1" applyBorder="1" applyAlignment="1">
      <alignment horizontal="center" vertical="center" wrapText="1"/>
    </xf>
    <xf numFmtId="0" fontId="23" fillId="6" borderId="12" xfId="0" applyFont="1" applyFill="1" applyBorder="1" applyAlignment="1">
      <alignment horizontal="left"/>
    </xf>
    <xf numFmtId="0" fontId="19" fillId="7" borderId="12" xfId="0" applyFont="1" applyFill="1" applyBorder="1" applyAlignment="1">
      <alignment horizontal="center"/>
    </xf>
    <xf numFmtId="0" fontId="19" fillId="7" borderId="12" xfId="0" applyFont="1" applyFill="1" applyBorder="1" applyAlignment="1"/>
    <xf numFmtId="168" fontId="19" fillId="7" borderId="12" xfId="0" applyNumberFormat="1" applyFont="1" applyFill="1" applyBorder="1" applyAlignment="1">
      <alignment horizontal="left"/>
    </xf>
    <xf numFmtId="168" fontId="19" fillId="7" borderId="12" xfId="0" applyNumberFormat="1" applyFont="1" applyFill="1" applyBorder="1" applyAlignment="1">
      <alignment horizontal="right"/>
    </xf>
    <xf numFmtId="0" fontId="20" fillId="0" borderId="12" xfId="0" applyFont="1" applyBorder="1" applyAlignment="1">
      <alignment vertical="center"/>
    </xf>
    <xf numFmtId="0" fontId="47" fillId="0" borderId="12" xfId="0" applyFont="1" applyFill="1" applyBorder="1" applyAlignment="1">
      <alignment vertical="center"/>
    </xf>
    <xf numFmtId="0" fontId="47" fillId="0" borderId="12" xfId="0" applyFont="1" applyBorder="1" applyAlignment="1">
      <alignment vertical="center"/>
    </xf>
    <xf numFmtId="0" fontId="20" fillId="2" borderId="12" xfId="0" applyNumberFormat="1" applyFont="1" applyFill="1" applyBorder="1" applyAlignment="1">
      <alignment vertical="center" wrapText="1"/>
    </xf>
    <xf numFmtId="0" fontId="21" fillId="7" borderId="12" xfId="0" applyFont="1" applyFill="1" applyBorder="1" applyAlignment="1">
      <alignment vertical="center"/>
    </xf>
    <xf numFmtId="0" fontId="21" fillId="7" borderId="12" xfId="0" applyFont="1" applyFill="1" applyBorder="1" applyAlignment="1">
      <alignment vertical="center" wrapText="1"/>
    </xf>
    <xf numFmtId="0" fontId="21" fillId="7" borderId="12" xfId="0" applyFont="1" applyFill="1" applyBorder="1" applyAlignment="1"/>
    <xf numFmtId="0" fontId="24" fillId="0" borderId="12" xfId="0" applyFont="1" applyBorder="1" applyAlignment="1"/>
    <xf numFmtId="0" fontId="21" fillId="0" borderId="12" xfId="0" applyFont="1" applyBorder="1" applyAlignment="1"/>
    <xf numFmtId="0" fontId="20" fillId="2" borderId="12" xfId="0" applyNumberFormat="1" applyFont="1" applyFill="1" applyBorder="1" applyAlignment="1">
      <alignment horizontal="right" vertical="center"/>
    </xf>
    <xf numFmtId="43" fontId="25" fillId="2" borderId="3" xfId="1" applyNumberFormat="1" applyFont="1" applyFill="1" applyBorder="1" applyAlignment="1">
      <alignment horizontal="center" vertical="center"/>
    </xf>
    <xf numFmtId="43" fontId="25" fillId="2" borderId="0" xfId="1" applyNumberFormat="1" applyFont="1" applyFill="1" applyBorder="1" applyAlignment="1">
      <alignment horizontal="left" vertical="center"/>
    </xf>
    <xf numFmtId="0" fontId="25" fillId="2" borderId="0" xfId="0" applyFont="1" applyFill="1" applyBorder="1" applyAlignment="1">
      <alignment horizontal="left" vertical="center"/>
    </xf>
    <xf numFmtId="0" fontId="27" fillId="2" borderId="0" xfId="0" applyFont="1" applyFill="1" applyBorder="1" applyAlignment="1">
      <alignment horizontal="right" vertical="center"/>
    </xf>
    <xf numFmtId="168" fontId="27" fillId="3" borderId="12" xfId="0" applyNumberFormat="1" applyFont="1" applyFill="1" applyBorder="1" applyAlignment="1">
      <alignment vertical="center"/>
    </xf>
    <xf numFmtId="165" fontId="23" fillId="2" borderId="0" xfId="1" applyNumberFormat="1" applyFont="1" applyFill="1" applyBorder="1" applyAlignment="1">
      <alignment horizontal="center" vertical="center"/>
    </xf>
    <xf numFmtId="43" fontId="26" fillId="2" borderId="0" xfId="1" applyNumberFormat="1" applyFont="1" applyFill="1" applyBorder="1" applyAlignment="1">
      <alignment horizontal="left" vertical="center"/>
    </xf>
    <xf numFmtId="0" fontId="26" fillId="2" borderId="0" xfId="0" applyFont="1" applyFill="1" applyBorder="1" applyAlignment="1">
      <alignment horizontal="left" vertical="center"/>
    </xf>
    <xf numFmtId="0" fontId="26" fillId="2" borderId="0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right" vertical="center"/>
    </xf>
    <xf numFmtId="168" fontId="26" fillId="3" borderId="12" xfId="0" applyNumberFormat="1" applyFont="1" applyFill="1" applyBorder="1" applyAlignment="1">
      <alignment vertical="center"/>
    </xf>
    <xf numFmtId="0" fontId="28" fillId="2" borderId="0" xfId="0" applyFont="1" applyFill="1" applyBorder="1" applyAlignment="1">
      <alignment horizontal="right" vertical="center"/>
    </xf>
    <xf numFmtId="168" fontId="29" fillId="6" borderId="12" xfId="0" applyNumberFormat="1" applyFont="1" applyFill="1" applyBorder="1" applyAlignment="1">
      <alignment vertical="center"/>
    </xf>
    <xf numFmtId="165" fontId="25" fillId="0" borderId="1" xfId="2" applyFont="1" applyBorder="1" applyAlignment="1">
      <alignment horizontal="center" vertical="center"/>
    </xf>
    <xf numFmtId="165" fontId="25" fillId="0" borderId="2" xfId="2" applyFont="1" applyBorder="1" applyAlignment="1">
      <alignment horizontal="left" indent="1"/>
    </xf>
    <xf numFmtId="0" fontId="47" fillId="0" borderId="0" xfId="0" applyFont="1"/>
    <xf numFmtId="165" fontId="25" fillId="0" borderId="3" xfId="2" applyFont="1" applyBorder="1" applyAlignment="1">
      <alignment horizontal="center" vertical="center"/>
    </xf>
    <xf numFmtId="165" fontId="25" fillId="0" borderId="0" xfId="2" applyFont="1" applyBorder="1" applyAlignment="1">
      <alignment horizontal="left"/>
    </xf>
    <xf numFmtId="0" fontId="25" fillId="0" borderId="0" xfId="0" applyFont="1" applyBorder="1" applyAlignment="1">
      <alignment horizontal="left"/>
    </xf>
    <xf numFmtId="0" fontId="25" fillId="0" borderId="0" xfId="0" applyFont="1" applyBorder="1" applyAlignment="1"/>
    <xf numFmtId="0" fontId="31" fillId="0" borderId="0" xfId="0" applyFont="1" applyBorder="1" applyAlignment="1">
      <alignment horizontal="center" vertical="center"/>
    </xf>
    <xf numFmtId="0" fontId="31" fillId="0" borderId="0" xfId="0" applyFont="1" applyBorder="1" applyAlignment="1">
      <alignment horizontal="left"/>
    </xf>
    <xf numFmtId="166" fontId="31" fillId="0" borderId="4" xfId="0" applyNumberFormat="1" applyFont="1" applyBorder="1" applyAlignment="1">
      <alignment horizontal="left"/>
    </xf>
    <xf numFmtId="165" fontId="21" fillId="0" borderId="3" xfId="2" applyFont="1" applyBorder="1" applyAlignment="1">
      <alignment horizontal="center" vertical="center"/>
    </xf>
    <xf numFmtId="165" fontId="21" fillId="0" borderId="0" xfId="2" applyFont="1" applyBorder="1"/>
    <xf numFmtId="0" fontId="29" fillId="0" borderId="3" xfId="0" applyFont="1" applyBorder="1" applyAlignment="1">
      <alignment horizontal="center"/>
    </xf>
    <xf numFmtId="0" fontId="26" fillId="0" borderId="0" xfId="0" applyFont="1" applyBorder="1" applyAlignment="1"/>
    <xf numFmtId="0" fontId="32" fillId="0" borderId="0" xfId="0" applyFont="1" applyAlignment="1">
      <alignment horizontal="center" vertical="center"/>
    </xf>
    <xf numFmtId="0" fontId="32" fillId="0" borderId="0" xfId="0" applyFont="1"/>
    <xf numFmtId="0" fontId="32" fillId="0" borderId="4" xfId="0" applyFont="1" applyBorder="1"/>
    <xf numFmtId="0" fontId="33" fillId="0" borderId="0" xfId="0" applyFont="1" applyBorder="1" applyAlignment="1">
      <alignment vertical="top"/>
    </xf>
    <xf numFmtId="0" fontId="33" fillId="0" borderId="0" xfId="0" applyFont="1" applyBorder="1" applyAlignment="1">
      <alignment horizontal="center" vertical="top"/>
    </xf>
    <xf numFmtId="0" fontId="32" fillId="0" borderId="0" xfId="0" applyFont="1" applyBorder="1" applyAlignment="1">
      <alignment horizontal="center" vertical="center"/>
    </xf>
    <xf numFmtId="0" fontId="32" fillId="0" borderId="0" xfId="0" applyFont="1" applyBorder="1" applyAlignment="1">
      <alignment horizontal="left"/>
    </xf>
    <xf numFmtId="0" fontId="32" fillId="0" borderId="5" xfId="0" applyFont="1" applyBorder="1" applyAlignment="1">
      <alignment horizontal="left"/>
    </xf>
    <xf numFmtId="0" fontId="33" fillId="0" borderId="3" xfId="0" applyFont="1" applyBorder="1" applyAlignment="1">
      <alignment horizontal="center" vertical="center"/>
    </xf>
    <xf numFmtId="0" fontId="22" fillId="0" borderId="0" xfId="0" applyFont="1"/>
    <xf numFmtId="49" fontId="22" fillId="0" borderId="0" xfId="0" applyNumberFormat="1" applyFont="1"/>
    <xf numFmtId="0" fontId="22" fillId="0" borderId="0" xfId="0" applyFont="1" applyBorder="1"/>
    <xf numFmtId="165" fontId="22" fillId="0" borderId="3" xfId="2" applyFont="1" applyBorder="1" applyAlignment="1">
      <alignment horizontal="center" vertical="center"/>
    </xf>
    <xf numFmtId="165" fontId="22" fillId="0" borderId="0" xfId="2" applyFont="1" applyBorder="1"/>
    <xf numFmtId="166" fontId="32" fillId="0" borderId="5" xfId="0" applyNumberFormat="1" applyFont="1" applyBorder="1" applyAlignment="1">
      <alignment horizontal="left"/>
    </xf>
    <xf numFmtId="0" fontId="26" fillId="0" borderId="0" xfId="0" applyFont="1" applyBorder="1" applyAlignment="1">
      <alignment horizontal="center"/>
    </xf>
    <xf numFmtId="0" fontId="32" fillId="0" borderId="0" xfId="0" applyFont="1" applyBorder="1" applyAlignment="1">
      <alignment vertical="center"/>
    </xf>
    <xf numFmtId="0" fontId="32" fillId="0" borderId="5" xfId="0" applyFont="1" applyBorder="1" applyAlignment="1">
      <alignment vertical="center"/>
    </xf>
    <xf numFmtId="165" fontId="28" fillId="4" borderId="6" xfId="2" applyFont="1" applyFill="1" applyBorder="1" applyAlignment="1">
      <alignment horizontal="center" vertical="center"/>
    </xf>
    <xf numFmtId="165" fontId="28" fillId="4" borderId="8" xfId="2" applyFont="1" applyFill="1" applyBorder="1" applyAlignment="1">
      <alignment horizontal="left"/>
    </xf>
    <xf numFmtId="0" fontId="32" fillId="5" borderId="7" xfId="0" applyFont="1" applyFill="1" applyBorder="1" applyAlignment="1">
      <alignment horizontal="left" vertical="center"/>
    </xf>
    <xf numFmtId="0" fontId="23" fillId="4" borderId="8" xfId="0" applyFont="1" applyFill="1" applyBorder="1" applyAlignment="1">
      <alignment vertical="center"/>
    </xf>
    <xf numFmtId="0" fontId="21" fillId="4" borderId="8" xfId="0" applyFont="1" applyFill="1" applyBorder="1" applyAlignment="1">
      <alignment vertical="center"/>
    </xf>
    <xf numFmtId="0" fontId="32" fillId="4" borderId="8" xfId="0" applyFont="1" applyFill="1" applyBorder="1" applyAlignment="1">
      <alignment horizontal="center" vertical="center"/>
    </xf>
    <xf numFmtId="0" fontId="32" fillId="4" borderId="8" xfId="0" applyFont="1" applyFill="1" applyBorder="1" applyAlignment="1">
      <alignment vertical="center"/>
    </xf>
    <xf numFmtId="0" fontId="31" fillId="4" borderId="9" xfId="0" applyFont="1" applyFill="1" applyBorder="1" applyAlignment="1">
      <alignment vertical="top"/>
    </xf>
    <xf numFmtId="165" fontId="31" fillId="4" borderId="3" xfId="2" applyFont="1" applyFill="1" applyBorder="1" applyAlignment="1">
      <alignment horizontal="center" vertical="center"/>
    </xf>
    <xf numFmtId="165" fontId="31" fillId="4" borderId="0" xfId="2" applyFont="1" applyFill="1" applyBorder="1" applyAlignment="1">
      <alignment horizontal="left"/>
    </xf>
    <xf numFmtId="0" fontId="32" fillId="4" borderId="0" xfId="0" applyFont="1" applyFill="1" applyBorder="1" applyAlignment="1">
      <alignment horizontal="center" vertical="center"/>
    </xf>
    <xf numFmtId="0" fontId="32" fillId="4" borderId="0" xfId="0" applyFont="1" applyFill="1" applyBorder="1" applyAlignment="1">
      <alignment vertical="center"/>
    </xf>
    <xf numFmtId="0" fontId="31" fillId="4" borderId="4" xfId="0" applyFont="1" applyFill="1" applyBorder="1" applyAlignment="1">
      <alignment vertical="top"/>
    </xf>
    <xf numFmtId="165" fontId="31" fillId="4" borderId="0" xfId="2" applyFont="1" applyFill="1" applyBorder="1" applyAlignment="1"/>
    <xf numFmtId="0" fontId="32" fillId="5" borderId="10" xfId="0" applyFont="1" applyFill="1" applyBorder="1" applyAlignment="1">
      <alignment horizontal="left" vertical="center"/>
    </xf>
    <xf numFmtId="49" fontId="19" fillId="4" borderId="0" xfId="0" applyNumberFormat="1" applyFont="1" applyFill="1" applyBorder="1" applyAlignment="1">
      <alignment horizontal="left" vertical="center"/>
    </xf>
    <xf numFmtId="0" fontId="21" fillId="4" borderId="0" xfId="0" applyFont="1" applyFill="1" applyBorder="1" applyAlignment="1">
      <alignment horizontal="left" vertical="center"/>
    </xf>
    <xf numFmtId="49" fontId="23" fillId="4" borderId="0" xfId="0" applyNumberFormat="1" applyFont="1" applyFill="1" applyBorder="1" applyAlignment="1">
      <alignment horizontal="left" vertical="center"/>
    </xf>
    <xf numFmtId="165" fontId="22" fillId="4" borderId="3" xfId="2" applyFont="1" applyFill="1" applyBorder="1" applyAlignment="1">
      <alignment horizontal="center" vertical="center"/>
    </xf>
    <xf numFmtId="165" fontId="22" fillId="4" borderId="0" xfId="2" applyFont="1" applyFill="1" applyBorder="1" applyAlignment="1"/>
    <xf numFmtId="0" fontId="32" fillId="5" borderId="10" xfId="0" quotePrefix="1" applyFont="1" applyFill="1" applyBorder="1" applyAlignment="1">
      <alignment horizontal="left" vertical="center"/>
    </xf>
    <xf numFmtId="0" fontId="48" fillId="4" borderId="0" xfId="3" applyFont="1" applyFill="1" applyBorder="1" applyAlignment="1" applyProtection="1">
      <alignment horizontal="left" vertical="center"/>
    </xf>
    <xf numFmtId="165" fontId="22" fillId="4" borderId="11" xfId="2" applyFont="1" applyFill="1" applyBorder="1" applyAlignment="1">
      <alignment horizontal="center" vertical="center"/>
    </xf>
    <xf numFmtId="0" fontId="31" fillId="4" borderId="10" xfId="0" applyFont="1" applyFill="1" applyBorder="1" applyAlignment="1">
      <alignment horizontal="left"/>
    </xf>
    <xf numFmtId="0" fontId="23" fillId="4" borderId="0" xfId="0" applyFont="1" applyFill="1" applyBorder="1" applyAlignment="1">
      <alignment horizontal="center" vertical="center"/>
    </xf>
    <xf numFmtId="0" fontId="22" fillId="4" borderId="0" xfId="0" applyFont="1" applyFill="1" applyAlignment="1">
      <alignment horizontal="center" vertical="center"/>
    </xf>
    <xf numFmtId="0" fontId="22" fillId="4" borderId="0" xfId="0" applyFont="1" applyFill="1"/>
    <xf numFmtId="0" fontId="23" fillId="6" borderId="15" xfId="0" applyFont="1" applyFill="1" applyBorder="1" applyAlignment="1">
      <alignment horizontal="center" vertical="center"/>
    </xf>
    <xf numFmtId="0" fontId="23" fillId="6" borderId="15" xfId="0" applyFont="1" applyFill="1" applyBorder="1" applyAlignment="1">
      <alignment horizontal="left"/>
    </xf>
    <xf numFmtId="0" fontId="23" fillId="6" borderId="13" xfId="0" applyFont="1" applyFill="1" applyBorder="1" applyAlignment="1">
      <alignment horizontal="left"/>
    </xf>
    <xf numFmtId="0" fontId="22" fillId="2" borderId="12" xfId="0" applyFont="1" applyFill="1" applyBorder="1" applyAlignment="1">
      <alignment horizontal="left" wrapText="1"/>
    </xf>
    <xf numFmtId="0" fontId="22" fillId="2" borderId="15" xfId="0" applyFont="1" applyFill="1" applyBorder="1" applyAlignment="1">
      <alignment horizontal="center" vertical="center" wrapText="1"/>
    </xf>
    <xf numFmtId="0" fontId="22" fillId="2" borderId="15" xfId="0" applyFont="1" applyFill="1" applyBorder="1" applyAlignment="1">
      <alignment horizontal="left" wrapText="1"/>
    </xf>
    <xf numFmtId="167" fontId="22" fillId="2" borderId="13" xfId="0" applyNumberFormat="1" applyFont="1" applyFill="1" applyBorder="1" applyAlignment="1">
      <alignment horizontal="left"/>
    </xf>
    <xf numFmtId="165" fontId="22" fillId="2" borderId="3" xfId="2" applyFont="1" applyFill="1" applyBorder="1" applyAlignment="1">
      <alignment horizontal="center" vertical="center"/>
    </xf>
    <xf numFmtId="165" fontId="22" fillId="2" borderId="0" xfId="2" applyFont="1" applyFill="1" applyBorder="1" applyAlignment="1">
      <alignment horizontal="left"/>
    </xf>
    <xf numFmtId="2" fontId="22" fillId="2" borderId="0" xfId="0" applyNumberFormat="1" applyFont="1" applyFill="1" applyBorder="1" applyAlignment="1">
      <alignment horizontal="left"/>
    </xf>
    <xf numFmtId="0" fontId="22" fillId="2" borderId="0" xfId="0" applyFont="1" applyFill="1" applyBorder="1" applyAlignment="1">
      <alignment horizontal="left" wrapText="1"/>
    </xf>
    <xf numFmtId="0" fontId="31" fillId="2" borderId="0" xfId="0" applyFont="1" applyFill="1" applyBorder="1" applyAlignment="1">
      <alignment horizontal="center" vertical="center" wrapText="1"/>
    </xf>
    <xf numFmtId="0" fontId="31" fillId="2" borderId="0" xfId="0" applyFont="1" applyFill="1" applyBorder="1" applyAlignment="1">
      <alignment horizontal="left" wrapText="1"/>
    </xf>
    <xf numFmtId="164" fontId="31" fillId="2" borderId="5" xfId="0" applyNumberFormat="1" applyFont="1" applyFill="1" applyBorder="1" applyAlignment="1">
      <alignment horizontal="right"/>
    </xf>
    <xf numFmtId="165" fontId="23" fillId="6" borderId="12" xfId="2" applyFont="1" applyFill="1" applyBorder="1" applyAlignment="1">
      <alignment horizontal="center" vertical="center"/>
    </xf>
    <xf numFmtId="165" fontId="23" fillId="6" borderId="12" xfId="2" applyFont="1" applyFill="1" applyBorder="1" applyAlignment="1">
      <alignment horizontal="left"/>
    </xf>
    <xf numFmtId="0" fontId="19" fillId="7" borderId="12" xfId="2" applyNumberFormat="1" applyFont="1" applyFill="1" applyBorder="1" applyAlignment="1">
      <alignment horizontal="center" vertical="center"/>
    </xf>
    <xf numFmtId="165" fontId="19" fillId="7" borderId="12" xfId="2" applyFont="1" applyFill="1" applyBorder="1" applyAlignment="1">
      <alignment horizontal="left"/>
    </xf>
    <xf numFmtId="165" fontId="25" fillId="2" borderId="3" xfId="2" applyFont="1" applyFill="1" applyBorder="1" applyAlignment="1">
      <alignment horizontal="center" vertical="center"/>
    </xf>
    <xf numFmtId="165" fontId="25" fillId="2" borderId="0" xfId="2" applyFont="1" applyFill="1" applyBorder="1" applyAlignment="1">
      <alignment horizontal="left" vertical="center"/>
    </xf>
    <xf numFmtId="165" fontId="26" fillId="2" borderId="3" xfId="2" applyFont="1" applyFill="1" applyBorder="1" applyAlignment="1">
      <alignment horizontal="center" vertical="center"/>
    </xf>
    <xf numFmtId="165" fontId="26" fillId="2" borderId="0" xfId="2" applyFont="1" applyFill="1" applyBorder="1" applyAlignment="1">
      <alignment horizontal="left" vertical="center"/>
    </xf>
    <xf numFmtId="168" fontId="27" fillId="6" borderId="12" xfId="0" applyNumberFormat="1" applyFont="1" applyFill="1" applyBorder="1" applyAlignment="1">
      <alignment vertical="center"/>
    </xf>
    <xf numFmtId="165" fontId="21" fillId="0" borderId="1" xfId="2" applyFont="1" applyBorder="1" applyAlignment="1">
      <alignment horizontal="center" vertical="center"/>
    </xf>
    <xf numFmtId="165" fontId="21" fillId="0" borderId="2" xfId="2" applyFont="1" applyBorder="1" applyAlignment="1">
      <alignment vertical="center"/>
    </xf>
    <xf numFmtId="0" fontId="21" fillId="0" borderId="2" xfId="0" applyFont="1" applyBorder="1" applyAlignment="1">
      <alignment vertical="center"/>
    </xf>
    <xf numFmtId="0" fontId="32" fillId="0" borderId="2" xfId="0" applyFont="1" applyBorder="1" applyAlignment="1">
      <alignment horizontal="center" vertical="center"/>
    </xf>
    <xf numFmtId="0" fontId="32" fillId="0" borderId="2" xfId="0" applyFont="1" applyBorder="1" applyAlignment="1">
      <alignment vertical="center"/>
    </xf>
    <xf numFmtId="0" fontId="32" fillId="0" borderId="14" xfId="0" applyFont="1" applyBorder="1" applyAlignment="1">
      <alignment vertical="center"/>
    </xf>
    <xf numFmtId="0" fontId="47" fillId="0" borderId="0" xfId="0" applyFont="1" applyBorder="1" applyAlignment="1">
      <alignment horizontal="center" vertical="center"/>
    </xf>
    <xf numFmtId="0" fontId="47" fillId="0" borderId="0" xfId="0" applyFont="1" applyBorder="1"/>
    <xf numFmtId="0" fontId="47" fillId="0" borderId="4" xfId="0" applyFont="1" applyBorder="1"/>
    <xf numFmtId="0" fontId="47" fillId="0" borderId="0" xfId="0" applyFont="1" applyAlignment="1">
      <alignment horizontal="center" vertical="center"/>
    </xf>
    <xf numFmtId="0" fontId="19" fillId="4" borderId="0" xfId="0" applyFont="1" applyFill="1" applyBorder="1" applyAlignment="1">
      <alignment vertical="center"/>
    </xf>
    <xf numFmtId="0" fontId="21" fillId="4" borderId="0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65" fontId="4" fillId="0" borderId="2" xfId="2" applyFont="1" applyBorder="1" applyAlignment="1">
      <alignment vertical="center"/>
    </xf>
    <xf numFmtId="165" fontId="4" fillId="0" borderId="1" xfId="2" applyFont="1" applyBorder="1" applyAlignment="1">
      <alignment horizontal="center" vertical="center"/>
    </xf>
    <xf numFmtId="168" fontId="34" fillId="6" borderId="12" xfId="0" applyNumberFormat="1" applyFont="1" applyFill="1" applyBorder="1" applyAlignment="1">
      <alignment vertical="center"/>
    </xf>
    <xf numFmtId="168" fontId="15" fillId="3" borderId="12" xfId="0" applyNumberFormat="1" applyFont="1" applyFill="1" applyBorder="1" applyAlignment="1">
      <alignment vertical="center"/>
    </xf>
    <xf numFmtId="0" fontId="15" fillId="2" borderId="0" xfId="0" applyFont="1" applyFill="1" applyBorder="1" applyAlignment="1">
      <alignment horizontal="center" vertical="center"/>
    </xf>
    <xf numFmtId="165" fontId="15" fillId="2" borderId="0" xfId="2" applyFont="1" applyFill="1" applyBorder="1" applyAlignment="1">
      <alignment horizontal="left" vertical="center"/>
    </xf>
    <xf numFmtId="165" fontId="14" fillId="2" borderId="0" xfId="2" applyFont="1" applyFill="1" applyBorder="1" applyAlignment="1">
      <alignment horizontal="left" vertical="center"/>
    </xf>
    <xf numFmtId="165" fontId="15" fillId="2" borderId="3" xfId="2" applyFont="1" applyFill="1" applyBorder="1" applyAlignment="1">
      <alignment horizontal="center" vertical="center"/>
    </xf>
    <xf numFmtId="168" fontId="35" fillId="3" borderId="12" xfId="0" applyNumberFormat="1" applyFont="1" applyFill="1" applyBorder="1" applyAlignment="1">
      <alignment vertical="center"/>
    </xf>
    <xf numFmtId="165" fontId="14" fillId="2" borderId="3" xfId="2" applyFont="1" applyFill="1" applyBorder="1" applyAlignment="1">
      <alignment horizontal="center" vertical="center"/>
    </xf>
    <xf numFmtId="0" fontId="13" fillId="2" borderId="12" xfId="0" applyNumberFormat="1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9" fillId="7" borderId="12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 wrapText="1"/>
    </xf>
    <xf numFmtId="0" fontId="13" fillId="7" borderId="12" xfId="0" applyFont="1" applyFill="1" applyBorder="1" applyAlignment="1">
      <alignment horizontal="center" vertical="center"/>
    </xf>
    <xf numFmtId="0" fontId="11" fillId="6" borderId="12" xfId="0" applyFont="1" applyFill="1" applyBorder="1" applyAlignment="1">
      <alignment horizontal="center" vertical="center" wrapText="1"/>
    </xf>
    <xf numFmtId="165" fontId="11" fillId="6" borderId="12" xfId="2" applyFont="1" applyFill="1" applyBorder="1" applyAlignment="1">
      <alignment horizontal="left"/>
    </xf>
    <xf numFmtId="165" fontId="11" fillId="6" borderId="12" xfId="2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165" fontId="9" fillId="2" borderId="0" xfId="2" applyFont="1" applyFill="1" applyBorder="1" applyAlignment="1">
      <alignment horizontal="left"/>
    </xf>
    <xf numFmtId="165" fontId="9" fillId="2" borderId="3" xfId="2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 wrapText="1"/>
    </xf>
    <xf numFmtId="0" fontId="11" fillId="6" borderId="15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165" fontId="9" fillId="4" borderId="0" xfId="2" applyFont="1" applyFill="1" applyBorder="1" applyAlignment="1"/>
    <xf numFmtId="165" fontId="9" fillId="4" borderId="11" xfId="2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center" vertical="center"/>
    </xf>
    <xf numFmtId="165" fontId="9" fillId="4" borderId="3" xfId="2" applyFont="1" applyFill="1" applyBorder="1" applyAlignment="1">
      <alignment horizontal="center" vertical="center"/>
    </xf>
    <xf numFmtId="165" fontId="3" fillId="4" borderId="0" xfId="2" applyFont="1" applyFill="1" applyBorder="1" applyAlignment="1"/>
    <xf numFmtId="165" fontId="3" fillId="4" borderId="3" xfId="2" applyFont="1" applyFill="1" applyBorder="1" applyAlignment="1">
      <alignment horizontal="center" vertical="center"/>
    </xf>
    <xf numFmtId="165" fontId="3" fillId="4" borderId="0" xfId="2" applyFont="1" applyFill="1" applyBorder="1" applyAlignment="1">
      <alignment horizontal="left"/>
    </xf>
    <xf numFmtId="0" fontId="7" fillId="4" borderId="8" xfId="0" applyFont="1" applyFill="1" applyBorder="1" applyAlignment="1">
      <alignment horizontal="center" vertical="center"/>
    </xf>
    <xf numFmtId="165" fontId="10" fillId="4" borderId="8" xfId="2" applyFont="1" applyFill="1" applyBorder="1" applyAlignment="1">
      <alignment horizontal="left"/>
    </xf>
    <xf numFmtId="165" fontId="10" fillId="4" borderId="6" xfId="2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165" fontId="9" fillId="0" borderId="0" xfId="2" applyFont="1" applyBorder="1"/>
    <xf numFmtId="165" fontId="9" fillId="0" borderId="3" xfId="2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165" fontId="4" fillId="0" borderId="0" xfId="2" applyFont="1" applyBorder="1"/>
    <xf numFmtId="165" fontId="4" fillId="0" borderId="3" xfId="2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65" fontId="1" fillId="0" borderId="0" xfId="2" applyFont="1" applyBorder="1" applyAlignment="1">
      <alignment horizontal="left"/>
    </xf>
    <xf numFmtId="165" fontId="1" fillId="0" borderId="3" xfId="2" applyFont="1" applyBorder="1" applyAlignment="1">
      <alignment horizontal="center" vertical="center"/>
    </xf>
    <xf numFmtId="165" fontId="1" fillId="0" borderId="2" xfId="2" applyFont="1" applyBorder="1" applyAlignment="1">
      <alignment horizontal="left" indent="1"/>
    </xf>
    <xf numFmtId="165" fontId="1" fillId="0" borderId="1" xfId="2" applyFont="1" applyBorder="1" applyAlignment="1">
      <alignment horizontal="center" vertical="center"/>
    </xf>
    <xf numFmtId="43" fontId="25" fillId="0" borderId="1" xfId="1" applyNumberFormat="1" applyFont="1" applyBorder="1" applyAlignment="1">
      <alignment horizontal="center" vertical="center"/>
    </xf>
    <xf numFmtId="43" fontId="25" fillId="0" borderId="2" xfId="1" applyNumberFormat="1" applyFont="1" applyBorder="1" applyAlignment="1">
      <alignment horizontal="left" indent="1"/>
    </xf>
    <xf numFmtId="43" fontId="25" fillId="0" borderId="3" xfId="1" applyNumberFormat="1" applyFont="1" applyBorder="1" applyAlignment="1">
      <alignment horizontal="center" vertical="center"/>
    </xf>
    <xf numFmtId="43" fontId="25" fillId="0" borderId="0" xfId="1" applyNumberFormat="1" applyFont="1" applyBorder="1" applyAlignment="1">
      <alignment horizontal="left"/>
    </xf>
    <xf numFmtId="43" fontId="21" fillId="0" borderId="3" xfId="1" applyNumberFormat="1" applyFont="1" applyBorder="1" applyAlignment="1">
      <alignment horizontal="center" vertical="center"/>
    </xf>
    <xf numFmtId="43" fontId="21" fillId="0" borderId="0" xfId="1" applyNumberFormat="1" applyFont="1" applyBorder="1"/>
    <xf numFmtId="43" fontId="22" fillId="0" borderId="3" xfId="1" applyNumberFormat="1" applyFont="1" applyBorder="1" applyAlignment="1">
      <alignment horizontal="center" vertical="center"/>
    </xf>
    <xf numFmtId="43" fontId="22" fillId="0" borderId="0" xfId="1" applyNumberFormat="1" applyFont="1" applyBorder="1"/>
    <xf numFmtId="43" fontId="28" fillId="4" borderId="6" xfId="1" applyNumberFormat="1" applyFont="1" applyFill="1" applyBorder="1" applyAlignment="1">
      <alignment horizontal="center" vertical="center"/>
    </xf>
    <xf numFmtId="43" fontId="28" fillId="4" borderId="8" xfId="1" applyNumberFormat="1" applyFont="1" applyFill="1" applyBorder="1" applyAlignment="1">
      <alignment horizontal="left"/>
    </xf>
    <xf numFmtId="43" fontId="31" fillId="4" borderId="3" xfId="1" applyNumberFormat="1" applyFont="1" applyFill="1" applyBorder="1" applyAlignment="1">
      <alignment horizontal="center" vertical="center"/>
    </xf>
    <xf numFmtId="43" fontId="31" fillId="4" borderId="0" xfId="1" applyNumberFormat="1" applyFont="1" applyFill="1" applyBorder="1" applyAlignment="1">
      <alignment horizontal="left"/>
    </xf>
    <xf numFmtId="43" fontId="31" fillId="4" borderId="0" xfId="1" applyNumberFormat="1" applyFont="1" applyFill="1" applyBorder="1" applyAlignment="1"/>
    <xf numFmtId="43" fontId="22" fillId="4" borderId="3" xfId="1" applyNumberFormat="1" applyFont="1" applyFill="1" applyBorder="1" applyAlignment="1">
      <alignment horizontal="center" vertical="center"/>
    </xf>
    <xf numFmtId="43" fontId="22" fillId="4" borderId="0" xfId="1" applyNumberFormat="1" applyFont="1" applyFill="1" applyBorder="1" applyAlignment="1"/>
    <xf numFmtId="43" fontId="22" fillId="4" borderId="11" xfId="1" applyNumberFormat="1" applyFont="1" applyFill="1" applyBorder="1" applyAlignment="1">
      <alignment horizontal="center" vertical="center"/>
    </xf>
    <xf numFmtId="43" fontId="22" fillId="2" borderId="3" xfId="1" applyNumberFormat="1" applyFont="1" applyFill="1" applyBorder="1" applyAlignment="1">
      <alignment horizontal="center" vertical="center"/>
    </xf>
    <xf numFmtId="43" fontId="22" fillId="2" borderId="0" xfId="1" applyNumberFormat="1" applyFont="1" applyFill="1" applyBorder="1" applyAlignment="1">
      <alignment horizontal="left"/>
    </xf>
    <xf numFmtId="43" fontId="19" fillId="2" borderId="0" xfId="1" applyNumberFormat="1" applyFont="1" applyFill="1" applyBorder="1" applyAlignment="1">
      <alignment horizontal="left" vertical="center"/>
    </xf>
    <xf numFmtId="165" fontId="32" fillId="2" borderId="0" xfId="1" applyNumberFormat="1" applyFont="1" applyFill="1" applyBorder="1" applyAlignment="1">
      <alignment horizontal="center" vertical="center"/>
    </xf>
    <xf numFmtId="43" fontId="26" fillId="2" borderId="3" xfId="1" applyNumberFormat="1" applyFont="1" applyFill="1" applyBorder="1" applyAlignment="1">
      <alignment vertical="center"/>
    </xf>
    <xf numFmtId="0" fontId="49" fillId="0" borderId="0" xfId="0" applyFont="1"/>
    <xf numFmtId="43" fontId="21" fillId="0" borderId="1" xfId="1" applyNumberFormat="1" applyFont="1" applyBorder="1" applyAlignment="1">
      <alignment horizontal="center" vertical="center"/>
    </xf>
    <xf numFmtId="43" fontId="21" fillId="0" borderId="2" xfId="1" applyNumberFormat="1" applyFont="1" applyBorder="1" applyAlignment="1">
      <alignment vertical="center"/>
    </xf>
    <xf numFmtId="0" fontId="3" fillId="0" borderId="0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0" fontId="9" fillId="4" borderId="0" xfId="0" applyFont="1" applyFill="1" applyAlignment="1">
      <alignment horizontal="center"/>
    </xf>
    <xf numFmtId="0" fontId="11" fillId="6" borderId="15" xfId="0" applyFont="1" applyFill="1" applyBorder="1" applyAlignment="1">
      <alignment horizontal="center"/>
    </xf>
    <xf numFmtId="0" fontId="9" fillId="2" borderId="15" xfId="0" applyFont="1" applyFill="1" applyBorder="1" applyAlignment="1">
      <alignment horizontal="center" wrapText="1"/>
    </xf>
    <xf numFmtId="0" fontId="3" fillId="2" borderId="0" xfId="0" applyFont="1" applyFill="1" applyBorder="1" applyAlignment="1">
      <alignment horizontal="center" wrapText="1"/>
    </xf>
    <xf numFmtId="0" fontId="15" fillId="7" borderId="0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3" fillId="2" borderId="16" xfId="0" applyNumberFormat="1" applyFont="1" applyFill="1" applyBorder="1" applyAlignment="1">
      <alignment horizontal="center" vertical="center"/>
    </xf>
    <xf numFmtId="0" fontId="9" fillId="7" borderId="12" xfId="0" applyFont="1" applyFill="1" applyBorder="1" applyAlignment="1">
      <alignment horizontal="center"/>
    </xf>
    <xf numFmtId="0" fontId="4" fillId="7" borderId="12" xfId="0" applyFont="1" applyFill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3" fillId="2" borderId="15" xfId="0" applyFont="1" applyFill="1" applyBorder="1" applyAlignment="1">
      <alignment horizontal="center" wrapText="1"/>
    </xf>
    <xf numFmtId="168" fontId="12" fillId="7" borderId="12" xfId="0" applyNumberFormat="1" applyFont="1" applyFill="1" applyBorder="1" applyAlignment="1">
      <alignment horizontal="center"/>
    </xf>
    <xf numFmtId="168" fontId="13" fillId="2" borderId="12" xfId="0" applyNumberFormat="1" applyFont="1" applyFill="1" applyBorder="1" applyAlignment="1">
      <alignment horizontal="center" vertical="center"/>
    </xf>
    <xf numFmtId="1" fontId="3" fillId="0" borderId="0" xfId="0" applyNumberFormat="1" applyFont="1" applyBorder="1" applyAlignment="1">
      <alignment horizontal="center"/>
    </xf>
    <xf numFmtId="1" fontId="7" fillId="0" borderId="0" xfId="0" applyNumberFormat="1" applyFont="1" applyAlignment="1">
      <alignment horizontal="center"/>
    </xf>
    <xf numFmtId="1" fontId="7" fillId="0" borderId="0" xfId="0" applyNumberFormat="1" applyFont="1" applyBorder="1" applyAlignment="1">
      <alignment horizontal="center"/>
    </xf>
    <xf numFmtId="1" fontId="7" fillId="0" borderId="0" xfId="0" applyNumberFormat="1" applyFont="1" applyBorder="1" applyAlignment="1">
      <alignment horizontal="center" vertical="center"/>
    </xf>
    <xf numFmtId="1" fontId="7" fillId="4" borderId="8" xfId="0" applyNumberFormat="1" applyFont="1" applyFill="1" applyBorder="1" applyAlignment="1">
      <alignment horizontal="center" vertical="center"/>
    </xf>
    <xf numFmtId="1" fontId="7" fillId="4" borderId="0" xfId="0" applyNumberFormat="1" applyFont="1" applyFill="1" applyBorder="1" applyAlignment="1">
      <alignment horizontal="center" vertical="center"/>
    </xf>
    <xf numFmtId="1" fontId="9" fillId="4" borderId="0" xfId="0" applyNumberFormat="1" applyFont="1" applyFill="1" applyAlignment="1">
      <alignment horizontal="center"/>
    </xf>
    <xf numFmtId="1" fontId="6" fillId="6" borderId="15" xfId="0" applyNumberFormat="1" applyFont="1" applyFill="1" applyBorder="1" applyAlignment="1">
      <alignment horizontal="center"/>
    </xf>
    <xf numFmtId="1" fontId="1" fillId="2" borderId="15" xfId="0" applyNumberFormat="1" applyFont="1" applyFill="1" applyBorder="1" applyAlignment="1">
      <alignment horizontal="center" wrapText="1"/>
    </xf>
    <xf numFmtId="1" fontId="6" fillId="2" borderId="0" xfId="0" applyNumberFormat="1" applyFont="1" applyFill="1" applyBorder="1" applyAlignment="1">
      <alignment horizontal="center" wrapText="1"/>
    </xf>
    <xf numFmtId="1" fontId="1" fillId="7" borderId="12" xfId="0" applyNumberFormat="1" applyFont="1" applyFill="1" applyBorder="1" applyAlignment="1">
      <alignment horizontal="center"/>
    </xf>
    <xf numFmtId="1" fontId="14" fillId="2" borderId="12" xfId="1" applyNumberFormat="1" applyFont="1" applyFill="1" applyBorder="1" applyAlignment="1">
      <alignment horizontal="center" vertical="center"/>
    </xf>
    <xf numFmtId="1" fontId="44" fillId="0" borderId="12" xfId="0" applyNumberFormat="1" applyFont="1" applyBorder="1" applyAlignment="1">
      <alignment horizontal="center"/>
    </xf>
    <xf numFmtId="1" fontId="14" fillId="2" borderId="12" xfId="0" applyNumberFormat="1" applyFont="1" applyFill="1" applyBorder="1" applyAlignment="1">
      <alignment horizontal="center" vertical="center"/>
    </xf>
    <xf numFmtId="1" fontId="14" fillId="7" borderId="12" xfId="0" applyNumberFormat="1" applyFont="1" applyFill="1" applyBorder="1" applyAlignment="1">
      <alignment horizontal="center" vertical="center"/>
    </xf>
    <xf numFmtId="1" fontId="1" fillId="7" borderId="12" xfId="0" applyNumberFormat="1" applyFont="1" applyFill="1" applyBorder="1" applyAlignment="1">
      <alignment horizontal="center" vertical="center"/>
    </xf>
    <xf numFmtId="1" fontId="1" fillId="7" borderId="12" xfId="0" applyNumberFormat="1" applyFont="1" applyFill="1" applyBorder="1" applyAlignment="1">
      <alignment horizontal="center" vertical="center" wrapText="1"/>
    </xf>
    <xf numFmtId="1" fontId="1" fillId="0" borderId="12" xfId="0" applyNumberFormat="1" applyFont="1" applyBorder="1" applyAlignment="1">
      <alignment horizontal="center"/>
    </xf>
    <xf numFmtId="1" fontId="11" fillId="6" borderId="15" xfId="0" applyNumberFormat="1" applyFont="1" applyFill="1" applyBorder="1" applyAlignment="1">
      <alignment horizontal="center"/>
    </xf>
    <xf numFmtId="1" fontId="9" fillId="2" borderId="15" xfId="0" applyNumberFormat="1" applyFont="1" applyFill="1" applyBorder="1" applyAlignment="1">
      <alignment horizontal="center" wrapText="1"/>
    </xf>
    <xf numFmtId="1" fontId="3" fillId="2" borderId="0" xfId="0" applyNumberFormat="1" applyFont="1" applyFill="1" applyBorder="1" applyAlignment="1">
      <alignment horizontal="center" wrapText="1"/>
    </xf>
    <xf numFmtId="1" fontId="11" fillId="6" borderId="12" xfId="0" applyNumberFormat="1" applyFont="1" applyFill="1" applyBorder="1" applyAlignment="1">
      <alignment horizontal="center"/>
    </xf>
    <xf numFmtId="1" fontId="13" fillId="2" borderId="12" xfId="0" applyNumberFormat="1" applyFont="1" applyFill="1" applyBorder="1" applyAlignment="1">
      <alignment horizontal="center" vertical="center"/>
    </xf>
    <xf numFmtId="1" fontId="13" fillId="7" borderId="12" xfId="0" applyNumberFormat="1" applyFont="1" applyFill="1" applyBorder="1" applyAlignment="1">
      <alignment horizontal="center" vertical="center"/>
    </xf>
    <xf numFmtId="0" fontId="16" fillId="7" borderId="0" xfId="0" applyFont="1" applyFill="1" applyBorder="1" applyAlignment="1">
      <alignment horizontal="center" vertical="center"/>
    </xf>
    <xf numFmtId="0" fontId="0" fillId="0" borderId="0" xfId="0" applyFont="1" applyAlignment="1">
      <alignment horizont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0" fontId="50" fillId="7" borderId="0" xfId="0" applyFont="1" applyFill="1" applyAlignment="1">
      <alignment vertical="center"/>
    </xf>
    <xf numFmtId="0" fontId="50" fillId="7" borderId="12" xfId="0" applyFont="1" applyFill="1" applyBorder="1" applyAlignment="1">
      <alignment vertical="center"/>
    </xf>
    <xf numFmtId="168" fontId="26" fillId="6" borderId="12" xfId="0" applyNumberFormat="1" applyFont="1" applyFill="1" applyBorder="1" applyAlignment="1">
      <alignment vertical="center"/>
    </xf>
    <xf numFmtId="0" fontId="0" fillId="0" borderId="0" xfId="0" applyAlignment="1">
      <alignment horizontal="left"/>
    </xf>
    <xf numFmtId="0" fontId="31" fillId="0" borderId="0" xfId="0" applyFont="1" applyBorder="1" applyAlignment="1">
      <alignment horizontal="center"/>
    </xf>
    <xf numFmtId="0" fontId="32" fillId="0" borderId="0" xfId="0" applyFont="1" applyAlignment="1">
      <alignment horizontal="center"/>
    </xf>
    <xf numFmtId="0" fontId="32" fillId="0" borderId="0" xfId="0" applyFont="1" applyBorder="1" applyAlignment="1">
      <alignment horizontal="center"/>
    </xf>
    <xf numFmtId="0" fontId="22" fillId="4" borderId="0" xfId="0" applyFont="1" applyFill="1" applyAlignment="1">
      <alignment horizontal="center"/>
    </xf>
    <xf numFmtId="0" fontId="23" fillId="6" borderId="15" xfId="0" applyFont="1" applyFill="1" applyBorder="1" applyAlignment="1">
      <alignment horizontal="center"/>
    </xf>
    <xf numFmtId="0" fontId="22" fillId="2" borderId="15" xfId="0" applyFont="1" applyFill="1" applyBorder="1" applyAlignment="1">
      <alignment horizontal="center" wrapText="1"/>
    </xf>
    <xf numFmtId="0" fontId="31" fillId="2" borderId="0" xfId="0" applyFont="1" applyFill="1" applyBorder="1" applyAlignment="1">
      <alignment horizontal="center" wrapText="1"/>
    </xf>
    <xf numFmtId="168" fontId="19" fillId="7" borderId="12" xfId="0" applyNumberFormat="1" applyFont="1" applyFill="1" applyBorder="1" applyAlignment="1">
      <alignment horizontal="center"/>
    </xf>
    <xf numFmtId="0" fontId="28" fillId="2" borderId="0" xfId="0" applyFont="1" applyFill="1" applyBorder="1" applyAlignment="1">
      <alignment horizontal="center" vertical="center"/>
    </xf>
    <xf numFmtId="0" fontId="47" fillId="0" borderId="0" xfId="0" applyFont="1" applyBorder="1" applyAlignment="1">
      <alignment horizontal="center"/>
    </xf>
    <xf numFmtId="0" fontId="47" fillId="0" borderId="0" xfId="0" applyFont="1" applyAlignment="1">
      <alignment horizontal="center"/>
    </xf>
    <xf numFmtId="166" fontId="31" fillId="0" borderId="4" xfId="0" applyNumberFormat="1" applyFont="1" applyBorder="1" applyAlignment="1">
      <alignment horizontal="right"/>
    </xf>
    <xf numFmtId="0" fontId="32" fillId="0" borderId="4" xfId="0" applyFont="1" applyBorder="1" applyAlignment="1">
      <alignment horizontal="right"/>
    </xf>
    <xf numFmtId="0" fontId="32" fillId="0" borderId="5" xfId="0" applyFont="1" applyBorder="1" applyAlignment="1">
      <alignment horizontal="right"/>
    </xf>
    <xf numFmtId="166" fontId="32" fillId="0" borderId="5" xfId="0" applyNumberFormat="1" applyFont="1" applyBorder="1" applyAlignment="1">
      <alignment horizontal="right"/>
    </xf>
    <xf numFmtId="0" fontId="32" fillId="0" borderId="5" xfId="0" applyFont="1" applyBorder="1" applyAlignment="1">
      <alignment horizontal="right" vertical="center"/>
    </xf>
    <xf numFmtId="0" fontId="31" fillId="4" borderId="9" xfId="0" applyFont="1" applyFill="1" applyBorder="1" applyAlignment="1">
      <alignment horizontal="right" vertical="top"/>
    </xf>
    <xf numFmtId="0" fontId="31" fillId="4" borderId="4" xfId="0" applyFont="1" applyFill="1" applyBorder="1" applyAlignment="1">
      <alignment horizontal="right" vertical="top"/>
    </xf>
    <xf numFmtId="0" fontId="22" fillId="4" borderId="0" xfId="0" applyFont="1" applyFill="1" applyAlignment="1">
      <alignment horizontal="right"/>
    </xf>
    <xf numFmtId="0" fontId="23" fillId="6" borderId="13" xfId="0" applyFont="1" applyFill="1" applyBorder="1" applyAlignment="1">
      <alignment horizontal="right"/>
    </xf>
    <xf numFmtId="0" fontId="23" fillId="6" borderId="12" xfId="0" applyFont="1" applyFill="1" applyBorder="1" applyAlignment="1">
      <alignment horizontal="right"/>
    </xf>
    <xf numFmtId="0" fontId="47" fillId="0" borderId="4" xfId="0" applyFont="1" applyBorder="1" applyAlignment="1">
      <alignment horizontal="right"/>
    </xf>
    <xf numFmtId="0" fontId="47" fillId="0" borderId="0" xfId="0" applyFont="1" applyAlignment="1">
      <alignment horizontal="right"/>
    </xf>
    <xf numFmtId="165" fontId="4" fillId="0" borderId="0" xfId="1" applyFont="1" applyBorder="1" applyAlignment="1">
      <alignment horizontal="left"/>
    </xf>
    <xf numFmtId="0" fontId="8" fillId="0" borderId="0" xfId="0" applyFont="1" applyBorder="1" applyAlignment="1">
      <alignment horizontal="left" vertical="top"/>
    </xf>
    <xf numFmtId="165" fontId="9" fillId="0" borderId="0" xfId="1" applyFont="1" applyBorder="1" applyAlignment="1">
      <alignment horizontal="left"/>
    </xf>
    <xf numFmtId="165" fontId="9" fillId="4" borderId="0" xfId="1" applyFont="1" applyFill="1" applyBorder="1" applyAlignment="1">
      <alignment horizontal="left"/>
    </xf>
    <xf numFmtId="0" fontId="12" fillId="7" borderId="12" xfId="1" applyNumberFormat="1" applyFont="1" applyFill="1" applyBorder="1" applyAlignment="1">
      <alignment horizontal="left"/>
    </xf>
    <xf numFmtId="165" fontId="1" fillId="0" borderId="2" xfId="1" applyFont="1" applyBorder="1" applyAlignment="1">
      <alignment horizontal="left"/>
    </xf>
    <xf numFmtId="165" fontId="25" fillId="0" borderId="2" xfId="1" applyFont="1" applyBorder="1" applyAlignment="1">
      <alignment horizontal="left"/>
    </xf>
    <xf numFmtId="165" fontId="25" fillId="0" borderId="2" xfId="1" applyFont="1" applyBorder="1" applyAlignment="1">
      <alignment horizontal="left" indent="1"/>
    </xf>
    <xf numFmtId="165" fontId="25" fillId="0" borderId="0" xfId="1" applyFont="1" applyBorder="1" applyAlignment="1">
      <alignment horizontal="left"/>
    </xf>
    <xf numFmtId="165" fontId="21" fillId="0" borderId="0" xfId="1" applyFont="1" applyBorder="1" applyAlignment="1">
      <alignment horizontal="left"/>
    </xf>
    <xf numFmtId="165" fontId="21" fillId="0" borderId="0" xfId="1" applyFont="1" applyBorder="1"/>
    <xf numFmtId="0" fontId="33" fillId="0" borderId="0" xfId="0" applyFont="1" applyBorder="1" applyAlignment="1">
      <alignment horizontal="left" vertical="top"/>
    </xf>
    <xf numFmtId="165" fontId="22" fillId="0" borderId="0" xfId="1" applyFont="1" applyBorder="1" applyAlignment="1">
      <alignment horizontal="left"/>
    </xf>
    <xf numFmtId="165" fontId="22" fillId="0" borderId="0" xfId="1" applyFont="1" applyBorder="1"/>
    <xf numFmtId="165" fontId="28" fillId="4" borderId="8" xfId="1" applyFont="1" applyFill="1" applyBorder="1" applyAlignment="1">
      <alignment horizontal="left"/>
    </xf>
    <xf numFmtId="165" fontId="31" fillId="4" borderId="0" xfId="1" applyFont="1" applyFill="1" applyBorder="1" applyAlignment="1">
      <alignment horizontal="left"/>
    </xf>
    <xf numFmtId="165" fontId="22" fillId="4" borderId="0" xfId="1" applyFont="1" applyFill="1" applyBorder="1" applyAlignment="1">
      <alignment horizontal="left"/>
    </xf>
    <xf numFmtId="165" fontId="22" fillId="2" borderId="0" xfId="1" applyFont="1" applyFill="1" applyBorder="1" applyAlignment="1">
      <alignment horizontal="left"/>
    </xf>
    <xf numFmtId="165" fontId="23" fillId="6" borderId="12" xfId="1" applyFont="1" applyFill="1" applyBorder="1" applyAlignment="1">
      <alignment horizontal="left"/>
    </xf>
    <xf numFmtId="165" fontId="19" fillId="7" borderId="12" xfId="1" applyFont="1" applyFill="1" applyBorder="1" applyAlignment="1">
      <alignment horizontal="left"/>
    </xf>
    <xf numFmtId="0" fontId="19" fillId="7" borderId="17" xfId="0" applyFont="1" applyFill="1" applyBorder="1" applyAlignment="1"/>
    <xf numFmtId="0" fontId="19" fillId="7" borderId="18" xfId="0" applyFont="1" applyFill="1" applyBorder="1" applyAlignment="1"/>
    <xf numFmtId="165" fontId="25" fillId="2" borderId="0" xfId="1" applyFont="1" applyFill="1" applyBorder="1" applyAlignment="1">
      <alignment horizontal="left" vertical="center"/>
    </xf>
    <xf numFmtId="0" fontId="23" fillId="2" borderId="0" xfId="0" applyFont="1" applyFill="1" applyBorder="1" applyAlignment="1">
      <alignment horizontal="right" vertical="center"/>
    </xf>
    <xf numFmtId="165" fontId="25" fillId="7" borderId="0" xfId="1" applyFont="1" applyFill="1" applyBorder="1" applyAlignment="1">
      <alignment horizontal="left" vertical="center"/>
    </xf>
    <xf numFmtId="0" fontId="47" fillId="7" borderId="0" xfId="0" applyFont="1" applyFill="1"/>
    <xf numFmtId="0" fontId="26" fillId="7" borderId="0" xfId="0" applyFont="1" applyFill="1" applyBorder="1" applyAlignment="1">
      <alignment horizontal="left" vertical="center"/>
    </xf>
    <xf numFmtId="0" fontId="26" fillId="7" borderId="0" xfId="0" applyFont="1" applyFill="1" applyBorder="1" applyAlignment="1">
      <alignment horizontal="center" vertical="center"/>
    </xf>
    <xf numFmtId="0" fontId="26" fillId="7" borderId="0" xfId="0" applyFont="1" applyFill="1" applyBorder="1" applyAlignment="1">
      <alignment horizontal="right" vertical="center"/>
    </xf>
    <xf numFmtId="168" fontId="26" fillId="7" borderId="4" xfId="0" applyNumberFormat="1" applyFont="1" applyFill="1" applyBorder="1" applyAlignment="1">
      <alignment vertical="center"/>
    </xf>
    <xf numFmtId="0" fontId="47" fillId="0" borderId="0" xfId="0" applyFont="1" applyBorder="1" applyAlignment="1">
      <alignment horizontal="left"/>
    </xf>
    <xf numFmtId="0" fontId="47" fillId="0" borderId="0" xfId="0" applyFont="1" applyAlignment="1">
      <alignment horizontal="left"/>
    </xf>
    <xf numFmtId="165" fontId="31" fillId="2" borderId="12" xfId="1" applyFont="1" applyFill="1" applyBorder="1" applyAlignment="1">
      <alignment horizontal="right" vertical="center"/>
    </xf>
    <xf numFmtId="0" fontId="31" fillId="2" borderId="12" xfId="0" applyFont="1" applyFill="1" applyBorder="1" applyAlignment="1">
      <alignment vertical="center"/>
    </xf>
    <xf numFmtId="165" fontId="32" fillId="2" borderId="12" xfId="1" applyFont="1" applyFill="1" applyBorder="1" applyAlignment="1">
      <alignment horizontal="right" vertical="center"/>
    </xf>
    <xf numFmtId="165" fontId="26" fillId="2" borderId="12" xfId="1" applyFont="1" applyFill="1" applyBorder="1" applyAlignment="1">
      <alignment horizontal="right" vertical="center"/>
    </xf>
    <xf numFmtId="165" fontId="25" fillId="0" borderId="3" xfId="1" applyFont="1" applyBorder="1" applyAlignment="1">
      <alignment horizontal="left"/>
    </xf>
    <xf numFmtId="165" fontId="28" fillId="4" borderId="6" xfId="1" applyFont="1" applyFill="1" applyBorder="1" applyAlignment="1">
      <alignment horizontal="left"/>
    </xf>
    <xf numFmtId="165" fontId="31" fillId="4" borderId="3" xfId="1" applyFont="1" applyFill="1" applyBorder="1" applyAlignment="1">
      <alignment horizontal="left"/>
    </xf>
    <xf numFmtId="165" fontId="22" fillId="2" borderId="3" xfId="1" applyFont="1" applyFill="1" applyBorder="1" applyAlignment="1">
      <alignment horizontal="left"/>
    </xf>
    <xf numFmtId="165" fontId="26" fillId="2" borderId="0" xfId="1" applyFont="1" applyFill="1" applyBorder="1" applyAlignment="1">
      <alignment horizontal="left" vertical="center"/>
    </xf>
    <xf numFmtId="165" fontId="26" fillId="7" borderId="0" xfId="1" applyFont="1" applyFill="1" applyBorder="1" applyAlignment="1">
      <alignment horizontal="left" vertical="center"/>
    </xf>
    <xf numFmtId="165" fontId="28" fillId="7" borderId="3" xfId="1" applyFont="1" applyFill="1" applyBorder="1" applyAlignment="1">
      <alignment horizontal="left" vertical="center"/>
    </xf>
    <xf numFmtId="165" fontId="25" fillId="0" borderId="1" xfId="1" applyFont="1" applyBorder="1" applyAlignment="1">
      <alignment horizontal="left"/>
    </xf>
    <xf numFmtId="165" fontId="21" fillId="0" borderId="3" xfId="1" applyFont="1" applyBorder="1" applyAlignment="1">
      <alignment horizontal="left"/>
    </xf>
    <xf numFmtId="0" fontId="33" fillId="0" borderId="3" xfId="0" applyFont="1" applyBorder="1" applyAlignment="1">
      <alignment horizontal="left" vertical="top"/>
    </xf>
    <xf numFmtId="165" fontId="22" fillId="0" borderId="3" xfId="1" applyFont="1" applyBorder="1" applyAlignment="1">
      <alignment horizontal="left"/>
    </xf>
    <xf numFmtId="165" fontId="22" fillId="4" borderId="3" xfId="1" applyFont="1" applyFill="1" applyBorder="1" applyAlignment="1">
      <alignment horizontal="left"/>
    </xf>
    <xf numFmtId="165" fontId="22" fillId="4" borderId="11" xfId="1" applyFont="1" applyFill="1" applyBorder="1" applyAlignment="1">
      <alignment horizontal="left"/>
    </xf>
    <xf numFmtId="0" fontId="32" fillId="2" borderId="0" xfId="0" applyFont="1" applyFill="1" applyBorder="1" applyAlignment="1">
      <alignment horizontal="right" vertical="center"/>
    </xf>
    <xf numFmtId="0" fontId="23" fillId="2" borderId="0" xfId="0" applyFont="1" applyFill="1" applyBorder="1" applyAlignment="1">
      <alignment horizontal="center" vertical="center"/>
    </xf>
    <xf numFmtId="165" fontId="32" fillId="2" borderId="0" xfId="1" applyFont="1" applyFill="1" applyBorder="1" applyAlignment="1">
      <alignment horizontal="right" vertical="center"/>
    </xf>
    <xf numFmtId="165" fontId="26" fillId="2" borderId="0" xfId="1" applyFont="1" applyFill="1" applyBorder="1" applyAlignment="1">
      <alignment horizontal="right" vertical="center"/>
    </xf>
    <xf numFmtId="165" fontId="1" fillId="0" borderId="1" xfId="1" applyFont="1" applyBorder="1" applyAlignment="1">
      <alignment horizontal="left"/>
    </xf>
    <xf numFmtId="165" fontId="4" fillId="0" borderId="3" xfId="1" applyFont="1" applyBorder="1" applyAlignment="1">
      <alignment horizontal="left"/>
    </xf>
    <xf numFmtId="0" fontId="8" fillId="0" borderId="3" xfId="0" applyFont="1" applyBorder="1" applyAlignment="1">
      <alignment horizontal="left" vertical="top"/>
    </xf>
    <xf numFmtId="165" fontId="9" fillId="0" borderId="3" xfId="1" applyFont="1" applyBorder="1" applyAlignment="1">
      <alignment horizontal="left"/>
    </xf>
    <xf numFmtId="165" fontId="9" fillId="4" borderId="3" xfId="1" applyFont="1" applyFill="1" applyBorder="1" applyAlignment="1">
      <alignment horizontal="left"/>
    </xf>
    <xf numFmtId="165" fontId="9" fillId="4" borderId="11" xfId="1" applyFont="1" applyFill="1" applyBorder="1" applyAlignment="1">
      <alignment horizontal="left"/>
    </xf>
    <xf numFmtId="165" fontId="15" fillId="2" borderId="0" xfId="1" applyFont="1" applyFill="1" applyBorder="1" applyAlignment="1">
      <alignment horizontal="right" vertical="center"/>
    </xf>
    <xf numFmtId="165" fontId="16" fillId="2" borderId="0" xfId="1" applyFont="1" applyFill="1" applyBorder="1" applyAlignment="1">
      <alignment horizontal="right" vertical="center"/>
    </xf>
    <xf numFmtId="168" fontId="26" fillId="8" borderId="19" xfId="0" applyNumberFormat="1" applyFont="1" applyFill="1" applyBorder="1" applyAlignment="1">
      <alignment vertical="center"/>
    </xf>
    <xf numFmtId="168" fontId="26" fillId="8" borderId="12" xfId="0" applyNumberFormat="1" applyFont="1" applyFill="1" applyBorder="1" applyAlignment="1">
      <alignment vertical="center"/>
    </xf>
    <xf numFmtId="168" fontId="15" fillId="8" borderId="19" xfId="0" applyNumberFormat="1" applyFont="1" applyFill="1" applyBorder="1" applyAlignment="1">
      <alignment vertical="center"/>
    </xf>
    <xf numFmtId="168" fontId="15" fillId="8" borderId="12" xfId="0" applyNumberFormat="1" applyFont="1" applyFill="1" applyBorder="1" applyAlignment="1">
      <alignment vertical="center"/>
    </xf>
    <xf numFmtId="0" fontId="11" fillId="4" borderId="0" xfId="0" applyFont="1" applyFill="1" applyBorder="1" applyAlignment="1">
      <alignment horizontal="center" vertical="center"/>
    </xf>
    <xf numFmtId="0" fontId="43" fillId="0" borderId="12" xfId="0" applyFont="1" applyFill="1" applyBorder="1" applyAlignment="1">
      <alignment vertical="center"/>
    </xf>
    <xf numFmtId="0" fontId="43" fillId="0" borderId="12" xfId="0" applyFont="1" applyBorder="1" applyAlignment="1">
      <alignment vertical="center"/>
    </xf>
    <xf numFmtId="0" fontId="21" fillId="0" borderId="20" xfId="0" applyFont="1" applyBorder="1" applyAlignment="1">
      <alignment vertical="center"/>
    </xf>
    <xf numFmtId="0" fontId="21" fillId="0" borderId="21" xfId="0" applyFont="1" applyBorder="1" applyAlignment="1">
      <alignment vertical="center"/>
    </xf>
    <xf numFmtId="168" fontId="12" fillId="7" borderId="0" xfId="0" applyNumberFormat="1" applyFont="1" applyFill="1" applyBorder="1" applyAlignment="1">
      <alignment horizontal="right"/>
    </xf>
    <xf numFmtId="168" fontId="13" fillId="2" borderId="17" xfId="0" applyNumberFormat="1" applyFont="1" applyFill="1" applyBorder="1" applyAlignment="1">
      <alignment horizontal="center" vertical="center"/>
    </xf>
    <xf numFmtId="168" fontId="12" fillId="7" borderId="22" xfId="0" applyNumberFormat="1" applyFont="1" applyFill="1" applyBorder="1" applyAlignment="1">
      <alignment horizontal="right"/>
    </xf>
    <xf numFmtId="168" fontId="51" fillId="8" borderId="19" xfId="0" applyNumberFormat="1" applyFont="1" applyFill="1" applyBorder="1" applyAlignment="1">
      <alignment horizontal="right"/>
    </xf>
    <xf numFmtId="0" fontId="47" fillId="0" borderId="12" xfId="0" applyFont="1" applyFill="1" applyBorder="1" applyAlignment="1">
      <alignment vertical="center"/>
    </xf>
    <xf numFmtId="0" fontId="23" fillId="4" borderId="0" xfId="0" applyFont="1" applyFill="1" applyBorder="1" applyAlignment="1">
      <alignment horizontal="center" vertical="center"/>
    </xf>
    <xf numFmtId="0" fontId="19" fillId="7" borderId="12" xfId="0" applyFont="1" applyFill="1" applyBorder="1" applyAlignment="1"/>
    <xf numFmtId="0" fontId="19" fillId="7" borderId="17" xfId="0" applyFont="1" applyFill="1" applyBorder="1" applyAlignment="1"/>
    <xf numFmtId="0" fontId="19" fillId="7" borderId="18" xfId="0" applyFont="1" applyFill="1" applyBorder="1" applyAlignment="1"/>
    <xf numFmtId="0" fontId="23" fillId="6" borderId="15" xfId="0" applyFont="1" applyFill="1" applyBorder="1" applyAlignment="1">
      <alignment horizontal="left"/>
    </xf>
    <xf numFmtId="0" fontId="23" fillId="6" borderId="12" xfId="0" applyFont="1" applyFill="1" applyBorder="1" applyAlignment="1">
      <alignment horizontal="center"/>
    </xf>
    <xf numFmtId="0" fontId="32" fillId="5" borderId="10" xfId="0" applyFont="1" applyFill="1" applyBorder="1" applyAlignment="1">
      <alignment horizontal="left" vertical="center"/>
    </xf>
    <xf numFmtId="165" fontId="21" fillId="0" borderId="0" xfId="1" applyFont="1" applyBorder="1" applyAlignment="1">
      <alignment horizontal="left" vertical="center"/>
    </xf>
    <xf numFmtId="165" fontId="21" fillId="0" borderId="0" xfId="1" applyFont="1" applyBorder="1" applyAlignment="1">
      <alignment vertical="center"/>
    </xf>
    <xf numFmtId="0" fontId="21" fillId="0" borderId="0" xfId="0" applyFont="1" applyBorder="1" applyAlignment="1">
      <alignment vertical="center"/>
    </xf>
    <xf numFmtId="0" fontId="21" fillId="7" borderId="12" xfId="1" applyNumberFormat="1" applyFont="1" applyFill="1" applyBorder="1" applyAlignment="1">
      <alignment horizontal="left"/>
    </xf>
    <xf numFmtId="0" fontId="21" fillId="2" borderId="12" xfId="0" applyNumberFormat="1" applyFont="1" applyFill="1" applyBorder="1" applyAlignment="1">
      <alignment horizontal="left" vertical="center"/>
    </xf>
    <xf numFmtId="0" fontId="4" fillId="7" borderId="12" xfId="1" applyNumberFormat="1" applyFont="1" applyFill="1" applyBorder="1" applyAlignment="1">
      <alignment horizontal="right"/>
    </xf>
    <xf numFmtId="0" fontId="36" fillId="2" borderId="12" xfId="0" applyNumberFormat="1" applyFont="1" applyFill="1" applyBorder="1" applyAlignment="1">
      <alignment horizontal="right" vertical="center"/>
    </xf>
    <xf numFmtId="0" fontId="4" fillId="7" borderId="12" xfId="1" applyNumberFormat="1" applyFont="1" applyFill="1" applyBorder="1" applyAlignment="1">
      <alignment horizontal="left"/>
    </xf>
    <xf numFmtId="0" fontId="36" fillId="2" borderId="12" xfId="0" applyNumberFormat="1" applyFont="1" applyFill="1" applyBorder="1" applyAlignment="1">
      <alignment horizontal="left" vertical="center"/>
    </xf>
    <xf numFmtId="0" fontId="52" fillId="0" borderId="0" xfId="0" applyFont="1" applyAlignment="1">
      <alignment horizontal="left"/>
    </xf>
    <xf numFmtId="0" fontId="36" fillId="2" borderId="16" xfId="0" applyNumberFormat="1" applyFont="1" applyFill="1" applyBorder="1" applyAlignment="1">
      <alignment horizontal="left" vertical="center"/>
    </xf>
    <xf numFmtId="168" fontId="13" fillId="7" borderId="12" xfId="0" applyNumberFormat="1" applyFont="1" applyFill="1" applyBorder="1" applyAlignment="1">
      <alignment horizontal="left"/>
    </xf>
    <xf numFmtId="168" fontId="13" fillId="7" borderId="12" xfId="0" applyNumberFormat="1" applyFont="1" applyFill="1" applyBorder="1" applyAlignment="1">
      <alignment horizontal="right"/>
    </xf>
    <xf numFmtId="0" fontId="13" fillId="7" borderId="12" xfId="0" applyFont="1" applyFill="1" applyBorder="1" applyAlignment="1">
      <alignment horizontal="center"/>
    </xf>
    <xf numFmtId="0" fontId="53" fillId="0" borderId="12" xfId="0" applyFont="1" applyBorder="1" applyAlignment="1">
      <alignment horizontal="left"/>
    </xf>
    <xf numFmtId="0" fontId="53" fillId="0" borderId="12" xfId="0" applyFont="1" applyFill="1" applyBorder="1" applyAlignment="1">
      <alignment horizontal="left"/>
    </xf>
    <xf numFmtId="49" fontId="0" fillId="0" borderId="12" xfId="0" applyNumberFormat="1" applyFont="1" applyFill="1" applyBorder="1" applyAlignment="1">
      <alignment horizontal="left"/>
    </xf>
    <xf numFmtId="0" fontId="43" fillId="0" borderId="12" xfId="0" applyFont="1" applyBorder="1" applyAlignment="1">
      <alignment horizontal="left"/>
    </xf>
    <xf numFmtId="0" fontId="13" fillId="7" borderId="12" xfId="1" applyNumberFormat="1" applyFont="1" applyFill="1" applyBorder="1" applyAlignment="1">
      <alignment horizontal="right"/>
    </xf>
    <xf numFmtId="165" fontId="13" fillId="7" borderId="17" xfId="1" applyFont="1" applyFill="1" applyBorder="1" applyAlignment="1">
      <alignment horizontal="left"/>
    </xf>
    <xf numFmtId="0" fontId="13" fillId="7" borderId="18" xfId="0" applyFont="1" applyFill="1" applyBorder="1" applyAlignment="1"/>
    <xf numFmtId="0" fontId="13" fillId="7" borderId="12" xfId="0" applyFont="1" applyFill="1" applyBorder="1" applyAlignment="1"/>
    <xf numFmtId="1" fontId="13" fillId="7" borderId="12" xfId="0" applyNumberFormat="1" applyFont="1" applyFill="1" applyBorder="1" applyAlignment="1">
      <alignment horizontal="center"/>
    </xf>
    <xf numFmtId="165" fontId="13" fillId="7" borderId="12" xfId="1" applyFont="1" applyFill="1" applyBorder="1" applyAlignment="1">
      <alignment horizontal="left"/>
    </xf>
    <xf numFmtId="0" fontId="13" fillId="7" borderId="12" xfId="0" applyFont="1" applyFill="1" applyBorder="1" applyAlignment="1">
      <alignment vertical="center"/>
    </xf>
    <xf numFmtId="0" fontId="13" fillId="7" borderId="12" xfId="0" applyFont="1" applyFill="1" applyBorder="1" applyAlignment="1">
      <alignment vertical="center" wrapText="1"/>
    </xf>
    <xf numFmtId="1" fontId="13" fillId="7" borderId="12" xfId="0" applyNumberFormat="1" applyFont="1" applyFill="1" applyBorder="1" applyAlignment="1">
      <alignment horizontal="center" vertical="center" wrapText="1"/>
    </xf>
    <xf numFmtId="0" fontId="37" fillId="0" borderId="12" xfId="0" applyFont="1" applyBorder="1" applyAlignment="1"/>
    <xf numFmtId="1" fontId="13" fillId="0" borderId="12" xfId="0" applyNumberFormat="1" applyFont="1" applyBorder="1" applyAlignment="1">
      <alignment horizontal="center"/>
    </xf>
    <xf numFmtId="0" fontId="13" fillId="0" borderId="12" xfId="0" applyFont="1" applyBorder="1" applyAlignment="1"/>
    <xf numFmtId="0" fontId="38" fillId="7" borderId="12" xfId="0" applyFont="1" applyFill="1" applyBorder="1" applyAlignment="1">
      <alignment horizontal="center"/>
    </xf>
    <xf numFmtId="165" fontId="38" fillId="7" borderId="12" xfId="1" applyFont="1" applyFill="1" applyBorder="1" applyAlignment="1">
      <alignment horizontal="left"/>
    </xf>
    <xf numFmtId="0" fontId="38" fillId="7" borderId="12" xfId="0" applyFont="1" applyFill="1" applyBorder="1" applyAlignment="1"/>
    <xf numFmtId="1" fontId="38" fillId="7" borderId="12" xfId="0" applyNumberFormat="1" applyFont="1" applyFill="1" applyBorder="1" applyAlignment="1">
      <alignment horizontal="center"/>
    </xf>
    <xf numFmtId="168" fontId="38" fillId="7" borderId="12" xfId="0" applyNumberFormat="1" applyFont="1" applyFill="1" applyBorder="1" applyAlignment="1">
      <alignment horizontal="left"/>
    </xf>
    <xf numFmtId="168" fontId="38" fillId="7" borderId="12" xfId="0" applyNumberFormat="1" applyFont="1" applyFill="1" applyBorder="1" applyAlignment="1">
      <alignment horizontal="right"/>
    </xf>
    <xf numFmtId="0" fontId="38" fillId="7" borderId="12" xfId="0" applyFont="1" applyFill="1" applyBorder="1" applyAlignment="1">
      <alignment vertical="center"/>
    </xf>
    <xf numFmtId="1" fontId="38" fillId="7" borderId="12" xfId="0" applyNumberFormat="1" applyFont="1" applyFill="1" applyBorder="1" applyAlignment="1">
      <alignment horizontal="center" vertical="center"/>
    </xf>
    <xf numFmtId="0" fontId="38" fillId="7" borderId="12" xfId="0" applyFont="1" applyFill="1" applyBorder="1" applyAlignment="1">
      <alignment vertical="center" wrapText="1"/>
    </xf>
    <xf numFmtId="1" fontId="38" fillId="7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/>
    <xf numFmtId="1" fontId="38" fillId="0" borderId="12" xfId="0" applyNumberFormat="1" applyFont="1" applyBorder="1" applyAlignment="1">
      <alignment horizontal="center"/>
    </xf>
    <xf numFmtId="0" fontId="38" fillId="0" borderId="12" xfId="0" applyFont="1" applyBorder="1" applyAlignment="1"/>
    <xf numFmtId="0" fontId="13" fillId="0" borderId="12" xfId="0" applyFont="1" applyBorder="1" applyAlignment="1">
      <alignment horizontal="left"/>
    </xf>
    <xf numFmtId="0" fontId="13" fillId="0" borderId="12" xfId="0" applyFont="1" applyFill="1" applyBorder="1" applyAlignment="1">
      <alignment horizontal="left"/>
    </xf>
    <xf numFmtId="49" fontId="43" fillId="0" borderId="12" xfId="0" applyNumberFormat="1" applyFont="1" applyFill="1" applyBorder="1" applyAlignment="1">
      <alignment horizontal="left"/>
    </xf>
    <xf numFmtId="43" fontId="26" fillId="2" borderId="0" xfId="1" applyNumberFormat="1" applyFont="1" applyFill="1" applyBorder="1" applyAlignment="1">
      <alignment vertical="center"/>
    </xf>
    <xf numFmtId="0" fontId="47" fillId="0" borderId="0" xfId="0" applyFont="1" applyBorder="1" applyAlignment="1">
      <alignment horizontal="right"/>
    </xf>
    <xf numFmtId="0" fontId="53" fillId="2" borderId="12" xfId="0" applyNumberFormat="1" applyFont="1" applyFill="1" applyBorder="1" applyAlignment="1">
      <alignment horizontal="center" vertical="center"/>
    </xf>
    <xf numFmtId="0" fontId="53" fillId="0" borderId="12" xfId="0" applyFont="1" applyBorder="1" applyAlignment="1">
      <alignment vertical="center"/>
    </xf>
    <xf numFmtId="0" fontId="0" fillId="0" borderId="12" xfId="0" applyFont="1" applyFill="1" applyBorder="1" applyAlignment="1">
      <alignment vertical="center"/>
    </xf>
    <xf numFmtId="0" fontId="0" fillId="0" borderId="12" xfId="0" applyFont="1" applyBorder="1" applyAlignment="1">
      <alignment vertical="center"/>
    </xf>
    <xf numFmtId="0" fontId="53" fillId="2" borderId="12" xfId="0" applyNumberFormat="1" applyFont="1" applyFill="1" applyBorder="1" applyAlignment="1">
      <alignment vertical="center" wrapText="1"/>
    </xf>
    <xf numFmtId="0" fontId="53" fillId="7" borderId="12" xfId="0" applyFont="1" applyFill="1" applyBorder="1" applyAlignment="1">
      <alignment horizontal="center" vertical="center"/>
    </xf>
    <xf numFmtId="0" fontId="53" fillId="0" borderId="17" xfId="0" applyFont="1" applyBorder="1" applyAlignment="1">
      <alignment vertical="center"/>
    </xf>
    <xf numFmtId="0" fontId="53" fillId="7" borderId="12" xfId="2" applyNumberFormat="1" applyFont="1" applyFill="1" applyBorder="1" applyAlignment="1">
      <alignment horizontal="center" vertical="center"/>
    </xf>
    <xf numFmtId="0" fontId="54" fillId="7" borderId="0" xfId="0" applyFont="1" applyFill="1" applyAlignment="1">
      <alignment vertical="center"/>
    </xf>
    <xf numFmtId="0" fontId="53" fillId="7" borderId="12" xfId="0" applyFont="1" applyFill="1" applyBorder="1" applyAlignment="1">
      <alignment horizontal="center"/>
    </xf>
    <xf numFmtId="165" fontId="53" fillId="7" borderId="12" xfId="2" applyFont="1" applyFill="1" applyBorder="1" applyAlignment="1">
      <alignment horizontal="left"/>
    </xf>
    <xf numFmtId="0" fontId="53" fillId="7" borderId="12" xfId="0" applyFont="1" applyFill="1" applyBorder="1" applyAlignment="1"/>
    <xf numFmtId="0" fontId="53" fillId="7" borderId="12" xfId="0" applyNumberFormat="1" applyFont="1" applyFill="1" applyBorder="1" applyAlignment="1">
      <alignment horizontal="center" vertical="center"/>
    </xf>
    <xf numFmtId="168" fontId="53" fillId="7" borderId="12" xfId="0" applyNumberFormat="1" applyFont="1" applyFill="1" applyBorder="1" applyAlignment="1">
      <alignment horizontal="left"/>
    </xf>
    <xf numFmtId="168" fontId="53" fillId="7" borderId="12" xfId="0" applyNumberFormat="1" applyFont="1" applyFill="1" applyBorder="1" applyAlignment="1">
      <alignment horizontal="right"/>
    </xf>
    <xf numFmtId="0" fontId="54" fillId="7" borderId="12" xfId="0" applyFont="1" applyFill="1" applyBorder="1" applyAlignment="1">
      <alignment vertical="center"/>
    </xf>
    <xf numFmtId="0" fontId="54" fillId="7" borderId="22" xfId="0" applyFont="1" applyFill="1" applyBorder="1" applyAlignment="1">
      <alignment vertical="center"/>
    </xf>
    <xf numFmtId="0" fontId="54" fillId="7" borderId="19" xfId="0" applyFont="1" applyFill="1" applyBorder="1" applyAlignment="1">
      <alignment vertical="center"/>
    </xf>
    <xf numFmtId="165" fontId="53" fillId="7" borderId="17" xfId="2" applyFont="1" applyFill="1" applyBorder="1" applyAlignment="1">
      <alignment horizontal="left"/>
    </xf>
    <xf numFmtId="0" fontId="53" fillId="7" borderId="12" xfId="0" applyFont="1" applyFill="1" applyBorder="1" applyAlignment="1">
      <alignment vertical="center"/>
    </xf>
    <xf numFmtId="0" fontId="53" fillId="7" borderId="12" xfId="0" applyFont="1" applyFill="1" applyBorder="1" applyAlignment="1">
      <alignment vertical="center" wrapText="1"/>
    </xf>
    <xf numFmtId="0" fontId="53" fillId="7" borderId="12" xfId="0" applyFont="1" applyFill="1" applyBorder="1" applyAlignment="1">
      <alignment horizontal="center" vertical="center" wrapText="1"/>
    </xf>
    <xf numFmtId="0" fontId="55" fillId="0" borderId="12" xfId="0" applyFont="1" applyBorder="1" applyAlignment="1"/>
    <xf numFmtId="0" fontId="53" fillId="0" borderId="12" xfId="0" applyFont="1" applyBorder="1" applyAlignment="1">
      <alignment horizontal="center" vertical="center"/>
    </xf>
    <xf numFmtId="0" fontId="53" fillId="0" borderId="12" xfId="0" applyFont="1" applyBorder="1" applyAlignment="1"/>
    <xf numFmtId="167" fontId="56" fillId="2" borderId="13" xfId="0" applyNumberFormat="1" applyFont="1" applyFill="1" applyBorder="1" applyAlignment="1">
      <alignment horizontal="left"/>
    </xf>
    <xf numFmtId="169" fontId="53" fillId="2" borderId="12" xfId="0" applyNumberFormat="1" applyFont="1" applyFill="1" applyBorder="1" applyAlignment="1">
      <alignment horizontal="center" vertical="center"/>
    </xf>
    <xf numFmtId="0" fontId="53" fillId="7" borderId="12" xfId="1" applyNumberFormat="1" applyFont="1" applyFill="1" applyBorder="1" applyAlignment="1">
      <alignment horizontal="center" vertical="center"/>
    </xf>
    <xf numFmtId="43" fontId="53" fillId="7" borderId="12" xfId="1" applyNumberFormat="1" applyFont="1" applyFill="1" applyBorder="1" applyAlignment="1">
      <alignment horizontal="left"/>
    </xf>
    <xf numFmtId="0" fontId="11" fillId="6" borderId="12" xfId="0" applyFont="1" applyFill="1" applyBorder="1" applyAlignment="1">
      <alignment horizontal="center"/>
    </xf>
    <xf numFmtId="0" fontId="23" fillId="4" borderId="0" xfId="0" applyFont="1" applyFill="1" applyBorder="1" applyAlignment="1">
      <alignment horizontal="center" vertical="center"/>
    </xf>
    <xf numFmtId="0" fontId="23" fillId="6" borderId="15" xfId="0" applyFont="1" applyFill="1" applyBorder="1" applyAlignment="1">
      <alignment horizontal="left"/>
    </xf>
    <xf numFmtId="0" fontId="23" fillId="6" borderId="12" xfId="0" applyFont="1" applyFill="1" applyBorder="1" applyAlignment="1">
      <alignment horizontal="center"/>
    </xf>
    <xf numFmtId="0" fontId="53" fillId="0" borderId="12" xfId="0" applyFont="1" applyBorder="1" applyAlignment="1">
      <alignment vertical="center"/>
    </xf>
    <xf numFmtId="0" fontId="53" fillId="7" borderId="12" xfId="0" applyFont="1" applyFill="1" applyBorder="1" applyAlignment="1">
      <alignment vertical="center"/>
    </xf>
    <xf numFmtId="0" fontId="53" fillId="7" borderId="12" xfId="0" applyFont="1" applyFill="1" applyBorder="1" applyAlignment="1">
      <alignment vertical="center" wrapText="1"/>
    </xf>
    <xf numFmtId="0" fontId="53" fillId="7" borderId="12" xfId="0" applyFont="1" applyFill="1" applyBorder="1" applyAlignment="1"/>
    <xf numFmtId="0" fontId="0" fillId="0" borderId="12" xfId="0" applyFont="1" applyBorder="1" applyAlignment="1">
      <alignment vertical="center"/>
    </xf>
    <xf numFmtId="0" fontId="0" fillId="0" borderId="12" xfId="0" applyFont="1" applyFill="1" applyBorder="1" applyAlignment="1">
      <alignment vertical="center"/>
    </xf>
    <xf numFmtId="0" fontId="47" fillId="0" borderId="12" xfId="0" applyFont="1" applyFill="1" applyBorder="1" applyAlignment="1">
      <alignment vertical="center"/>
    </xf>
    <xf numFmtId="0" fontId="19" fillId="7" borderId="17" xfId="0" applyFont="1" applyFill="1" applyBorder="1" applyAlignment="1"/>
    <xf numFmtId="0" fontId="19" fillId="7" borderId="18" xfId="0" applyFont="1" applyFill="1" applyBorder="1" applyAlignment="1"/>
    <xf numFmtId="0" fontId="23" fillId="6" borderId="12" xfId="0" applyFont="1" applyFill="1" applyBorder="1" applyAlignment="1">
      <alignment horizontal="center"/>
    </xf>
    <xf numFmtId="0" fontId="19" fillId="7" borderId="12" xfId="0" applyFont="1" applyFill="1" applyBorder="1" applyAlignment="1"/>
    <xf numFmtId="0" fontId="23" fillId="4" borderId="0" xfId="0" applyFont="1" applyFill="1" applyBorder="1" applyAlignment="1">
      <alignment horizontal="center" vertical="center"/>
    </xf>
    <xf numFmtId="0" fontId="23" fillId="6" borderId="15" xfId="0" applyFont="1" applyFill="1" applyBorder="1" applyAlignment="1">
      <alignment horizontal="left"/>
    </xf>
    <xf numFmtId="0" fontId="11" fillId="4" borderId="0" xfId="0" applyFont="1" applyFill="1" applyBorder="1" applyAlignment="1">
      <alignment horizontal="center" vertical="center"/>
    </xf>
    <xf numFmtId="0" fontId="11" fillId="6" borderId="15" xfId="0" applyFont="1" applyFill="1" applyBorder="1" applyAlignment="1">
      <alignment horizontal="left"/>
    </xf>
    <xf numFmtId="0" fontId="11" fillId="6" borderId="12" xfId="0" applyFont="1" applyFill="1" applyBorder="1" applyAlignment="1">
      <alignment horizontal="center"/>
    </xf>
    <xf numFmtId="0" fontId="32" fillId="5" borderId="10" xfId="0" applyFont="1" applyFill="1" applyBorder="1" applyAlignment="1">
      <alignment horizontal="left" vertical="center"/>
    </xf>
    <xf numFmtId="0" fontId="47" fillId="0" borderId="12" xfId="0" applyFont="1" applyBorder="1" applyAlignment="1">
      <alignment vertical="center"/>
    </xf>
    <xf numFmtId="0" fontId="21" fillId="7" borderId="12" xfId="0" applyFont="1" applyFill="1" applyBorder="1" applyAlignment="1">
      <alignment vertical="center" wrapText="1"/>
    </xf>
    <xf numFmtId="0" fontId="21" fillId="7" borderId="12" xfId="0" applyFont="1" applyFill="1" applyBorder="1" applyAlignment="1">
      <alignment vertical="center"/>
    </xf>
    <xf numFmtId="0" fontId="21" fillId="7" borderId="12" xfId="0" applyFont="1" applyFill="1" applyBorder="1" applyAlignment="1"/>
    <xf numFmtId="0" fontId="7" fillId="5" borderId="10" xfId="0" applyFont="1" applyFill="1" applyBorder="1" applyAlignment="1">
      <alignment horizontal="left" vertical="center"/>
    </xf>
    <xf numFmtId="165" fontId="28" fillId="2" borderId="0" xfId="1" applyNumberFormat="1" applyFont="1" applyFill="1" applyBorder="1" applyAlignment="1">
      <alignment horizontal="center" vertical="center"/>
    </xf>
    <xf numFmtId="43" fontId="21" fillId="0" borderId="0" xfId="1" applyNumberFormat="1" applyFont="1" applyBorder="1" applyAlignment="1">
      <alignment vertical="center"/>
    </xf>
    <xf numFmtId="43" fontId="21" fillId="0" borderId="0" xfId="1" applyNumberFormat="1" applyFont="1" applyBorder="1" applyAlignment="1">
      <alignment horizontal="center" vertical="center"/>
    </xf>
    <xf numFmtId="166" fontId="32" fillId="2" borderId="13" xfId="0" applyNumberFormat="1" applyFont="1" applyFill="1" applyBorder="1" applyAlignment="1">
      <alignment horizontal="left"/>
    </xf>
    <xf numFmtId="0" fontId="32" fillId="2" borderId="12" xfId="0" applyFont="1" applyFill="1" applyBorder="1" applyAlignment="1">
      <alignment horizontal="left" wrapText="1"/>
    </xf>
    <xf numFmtId="168" fontId="25" fillId="7" borderId="12" xfId="0" applyNumberFormat="1" applyFont="1" applyFill="1" applyBorder="1" applyAlignment="1">
      <alignment vertical="center"/>
    </xf>
    <xf numFmtId="168" fontId="26" fillId="9" borderId="12" xfId="0" applyNumberFormat="1" applyFont="1" applyFill="1" applyBorder="1" applyAlignment="1">
      <alignment vertical="center"/>
    </xf>
    <xf numFmtId="165" fontId="21" fillId="0" borderId="0" xfId="2" applyFont="1" applyBorder="1" applyAlignment="1">
      <alignment horizontal="center" vertical="center"/>
    </xf>
    <xf numFmtId="165" fontId="21" fillId="0" borderId="0" xfId="2" applyFont="1" applyBorder="1" applyAlignment="1">
      <alignment vertical="center"/>
    </xf>
    <xf numFmtId="0" fontId="21" fillId="0" borderId="4" xfId="0" applyFont="1" applyBorder="1" applyAlignment="1">
      <alignment vertical="center"/>
    </xf>
    <xf numFmtId="0" fontId="32" fillId="0" borderId="4" xfId="0" applyFont="1" applyBorder="1" applyAlignment="1">
      <alignment horizontal="right" vertical="center"/>
    </xf>
    <xf numFmtId="165" fontId="25" fillId="2" borderId="7" xfId="2" applyFont="1" applyFill="1" applyBorder="1" applyAlignment="1">
      <alignment horizontal="center" vertical="center"/>
    </xf>
    <xf numFmtId="0" fontId="47" fillId="0" borderId="10" xfId="0" applyFont="1" applyBorder="1" applyAlignment="1">
      <alignment horizontal="center" vertical="center"/>
    </xf>
    <xf numFmtId="168" fontId="28" fillId="7" borderId="12" xfId="0" applyNumberFormat="1" applyFont="1" applyFill="1" applyBorder="1" applyAlignment="1">
      <alignment horizontal="right" vertical="center"/>
    </xf>
    <xf numFmtId="168" fontId="28" fillId="9" borderId="12" xfId="0" applyNumberFormat="1" applyFont="1" applyFill="1" applyBorder="1" applyAlignment="1">
      <alignment horizontal="right" vertical="center"/>
    </xf>
    <xf numFmtId="167" fontId="31" fillId="2" borderId="13" xfId="0" applyNumberFormat="1" applyFont="1" applyFill="1" applyBorder="1" applyAlignment="1">
      <alignment horizontal="right"/>
    </xf>
    <xf numFmtId="165" fontId="25" fillId="0" borderId="6" xfId="2" applyFont="1" applyBorder="1" applyAlignment="1">
      <alignment horizontal="center" vertical="center"/>
    </xf>
    <xf numFmtId="165" fontId="25" fillId="0" borderId="8" xfId="2" applyFont="1" applyBorder="1" applyAlignment="1">
      <alignment horizontal="left" indent="1"/>
    </xf>
    <xf numFmtId="0" fontId="47" fillId="0" borderId="23" xfId="0" applyFont="1" applyBorder="1"/>
    <xf numFmtId="0" fontId="47" fillId="0" borderId="23" xfId="0" applyFont="1" applyBorder="1" applyAlignment="1">
      <alignment horizontal="center" vertical="center"/>
    </xf>
    <xf numFmtId="168" fontId="15" fillId="7" borderId="19" xfId="0" applyNumberFormat="1" applyFont="1" applyFill="1" applyBorder="1" applyAlignment="1">
      <alignment vertical="center"/>
    </xf>
    <xf numFmtId="168" fontId="15" fillId="7" borderId="12" xfId="0" applyNumberFormat="1" applyFont="1" applyFill="1" applyBorder="1" applyAlignment="1">
      <alignment vertical="center"/>
    </xf>
    <xf numFmtId="168" fontId="15" fillId="9" borderId="12" xfId="0" applyNumberFormat="1" applyFont="1" applyFill="1" applyBorder="1" applyAlignment="1">
      <alignment vertical="center"/>
    </xf>
    <xf numFmtId="168" fontId="14" fillId="7" borderId="19" xfId="0" applyNumberFormat="1" applyFont="1" applyFill="1" applyBorder="1" applyAlignment="1">
      <alignment vertical="center"/>
    </xf>
    <xf numFmtId="168" fontId="14" fillId="7" borderId="12" xfId="0" applyNumberFormat="1" applyFont="1" applyFill="1" applyBorder="1" applyAlignment="1">
      <alignment vertical="center"/>
    </xf>
    <xf numFmtId="165" fontId="15" fillId="7" borderId="3" xfId="1" applyFont="1" applyFill="1" applyBorder="1" applyAlignment="1">
      <alignment horizontal="left" vertical="center"/>
    </xf>
    <xf numFmtId="168" fontId="16" fillId="7" borderId="19" xfId="0" applyNumberFormat="1" applyFont="1" applyFill="1" applyBorder="1" applyAlignment="1">
      <alignment vertical="center"/>
    </xf>
    <xf numFmtId="168" fontId="16" fillId="7" borderId="12" xfId="0" applyNumberFormat="1" applyFont="1" applyFill="1" applyBorder="1" applyAlignment="1">
      <alignment vertical="center"/>
    </xf>
    <xf numFmtId="168" fontId="16" fillId="10" borderId="12" xfId="0" applyNumberFormat="1" applyFont="1" applyFill="1" applyBorder="1" applyAlignment="1">
      <alignment vertical="center"/>
    </xf>
    <xf numFmtId="0" fontId="7" fillId="6" borderId="12" xfId="0" applyFont="1" applyFill="1" applyBorder="1" applyAlignment="1">
      <alignment horizontal="left"/>
    </xf>
    <xf numFmtId="165" fontId="7" fillId="6" borderId="12" xfId="1" applyFont="1" applyFill="1" applyBorder="1" applyAlignment="1">
      <alignment horizontal="left"/>
    </xf>
    <xf numFmtId="0" fontId="7" fillId="6" borderId="12" xfId="0" applyFont="1" applyFill="1" applyBorder="1" applyAlignment="1">
      <alignment horizontal="center"/>
    </xf>
    <xf numFmtId="1" fontId="7" fillId="6" borderId="12" xfId="0" applyNumberFormat="1" applyFont="1" applyFill="1" applyBorder="1" applyAlignment="1">
      <alignment horizontal="center"/>
    </xf>
    <xf numFmtId="0" fontId="30" fillId="0" borderId="2" xfId="0" applyFont="1" applyBorder="1" applyAlignment="1">
      <alignment horizontal="right"/>
    </xf>
    <xf numFmtId="0" fontId="30" fillId="0" borderId="26" xfId="0" applyFont="1" applyBorder="1" applyAlignment="1">
      <alignment horizontal="right"/>
    </xf>
    <xf numFmtId="0" fontId="23" fillId="4" borderId="0" xfId="0" applyFont="1" applyFill="1" applyBorder="1" applyAlignment="1">
      <alignment horizontal="center" vertical="center"/>
    </xf>
    <xf numFmtId="0" fontId="22" fillId="0" borderId="3" xfId="0" applyFont="1" applyBorder="1" applyAlignment="1"/>
    <xf numFmtId="0" fontId="22" fillId="0" borderId="0" xfId="0" applyFont="1" applyBorder="1" applyAlignment="1"/>
    <xf numFmtId="0" fontId="22" fillId="0" borderId="5" xfId="0" applyFont="1" applyBorder="1" applyAlignment="1"/>
    <xf numFmtId="0" fontId="23" fillId="6" borderId="27" xfId="0" applyFont="1" applyFill="1" applyBorder="1" applyAlignment="1">
      <alignment horizontal="left"/>
    </xf>
    <xf numFmtId="0" fontId="23" fillId="6" borderId="15" xfId="0" applyFont="1" applyFill="1" applyBorder="1" applyAlignment="1">
      <alignment horizontal="left"/>
    </xf>
    <xf numFmtId="0" fontId="23" fillId="6" borderId="18" xfId="0" applyFont="1" applyFill="1" applyBorder="1" applyAlignment="1">
      <alignment horizontal="left"/>
    </xf>
    <xf numFmtId="0" fontId="23" fillId="6" borderId="17" xfId="0" applyFont="1" applyFill="1" applyBorder="1" applyAlignment="1">
      <alignment horizontal="left"/>
    </xf>
    <xf numFmtId="0" fontId="21" fillId="2" borderId="25" xfId="0" applyNumberFormat="1" applyFont="1" applyFill="1" applyBorder="1" applyAlignment="1">
      <alignment horizontal="left"/>
    </xf>
    <xf numFmtId="0" fontId="21" fillId="2" borderId="15" xfId="0" applyNumberFormat="1" applyFont="1" applyFill="1" applyBorder="1" applyAlignment="1">
      <alignment horizontal="left"/>
    </xf>
    <xf numFmtId="0" fontId="21" fillId="2" borderId="18" xfId="0" applyNumberFormat="1" applyFont="1" applyFill="1" applyBorder="1" applyAlignment="1">
      <alignment horizontal="left"/>
    </xf>
    <xf numFmtId="0" fontId="22" fillId="2" borderId="17" xfId="0" applyFont="1" applyFill="1" applyBorder="1" applyAlignment="1">
      <alignment horizontal="left" wrapText="1"/>
    </xf>
    <xf numFmtId="0" fontId="22" fillId="2" borderId="15" xfId="0" applyFont="1" applyFill="1" applyBorder="1" applyAlignment="1">
      <alignment horizontal="left" wrapText="1"/>
    </xf>
    <xf numFmtId="0" fontId="23" fillId="6" borderId="12" xfId="0" applyFont="1" applyFill="1" applyBorder="1" applyAlignment="1">
      <alignment horizontal="center"/>
    </xf>
    <xf numFmtId="0" fontId="19" fillId="7" borderId="12" xfId="0" applyFont="1" applyFill="1" applyBorder="1" applyAlignment="1"/>
    <xf numFmtId="0" fontId="19" fillId="7" borderId="17" xfId="0" applyFont="1" applyFill="1" applyBorder="1" applyAlignment="1"/>
    <xf numFmtId="0" fontId="19" fillId="7" borderId="18" xfId="0" applyFont="1" applyFill="1" applyBorder="1" applyAlignment="1"/>
    <xf numFmtId="0" fontId="20" fillId="0" borderId="12" xfId="0" applyFont="1" applyBorder="1" applyAlignment="1">
      <alignment vertical="center"/>
    </xf>
    <xf numFmtId="0" fontId="47" fillId="0" borderId="12" xfId="0" applyFont="1" applyFill="1" applyBorder="1" applyAlignment="1">
      <alignment vertical="center"/>
    </xf>
    <xf numFmtId="165" fontId="23" fillId="2" borderId="0" xfId="1" applyFont="1" applyFill="1" applyBorder="1" applyAlignment="1">
      <alignment horizontal="left" vertical="center"/>
    </xf>
    <xf numFmtId="0" fontId="32" fillId="4" borderId="1" xfId="0" applyFont="1" applyFill="1" applyBorder="1" applyAlignment="1">
      <alignment horizontal="center" vertical="center" wrapText="1"/>
    </xf>
    <xf numFmtId="0" fontId="32" fillId="4" borderId="2" xfId="0" applyFont="1" applyFill="1" applyBorder="1" applyAlignment="1">
      <alignment horizontal="center" vertical="center" wrapText="1"/>
    </xf>
    <xf numFmtId="0" fontId="32" fillId="4" borderId="14" xfId="0" applyFont="1" applyFill="1" applyBorder="1" applyAlignment="1">
      <alignment horizontal="center" vertical="center" wrapText="1"/>
    </xf>
    <xf numFmtId="0" fontId="32" fillId="4" borderId="11" xfId="0" applyFont="1" applyFill="1" applyBorder="1" applyAlignment="1">
      <alignment horizontal="center" vertical="center" wrapText="1"/>
    </xf>
    <xf numFmtId="0" fontId="32" fillId="4" borderId="23" xfId="0" applyFont="1" applyFill="1" applyBorder="1" applyAlignment="1">
      <alignment horizontal="center" vertical="center" wrapText="1"/>
    </xf>
    <xf numFmtId="0" fontId="32" fillId="4" borderId="24" xfId="0" applyFont="1" applyFill="1" applyBorder="1" applyAlignment="1">
      <alignment horizontal="center" vertical="center" wrapText="1"/>
    </xf>
    <xf numFmtId="0" fontId="32" fillId="4" borderId="28" xfId="0" applyFont="1" applyFill="1" applyBorder="1" applyAlignment="1">
      <alignment horizontal="center" vertical="center" wrapText="1"/>
    </xf>
    <xf numFmtId="0" fontId="32" fillId="4" borderId="20" xfId="0" applyFont="1" applyFill="1" applyBorder="1" applyAlignment="1">
      <alignment horizontal="center" vertical="center" wrapText="1"/>
    </xf>
    <xf numFmtId="0" fontId="32" fillId="4" borderId="21" xfId="0" applyFont="1" applyFill="1" applyBorder="1" applyAlignment="1">
      <alignment horizontal="center" vertical="center" wrapText="1"/>
    </xf>
    <xf numFmtId="165" fontId="26" fillId="2" borderId="6" xfId="1" applyFont="1" applyFill="1" applyBorder="1" applyAlignment="1">
      <alignment horizontal="center" vertical="center"/>
    </xf>
    <xf numFmtId="165" fontId="26" fillId="2" borderId="8" xfId="1" applyFont="1" applyFill="1" applyBorder="1" applyAlignment="1">
      <alignment horizontal="center" vertical="center"/>
    </xf>
    <xf numFmtId="165" fontId="15" fillId="2" borderId="6" xfId="1" applyFont="1" applyFill="1" applyBorder="1" applyAlignment="1">
      <alignment horizontal="center" vertical="center"/>
    </xf>
    <xf numFmtId="165" fontId="15" fillId="2" borderId="8" xfId="1" applyFont="1" applyFill="1" applyBorder="1" applyAlignment="1">
      <alignment horizontal="center" vertical="center"/>
    </xf>
    <xf numFmtId="0" fontId="13" fillId="0" borderId="17" xfId="0" applyFont="1" applyBorder="1" applyAlignment="1">
      <alignment vertical="center"/>
    </xf>
    <xf numFmtId="0" fontId="13" fillId="0" borderId="15" xfId="0" applyFont="1" applyBorder="1" applyAlignment="1">
      <alignment vertical="center"/>
    </xf>
    <xf numFmtId="0" fontId="13" fillId="0" borderId="18" xfId="0" applyFont="1" applyBorder="1" applyAlignment="1">
      <alignment vertical="center"/>
    </xf>
    <xf numFmtId="0" fontId="12" fillId="7" borderId="17" xfId="0" applyFont="1" applyFill="1" applyBorder="1" applyAlignment="1"/>
    <xf numFmtId="0" fontId="12" fillId="7" borderId="15" xfId="0" applyFont="1" applyFill="1" applyBorder="1" applyAlignment="1"/>
    <xf numFmtId="0" fontId="12" fillId="7" borderId="18" xfId="0" applyFont="1" applyFill="1" applyBorder="1" applyAlignment="1"/>
    <xf numFmtId="0" fontId="43" fillId="0" borderId="17" xfId="0" applyFont="1" applyFill="1" applyBorder="1" applyAlignment="1">
      <alignment vertical="center"/>
    </xf>
    <xf numFmtId="0" fontId="43" fillId="0" borderId="15" xfId="0" applyFont="1" applyFill="1" applyBorder="1" applyAlignment="1">
      <alignment vertical="center"/>
    </xf>
    <xf numFmtId="0" fontId="43" fillId="0" borderId="18" xfId="0" applyFont="1" applyFill="1" applyBorder="1" applyAlignment="1">
      <alignment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28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0" fontId="11" fillId="6" borderId="12" xfId="0" applyFont="1" applyFill="1" applyBorder="1" applyAlignment="1">
      <alignment horizontal="center"/>
    </xf>
    <xf numFmtId="0" fontId="2" fillId="0" borderId="2" xfId="0" applyFont="1" applyBorder="1" applyAlignment="1">
      <alignment horizontal="right"/>
    </xf>
    <xf numFmtId="0" fontId="2" fillId="0" borderId="26" xfId="0" applyFont="1" applyBorder="1" applyAlignment="1">
      <alignment horizontal="right"/>
    </xf>
    <xf numFmtId="0" fontId="11" fillId="4" borderId="0" xfId="0" applyFont="1" applyFill="1" applyBorder="1" applyAlignment="1">
      <alignment horizontal="center" vertical="center"/>
    </xf>
    <xf numFmtId="0" fontId="9" fillId="0" borderId="3" xfId="0" applyFont="1" applyBorder="1" applyAlignment="1"/>
    <xf numFmtId="0" fontId="9" fillId="0" borderId="0" xfId="0" applyFont="1" applyBorder="1" applyAlignment="1"/>
    <xf numFmtId="0" fontId="9" fillId="0" borderId="5" xfId="0" applyFont="1" applyBorder="1" applyAlignment="1"/>
    <xf numFmtId="0" fontId="11" fillId="6" borderId="27" xfId="0" applyFont="1" applyFill="1" applyBorder="1" applyAlignment="1">
      <alignment horizontal="left"/>
    </xf>
    <xf numFmtId="0" fontId="11" fillId="6" borderId="15" xfId="0" applyFont="1" applyFill="1" applyBorder="1" applyAlignment="1">
      <alignment horizontal="left"/>
    </xf>
    <xf numFmtId="0" fontId="11" fillId="6" borderId="18" xfId="0" applyFont="1" applyFill="1" applyBorder="1" applyAlignment="1">
      <alignment horizontal="left"/>
    </xf>
    <xf numFmtId="0" fontId="11" fillId="6" borderId="17" xfId="0" applyFont="1" applyFill="1" applyBorder="1" applyAlignment="1">
      <alignment horizontal="left"/>
    </xf>
    <xf numFmtId="0" fontId="4" fillId="2" borderId="25" xfId="0" applyNumberFormat="1" applyFont="1" applyFill="1" applyBorder="1" applyAlignment="1">
      <alignment horizontal="left"/>
    </xf>
    <xf numFmtId="0" fontId="4" fillId="2" borderId="15" xfId="0" applyNumberFormat="1" applyFont="1" applyFill="1" applyBorder="1" applyAlignment="1">
      <alignment horizontal="left"/>
    </xf>
    <xf numFmtId="0" fontId="4" fillId="2" borderId="18" xfId="0" applyNumberFormat="1" applyFont="1" applyFill="1" applyBorder="1" applyAlignment="1">
      <alignment horizontal="left"/>
    </xf>
    <xf numFmtId="0" fontId="9" fillId="2" borderId="17" xfId="0" applyFont="1" applyFill="1" applyBorder="1" applyAlignment="1">
      <alignment horizontal="left" wrapText="1"/>
    </xf>
    <xf numFmtId="0" fontId="9" fillId="2" borderId="15" xfId="0" applyFont="1" applyFill="1" applyBorder="1" applyAlignment="1">
      <alignment horizontal="left" wrapText="1"/>
    </xf>
    <xf numFmtId="0" fontId="4" fillId="0" borderId="12" xfId="0" applyFont="1" applyBorder="1" applyAlignment="1"/>
    <xf numFmtId="0" fontId="4" fillId="7" borderId="17" xfId="0" applyFont="1" applyFill="1" applyBorder="1" applyAlignment="1"/>
    <xf numFmtId="0" fontId="4" fillId="7" borderId="18" xfId="0" applyFont="1" applyFill="1" applyBorder="1" applyAlignment="1"/>
    <xf numFmtId="0" fontId="4" fillId="7" borderId="12" xfId="0" applyFont="1" applyFill="1" applyBorder="1" applyAlignment="1">
      <alignment vertical="center" wrapText="1"/>
    </xf>
    <xf numFmtId="0" fontId="4" fillId="7" borderId="12" xfId="0" applyFont="1" applyFill="1" applyBorder="1" applyAlignment="1">
      <alignment vertical="center"/>
    </xf>
    <xf numFmtId="0" fontId="4" fillId="7" borderId="12" xfId="0" applyFont="1" applyFill="1" applyBorder="1" applyAlignment="1"/>
    <xf numFmtId="0" fontId="43" fillId="0" borderId="12" xfId="0" applyFont="1" applyFill="1" applyBorder="1" applyAlignment="1">
      <alignment vertical="center"/>
    </xf>
    <xf numFmtId="0" fontId="13" fillId="2" borderId="12" xfId="0" applyNumberFormat="1" applyFont="1" applyFill="1" applyBorder="1" applyAlignment="1">
      <alignment vertical="center" wrapText="1"/>
    </xf>
    <xf numFmtId="0" fontId="13" fillId="0" borderId="12" xfId="0" applyFont="1" applyBorder="1" applyAlignment="1">
      <alignment vertical="center"/>
    </xf>
    <xf numFmtId="0" fontId="43" fillId="0" borderId="12" xfId="0" applyFont="1" applyBorder="1" applyAlignment="1">
      <alignment vertical="center"/>
    </xf>
    <xf numFmtId="0" fontId="4" fillId="0" borderId="12" xfId="0" applyFont="1" applyBorder="1" applyAlignment="1">
      <alignment horizontal="left"/>
    </xf>
    <xf numFmtId="0" fontId="45" fillId="0" borderId="12" xfId="0" applyFont="1" applyFill="1" applyBorder="1" applyAlignment="1">
      <alignment vertical="center"/>
    </xf>
    <xf numFmtId="0" fontId="6" fillId="6" borderId="27" xfId="0" applyFont="1" applyFill="1" applyBorder="1" applyAlignment="1">
      <alignment horizontal="left"/>
    </xf>
    <xf numFmtId="0" fontId="6" fillId="6" borderId="15" xfId="0" applyFont="1" applyFill="1" applyBorder="1" applyAlignment="1">
      <alignment horizontal="left"/>
    </xf>
    <xf numFmtId="0" fontId="6" fillId="6" borderId="18" xfId="0" applyFont="1" applyFill="1" applyBorder="1" applyAlignment="1">
      <alignment horizontal="left"/>
    </xf>
    <xf numFmtId="0" fontId="10" fillId="6" borderId="17" xfId="0" applyFont="1" applyFill="1" applyBorder="1" applyAlignment="1">
      <alignment horizontal="left"/>
    </xf>
    <xf numFmtId="0" fontId="10" fillId="6" borderId="15" xfId="0" applyFont="1" applyFill="1" applyBorder="1" applyAlignment="1">
      <alignment horizontal="left"/>
    </xf>
    <xf numFmtId="0" fontId="45" fillId="0" borderId="12" xfId="0" applyFont="1" applyBorder="1" applyAlignment="1">
      <alignment vertical="center"/>
    </xf>
    <xf numFmtId="0" fontId="1" fillId="2" borderId="25" xfId="0" applyNumberFormat="1" applyFont="1" applyFill="1" applyBorder="1" applyAlignment="1">
      <alignment horizontal="left"/>
    </xf>
    <xf numFmtId="0" fontId="1" fillId="2" borderId="15" xfId="0" applyNumberFormat="1" applyFont="1" applyFill="1" applyBorder="1" applyAlignment="1">
      <alignment horizontal="left"/>
    </xf>
    <xf numFmtId="0" fontId="1" fillId="2" borderId="18" xfId="0" applyNumberFormat="1" applyFont="1" applyFill="1" applyBorder="1" applyAlignment="1">
      <alignment horizontal="left"/>
    </xf>
    <xf numFmtId="0" fontId="1" fillId="2" borderId="17" xfId="0" applyFont="1" applyFill="1" applyBorder="1" applyAlignment="1">
      <alignment horizontal="left" wrapText="1"/>
    </xf>
    <xf numFmtId="0" fontId="1" fillId="2" borderId="15" xfId="0" applyFont="1" applyFill="1" applyBorder="1" applyAlignment="1">
      <alignment horizontal="left" wrapText="1"/>
    </xf>
    <xf numFmtId="0" fontId="7" fillId="6" borderId="12" xfId="0" applyFont="1" applyFill="1" applyBorder="1" applyAlignment="1">
      <alignment horizontal="center"/>
    </xf>
    <xf numFmtId="0" fontId="14" fillId="0" borderId="12" xfId="0" applyFont="1" applyBorder="1" applyAlignment="1">
      <alignment vertical="center"/>
    </xf>
    <xf numFmtId="0" fontId="1" fillId="7" borderId="17" xfId="0" applyFont="1" applyFill="1" applyBorder="1" applyAlignment="1"/>
    <xf numFmtId="0" fontId="1" fillId="7" borderId="15" xfId="0" applyFont="1" applyFill="1" applyBorder="1" applyAlignment="1"/>
    <xf numFmtId="0" fontId="1" fillId="7" borderId="18" xfId="0" applyFont="1" applyFill="1" applyBorder="1" applyAlignment="1"/>
    <xf numFmtId="0" fontId="1" fillId="7" borderId="12" xfId="0" applyFont="1" applyFill="1" applyBorder="1" applyAlignment="1">
      <alignment vertical="center"/>
    </xf>
    <xf numFmtId="0" fontId="14" fillId="2" borderId="12" xfId="0" applyNumberFormat="1" applyFont="1" applyFill="1" applyBorder="1" applyAlignment="1">
      <alignment vertical="center" wrapText="1"/>
    </xf>
    <xf numFmtId="0" fontId="1" fillId="7" borderId="12" xfId="0" applyFont="1" applyFill="1" applyBorder="1" applyAlignment="1"/>
    <xf numFmtId="0" fontId="18" fillId="0" borderId="12" xfId="0" applyFont="1" applyBorder="1" applyAlignment="1"/>
    <xf numFmtId="0" fontId="1" fillId="0" borderId="12" xfId="0" applyFont="1" applyBorder="1" applyAlignment="1"/>
    <xf numFmtId="0" fontId="14" fillId="0" borderId="17" xfId="0" applyFont="1" applyBorder="1" applyAlignment="1">
      <alignment vertical="center"/>
    </xf>
    <xf numFmtId="0" fontId="14" fillId="0" borderId="15" xfId="0" applyFont="1" applyBorder="1" applyAlignment="1">
      <alignment vertical="center"/>
    </xf>
    <xf numFmtId="0" fontId="14" fillId="0" borderId="18" xfId="0" applyFont="1" applyBorder="1" applyAlignment="1">
      <alignment vertical="center"/>
    </xf>
    <xf numFmtId="0" fontId="1" fillId="7" borderId="12" xfId="0" applyFont="1" applyFill="1" applyBorder="1" applyAlignment="1">
      <alignment vertical="center" wrapText="1"/>
    </xf>
    <xf numFmtId="165" fontId="16" fillId="7" borderId="6" xfId="1" applyFont="1" applyFill="1" applyBorder="1" applyAlignment="1">
      <alignment horizontal="center" vertical="center"/>
    </xf>
    <xf numFmtId="165" fontId="16" fillId="7" borderId="9" xfId="1" applyFont="1" applyFill="1" applyBorder="1" applyAlignment="1">
      <alignment horizontal="center" vertical="center"/>
    </xf>
    <xf numFmtId="165" fontId="16" fillId="2" borderId="0" xfId="1" applyFont="1" applyFill="1" applyBorder="1" applyAlignment="1">
      <alignment horizontal="center" vertical="center"/>
    </xf>
    <xf numFmtId="165" fontId="16" fillId="2" borderId="4" xfId="1" applyFont="1" applyFill="1" applyBorder="1" applyAlignment="1">
      <alignment horizontal="center" vertical="center"/>
    </xf>
    <xf numFmtId="0" fontId="11" fillId="6" borderId="22" xfId="0" applyFont="1" applyFill="1" applyBorder="1" applyAlignment="1">
      <alignment horizontal="center"/>
    </xf>
    <xf numFmtId="0" fontId="13" fillId="7" borderId="17" xfId="0" applyFont="1" applyFill="1" applyBorder="1" applyAlignment="1"/>
    <xf numFmtId="0" fontId="13" fillId="7" borderId="15" xfId="0" applyFont="1" applyFill="1" applyBorder="1" applyAlignment="1"/>
    <xf numFmtId="0" fontId="13" fillId="0" borderId="19" xfId="0" applyFont="1" applyBorder="1" applyAlignment="1">
      <alignment vertical="center"/>
    </xf>
    <xf numFmtId="0" fontId="13" fillId="7" borderId="12" xfId="0" applyFont="1" applyFill="1" applyBorder="1" applyAlignment="1">
      <alignment vertical="center"/>
    </xf>
    <xf numFmtId="0" fontId="13" fillId="7" borderId="12" xfId="0" applyFont="1" applyFill="1" applyBorder="1" applyAlignment="1"/>
    <xf numFmtId="0" fontId="10" fillId="4" borderId="1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4" borderId="14" xfId="0" applyFont="1" applyFill="1" applyBorder="1" applyAlignment="1">
      <alignment horizontal="center" vertical="center" wrapText="1"/>
    </xf>
    <xf numFmtId="0" fontId="10" fillId="4" borderId="28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 wrapText="1"/>
    </xf>
    <xf numFmtId="0" fontId="10" fillId="4" borderId="21" xfId="0" applyFont="1" applyFill="1" applyBorder="1" applyAlignment="1">
      <alignment horizontal="center" vertical="center" wrapText="1"/>
    </xf>
    <xf numFmtId="0" fontId="37" fillId="0" borderId="12" xfId="0" applyFont="1" applyBorder="1" applyAlignment="1"/>
    <xf numFmtId="0" fontId="13" fillId="0" borderId="12" xfId="0" applyFont="1" applyBorder="1" applyAlignment="1"/>
    <xf numFmtId="0" fontId="13" fillId="7" borderId="12" xfId="0" applyFont="1" applyFill="1" applyBorder="1" applyAlignment="1">
      <alignment vertical="center" wrapText="1"/>
    </xf>
    <xf numFmtId="165" fontId="15" fillId="2" borderId="0" xfId="1" applyFont="1" applyFill="1" applyBorder="1" applyAlignment="1">
      <alignment horizontal="center" vertical="center"/>
    </xf>
    <xf numFmtId="0" fontId="38" fillId="7" borderId="17" xfId="0" applyFont="1" applyFill="1" applyBorder="1" applyAlignment="1"/>
    <xf numFmtId="0" fontId="38" fillId="7" borderId="15" xfId="0" applyFont="1" applyFill="1" applyBorder="1" applyAlignment="1"/>
    <xf numFmtId="0" fontId="38" fillId="7" borderId="18" xfId="0" applyFont="1" applyFill="1" applyBorder="1" applyAlignment="1"/>
    <xf numFmtId="0" fontId="38" fillId="7" borderId="12" xfId="0" applyFont="1" applyFill="1" applyBorder="1" applyAlignment="1">
      <alignment vertical="center"/>
    </xf>
    <xf numFmtId="0" fontId="38" fillId="7" borderId="12" xfId="0" applyFont="1" applyFill="1" applyBorder="1" applyAlignment="1"/>
    <xf numFmtId="0" fontId="39" fillId="0" borderId="12" xfId="0" applyFont="1" applyBorder="1" applyAlignment="1"/>
    <xf numFmtId="0" fontId="38" fillId="0" borderId="12" xfId="0" applyFont="1" applyBorder="1" applyAlignment="1"/>
    <xf numFmtId="0" fontId="38" fillId="7" borderId="12" xfId="0" applyFont="1" applyFill="1" applyBorder="1" applyAlignment="1">
      <alignment vertical="center" wrapText="1"/>
    </xf>
    <xf numFmtId="0" fontId="13" fillId="7" borderId="18" xfId="0" applyFont="1" applyFill="1" applyBorder="1" applyAlignment="1"/>
    <xf numFmtId="0" fontId="4" fillId="0" borderId="28" xfId="0" applyFont="1" applyBorder="1" applyAlignment="1">
      <alignment vertical="center"/>
    </xf>
    <xf numFmtId="0" fontId="4" fillId="0" borderId="20" xfId="0" applyFont="1" applyBorder="1" applyAlignment="1">
      <alignment vertical="center"/>
    </xf>
    <xf numFmtId="0" fontId="4" fillId="0" borderId="21" xfId="0" applyFont="1" applyBorder="1" applyAlignment="1">
      <alignment vertical="center"/>
    </xf>
    <xf numFmtId="0" fontId="43" fillId="0" borderId="15" xfId="0" applyFont="1" applyBorder="1" applyAlignment="1">
      <alignment vertical="center"/>
    </xf>
    <xf numFmtId="0" fontId="43" fillId="0" borderId="18" xfId="0" applyFont="1" applyBorder="1" applyAlignment="1">
      <alignment vertical="center"/>
    </xf>
    <xf numFmtId="0" fontId="32" fillId="4" borderId="12" xfId="0" applyFont="1" applyFill="1" applyBorder="1" applyAlignment="1">
      <alignment horizontal="center" vertical="center" wrapText="1"/>
    </xf>
    <xf numFmtId="0" fontId="21" fillId="7" borderId="12" xfId="0" applyFont="1" applyFill="1" applyBorder="1" applyAlignment="1"/>
    <xf numFmtId="0" fontId="24" fillId="0" borderId="12" xfId="0" applyFont="1" applyBorder="1" applyAlignment="1"/>
    <xf numFmtId="0" fontId="21" fillId="0" borderId="12" xfId="0" applyFont="1" applyBorder="1" applyAlignment="1"/>
    <xf numFmtId="165" fontId="26" fillId="2" borderId="10" xfId="2" applyFont="1" applyFill="1" applyBorder="1" applyAlignment="1">
      <alignment horizontal="center" vertical="center"/>
    </xf>
    <xf numFmtId="165" fontId="26" fillId="2" borderId="0" xfId="2" applyFont="1" applyFill="1" applyBorder="1" applyAlignment="1">
      <alignment horizontal="center" vertical="center"/>
    </xf>
    <xf numFmtId="165" fontId="25" fillId="2" borderId="0" xfId="2" applyFont="1" applyFill="1" applyBorder="1" applyAlignment="1">
      <alignment horizontal="left" vertical="center" wrapText="1"/>
    </xf>
    <xf numFmtId="0" fontId="21" fillId="7" borderId="12" xfId="0" applyFont="1" applyFill="1" applyBorder="1" applyAlignment="1">
      <alignment vertical="center"/>
    </xf>
    <xf numFmtId="0" fontId="20" fillId="2" borderId="12" xfId="0" applyNumberFormat="1" applyFont="1" applyFill="1" applyBorder="1" applyAlignment="1">
      <alignment vertical="center" wrapText="1"/>
    </xf>
    <xf numFmtId="0" fontId="21" fillId="7" borderId="12" xfId="0" applyFont="1" applyFill="1" applyBorder="1" applyAlignment="1">
      <alignment vertical="center" wrapText="1"/>
    </xf>
    <xf numFmtId="0" fontId="47" fillId="0" borderId="12" xfId="0" applyFont="1" applyBorder="1" applyAlignment="1">
      <alignment vertical="center"/>
    </xf>
    <xf numFmtId="0" fontId="22" fillId="0" borderId="17" xfId="0" applyFont="1" applyBorder="1" applyAlignment="1"/>
    <xf numFmtId="0" fontId="22" fillId="0" borderId="15" xfId="0" applyFont="1" applyBorder="1" applyAlignment="1"/>
    <xf numFmtId="0" fontId="22" fillId="0" borderId="18" xfId="0" applyFont="1" applyBorder="1" applyAlignment="1"/>
    <xf numFmtId="0" fontId="30" fillId="0" borderId="8" xfId="0" applyFont="1" applyBorder="1" applyAlignment="1">
      <alignment horizontal="right"/>
    </xf>
    <xf numFmtId="0" fontId="30" fillId="0" borderId="29" xfId="0" applyFont="1" applyBorder="1" applyAlignment="1">
      <alignment horizontal="right"/>
    </xf>
    <xf numFmtId="0" fontId="23" fillId="4" borderId="8" xfId="0" applyFont="1" applyFill="1" applyBorder="1" applyAlignment="1">
      <alignment horizontal="left" vertical="center"/>
    </xf>
    <xf numFmtId="0" fontId="32" fillId="5" borderId="10" xfId="0" applyFont="1" applyFill="1" applyBorder="1" applyAlignment="1">
      <alignment horizontal="left" vertical="center"/>
    </xf>
    <xf numFmtId="0" fontId="32" fillId="5" borderId="0" xfId="0" applyFont="1" applyFill="1" applyBorder="1" applyAlignment="1">
      <alignment horizontal="left" vertical="center"/>
    </xf>
    <xf numFmtId="0" fontId="53" fillId="0" borderId="12" xfId="0" applyFont="1" applyBorder="1" applyAlignment="1"/>
    <xf numFmtId="0" fontId="53" fillId="0" borderId="12" xfId="0" applyFont="1" applyBorder="1" applyAlignment="1">
      <alignment vertical="center"/>
    </xf>
    <xf numFmtId="0" fontId="53" fillId="7" borderId="12" xfId="0" applyFont="1" applyFill="1" applyBorder="1" applyAlignment="1">
      <alignment vertical="center"/>
    </xf>
    <xf numFmtId="0" fontId="53" fillId="7" borderId="12" xfId="0" applyFont="1" applyFill="1" applyBorder="1" applyAlignment="1">
      <alignment vertical="center" wrapText="1"/>
    </xf>
    <xf numFmtId="0" fontId="53" fillId="7" borderId="12" xfId="0" applyFont="1" applyFill="1" applyBorder="1" applyAlignment="1"/>
    <xf numFmtId="0" fontId="55" fillId="0" borderId="12" xfId="0" applyFont="1" applyBorder="1" applyAlignment="1"/>
    <xf numFmtId="0" fontId="0" fillId="0" borderId="12" xfId="0" applyFont="1" applyBorder="1" applyAlignment="1">
      <alignment vertical="center"/>
    </xf>
    <xf numFmtId="0" fontId="53" fillId="2" borderId="12" xfId="0" applyNumberFormat="1" applyFont="1" applyFill="1" applyBorder="1" applyAlignment="1">
      <alignment vertical="center" wrapText="1"/>
    </xf>
    <xf numFmtId="0" fontId="0" fillId="0" borderId="12" xfId="0" applyFont="1" applyFill="1" applyBorder="1" applyAlignment="1">
      <alignment vertical="center"/>
    </xf>
    <xf numFmtId="0" fontId="33" fillId="0" borderId="0" xfId="0" applyFont="1" applyBorder="1" applyAlignment="1">
      <alignment horizontal="center" vertical="center"/>
    </xf>
    <xf numFmtId="0" fontId="28" fillId="4" borderId="8" xfId="0" applyFont="1" applyFill="1" applyBorder="1" applyAlignment="1">
      <alignment horizontal="left" vertical="center"/>
    </xf>
    <xf numFmtId="0" fontId="7" fillId="5" borderId="10" xfId="0" applyFont="1" applyFill="1" applyBorder="1" applyAlignment="1">
      <alignment horizontal="left" vertical="center"/>
    </xf>
    <xf numFmtId="0" fontId="7" fillId="5" borderId="0" xfId="0" applyFont="1" applyFill="1" applyBorder="1" applyAlignment="1">
      <alignment horizontal="left" vertical="center"/>
    </xf>
    <xf numFmtId="0" fontId="11" fillId="4" borderId="8" xfId="0" applyFont="1" applyFill="1" applyBorder="1" applyAlignment="1">
      <alignment horizontal="left" vertical="center"/>
    </xf>
    <xf numFmtId="43" fontId="26" fillId="2" borderId="3" xfId="1" applyNumberFormat="1" applyFont="1" applyFill="1" applyBorder="1" applyAlignment="1">
      <alignment horizontal="center" vertical="center" wrapText="1"/>
    </xf>
    <xf numFmtId="43" fontId="26" fillId="2" borderId="0" xfId="1" applyNumberFormat="1" applyFont="1" applyFill="1" applyBorder="1" applyAlignment="1">
      <alignment horizontal="center" vertical="center" wrapText="1"/>
    </xf>
    <xf numFmtId="43" fontId="26" fillId="2" borderId="0" xfId="1" applyNumberFormat="1" applyFont="1" applyFill="1" applyBorder="1" applyAlignment="1">
      <alignment horizontal="left" vertical="center" wrapText="1"/>
    </xf>
    <xf numFmtId="0" fontId="21" fillId="0" borderId="28" xfId="0" applyFont="1" applyBorder="1" applyAlignment="1">
      <alignment vertical="center"/>
    </xf>
    <xf numFmtId="0" fontId="21" fillId="0" borderId="20" xfId="0" applyFont="1" applyBorder="1" applyAlignment="1">
      <alignment vertical="center"/>
    </xf>
    <xf numFmtId="0" fontId="21" fillId="0" borderId="21" xfId="0" applyFont="1" applyBorder="1" applyAlignment="1">
      <alignment vertical="center"/>
    </xf>
    <xf numFmtId="0" fontId="53" fillId="0" borderId="18" xfId="0" applyFont="1" applyBorder="1" applyAlignment="1">
      <alignment vertical="center"/>
    </xf>
    <xf numFmtId="0" fontId="53" fillId="0" borderId="19" xfId="0" applyFont="1" applyBorder="1" applyAlignment="1">
      <alignment vertical="center"/>
    </xf>
    <xf numFmtId="0" fontId="53" fillId="0" borderId="22" xfId="0" applyFont="1" applyBorder="1" applyAlignment="1">
      <alignment vertical="center"/>
    </xf>
    <xf numFmtId="43" fontId="25" fillId="2" borderId="0" xfId="1" applyNumberFormat="1" applyFont="1" applyFill="1" applyBorder="1" applyAlignment="1">
      <alignment horizontal="center" vertical="center" wrapText="1"/>
    </xf>
    <xf numFmtId="43" fontId="26" fillId="2" borderId="3" xfId="1" applyNumberFormat="1" applyFont="1" applyFill="1" applyBorder="1" applyAlignment="1">
      <alignment horizontal="center" vertical="center"/>
    </xf>
    <xf numFmtId="43" fontId="26" fillId="2" borderId="0" xfId="1" applyNumberFormat="1" applyFont="1" applyFill="1" applyBorder="1" applyAlignment="1">
      <alignment horizontal="center" vertical="center"/>
    </xf>
    <xf numFmtId="0" fontId="25" fillId="0" borderId="0" xfId="0" applyFont="1" applyBorder="1" applyAlignment="1">
      <alignment horizontal="center"/>
    </xf>
    <xf numFmtId="0" fontId="12" fillId="4" borderId="0" xfId="0" applyFont="1" applyFill="1" applyBorder="1" applyAlignment="1">
      <alignment horizontal="left" vertical="center"/>
    </xf>
    <xf numFmtId="165" fontId="15" fillId="2" borderId="0" xfId="1" applyFont="1" applyFill="1" applyBorder="1" applyAlignment="1">
      <alignment horizontal="left" vertical="center" wrapText="1"/>
    </xf>
    <xf numFmtId="49" fontId="12" fillId="4" borderId="0" xfId="0" applyNumberFormat="1" applyFont="1" applyFill="1" applyBorder="1" applyAlignment="1">
      <alignment horizontal="left" vertical="center" wrapText="1"/>
    </xf>
    <xf numFmtId="165" fontId="16" fillId="7" borderId="3" xfId="1" applyFont="1" applyFill="1" applyBorder="1" applyAlignment="1">
      <alignment horizontal="center" vertical="center"/>
    </xf>
    <xf numFmtId="165" fontId="16" fillId="7" borderId="0" xfId="1" applyFont="1" applyFill="1" applyBorder="1" applyAlignment="1">
      <alignment horizontal="center" vertical="center"/>
    </xf>
    <xf numFmtId="165" fontId="11" fillId="6" borderId="12" xfId="1" applyFont="1" applyFill="1" applyBorder="1" applyAlignment="1"/>
    <xf numFmtId="0" fontId="11" fillId="6" borderId="17" xfId="0" applyFont="1" applyFill="1" applyBorder="1" applyAlignment="1">
      <alignment horizontal="center"/>
    </xf>
    <xf numFmtId="0" fontId="11" fillId="6" borderId="18" xfId="0" applyFont="1" applyFill="1" applyBorder="1" applyAlignment="1">
      <alignment horizontal="center"/>
    </xf>
    <xf numFmtId="0" fontId="11" fillId="6" borderId="12" xfId="0" quotePrefix="1" applyFont="1" applyFill="1" applyBorder="1" applyAlignment="1">
      <alignment horizontal="center"/>
    </xf>
    <xf numFmtId="0" fontId="7" fillId="0" borderId="0" xfId="0" applyFont="1" applyBorder="1" applyAlignment="1">
      <alignment horizontal="center" wrapText="1"/>
    </xf>
    <xf numFmtId="0" fontId="7" fillId="0" borderId="23" xfId="0" applyFont="1" applyBorder="1" applyAlignment="1">
      <alignment horizontal="center" wrapText="1"/>
    </xf>
    <xf numFmtId="166" fontId="7" fillId="0" borderId="5" xfId="0" applyNumberFormat="1" applyFont="1" applyBorder="1" applyAlignment="1">
      <alignment horizontal="center" wrapText="1"/>
    </xf>
    <xf numFmtId="166" fontId="7" fillId="0" borderId="30" xfId="0" applyNumberFormat="1" applyFont="1" applyBorder="1" applyAlignment="1">
      <alignment horizontal="center" wrapText="1"/>
    </xf>
    <xf numFmtId="168" fontId="16" fillId="9" borderId="12" xfId="0" applyNumberFormat="1" applyFont="1" applyFill="1" applyBorder="1" applyAlignment="1">
      <alignment vertical="center"/>
    </xf>
    <xf numFmtId="165" fontId="57" fillId="7" borderId="3" xfId="1" applyFont="1" applyFill="1" applyBorder="1" applyAlignment="1">
      <alignment horizontal="center" vertical="center"/>
    </xf>
    <xf numFmtId="165" fontId="57" fillId="7" borderId="0" xfId="1" applyFont="1" applyFill="1" applyBorder="1" applyAlignment="1">
      <alignment horizontal="center" vertical="center"/>
    </xf>
    <xf numFmtId="0" fontId="42" fillId="0" borderId="0" xfId="0" applyFont="1" applyAlignment="1">
      <alignment horizontal="left"/>
    </xf>
    <xf numFmtId="165" fontId="28" fillId="2" borderId="0" xfId="1" applyFont="1" applyFill="1" applyBorder="1" applyAlignment="1">
      <alignment horizontal="right" vertical="center"/>
    </xf>
    <xf numFmtId="0" fontId="19" fillId="7" borderId="12" xfId="1" applyNumberFormat="1" applyFont="1" applyFill="1" applyBorder="1" applyAlignment="1">
      <alignment horizontal="left"/>
    </xf>
    <xf numFmtId="0" fontId="19" fillId="7" borderId="15" xfId="0" applyFont="1" applyFill="1" applyBorder="1" applyAlignment="1"/>
    <xf numFmtId="0" fontId="20" fillId="2" borderId="12" xfId="0" applyNumberFormat="1" applyFont="1" applyFill="1" applyBorder="1" applyAlignment="1">
      <alignment horizontal="left" vertical="center"/>
    </xf>
    <xf numFmtId="0" fontId="58" fillId="0" borderId="0" xfId="0" applyFont="1" applyAlignment="1">
      <alignment horizontal="left"/>
    </xf>
    <xf numFmtId="0" fontId="21" fillId="2" borderId="16" xfId="0" applyNumberFormat="1" applyFont="1" applyFill="1" applyBorder="1" applyAlignment="1">
      <alignment horizontal="left" vertical="center"/>
    </xf>
    <xf numFmtId="0" fontId="20" fillId="2" borderId="16" xfId="0" applyNumberFormat="1" applyFont="1" applyFill="1" applyBorder="1" applyAlignment="1">
      <alignment horizontal="center" vertical="center"/>
    </xf>
    <xf numFmtId="4" fontId="47" fillId="0" borderId="0" xfId="0" applyNumberFormat="1" applyFont="1"/>
    <xf numFmtId="0" fontId="20" fillId="0" borderId="17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0" fontId="22" fillId="7" borderId="12" xfId="0" applyFont="1" applyFill="1" applyBorder="1" applyAlignment="1">
      <alignment horizontal="center"/>
    </xf>
    <xf numFmtId="0" fontId="21" fillId="7" borderId="12" xfId="0" applyFont="1" applyFill="1" applyBorder="1" applyAlignment="1">
      <alignment horizontal="center"/>
    </xf>
    <xf numFmtId="0" fontId="21" fillId="7" borderId="17" xfId="0" applyFont="1" applyFill="1" applyBorder="1" applyAlignment="1"/>
    <xf numFmtId="0" fontId="21" fillId="7" borderId="15" xfId="0" applyFont="1" applyFill="1" applyBorder="1" applyAlignment="1"/>
    <xf numFmtId="0" fontId="21" fillId="7" borderId="18" xfId="0" applyFont="1" applyFill="1" applyBorder="1" applyAlignment="1"/>
    <xf numFmtId="0" fontId="21" fillId="0" borderId="12" xfId="0" applyFont="1" applyBorder="1" applyAlignment="1">
      <alignment horizontal="center"/>
    </xf>
    <xf numFmtId="165" fontId="26" fillId="2" borderId="0" xfId="1" applyFont="1" applyFill="1" applyBorder="1" applyAlignment="1">
      <alignment horizontal="center" vertical="center"/>
    </xf>
    <xf numFmtId="168" fontId="26" fillId="7" borderId="12" xfId="0" applyNumberFormat="1" applyFont="1" applyFill="1" applyBorder="1" applyAlignment="1">
      <alignment vertical="center"/>
    </xf>
    <xf numFmtId="0" fontId="47" fillId="5" borderId="0" xfId="0" applyFont="1" applyFill="1"/>
    <xf numFmtId="1" fontId="23" fillId="6" borderId="12" xfId="0" applyNumberFormat="1" applyFont="1" applyFill="1" applyBorder="1" applyAlignment="1">
      <alignment horizontal="center"/>
    </xf>
    <xf numFmtId="165" fontId="26" fillId="2" borderId="3" xfId="1" applyFont="1" applyFill="1" applyBorder="1" applyAlignment="1">
      <alignment horizontal="left" vertical="center"/>
    </xf>
    <xf numFmtId="168" fontId="28" fillId="7" borderId="19" xfId="0" applyNumberFormat="1" applyFont="1" applyFill="1" applyBorder="1" applyAlignment="1">
      <alignment vertical="center"/>
    </xf>
    <xf numFmtId="168" fontId="28" fillId="7" borderId="12" xfId="0" applyNumberFormat="1" applyFont="1" applyFill="1" applyBorder="1" applyAlignment="1">
      <alignment vertical="center"/>
    </xf>
    <xf numFmtId="168" fontId="28" fillId="9" borderId="12" xfId="0" applyNumberFormat="1" applyFont="1" applyFill="1" applyBorder="1" applyAlignment="1">
      <alignment vertical="center"/>
    </xf>
  </cellXfs>
  <cellStyles count="4">
    <cellStyle name="Comma" xfId="1" builtinId="3"/>
    <cellStyle name="Comma 3" xfId="2"/>
    <cellStyle name="Hyperlink" xfId="3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904875</xdr:colOff>
      <xdr:row>60</xdr:row>
      <xdr:rowOff>19050</xdr:rowOff>
    </xdr:from>
    <xdr:ext cx="7324725" cy="264560"/>
    <xdr:sp macro="" textlink="">
      <xdr:nvSpPr>
        <xdr:cNvPr id="2" name="TextBox 1"/>
        <xdr:cNvSpPr txBox="1"/>
      </xdr:nvSpPr>
      <xdr:spPr>
        <a:xfrm>
          <a:off x="1381125" y="11991975"/>
          <a:ext cx="7324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</xdr:col>
      <xdr:colOff>993775</xdr:colOff>
      <xdr:row>59</xdr:row>
      <xdr:rowOff>38098</xdr:rowOff>
    </xdr:from>
    <xdr:ext cx="7410450" cy="264560"/>
    <xdr:sp macro="" textlink="">
      <xdr:nvSpPr>
        <xdr:cNvPr id="3" name="TextBox 2"/>
        <xdr:cNvSpPr txBox="1"/>
      </xdr:nvSpPr>
      <xdr:spPr>
        <a:xfrm>
          <a:off x="1470025" y="11810998"/>
          <a:ext cx="74104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en-US" sz="1100" b="1"/>
            <a:t>FOURTEEN</a:t>
          </a:r>
          <a:r>
            <a:rPr lang="en-US" sz="1100" b="1" baseline="0"/>
            <a:t> MILLION , SEVEN HUNDRED AND FORTY SEVEN THOUSAND, TWO HUNDRED AND FIFTY NAIRA ONLY.</a:t>
          </a:r>
          <a:endParaRPr lang="en-US" sz="1100" b="1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904875</xdr:colOff>
      <xdr:row>57</xdr:row>
      <xdr:rowOff>19050</xdr:rowOff>
    </xdr:from>
    <xdr:ext cx="7324725" cy="264560"/>
    <xdr:sp macro="" textlink="">
      <xdr:nvSpPr>
        <xdr:cNvPr id="2" name="TextBox 1"/>
        <xdr:cNvSpPr txBox="1"/>
      </xdr:nvSpPr>
      <xdr:spPr>
        <a:xfrm>
          <a:off x="1381125" y="13030200"/>
          <a:ext cx="7324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1</xdr:col>
      <xdr:colOff>993775</xdr:colOff>
      <xdr:row>56</xdr:row>
      <xdr:rowOff>38098</xdr:rowOff>
    </xdr:from>
    <xdr:ext cx="7410450" cy="264560"/>
    <xdr:sp macro="" textlink="">
      <xdr:nvSpPr>
        <xdr:cNvPr id="3" name="TextBox 2"/>
        <xdr:cNvSpPr txBox="1"/>
      </xdr:nvSpPr>
      <xdr:spPr>
        <a:xfrm>
          <a:off x="1470025" y="11849098"/>
          <a:ext cx="74104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en-US" sz="1100" b="1"/>
            <a:t>FOURTEEN</a:t>
          </a:r>
          <a:r>
            <a:rPr lang="en-US" sz="1100" b="1" baseline="0"/>
            <a:t> MILLION , SEVEN HUNDRED AND FORTY SEVEN THOUSAND, TWO HUNDRED AND FIFTY NAIRA ONLY.</a:t>
          </a:r>
          <a:endParaRPr lang="en-US" sz="1100" b="1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85725</xdr:colOff>
      <xdr:row>60</xdr:row>
      <xdr:rowOff>171450</xdr:rowOff>
    </xdr:from>
    <xdr:ext cx="184731" cy="264560"/>
    <xdr:sp macro="" textlink="">
      <xdr:nvSpPr>
        <xdr:cNvPr id="2" name="TextBox 1"/>
        <xdr:cNvSpPr txBox="1"/>
      </xdr:nvSpPr>
      <xdr:spPr>
        <a:xfrm>
          <a:off x="1562100" y="12782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GB"/>
        </a:p>
      </xdr:txBody>
    </xdr:sp>
    <xdr:clientData/>
  </xdr:oneCellAnchor>
  <xdr:oneCellAnchor>
    <xdr:from>
      <xdr:col>2</xdr:col>
      <xdr:colOff>142875</xdr:colOff>
      <xdr:row>60</xdr:row>
      <xdr:rowOff>28574</xdr:rowOff>
    </xdr:from>
    <xdr:ext cx="6800849" cy="264560"/>
    <xdr:sp macro="" textlink="">
      <xdr:nvSpPr>
        <xdr:cNvPr id="3" name="TextBox 2"/>
        <xdr:cNvSpPr txBox="1"/>
      </xdr:nvSpPr>
      <xdr:spPr>
        <a:xfrm>
          <a:off x="1619250" y="12045949"/>
          <a:ext cx="680084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en-US" sz="1100" b="1"/>
            <a:t>EIGHT MILLION, TWO HUNDRED AND TWENTY ONE THOUSAND, FIVE HUNDRED NAIRA</a:t>
          </a:r>
          <a:r>
            <a:rPr lang="en-US" sz="1100" b="1" baseline="0"/>
            <a:t> ONLY.</a:t>
          </a:r>
          <a:endParaRPr lang="en-US" sz="1100" b="1"/>
        </a:p>
      </xdr:txBody>
    </xdr:sp>
    <xdr:clientData/>
  </xdr:oneCellAnchor>
  <xdr:twoCellAnchor editAs="oneCell">
    <xdr:from>
      <xdr:col>1</xdr:col>
      <xdr:colOff>466725</xdr:colOff>
      <xdr:row>0</xdr:row>
      <xdr:rowOff>142875</xdr:rowOff>
    </xdr:from>
    <xdr:to>
      <xdr:col>8</xdr:col>
      <xdr:colOff>457200</xdr:colOff>
      <xdr:row>5</xdr:row>
      <xdr:rowOff>28575</xdr:rowOff>
    </xdr:to>
    <xdr:pic>
      <xdr:nvPicPr>
        <xdr:cNvPr id="3209" name="Picture 3" descr="Company Logo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5" y="142875"/>
          <a:ext cx="5562600" cy="132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949326</xdr:colOff>
      <xdr:row>60</xdr:row>
      <xdr:rowOff>31750</xdr:rowOff>
    </xdr:from>
    <xdr:ext cx="6657974" cy="264560"/>
    <xdr:sp macro="" textlink="">
      <xdr:nvSpPr>
        <xdr:cNvPr id="2" name="TextBox 1"/>
        <xdr:cNvSpPr txBox="1"/>
      </xdr:nvSpPr>
      <xdr:spPr>
        <a:xfrm>
          <a:off x="1552576" y="12747625"/>
          <a:ext cx="665797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en-US" sz="1100" b="1"/>
            <a:t>SIX</a:t>
          </a:r>
          <a:r>
            <a:rPr lang="en-US" sz="1100" b="1" baseline="0"/>
            <a:t> MILLION, NINE HUNDRED AND FIFTY ONE THOUSAND  NAIRA ONLY</a:t>
          </a:r>
          <a:endParaRPr lang="en-US" sz="1100" b="1"/>
        </a:p>
      </xdr:txBody>
    </xdr:sp>
    <xdr:clientData/>
  </xdr:oneCellAnchor>
  <xdr:twoCellAnchor editAs="oneCell">
    <xdr:from>
      <xdr:col>2</xdr:col>
      <xdr:colOff>190500</xdr:colOff>
      <xdr:row>0</xdr:row>
      <xdr:rowOff>66675</xdr:rowOff>
    </xdr:from>
    <xdr:to>
      <xdr:col>9</xdr:col>
      <xdr:colOff>152400</xdr:colOff>
      <xdr:row>5</xdr:row>
      <xdr:rowOff>0</xdr:rowOff>
    </xdr:to>
    <xdr:pic>
      <xdr:nvPicPr>
        <xdr:cNvPr id="4186" name="Picture 2" descr="Company Logo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2600" y="66675"/>
          <a:ext cx="5524500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996950</xdr:colOff>
      <xdr:row>57</xdr:row>
      <xdr:rowOff>5979</xdr:rowOff>
    </xdr:from>
    <xdr:ext cx="4805525" cy="436786"/>
    <xdr:sp macro="" textlink="">
      <xdr:nvSpPr>
        <xdr:cNvPr id="2" name="TextBox 1"/>
        <xdr:cNvSpPr txBox="1"/>
      </xdr:nvSpPr>
      <xdr:spPr>
        <a:xfrm>
          <a:off x="1356567" y="12048300"/>
          <a:ext cx="4805525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en-US" sz="1100" b="1"/>
            <a:t>FIFTEEN MILLION, SEVEN HUNDRED AND TWENTY NINE THOUSAND NAIRA ONLY.</a:t>
          </a:r>
        </a:p>
      </xdr:txBody>
    </xdr:sp>
    <xdr:clientData/>
  </xdr:oneCellAnchor>
  <xdr:twoCellAnchor editAs="oneCell">
    <xdr:from>
      <xdr:col>2</xdr:col>
      <xdr:colOff>19439</xdr:colOff>
      <xdr:row>0</xdr:row>
      <xdr:rowOff>104776</xdr:rowOff>
    </xdr:from>
    <xdr:to>
      <xdr:col>8</xdr:col>
      <xdr:colOff>680358</xdr:colOff>
      <xdr:row>5</xdr:row>
      <xdr:rowOff>48596</xdr:rowOff>
    </xdr:to>
    <xdr:pic>
      <xdr:nvPicPr>
        <xdr:cNvPr id="5210" name="Picture 2" descr="Company Logo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6505" y="104776"/>
          <a:ext cx="4645868" cy="14114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464911</xdr:colOff>
      <xdr:row>57</xdr:row>
      <xdr:rowOff>20421</xdr:rowOff>
    </xdr:from>
    <xdr:to>
      <xdr:col>7</xdr:col>
      <xdr:colOff>895803</xdr:colOff>
      <xdr:row>59</xdr:row>
      <xdr:rowOff>11341</xdr:rowOff>
    </xdr:to>
    <xdr:sp macro="" textlink="">
      <xdr:nvSpPr>
        <xdr:cNvPr id="2" name="TextBox 1"/>
        <xdr:cNvSpPr txBox="1"/>
      </xdr:nvSpPr>
      <xdr:spPr>
        <a:xfrm>
          <a:off x="1689554" y="11813278"/>
          <a:ext cx="4785178" cy="3991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FIFTEEN MILLION, SEVEN HUNDRED AND TWENTY NINE THOUSAND NAIRA ONLY.</a:t>
          </a:r>
          <a:endParaRPr lang="en-US"/>
        </a:p>
      </xdr:txBody>
    </xdr:sp>
    <xdr:clientData/>
  </xdr:twoCellAnchor>
  <xdr:twoCellAnchor editAs="oneCell">
    <xdr:from>
      <xdr:col>1</xdr:col>
      <xdr:colOff>866775</xdr:colOff>
      <xdr:row>0</xdr:row>
      <xdr:rowOff>47625</xdr:rowOff>
    </xdr:from>
    <xdr:to>
      <xdr:col>8</xdr:col>
      <xdr:colOff>158750</xdr:colOff>
      <xdr:row>5</xdr:row>
      <xdr:rowOff>34018</xdr:rowOff>
    </xdr:to>
    <xdr:pic>
      <xdr:nvPicPr>
        <xdr:cNvPr id="6234" name="Picture 2" descr="Company Logo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5614" y="47625"/>
          <a:ext cx="4610100" cy="14491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33</xdr:row>
      <xdr:rowOff>123825</xdr:rowOff>
    </xdr:from>
    <xdr:ext cx="5886449" cy="264560"/>
    <xdr:sp macro="" textlink="">
      <xdr:nvSpPr>
        <xdr:cNvPr id="2" name="TextBox 1"/>
        <xdr:cNvSpPr txBox="1"/>
      </xdr:nvSpPr>
      <xdr:spPr>
        <a:xfrm>
          <a:off x="1276350" y="7134225"/>
          <a:ext cx="588644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en-US" sz="1100" b="1"/>
            <a:t>SEVENTY EIGHT THOUSAND, SEVEN HUNDRED AND FIFTY NAIRA ONLY</a:t>
          </a:r>
        </a:p>
      </xdr:txBody>
    </xdr:sp>
    <xdr:clientData/>
  </xdr:oneCellAnchor>
  <xdr:twoCellAnchor editAs="oneCell">
    <xdr:from>
      <xdr:col>2</xdr:col>
      <xdr:colOff>38100</xdr:colOff>
      <xdr:row>0</xdr:row>
      <xdr:rowOff>0</xdr:rowOff>
    </xdr:from>
    <xdr:to>
      <xdr:col>9</xdr:col>
      <xdr:colOff>533400</xdr:colOff>
      <xdr:row>4</xdr:row>
      <xdr:rowOff>133350</xdr:rowOff>
    </xdr:to>
    <xdr:pic>
      <xdr:nvPicPr>
        <xdr:cNvPr id="7258" name="Picture 2" descr="Company Logo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7300" y="0"/>
          <a:ext cx="5524500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901701</xdr:colOff>
      <xdr:row>56</xdr:row>
      <xdr:rowOff>117943</xdr:rowOff>
    </xdr:from>
    <xdr:to>
      <xdr:col>8</xdr:col>
      <xdr:colOff>408214</xdr:colOff>
      <xdr:row>58</xdr:row>
      <xdr:rowOff>79375</xdr:rowOff>
    </xdr:to>
    <xdr:sp macro="" textlink="">
      <xdr:nvSpPr>
        <xdr:cNvPr id="2" name="TextBox 1"/>
        <xdr:cNvSpPr txBox="1"/>
      </xdr:nvSpPr>
      <xdr:spPr>
        <a:xfrm>
          <a:off x="1321255" y="11933479"/>
          <a:ext cx="4529816" cy="3696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 b="1"/>
            <a:t>SEVENTEEN</a:t>
          </a:r>
          <a:r>
            <a:rPr lang="en-US" sz="1100" b="1" baseline="0"/>
            <a:t> MILLION, NINE HUNDRED AND EIGHTY ONE THOUSAND, TWO  HUNDRED AND FIFTY NAIRA ONLY</a:t>
          </a:r>
          <a:endParaRPr lang="en-US" sz="1100" b="1"/>
        </a:p>
      </xdr:txBody>
    </xdr:sp>
    <xdr:clientData/>
  </xdr:twoCellAnchor>
  <xdr:twoCellAnchor editAs="oneCell">
    <xdr:from>
      <xdr:col>2</xdr:col>
      <xdr:colOff>19049</xdr:colOff>
      <xdr:row>0</xdr:row>
      <xdr:rowOff>123825</xdr:rowOff>
    </xdr:from>
    <xdr:to>
      <xdr:col>8</xdr:col>
      <xdr:colOff>714373</xdr:colOff>
      <xdr:row>5</xdr:row>
      <xdr:rowOff>34018</xdr:rowOff>
    </xdr:to>
    <xdr:pic>
      <xdr:nvPicPr>
        <xdr:cNvPr id="8282" name="Picture 2" descr="Company Logo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9228" y="123825"/>
          <a:ext cx="4811485" cy="137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161925</xdr:colOff>
      <xdr:row>33</xdr:row>
      <xdr:rowOff>161925</xdr:rowOff>
    </xdr:from>
    <xdr:ext cx="3209925" cy="585545"/>
    <xdr:sp macro="" textlink="">
      <xdr:nvSpPr>
        <xdr:cNvPr id="2" name="TextBox 1"/>
        <xdr:cNvSpPr txBox="1"/>
      </xdr:nvSpPr>
      <xdr:spPr>
        <a:xfrm>
          <a:off x="1123950" y="7172325"/>
          <a:ext cx="3209925" cy="5855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en-US" sz="1050" b="1"/>
            <a:t>ONE MILLION,</a:t>
          </a:r>
          <a:r>
            <a:rPr lang="en-US" sz="1050" b="1" baseline="0"/>
            <a:t> TWO HUNDRED AND THIRTY THREE THOUSAND, SEVEN HUNDRED AND FIFTY NAIRA ONLY.</a:t>
          </a:r>
          <a:endParaRPr lang="en-US" sz="1050" b="1"/>
        </a:p>
      </xdr:txBody>
    </xdr:sp>
    <xdr:clientData/>
  </xdr:oneCellAnchor>
  <xdr:twoCellAnchor editAs="oneCell">
    <xdr:from>
      <xdr:col>2</xdr:col>
      <xdr:colOff>0</xdr:colOff>
      <xdr:row>0</xdr:row>
      <xdr:rowOff>0</xdr:rowOff>
    </xdr:from>
    <xdr:to>
      <xdr:col>9</xdr:col>
      <xdr:colOff>0</xdr:colOff>
      <xdr:row>3</xdr:row>
      <xdr:rowOff>66675</xdr:rowOff>
    </xdr:to>
    <xdr:pic>
      <xdr:nvPicPr>
        <xdr:cNvPr id="9306" name="Picture 2" descr="Company Logo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975" y="0"/>
          <a:ext cx="396240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89298</xdr:colOff>
      <xdr:row>57</xdr:row>
      <xdr:rowOff>128984</xdr:rowOff>
    </xdr:from>
    <xdr:ext cx="4693046" cy="436563"/>
    <xdr:sp macro="" textlink="">
      <xdr:nvSpPr>
        <xdr:cNvPr id="2" name="TextBox 1"/>
        <xdr:cNvSpPr txBox="1"/>
      </xdr:nvSpPr>
      <xdr:spPr>
        <a:xfrm>
          <a:off x="1458517" y="12670234"/>
          <a:ext cx="4693046" cy="4365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r>
            <a:rPr lang="en-US" sz="1200" b="1"/>
            <a:t>FIFTY TWO</a:t>
          </a:r>
          <a:r>
            <a:rPr lang="en-US" sz="1200" b="1" baseline="0"/>
            <a:t> MILLION, SIX HUNDRED AND EIGHTY NINE THOUSAND NAIRA ONLY</a:t>
          </a:r>
          <a:endParaRPr lang="en-US" sz="1200" b="1"/>
        </a:p>
      </xdr:txBody>
    </xdr:sp>
    <xdr:clientData/>
  </xdr:oneCellAnchor>
  <xdr:twoCellAnchor editAs="oneCell">
    <xdr:from>
      <xdr:col>2</xdr:col>
      <xdr:colOff>457200</xdr:colOff>
      <xdr:row>0</xdr:row>
      <xdr:rowOff>114300</xdr:rowOff>
    </xdr:from>
    <xdr:to>
      <xdr:col>8</xdr:col>
      <xdr:colOff>901700</xdr:colOff>
      <xdr:row>4</xdr:row>
      <xdr:rowOff>133350</xdr:rowOff>
    </xdr:to>
    <xdr:pic>
      <xdr:nvPicPr>
        <xdr:cNvPr id="10330" name="Picture 2" descr="Company Logo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4300"/>
          <a:ext cx="4610100" cy="1304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742950</xdr:colOff>
      <xdr:row>55</xdr:row>
      <xdr:rowOff>142876</xdr:rowOff>
    </xdr:from>
    <xdr:ext cx="5295900" cy="419100"/>
    <xdr:sp macro="" textlink="">
      <xdr:nvSpPr>
        <xdr:cNvPr id="2" name="TextBox 1"/>
        <xdr:cNvSpPr txBox="1"/>
      </xdr:nvSpPr>
      <xdr:spPr>
        <a:xfrm>
          <a:off x="1352550" y="11210926"/>
          <a:ext cx="5295900" cy="4191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r>
            <a:rPr lang="en-US" sz="1200" b="1"/>
            <a:t>One</a:t>
          </a:r>
          <a:r>
            <a:rPr lang="en-US" sz="1200" b="1" baseline="0"/>
            <a:t> Hundred and Four Million and Eighty Six Thousand Five Hundred Naira Only</a:t>
          </a:r>
          <a:endParaRPr lang="en-US" sz="1200" b="1"/>
        </a:p>
      </xdr:txBody>
    </xdr:sp>
    <xdr:clientData/>
  </xdr:oneCellAnchor>
  <xdr:twoCellAnchor editAs="oneCell">
    <xdr:from>
      <xdr:col>2</xdr:col>
      <xdr:colOff>0</xdr:colOff>
      <xdr:row>0</xdr:row>
      <xdr:rowOff>0</xdr:rowOff>
    </xdr:from>
    <xdr:to>
      <xdr:col>8</xdr:col>
      <xdr:colOff>952500</xdr:colOff>
      <xdr:row>5</xdr:row>
      <xdr:rowOff>0</xdr:rowOff>
    </xdr:to>
    <xdr:pic>
      <xdr:nvPicPr>
        <xdr:cNvPr id="1114" name="Picture 2" descr="Company Logo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0675" y="0"/>
          <a:ext cx="5210175" cy="1457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942976</xdr:colOff>
      <xdr:row>55</xdr:row>
      <xdr:rowOff>76200</xdr:rowOff>
    </xdr:from>
    <xdr:ext cx="4991100" cy="352425"/>
    <xdr:sp macro="" textlink="">
      <xdr:nvSpPr>
        <xdr:cNvPr id="2" name="TextBox 1"/>
        <xdr:cNvSpPr txBox="1"/>
      </xdr:nvSpPr>
      <xdr:spPr>
        <a:xfrm>
          <a:off x="1552576" y="12049125"/>
          <a:ext cx="4991100" cy="352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r>
            <a:rPr lang="en-US" sz="1050" b="1"/>
            <a:t>FORTY</a:t>
          </a:r>
          <a:r>
            <a:rPr lang="en-US" sz="1050" b="1" baseline="0"/>
            <a:t> FIVE MILLION, ONE HUNDRED AND EIGHTY ONE THOUSAND, FIVE HUNDRED NAIRA ONLY.</a:t>
          </a:r>
          <a:endParaRPr lang="en-US" sz="1050" b="1"/>
        </a:p>
      </xdr:txBody>
    </xdr:sp>
    <xdr:clientData/>
  </xdr:oneCellAnchor>
  <xdr:twoCellAnchor editAs="oneCell">
    <xdr:from>
      <xdr:col>2</xdr:col>
      <xdr:colOff>28575</xdr:colOff>
      <xdr:row>0</xdr:row>
      <xdr:rowOff>66675</xdr:rowOff>
    </xdr:from>
    <xdr:to>
      <xdr:col>8</xdr:col>
      <xdr:colOff>485775</xdr:colOff>
      <xdr:row>5</xdr:row>
      <xdr:rowOff>0</xdr:rowOff>
    </xdr:to>
    <xdr:pic>
      <xdr:nvPicPr>
        <xdr:cNvPr id="11350" name="Picture 2" descr="Company Logo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6875" y="66675"/>
          <a:ext cx="4400550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82550</xdr:colOff>
      <xdr:row>42</xdr:row>
      <xdr:rowOff>171450</xdr:rowOff>
    </xdr:from>
    <xdr:ext cx="7400925" cy="264560"/>
    <xdr:sp macro="" textlink="">
      <xdr:nvSpPr>
        <xdr:cNvPr id="2" name="TextBox 1"/>
        <xdr:cNvSpPr txBox="1"/>
      </xdr:nvSpPr>
      <xdr:spPr>
        <a:xfrm>
          <a:off x="1574800" y="8870950"/>
          <a:ext cx="74009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en-US" sz="1100"/>
            <a:t>SIX MILLION,</a:t>
          </a:r>
          <a:r>
            <a:rPr lang="en-US" sz="1100" baseline="0"/>
            <a:t> TWO HUNDRED THOUSAND,TWO HUNDRED AND FIFTY NAIRA ONLY</a:t>
          </a:r>
          <a:endParaRPr lang="en-US" sz="1100"/>
        </a:p>
      </xdr:txBody>
    </xdr:sp>
    <xdr:clientData/>
  </xdr:oneCellAnchor>
  <xdr:twoCellAnchor editAs="oneCell">
    <xdr:from>
      <xdr:col>2</xdr:col>
      <xdr:colOff>19050</xdr:colOff>
      <xdr:row>0</xdr:row>
      <xdr:rowOff>0</xdr:rowOff>
    </xdr:from>
    <xdr:to>
      <xdr:col>9</xdr:col>
      <xdr:colOff>504825</xdr:colOff>
      <xdr:row>5</xdr:row>
      <xdr:rowOff>200025</xdr:rowOff>
    </xdr:to>
    <xdr:pic>
      <xdr:nvPicPr>
        <xdr:cNvPr id="12374" name="Picture 2" descr="Company Logo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0"/>
          <a:ext cx="6638925" cy="1657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889000</xdr:colOff>
      <xdr:row>60</xdr:row>
      <xdr:rowOff>7937</xdr:rowOff>
    </xdr:from>
    <xdr:ext cx="10513219" cy="264560"/>
    <xdr:sp macro="" textlink="">
      <xdr:nvSpPr>
        <xdr:cNvPr id="2" name="TextBox 1"/>
        <xdr:cNvSpPr txBox="1"/>
      </xdr:nvSpPr>
      <xdr:spPr>
        <a:xfrm>
          <a:off x="1698625" y="12136437"/>
          <a:ext cx="1051321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en-US" sz="1100" b="1"/>
            <a:t>THIRTY TWO MILLION, EIGHTY HUNDRED AND TWENTY THREE THOUSAND</a:t>
          </a:r>
          <a:r>
            <a:rPr lang="en-US" sz="1100" b="1" baseline="0"/>
            <a:t> NAIRA  ONLY.</a:t>
          </a:r>
          <a:endParaRPr lang="en-US" sz="1100" b="1"/>
        </a:p>
      </xdr:txBody>
    </xdr:sp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50800</xdr:colOff>
      <xdr:row>58</xdr:row>
      <xdr:rowOff>180975</xdr:rowOff>
    </xdr:from>
    <xdr:ext cx="7562850" cy="264560"/>
    <xdr:sp macro="" textlink="">
      <xdr:nvSpPr>
        <xdr:cNvPr id="2" name="TextBox 1"/>
        <xdr:cNvSpPr txBox="1"/>
      </xdr:nvSpPr>
      <xdr:spPr>
        <a:xfrm>
          <a:off x="1622425" y="11928475"/>
          <a:ext cx="75628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en-US" sz="1100"/>
            <a:t>ELEVEN MILLION, FIVE HUNDRED AND SEVENTY ONE</a:t>
          </a:r>
          <a:r>
            <a:rPr lang="en-US" sz="1100" baseline="0"/>
            <a:t> </a:t>
          </a:r>
          <a:r>
            <a:rPr lang="en-US" sz="1100"/>
            <a:t>THOUSAND NAIRA ONLY</a:t>
          </a:r>
        </a:p>
      </xdr:txBody>
    </xdr:sp>
    <xdr:clientData/>
  </xdr:oneCellAnchor>
  <xdr:twoCellAnchor editAs="oneCell">
    <xdr:from>
      <xdr:col>1</xdr:col>
      <xdr:colOff>685800</xdr:colOff>
      <xdr:row>0</xdr:row>
      <xdr:rowOff>0</xdr:rowOff>
    </xdr:from>
    <xdr:to>
      <xdr:col>7</xdr:col>
      <xdr:colOff>714375</xdr:colOff>
      <xdr:row>3</xdr:row>
      <xdr:rowOff>152400</xdr:rowOff>
    </xdr:to>
    <xdr:pic>
      <xdr:nvPicPr>
        <xdr:cNvPr id="14422" name="Picture 2" descr="Company Logo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0" y="0"/>
          <a:ext cx="5076825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828675</xdr:colOff>
      <xdr:row>56</xdr:row>
      <xdr:rowOff>171450</xdr:rowOff>
    </xdr:from>
    <xdr:ext cx="5210175" cy="436786"/>
    <xdr:sp macro="" textlink="">
      <xdr:nvSpPr>
        <xdr:cNvPr id="2" name="TextBox 1"/>
        <xdr:cNvSpPr txBox="1"/>
      </xdr:nvSpPr>
      <xdr:spPr>
        <a:xfrm>
          <a:off x="1438275" y="11382375"/>
          <a:ext cx="5210175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en-US" sz="1100" b="1"/>
            <a:t>FIFTY EIGHT MILLION, SIX HUNDRED AND FIFTY FIVE THOUSAND, FIVE HUNDRED NAIRA ONLY.</a:t>
          </a:r>
        </a:p>
      </xdr:txBody>
    </xdr:sp>
    <xdr:clientData/>
  </xdr:oneCellAnchor>
  <xdr:twoCellAnchor editAs="oneCell">
    <xdr:from>
      <xdr:col>1</xdr:col>
      <xdr:colOff>952501</xdr:colOff>
      <xdr:row>0</xdr:row>
      <xdr:rowOff>47626</xdr:rowOff>
    </xdr:from>
    <xdr:to>
      <xdr:col>7</xdr:col>
      <xdr:colOff>561975</xdr:colOff>
      <xdr:row>5</xdr:row>
      <xdr:rowOff>76201</xdr:rowOff>
    </xdr:to>
    <xdr:pic>
      <xdr:nvPicPr>
        <xdr:cNvPr id="15446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00151" y="47626"/>
          <a:ext cx="4857749" cy="1428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1000125</xdr:colOff>
      <xdr:row>2</xdr:row>
      <xdr:rowOff>209550</xdr:rowOff>
    </xdr:from>
    <xdr:to>
      <xdr:col>10</xdr:col>
      <xdr:colOff>57150</xdr:colOff>
      <xdr:row>8</xdr:row>
      <xdr:rowOff>76200</xdr:rowOff>
    </xdr:to>
    <xdr:pic>
      <xdr:nvPicPr>
        <xdr:cNvPr id="16424" name="Picture 1" descr="Company Logo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5975" y="590550"/>
          <a:ext cx="6800850" cy="149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</xdr:colOff>
      <xdr:row>0</xdr:row>
      <xdr:rowOff>0</xdr:rowOff>
    </xdr:from>
    <xdr:to>
      <xdr:col>9</xdr:col>
      <xdr:colOff>647700</xdr:colOff>
      <xdr:row>6</xdr:row>
      <xdr:rowOff>76200</xdr:rowOff>
    </xdr:to>
    <xdr:pic>
      <xdr:nvPicPr>
        <xdr:cNvPr id="17448" name="Picture 1" descr="Company Logo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3050" y="0"/>
          <a:ext cx="6800850" cy="1704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0</xdr:rowOff>
    </xdr:from>
    <xdr:to>
      <xdr:col>9</xdr:col>
      <xdr:colOff>85725</xdr:colOff>
      <xdr:row>6</xdr:row>
      <xdr:rowOff>57150</xdr:rowOff>
    </xdr:to>
    <xdr:pic>
      <xdr:nvPicPr>
        <xdr:cNvPr id="18472" name="Picture 1" descr="Company Logo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4475" y="0"/>
          <a:ext cx="6810375" cy="1714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9</xdr:col>
      <xdr:colOff>438150</xdr:colOff>
      <xdr:row>6</xdr:row>
      <xdr:rowOff>85725</xdr:rowOff>
    </xdr:to>
    <xdr:pic>
      <xdr:nvPicPr>
        <xdr:cNvPr id="19496" name="Picture 1" descr="Company Logo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0"/>
          <a:ext cx="6810375" cy="1714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0</xdr:rowOff>
    </xdr:from>
    <xdr:to>
      <xdr:col>9</xdr:col>
      <xdr:colOff>533400</xdr:colOff>
      <xdr:row>5</xdr:row>
      <xdr:rowOff>19050</xdr:rowOff>
    </xdr:to>
    <xdr:pic>
      <xdr:nvPicPr>
        <xdr:cNvPr id="21517" name="Picture 1" descr="Company Logo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0" y="0"/>
          <a:ext cx="5438775" cy="1457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152400</xdr:colOff>
      <xdr:row>56</xdr:row>
      <xdr:rowOff>171450</xdr:rowOff>
    </xdr:from>
    <xdr:ext cx="4000500" cy="371475"/>
    <xdr:sp macro="" textlink="">
      <xdr:nvSpPr>
        <xdr:cNvPr id="2" name="TextBox 1"/>
        <xdr:cNvSpPr txBox="1"/>
      </xdr:nvSpPr>
      <xdr:spPr>
        <a:xfrm>
          <a:off x="1390650" y="11382375"/>
          <a:ext cx="4000500" cy="371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r>
            <a:rPr lang="en-US" sz="1100" b="1"/>
            <a:t>FOURTEEN MILLION, SEVEN HUNDRED AND FORTY SEVEN THOUSAND TWO HUNDRED AND FIFTY NAIRA ONLY.</a:t>
          </a:r>
        </a:p>
      </xdr:txBody>
    </xdr:sp>
    <xdr:clientData/>
  </xdr:oneCellAnchor>
  <xdr:twoCellAnchor editAs="oneCell">
    <xdr:from>
      <xdr:col>1</xdr:col>
      <xdr:colOff>952501</xdr:colOff>
      <xdr:row>0</xdr:row>
      <xdr:rowOff>245927</xdr:rowOff>
    </xdr:from>
    <xdr:to>
      <xdr:col>7</xdr:col>
      <xdr:colOff>0</xdr:colOff>
      <xdr:row>6</xdr:row>
      <xdr:rowOff>9525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00151" y="245927"/>
          <a:ext cx="4295774" cy="13637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enquiries@entbankng.com;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enquiries@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mailto:ecosec@ecobank.com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mailto:Info@skyebankng.com(Head%20Office)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4"/>
  <sheetViews>
    <sheetView view="pageBreakPreview" topLeftCell="A40" zoomScale="78" zoomScaleNormal="100" zoomScaleSheetLayoutView="78" workbookViewId="0">
      <selection activeCell="H4" sqref="H4"/>
    </sheetView>
  </sheetViews>
  <sheetFormatPr defaultRowHeight="15" x14ac:dyDescent="0.25"/>
  <cols>
    <col min="1" max="1" width="7.140625" style="474" customWidth="1"/>
    <col min="2" max="2" width="15.140625" style="474" customWidth="1"/>
    <col min="3" max="3" width="18.7109375" style="207" customWidth="1"/>
    <col min="4" max="4" width="15.140625" style="207" customWidth="1"/>
    <col min="5" max="5" width="16.7109375" style="207" customWidth="1"/>
    <col min="6" max="6" width="13.140625" style="207" customWidth="1"/>
    <col min="7" max="7" width="9.140625" style="207" hidden="1" customWidth="1"/>
    <col min="8" max="8" width="18.5703125" style="207" customWidth="1"/>
    <col min="9" max="9" width="11.85546875" style="430" customWidth="1"/>
    <col min="10" max="10" width="16.7109375" style="207" customWidth="1"/>
    <col min="11" max="11" width="24.85546875" style="207" customWidth="1"/>
    <col min="12" max="16384" width="9.140625" style="207"/>
  </cols>
  <sheetData>
    <row r="1" spans="1:11" ht="47.25" x14ac:dyDescent="0.6">
      <c r="A1" s="486"/>
      <c r="B1" s="449"/>
      <c r="C1" s="450"/>
      <c r="D1" s="450"/>
      <c r="E1" s="661" t="s">
        <v>0</v>
      </c>
      <c r="F1" s="661"/>
      <c r="G1" s="661"/>
      <c r="H1" s="661"/>
      <c r="I1" s="661"/>
      <c r="J1" s="661"/>
      <c r="K1" s="662"/>
    </row>
    <row r="2" spans="1:11" ht="15.75" x14ac:dyDescent="0.25">
      <c r="A2" s="479"/>
      <c r="B2" s="451"/>
      <c r="C2" s="451"/>
      <c r="D2" s="451"/>
      <c r="E2" s="210"/>
      <c r="F2" s="210"/>
      <c r="G2" s="211"/>
      <c r="H2" s="211"/>
      <c r="I2" s="420"/>
      <c r="J2" s="213"/>
      <c r="K2" s="214"/>
    </row>
    <row r="3" spans="1:11" ht="20.25" x14ac:dyDescent="0.3">
      <c r="A3" s="487"/>
      <c r="B3" s="452"/>
      <c r="C3" s="453"/>
      <c r="D3" s="453"/>
      <c r="E3" s="217" t="s">
        <v>1</v>
      </c>
      <c r="F3" s="218"/>
      <c r="G3" s="218"/>
      <c r="H3" s="218"/>
      <c r="I3" s="421"/>
      <c r="J3" s="220"/>
      <c r="K3" s="221"/>
    </row>
    <row r="4" spans="1:11" x14ac:dyDescent="0.25">
      <c r="A4" s="487"/>
      <c r="B4" s="452"/>
      <c r="C4" s="222"/>
      <c r="D4" s="222"/>
      <c r="E4" s="223" t="s">
        <v>2</v>
      </c>
      <c r="F4" s="222"/>
      <c r="G4" s="222"/>
      <c r="H4" s="222"/>
      <c r="I4" s="422"/>
      <c r="J4" s="225"/>
      <c r="K4" s="226"/>
    </row>
    <row r="5" spans="1:11" x14ac:dyDescent="0.25">
      <c r="A5" s="488"/>
      <c r="B5" s="454"/>
      <c r="C5" s="222"/>
      <c r="D5" s="228"/>
      <c r="E5" s="229" t="s">
        <v>11</v>
      </c>
      <c r="F5" s="228"/>
      <c r="G5" s="230"/>
      <c r="H5" s="230"/>
      <c r="I5" s="422"/>
      <c r="J5" s="225"/>
      <c r="K5" s="226"/>
    </row>
    <row r="6" spans="1:11" x14ac:dyDescent="0.25">
      <c r="A6" s="489"/>
      <c r="B6" s="455"/>
      <c r="C6" s="456"/>
      <c r="D6" s="456"/>
      <c r="E6" s="230"/>
      <c r="F6" s="230"/>
      <c r="G6" s="230"/>
      <c r="H6" s="230"/>
      <c r="I6" s="422"/>
      <c r="J6" s="225"/>
      <c r="K6" s="233">
        <f ca="1">TODAY()</f>
        <v>41556</v>
      </c>
    </row>
    <row r="7" spans="1:11" ht="15.75" x14ac:dyDescent="0.25">
      <c r="A7" s="489"/>
      <c r="B7" s="455"/>
      <c r="C7" s="456"/>
      <c r="D7" s="456"/>
      <c r="E7" s="228"/>
      <c r="F7" s="230"/>
      <c r="G7" s="234"/>
      <c r="H7" s="234"/>
      <c r="I7" s="224"/>
      <c r="J7" s="235"/>
      <c r="K7" s="236" t="s">
        <v>3</v>
      </c>
    </row>
    <row r="8" spans="1:11" x14ac:dyDescent="0.25">
      <c r="A8" s="480"/>
      <c r="B8" s="457"/>
      <c r="C8" s="239" t="s">
        <v>13</v>
      </c>
      <c r="D8" s="240" t="s">
        <v>161</v>
      </c>
      <c r="E8" s="241"/>
      <c r="F8" s="240"/>
      <c r="G8" s="241"/>
      <c r="H8" s="241"/>
      <c r="I8" s="242"/>
      <c r="J8" s="243"/>
      <c r="K8" s="244"/>
    </row>
    <row r="9" spans="1:11" x14ac:dyDescent="0.25">
      <c r="A9" s="481"/>
      <c r="B9" s="458"/>
      <c r="C9" s="524" t="s">
        <v>4</v>
      </c>
      <c r="D9" s="297" t="s">
        <v>125</v>
      </c>
      <c r="E9" s="298"/>
      <c r="F9" s="297"/>
      <c r="G9" s="298"/>
      <c r="H9" s="298"/>
      <c r="I9" s="247"/>
      <c r="J9" s="248"/>
      <c r="K9" s="249"/>
    </row>
    <row r="10" spans="1:11" x14ac:dyDescent="0.25">
      <c r="A10" s="481"/>
      <c r="B10" s="458"/>
      <c r="C10" s="524" t="s">
        <v>13</v>
      </c>
      <c r="D10" s="254" t="s">
        <v>14</v>
      </c>
      <c r="E10" s="253"/>
      <c r="F10" s="254"/>
      <c r="G10" s="253"/>
      <c r="H10" s="253"/>
      <c r="I10" s="247"/>
      <c r="J10" s="248"/>
      <c r="K10" s="249"/>
    </row>
    <row r="11" spans="1:11" x14ac:dyDescent="0.25">
      <c r="A11" s="490"/>
      <c r="B11" s="459"/>
      <c r="C11" s="257" t="s">
        <v>5</v>
      </c>
      <c r="D11" s="252" t="s">
        <v>126</v>
      </c>
      <c r="E11" s="253"/>
      <c r="F11" s="252"/>
      <c r="G11" s="253"/>
      <c r="H11" s="253"/>
      <c r="I11" s="247"/>
      <c r="J11" s="248"/>
      <c r="K11" s="249"/>
    </row>
    <row r="12" spans="1:11" x14ac:dyDescent="0.25">
      <c r="A12" s="490"/>
      <c r="B12" s="459"/>
      <c r="C12" s="257" t="s">
        <v>15</v>
      </c>
      <c r="D12" s="258" t="s">
        <v>127</v>
      </c>
      <c r="E12" s="253"/>
      <c r="F12" s="258"/>
      <c r="G12" s="253"/>
      <c r="H12" s="253"/>
      <c r="I12" s="247"/>
      <c r="J12" s="248"/>
      <c r="K12" s="249"/>
    </row>
    <row r="13" spans="1:11" x14ac:dyDescent="0.25">
      <c r="A13" s="491"/>
      <c r="B13" s="459"/>
      <c r="C13" s="260" t="s">
        <v>6</v>
      </c>
      <c r="D13" s="663"/>
      <c r="E13" s="663"/>
      <c r="F13" s="663"/>
      <c r="G13" s="663"/>
      <c r="H13" s="518"/>
      <c r="I13" s="423"/>
      <c r="J13" s="263"/>
      <c r="K13" s="263"/>
    </row>
    <row r="14" spans="1:11" x14ac:dyDescent="0.25">
      <c r="A14" s="664"/>
      <c r="B14" s="665"/>
      <c r="C14" s="665"/>
      <c r="D14" s="665"/>
      <c r="E14" s="665"/>
      <c r="F14" s="665"/>
      <c r="G14" s="665"/>
      <c r="H14" s="665"/>
      <c r="I14" s="665"/>
      <c r="J14" s="665"/>
      <c r="K14" s="666"/>
    </row>
    <row r="15" spans="1:11" x14ac:dyDescent="0.25">
      <c r="A15" s="667" t="s">
        <v>7</v>
      </c>
      <c r="B15" s="668"/>
      <c r="C15" s="668"/>
      <c r="D15" s="668"/>
      <c r="E15" s="669"/>
      <c r="F15" s="177" t="s">
        <v>16</v>
      </c>
      <c r="G15" s="670" t="s">
        <v>17</v>
      </c>
      <c r="H15" s="668"/>
      <c r="I15" s="424"/>
      <c r="J15" s="522"/>
      <c r="K15" s="266" t="s">
        <v>8</v>
      </c>
    </row>
    <row r="16" spans="1:11" x14ac:dyDescent="0.25">
      <c r="A16" s="671" t="s">
        <v>24</v>
      </c>
      <c r="B16" s="672"/>
      <c r="C16" s="672"/>
      <c r="D16" s="672"/>
      <c r="E16" s="673"/>
      <c r="F16" s="267"/>
      <c r="G16" s="674"/>
      <c r="H16" s="675"/>
      <c r="I16" s="425"/>
      <c r="J16" s="269"/>
      <c r="K16" s="270" t="s">
        <v>9</v>
      </c>
    </row>
    <row r="17" spans="1:11" x14ac:dyDescent="0.25">
      <c r="A17" s="482"/>
      <c r="B17" s="460"/>
      <c r="C17" s="460"/>
      <c r="D17" s="460"/>
      <c r="E17" s="273"/>
      <c r="F17" s="274"/>
      <c r="G17" s="274"/>
      <c r="H17" s="274"/>
      <c r="I17" s="426"/>
      <c r="J17" s="276"/>
      <c r="K17" s="277"/>
    </row>
    <row r="18" spans="1:11" x14ac:dyDescent="0.25">
      <c r="A18" s="461" t="s">
        <v>18</v>
      </c>
      <c r="B18" s="461" t="s">
        <v>27</v>
      </c>
      <c r="C18" s="461" t="s">
        <v>19</v>
      </c>
      <c r="D18" s="461" t="s">
        <v>20</v>
      </c>
      <c r="E18" s="676" t="s">
        <v>21</v>
      </c>
      <c r="F18" s="676"/>
      <c r="G18" s="676"/>
      <c r="H18" s="523" t="s">
        <v>10</v>
      </c>
      <c r="I18" s="523" t="s">
        <v>25</v>
      </c>
      <c r="J18" s="177" t="s">
        <v>28</v>
      </c>
      <c r="K18" s="177" t="s">
        <v>22</v>
      </c>
    </row>
    <row r="19" spans="1:11" x14ac:dyDescent="0.25">
      <c r="A19" s="528">
        <v>1</v>
      </c>
      <c r="B19" s="528" t="s">
        <v>29</v>
      </c>
      <c r="C19" s="178" t="s">
        <v>26</v>
      </c>
      <c r="D19" s="462"/>
      <c r="E19" s="677"/>
      <c r="F19" s="677"/>
      <c r="G19" s="519"/>
      <c r="H19" s="519"/>
      <c r="I19" s="178">
        <v>9</v>
      </c>
      <c r="J19" s="180">
        <v>55000</v>
      </c>
      <c r="K19" s="181">
        <f>IF((C19)&gt;0,SUM(J19*I19),"")</f>
        <v>495000</v>
      </c>
    </row>
    <row r="20" spans="1:11" x14ac:dyDescent="0.25">
      <c r="A20" s="529">
        <v>2</v>
      </c>
      <c r="B20" s="529" t="s">
        <v>30</v>
      </c>
      <c r="C20" s="178" t="s">
        <v>26</v>
      </c>
      <c r="D20" s="462"/>
      <c r="E20" s="520"/>
      <c r="F20" s="521"/>
      <c r="G20" s="519"/>
      <c r="H20" s="519"/>
      <c r="I20" s="178">
        <v>5</v>
      </c>
      <c r="J20" s="180">
        <v>55000</v>
      </c>
      <c r="K20" s="181">
        <f t="shared" ref="K20:K46" si="0">IF((C20)&gt;0,SUM(J20*I20),"")</f>
        <v>275000</v>
      </c>
    </row>
    <row r="21" spans="1:11" x14ac:dyDescent="0.25">
      <c r="A21" s="529">
        <v>3</v>
      </c>
      <c r="B21" s="529" t="s">
        <v>31</v>
      </c>
      <c r="C21" s="178" t="s">
        <v>26</v>
      </c>
      <c r="D21" s="462"/>
      <c r="E21" s="520"/>
      <c r="F21" s="521"/>
      <c r="G21" s="519"/>
      <c r="H21" s="519"/>
      <c r="I21" s="178">
        <v>4</v>
      </c>
      <c r="J21" s="180">
        <v>55000</v>
      </c>
      <c r="K21" s="181">
        <f t="shared" si="0"/>
        <v>220000</v>
      </c>
    </row>
    <row r="22" spans="1:11" x14ac:dyDescent="0.25">
      <c r="A22" s="528">
        <v>4</v>
      </c>
      <c r="B22" s="528" t="s">
        <v>32</v>
      </c>
      <c r="C22" s="178" t="s">
        <v>26</v>
      </c>
      <c r="D22" s="462"/>
      <c r="E22" s="520"/>
      <c r="F22" s="521"/>
      <c r="G22" s="519"/>
      <c r="H22" s="519"/>
      <c r="I22" s="178">
        <v>5</v>
      </c>
      <c r="J22" s="180">
        <v>55000</v>
      </c>
      <c r="K22" s="181">
        <f t="shared" si="0"/>
        <v>275000</v>
      </c>
    </row>
    <row r="23" spans="1:11" x14ac:dyDescent="0.25">
      <c r="A23" s="528">
        <v>5</v>
      </c>
      <c r="B23" s="529" t="s">
        <v>33</v>
      </c>
      <c r="C23" s="178" t="s">
        <v>26</v>
      </c>
      <c r="D23" s="462"/>
      <c r="E23" s="520"/>
      <c r="F23" s="521"/>
      <c r="G23" s="519"/>
      <c r="H23" s="519"/>
      <c r="I23" s="178">
        <v>2</v>
      </c>
      <c r="J23" s="180">
        <v>55000</v>
      </c>
      <c r="K23" s="181">
        <f t="shared" si="0"/>
        <v>110000</v>
      </c>
    </row>
    <row r="24" spans="1:11" x14ac:dyDescent="0.25">
      <c r="A24" s="529">
        <v>6</v>
      </c>
      <c r="B24" s="529" t="s">
        <v>34</v>
      </c>
      <c r="C24" s="178" t="s">
        <v>26</v>
      </c>
      <c r="D24" s="462"/>
      <c r="E24" s="520"/>
      <c r="F24" s="521"/>
      <c r="G24" s="519"/>
      <c r="H24" s="519"/>
      <c r="I24" s="178"/>
      <c r="J24" s="180">
        <v>55000</v>
      </c>
      <c r="K24" s="181">
        <f t="shared" si="0"/>
        <v>0</v>
      </c>
    </row>
    <row r="25" spans="1:11" x14ac:dyDescent="0.25">
      <c r="A25" s="529">
        <v>7</v>
      </c>
      <c r="B25" s="528" t="s">
        <v>35</v>
      </c>
      <c r="C25" s="178" t="s">
        <v>26</v>
      </c>
      <c r="D25" s="462"/>
      <c r="E25" s="520"/>
      <c r="F25" s="521"/>
      <c r="G25" s="519"/>
      <c r="H25" s="519"/>
      <c r="I25" s="178">
        <v>10</v>
      </c>
      <c r="J25" s="180">
        <v>55000</v>
      </c>
      <c r="K25" s="181">
        <f t="shared" si="0"/>
        <v>550000</v>
      </c>
    </row>
    <row r="26" spans="1:11" x14ac:dyDescent="0.25">
      <c r="A26" s="528">
        <v>8</v>
      </c>
      <c r="B26" s="529" t="s">
        <v>36</v>
      </c>
      <c r="C26" s="178" t="s">
        <v>26</v>
      </c>
      <c r="D26" s="462"/>
      <c r="E26" s="520"/>
      <c r="F26" s="521"/>
      <c r="G26" s="519"/>
      <c r="H26" s="519"/>
      <c r="I26" s="178"/>
      <c r="J26" s="180">
        <v>55000</v>
      </c>
      <c r="K26" s="181">
        <f>IF((C26)&gt;0,SUM(J26*I26),"")</f>
        <v>0</v>
      </c>
    </row>
    <row r="27" spans="1:11" x14ac:dyDescent="0.25">
      <c r="A27" s="528">
        <v>9</v>
      </c>
      <c r="B27" s="529" t="s">
        <v>37</v>
      </c>
      <c r="C27" s="178" t="s">
        <v>26</v>
      </c>
      <c r="D27" s="462"/>
      <c r="E27" s="520"/>
      <c r="F27" s="521"/>
      <c r="G27" s="519"/>
      <c r="H27" s="519"/>
      <c r="I27" s="178">
        <v>4</v>
      </c>
      <c r="J27" s="180">
        <v>55000</v>
      </c>
      <c r="K27" s="181">
        <f t="shared" si="0"/>
        <v>220000</v>
      </c>
    </row>
    <row r="28" spans="1:11" x14ac:dyDescent="0.25">
      <c r="A28" s="529">
        <v>10</v>
      </c>
      <c r="B28" s="528" t="s">
        <v>38</v>
      </c>
      <c r="C28" s="178" t="s">
        <v>26</v>
      </c>
      <c r="D28" s="462"/>
      <c r="E28" s="520"/>
      <c r="F28" s="521"/>
      <c r="G28" s="519"/>
      <c r="H28" s="519"/>
      <c r="I28" s="178">
        <v>5</v>
      </c>
      <c r="J28" s="180">
        <v>55000</v>
      </c>
      <c r="K28" s="181">
        <f t="shared" si="0"/>
        <v>275000</v>
      </c>
    </row>
    <row r="29" spans="1:11" x14ac:dyDescent="0.25">
      <c r="A29" s="529">
        <v>11</v>
      </c>
      <c r="B29" s="529" t="s">
        <v>39</v>
      </c>
      <c r="C29" s="178" t="s">
        <v>26</v>
      </c>
      <c r="D29" s="462"/>
      <c r="E29" s="520"/>
      <c r="F29" s="521"/>
      <c r="G29" s="519"/>
      <c r="H29" s="519"/>
      <c r="I29" s="178">
        <v>1</v>
      </c>
      <c r="J29" s="180">
        <v>55000</v>
      </c>
      <c r="K29" s="181">
        <f t="shared" si="0"/>
        <v>55000</v>
      </c>
    </row>
    <row r="30" spans="1:11" x14ac:dyDescent="0.25">
      <c r="A30" s="528">
        <v>12</v>
      </c>
      <c r="B30" s="529" t="s">
        <v>40</v>
      </c>
      <c r="C30" s="178" t="s">
        <v>26</v>
      </c>
      <c r="D30" s="462"/>
      <c r="E30" s="520"/>
      <c r="F30" s="521"/>
      <c r="G30" s="519"/>
      <c r="H30" s="519"/>
      <c r="I30" s="178">
        <v>7</v>
      </c>
      <c r="J30" s="180">
        <v>55000</v>
      </c>
      <c r="K30" s="181">
        <f t="shared" si="0"/>
        <v>385000</v>
      </c>
    </row>
    <row r="31" spans="1:11" x14ac:dyDescent="0.25">
      <c r="A31" s="528">
        <v>13</v>
      </c>
      <c r="B31" s="528" t="s">
        <v>41</v>
      </c>
      <c r="C31" s="178" t="s">
        <v>26</v>
      </c>
      <c r="D31" s="462"/>
      <c r="E31" s="520"/>
      <c r="F31" s="521"/>
      <c r="G31" s="519"/>
      <c r="H31" s="519"/>
      <c r="I31" s="178">
        <v>3</v>
      </c>
      <c r="J31" s="180">
        <v>55000</v>
      </c>
      <c r="K31" s="181">
        <f t="shared" si="0"/>
        <v>165000</v>
      </c>
    </row>
    <row r="32" spans="1:11" x14ac:dyDescent="0.25">
      <c r="A32" s="529">
        <v>14</v>
      </c>
      <c r="B32" s="529" t="s">
        <v>42</v>
      </c>
      <c r="C32" s="178" t="s">
        <v>26</v>
      </c>
      <c r="D32" s="462"/>
      <c r="E32" s="520"/>
      <c r="F32" s="521"/>
      <c r="G32" s="519"/>
      <c r="H32" s="519"/>
      <c r="I32" s="178">
        <v>9</v>
      </c>
      <c r="J32" s="180">
        <v>55000</v>
      </c>
      <c r="K32" s="181">
        <f t="shared" si="0"/>
        <v>495000</v>
      </c>
    </row>
    <row r="33" spans="1:11" x14ac:dyDescent="0.25">
      <c r="A33" s="529">
        <v>15</v>
      </c>
      <c r="B33" s="529" t="s">
        <v>43</v>
      </c>
      <c r="C33" s="178" t="s">
        <v>26</v>
      </c>
      <c r="D33" s="462"/>
      <c r="E33" s="520"/>
      <c r="F33" s="521"/>
      <c r="G33" s="519"/>
      <c r="H33" s="519"/>
      <c r="I33" s="178">
        <v>10</v>
      </c>
      <c r="J33" s="180">
        <v>55000</v>
      </c>
      <c r="K33" s="181">
        <f t="shared" si="0"/>
        <v>550000</v>
      </c>
    </row>
    <row r="34" spans="1:11" x14ac:dyDescent="0.25">
      <c r="A34" s="528">
        <v>16</v>
      </c>
      <c r="B34" s="528" t="s">
        <v>44</v>
      </c>
      <c r="C34" s="178" t="s">
        <v>26</v>
      </c>
      <c r="D34" s="462"/>
      <c r="E34" s="520"/>
      <c r="F34" s="521"/>
      <c r="G34" s="519"/>
      <c r="H34" s="519"/>
      <c r="I34" s="178">
        <v>2</v>
      </c>
      <c r="J34" s="180">
        <v>55000</v>
      </c>
      <c r="K34" s="181">
        <f t="shared" si="0"/>
        <v>110000</v>
      </c>
    </row>
    <row r="35" spans="1:11" x14ac:dyDescent="0.25">
      <c r="A35" s="528">
        <v>17</v>
      </c>
      <c r="B35" s="529" t="s">
        <v>45</v>
      </c>
      <c r="C35" s="178" t="s">
        <v>26</v>
      </c>
      <c r="D35" s="462"/>
      <c r="E35" s="520"/>
      <c r="F35" s="521"/>
      <c r="G35" s="519"/>
      <c r="H35" s="519"/>
      <c r="I35" s="178">
        <v>7</v>
      </c>
      <c r="J35" s="180">
        <v>55000</v>
      </c>
      <c r="K35" s="181">
        <f t="shared" si="0"/>
        <v>385000</v>
      </c>
    </row>
    <row r="36" spans="1:11" x14ac:dyDescent="0.25">
      <c r="A36" s="529">
        <v>18</v>
      </c>
      <c r="B36" s="529" t="s">
        <v>46</v>
      </c>
      <c r="C36" s="178" t="s">
        <v>26</v>
      </c>
      <c r="D36" s="462"/>
      <c r="E36" s="520"/>
      <c r="F36" s="521"/>
      <c r="G36" s="519"/>
      <c r="H36" s="519"/>
      <c r="I36" s="178">
        <v>1</v>
      </c>
      <c r="J36" s="180">
        <v>55000</v>
      </c>
      <c r="K36" s="181">
        <f t="shared" si="0"/>
        <v>55000</v>
      </c>
    </row>
    <row r="37" spans="1:11" x14ac:dyDescent="0.25">
      <c r="A37" s="529">
        <v>19</v>
      </c>
      <c r="B37" s="528" t="s">
        <v>47</v>
      </c>
      <c r="C37" s="178" t="s">
        <v>26</v>
      </c>
      <c r="D37" s="462"/>
      <c r="E37" s="520"/>
      <c r="F37" s="521"/>
      <c r="G37" s="519"/>
      <c r="H37" s="519"/>
      <c r="I37" s="178">
        <v>14</v>
      </c>
      <c r="J37" s="180">
        <v>55000</v>
      </c>
      <c r="K37" s="181">
        <f t="shared" si="0"/>
        <v>770000</v>
      </c>
    </row>
    <row r="38" spans="1:11" x14ac:dyDescent="0.25">
      <c r="A38" s="528">
        <v>20</v>
      </c>
      <c r="B38" s="529" t="s">
        <v>48</v>
      </c>
      <c r="C38" s="178" t="s">
        <v>26</v>
      </c>
      <c r="D38" s="462"/>
      <c r="E38" s="678"/>
      <c r="F38" s="679"/>
      <c r="G38" s="519"/>
      <c r="H38" s="519"/>
      <c r="I38" s="178">
        <v>5</v>
      </c>
      <c r="J38" s="180">
        <v>55000</v>
      </c>
      <c r="K38" s="181">
        <f t="shared" si="0"/>
        <v>275000</v>
      </c>
    </row>
    <row r="39" spans="1:11" x14ac:dyDescent="0.25">
      <c r="A39" s="528">
        <v>21</v>
      </c>
      <c r="B39" s="529" t="s">
        <v>49</v>
      </c>
      <c r="C39" s="178" t="s">
        <v>26</v>
      </c>
      <c r="D39" s="462"/>
      <c r="E39" s="678"/>
      <c r="F39" s="679"/>
      <c r="G39" s="519"/>
      <c r="H39" s="519"/>
      <c r="I39" s="178">
        <v>1</v>
      </c>
      <c r="J39" s="180">
        <v>55000</v>
      </c>
      <c r="K39" s="181">
        <f t="shared" si="0"/>
        <v>55000</v>
      </c>
    </row>
    <row r="40" spans="1:11" x14ac:dyDescent="0.25">
      <c r="A40" s="529">
        <v>22</v>
      </c>
      <c r="B40" s="528" t="s">
        <v>50</v>
      </c>
      <c r="C40" s="178" t="s">
        <v>26</v>
      </c>
      <c r="D40" s="462"/>
      <c r="E40" s="678"/>
      <c r="F40" s="679"/>
      <c r="G40" s="519"/>
      <c r="H40" s="519"/>
      <c r="I40" s="178">
        <v>1</v>
      </c>
      <c r="J40" s="180">
        <v>55000</v>
      </c>
      <c r="K40" s="181">
        <f t="shared" si="0"/>
        <v>55000</v>
      </c>
    </row>
    <row r="41" spans="1:11" x14ac:dyDescent="0.25">
      <c r="A41" s="529">
        <v>23</v>
      </c>
      <c r="B41" s="529" t="s">
        <v>51</v>
      </c>
      <c r="C41" s="178" t="s">
        <v>26</v>
      </c>
      <c r="D41" s="462"/>
      <c r="E41" s="678"/>
      <c r="F41" s="679"/>
      <c r="G41" s="519"/>
      <c r="H41" s="519"/>
      <c r="I41" s="178">
        <v>2</v>
      </c>
      <c r="J41" s="180">
        <v>55000</v>
      </c>
      <c r="K41" s="181">
        <f t="shared" si="0"/>
        <v>110000</v>
      </c>
    </row>
    <row r="42" spans="1:11" x14ac:dyDescent="0.25">
      <c r="A42" s="528">
        <v>24</v>
      </c>
      <c r="B42" s="529" t="s">
        <v>52</v>
      </c>
      <c r="C42" s="178" t="s">
        <v>26</v>
      </c>
      <c r="D42" s="462"/>
      <c r="E42" s="678"/>
      <c r="F42" s="679"/>
      <c r="G42" s="519"/>
      <c r="H42" s="519"/>
      <c r="I42" s="178">
        <v>10</v>
      </c>
      <c r="J42" s="180">
        <v>55000</v>
      </c>
      <c r="K42" s="181">
        <f t="shared" si="0"/>
        <v>550000</v>
      </c>
    </row>
    <row r="43" spans="1:11" x14ac:dyDescent="0.25">
      <c r="A43" s="528">
        <v>25</v>
      </c>
      <c r="B43" s="528" t="s">
        <v>53</v>
      </c>
      <c r="C43" s="178" t="s">
        <v>26</v>
      </c>
      <c r="D43" s="462"/>
      <c r="E43" s="678"/>
      <c r="F43" s="679"/>
      <c r="G43" s="519"/>
      <c r="H43" s="519"/>
      <c r="I43" s="178">
        <v>81</v>
      </c>
      <c r="J43" s="180">
        <v>55000</v>
      </c>
      <c r="K43" s="181">
        <f t="shared" si="0"/>
        <v>4455000</v>
      </c>
    </row>
    <row r="44" spans="1:11" x14ac:dyDescent="0.25">
      <c r="A44" s="529">
        <v>26</v>
      </c>
      <c r="B44" s="529" t="s">
        <v>54</v>
      </c>
      <c r="C44" s="178" t="s">
        <v>26</v>
      </c>
      <c r="D44" s="462"/>
      <c r="E44" s="678"/>
      <c r="F44" s="679"/>
      <c r="G44" s="519"/>
      <c r="H44" s="519"/>
      <c r="I44" s="178">
        <v>1</v>
      </c>
      <c r="J44" s="180">
        <v>55000</v>
      </c>
      <c r="K44" s="181">
        <f t="shared" si="0"/>
        <v>55000</v>
      </c>
    </row>
    <row r="45" spans="1:11" x14ac:dyDescent="0.25">
      <c r="A45" s="529">
        <v>27</v>
      </c>
      <c r="B45" s="529" t="s">
        <v>55</v>
      </c>
      <c r="C45" s="178" t="s">
        <v>26</v>
      </c>
      <c r="D45" s="462"/>
      <c r="E45" s="678"/>
      <c r="F45" s="679"/>
      <c r="G45" s="519"/>
      <c r="H45" s="519"/>
      <c r="I45" s="178">
        <v>5</v>
      </c>
      <c r="J45" s="180">
        <v>55000</v>
      </c>
      <c r="K45" s="181">
        <f t="shared" si="0"/>
        <v>275000</v>
      </c>
    </row>
    <row r="46" spans="1:11" x14ac:dyDescent="0.25">
      <c r="A46" s="528">
        <v>28</v>
      </c>
      <c r="B46" s="528" t="s">
        <v>56</v>
      </c>
      <c r="C46" s="178" t="s">
        <v>26</v>
      </c>
      <c r="D46" s="462"/>
      <c r="E46" s="678"/>
      <c r="F46" s="679"/>
      <c r="G46" s="519"/>
      <c r="H46" s="519"/>
      <c r="I46" s="178">
        <v>7</v>
      </c>
      <c r="J46" s="180">
        <v>55000</v>
      </c>
      <c r="K46" s="181">
        <f t="shared" si="0"/>
        <v>385000</v>
      </c>
    </row>
    <row r="47" spans="1:11" x14ac:dyDescent="0.25">
      <c r="A47" s="528">
        <v>29</v>
      </c>
      <c r="B47" s="529" t="s">
        <v>57</v>
      </c>
      <c r="C47" s="178" t="s">
        <v>26</v>
      </c>
      <c r="D47" s="462"/>
      <c r="E47" s="680"/>
      <c r="F47" s="680"/>
      <c r="G47" s="680"/>
      <c r="H47" s="182"/>
      <c r="I47" s="178">
        <v>8</v>
      </c>
      <c r="J47" s="180">
        <v>55000</v>
      </c>
      <c r="K47" s="181">
        <f>IF((C47)&gt;0,SUM(J47*I47),"")</f>
        <v>440000</v>
      </c>
    </row>
    <row r="48" spans="1:11" x14ac:dyDescent="0.25">
      <c r="A48" s="529">
        <v>30</v>
      </c>
      <c r="B48" s="529" t="s">
        <v>58</v>
      </c>
      <c r="C48" s="178" t="s">
        <v>26</v>
      </c>
      <c r="D48" s="462"/>
      <c r="E48" s="680"/>
      <c r="F48" s="680"/>
      <c r="G48" s="680"/>
      <c r="H48" s="182"/>
      <c r="I48" s="178">
        <v>5</v>
      </c>
      <c r="J48" s="180">
        <v>55000</v>
      </c>
      <c r="K48" s="181">
        <f t="shared" ref="K48:K53" si="1">IF((C48)&gt;0,SUM(J48*I48),"")</f>
        <v>275000</v>
      </c>
    </row>
    <row r="49" spans="1:11" x14ac:dyDescent="0.25">
      <c r="A49" s="529">
        <v>31</v>
      </c>
      <c r="B49" s="528" t="s">
        <v>59</v>
      </c>
      <c r="C49" s="178" t="s">
        <v>26</v>
      </c>
      <c r="D49" s="462"/>
      <c r="E49" s="680"/>
      <c r="F49" s="680"/>
      <c r="G49" s="680"/>
      <c r="H49" s="182"/>
      <c r="I49" s="178">
        <v>10</v>
      </c>
      <c r="J49" s="180">
        <v>55000</v>
      </c>
      <c r="K49" s="181">
        <f t="shared" si="1"/>
        <v>550000</v>
      </c>
    </row>
    <row r="50" spans="1:11" x14ac:dyDescent="0.25">
      <c r="A50" s="528">
        <v>32</v>
      </c>
      <c r="B50" s="529" t="s">
        <v>60</v>
      </c>
      <c r="C50" s="178" t="s">
        <v>26</v>
      </c>
      <c r="D50" s="462"/>
      <c r="E50" s="681"/>
      <c r="F50" s="681"/>
      <c r="G50" s="681"/>
      <c r="H50" s="517"/>
      <c r="I50" s="178">
        <v>5</v>
      </c>
      <c r="J50" s="180">
        <v>55000</v>
      </c>
      <c r="K50" s="181">
        <f t="shared" si="1"/>
        <v>275000</v>
      </c>
    </row>
    <row r="51" spans="1:11" x14ac:dyDescent="0.25">
      <c r="A51" s="528">
        <v>33</v>
      </c>
      <c r="B51" s="529" t="s">
        <v>61</v>
      </c>
      <c r="C51" s="178" t="s">
        <v>26</v>
      </c>
      <c r="D51" s="462"/>
      <c r="E51" s="681"/>
      <c r="F51" s="681"/>
      <c r="G51" s="681"/>
      <c r="H51" s="517"/>
      <c r="I51" s="178">
        <v>10</v>
      </c>
      <c r="J51" s="180">
        <v>55000</v>
      </c>
      <c r="K51" s="181">
        <f t="shared" si="1"/>
        <v>550000</v>
      </c>
    </row>
    <row r="52" spans="1:11" x14ac:dyDescent="0.25">
      <c r="A52" s="529">
        <v>34</v>
      </c>
      <c r="B52" s="528" t="s">
        <v>62</v>
      </c>
      <c r="C52" s="178" t="s">
        <v>26</v>
      </c>
      <c r="D52" s="462"/>
      <c r="E52" s="681"/>
      <c r="F52" s="681"/>
      <c r="G52" s="681"/>
      <c r="H52" s="517"/>
      <c r="I52" s="178">
        <v>3</v>
      </c>
      <c r="J52" s="180">
        <v>55000</v>
      </c>
      <c r="K52" s="181">
        <f t="shared" si="1"/>
        <v>165000</v>
      </c>
    </row>
    <row r="53" spans="1:11" x14ac:dyDescent="0.25">
      <c r="A53" s="529">
        <v>35</v>
      </c>
      <c r="B53" s="529" t="s">
        <v>63</v>
      </c>
      <c r="C53" s="178" t="s">
        <v>26</v>
      </c>
      <c r="D53" s="462"/>
      <c r="E53" s="681"/>
      <c r="F53" s="681"/>
      <c r="G53" s="681"/>
      <c r="H53" s="517"/>
      <c r="I53" s="178">
        <v>1</v>
      </c>
      <c r="J53" s="180">
        <v>55000</v>
      </c>
      <c r="K53" s="181">
        <f t="shared" si="1"/>
        <v>55000</v>
      </c>
    </row>
    <row r="54" spans="1:11" x14ac:dyDescent="0.25">
      <c r="A54" s="528">
        <v>36</v>
      </c>
      <c r="B54" s="529" t="s">
        <v>64</v>
      </c>
      <c r="C54" s="178" t="s">
        <v>26</v>
      </c>
      <c r="D54" s="462"/>
      <c r="E54" s="681"/>
      <c r="F54" s="681"/>
      <c r="G54" s="681"/>
      <c r="H54" s="517"/>
      <c r="I54" s="178">
        <v>1</v>
      </c>
      <c r="J54" s="180">
        <v>55000</v>
      </c>
      <c r="K54" s="181">
        <f>IF((C54)&gt;0,SUM(J54*I54),"")</f>
        <v>55000</v>
      </c>
    </row>
    <row r="55" spans="1:11" x14ac:dyDescent="0.25">
      <c r="A55" s="528">
        <v>37</v>
      </c>
      <c r="B55" s="528" t="s">
        <v>65</v>
      </c>
      <c r="C55" s="178" t="s">
        <v>26</v>
      </c>
      <c r="D55" s="462"/>
      <c r="E55" s="681"/>
      <c r="F55" s="681"/>
      <c r="G55" s="681"/>
      <c r="H55" s="517"/>
      <c r="I55" s="178">
        <v>1</v>
      </c>
      <c r="J55" s="180">
        <v>55000</v>
      </c>
      <c r="K55" s="181">
        <f>IF((C55)&gt;0,SUM(J55*I55),"")</f>
        <v>55000</v>
      </c>
    </row>
    <row r="56" spans="1:11" ht="15.75" x14ac:dyDescent="0.25">
      <c r="B56" s="465"/>
      <c r="C56" s="465"/>
      <c r="D56" s="465"/>
      <c r="E56" s="194"/>
      <c r="F56" s="194"/>
      <c r="G56" s="194"/>
      <c r="H56" s="194"/>
      <c r="I56" s="200"/>
      <c r="J56" s="475" t="s">
        <v>69</v>
      </c>
      <c r="K56" s="504">
        <f>SUM(K19:K55)</f>
        <v>14025000</v>
      </c>
    </row>
    <row r="57" spans="1:11" ht="15.75" x14ac:dyDescent="0.25">
      <c r="A57" s="682"/>
      <c r="B57" s="682"/>
      <c r="C57" s="465"/>
      <c r="E57" s="199"/>
      <c r="F57" s="199"/>
      <c r="G57" s="199"/>
      <c r="H57" s="199"/>
      <c r="I57" s="200"/>
      <c r="J57" s="476" t="s">
        <v>67</v>
      </c>
      <c r="K57" s="505">
        <v>20000</v>
      </c>
    </row>
    <row r="58" spans="1:11" ht="15.75" x14ac:dyDescent="0.25">
      <c r="B58" s="465"/>
      <c r="C58" s="465"/>
      <c r="E58" s="199"/>
      <c r="F58" s="199"/>
      <c r="G58" s="199"/>
      <c r="H58" s="199"/>
      <c r="I58" s="200"/>
      <c r="J58" s="477" t="s">
        <v>68</v>
      </c>
      <c r="K58" s="505">
        <f>(K56+K57)*5%</f>
        <v>702250</v>
      </c>
    </row>
    <row r="59" spans="1:11" ht="15.75" x14ac:dyDescent="0.25">
      <c r="B59" s="465"/>
      <c r="C59" s="465"/>
      <c r="E59" s="199"/>
      <c r="F59" s="199"/>
      <c r="G59" s="199"/>
      <c r="H59" s="199"/>
      <c r="I59" s="200"/>
      <c r="J59" s="478" t="s">
        <v>70</v>
      </c>
      <c r="K59" s="418">
        <f>K56+K57+K58</f>
        <v>14747250</v>
      </c>
    </row>
    <row r="60" spans="1:11" ht="15.75" x14ac:dyDescent="0.25">
      <c r="A60" s="485" t="s">
        <v>76</v>
      </c>
      <c r="B60" s="467"/>
      <c r="C60" s="467"/>
      <c r="D60" s="468"/>
      <c r="E60" s="469"/>
      <c r="F60" s="469"/>
      <c r="G60" s="469"/>
      <c r="H60" s="469"/>
      <c r="I60" s="470"/>
      <c r="J60" s="471"/>
      <c r="K60" s="472"/>
    </row>
    <row r="61" spans="1:11" ht="15.75" x14ac:dyDescent="0.25">
      <c r="B61" s="467"/>
      <c r="C61" s="467"/>
      <c r="D61" s="468"/>
      <c r="E61" s="469"/>
      <c r="F61" s="469"/>
      <c r="G61" s="469"/>
      <c r="H61" s="469"/>
      <c r="I61" s="470"/>
      <c r="J61" s="471"/>
      <c r="K61" s="472"/>
    </row>
    <row r="62" spans="1:11" ht="16.5" thickBot="1" x14ac:dyDescent="0.3">
      <c r="A62" s="484"/>
      <c r="B62" s="467"/>
      <c r="C62" s="467"/>
      <c r="D62" s="468"/>
      <c r="E62" s="469"/>
      <c r="F62" s="469"/>
      <c r="G62" s="469"/>
      <c r="H62" s="469"/>
      <c r="I62" s="470"/>
      <c r="J62" s="471"/>
      <c r="K62" s="472"/>
    </row>
    <row r="63" spans="1:11" x14ac:dyDescent="0.25">
      <c r="A63" s="683" t="s">
        <v>23</v>
      </c>
      <c r="B63" s="684"/>
      <c r="C63" s="684"/>
      <c r="D63" s="684"/>
      <c r="E63" s="684"/>
      <c r="F63" s="684"/>
      <c r="G63" s="684"/>
      <c r="H63" s="684"/>
      <c r="I63" s="684"/>
      <c r="J63" s="684"/>
      <c r="K63" s="685"/>
    </row>
    <row r="64" spans="1:11" x14ac:dyDescent="0.25">
      <c r="A64" s="686"/>
      <c r="B64" s="687"/>
      <c r="C64" s="687"/>
      <c r="D64" s="687"/>
      <c r="E64" s="687"/>
      <c r="F64" s="687"/>
      <c r="G64" s="687"/>
      <c r="H64" s="687"/>
      <c r="I64" s="687"/>
      <c r="J64" s="687"/>
      <c r="K64" s="688"/>
    </row>
    <row r="65" spans="1:12" x14ac:dyDescent="0.25">
      <c r="A65" s="525"/>
      <c r="B65" s="525"/>
      <c r="C65" s="526"/>
      <c r="D65" s="526"/>
      <c r="E65" s="527"/>
      <c r="F65" s="527"/>
      <c r="G65" s="527"/>
      <c r="H65" s="527"/>
      <c r="I65" s="224"/>
      <c r="J65" s="235"/>
      <c r="K65" s="235"/>
      <c r="L65" s="294"/>
    </row>
    <row r="66" spans="1:12" x14ac:dyDescent="0.25">
      <c r="A66" s="473"/>
      <c r="B66" s="473"/>
      <c r="C66" s="294"/>
      <c r="D66" s="294"/>
      <c r="E66" s="294"/>
      <c r="F66" s="294"/>
      <c r="G66" s="294"/>
      <c r="H66" s="294"/>
      <c r="I66" s="429"/>
      <c r="J66" s="294"/>
      <c r="K66" s="294"/>
      <c r="L66" s="294"/>
    </row>
    <row r="67" spans="1:12" x14ac:dyDescent="0.25">
      <c r="A67" s="473"/>
      <c r="B67" s="473"/>
      <c r="C67" s="294"/>
      <c r="D67" s="294"/>
      <c r="E67" s="294"/>
      <c r="F67" s="294"/>
      <c r="G67" s="294"/>
      <c r="H67" s="294"/>
      <c r="I67" s="429"/>
      <c r="J67" s="294"/>
      <c r="K67" s="294"/>
      <c r="L67" s="294"/>
    </row>
    <row r="68" spans="1:12" x14ac:dyDescent="0.25">
      <c r="A68" s="473"/>
      <c r="B68" s="473"/>
      <c r="C68" s="294"/>
      <c r="D68" s="294"/>
      <c r="E68" s="294"/>
      <c r="F68" s="294"/>
      <c r="G68" s="294"/>
      <c r="H68" s="294"/>
      <c r="I68" s="429"/>
      <c r="J68" s="294"/>
      <c r="K68" s="294"/>
      <c r="L68" s="294"/>
    </row>
    <row r="69" spans="1:12" x14ac:dyDescent="0.25">
      <c r="A69" s="473"/>
      <c r="B69" s="473"/>
      <c r="C69" s="294"/>
      <c r="D69" s="294"/>
      <c r="E69" s="294"/>
      <c r="F69" s="294"/>
      <c r="G69" s="294"/>
      <c r="H69" s="294"/>
      <c r="I69" s="429"/>
      <c r="J69" s="294"/>
      <c r="K69" s="294"/>
      <c r="L69" s="294"/>
    </row>
    <row r="70" spans="1:12" x14ac:dyDescent="0.25">
      <c r="A70" s="473"/>
      <c r="B70" s="473"/>
      <c r="C70" s="294"/>
      <c r="D70" s="294"/>
      <c r="E70" s="294"/>
      <c r="F70" s="294"/>
      <c r="G70" s="294"/>
      <c r="H70" s="294"/>
      <c r="I70" s="429"/>
      <c r="J70" s="294"/>
      <c r="K70" s="294"/>
      <c r="L70" s="294"/>
    </row>
    <row r="71" spans="1:12" x14ac:dyDescent="0.25">
      <c r="A71" s="473"/>
      <c r="B71" s="473"/>
      <c r="C71" s="294"/>
      <c r="D71" s="294"/>
      <c r="E71" s="294"/>
      <c r="F71" s="294"/>
      <c r="G71" s="294"/>
      <c r="H71" s="294"/>
      <c r="I71" s="429"/>
      <c r="J71" s="294"/>
      <c r="K71" s="294"/>
      <c r="L71" s="294"/>
    </row>
    <row r="72" spans="1:12" x14ac:dyDescent="0.25">
      <c r="A72" s="473"/>
      <c r="B72" s="473"/>
      <c r="C72" s="294"/>
      <c r="D72" s="294"/>
      <c r="E72" s="294"/>
      <c r="F72" s="294"/>
      <c r="G72" s="294"/>
      <c r="H72" s="294"/>
      <c r="I72" s="429"/>
      <c r="J72" s="294"/>
      <c r="K72" s="294"/>
      <c r="L72" s="294"/>
    </row>
    <row r="73" spans="1:12" x14ac:dyDescent="0.25">
      <c r="A73" s="473"/>
      <c r="B73" s="473"/>
      <c r="C73" s="294"/>
      <c r="D73" s="294"/>
      <c r="E73" s="294"/>
      <c r="F73" s="294"/>
      <c r="G73" s="294"/>
      <c r="H73" s="294"/>
      <c r="I73" s="429"/>
      <c r="J73" s="294"/>
      <c r="K73" s="294"/>
      <c r="L73" s="294"/>
    </row>
    <row r="74" spans="1:12" x14ac:dyDescent="0.25">
      <c r="A74" s="473"/>
      <c r="B74" s="473"/>
      <c r="C74" s="294"/>
      <c r="D74" s="294"/>
      <c r="E74" s="294"/>
      <c r="F74" s="294"/>
      <c r="G74" s="294"/>
      <c r="H74" s="294"/>
      <c r="I74" s="429"/>
      <c r="J74" s="294"/>
      <c r="K74" s="294"/>
      <c r="L74" s="294"/>
    </row>
    <row r="75" spans="1:12" x14ac:dyDescent="0.25">
      <c r="A75" s="473"/>
      <c r="B75" s="473"/>
      <c r="C75" s="294"/>
      <c r="D75" s="294"/>
      <c r="E75" s="294"/>
      <c r="F75" s="294"/>
      <c r="G75" s="294"/>
      <c r="H75" s="294"/>
      <c r="I75" s="429"/>
      <c r="J75" s="294"/>
      <c r="K75" s="294"/>
      <c r="L75" s="294"/>
    </row>
    <row r="76" spans="1:12" x14ac:dyDescent="0.25">
      <c r="A76" s="473"/>
      <c r="B76" s="473"/>
      <c r="C76" s="294"/>
      <c r="D76" s="294"/>
      <c r="E76" s="294"/>
      <c r="F76" s="294"/>
      <c r="G76" s="294"/>
      <c r="H76" s="294"/>
      <c r="I76" s="429"/>
      <c r="J76" s="294"/>
      <c r="K76" s="294"/>
      <c r="L76" s="294"/>
    </row>
    <row r="77" spans="1:12" x14ac:dyDescent="0.25">
      <c r="A77" s="473"/>
      <c r="B77" s="473"/>
      <c r="C77" s="294"/>
      <c r="D77" s="294"/>
      <c r="E77" s="294"/>
      <c r="F77" s="294"/>
      <c r="G77" s="294"/>
      <c r="H77" s="294"/>
      <c r="I77" s="429"/>
      <c r="J77" s="294"/>
      <c r="K77" s="294"/>
      <c r="L77" s="294"/>
    </row>
    <row r="78" spans="1:12" x14ac:dyDescent="0.25">
      <c r="A78" s="473"/>
      <c r="B78" s="473"/>
      <c r="C78" s="294"/>
      <c r="D78" s="294"/>
      <c r="E78" s="294"/>
      <c r="F78" s="294"/>
      <c r="G78" s="294"/>
      <c r="H78" s="294"/>
      <c r="I78" s="429"/>
      <c r="J78" s="294"/>
      <c r="K78" s="294"/>
      <c r="L78" s="294"/>
    </row>
    <row r="79" spans="1:12" x14ac:dyDescent="0.25">
      <c r="A79" s="473"/>
      <c r="B79" s="473"/>
      <c r="C79" s="294"/>
      <c r="D79" s="294"/>
      <c r="E79" s="294"/>
      <c r="F79" s="294"/>
      <c r="G79" s="294"/>
      <c r="H79" s="294"/>
      <c r="I79" s="429"/>
      <c r="J79" s="294"/>
      <c r="K79" s="294"/>
      <c r="L79" s="294"/>
    </row>
    <row r="80" spans="1:12" x14ac:dyDescent="0.25">
      <c r="A80" s="473"/>
      <c r="B80" s="473"/>
      <c r="C80" s="294"/>
      <c r="D80" s="294"/>
      <c r="E80" s="294"/>
      <c r="F80" s="294"/>
      <c r="G80" s="294"/>
      <c r="H80" s="294"/>
      <c r="I80" s="429"/>
      <c r="J80" s="294"/>
      <c r="K80" s="294"/>
      <c r="L80" s="294"/>
    </row>
    <row r="81" spans="1:12" x14ac:dyDescent="0.25">
      <c r="A81" s="473"/>
      <c r="B81" s="473"/>
      <c r="C81" s="294"/>
      <c r="D81" s="294"/>
      <c r="E81" s="294"/>
      <c r="F81" s="294"/>
      <c r="G81" s="294"/>
      <c r="H81" s="294"/>
      <c r="I81" s="429"/>
      <c r="J81" s="294"/>
      <c r="K81" s="294"/>
      <c r="L81" s="294"/>
    </row>
    <row r="82" spans="1:12" x14ac:dyDescent="0.25">
      <c r="A82" s="473"/>
      <c r="B82" s="473"/>
      <c r="C82" s="294"/>
      <c r="D82" s="294"/>
      <c r="E82" s="294"/>
      <c r="F82" s="294"/>
      <c r="G82" s="294"/>
      <c r="H82" s="294"/>
      <c r="I82" s="429"/>
      <c r="J82" s="294"/>
      <c r="K82" s="294"/>
      <c r="L82" s="294"/>
    </row>
    <row r="83" spans="1:12" x14ac:dyDescent="0.25">
      <c r="A83" s="473"/>
      <c r="B83" s="473"/>
      <c r="C83" s="294"/>
      <c r="D83" s="294"/>
      <c r="E83" s="294"/>
      <c r="F83" s="294"/>
      <c r="G83" s="294"/>
      <c r="H83" s="294"/>
      <c r="I83" s="429"/>
      <c r="J83" s="294"/>
      <c r="K83" s="294"/>
      <c r="L83" s="294"/>
    </row>
    <row r="84" spans="1:12" x14ac:dyDescent="0.25">
      <c r="A84" s="473"/>
      <c r="B84" s="473"/>
      <c r="C84" s="294"/>
      <c r="D84" s="294"/>
      <c r="E84" s="294"/>
      <c r="F84" s="294"/>
      <c r="G84" s="294"/>
      <c r="H84" s="294"/>
      <c r="I84" s="429"/>
      <c r="J84" s="294"/>
      <c r="K84" s="294"/>
      <c r="L84" s="294"/>
    </row>
  </sheetData>
  <mergeCells count="30">
    <mergeCell ref="E52:G52"/>
    <mergeCell ref="E53:G53"/>
    <mergeCell ref="E54:G54"/>
    <mergeCell ref="E55:G55"/>
    <mergeCell ref="A57:B57"/>
    <mergeCell ref="A63:K64"/>
    <mergeCell ref="E46:F46"/>
    <mergeCell ref="E47:G47"/>
    <mergeCell ref="E48:G48"/>
    <mergeCell ref="E49:G49"/>
    <mergeCell ref="E50:G50"/>
    <mergeCell ref="E51:G51"/>
    <mergeCell ref="E40:F40"/>
    <mergeCell ref="E41:F41"/>
    <mergeCell ref="E42:F42"/>
    <mergeCell ref="E43:F43"/>
    <mergeCell ref="E44:F44"/>
    <mergeCell ref="E45:F45"/>
    <mergeCell ref="A16:E16"/>
    <mergeCell ref="G16:H16"/>
    <mergeCell ref="E18:G18"/>
    <mergeCell ref="E19:F19"/>
    <mergeCell ref="E38:F38"/>
    <mergeCell ref="E39:F39"/>
    <mergeCell ref="E1:K1"/>
    <mergeCell ref="D13:E13"/>
    <mergeCell ref="F13:G13"/>
    <mergeCell ref="A14:K14"/>
    <mergeCell ref="A15:E15"/>
    <mergeCell ref="G15:H15"/>
  </mergeCells>
  <pageMargins left="0.7" right="0.7" top="0.75" bottom="0.75" header="0.3" footer="0.3"/>
  <pageSetup scale="5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1"/>
  <sheetViews>
    <sheetView view="pageBreakPreview" topLeftCell="A40" zoomScaleNormal="100" zoomScaleSheetLayoutView="100" workbookViewId="0">
      <selection activeCell="K19" sqref="K19:K55"/>
    </sheetView>
  </sheetViews>
  <sheetFormatPr defaultRowHeight="15" x14ac:dyDescent="0.25"/>
  <cols>
    <col min="1" max="1" width="7.140625" style="474" customWidth="1"/>
    <col min="2" max="2" width="15.140625" style="474" customWidth="1"/>
    <col min="3" max="3" width="18.7109375" style="207" customWidth="1"/>
    <col min="4" max="4" width="15.140625" style="207" customWidth="1"/>
    <col min="5" max="5" width="16.7109375" style="207" customWidth="1"/>
    <col min="6" max="6" width="13.140625" style="207" customWidth="1"/>
    <col min="7" max="7" width="9.140625" style="207" hidden="1" customWidth="1"/>
    <col min="8" max="8" width="18.5703125" style="207" customWidth="1"/>
    <col min="9" max="9" width="11.85546875" style="430" customWidth="1"/>
    <col min="10" max="10" width="16.7109375" style="207" customWidth="1"/>
    <col min="11" max="11" width="24.85546875" style="207" customWidth="1"/>
    <col min="12" max="16384" width="9.140625" style="207"/>
  </cols>
  <sheetData>
    <row r="1" spans="1:11" ht="47.25" x14ac:dyDescent="0.6">
      <c r="A1" s="486"/>
      <c r="B1" s="449"/>
      <c r="C1" s="450"/>
      <c r="D1" s="450"/>
      <c r="E1" s="661" t="s">
        <v>0</v>
      </c>
      <c r="F1" s="661"/>
      <c r="G1" s="661"/>
      <c r="H1" s="661"/>
      <c r="I1" s="661"/>
      <c r="J1" s="661"/>
      <c r="K1" s="662"/>
    </row>
    <row r="2" spans="1:11" ht="15.75" x14ac:dyDescent="0.25">
      <c r="A2" s="479"/>
      <c r="B2" s="451"/>
      <c r="C2" s="451"/>
      <c r="D2" s="451"/>
      <c r="E2" s="210"/>
      <c r="F2" s="210"/>
      <c r="G2" s="211"/>
      <c r="H2" s="211"/>
      <c r="I2" s="420"/>
      <c r="J2" s="213"/>
      <c r="K2" s="214"/>
    </row>
    <row r="3" spans="1:11" ht="20.25" x14ac:dyDescent="0.3">
      <c r="A3" s="487"/>
      <c r="B3" s="452"/>
      <c r="C3" s="453"/>
      <c r="D3" s="453"/>
      <c r="E3" s="217" t="s">
        <v>1</v>
      </c>
      <c r="F3" s="218"/>
      <c r="G3" s="218"/>
      <c r="H3" s="218"/>
      <c r="I3" s="421"/>
      <c r="J3" s="220"/>
      <c r="K3" s="221"/>
    </row>
    <row r="4" spans="1:11" x14ac:dyDescent="0.25">
      <c r="A4" s="487"/>
      <c r="B4" s="452"/>
      <c r="C4" s="222"/>
      <c r="D4" s="222"/>
      <c r="E4" s="223" t="s">
        <v>2</v>
      </c>
      <c r="F4" s="222"/>
      <c r="G4" s="222"/>
      <c r="H4" s="222"/>
      <c r="I4" s="422"/>
      <c r="J4" s="225"/>
      <c r="K4" s="226"/>
    </row>
    <row r="5" spans="1:11" x14ac:dyDescent="0.25">
      <c r="A5" s="488"/>
      <c r="B5" s="454"/>
      <c r="C5" s="222"/>
      <c r="D5" s="228"/>
      <c r="E5" s="229" t="s">
        <v>11</v>
      </c>
      <c r="F5" s="228"/>
      <c r="G5" s="230"/>
      <c r="H5" s="230"/>
      <c r="I5" s="422"/>
      <c r="J5" s="225"/>
      <c r="K5" s="226"/>
    </row>
    <row r="6" spans="1:11" x14ac:dyDescent="0.25">
      <c r="A6" s="489"/>
      <c r="B6" s="455"/>
      <c r="C6" s="456"/>
      <c r="D6" s="456"/>
      <c r="E6" s="230"/>
      <c r="F6" s="230"/>
      <c r="G6" s="230"/>
      <c r="H6" s="230"/>
      <c r="I6" s="422"/>
      <c r="J6" s="225"/>
      <c r="K6" s="233">
        <f ca="1">TODAY()</f>
        <v>41556</v>
      </c>
    </row>
    <row r="7" spans="1:11" ht="15.75" x14ac:dyDescent="0.25">
      <c r="A7" s="489"/>
      <c r="B7" s="455"/>
      <c r="C7" s="456"/>
      <c r="D7" s="456"/>
      <c r="E7" s="228"/>
      <c r="F7" s="230"/>
      <c r="G7" s="234"/>
      <c r="H7" s="234"/>
      <c r="I7" s="224"/>
      <c r="J7" s="235"/>
      <c r="K7" s="236" t="s">
        <v>3</v>
      </c>
    </row>
    <row r="8" spans="1:11" x14ac:dyDescent="0.25">
      <c r="A8" s="480"/>
      <c r="B8" s="457"/>
      <c r="C8" s="239" t="s">
        <v>13</v>
      </c>
      <c r="D8" s="240" t="s">
        <v>161</v>
      </c>
      <c r="E8" s="241"/>
      <c r="F8" s="240"/>
      <c r="G8" s="241"/>
      <c r="H8" s="241"/>
      <c r="I8" s="242"/>
      <c r="J8" s="243"/>
      <c r="K8" s="244"/>
    </row>
    <row r="9" spans="1:11" x14ac:dyDescent="0.25">
      <c r="A9" s="481"/>
      <c r="B9" s="458"/>
      <c r="C9" s="251" t="s">
        <v>4</v>
      </c>
      <c r="D9" s="297" t="s">
        <v>125</v>
      </c>
      <c r="E9" s="298"/>
      <c r="F9" s="297"/>
      <c r="G9" s="298"/>
      <c r="H9" s="298"/>
      <c r="I9" s="247"/>
      <c r="J9" s="248"/>
      <c r="K9" s="249"/>
    </row>
    <row r="10" spans="1:11" x14ac:dyDescent="0.25">
      <c r="A10" s="481"/>
      <c r="B10" s="458"/>
      <c r="C10" s="251" t="s">
        <v>13</v>
      </c>
      <c r="D10" s="254" t="s">
        <v>14</v>
      </c>
      <c r="E10" s="253"/>
      <c r="F10" s="254"/>
      <c r="G10" s="253"/>
      <c r="H10" s="253"/>
      <c r="I10" s="247"/>
      <c r="J10" s="248"/>
      <c r="K10" s="249"/>
    </row>
    <row r="11" spans="1:11" x14ac:dyDescent="0.25">
      <c r="A11" s="490"/>
      <c r="B11" s="459"/>
      <c r="C11" s="257" t="s">
        <v>5</v>
      </c>
      <c r="D11" s="252" t="s">
        <v>126</v>
      </c>
      <c r="E11" s="253"/>
      <c r="F11" s="252"/>
      <c r="G11" s="253"/>
      <c r="H11" s="253"/>
      <c r="I11" s="247"/>
      <c r="J11" s="248"/>
      <c r="K11" s="249"/>
    </row>
    <row r="12" spans="1:11" x14ac:dyDescent="0.25">
      <c r="A12" s="490"/>
      <c r="B12" s="459"/>
      <c r="C12" s="257" t="s">
        <v>15</v>
      </c>
      <c r="D12" s="258" t="s">
        <v>127</v>
      </c>
      <c r="E12" s="253"/>
      <c r="F12" s="258"/>
      <c r="G12" s="253"/>
      <c r="H12" s="253"/>
      <c r="I12" s="247"/>
      <c r="J12" s="248"/>
      <c r="K12" s="249"/>
    </row>
    <row r="13" spans="1:11" x14ac:dyDescent="0.25">
      <c r="A13" s="491"/>
      <c r="B13" s="459"/>
      <c r="C13" s="260" t="s">
        <v>6</v>
      </c>
      <c r="D13" s="663"/>
      <c r="E13" s="663"/>
      <c r="F13" s="663"/>
      <c r="G13" s="663"/>
      <c r="H13" s="261"/>
      <c r="I13" s="423"/>
      <c r="J13" s="263"/>
      <c r="K13" s="263"/>
    </row>
    <row r="14" spans="1:11" x14ac:dyDescent="0.25">
      <c r="A14" s="664"/>
      <c r="B14" s="665"/>
      <c r="C14" s="665"/>
      <c r="D14" s="665"/>
      <c r="E14" s="665"/>
      <c r="F14" s="665"/>
      <c r="G14" s="665"/>
      <c r="H14" s="665"/>
      <c r="I14" s="665"/>
      <c r="J14" s="665"/>
      <c r="K14" s="666"/>
    </row>
    <row r="15" spans="1:11" x14ac:dyDescent="0.25">
      <c r="A15" s="667" t="s">
        <v>7</v>
      </c>
      <c r="B15" s="668"/>
      <c r="C15" s="668"/>
      <c r="D15" s="668"/>
      <c r="E15" s="669"/>
      <c r="F15" s="177" t="s">
        <v>16</v>
      </c>
      <c r="G15" s="670" t="s">
        <v>17</v>
      </c>
      <c r="H15" s="668"/>
      <c r="I15" s="424"/>
      <c r="J15" s="265"/>
      <c r="K15" s="266" t="s">
        <v>8</v>
      </c>
    </row>
    <row r="16" spans="1:11" x14ac:dyDescent="0.25">
      <c r="A16" s="671" t="s">
        <v>24</v>
      </c>
      <c r="B16" s="672"/>
      <c r="C16" s="672"/>
      <c r="D16" s="672"/>
      <c r="E16" s="673"/>
      <c r="F16" s="267"/>
      <c r="G16" s="674"/>
      <c r="H16" s="675"/>
      <c r="I16" s="425"/>
      <c r="J16" s="269"/>
      <c r="K16" s="270" t="s">
        <v>9</v>
      </c>
    </row>
    <row r="17" spans="1:11" x14ac:dyDescent="0.25">
      <c r="A17" s="482"/>
      <c r="B17" s="460"/>
      <c r="C17" s="460"/>
      <c r="D17" s="460"/>
      <c r="E17" s="273"/>
      <c r="F17" s="274"/>
      <c r="G17" s="274"/>
      <c r="H17" s="274"/>
      <c r="I17" s="426"/>
      <c r="J17" s="276"/>
      <c r="K17" s="277"/>
    </row>
    <row r="18" spans="1:11" x14ac:dyDescent="0.25">
      <c r="A18" s="461" t="s">
        <v>18</v>
      </c>
      <c r="B18" s="461" t="s">
        <v>27</v>
      </c>
      <c r="C18" s="461" t="s">
        <v>19</v>
      </c>
      <c r="D18" s="461" t="s">
        <v>20</v>
      </c>
      <c r="E18" s="676" t="s">
        <v>21</v>
      </c>
      <c r="F18" s="676"/>
      <c r="G18" s="676"/>
      <c r="H18" s="175" t="s">
        <v>10</v>
      </c>
      <c r="I18" s="175" t="s">
        <v>25</v>
      </c>
      <c r="J18" s="177" t="s">
        <v>28</v>
      </c>
      <c r="K18" s="177" t="s">
        <v>22</v>
      </c>
    </row>
    <row r="19" spans="1:11" x14ac:dyDescent="0.25">
      <c r="A19" s="528">
        <v>1</v>
      </c>
      <c r="B19" s="528" t="s">
        <v>29</v>
      </c>
      <c r="C19" s="178" t="s">
        <v>26</v>
      </c>
      <c r="D19" s="462"/>
      <c r="E19" s="677"/>
      <c r="F19" s="677"/>
      <c r="G19" s="179"/>
      <c r="H19" s="179"/>
      <c r="I19" s="178">
        <v>9</v>
      </c>
      <c r="J19" s="180">
        <v>55000</v>
      </c>
      <c r="K19" s="181">
        <f>IF((C19)&gt;0,SUM(J19*I19),"")</f>
        <v>495000</v>
      </c>
    </row>
    <row r="20" spans="1:11" x14ac:dyDescent="0.25">
      <c r="A20" s="529">
        <v>2</v>
      </c>
      <c r="B20" s="529" t="s">
        <v>30</v>
      </c>
      <c r="C20" s="178" t="s">
        <v>26</v>
      </c>
      <c r="D20" s="462"/>
      <c r="E20" s="463"/>
      <c r="F20" s="464"/>
      <c r="G20" s="179"/>
      <c r="H20" s="179"/>
      <c r="I20" s="178">
        <v>5</v>
      </c>
      <c r="J20" s="180">
        <v>55000</v>
      </c>
      <c r="K20" s="181">
        <f t="shared" ref="K20:K46" si="0">IF((C20)&gt;0,SUM(J20*I20),"")</f>
        <v>275000</v>
      </c>
    </row>
    <row r="21" spans="1:11" x14ac:dyDescent="0.25">
      <c r="A21" s="529">
        <v>3</v>
      </c>
      <c r="B21" s="529" t="s">
        <v>31</v>
      </c>
      <c r="C21" s="178" t="s">
        <v>26</v>
      </c>
      <c r="D21" s="462"/>
      <c r="E21" s="463"/>
      <c r="F21" s="464"/>
      <c r="G21" s="179"/>
      <c r="H21" s="179"/>
      <c r="I21" s="178">
        <v>4</v>
      </c>
      <c r="J21" s="180">
        <v>55000</v>
      </c>
      <c r="K21" s="181">
        <f t="shared" si="0"/>
        <v>220000</v>
      </c>
    </row>
    <row r="22" spans="1:11" x14ac:dyDescent="0.25">
      <c r="A22" s="528">
        <v>4</v>
      </c>
      <c r="B22" s="528" t="s">
        <v>32</v>
      </c>
      <c r="C22" s="178" t="s">
        <v>26</v>
      </c>
      <c r="D22" s="462"/>
      <c r="E22" s="463"/>
      <c r="F22" s="464"/>
      <c r="G22" s="179"/>
      <c r="H22" s="179"/>
      <c r="I22" s="178">
        <v>5</v>
      </c>
      <c r="J22" s="180">
        <v>55000</v>
      </c>
      <c r="K22" s="181">
        <f t="shared" si="0"/>
        <v>275000</v>
      </c>
    </row>
    <row r="23" spans="1:11" x14ac:dyDescent="0.25">
      <c r="A23" s="528">
        <v>5</v>
      </c>
      <c r="B23" s="529" t="s">
        <v>33</v>
      </c>
      <c r="C23" s="178" t="s">
        <v>26</v>
      </c>
      <c r="D23" s="462"/>
      <c r="E23" s="463"/>
      <c r="F23" s="464"/>
      <c r="G23" s="179"/>
      <c r="H23" s="179"/>
      <c r="I23" s="178">
        <v>2</v>
      </c>
      <c r="J23" s="180">
        <v>55000</v>
      </c>
      <c r="K23" s="181">
        <f t="shared" si="0"/>
        <v>110000</v>
      </c>
    </row>
    <row r="24" spans="1:11" x14ac:dyDescent="0.25">
      <c r="A24" s="529">
        <v>6</v>
      </c>
      <c r="B24" s="529" t="s">
        <v>34</v>
      </c>
      <c r="C24" s="178" t="s">
        <v>26</v>
      </c>
      <c r="D24" s="462"/>
      <c r="E24" s="463"/>
      <c r="F24" s="464"/>
      <c r="G24" s="179"/>
      <c r="H24" s="179"/>
      <c r="I24" s="178"/>
      <c r="J24" s="180">
        <v>55000</v>
      </c>
      <c r="K24" s="181">
        <f t="shared" si="0"/>
        <v>0</v>
      </c>
    </row>
    <row r="25" spans="1:11" x14ac:dyDescent="0.25">
      <c r="A25" s="529">
        <v>7</v>
      </c>
      <c r="B25" s="528" t="s">
        <v>35</v>
      </c>
      <c r="C25" s="178" t="s">
        <v>26</v>
      </c>
      <c r="D25" s="462"/>
      <c r="E25" s="463"/>
      <c r="F25" s="464"/>
      <c r="G25" s="179"/>
      <c r="H25" s="179"/>
      <c r="I25" s="178">
        <v>10</v>
      </c>
      <c r="J25" s="180">
        <v>55000</v>
      </c>
      <c r="K25" s="181">
        <f t="shared" si="0"/>
        <v>550000</v>
      </c>
    </row>
    <row r="26" spans="1:11" x14ac:dyDescent="0.25">
      <c r="A26" s="528">
        <v>8</v>
      </c>
      <c r="B26" s="529" t="s">
        <v>36</v>
      </c>
      <c r="C26" s="178" t="s">
        <v>26</v>
      </c>
      <c r="D26" s="462"/>
      <c r="E26" s="463"/>
      <c r="F26" s="464"/>
      <c r="G26" s="179"/>
      <c r="H26" s="179"/>
      <c r="I26" s="178"/>
      <c r="J26" s="180">
        <v>55000</v>
      </c>
      <c r="K26" s="181">
        <f>IF((C26)&gt;0,SUM(J26*I26),"")</f>
        <v>0</v>
      </c>
    </row>
    <row r="27" spans="1:11" x14ac:dyDescent="0.25">
      <c r="A27" s="528">
        <v>9</v>
      </c>
      <c r="B27" s="529" t="s">
        <v>37</v>
      </c>
      <c r="C27" s="178" t="s">
        <v>26</v>
      </c>
      <c r="D27" s="462"/>
      <c r="E27" s="463"/>
      <c r="F27" s="464"/>
      <c r="G27" s="179"/>
      <c r="H27" s="179"/>
      <c r="I27" s="178">
        <v>4</v>
      </c>
      <c r="J27" s="180">
        <v>55000</v>
      </c>
      <c r="K27" s="181">
        <f t="shared" si="0"/>
        <v>220000</v>
      </c>
    </row>
    <row r="28" spans="1:11" x14ac:dyDescent="0.25">
      <c r="A28" s="529">
        <v>10</v>
      </c>
      <c r="B28" s="528" t="s">
        <v>38</v>
      </c>
      <c r="C28" s="178" t="s">
        <v>26</v>
      </c>
      <c r="D28" s="462"/>
      <c r="E28" s="463"/>
      <c r="F28" s="464"/>
      <c r="G28" s="179"/>
      <c r="H28" s="179"/>
      <c r="I28" s="178">
        <v>5</v>
      </c>
      <c r="J28" s="180">
        <v>55000</v>
      </c>
      <c r="K28" s="181">
        <f t="shared" si="0"/>
        <v>275000</v>
      </c>
    </row>
    <row r="29" spans="1:11" x14ac:dyDescent="0.25">
      <c r="A29" s="529">
        <v>11</v>
      </c>
      <c r="B29" s="529" t="s">
        <v>39</v>
      </c>
      <c r="C29" s="178" t="s">
        <v>26</v>
      </c>
      <c r="D29" s="462"/>
      <c r="E29" s="463"/>
      <c r="F29" s="464"/>
      <c r="G29" s="179"/>
      <c r="H29" s="179"/>
      <c r="I29" s="178">
        <v>1</v>
      </c>
      <c r="J29" s="180">
        <v>55000</v>
      </c>
      <c r="K29" s="181">
        <f t="shared" si="0"/>
        <v>55000</v>
      </c>
    </row>
    <row r="30" spans="1:11" x14ac:dyDescent="0.25">
      <c r="A30" s="528">
        <v>12</v>
      </c>
      <c r="B30" s="529" t="s">
        <v>40</v>
      </c>
      <c r="C30" s="178" t="s">
        <v>26</v>
      </c>
      <c r="D30" s="462"/>
      <c r="E30" s="463"/>
      <c r="F30" s="464"/>
      <c r="G30" s="179"/>
      <c r="H30" s="179"/>
      <c r="I30" s="178">
        <v>7</v>
      </c>
      <c r="J30" s="180">
        <v>55000</v>
      </c>
      <c r="K30" s="181">
        <f t="shared" si="0"/>
        <v>385000</v>
      </c>
    </row>
    <row r="31" spans="1:11" x14ac:dyDescent="0.25">
      <c r="A31" s="528">
        <v>13</v>
      </c>
      <c r="B31" s="528" t="s">
        <v>41</v>
      </c>
      <c r="C31" s="178" t="s">
        <v>26</v>
      </c>
      <c r="D31" s="462"/>
      <c r="E31" s="463"/>
      <c r="F31" s="464"/>
      <c r="G31" s="179"/>
      <c r="H31" s="179"/>
      <c r="I31" s="178">
        <v>3</v>
      </c>
      <c r="J31" s="180">
        <v>55000</v>
      </c>
      <c r="K31" s="181">
        <f t="shared" si="0"/>
        <v>165000</v>
      </c>
    </row>
    <row r="32" spans="1:11" x14ac:dyDescent="0.25">
      <c r="A32" s="529">
        <v>14</v>
      </c>
      <c r="B32" s="529" t="s">
        <v>42</v>
      </c>
      <c r="C32" s="178" t="s">
        <v>26</v>
      </c>
      <c r="D32" s="462"/>
      <c r="E32" s="463"/>
      <c r="F32" s="464"/>
      <c r="G32" s="179"/>
      <c r="H32" s="179"/>
      <c r="I32" s="178">
        <v>9</v>
      </c>
      <c r="J32" s="180">
        <v>55000</v>
      </c>
      <c r="K32" s="181">
        <f t="shared" si="0"/>
        <v>495000</v>
      </c>
    </row>
    <row r="33" spans="1:11" x14ac:dyDescent="0.25">
      <c r="A33" s="529">
        <v>15</v>
      </c>
      <c r="B33" s="529" t="s">
        <v>43</v>
      </c>
      <c r="C33" s="178" t="s">
        <v>26</v>
      </c>
      <c r="D33" s="462"/>
      <c r="E33" s="463"/>
      <c r="F33" s="464"/>
      <c r="G33" s="179"/>
      <c r="H33" s="179"/>
      <c r="I33" s="178">
        <v>10</v>
      </c>
      <c r="J33" s="180">
        <v>55000</v>
      </c>
      <c r="K33" s="181">
        <f t="shared" si="0"/>
        <v>550000</v>
      </c>
    </row>
    <row r="34" spans="1:11" x14ac:dyDescent="0.25">
      <c r="A34" s="528">
        <v>16</v>
      </c>
      <c r="B34" s="528" t="s">
        <v>44</v>
      </c>
      <c r="C34" s="178" t="s">
        <v>26</v>
      </c>
      <c r="D34" s="462"/>
      <c r="E34" s="463"/>
      <c r="F34" s="464"/>
      <c r="G34" s="179"/>
      <c r="H34" s="179"/>
      <c r="I34" s="178">
        <v>2</v>
      </c>
      <c r="J34" s="180">
        <v>55000</v>
      </c>
      <c r="K34" s="181">
        <f t="shared" si="0"/>
        <v>110000</v>
      </c>
    </row>
    <row r="35" spans="1:11" x14ac:dyDescent="0.25">
      <c r="A35" s="528">
        <v>17</v>
      </c>
      <c r="B35" s="529" t="s">
        <v>45</v>
      </c>
      <c r="C35" s="178" t="s">
        <v>26</v>
      </c>
      <c r="D35" s="462"/>
      <c r="E35" s="463"/>
      <c r="F35" s="464"/>
      <c r="G35" s="179"/>
      <c r="H35" s="179"/>
      <c r="I35" s="178">
        <v>7</v>
      </c>
      <c r="J35" s="180">
        <v>55000</v>
      </c>
      <c r="K35" s="181">
        <f t="shared" si="0"/>
        <v>385000</v>
      </c>
    </row>
    <row r="36" spans="1:11" x14ac:dyDescent="0.25">
      <c r="A36" s="529">
        <v>18</v>
      </c>
      <c r="B36" s="529" t="s">
        <v>46</v>
      </c>
      <c r="C36" s="178" t="s">
        <v>26</v>
      </c>
      <c r="D36" s="462"/>
      <c r="E36" s="463"/>
      <c r="F36" s="464"/>
      <c r="G36" s="179"/>
      <c r="H36" s="179"/>
      <c r="I36" s="178">
        <v>1</v>
      </c>
      <c r="J36" s="180">
        <v>55000</v>
      </c>
      <c r="K36" s="181">
        <f t="shared" si="0"/>
        <v>55000</v>
      </c>
    </row>
    <row r="37" spans="1:11" x14ac:dyDescent="0.25">
      <c r="A37" s="529">
        <v>19</v>
      </c>
      <c r="B37" s="528" t="s">
        <v>47</v>
      </c>
      <c r="C37" s="178" t="s">
        <v>26</v>
      </c>
      <c r="D37" s="462"/>
      <c r="E37" s="463"/>
      <c r="F37" s="464"/>
      <c r="G37" s="179"/>
      <c r="H37" s="179"/>
      <c r="I37" s="178">
        <v>14</v>
      </c>
      <c r="J37" s="180">
        <v>55000</v>
      </c>
      <c r="K37" s="181">
        <f t="shared" si="0"/>
        <v>770000</v>
      </c>
    </row>
    <row r="38" spans="1:11" x14ac:dyDescent="0.25">
      <c r="A38" s="528">
        <v>20</v>
      </c>
      <c r="B38" s="529" t="s">
        <v>48</v>
      </c>
      <c r="C38" s="178" t="s">
        <v>26</v>
      </c>
      <c r="D38" s="462"/>
      <c r="E38" s="678"/>
      <c r="F38" s="679"/>
      <c r="G38" s="179"/>
      <c r="H38" s="179"/>
      <c r="I38" s="178">
        <v>5</v>
      </c>
      <c r="J38" s="180">
        <v>55000</v>
      </c>
      <c r="K38" s="181">
        <f t="shared" si="0"/>
        <v>275000</v>
      </c>
    </row>
    <row r="39" spans="1:11" x14ac:dyDescent="0.25">
      <c r="A39" s="528">
        <v>21</v>
      </c>
      <c r="B39" s="529" t="s">
        <v>49</v>
      </c>
      <c r="C39" s="178" t="s">
        <v>26</v>
      </c>
      <c r="D39" s="462"/>
      <c r="E39" s="678"/>
      <c r="F39" s="679"/>
      <c r="G39" s="179"/>
      <c r="H39" s="179"/>
      <c r="I39" s="178">
        <v>1</v>
      </c>
      <c r="J39" s="180">
        <v>55000</v>
      </c>
      <c r="K39" s="181">
        <f t="shared" si="0"/>
        <v>55000</v>
      </c>
    </row>
    <row r="40" spans="1:11" x14ac:dyDescent="0.25">
      <c r="A40" s="529">
        <v>22</v>
      </c>
      <c r="B40" s="528" t="s">
        <v>50</v>
      </c>
      <c r="C40" s="178" t="s">
        <v>26</v>
      </c>
      <c r="D40" s="462"/>
      <c r="E40" s="678"/>
      <c r="F40" s="679"/>
      <c r="G40" s="179"/>
      <c r="H40" s="179"/>
      <c r="I40" s="178">
        <v>1</v>
      </c>
      <c r="J40" s="180">
        <v>55000</v>
      </c>
      <c r="K40" s="181">
        <f t="shared" si="0"/>
        <v>55000</v>
      </c>
    </row>
    <row r="41" spans="1:11" x14ac:dyDescent="0.25">
      <c r="A41" s="529">
        <v>23</v>
      </c>
      <c r="B41" s="529" t="s">
        <v>51</v>
      </c>
      <c r="C41" s="178" t="s">
        <v>26</v>
      </c>
      <c r="D41" s="462"/>
      <c r="E41" s="678"/>
      <c r="F41" s="679"/>
      <c r="G41" s="179"/>
      <c r="H41" s="179"/>
      <c r="I41" s="178">
        <v>2</v>
      </c>
      <c r="J41" s="180">
        <v>55000</v>
      </c>
      <c r="K41" s="181">
        <f t="shared" si="0"/>
        <v>110000</v>
      </c>
    </row>
    <row r="42" spans="1:11" x14ac:dyDescent="0.25">
      <c r="A42" s="528">
        <v>24</v>
      </c>
      <c r="B42" s="529" t="s">
        <v>52</v>
      </c>
      <c r="C42" s="178" t="s">
        <v>26</v>
      </c>
      <c r="D42" s="462"/>
      <c r="E42" s="678"/>
      <c r="F42" s="679"/>
      <c r="G42" s="179"/>
      <c r="H42" s="179"/>
      <c r="I42" s="178">
        <v>10</v>
      </c>
      <c r="J42" s="180">
        <v>55000</v>
      </c>
      <c r="K42" s="181">
        <f t="shared" si="0"/>
        <v>550000</v>
      </c>
    </row>
    <row r="43" spans="1:11" x14ac:dyDescent="0.25">
      <c r="A43" s="528">
        <v>25</v>
      </c>
      <c r="B43" s="528" t="s">
        <v>53</v>
      </c>
      <c r="C43" s="178" t="s">
        <v>26</v>
      </c>
      <c r="D43" s="462"/>
      <c r="E43" s="678"/>
      <c r="F43" s="679"/>
      <c r="G43" s="179"/>
      <c r="H43" s="179"/>
      <c r="I43" s="178">
        <v>81</v>
      </c>
      <c r="J43" s="180">
        <v>55000</v>
      </c>
      <c r="K43" s="181">
        <f t="shared" si="0"/>
        <v>4455000</v>
      </c>
    </row>
    <row r="44" spans="1:11" x14ac:dyDescent="0.25">
      <c r="A44" s="529">
        <v>26</v>
      </c>
      <c r="B44" s="529" t="s">
        <v>54</v>
      </c>
      <c r="C44" s="178" t="s">
        <v>26</v>
      </c>
      <c r="D44" s="462"/>
      <c r="E44" s="678"/>
      <c r="F44" s="679"/>
      <c r="G44" s="179"/>
      <c r="H44" s="179"/>
      <c r="I44" s="178">
        <v>1</v>
      </c>
      <c r="J44" s="180">
        <v>55000</v>
      </c>
      <c r="K44" s="181">
        <f t="shared" si="0"/>
        <v>55000</v>
      </c>
    </row>
    <row r="45" spans="1:11" x14ac:dyDescent="0.25">
      <c r="A45" s="529">
        <v>27</v>
      </c>
      <c r="B45" s="529" t="s">
        <v>55</v>
      </c>
      <c r="C45" s="178" t="s">
        <v>26</v>
      </c>
      <c r="D45" s="462"/>
      <c r="E45" s="678"/>
      <c r="F45" s="679"/>
      <c r="G45" s="179"/>
      <c r="H45" s="179"/>
      <c r="I45" s="178">
        <v>5</v>
      </c>
      <c r="J45" s="180">
        <v>55000</v>
      </c>
      <c r="K45" s="181">
        <f t="shared" si="0"/>
        <v>275000</v>
      </c>
    </row>
    <row r="46" spans="1:11" x14ac:dyDescent="0.25">
      <c r="A46" s="528">
        <v>28</v>
      </c>
      <c r="B46" s="528" t="s">
        <v>56</v>
      </c>
      <c r="C46" s="178" t="s">
        <v>26</v>
      </c>
      <c r="D46" s="462"/>
      <c r="E46" s="678"/>
      <c r="F46" s="679"/>
      <c r="G46" s="179"/>
      <c r="H46" s="179"/>
      <c r="I46" s="178">
        <v>7</v>
      </c>
      <c r="J46" s="180">
        <v>55000</v>
      </c>
      <c r="K46" s="181">
        <f t="shared" si="0"/>
        <v>385000</v>
      </c>
    </row>
    <row r="47" spans="1:11" x14ac:dyDescent="0.25">
      <c r="A47" s="528">
        <v>29</v>
      </c>
      <c r="B47" s="529" t="s">
        <v>57</v>
      </c>
      <c r="C47" s="178" t="s">
        <v>26</v>
      </c>
      <c r="D47" s="462"/>
      <c r="E47" s="680"/>
      <c r="F47" s="680"/>
      <c r="G47" s="680"/>
      <c r="H47" s="182"/>
      <c r="I47" s="178">
        <v>8</v>
      </c>
      <c r="J47" s="180">
        <v>55000</v>
      </c>
      <c r="K47" s="181">
        <f>IF((C47)&gt;0,SUM(J47*I47),"")</f>
        <v>440000</v>
      </c>
    </row>
    <row r="48" spans="1:11" x14ac:dyDescent="0.25">
      <c r="A48" s="529">
        <v>30</v>
      </c>
      <c r="B48" s="529" t="s">
        <v>58</v>
      </c>
      <c r="C48" s="178" t="s">
        <v>26</v>
      </c>
      <c r="D48" s="462"/>
      <c r="E48" s="680"/>
      <c r="F48" s="680"/>
      <c r="G48" s="680"/>
      <c r="H48" s="182"/>
      <c r="I48" s="178">
        <v>5</v>
      </c>
      <c r="J48" s="180">
        <v>55000</v>
      </c>
      <c r="K48" s="181">
        <f t="shared" ref="K48:K53" si="1">IF((C48)&gt;0,SUM(J48*I48),"")</f>
        <v>275000</v>
      </c>
    </row>
    <row r="49" spans="1:12" x14ac:dyDescent="0.25">
      <c r="A49" s="529">
        <v>31</v>
      </c>
      <c r="B49" s="528" t="s">
        <v>59</v>
      </c>
      <c r="C49" s="178" t="s">
        <v>26</v>
      </c>
      <c r="D49" s="462"/>
      <c r="E49" s="680"/>
      <c r="F49" s="680"/>
      <c r="G49" s="680"/>
      <c r="H49" s="182"/>
      <c r="I49" s="178">
        <v>10</v>
      </c>
      <c r="J49" s="180">
        <v>55000</v>
      </c>
      <c r="K49" s="181">
        <f t="shared" si="1"/>
        <v>550000</v>
      </c>
    </row>
    <row r="50" spans="1:12" x14ac:dyDescent="0.25">
      <c r="A50" s="528">
        <v>32</v>
      </c>
      <c r="B50" s="529" t="s">
        <v>60</v>
      </c>
      <c r="C50" s="178" t="s">
        <v>26</v>
      </c>
      <c r="D50" s="462"/>
      <c r="E50" s="681"/>
      <c r="F50" s="681"/>
      <c r="G50" s="681"/>
      <c r="H50" s="183"/>
      <c r="I50" s="178">
        <v>5</v>
      </c>
      <c r="J50" s="180">
        <v>55000</v>
      </c>
      <c r="K50" s="181">
        <f t="shared" si="1"/>
        <v>275000</v>
      </c>
    </row>
    <row r="51" spans="1:12" x14ac:dyDescent="0.25">
      <c r="A51" s="528">
        <v>33</v>
      </c>
      <c r="B51" s="529" t="s">
        <v>61</v>
      </c>
      <c r="C51" s="178" t="s">
        <v>26</v>
      </c>
      <c r="D51" s="462"/>
      <c r="E51" s="681"/>
      <c r="F51" s="681"/>
      <c r="G51" s="681"/>
      <c r="H51" s="183"/>
      <c r="I51" s="178">
        <v>10</v>
      </c>
      <c r="J51" s="180">
        <v>55000</v>
      </c>
      <c r="K51" s="181">
        <f t="shared" si="1"/>
        <v>550000</v>
      </c>
    </row>
    <row r="52" spans="1:12" x14ac:dyDescent="0.25">
      <c r="A52" s="529">
        <v>34</v>
      </c>
      <c r="B52" s="528" t="s">
        <v>62</v>
      </c>
      <c r="C52" s="178" t="s">
        <v>26</v>
      </c>
      <c r="D52" s="462"/>
      <c r="E52" s="681"/>
      <c r="F52" s="681"/>
      <c r="G52" s="681"/>
      <c r="H52" s="183"/>
      <c r="I52" s="178">
        <v>3</v>
      </c>
      <c r="J52" s="180">
        <v>55000</v>
      </c>
      <c r="K52" s="181">
        <f t="shared" si="1"/>
        <v>165000</v>
      </c>
    </row>
    <row r="53" spans="1:12" x14ac:dyDescent="0.25">
      <c r="A53" s="529">
        <v>35</v>
      </c>
      <c r="B53" s="529" t="s">
        <v>63</v>
      </c>
      <c r="C53" s="178" t="s">
        <v>26</v>
      </c>
      <c r="D53" s="462"/>
      <c r="E53" s="681"/>
      <c r="F53" s="681"/>
      <c r="G53" s="681"/>
      <c r="H53" s="183"/>
      <c r="I53" s="178">
        <v>1</v>
      </c>
      <c r="J53" s="180">
        <v>55000</v>
      </c>
      <c r="K53" s="181">
        <f t="shared" si="1"/>
        <v>55000</v>
      </c>
    </row>
    <row r="54" spans="1:12" x14ac:dyDescent="0.25">
      <c r="A54" s="528">
        <v>36</v>
      </c>
      <c r="B54" s="529" t="s">
        <v>64</v>
      </c>
      <c r="C54" s="178" t="s">
        <v>26</v>
      </c>
      <c r="D54" s="462"/>
      <c r="E54" s="681"/>
      <c r="F54" s="681"/>
      <c r="G54" s="681"/>
      <c r="H54" s="183"/>
      <c r="I54" s="178">
        <v>1</v>
      </c>
      <c r="J54" s="180">
        <v>55000</v>
      </c>
      <c r="K54" s="181">
        <f>IF((C54)&gt;0,SUM(J54*I54),"")</f>
        <v>55000</v>
      </c>
    </row>
    <row r="55" spans="1:12" x14ac:dyDescent="0.25">
      <c r="A55" s="528">
        <v>37</v>
      </c>
      <c r="B55" s="528" t="s">
        <v>65</v>
      </c>
      <c r="C55" s="178" t="s">
        <v>26</v>
      </c>
      <c r="D55" s="462"/>
      <c r="E55" s="681"/>
      <c r="F55" s="681"/>
      <c r="G55" s="681"/>
      <c r="H55" s="183"/>
      <c r="I55" s="178">
        <v>1</v>
      </c>
      <c r="J55" s="180">
        <v>55000</v>
      </c>
      <c r="K55" s="181">
        <f>IF((C55)&gt;0,SUM(J55*I55),"")</f>
        <v>55000</v>
      </c>
    </row>
    <row r="56" spans="1:12" ht="15.75" x14ac:dyDescent="0.25">
      <c r="B56" s="465"/>
      <c r="C56" s="465"/>
      <c r="E56" s="199"/>
      <c r="F56" s="199"/>
      <c r="G56" s="199"/>
      <c r="H56" s="199"/>
      <c r="I56" s="200"/>
      <c r="J56" s="478" t="s">
        <v>70</v>
      </c>
      <c r="K56" s="418"/>
    </row>
    <row r="57" spans="1:12" ht="15.75" x14ac:dyDescent="0.25">
      <c r="A57" s="485" t="s">
        <v>76</v>
      </c>
      <c r="B57" s="467"/>
      <c r="C57" s="467"/>
      <c r="D57" s="468"/>
      <c r="E57" s="469"/>
      <c r="F57" s="469"/>
      <c r="G57" s="469"/>
      <c r="H57" s="469"/>
      <c r="I57" s="470"/>
      <c r="J57" s="471"/>
      <c r="K57" s="472"/>
    </row>
    <row r="58" spans="1:12" ht="15.75" x14ac:dyDescent="0.25">
      <c r="B58" s="467"/>
      <c r="C58" s="467"/>
      <c r="D58" s="468"/>
      <c r="E58" s="469"/>
      <c r="F58" s="469"/>
      <c r="G58" s="469"/>
      <c r="H58" s="469"/>
      <c r="I58" s="470"/>
      <c r="J58" s="471"/>
      <c r="K58" s="472"/>
    </row>
    <row r="59" spans="1:12" ht="16.5" thickBot="1" x14ac:dyDescent="0.3">
      <c r="A59" s="484"/>
      <c r="B59" s="467"/>
      <c r="C59" s="467"/>
      <c r="D59" s="468"/>
      <c r="E59" s="469"/>
      <c r="F59" s="469"/>
      <c r="G59" s="469"/>
      <c r="H59" s="469"/>
      <c r="I59" s="470"/>
      <c r="J59" s="471"/>
      <c r="K59" s="472"/>
    </row>
    <row r="60" spans="1:12" x14ac:dyDescent="0.25">
      <c r="A60" s="683" t="s">
        <v>23</v>
      </c>
      <c r="B60" s="684"/>
      <c r="C60" s="684"/>
      <c r="D60" s="684"/>
      <c r="E60" s="684"/>
      <c r="F60" s="684"/>
      <c r="G60" s="684"/>
      <c r="H60" s="684"/>
      <c r="I60" s="684"/>
      <c r="J60" s="684"/>
      <c r="K60" s="685"/>
    </row>
    <row r="61" spans="1:12" x14ac:dyDescent="0.25">
      <c r="A61" s="686"/>
      <c r="B61" s="687"/>
      <c r="C61" s="687"/>
      <c r="D61" s="687"/>
      <c r="E61" s="687"/>
      <c r="F61" s="687"/>
      <c r="G61" s="687"/>
      <c r="H61" s="687"/>
      <c r="I61" s="687"/>
      <c r="J61" s="687"/>
      <c r="K61" s="688"/>
    </row>
    <row r="62" spans="1:12" x14ac:dyDescent="0.25">
      <c r="A62" s="525"/>
      <c r="B62" s="525"/>
      <c r="C62" s="526"/>
      <c r="D62" s="526"/>
      <c r="E62" s="527"/>
      <c r="F62" s="527"/>
      <c r="G62" s="527"/>
      <c r="H62" s="527"/>
      <c r="I62" s="224"/>
      <c r="J62" s="235"/>
      <c r="K62" s="235"/>
      <c r="L62" s="294"/>
    </row>
    <row r="63" spans="1:12" x14ac:dyDescent="0.25">
      <c r="A63" s="473"/>
      <c r="B63" s="473"/>
      <c r="C63" s="294"/>
      <c r="D63" s="294"/>
      <c r="E63" s="294"/>
      <c r="F63" s="294"/>
      <c r="G63" s="294"/>
      <c r="H63" s="294"/>
      <c r="I63" s="429"/>
      <c r="J63" s="294"/>
      <c r="K63" s="294"/>
      <c r="L63" s="294"/>
    </row>
    <row r="64" spans="1:12" x14ac:dyDescent="0.25">
      <c r="A64" s="473"/>
      <c r="B64" s="473"/>
      <c r="C64" s="294"/>
      <c r="D64" s="294"/>
      <c r="E64" s="294"/>
      <c r="F64" s="294"/>
      <c r="G64" s="294"/>
      <c r="H64" s="294"/>
      <c r="I64" s="429"/>
      <c r="J64" s="294"/>
      <c r="K64" s="294"/>
      <c r="L64" s="294"/>
    </row>
    <row r="65" spans="1:12" x14ac:dyDescent="0.25">
      <c r="A65" s="473"/>
      <c r="B65" s="473"/>
      <c r="C65" s="294"/>
      <c r="D65" s="294"/>
      <c r="E65" s="294"/>
      <c r="F65" s="294"/>
      <c r="G65" s="294"/>
      <c r="H65" s="294"/>
      <c r="I65" s="429"/>
      <c r="J65" s="294"/>
      <c r="K65" s="294"/>
      <c r="L65" s="294"/>
    </row>
    <row r="66" spans="1:12" x14ac:dyDescent="0.25">
      <c r="A66" s="473"/>
      <c r="B66" s="473"/>
      <c r="C66" s="294"/>
      <c r="D66" s="294"/>
      <c r="E66" s="294"/>
      <c r="F66" s="294"/>
      <c r="G66" s="294"/>
      <c r="H66" s="294"/>
      <c r="I66" s="429"/>
      <c r="J66" s="294"/>
      <c r="K66" s="294"/>
      <c r="L66" s="294"/>
    </row>
    <row r="67" spans="1:12" x14ac:dyDescent="0.25">
      <c r="A67" s="473"/>
      <c r="B67" s="473"/>
      <c r="C67" s="294"/>
      <c r="D67" s="294"/>
      <c r="E67" s="294"/>
      <c r="F67" s="294"/>
      <c r="G67" s="294"/>
      <c r="H67" s="294"/>
      <c r="I67" s="429"/>
      <c r="J67" s="294"/>
      <c r="K67" s="294"/>
      <c r="L67" s="294"/>
    </row>
    <row r="68" spans="1:12" x14ac:dyDescent="0.25">
      <c r="A68" s="473"/>
      <c r="B68" s="473"/>
      <c r="C68" s="294"/>
      <c r="D68" s="294"/>
      <c r="E68" s="294"/>
      <c r="F68" s="294"/>
      <c r="G68" s="294"/>
      <c r="H68" s="294"/>
      <c r="I68" s="429"/>
      <c r="J68" s="294"/>
      <c r="K68" s="294"/>
      <c r="L68" s="294"/>
    </row>
    <row r="69" spans="1:12" x14ac:dyDescent="0.25">
      <c r="A69" s="473"/>
      <c r="B69" s="473"/>
      <c r="C69" s="294"/>
      <c r="D69" s="294"/>
      <c r="E69" s="294"/>
      <c r="F69" s="294"/>
      <c r="G69" s="294"/>
      <c r="H69" s="294"/>
      <c r="I69" s="429"/>
      <c r="J69" s="294"/>
      <c r="K69" s="294"/>
      <c r="L69" s="294"/>
    </row>
    <row r="70" spans="1:12" x14ac:dyDescent="0.25">
      <c r="A70" s="473"/>
      <c r="B70" s="473"/>
      <c r="C70" s="294"/>
      <c r="D70" s="294"/>
      <c r="E70" s="294"/>
      <c r="F70" s="294"/>
      <c r="G70" s="294"/>
      <c r="H70" s="294"/>
      <c r="I70" s="429"/>
      <c r="J70" s="294"/>
      <c r="K70" s="294"/>
      <c r="L70" s="294"/>
    </row>
    <row r="71" spans="1:12" x14ac:dyDescent="0.25">
      <c r="A71" s="473"/>
      <c r="B71" s="473"/>
      <c r="C71" s="294"/>
      <c r="D71" s="294"/>
      <c r="E71" s="294"/>
      <c r="F71" s="294"/>
      <c r="G71" s="294"/>
      <c r="H71" s="294"/>
      <c r="I71" s="429"/>
      <c r="J71" s="294"/>
      <c r="K71" s="294"/>
      <c r="L71" s="294"/>
    </row>
    <row r="72" spans="1:12" x14ac:dyDescent="0.25">
      <c r="A72" s="473"/>
      <c r="B72" s="473"/>
      <c r="C72" s="294"/>
      <c r="D72" s="294"/>
      <c r="E72" s="294"/>
      <c r="F72" s="294"/>
      <c r="G72" s="294"/>
      <c r="H72" s="294"/>
      <c r="I72" s="429"/>
      <c r="J72" s="294"/>
      <c r="K72" s="294"/>
      <c r="L72" s="294"/>
    </row>
    <row r="73" spans="1:12" x14ac:dyDescent="0.25">
      <c r="A73" s="473"/>
      <c r="B73" s="473"/>
      <c r="C73" s="294"/>
      <c r="D73" s="294"/>
      <c r="E73" s="294"/>
      <c r="F73" s="294"/>
      <c r="G73" s="294"/>
      <c r="H73" s="294"/>
      <c r="I73" s="429"/>
      <c r="J73" s="294"/>
      <c r="K73" s="294"/>
      <c r="L73" s="294"/>
    </row>
    <row r="74" spans="1:12" x14ac:dyDescent="0.25">
      <c r="A74" s="473"/>
      <c r="B74" s="473"/>
      <c r="C74" s="294"/>
      <c r="D74" s="294"/>
      <c r="E74" s="294"/>
      <c r="F74" s="294"/>
      <c r="G74" s="294"/>
      <c r="H74" s="294"/>
      <c r="I74" s="429"/>
      <c r="J74" s="294"/>
      <c r="K74" s="294"/>
      <c r="L74" s="294"/>
    </row>
    <row r="75" spans="1:12" x14ac:dyDescent="0.25">
      <c r="A75" s="473"/>
      <c r="B75" s="473"/>
      <c r="C75" s="294"/>
      <c r="D75" s="294"/>
      <c r="E75" s="294"/>
      <c r="F75" s="294"/>
      <c r="G75" s="294"/>
      <c r="H75" s="294"/>
      <c r="I75" s="429"/>
      <c r="J75" s="294"/>
      <c r="K75" s="294"/>
      <c r="L75" s="294"/>
    </row>
    <row r="76" spans="1:12" x14ac:dyDescent="0.25">
      <c r="A76" s="473"/>
      <c r="B76" s="473"/>
      <c r="C76" s="294"/>
      <c r="D76" s="294"/>
      <c r="E76" s="294"/>
      <c r="F76" s="294"/>
      <c r="G76" s="294"/>
      <c r="H76" s="294"/>
      <c r="I76" s="429"/>
      <c r="J76" s="294"/>
      <c r="K76" s="294"/>
      <c r="L76" s="294"/>
    </row>
    <row r="77" spans="1:12" x14ac:dyDescent="0.25">
      <c r="A77" s="473"/>
      <c r="B77" s="473"/>
      <c r="C77" s="294"/>
      <c r="D77" s="294"/>
      <c r="E77" s="294"/>
      <c r="F77" s="294"/>
      <c r="G77" s="294"/>
      <c r="H77" s="294"/>
      <c r="I77" s="429"/>
      <c r="J77" s="294"/>
      <c r="K77" s="294"/>
      <c r="L77" s="294"/>
    </row>
    <row r="78" spans="1:12" x14ac:dyDescent="0.25">
      <c r="A78" s="473"/>
      <c r="B78" s="473"/>
      <c r="C78" s="294"/>
      <c r="D78" s="294"/>
      <c r="E78" s="294"/>
      <c r="F78" s="294"/>
      <c r="G78" s="294"/>
      <c r="H78" s="294"/>
      <c r="I78" s="429"/>
      <c r="J78" s="294"/>
      <c r="K78" s="294"/>
      <c r="L78" s="294"/>
    </row>
    <row r="79" spans="1:12" x14ac:dyDescent="0.25">
      <c r="A79" s="473"/>
      <c r="B79" s="473"/>
      <c r="C79" s="294"/>
      <c r="D79" s="294"/>
      <c r="E79" s="294"/>
      <c r="F79" s="294"/>
      <c r="G79" s="294"/>
      <c r="H79" s="294"/>
      <c r="I79" s="429"/>
      <c r="J79" s="294"/>
      <c r="K79" s="294"/>
      <c r="L79" s="294"/>
    </row>
    <row r="80" spans="1:12" x14ac:dyDescent="0.25">
      <c r="A80" s="473"/>
      <c r="B80" s="473"/>
      <c r="C80" s="294"/>
      <c r="D80" s="294"/>
      <c r="E80" s="294"/>
      <c r="F80" s="294"/>
      <c r="G80" s="294"/>
      <c r="H80" s="294"/>
      <c r="I80" s="429"/>
      <c r="J80" s="294"/>
      <c r="K80" s="294"/>
      <c r="L80" s="294"/>
    </row>
    <row r="81" spans="1:12" x14ac:dyDescent="0.25">
      <c r="A81" s="473"/>
      <c r="B81" s="473"/>
      <c r="C81" s="294"/>
      <c r="D81" s="294"/>
      <c r="E81" s="294"/>
      <c r="F81" s="294"/>
      <c r="G81" s="294"/>
      <c r="H81" s="294"/>
      <c r="I81" s="429"/>
      <c r="J81" s="294"/>
      <c r="K81" s="294"/>
      <c r="L81" s="294"/>
    </row>
  </sheetData>
  <mergeCells count="29">
    <mergeCell ref="E43:F43"/>
    <mergeCell ref="E44:F44"/>
    <mergeCell ref="E49:G49"/>
    <mergeCell ref="E50:G50"/>
    <mergeCell ref="A60:K61"/>
    <mergeCell ref="D13:E13"/>
    <mergeCell ref="E19:F19"/>
    <mergeCell ref="E38:F38"/>
    <mergeCell ref="E39:F39"/>
    <mergeCell ref="E40:F40"/>
    <mergeCell ref="E41:F41"/>
    <mergeCell ref="E42:F42"/>
    <mergeCell ref="E55:G55"/>
    <mergeCell ref="E54:G54"/>
    <mergeCell ref="E51:G51"/>
    <mergeCell ref="E52:G52"/>
    <mergeCell ref="E53:G53"/>
    <mergeCell ref="E18:G18"/>
    <mergeCell ref="E47:G47"/>
    <mergeCell ref="E48:G48"/>
    <mergeCell ref="E45:F45"/>
    <mergeCell ref="E46:F46"/>
    <mergeCell ref="E1:K1"/>
    <mergeCell ref="F13:G13"/>
    <mergeCell ref="A14:K14"/>
    <mergeCell ref="A15:E15"/>
    <mergeCell ref="G15:H15"/>
    <mergeCell ref="A16:E16"/>
    <mergeCell ref="G16:H16"/>
  </mergeCells>
  <pageMargins left="0.7" right="0.7" top="0.75" bottom="0.75" header="0.3" footer="0.3"/>
  <pageSetup scale="5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4"/>
  <sheetViews>
    <sheetView view="pageBreakPreview" topLeftCell="A5" zoomScale="78" zoomScaleNormal="100" zoomScaleSheetLayoutView="78" workbookViewId="0">
      <selection activeCell="I12" sqref="D12:I12"/>
    </sheetView>
  </sheetViews>
  <sheetFormatPr defaultRowHeight="15" x14ac:dyDescent="0.25"/>
  <cols>
    <col min="1" max="1" width="7.42578125" style="474" customWidth="1"/>
    <col min="2" max="2" width="14.7109375" style="474" customWidth="1"/>
    <col min="3" max="3" width="16.7109375" style="207" customWidth="1"/>
    <col min="4" max="4" width="12.7109375" style="207" customWidth="1"/>
    <col min="5" max="5" width="9.140625" style="207"/>
    <col min="6" max="6" width="14.85546875" style="207" customWidth="1"/>
    <col min="7" max="7" width="9.140625" style="207" hidden="1" customWidth="1"/>
    <col min="8" max="8" width="15.42578125" style="207" customWidth="1"/>
    <col min="9" max="9" width="14.42578125" style="430" customWidth="1"/>
    <col min="10" max="10" width="15.28515625" style="207" customWidth="1"/>
    <col min="11" max="11" width="22.7109375" style="207" customWidth="1"/>
    <col min="12" max="16384" width="9.140625" style="207"/>
  </cols>
  <sheetData>
    <row r="1" spans="1:11" ht="47.25" x14ac:dyDescent="0.6">
      <c r="A1" s="486"/>
      <c r="B1" s="450"/>
      <c r="C1" s="450"/>
      <c r="D1" s="450"/>
      <c r="E1" s="661" t="s">
        <v>0</v>
      </c>
      <c r="F1" s="661"/>
      <c r="G1" s="661"/>
      <c r="H1" s="661"/>
      <c r="I1" s="661"/>
      <c r="J1" s="661"/>
      <c r="K1" s="662"/>
    </row>
    <row r="2" spans="1:11" ht="15.75" x14ac:dyDescent="0.25">
      <c r="A2" s="479"/>
      <c r="B2" s="451"/>
      <c r="C2" s="451"/>
      <c r="D2" s="451"/>
      <c r="E2" s="210"/>
      <c r="F2" s="210"/>
      <c r="G2" s="211"/>
      <c r="H2" s="211"/>
      <c r="I2" s="420"/>
      <c r="J2" s="213"/>
      <c r="K2" s="214"/>
    </row>
    <row r="3" spans="1:11" ht="20.25" x14ac:dyDescent="0.3">
      <c r="A3" s="487"/>
      <c r="B3" s="452"/>
      <c r="C3" s="453"/>
      <c r="D3" s="453"/>
      <c r="E3" s="217"/>
      <c r="F3" s="218"/>
      <c r="G3" s="218"/>
      <c r="H3" s="218"/>
      <c r="I3" s="421"/>
      <c r="J3" s="220"/>
      <c r="K3" s="221"/>
    </row>
    <row r="4" spans="1:11" x14ac:dyDescent="0.25">
      <c r="A4" s="487"/>
      <c r="B4" s="452"/>
      <c r="C4" s="222"/>
      <c r="D4" s="222"/>
      <c r="E4" s="223"/>
      <c r="F4" s="222"/>
      <c r="G4" s="222"/>
      <c r="H4" s="222"/>
      <c r="I4" s="422"/>
      <c r="J4" s="225"/>
      <c r="K4" s="226"/>
    </row>
    <row r="5" spans="1:11" x14ac:dyDescent="0.25">
      <c r="A5" s="488"/>
      <c r="B5" s="454"/>
      <c r="C5" s="222"/>
      <c r="D5" s="228"/>
      <c r="E5" s="229"/>
      <c r="F5" s="228"/>
      <c r="G5" s="230"/>
      <c r="H5" s="230"/>
      <c r="I5" s="422"/>
      <c r="J5" s="225"/>
      <c r="K5" s="226"/>
    </row>
    <row r="6" spans="1:11" x14ac:dyDescent="0.25">
      <c r="A6" s="489"/>
      <c r="B6" s="455"/>
      <c r="C6" s="456"/>
      <c r="D6" s="456"/>
      <c r="E6" s="230"/>
      <c r="F6" s="230"/>
      <c r="G6" s="230"/>
      <c r="H6" s="230"/>
      <c r="I6" s="422"/>
      <c r="J6" s="225"/>
      <c r="K6" s="233">
        <f ca="1">TODAY()</f>
        <v>41556</v>
      </c>
    </row>
    <row r="7" spans="1:11" ht="15.75" x14ac:dyDescent="0.25">
      <c r="A7" s="489"/>
      <c r="B7" s="455"/>
      <c r="C7" s="456"/>
      <c r="D7" s="456"/>
      <c r="E7" s="228"/>
      <c r="F7" s="230"/>
      <c r="G7" s="234"/>
      <c r="H7" s="234"/>
      <c r="I7" s="224"/>
      <c r="J7" s="235"/>
      <c r="K7" s="236"/>
    </row>
    <row r="8" spans="1:11" x14ac:dyDescent="0.25">
      <c r="A8" s="480"/>
      <c r="B8" s="457"/>
      <c r="C8" s="239" t="s">
        <v>13</v>
      </c>
      <c r="D8" s="240" t="s">
        <v>129</v>
      </c>
      <c r="E8" s="241"/>
      <c r="F8" s="240"/>
      <c r="G8" s="241"/>
      <c r="H8" s="241"/>
      <c r="I8" s="242"/>
      <c r="J8" s="243"/>
      <c r="K8" s="244"/>
    </row>
    <row r="9" spans="1:11" x14ac:dyDescent="0.25">
      <c r="A9" s="481"/>
      <c r="B9" s="458"/>
      <c r="C9" s="251" t="s">
        <v>4</v>
      </c>
      <c r="D9" s="297" t="s">
        <v>128</v>
      </c>
      <c r="E9" s="298"/>
      <c r="F9" s="297"/>
      <c r="G9" s="298"/>
      <c r="H9" s="298"/>
      <c r="I9" s="247"/>
      <c r="J9" s="248"/>
      <c r="K9" s="249"/>
    </row>
    <row r="10" spans="1:11" x14ac:dyDescent="0.25">
      <c r="A10" s="481"/>
      <c r="B10" s="458"/>
      <c r="C10" s="251" t="s">
        <v>13</v>
      </c>
      <c r="D10" s="254" t="s">
        <v>14</v>
      </c>
      <c r="E10" s="253"/>
      <c r="F10" s="254"/>
      <c r="G10" s="253"/>
      <c r="H10" s="253"/>
      <c r="I10" s="247"/>
      <c r="J10" s="248"/>
      <c r="K10" s="249"/>
    </row>
    <row r="11" spans="1:11" x14ac:dyDescent="0.25">
      <c r="A11" s="490"/>
      <c r="B11" s="459"/>
      <c r="C11" s="257" t="s">
        <v>5</v>
      </c>
      <c r="D11" s="252" t="s">
        <v>130</v>
      </c>
      <c r="E11" s="253"/>
      <c r="F11" s="252"/>
      <c r="G11" s="253"/>
      <c r="H11" s="253"/>
      <c r="I11" s="247"/>
      <c r="J11" s="248"/>
      <c r="K11" s="249"/>
    </row>
    <row r="12" spans="1:11" x14ac:dyDescent="0.25">
      <c r="A12" s="490"/>
      <c r="B12" s="459"/>
      <c r="C12" s="257" t="s">
        <v>15</v>
      </c>
      <c r="D12" s="258" t="s">
        <v>131</v>
      </c>
      <c r="E12" s="253"/>
      <c r="F12" s="258"/>
      <c r="G12" s="253"/>
      <c r="H12" s="253"/>
      <c r="I12" s="247"/>
      <c r="J12" s="248"/>
      <c r="K12" s="249"/>
    </row>
    <row r="13" spans="1:11" x14ac:dyDescent="0.25">
      <c r="A13" s="491"/>
      <c r="B13" s="459"/>
      <c r="C13" s="260" t="s">
        <v>6</v>
      </c>
      <c r="D13" s="663"/>
      <c r="E13" s="663"/>
      <c r="F13" s="663"/>
      <c r="G13" s="663"/>
      <c r="H13" s="261"/>
      <c r="I13" s="423"/>
      <c r="J13" s="263"/>
      <c r="K13" s="263"/>
    </row>
    <row r="14" spans="1:11" x14ac:dyDescent="0.25">
      <c r="A14" s="664"/>
      <c r="B14" s="665"/>
      <c r="C14" s="665"/>
      <c r="D14" s="665"/>
      <c r="E14" s="665"/>
      <c r="F14" s="665"/>
      <c r="G14" s="665"/>
      <c r="H14" s="665"/>
      <c r="I14" s="665"/>
      <c r="J14" s="665"/>
      <c r="K14" s="666"/>
    </row>
    <row r="15" spans="1:11" x14ac:dyDescent="0.25">
      <c r="A15" s="667" t="s">
        <v>7</v>
      </c>
      <c r="B15" s="668"/>
      <c r="C15" s="668"/>
      <c r="D15" s="668"/>
      <c r="E15" s="669"/>
      <c r="F15" s="177" t="s">
        <v>16</v>
      </c>
      <c r="G15" s="670" t="s">
        <v>17</v>
      </c>
      <c r="H15" s="668"/>
      <c r="I15" s="424"/>
      <c r="J15" s="265"/>
      <c r="K15" s="266" t="s">
        <v>8</v>
      </c>
    </row>
    <row r="16" spans="1:11" x14ac:dyDescent="0.25">
      <c r="A16" s="671" t="s">
        <v>24</v>
      </c>
      <c r="B16" s="672"/>
      <c r="C16" s="672"/>
      <c r="D16" s="672"/>
      <c r="E16" s="673"/>
      <c r="F16" s="267"/>
      <c r="G16" s="674"/>
      <c r="H16" s="675"/>
      <c r="I16" s="425"/>
      <c r="J16" s="269"/>
      <c r="K16" s="270" t="s">
        <v>9</v>
      </c>
    </row>
    <row r="17" spans="1:11" x14ac:dyDescent="0.25">
      <c r="A17" s="482"/>
      <c r="B17" s="460"/>
      <c r="C17" s="460"/>
      <c r="D17" s="460"/>
      <c r="E17" s="273"/>
      <c r="F17" s="274"/>
      <c r="G17" s="274"/>
      <c r="H17" s="274"/>
      <c r="I17" s="426"/>
      <c r="J17" s="276"/>
      <c r="K17" s="277"/>
    </row>
    <row r="18" spans="1:11" x14ac:dyDescent="0.25">
      <c r="A18" s="461" t="s">
        <v>18</v>
      </c>
      <c r="B18" s="461" t="s">
        <v>27</v>
      </c>
      <c r="C18" s="461" t="s">
        <v>19</v>
      </c>
      <c r="D18" s="461" t="s">
        <v>20</v>
      </c>
      <c r="E18" s="676" t="s">
        <v>21</v>
      </c>
      <c r="F18" s="676"/>
      <c r="G18" s="676"/>
      <c r="H18" s="175" t="s">
        <v>10</v>
      </c>
      <c r="I18" s="175" t="s">
        <v>25</v>
      </c>
      <c r="J18" s="177" t="s">
        <v>28</v>
      </c>
      <c r="K18" s="177" t="s">
        <v>22</v>
      </c>
    </row>
    <row r="19" spans="1:11" x14ac:dyDescent="0.25">
      <c r="A19" s="528">
        <v>1</v>
      </c>
      <c r="B19" s="528" t="s">
        <v>29</v>
      </c>
      <c r="C19" s="178" t="s">
        <v>26</v>
      </c>
      <c r="D19" s="462"/>
      <c r="E19" s="677"/>
      <c r="F19" s="677"/>
      <c r="G19" s="179"/>
      <c r="H19" s="179"/>
      <c r="I19" s="178">
        <v>5</v>
      </c>
      <c r="J19" s="180">
        <v>55000</v>
      </c>
      <c r="K19" s="181">
        <f>IF((C19)&gt;0,SUM(J19*I19),"")</f>
        <v>275000</v>
      </c>
    </row>
    <row r="20" spans="1:11" x14ac:dyDescent="0.25">
      <c r="A20" s="529">
        <v>2</v>
      </c>
      <c r="B20" s="529" t="s">
        <v>30</v>
      </c>
      <c r="C20" s="178" t="s">
        <v>26</v>
      </c>
      <c r="D20" s="462"/>
      <c r="E20" s="463"/>
      <c r="F20" s="464"/>
      <c r="G20" s="179"/>
      <c r="H20" s="179"/>
      <c r="I20" s="178">
        <v>1</v>
      </c>
      <c r="J20" s="180">
        <v>55000</v>
      </c>
      <c r="K20" s="181">
        <f t="shared" ref="K20:K46" si="0">IF((C20)&gt;0,SUM(J20*I20),"")</f>
        <v>55000</v>
      </c>
    </row>
    <row r="21" spans="1:11" x14ac:dyDescent="0.25">
      <c r="A21" s="529">
        <v>3</v>
      </c>
      <c r="B21" s="529" t="s">
        <v>31</v>
      </c>
      <c r="C21" s="178" t="s">
        <v>26</v>
      </c>
      <c r="D21" s="462"/>
      <c r="E21" s="463"/>
      <c r="F21" s="464"/>
      <c r="G21" s="179"/>
      <c r="H21" s="179"/>
      <c r="I21" s="178">
        <v>4</v>
      </c>
      <c r="J21" s="180">
        <v>55000</v>
      </c>
      <c r="K21" s="181">
        <f t="shared" si="0"/>
        <v>220000</v>
      </c>
    </row>
    <row r="22" spans="1:11" x14ac:dyDescent="0.25">
      <c r="A22" s="528">
        <v>4</v>
      </c>
      <c r="B22" s="528" t="s">
        <v>32</v>
      </c>
      <c r="C22" s="178" t="s">
        <v>26</v>
      </c>
      <c r="D22" s="462"/>
      <c r="E22" s="463"/>
      <c r="F22" s="464"/>
      <c r="G22" s="179"/>
      <c r="H22" s="179"/>
      <c r="I22" s="178">
        <v>11</v>
      </c>
      <c r="J22" s="180">
        <v>55000</v>
      </c>
      <c r="K22" s="181">
        <f t="shared" si="0"/>
        <v>605000</v>
      </c>
    </row>
    <row r="23" spans="1:11" x14ac:dyDescent="0.25">
      <c r="A23" s="528">
        <v>5</v>
      </c>
      <c r="B23" s="529" t="s">
        <v>33</v>
      </c>
      <c r="C23" s="178" t="s">
        <v>26</v>
      </c>
      <c r="D23" s="462"/>
      <c r="E23" s="463"/>
      <c r="F23" s="464"/>
      <c r="G23" s="179"/>
      <c r="H23" s="179"/>
      <c r="I23" s="178"/>
      <c r="J23" s="180">
        <v>55000</v>
      </c>
      <c r="K23" s="181">
        <f t="shared" si="0"/>
        <v>0</v>
      </c>
    </row>
    <row r="24" spans="1:11" x14ac:dyDescent="0.25">
      <c r="A24" s="529">
        <v>6</v>
      </c>
      <c r="B24" s="529" t="s">
        <v>34</v>
      </c>
      <c r="C24" s="178" t="s">
        <v>26</v>
      </c>
      <c r="D24" s="462"/>
      <c r="E24" s="463"/>
      <c r="F24" s="464"/>
      <c r="G24" s="179"/>
      <c r="H24" s="179"/>
      <c r="I24" s="178">
        <v>1</v>
      </c>
      <c r="J24" s="180">
        <v>55000</v>
      </c>
      <c r="K24" s="181">
        <f t="shared" si="0"/>
        <v>55000</v>
      </c>
    </row>
    <row r="25" spans="1:11" x14ac:dyDescent="0.25">
      <c r="A25" s="529">
        <v>7</v>
      </c>
      <c r="B25" s="528" t="s">
        <v>35</v>
      </c>
      <c r="C25" s="178" t="s">
        <v>26</v>
      </c>
      <c r="D25" s="462"/>
      <c r="E25" s="463"/>
      <c r="F25" s="464"/>
      <c r="G25" s="179"/>
      <c r="H25" s="179"/>
      <c r="I25" s="178">
        <v>1</v>
      </c>
      <c r="J25" s="180">
        <v>55000</v>
      </c>
      <c r="K25" s="181">
        <f t="shared" si="0"/>
        <v>55000</v>
      </c>
    </row>
    <row r="26" spans="1:11" x14ac:dyDescent="0.25">
      <c r="A26" s="528">
        <v>8</v>
      </c>
      <c r="B26" s="529" t="s">
        <v>36</v>
      </c>
      <c r="C26" s="178" t="s">
        <v>26</v>
      </c>
      <c r="D26" s="462"/>
      <c r="E26" s="463"/>
      <c r="F26" s="464"/>
      <c r="G26" s="179"/>
      <c r="H26" s="179"/>
      <c r="I26" s="178">
        <v>1</v>
      </c>
      <c r="J26" s="180">
        <v>55000</v>
      </c>
      <c r="K26" s="181">
        <f>IF((C26)&gt;0,SUM(J26*I26),"")</f>
        <v>55000</v>
      </c>
    </row>
    <row r="27" spans="1:11" x14ac:dyDescent="0.25">
      <c r="A27" s="528">
        <v>9</v>
      </c>
      <c r="B27" s="529" t="s">
        <v>37</v>
      </c>
      <c r="C27" s="178" t="s">
        <v>26</v>
      </c>
      <c r="D27" s="462"/>
      <c r="E27" s="463"/>
      <c r="F27" s="464"/>
      <c r="G27" s="179"/>
      <c r="H27" s="179"/>
      <c r="I27" s="178">
        <v>2</v>
      </c>
      <c r="J27" s="180">
        <v>55000</v>
      </c>
      <c r="K27" s="181">
        <f t="shared" si="0"/>
        <v>110000</v>
      </c>
    </row>
    <row r="28" spans="1:11" x14ac:dyDescent="0.25">
      <c r="A28" s="529">
        <v>10</v>
      </c>
      <c r="B28" s="528" t="s">
        <v>38</v>
      </c>
      <c r="C28" s="178" t="s">
        <v>26</v>
      </c>
      <c r="D28" s="462"/>
      <c r="E28" s="463"/>
      <c r="F28" s="464"/>
      <c r="G28" s="179"/>
      <c r="H28" s="179"/>
      <c r="I28" s="178">
        <v>2</v>
      </c>
      <c r="J28" s="180">
        <v>55000</v>
      </c>
      <c r="K28" s="181">
        <f t="shared" si="0"/>
        <v>110000</v>
      </c>
    </row>
    <row r="29" spans="1:11" x14ac:dyDescent="0.25">
      <c r="A29" s="529">
        <v>11</v>
      </c>
      <c r="B29" s="529" t="s">
        <v>39</v>
      </c>
      <c r="C29" s="178" t="s">
        <v>26</v>
      </c>
      <c r="D29" s="462"/>
      <c r="E29" s="463"/>
      <c r="F29" s="464"/>
      <c r="G29" s="179"/>
      <c r="H29" s="179"/>
      <c r="I29" s="178">
        <v>1</v>
      </c>
      <c r="J29" s="180">
        <v>55000</v>
      </c>
      <c r="K29" s="181">
        <f t="shared" si="0"/>
        <v>55000</v>
      </c>
    </row>
    <row r="30" spans="1:11" x14ac:dyDescent="0.25">
      <c r="A30" s="528">
        <v>12</v>
      </c>
      <c r="B30" s="529" t="s">
        <v>40</v>
      </c>
      <c r="C30" s="178" t="s">
        <v>26</v>
      </c>
      <c r="D30" s="462"/>
      <c r="E30" s="463"/>
      <c r="F30" s="464"/>
      <c r="G30" s="179"/>
      <c r="H30" s="179"/>
      <c r="I30" s="178">
        <v>3</v>
      </c>
      <c r="J30" s="180">
        <v>55000</v>
      </c>
      <c r="K30" s="181">
        <f t="shared" si="0"/>
        <v>165000</v>
      </c>
    </row>
    <row r="31" spans="1:11" x14ac:dyDescent="0.25">
      <c r="A31" s="528">
        <v>13</v>
      </c>
      <c r="B31" s="528" t="s">
        <v>41</v>
      </c>
      <c r="C31" s="178" t="s">
        <v>26</v>
      </c>
      <c r="D31" s="462"/>
      <c r="E31" s="463"/>
      <c r="F31" s="464"/>
      <c r="G31" s="179"/>
      <c r="H31" s="179"/>
      <c r="I31" s="178">
        <v>10</v>
      </c>
      <c r="J31" s="180">
        <v>55000</v>
      </c>
      <c r="K31" s="181">
        <f t="shared" si="0"/>
        <v>550000</v>
      </c>
    </row>
    <row r="32" spans="1:11" x14ac:dyDescent="0.25">
      <c r="A32" s="529">
        <v>14</v>
      </c>
      <c r="B32" s="529" t="s">
        <v>42</v>
      </c>
      <c r="C32" s="178" t="s">
        <v>26</v>
      </c>
      <c r="D32" s="462"/>
      <c r="E32" s="463"/>
      <c r="F32" s="464"/>
      <c r="G32" s="179"/>
      <c r="H32" s="179"/>
      <c r="I32" s="178">
        <v>2</v>
      </c>
      <c r="J32" s="180">
        <v>55000</v>
      </c>
      <c r="K32" s="181">
        <f t="shared" si="0"/>
        <v>110000</v>
      </c>
    </row>
    <row r="33" spans="1:11" x14ac:dyDescent="0.25">
      <c r="A33" s="529">
        <v>15</v>
      </c>
      <c r="B33" s="529" t="s">
        <v>43</v>
      </c>
      <c r="C33" s="178" t="s">
        <v>26</v>
      </c>
      <c r="D33" s="462"/>
      <c r="E33" s="463"/>
      <c r="F33" s="464"/>
      <c r="G33" s="179"/>
      <c r="H33" s="179"/>
      <c r="I33" s="178">
        <v>10</v>
      </c>
      <c r="J33" s="180">
        <v>55000</v>
      </c>
      <c r="K33" s="181">
        <f t="shared" si="0"/>
        <v>550000</v>
      </c>
    </row>
    <row r="34" spans="1:11" x14ac:dyDescent="0.25">
      <c r="A34" s="528">
        <v>16</v>
      </c>
      <c r="B34" s="528" t="s">
        <v>44</v>
      </c>
      <c r="C34" s="178" t="s">
        <v>26</v>
      </c>
      <c r="D34" s="462"/>
      <c r="E34" s="463"/>
      <c r="F34" s="464"/>
      <c r="G34" s="179"/>
      <c r="H34" s="179"/>
      <c r="I34" s="178"/>
      <c r="J34" s="180">
        <v>55000</v>
      </c>
      <c r="K34" s="181">
        <f t="shared" si="0"/>
        <v>0</v>
      </c>
    </row>
    <row r="35" spans="1:11" x14ac:dyDescent="0.25">
      <c r="A35" s="528">
        <v>17</v>
      </c>
      <c r="B35" s="529" t="s">
        <v>45</v>
      </c>
      <c r="C35" s="178" t="s">
        <v>26</v>
      </c>
      <c r="D35" s="462"/>
      <c r="E35" s="463"/>
      <c r="F35" s="464"/>
      <c r="G35" s="179"/>
      <c r="H35" s="179"/>
      <c r="I35" s="178">
        <v>1</v>
      </c>
      <c r="J35" s="180">
        <v>55000</v>
      </c>
      <c r="K35" s="181">
        <f t="shared" si="0"/>
        <v>55000</v>
      </c>
    </row>
    <row r="36" spans="1:11" x14ac:dyDescent="0.25">
      <c r="A36" s="529">
        <v>18</v>
      </c>
      <c r="B36" s="529" t="s">
        <v>46</v>
      </c>
      <c r="C36" s="178" t="s">
        <v>26</v>
      </c>
      <c r="D36" s="462"/>
      <c r="E36" s="463"/>
      <c r="F36" s="464"/>
      <c r="G36" s="179"/>
      <c r="H36" s="179"/>
      <c r="I36" s="178"/>
      <c r="J36" s="180">
        <v>55000</v>
      </c>
      <c r="K36" s="181">
        <f t="shared" si="0"/>
        <v>0</v>
      </c>
    </row>
    <row r="37" spans="1:11" x14ac:dyDescent="0.25">
      <c r="A37" s="529">
        <v>19</v>
      </c>
      <c r="B37" s="528" t="s">
        <v>47</v>
      </c>
      <c r="C37" s="178" t="s">
        <v>26</v>
      </c>
      <c r="D37" s="462"/>
      <c r="E37" s="463"/>
      <c r="F37" s="464"/>
      <c r="G37" s="179"/>
      <c r="H37" s="179"/>
      <c r="I37" s="178">
        <v>1</v>
      </c>
      <c r="J37" s="180">
        <v>55000</v>
      </c>
      <c r="K37" s="181">
        <f t="shared" si="0"/>
        <v>55000</v>
      </c>
    </row>
    <row r="38" spans="1:11" x14ac:dyDescent="0.25">
      <c r="A38" s="528">
        <v>20</v>
      </c>
      <c r="B38" s="529" t="s">
        <v>48</v>
      </c>
      <c r="C38" s="178" t="s">
        <v>26</v>
      </c>
      <c r="D38" s="462"/>
      <c r="E38" s="678"/>
      <c r="F38" s="679"/>
      <c r="G38" s="179"/>
      <c r="H38" s="179"/>
      <c r="I38" s="178">
        <v>5</v>
      </c>
      <c r="J38" s="180">
        <v>55000</v>
      </c>
      <c r="K38" s="181">
        <f t="shared" si="0"/>
        <v>275000</v>
      </c>
    </row>
    <row r="39" spans="1:11" x14ac:dyDescent="0.25">
      <c r="A39" s="528">
        <v>21</v>
      </c>
      <c r="B39" s="529" t="s">
        <v>49</v>
      </c>
      <c r="C39" s="178" t="s">
        <v>26</v>
      </c>
      <c r="D39" s="462"/>
      <c r="E39" s="678"/>
      <c r="F39" s="679"/>
      <c r="G39" s="179"/>
      <c r="H39" s="179"/>
      <c r="I39" s="178"/>
      <c r="J39" s="180">
        <v>55000</v>
      </c>
      <c r="K39" s="181">
        <f t="shared" si="0"/>
        <v>0</v>
      </c>
    </row>
    <row r="40" spans="1:11" x14ac:dyDescent="0.25">
      <c r="A40" s="529">
        <v>22</v>
      </c>
      <c r="B40" s="528" t="s">
        <v>50</v>
      </c>
      <c r="C40" s="178" t="s">
        <v>26</v>
      </c>
      <c r="D40" s="462"/>
      <c r="E40" s="678"/>
      <c r="F40" s="679"/>
      <c r="G40" s="179"/>
      <c r="H40" s="179"/>
      <c r="I40" s="178"/>
      <c r="J40" s="180">
        <v>55000</v>
      </c>
      <c r="K40" s="181">
        <f t="shared" si="0"/>
        <v>0</v>
      </c>
    </row>
    <row r="41" spans="1:11" x14ac:dyDescent="0.25">
      <c r="A41" s="529">
        <v>23</v>
      </c>
      <c r="B41" s="529" t="s">
        <v>51</v>
      </c>
      <c r="C41" s="178" t="s">
        <v>26</v>
      </c>
      <c r="D41" s="462"/>
      <c r="E41" s="678"/>
      <c r="F41" s="679"/>
      <c r="G41" s="179"/>
      <c r="H41" s="179"/>
      <c r="I41" s="178"/>
      <c r="J41" s="180">
        <v>55000</v>
      </c>
      <c r="K41" s="181">
        <f t="shared" si="0"/>
        <v>0</v>
      </c>
    </row>
    <row r="42" spans="1:11" x14ac:dyDescent="0.25">
      <c r="A42" s="528">
        <v>24</v>
      </c>
      <c r="B42" s="529" t="s">
        <v>52</v>
      </c>
      <c r="C42" s="178" t="s">
        <v>26</v>
      </c>
      <c r="D42" s="462"/>
      <c r="E42" s="678"/>
      <c r="F42" s="679"/>
      <c r="G42" s="179"/>
      <c r="H42" s="179"/>
      <c r="I42" s="178">
        <v>1</v>
      </c>
      <c r="J42" s="180">
        <v>55000</v>
      </c>
      <c r="K42" s="181">
        <f t="shared" si="0"/>
        <v>55000</v>
      </c>
    </row>
    <row r="43" spans="1:11" x14ac:dyDescent="0.25">
      <c r="A43" s="528">
        <v>25</v>
      </c>
      <c r="B43" s="528" t="s">
        <v>53</v>
      </c>
      <c r="C43" s="178" t="s">
        <v>26</v>
      </c>
      <c r="D43" s="462"/>
      <c r="E43" s="678"/>
      <c r="F43" s="679"/>
      <c r="G43" s="179"/>
      <c r="H43" s="179"/>
      <c r="I43" s="178">
        <v>46</v>
      </c>
      <c r="J43" s="180">
        <v>55000</v>
      </c>
      <c r="K43" s="181">
        <f t="shared" si="0"/>
        <v>2530000</v>
      </c>
    </row>
    <row r="44" spans="1:11" x14ac:dyDescent="0.25">
      <c r="A44" s="529">
        <v>26</v>
      </c>
      <c r="B44" s="529" t="s">
        <v>54</v>
      </c>
      <c r="C44" s="178" t="s">
        <v>26</v>
      </c>
      <c r="D44" s="462"/>
      <c r="E44" s="678"/>
      <c r="F44" s="679"/>
      <c r="G44" s="179"/>
      <c r="H44" s="179"/>
      <c r="I44" s="178"/>
      <c r="J44" s="180">
        <v>55000</v>
      </c>
      <c r="K44" s="181">
        <f t="shared" si="0"/>
        <v>0</v>
      </c>
    </row>
    <row r="45" spans="1:11" x14ac:dyDescent="0.25">
      <c r="A45" s="529">
        <v>27</v>
      </c>
      <c r="B45" s="529" t="s">
        <v>55</v>
      </c>
      <c r="C45" s="178" t="s">
        <v>26</v>
      </c>
      <c r="D45" s="462"/>
      <c r="E45" s="678"/>
      <c r="F45" s="679"/>
      <c r="G45" s="179"/>
      <c r="H45" s="179"/>
      <c r="I45" s="178">
        <v>1</v>
      </c>
      <c r="J45" s="180">
        <v>55000</v>
      </c>
      <c r="K45" s="181">
        <f t="shared" si="0"/>
        <v>55000</v>
      </c>
    </row>
    <row r="46" spans="1:11" x14ac:dyDescent="0.25">
      <c r="A46" s="528">
        <v>28</v>
      </c>
      <c r="B46" s="528" t="s">
        <v>56</v>
      </c>
      <c r="C46" s="178" t="s">
        <v>26</v>
      </c>
      <c r="D46" s="462"/>
      <c r="E46" s="678"/>
      <c r="F46" s="679"/>
      <c r="G46" s="179"/>
      <c r="H46" s="179"/>
      <c r="I46" s="178">
        <v>2</v>
      </c>
      <c r="J46" s="180">
        <v>55000</v>
      </c>
      <c r="K46" s="181">
        <f t="shared" si="0"/>
        <v>110000</v>
      </c>
    </row>
    <row r="47" spans="1:11" x14ac:dyDescent="0.25">
      <c r="A47" s="528">
        <v>29</v>
      </c>
      <c r="B47" s="529" t="s">
        <v>57</v>
      </c>
      <c r="C47" s="178" t="s">
        <v>26</v>
      </c>
      <c r="D47" s="462"/>
      <c r="E47" s="680"/>
      <c r="F47" s="680"/>
      <c r="G47" s="680"/>
      <c r="H47" s="182"/>
      <c r="I47" s="178">
        <v>10</v>
      </c>
      <c r="J47" s="180">
        <v>55000</v>
      </c>
      <c r="K47" s="181">
        <f>IF((C47)&gt;0,SUM(J47*I47),"")</f>
        <v>550000</v>
      </c>
    </row>
    <row r="48" spans="1:11" x14ac:dyDescent="0.25">
      <c r="A48" s="529">
        <v>30</v>
      </c>
      <c r="B48" s="529" t="s">
        <v>58</v>
      </c>
      <c r="C48" s="178" t="s">
        <v>26</v>
      </c>
      <c r="D48" s="462"/>
      <c r="E48" s="680"/>
      <c r="F48" s="680"/>
      <c r="G48" s="680"/>
      <c r="H48" s="182"/>
      <c r="I48" s="178">
        <v>2</v>
      </c>
      <c r="J48" s="180">
        <v>55000</v>
      </c>
      <c r="K48" s="181">
        <f t="shared" ref="K48:K54" si="1">IF((C48)&gt;0,SUM(J48*I48),"")</f>
        <v>110000</v>
      </c>
    </row>
    <row r="49" spans="1:11" x14ac:dyDescent="0.25">
      <c r="A49" s="529">
        <v>31</v>
      </c>
      <c r="B49" s="528" t="s">
        <v>59</v>
      </c>
      <c r="C49" s="178" t="s">
        <v>26</v>
      </c>
      <c r="D49" s="462"/>
      <c r="E49" s="680"/>
      <c r="F49" s="680"/>
      <c r="G49" s="680"/>
      <c r="H49" s="182"/>
      <c r="I49" s="178">
        <v>8</v>
      </c>
      <c r="J49" s="180">
        <v>55000</v>
      </c>
      <c r="K49" s="181">
        <f t="shared" si="1"/>
        <v>440000</v>
      </c>
    </row>
    <row r="50" spans="1:11" x14ac:dyDescent="0.25">
      <c r="A50" s="528">
        <v>32</v>
      </c>
      <c r="B50" s="529" t="s">
        <v>60</v>
      </c>
      <c r="C50" s="178" t="s">
        <v>26</v>
      </c>
      <c r="D50" s="462"/>
      <c r="E50" s="681"/>
      <c r="F50" s="681"/>
      <c r="G50" s="681"/>
      <c r="H50" s="183"/>
      <c r="I50" s="178">
        <v>2</v>
      </c>
      <c r="J50" s="180">
        <v>55000</v>
      </c>
      <c r="K50" s="181">
        <f t="shared" si="1"/>
        <v>110000</v>
      </c>
    </row>
    <row r="51" spans="1:11" x14ac:dyDescent="0.25">
      <c r="A51" s="528">
        <v>33</v>
      </c>
      <c r="B51" s="529" t="s">
        <v>61</v>
      </c>
      <c r="C51" s="178" t="s">
        <v>26</v>
      </c>
      <c r="D51" s="462"/>
      <c r="E51" s="681"/>
      <c r="F51" s="681"/>
      <c r="G51" s="681"/>
      <c r="H51" s="183"/>
      <c r="I51" s="178">
        <v>8</v>
      </c>
      <c r="J51" s="180">
        <v>55000</v>
      </c>
      <c r="K51" s="181">
        <f t="shared" si="1"/>
        <v>440000</v>
      </c>
    </row>
    <row r="52" spans="1:11" x14ac:dyDescent="0.25">
      <c r="A52" s="529">
        <v>34</v>
      </c>
      <c r="B52" s="528" t="s">
        <v>62</v>
      </c>
      <c r="C52" s="178" t="s">
        <v>26</v>
      </c>
      <c r="D52" s="462"/>
      <c r="E52" s="681"/>
      <c r="F52" s="681"/>
      <c r="G52" s="681"/>
      <c r="H52" s="183"/>
      <c r="I52" s="178">
        <v>1</v>
      </c>
      <c r="J52" s="180">
        <v>55000</v>
      </c>
      <c r="K52" s="181">
        <f t="shared" si="1"/>
        <v>55000</v>
      </c>
    </row>
    <row r="53" spans="1:11" x14ac:dyDescent="0.25">
      <c r="A53" s="529">
        <v>35</v>
      </c>
      <c r="B53" s="529" t="s">
        <v>63</v>
      </c>
      <c r="C53" s="178" t="s">
        <v>26</v>
      </c>
      <c r="D53" s="462"/>
      <c r="E53" s="681"/>
      <c r="F53" s="681"/>
      <c r="G53" s="681"/>
      <c r="H53" s="183"/>
      <c r="I53" s="178"/>
      <c r="J53" s="180">
        <v>55000</v>
      </c>
      <c r="K53" s="181">
        <f t="shared" si="1"/>
        <v>0</v>
      </c>
    </row>
    <row r="54" spans="1:11" x14ac:dyDescent="0.25">
      <c r="A54" s="528">
        <v>36</v>
      </c>
      <c r="B54" s="529" t="s">
        <v>64</v>
      </c>
      <c r="C54" s="178" t="s">
        <v>26</v>
      </c>
      <c r="D54" s="462"/>
      <c r="E54" s="681"/>
      <c r="F54" s="681"/>
      <c r="G54" s="681"/>
      <c r="H54" s="183"/>
      <c r="I54" s="178"/>
      <c r="J54" s="180">
        <v>55000</v>
      </c>
      <c r="K54" s="181">
        <f t="shared" si="1"/>
        <v>0</v>
      </c>
    </row>
    <row r="55" spans="1:11" x14ac:dyDescent="0.25">
      <c r="A55" s="528">
        <v>37</v>
      </c>
      <c r="B55" s="528" t="s">
        <v>65</v>
      </c>
      <c r="C55" s="178" t="s">
        <v>26</v>
      </c>
      <c r="D55" s="462"/>
      <c r="E55" s="681"/>
      <c r="F55" s="681"/>
      <c r="G55" s="681"/>
      <c r="H55" s="183"/>
      <c r="I55" s="178"/>
      <c r="J55" s="180">
        <v>55000</v>
      </c>
      <c r="K55" s="181"/>
    </row>
    <row r="56" spans="1:11" ht="15.75" x14ac:dyDescent="0.25">
      <c r="A56" s="692"/>
      <c r="B56" s="693"/>
      <c r="C56" s="465"/>
      <c r="D56" s="465"/>
      <c r="E56" s="194"/>
      <c r="F56" s="194"/>
      <c r="G56" s="194"/>
      <c r="H56" s="194"/>
      <c r="I56" s="200"/>
      <c r="J56" s="492" t="s">
        <v>69</v>
      </c>
      <c r="K56" s="504">
        <f>SUM(K17:K55)</f>
        <v>7810000</v>
      </c>
    </row>
    <row r="57" spans="1:11" ht="15.75" x14ac:dyDescent="0.25">
      <c r="A57" s="483"/>
      <c r="B57" s="483"/>
      <c r="C57" s="465"/>
      <c r="E57" s="199"/>
      <c r="F57" s="199"/>
      <c r="G57" s="199"/>
      <c r="H57" s="199"/>
      <c r="I57" s="493"/>
      <c r="J57" s="466" t="s">
        <v>67</v>
      </c>
      <c r="K57" s="505">
        <v>20000</v>
      </c>
    </row>
    <row r="58" spans="1:11" ht="15.75" x14ac:dyDescent="0.25">
      <c r="B58" s="465"/>
      <c r="C58" s="465"/>
      <c r="E58" s="199"/>
      <c r="F58" s="199"/>
      <c r="G58" s="199"/>
      <c r="H58" s="199"/>
      <c r="I58" s="200"/>
      <c r="J58" s="494" t="s">
        <v>68</v>
      </c>
      <c r="K58" s="505">
        <f>(K56+K57)*5%</f>
        <v>391500</v>
      </c>
    </row>
    <row r="59" spans="1:11" ht="15.75" x14ac:dyDescent="0.25">
      <c r="B59" s="465"/>
      <c r="C59" s="465"/>
      <c r="E59" s="199"/>
      <c r="F59" s="199"/>
      <c r="G59" s="199"/>
      <c r="H59" s="199"/>
      <c r="I59" s="200"/>
      <c r="J59" s="495" t="s">
        <v>70</v>
      </c>
      <c r="K59" s="418">
        <f>K56+K57+K58</f>
        <v>8221500</v>
      </c>
    </row>
    <row r="60" spans="1:11" ht="15.75" x14ac:dyDescent="0.25">
      <c r="A60" s="484"/>
      <c r="B60" s="467"/>
      <c r="C60" s="467"/>
      <c r="D60" s="468"/>
      <c r="E60" s="469"/>
      <c r="F60" s="469"/>
      <c r="G60" s="469"/>
      <c r="H60" s="469"/>
      <c r="I60" s="470"/>
      <c r="J60" s="471"/>
      <c r="K60" s="472"/>
    </row>
    <row r="61" spans="1:11" ht="15.75" x14ac:dyDescent="0.25">
      <c r="A61" s="485" t="s">
        <v>76</v>
      </c>
      <c r="B61" s="467"/>
      <c r="C61" s="467"/>
      <c r="D61" s="468"/>
      <c r="E61" s="469"/>
      <c r="F61" s="469"/>
      <c r="G61" s="469"/>
      <c r="H61" s="469"/>
      <c r="I61" s="470"/>
      <c r="J61" s="471"/>
      <c r="K61" s="472"/>
    </row>
    <row r="62" spans="1:11" ht="16.5" thickBot="1" x14ac:dyDescent="0.3">
      <c r="A62" s="484"/>
      <c r="B62" s="467"/>
      <c r="C62" s="467"/>
      <c r="D62" s="468"/>
      <c r="E62" s="469"/>
      <c r="F62" s="469"/>
      <c r="G62" s="469"/>
      <c r="H62" s="469"/>
      <c r="I62" s="470"/>
      <c r="J62" s="471"/>
      <c r="K62" s="472"/>
    </row>
    <row r="63" spans="1:11" x14ac:dyDescent="0.25">
      <c r="A63" s="683" t="s">
        <v>23</v>
      </c>
      <c r="B63" s="684"/>
      <c r="C63" s="684"/>
      <c r="D63" s="684"/>
      <c r="E63" s="684"/>
      <c r="F63" s="684"/>
      <c r="G63" s="684"/>
      <c r="H63" s="684"/>
      <c r="I63" s="684"/>
      <c r="J63" s="684"/>
      <c r="K63" s="685"/>
    </row>
    <row r="64" spans="1:11" ht="15.75" thickBot="1" x14ac:dyDescent="0.3">
      <c r="A64" s="689"/>
      <c r="B64" s="690"/>
      <c r="C64" s="690"/>
      <c r="D64" s="690"/>
      <c r="E64" s="690"/>
      <c r="F64" s="690"/>
      <c r="G64" s="690"/>
      <c r="H64" s="690"/>
      <c r="I64" s="690"/>
      <c r="J64" s="690"/>
      <c r="K64" s="691"/>
    </row>
  </sheetData>
  <mergeCells count="30">
    <mergeCell ref="A16:E16"/>
    <mergeCell ref="G16:H16"/>
    <mergeCell ref="E18:G18"/>
    <mergeCell ref="E19:F19"/>
    <mergeCell ref="E38:F38"/>
    <mergeCell ref="E51:G51"/>
    <mergeCell ref="E40:F40"/>
    <mergeCell ref="E41:F41"/>
    <mergeCell ref="E48:G48"/>
    <mergeCell ref="E49:G49"/>
    <mergeCell ref="E45:F45"/>
    <mergeCell ref="E46:F46"/>
    <mergeCell ref="E53:G53"/>
    <mergeCell ref="E54:G54"/>
    <mergeCell ref="E1:K1"/>
    <mergeCell ref="D13:E13"/>
    <mergeCell ref="F13:G13"/>
    <mergeCell ref="A14:K14"/>
    <mergeCell ref="A15:E15"/>
    <mergeCell ref="G15:H15"/>
    <mergeCell ref="E55:G55"/>
    <mergeCell ref="E47:G47"/>
    <mergeCell ref="E50:G50"/>
    <mergeCell ref="E52:G52"/>
    <mergeCell ref="A63:K64"/>
    <mergeCell ref="E39:F39"/>
    <mergeCell ref="A56:B56"/>
    <mergeCell ref="E42:F42"/>
    <mergeCell ref="E43:F43"/>
    <mergeCell ref="E44:F44"/>
  </mergeCells>
  <hyperlinks>
    <hyperlink ref="D12" r:id="rId1" display="enquiries@entbankng.com; "/>
  </hyperlinks>
  <pageMargins left="0.7" right="0.7" top="0.75" bottom="0.75" header="0.3" footer="0.3"/>
  <pageSetup scale="64" orientation="portrait" horizontalDpi="300" verticalDpi="300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4"/>
  <sheetViews>
    <sheetView view="pageBreakPreview" topLeftCell="A4" zoomScale="78" zoomScaleNormal="100" zoomScaleSheetLayoutView="78" workbookViewId="0">
      <selection activeCell="F14" sqref="F14:G14"/>
    </sheetView>
  </sheetViews>
  <sheetFormatPr defaultRowHeight="15" x14ac:dyDescent="0.25"/>
  <cols>
    <col min="1" max="1" width="9.140625" style="419"/>
    <col min="2" max="2" width="14.28515625" style="419" customWidth="1"/>
    <col min="3" max="3" width="19.85546875" customWidth="1"/>
    <col min="4" max="4" width="12.5703125" customWidth="1"/>
    <col min="8" max="8" width="14.42578125" customWidth="1"/>
    <col min="9" max="9" width="9.140625" style="380"/>
    <col min="10" max="10" width="15.7109375" customWidth="1"/>
    <col min="11" max="11" width="25.42578125" customWidth="1"/>
  </cols>
  <sheetData>
    <row r="1" spans="1:11" ht="46.5" x14ac:dyDescent="0.55000000000000004">
      <c r="A1" s="496"/>
      <c r="B1" s="448"/>
      <c r="C1" s="2"/>
      <c r="D1" s="2"/>
      <c r="E1" s="712" t="s">
        <v>0</v>
      </c>
      <c r="F1" s="712"/>
      <c r="G1" s="712"/>
      <c r="H1" s="712"/>
      <c r="I1" s="712"/>
      <c r="J1" s="712"/>
      <c r="K1" s="713"/>
    </row>
    <row r="2" spans="1:11" ht="17.25" x14ac:dyDescent="0.3">
      <c r="A2" s="3"/>
      <c r="B2" s="4"/>
      <c r="C2" s="4"/>
      <c r="D2" s="4"/>
      <c r="E2" s="5"/>
      <c r="F2" s="5"/>
      <c r="G2" s="6"/>
      <c r="H2" s="6"/>
      <c r="I2" s="372"/>
      <c r="J2" s="7"/>
      <c r="K2" s="8"/>
    </row>
    <row r="3" spans="1:11" ht="20.25" x14ac:dyDescent="0.3">
      <c r="A3" s="497"/>
      <c r="B3" s="443"/>
      <c r="C3" s="10"/>
      <c r="D3" s="10"/>
      <c r="E3" s="11"/>
      <c r="F3" s="12"/>
      <c r="G3" s="12"/>
      <c r="H3" s="12"/>
      <c r="I3" s="373"/>
      <c r="J3" s="13"/>
      <c r="K3" s="14"/>
    </row>
    <row r="4" spans="1:11" x14ac:dyDescent="0.25">
      <c r="A4" s="497"/>
      <c r="B4" s="443"/>
      <c r="C4" s="15"/>
      <c r="D4" s="15"/>
      <c r="E4" s="16"/>
      <c r="F4" s="15"/>
      <c r="G4" s="15"/>
      <c r="H4" s="15"/>
      <c r="I4" s="374"/>
      <c r="J4" s="17"/>
      <c r="K4" s="18"/>
    </row>
    <row r="5" spans="1:11" ht="15.75" x14ac:dyDescent="0.3">
      <c r="A5" s="498"/>
      <c r="B5" s="444"/>
      <c r="C5" s="15"/>
      <c r="D5" s="20"/>
      <c r="E5" s="21"/>
      <c r="F5" s="20"/>
      <c r="G5" s="22"/>
      <c r="H5" s="22"/>
      <c r="I5" s="374"/>
      <c r="J5" s="17"/>
      <c r="K5" s="18"/>
    </row>
    <row r="6" spans="1:11" ht="15.75" x14ac:dyDescent="0.3">
      <c r="A6" s="499"/>
      <c r="B6" s="445"/>
      <c r="C6" s="24"/>
      <c r="D6" s="24"/>
      <c r="E6" s="22"/>
      <c r="F6" s="22"/>
      <c r="G6" s="22"/>
      <c r="H6" s="22"/>
      <c r="I6" s="374"/>
      <c r="J6" s="17"/>
      <c r="K6" s="25">
        <f ca="1">TODAY()</f>
        <v>41556</v>
      </c>
    </row>
    <row r="7" spans="1:11" ht="16.5" x14ac:dyDescent="0.3">
      <c r="A7" s="499"/>
      <c r="B7" s="445"/>
      <c r="C7" s="24"/>
      <c r="D7" s="24"/>
      <c r="E7" s="20"/>
      <c r="F7" s="22"/>
      <c r="G7" s="26"/>
      <c r="H7" s="26"/>
      <c r="I7" s="336"/>
      <c r="J7" s="27"/>
      <c r="K7" s="28" t="s">
        <v>3</v>
      </c>
    </row>
    <row r="8" spans="1:11" x14ac:dyDescent="0.25">
      <c r="A8" s="29"/>
      <c r="B8" s="80"/>
      <c r="C8" s="30" t="s">
        <v>71</v>
      </c>
      <c r="D8" s="31" t="s">
        <v>72</v>
      </c>
      <c r="E8" s="32"/>
      <c r="F8" s="31"/>
      <c r="G8" s="32"/>
      <c r="H8" s="32"/>
      <c r="I8" s="333"/>
      <c r="J8" s="33"/>
      <c r="K8" s="34"/>
    </row>
    <row r="9" spans="1:11" x14ac:dyDescent="0.25">
      <c r="A9" s="35"/>
      <c r="B9" s="36"/>
      <c r="C9" s="37" t="s">
        <v>4</v>
      </c>
      <c r="D9" s="38"/>
      <c r="E9" s="39"/>
      <c r="F9" s="38"/>
      <c r="G9" s="39"/>
      <c r="H9" s="39"/>
      <c r="I9" s="328"/>
      <c r="J9" s="40"/>
      <c r="K9" s="41"/>
    </row>
    <row r="10" spans="1:11" x14ac:dyDescent="0.25">
      <c r="A10" s="35"/>
      <c r="B10" s="36"/>
      <c r="C10" s="37" t="s">
        <v>12</v>
      </c>
      <c r="D10" s="44"/>
      <c r="E10" s="45"/>
      <c r="F10" s="44"/>
      <c r="G10" s="45"/>
      <c r="H10" s="45"/>
      <c r="I10" s="328"/>
      <c r="J10" s="40"/>
      <c r="K10" s="41"/>
    </row>
    <row r="11" spans="1:11" x14ac:dyDescent="0.25">
      <c r="A11" s="35"/>
      <c r="B11" s="36"/>
      <c r="C11" s="37" t="s">
        <v>13</v>
      </c>
      <c r="D11" s="46" t="s">
        <v>14</v>
      </c>
      <c r="E11" s="45"/>
      <c r="F11" s="46"/>
      <c r="G11" s="45"/>
      <c r="H11" s="45"/>
      <c r="I11" s="328"/>
      <c r="J11" s="40"/>
      <c r="K11" s="41"/>
    </row>
    <row r="12" spans="1:11" ht="15.75" x14ac:dyDescent="0.3">
      <c r="A12" s="500"/>
      <c r="B12" s="446"/>
      <c r="C12" s="48" t="s">
        <v>5</v>
      </c>
      <c r="D12" s="44"/>
      <c r="E12" s="45"/>
      <c r="F12" s="44"/>
      <c r="G12" s="45"/>
      <c r="H12" s="45"/>
      <c r="I12" s="328"/>
      <c r="J12" s="40"/>
      <c r="K12" s="41"/>
    </row>
    <row r="13" spans="1:11" ht="15.75" x14ac:dyDescent="0.3">
      <c r="A13" s="500"/>
      <c r="B13" s="446"/>
      <c r="C13" s="48" t="s">
        <v>15</v>
      </c>
      <c r="D13" s="49"/>
      <c r="E13" s="45"/>
      <c r="F13" s="49"/>
      <c r="G13" s="45"/>
      <c r="H13" s="45"/>
      <c r="I13" s="328"/>
      <c r="J13" s="40"/>
      <c r="K13" s="41"/>
    </row>
    <row r="14" spans="1:11" ht="15.75" x14ac:dyDescent="0.3">
      <c r="A14" s="501"/>
      <c r="B14" s="446"/>
      <c r="C14" s="74" t="s">
        <v>6</v>
      </c>
      <c r="D14" s="714"/>
      <c r="E14" s="714"/>
      <c r="F14" s="714"/>
      <c r="G14" s="714"/>
      <c r="H14" s="86"/>
      <c r="I14" s="375"/>
      <c r="J14" s="51"/>
      <c r="K14" s="51"/>
    </row>
    <row r="15" spans="1:11" ht="15.75" x14ac:dyDescent="0.3">
      <c r="A15" s="715"/>
      <c r="B15" s="716"/>
      <c r="C15" s="716"/>
      <c r="D15" s="716"/>
      <c r="E15" s="716"/>
      <c r="F15" s="716"/>
      <c r="G15" s="716"/>
      <c r="H15" s="716"/>
      <c r="I15" s="716"/>
      <c r="J15" s="716"/>
      <c r="K15" s="717"/>
    </row>
    <row r="16" spans="1:11" x14ac:dyDescent="0.25">
      <c r="A16" s="718" t="s">
        <v>7</v>
      </c>
      <c r="B16" s="719"/>
      <c r="C16" s="719"/>
      <c r="D16" s="719"/>
      <c r="E16" s="720"/>
      <c r="F16" s="52" t="s">
        <v>16</v>
      </c>
      <c r="G16" s="721" t="s">
        <v>17</v>
      </c>
      <c r="H16" s="719"/>
      <c r="I16" s="376"/>
      <c r="J16" s="87"/>
      <c r="K16" s="53" t="s">
        <v>8</v>
      </c>
    </row>
    <row r="17" spans="1:11" ht="15.75" x14ac:dyDescent="0.3">
      <c r="A17" s="722" t="s">
        <v>24</v>
      </c>
      <c r="B17" s="723"/>
      <c r="C17" s="723"/>
      <c r="D17" s="723"/>
      <c r="E17" s="724"/>
      <c r="F17" s="54"/>
      <c r="G17" s="725"/>
      <c r="H17" s="726"/>
      <c r="I17" s="377"/>
      <c r="J17" s="88"/>
      <c r="K17" s="55" t="s">
        <v>9</v>
      </c>
    </row>
    <row r="18" spans="1:11" ht="15.75" x14ac:dyDescent="0.3">
      <c r="A18" s="56"/>
      <c r="B18" s="57"/>
      <c r="C18" s="57"/>
      <c r="D18" s="57"/>
      <c r="E18" s="58"/>
      <c r="F18" s="59"/>
      <c r="G18" s="59"/>
      <c r="H18" s="59"/>
      <c r="I18" s="378"/>
      <c r="J18" s="60"/>
      <c r="K18" s="61"/>
    </row>
    <row r="19" spans="1:11" x14ac:dyDescent="0.25">
      <c r="A19" s="62" t="s">
        <v>18</v>
      </c>
      <c r="B19" s="62" t="s">
        <v>27</v>
      </c>
      <c r="C19" s="62" t="s">
        <v>19</v>
      </c>
      <c r="D19" s="62" t="s">
        <v>20</v>
      </c>
      <c r="E19" s="711" t="s">
        <v>21</v>
      </c>
      <c r="F19" s="711"/>
      <c r="G19" s="711"/>
      <c r="H19" s="89" t="s">
        <v>10</v>
      </c>
      <c r="I19" s="165" t="s">
        <v>25</v>
      </c>
      <c r="J19" s="52" t="s">
        <v>28</v>
      </c>
      <c r="K19" s="52" t="s">
        <v>22</v>
      </c>
    </row>
    <row r="20" spans="1:11" ht="15.75" x14ac:dyDescent="0.3">
      <c r="A20" s="532">
        <v>1</v>
      </c>
      <c r="B20" s="532" t="s">
        <v>29</v>
      </c>
      <c r="C20" s="82" t="s">
        <v>26</v>
      </c>
      <c r="D20" s="83"/>
      <c r="E20" s="699"/>
      <c r="F20" s="700"/>
      <c r="G20" s="701"/>
      <c r="H20" s="91"/>
      <c r="I20" s="82">
        <v>4</v>
      </c>
      <c r="J20" s="84">
        <v>55000</v>
      </c>
      <c r="K20" s="75">
        <f>IF((C20)&gt;0,SUM(J20*I20),"")</f>
        <v>220000</v>
      </c>
    </row>
    <row r="21" spans="1:11" ht="15.75" x14ac:dyDescent="0.3">
      <c r="A21" s="533">
        <v>2</v>
      </c>
      <c r="B21" s="533" t="s">
        <v>30</v>
      </c>
      <c r="C21" s="82" t="s">
        <v>26</v>
      </c>
      <c r="D21" s="83"/>
      <c r="E21" s="699"/>
      <c r="F21" s="700"/>
      <c r="G21" s="701"/>
      <c r="H21" s="91"/>
      <c r="I21" s="82">
        <v>2</v>
      </c>
      <c r="J21" s="84">
        <v>55000</v>
      </c>
      <c r="K21" s="75">
        <f t="shared" ref="K21:K47" si="0">IF((C21)&gt;0,SUM(J21*I21),"")</f>
        <v>110000</v>
      </c>
    </row>
    <row r="22" spans="1:11" ht="15.75" x14ac:dyDescent="0.3">
      <c r="A22" s="533">
        <v>3</v>
      </c>
      <c r="B22" s="533" t="s">
        <v>31</v>
      </c>
      <c r="C22" s="82" t="s">
        <v>26</v>
      </c>
      <c r="D22" s="83"/>
      <c r="E22" s="699"/>
      <c r="F22" s="700"/>
      <c r="G22" s="701"/>
      <c r="H22" s="91"/>
      <c r="I22" s="82">
        <v>3</v>
      </c>
      <c r="J22" s="84">
        <v>55000</v>
      </c>
      <c r="K22" s="75">
        <f t="shared" si="0"/>
        <v>165000</v>
      </c>
    </row>
    <row r="23" spans="1:11" ht="15.75" x14ac:dyDescent="0.3">
      <c r="A23" s="532">
        <v>4</v>
      </c>
      <c r="B23" s="532" t="s">
        <v>32</v>
      </c>
      <c r="C23" s="82" t="s">
        <v>26</v>
      </c>
      <c r="D23" s="83"/>
      <c r="E23" s="699"/>
      <c r="F23" s="700"/>
      <c r="G23" s="701"/>
      <c r="H23" s="91"/>
      <c r="I23" s="82">
        <v>3</v>
      </c>
      <c r="J23" s="84">
        <v>55000</v>
      </c>
      <c r="K23" s="75">
        <f t="shared" si="0"/>
        <v>165000</v>
      </c>
    </row>
    <row r="24" spans="1:11" ht="15.75" x14ac:dyDescent="0.3">
      <c r="A24" s="532">
        <v>5</v>
      </c>
      <c r="B24" s="533" t="s">
        <v>33</v>
      </c>
      <c r="C24" s="82" t="s">
        <v>26</v>
      </c>
      <c r="D24" s="83"/>
      <c r="E24" s="699"/>
      <c r="F24" s="700"/>
      <c r="G24" s="701"/>
      <c r="H24" s="91"/>
      <c r="I24" s="82">
        <v>2</v>
      </c>
      <c r="J24" s="84">
        <v>55000</v>
      </c>
      <c r="K24" s="75">
        <f t="shared" si="0"/>
        <v>110000</v>
      </c>
    </row>
    <row r="25" spans="1:11" ht="15.75" x14ac:dyDescent="0.3">
      <c r="A25" s="532">
        <v>6</v>
      </c>
      <c r="B25" s="533" t="s">
        <v>34</v>
      </c>
      <c r="C25" s="82" t="s">
        <v>26</v>
      </c>
      <c r="D25" s="83"/>
      <c r="E25" s="699"/>
      <c r="F25" s="700"/>
      <c r="G25" s="701"/>
      <c r="H25" s="91"/>
      <c r="I25" s="82">
        <v>1</v>
      </c>
      <c r="J25" s="84">
        <v>55000</v>
      </c>
      <c r="K25" s="75">
        <f t="shared" si="0"/>
        <v>55000</v>
      </c>
    </row>
    <row r="26" spans="1:11" ht="15.75" x14ac:dyDescent="0.3">
      <c r="A26" s="533">
        <v>7</v>
      </c>
      <c r="B26" s="532" t="s">
        <v>35</v>
      </c>
      <c r="C26" s="82" t="s">
        <v>26</v>
      </c>
      <c r="D26" s="83"/>
      <c r="E26" s="699"/>
      <c r="F26" s="700"/>
      <c r="G26" s="701"/>
      <c r="H26" s="91"/>
      <c r="I26" s="82"/>
      <c r="J26" s="84">
        <v>55000</v>
      </c>
      <c r="K26" s="75">
        <f t="shared" si="0"/>
        <v>0</v>
      </c>
    </row>
    <row r="27" spans="1:11" ht="15.75" x14ac:dyDescent="0.3">
      <c r="A27" s="533">
        <v>8</v>
      </c>
      <c r="B27" s="533" t="s">
        <v>36</v>
      </c>
      <c r="C27" s="82" t="s">
        <v>26</v>
      </c>
      <c r="D27" s="83"/>
      <c r="E27" s="699"/>
      <c r="F27" s="700"/>
      <c r="G27" s="701"/>
      <c r="H27" s="91"/>
      <c r="I27" s="82">
        <v>1</v>
      </c>
      <c r="J27" s="84">
        <v>55000</v>
      </c>
      <c r="K27" s="75">
        <f t="shared" si="0"/>
        <v>55000</v>
      </c>
    </row>
    <row r="28" spans="1:11" ht="15.75" x14ac:dyDescent="0.3">
      <c r="A28" s="532">
        <v>9</v>
      </c>
      <c r="B28" s="533" t="s">
        <v>37</v>
      </c>
      <c r="C28" s="82" t="s">
        <v>26</v>
      </c>
      <c r="D28" s="83"/>
      <c r="E28" s="699"/>
      <c r="F28" s="700"/>
      <c r="G28" s="701"/>
      <c r="H28" s="91"/>
      <c r="I28" s="82">
        <v>1</v>
      </c>
      <c r="J28" s="84">
        <v>55000</v>
      </c>
      <c r="K28" s="75">
        <f t="shared" si="0"/>
        <v>55000</v>
      </c>
    </row>
    <row r="29" spans="1:11" ht="15.75" x14ac:dyDescent="0.3">
      <c r="A29" s="533">
        <v>10</v>
      </c>
      <c r="B29" s="532" t="s">
        <v>38</v>
      </c>
      <c r="C29" s="82" t="s">
        <v>26</v>
      </c>
      <c r="D29" s="83"/>
      <c r="E29" s="699"/>
      <c r="F29" s="700"/>
      <c r="G29" s="701"/>
      <c r="H29" s="91"/>
      <c r="I29" s="82">
        <v>4</v>
      </c>
      <c r="J29" s="84">
        <v>55000</v>
      </c>
      <c r="K29" s="75">
        <f t="shared" si="0"/>
        <v>220000</v>
      </c>
    </row>
    <row r="30" spans="1:11" ht="15.75" x14ac:dyDescent="0.3">
      <c r="A30" s="533">
        <v>11</v>
      </c>
      <c r="B30" s="533" t="s">
        <v>39</v>
      </c>
      <c r="C30" s="82" t="s">
        <v>26</v>
      </c>
      <c r="D30" s="83"/>
      <c r="E30" s="699"/>
      <c r="F30" s="700"/>
      <c r="G30" s="701"/>
      <c r="H30" s="91"/>
      <c r="I30" s="82"/>
      <c r="J30" s="84">
        <v>55000</v>
      </c>
      <c r="K30" s="75">
        <f t="shared" si="0"/>
        <v>0</v>
      </c>
    </row>
    <row r="31" spans="1:11" ht="15.75" x14ac:dyDescent="0.3">
      <c r="A31" s="532">
        <v>12</v>
      </c>
      <c r="B31" s="533" t="s">
        <v>40</v>
      </c>
      <c r="C31" s="82" t="s">
        <v>26</v>
      </c>
      <c r="D31" s="83"/>
      <c r="E31" s="699"/>
      <c r="F31" s="700"/>
      <c r="G31" s="701"/>
      <c r="H31" s="91"/>
      <c r="I31" s="82">
        <v>2</v>
      </c>
      <c r="J31" s="84">
        <v>55000</v>
      </c>
      <c r="K31" s="75">
        <f t="shared" si="0"/>
        <v>110000</v>
      </c>
    </row>
    <row r="32" spans="1:11" ht="15.75" x14ac:dyDescent="0.3">
      <c r="A32" s="532">
        <v>13</v>
      </c>
      <c r="B32" s="532" t="s">
        <v>41</v>
      </c>
      <c r="C32" s="82" t="s">
        <v>26</v>
      </c>
      <c r="D32" s="83"/>
      <c r="E32" s="699"/>
      <c r="F32" s="700"/>
      <c r="G32" s="701"/>
      <c r="H32" s="91"/>
      <c r="I32" s="82"/>
      <c r="J32" s="84">
        <v>55000</v>
      </c>
      <c r="K32" s="75">
        <f t="shared" si="0"/>
        <v>0</v>
      </c>
    </row>
    <row r="33" spans="1:11" ht="15.75" x14ac:dyDescent="0.3">
      <c r="A33" s="533">
        <v>14</v>
      </c>
      <c r="B33" s="533" t="s">
        <v>42</v>
      </c>
      <c r="C33" s="82" t="s">
        <v>26</v>
      </c>
      <c r="D33" s="83"/>
      <c r="E33" s="699"/>
      <c r="F33" s="700"/>
      <c r="G33" s="701"/>
      <c r="H33" s="91"/>
      <c r="I33" s="82">
        <v>3</v>
      </c>
      <c r="J33" s="84">
        <v>55000</v>
      </c>
      <c r="K33" s="75">
        <f t="shared" si="0"/>
        <v>165000</v>
      </c>
    </row>
    <row r="34" spans="1:11" ht="15.75" x14ac:dyDescent="0.3">
      <c r="A34" s="533">
        <v>15</v>
      </c>
      <c r="B34" s="533" t="s">
        <v>43</v>
      </c>
      <c r="C34" s="82" t="s">
        <v>26</v>
      </c>
      <c r="D34" s="83"/>
      <c r="E34" s="699"/>
      <c r="F34" s="700"/>
      <c r="G34" s="701"/>
      <c r="H34" s="91"/>
      <c r="I34" s="82">
        <v>17</v>
      </c>
      <c r="J34" s="84">
        <v>55000</v>
      </c>
      <c r="K34" s="75">
        <f t="shared" si="0"/>
        <v>935000</v>
      </c>
    </row>
    <row r="35" spans="1:11" ht="15.75" x14ac:dyDescent="0.3">
      <c r="A35" s="532">
        <v>16</v>
      </c>
      <c r="B35" s="532" t="s">
        <v>44</v>
      </c>
      <c r="C35" s="82" t="s">
        <v>26</v>
      </c>
      <c r="D35" s="83"/>
      <c r="E35" s="699"/>
      <c r="F35" s="700"/>
      <c r="G35" s="701"/>
      <c r="H35" s="91"/>
      <c r="I35" s="82">
        <v>2</v>
      </c>
      <c r="J35" s="84">
        <v>55000</v>
      </c>
      <c r="K35" s="75">
        <f t="shared" si="0"/>
        <v>110000</v>
      </c>
    </row>
    <row r="36" spans="1:11" ht="15.75" x14ac:dyDescent="0.3">
      <c r="A36" s="532">
        <v>17</v>
      </c>
      <c r="B36" s="533" t="s">
        <v>45</v>
      </c>
      <c r="C36" s="82" t="s">
        <v>26</v>
      </c>
      <c r="D36" s="83"/>
      <c r="E36" s="699"/>
      <c r="F36" s="700"/>
      <c r="G36" s="701"/>
      <c r="H36" s="91"/>
      <c r="I36" s="82">
        <v>4</v>
      </c>
      <c r="J36" s="84">
        <v>55000</v>
      </c>
      <c r="K36" s="75">
        <f t="shared" si="0"/>
        <v>220000</v>
      </c>
    </row>
    <row r="37" spans="1:11" ht="15.75" x14ac:dyDescent="0.3">
      <c r="A37" s="533">
        <v>18</v>
      </c>
      <c r="B37" s="533" t="s">
        <v>46</v>
      </c>
      <c r="C37" s="82" t="s">
        <v>26</v>
      </c>
      <c r="D37" s="83"/>
      <c r="E37" s="699"/>
      <c r="F37" s="700"/>
      <c r="G37" s="701"/>
      <c r="H37" s="91"/>
      <c r="I37" s="82">
        <v>1</v>
      </c>
      <c r="J37" s="84">
        <v>55000</v>
      </c>
      <c r="K37" s="75">
        <f t="shared" si="0"/>
        <v>55000</v>
      </c>
    </row>
    <row r="38" spans="1:11" ht="15.75" x14ac:dyDescent="0.3">
      <c r="A38" s="533">
        <v>19</v>
      </c>
      <c r="B38" s="532" t="s">
        <v>47</v>
      </c>
      <c r="C38" s="82" t="s">
        <v>26</v>
      </c>
      <c r="D38" s="83"/>
      <c r="E38" s="699"/>
      <c r="F38" s="700"/>
      <c r="G38" s="701"/>
      <c r="H38" s="91"/>
      <c r="I38" s="82">
        <v>9</v>
      </c>
      <c r="J38" s="84">
        <v>55000</v>
      </c>
      <c r="K38" s="75">
        <f t="shared" si="0"/>
        <v>495000</v>
      </c>
    </row>
    <row r="39" spans="1:11" ht="15.75" x14ac:dyDescent="0.3">
      <c r="A39" s="532">
        <v>20</v>
      </c>
      <c r="B39" s="533" t="s">
        <v>48</v>
      </c>
      <c r="C39" s="82" t="s">
        <v>26</v>
      </c>
      <c r="D39" s="83"/>
      <c r="E39" s="699"/>
      <c r="F39" s="700"/>
      <c r="G39" s="701"/>
      <c r="H39" s="91"/>
      <c r="I39" s="82">
        <v>4</v>
      </c>
      <c r="J39" s="84">
        <v>55000</v>
      </c>
      <c r="K39" s="75">
        <f t="shared" si="0"/>
        <v>220000</v>
      </c>
    </row>
    <row r="40" spans="1:11" ht="15.75" x14ac:dyDescent="0.3">
      <c r="A40" s="532">
        <v>21</v>
      </c>
      <c r="B40" s="533" t="s">
        <v>49</v>
      </c>
      <c r="C40" s="82" t="s">
        <v>26</v>
      </c>
      <c r="D40" s="83"/>
      <c r="E40" s="699"/>
      <c r="F40" s="700"/>
      <c r="G40" s="701"/>
      <c r="H40" s="91"/>
      <c r="I40" s="82">
        <v>1</v>
      </c>
      <c r="J40" s="84">
        <v>55000</v>
      </c>
      <c r="K40" s="75">
        <f t="shared" si="0"/>
        <v>55000</v>
      </c>
    </row>
    <row r="41" spans="1:11" ht="15.75" x14ac:dyDescent="0.3">
      <c r="A41" s="533">
        <v>22</v>
      </c>
      <c r="B41" s="532" t="s">
        <v>50</v>
      </c>
      <c r="C41" s="82" t="s">
        <v>26</v>
      </c>
      <c r="D41" s="83"/>
      <c r="E41" s="699"/>
      <c r="F41" s="700"/>
      <c r="G41" s="701"/>
      <c r="H41" s="91"/>
      <c r="I41" s="82">
        <v>1</v>
      </c>
      <c r="J41" s="84">
        <v>55000</v>
      </c>
      <c r="K41" s="75">
        <f t="shared" si="0"/>
        <v>55000</v>
      </c>
    </row>
    <row r="42" spans="1:11" ht="15.75" x14ac:dyDescent="0.3">
      <c r="A42" s="533">
        <v>23</v>
      </c>
      <c r="B42" s="533" t="s">
        <v>51</v>
      </c>
      <c r="C42" s="82" t="s">
        <v>26</v>
      </c>
      <c r="D42" s="83"/>
      <c r="E42" s="699"/>
      <c r="F42" s="700"/>
      <c r="G42" s="701"/>
      <c r="H42" s="91"/>
      <c r="I42" s="82">
        <v>2</v>
      </c>
      <c r="J42" s="84">
        <v>55000</v>
      </c>
      <c r="K42" s="75">
        <f t="shared" si="0"/>
        <v>110000</v>
      </c>
    </row>
    <row r="43" spans="1:11" ht="15.75" x14ac:dyDescent="0.3">
      <c r="A43" s="532">
        <v>24</v>
      </c>
      <c r="B43" s="533" t="s">
        <v>52</v>
      </c>
      <c r="C43" s="82" t="s">
        <v>26</v>
      </c>
      <c r="D43" s="83"/>
      <c r="E43" s="699"/>
      <c r="F43" s="700"/>
      <c r="G43" s="701"/>
      <c r="H43" s="91"/>
      <c r="I43" s="82">
        <v>3</v>
      </c>
      <c r="J43" s="84">
        <v>55000</v>
      </c>
      <c r="K43" s="75">
        <f t="shared" si="0"/>
        <v>165000</v>
      </c>
    </row>
    <row r="44" spans="1:11" ht="15.75" x14ac:dyDescent="0.3">
      <c r="A44" s="532">
        <v>25</v>
      </c>
      <c r="B44" s="532" t="s">
        <v>53</v>
      </c>
      <c r="C44" s="82" t="s">
        <v>26</v>
      </c>
      <c r="D44" s="83"/>
      <c r="E44" s="699"/>
      <c r="F44" s="700"/>
      <c r="G44" s="701"/>
      <c r="H44" s="91"/>
      <c r="I44" s="82">
        <v>25</v>
      </c>
      <c r="J44" s="84">
        <v>55000</v>
      </c>
      <c r="K44" s="75">
        <f t="shared" si="0"/>
        <v>1375000</v>
      </c>
    </row>
    <row r="45" spans="1:11" ht="15.75" x14ac:dyDescent="0.3">
      <c r="A45" s="533">
        <v>26</v>
      </c>
      <c r="B45" s="533" t="s">
        <v>54</v>
      </c>
      <c r="C45" s="82" t="s">
        <v>26</v>
      </c>
      <c r="D45" s="83"/>
      <c r="E45" s="699"/>
      <c r="F45" s="700"/>
      <c r="G45" s="701"/>
      <c r="H45" s="91"/>
      <c r="I45" s="82">
        <v>3</v>
      </c>
      <c r="J45" s="84">
        <v>55000</v>
      </c>
      <c r="K45" s="75">
        <f t="shared" si="0"/>
        <v>165000</v>
      </c>
    </row>
    <row r="46" spans="1:11" ht="15.75" x14ac:dyDescent="0.3">
      <c r="A46" s="533">
        <v>27</v>
      </c>
      <c r="B46" s="533" t="s">
        <v>55</v>
      </c>
      <c r="C46" s="82" t="s">
        <v>26</v>
      </c>
      <c r="D46" s="83"/>
      <c r="E46" s="699"/>
      <c r="F46" s="700"/>
      <c r="G46" s="701"/>
      <c r="H46" s="91"/>
      <c r="I46" s="82">
        <v>2</v>
      </c>
      <c r="J46" s="84">
        <v>55000</v>
      </c>
      <c r="K46" s="75">
        <f t="shared" si="0"/>
        <v>110000</v>
      </c>
    </row>
    <row r="47" spans="1:11" ht="15.75" x14ac:dyDescent="0.3">
      <c r="A47" s="532">
        <v>28</v>
      </c>
      <c r="B47" s="532" t="s">
        <v>56</v>
      </c>
      <c r="C47" s="82" t="s">
        <v>26</v>
      </c>
      <c r="D47" s="83"/>
      <c r="E47" s="699"/>
      <c r="F47" s="700"/>
      <c r="G47" s="701"/>
      <c r="H47" s="91"/>
      <c r="I47" s="82"/>
      <c r="J47" s="84">
        <v>55000</v>
      </c>
      <c r="K47" s="75">
        <f t="shared" si="0"/>
        <v>0</v>
      </c>
    </row>
    <row r="48" spans="1:11" ht="15.75" x14ac:dyDescent="0.3">
      <c r="A48" s="532">
        <v>29</v>
      </c>
      <c r="B48" s="533" t="s">
        <v>57</v>
      </c>
      <c r="C48" s="82" t="s">
        <v>26</v>
      </c>
      <c r="D48" s="83"/>
      <c r="E48" s="696"/>
      <c r="F48" s="697"/>
      <c r="G48" s="698"/>
      <c r="H48" s="90"/>
      <c r="I48" s="82">
        <v>3</v>
      </c>
      <c r="J48" s="84">
        <v>55000</v>
      </c>
      <c r="K48" s="75">
        <f>IF((C48)&gt;0,SUM(J48*I48),"")</f>
        <v>165000</v>
      </c>
    </row>
    <row r="49" spans="1:11" ht="15.75" x14ac:dyDescent="0.3">
      <c r="A49" s="533">
        <v>30</v>
      </c>
      <c r="B49" s="533" t="s">
        <v>58</v>
      </c>
      <c r="C49" s="82" t="s">
        <v>26</v>
      </c>
      <c r="D49" s="83"/>
      <c r="E49" s="696"/>
      <c r="F49" s="697"/>
      <c r="G49" s="698"/>
      <c r="H49" s="90"/>
      <c r="I49" s="82">
        <v>1</v>
      </c>
      <c r="J49" s="84">
        <v>55000</v>
      </c>
      <c r="K49" s="75">
        <f t="shared" ref="K49:K55" si="1">IF((C49)&gt;0,SUM(J49*I49),"")</f>
        <v>55000</v>
      </c>
    </row>
    <row r="50" spans="1:11" ht="15.75" x14ac:dyDescent="0.3">
      <c r="A50" s="533">
        <v>31</v>
      </c>
      <c r="B50" s="532" t="s">
        <v>59</v>
      </c>
      <c r="C50" s="82" t="s">
        <v>26</v>
      </c>
      <c r="D50" s="83"/>
      <c r="E50" s="696"/>
      <c r="F50" s="697"/>
      <c r="G50" s="698"/>
      <c r="H50" s="90"/>
      <c r="I50" s="82">
        <v>2</v>
      </c>
      <c r="J50" s="84">
        <v>55000</v>
      </c>
      <c r="K50" s="75">
        <f t="shared" si="1"/>
        <v>110000</v>
      </c>
    </row>
    <row r="51" spans="1:11" ht="15.75" x14ac:dyDescent="0.3">
      <c r="A51" s="532">
        <v>32</v>
      </c>
      <c r="B51" s="533" t="s">
        <v>60</v>
      </c>
      <c r="C51" s="82" t="s">
        <v>26</v>
      </c>
      <c r="D51" s="83"/>
      <c r="E51" s="702"/>
      <c r="F51" s="703"/>
      <c r="G51" s="704"/>
      <c r="H51" s="85"/>
      <c r="I51" s="82">
        <v>1</v>
      </c>
      <c r="J51" s="84">
        <v>55000</v>
      </c>
      <c r="K51" s="75">
        <f t="shared" si="1"/>
        <v>55000</v>
      </c>
    </row>
    <row r="52" spans="1:11" ht="15.75" x14ac:dyDescent="0.3">
      <c r="A52" s="532">
        <v>33</v>
      </c>
      <c r="B52" s="533" t="s">
        <v>61</v>
      </c>
      <c r="C52" s="82" t="s">
        <v>26</v>
      </c>
      <c r="D52" s="83"/>
      <c r="E52" s="702"/>
      <c r="F52" s="703"/>
      <c r="G52" s="704"/>
      <c r="H52" s="85"/>
      <c r="I52" s="82">
        <v>12</v>
      </c>
      <c r="J52" s="84">
        <v>55000</v>
      </c>
      <c r="K52" s="75">
        <f t="shared" si="1"/>
        <v>660000</v>
      </c>
    </row>
    <row r="53" spans="1:11" ht="15.75" x14ac:dyDescent="0.3">
      <c r="A53" s="533">
        <v>34</v>
      </c>
      <c r="B53" s="532" t="s">
        <v>62</v>
      </c>
      <c r="C53" s="82" t="s">
        <v>26</v>
      </c>
      <c r="D53" s="83"/>
      <c r="E53" s="702"/>
      <c r="F53" s="703"/>
      <c r="G53" s="704"/>
      <c r="H53" s="85"/>
      <c r="I53" s="82"/>
      <c r="J53" s="84">
        <v>55000</v>
      </c>
      <c r="K53" s="75">
        <f t="shared" si="1"/>
        <v>0</v>
      </c>
    </row>
    <row r="54" spans="1:11" ht="15.75" x14ac:dyDescent="0.3">
      <c r="A54" s="533">
        <v>35</v>
      </c>
      <c r="B54" s="533" t="s">
        <v>63</v>
      </c>
      <c r="C54" s="82" t="s">
        <v>26</v>
      </c>
      <c r="D54" s="83"/>
      <c r="E54" s="702"/>
      <c r="F54" s="703"/>
      <c r="G54" s="704"/>
      <c r="H54" s="85"/>
      <c r="I54" s="82"/>
      <c r="J54" s="84">
        <v>55000</v>
      </c>
      <c r="K54" s="75">
        <f t="shared" si="1"/>
        <v>0</v>
      </c>
    </row>
    <row r="55" spans="1:11" ht="15.75" x14ac:dyDescent="0.3">
      <c r="A55" s="532">
        <v>36</v>
      </c>
      <c r="B55" s="533" t="s">
        <v>64</v>
      </c>
      <c r="C55" s="82" t="s">
        <v>26</v>
      </c>
      <c r="D55" s="83"/>
      <c r="E55" s="702"/>
      <c r="F55" s="703"/>
      <c r="G55" s="704"/>
      <c r="H55" s="85"/>
      <c r="I55" s="82">
        <v>1</v>
      </c>
      <c r="J55" s="84">
        <v>55000</v>
      </c>
      <c r="K55" s="75">
        <f t="shared" si="1"/>
        <v>55000</v>
      </c>
    </row>
    <row r="56" spans="1:11" ht="15.75" x14ac:dyDescent="0.3">
      <c r="A56" s="532">
        <v>37</v>
      </c>
      <c r="B56" s="532" t="s">
        <v>65</v>
      </c>
      <c r="C56" s="82" t="s">
        <v>26</v>
      </c>
      <c r="D56" s="83"/>
      <c r="E56" s="702"/>
      <c r="F56" s="703"/>
      <c r="G56" s="704"/>
      <c r="H56" s="85"/>
      <c r="I56" s="82">
        <v>1</v>
      </c>
      <c r="J56" s="84">
        <v>55000</v>
      </c>
      <c r="K56" s="75"/>
    </row>
    <row r="57" spans="1:11" ht="15.75" x14ac:dyDescent="0.25">
      <c r="A57" s="694"/>
      <c r="B57" s="695"/>
      <c r="C57" s="66"/>
      <c r="D57" s="66"/>
      <c r="E57" s="67"/>
      <c r="F57" s="67"/>
      <c r="G57" s="67"/>
      <c r="H57" s="67"/>
      <c r="I57" s="306"/>
      <c r="J57" s="149" t="s">
        <v>69</v>
      </c>
      <c r="K57" s="506">
        <f>SUM(K18:K56)</f>
        <v>6600000</v>
      </c>
    </row>
    <row r="58" spans="1:11" ht="15.75" x14ac:dyDescent="0.25">
      <c r="A58" s="70"/>
      <c r="B58" s="70"/>
      <c r="C58" s="66"/>
      <c r="E58" s="71"/>
      <c r="F58" s="71"/>
      <c r="G58" s="71"/>
      <c r="H58" s="71"/>
      <c r="I58" s="306"/>
      <c r="J58" s="149" t="s">
        <v>67</v>
      </c>
      <c r="K58" s="507">
        <v>20000</v>
      </c>
    </row>
    <row r="59" spans="1:11" ht="15.75" x14ac:dyDescent="0.25">
      <c r="B59" s="66"/>
      <c r="C59" s="66"/>
      <c r="E59" s="71"/>
      <c r="F59" s="71"/>
      <c r="G59" s="71"/>
      <c r="H59" s="71"/>
      <c r="I59" s="306"/>
      <c r="J59" s="503" t="s">
        <v>68</v>
      </c>
      <c r="K59" s="507">
        <f>(K57+K58)*5%</f>
        <v>331000</v>
      </c>
    </row>
    <row r="60" spans="1:11" ht="15.75" x14ac:dyDescent="0.25">
      <c r="B60" s="66"/>
      <c r="C60" s="66"/>
      <c r="E60" s="71"/>
      <c r="F60" s="71"/>
      <c r="G60" s="71"/>
      <c r="H60" s="71"/>
      <c r="I60" s="306"/>
      <c r="J60" s="502" t="s">
        <v>70</v>
      </c>
      <c r="K60" s="76">
        <f>K57+K58+K59</f>
        <v>6951000</v>
      </c>
    </row>
    <row r="61" spans="1:11" ht="15.75" x14ac:dyDescent="0.25">
      <c r="A61" s="103" t="s">
        <v>76</v>
      </c>
      <c r="B61" s="98"/>
      <c r="C61" s="98"/>
      <c r="D61" s="99"/>
      <c r="E61" s="100"/>
      <c r="F61" s="100"/>
      <c r="G61" s="100"/>
      <c r="H61" s="100"/>
      <c r="I61" s="379"/>
      <c r="J61" s="101"/>
      <c r="K61" s="102"/>
    </row>
    <row r="62" spans="1:11" ht="16.5" thickBot="1" x14ac:dyDescent="0.3">
      <c r="A62" s="97"/>
      <c r="B62" s="98"/>
      <c r="C62" s="98"/>
      <c r="D62" s="99"/>
      <c r="E62" s="100"/>
      <c r="F62" s="100"/>
      <c r="G62" s="100"/>
      <c r="H62" s="100"/>
      <c r="I62" s="379"/>
      <c r="J62" s="101"/>
      <c r="K62" s="102"/>
    </row>
    <row r="63" spans="1:11" x14ac:dyDescent="0.25">
      <c r="A63" s="705" t="s">
        <v>23</v>
      </c>
      <c r="B63" s="706"/>
      <c r="C63" s="706"/>
      <c r="D63" s="706"/>
      <c r="E63" s="706"/>
      <c r="F63" s="706"/>
      <c r="G63" s="706"/>
      <c r="H63" s="706"/>
      <c r="I63" s="706"/>
      <c r="J63" s="706"/>
      <c r="K63" s="707"/>
    </row>
    <row r="64" spans="1:11" ht="15.75" thickBot="1" x14ac:dyDescent="0.3">
      <c r="A64" s="708"/>
      <c r="B64" s="709"/>
      <c r="C64" s="709"/>
      <c r="D64" s="709"/>
      <c r="E64" s="709"/>
      <c r="F64" s="709"/>
      <c r="G64" s="709"/>
      <c r="H64" s="709"/>
      <c r="I64" s="709"/>
      <c r="J64" s="709"/>
      <c r="K64" s="710"/>
    </row>
  </sheetData>
  <mergeCells count="48">
    <mergeCell ref="E28:G28"/>
    <mergeCell ref="E1:K1"/>
    <mergeCell ref="D14:E14"/>
    <mergeCell ref="F14:G14"/>
    <mergeCell ref="A15:K15"/>
    <mergeCell ref="A16:E16"/>
    <mergeCell ref="G16:H16"/>
    <mergeCell ref="A17:E17"/>
    <mergeCell ref="G17:H17"/>
    <mergeCell ref="E24:G24"/>
    <mergeCell ref="E25:G25"/>
    <mergeCell ref="E26:G26"/>
    <mergeCell ref="E27:G27"/>
    <mergeCell ref="E19:G19"/>
    <mergeCell ref="E20:G20"/>
    <mergeCell ref="E21:G21"/>
    <mergeCell ref="E22:G22"/>
    <mergeCell ref="E23:G23"/>
    <mergeCell ref="A63:K64"/>
    <mergeCell ref="E29:G29"/>
    <mergeCell ref="E30:G30"/>
    <mergeCell ref="E31:G31"/>
    <mergeCell ref="E32:G32"/>
    <mergeCell ref="E33:G33"/>
    <mergeCell ref="E42:G42"/>
    <mergeCell ref="E35:G35"/>
    <mergeCell ref="E41:G41"/>
    <mergeCell ref="E53:G53"/>
    <mergeCell ref="E54:G54"/>
    <mergeCell ref="E55:G55"/>
    <mergeCell ref="E56:G56"/>
    <mergeCell ref="E48:G48"/>
    <mergeCell ref="E49:G49"/>
    <mergeCell ref="E43:G43"/>
    <mergeCell ref="E44:G44"/>
    <mergeCell ref="E45:G45"/>
    <mergeCell ref="E51:G51"/>
    <mergeCell ref="E52:G52"/>
    <mergeCell ref="A57:B57"/>
    <mergeCell ref="E50:G50"/>
    <mergeCell ref="E34:G34"/>
    <mergeCell ref="E46:G46"/>
    <mergeCell ref="E47:G47"/>
    <mergeCell ref="E36:G36"/>
    <mergeCell ref="E37:G37"/>
    <mergeCell ref="E38:G38"/>
    <mergeCell ref="E39:G39"/>
    <mergeCell ref="E40:G40"/>
  </mergeCells>
  <pageMargins left="0.7" right="0.7" top="0.75" bottom="0.75" header="0.3" footer="0.3"/>
  <pageSetup scale="62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2"/>
  <sheetViews>
    <sheetView view="pageBreakPreview" topLeftCell="A42" zoomScale="98" zoomScaleNormal="100" zoomScaleSheetLayoutView="98" workbookViewId="0">
      <selection activeCell="H52" sqref="H52"/>
    </sheetView>
  </sheetViews>
  <sheetFormatPr defaultRowHeight="15" x14ac:dyDescent="0.25"/>
  <cols>
    <col min="1" max="1" width="5.42578125" style="419" customWidth="1"/>
    <col min="2" max="2" width="14.42578125" style="419" customWidth="1"/>
    <col min="3" max="3" width="20.28515625" customWidth="1"/>
    <col min="4" max="4" width="11.7109375" customWidth="1"/>
    <col min="5" max="5" width="4.85546875" hidden="1" customWidth="1"/>
    <col min="6" max="6" width="13.42578125" customWidth="1"/>
    <col min="7" max="7" width="6.42578125" hidden="1" customWidth="1"/>
    <col min="8" max="8" width="14.42578125" customWidth="1"/>
    <col min="9" max="9" width="23.42578125" style="380" customWidth="1"/>
    <col min="10" max="10" width="15.7109375" customWidth="1"/>
    <col min="11" max="11" width="17.85546875" customWidth="1"/>
  </cols>
  <sheetData>
    <row r="1" spans="1:11" ht="46.5" x14ac:dyDescent="0.55000000000000004">
      <c r="A1" s="496"/>
      <c r="B1" s="448"/>
      <c r="C1" s="2"/>
      <c r="D1" s="2"/>
      <c r="E1" s="712" t="s">
        <v>0</v>
      </c>
      <c r="F1" s="712"/>
      <c r="G1" s="712"/>
      <c r="H1" s="712"/>
      <c r="I1" s="712"/>
      <c r="J1" s="712"/>
      <c r="K1" s="713"/>
    </row>
    <row r="2" spans="1:11" ht="17.25" x14ac:dyDescent="0.3">
      <c r="A2" s="3"/>
      <c r="B2" s="4"/>
      <c r="C2" s="4"/>
      <c r="D2" s="4"/>
      <c r="E2" s="5"/>
      <c r="F2" s="5"/>
      <c r="G2" s="6"/>
      <c r="H2" s="6"/>
      <c r="I2" s="372"/>
      <c r="J2" s="7"/>
      <c r="K2" s="8"/>
    </row>
    <row r="3" spans="1:11" ht="20.25" x14ac:dyDescent="0.3">
      <c r="A3" s="497"/>
      <c r="B3" s="443"/>
      <c r="C3" s="10"/>
      <c r="D3" s="10"/>
      <c r="E3" s="11" t="s">
        <v>1</v>
      </c>
      <c r="F3" s="12"/>
      <c r="G3" s="12"/>
      <c r="H3" s="12"/>
      <c r="I3" s="373"/>
      <c r="J3" s="13"/>
      <c r="K3" s="14"/>
    </row>
    <row r="4" spans="1:11" x14ac:dyDescent="0.25">
      <c r="A4" s="497"/>
      <c r="B4" s="443"/>
      <c r="C4" s="15"/>
      <c r="D4" s="15"/>
      <c r="E4" s="16" t="s">
        <v>2</v>
      </c>
      <c r="F4" s="15"/>
      <c r="G4" s="15"/>
      <c r="H4" s="15"/>
      <c r="I4" s="374"/>
      <c r="J4" s="17"/>
      <c r="K4" s="18"/>
    </row>
    <row r="5" spans="1:11" ht="15.75" x14ac:dyDescent="0.3">
      <c r="A5" s="498"/>
      <c r="B5" s="444"/>
      <c r="C5" s="15"/>
      <c r="D5" s="20"/>
      <c r="E5" s="21" t="s">
        <v>11</v>
      </c>
      <c r="F5" s="20"/>
      <c r="G5" s="22"/>
      <c r="H5" s="22"/>
      <c r="I5" s="374"/>
      <c r="J5" s="17"/>
      <c r="K5" s="18"/>
    </row>
    <row r="6" spans="1:11" ht="15.75" x14ac:dyDescent="0.3">
      <c r="A6" s="499"/>
      <c r="B6" s="445"/>
      <c r="C6" s="24"/>
      <c r="D6" s="24"/>
      <c r="E6" s="22"/>
      <c r="F6" s="22"/>
      <c r="G6" s="22"/>
      <c r="H6" s="22"/>
      <c r="I6" s="374"/>
      <c r="J6" s="17" t="s">
        <v>226</v>
      </c>
      <c r="K6" s="25">
        <f ca="1">TODAY()</f>
        <v>41556</v>
      </c>
    </row>
    <row r="7" spans="1:11" ht="16.5" x14ac:dyDescent="0.3">
      <c r="A7" s="499"/>
      <c r="B7" s="445"/>
      <c r="C7" s="24"/>
      <c r="D7" s="24"/>
      <c r="E7" s="20"/>
      <c r="F7" s="22"/>
      <c r="G7" s="26"/>
      <c r="H7" s="26"/>
      <c r="I7" s="336"/>
      <c r="J7" s="27"/>
      <c r="K7" s="28"/>
    </row>
    <row r="8" spans="1:11" x14ac:dyDescent="0.25">
      <c r="A8" s="29"/>
      <c r="B8" s="80"/>
      <c r="C8" s="30" t="s">
        <v>71</v>
      </c>
      <c r="D8" s="31" t="s">
        <v>271</v>
      </c>
      <c r="E8" s="32"/>
      <c r="F8" s="31"/>
      <c r="G8" s="32"/>
      <c r="H8" s="32"/>
      <c r="I8" s="333"/>
      <c r="J8" s="33"/>
      <c r="K8" s="34"/>
    </row>
    <row r="9" spans="1:11" x14ac:dyDescent="0.25">
      <c r="A9" s="35"/>
      <c r="B9" s="36"/>
      <c r="C9" s="37" t="s">
        <v>4</v>
      </c>
      <c r="D9" s="38" t="s">
        <v>272</v>
      </c>
      <c r="E9" s="39"/>
      <c r="F9" s="38"/>
      <c r="G9" s="39"/>
      <c r="H9" s="39"/>
      <c r="I9" s="328"/>
      <c r="J9" s="40"/>
      <c r="K9" s="41"/>
    </row>
    <row r="10" spans="1:11" x14ac:dyDescent="0.25">
      <c r="A10" s="35"/>
      <c r="B10" s="36"/>
      <c r="C10" s="37"/>
      <c r="D10" s="44" t="s">
        <v>273</v>
      </c>
      <c r="E10" s="45"/>
      <c r="F10" s="44"/>
      <c r="G10" s="45"/>
      <c r="H10" s="45" t="s">
        <v>243</v>
      </c>
      <c r="I10" s="328"/>
      <c r="J10" s="40"/>
      <c r="K10" s="41"/>
    </row>
    <row r="11" spans="1:11" ht="15.75" x14ac:dyDescent="0.3">
      <c r="A11" s="500"/>
      <c r="B11" s="446"/>
      <c r="C11" s="48" t="s">
        <v>5</v>
      </c>
      <c r="D11" s="44" t="s">
        <v>274</v>
      </c>
      <c r="E11" s="45"/>
      <c r="F11" s="44"/>
      <c r="G11" s="45"/>
      <c r="H11" s="45"/>
      <c r="I11" s="328"/>
      <c r="J11" s="40"/>
      <c r="K11" s="41"/>
    </row>
    <row r="12" spans="1:11" ht="15.75" x14ac:dyDescent="0.3">
      <c r="A12" s="500"/>
      <c r="B12" s="446"/>
      <c r="C12" s="48" t="s">
        <v>15</v>
      </c>
      <c r="D12" s="49" t="s">
        <v>275</v>
      </c>
      <c r="E12" s="45"/>
      <c r="F12" s="49"/>
      <c r="G12" s="45"/>
      <c r="H12" s="45"/>
      <c r="I12" s="328"/>
      <c r="J12" s="40"/>
      <c r="K12" s="41"/>
    </row>
    <row r="13" spans="1:11" ht="15.75" x14ac:dyDescent="0.3">
      <c r="A13" s="501"/>
      <c r="B13" s="446"/>
      <c r="C13" s="74" t="s">
        <v>6</v>
      </c>
      <c r="D13" s="714"/>
      <c r="E13" s="714"/>
      <c r="F13" s="714"/>
      <c r="G13" s="714"/>
      <c r="H13" s="86"/>
      <c r="I13" s="375"/>
      <c r="J13" s="51"/>
      <c r="K13" s="51"/>
    </row>
    <row r="14" spans="1:11" ht="15.75" x14ac:dyDescent="0.3">
      <c r="A14" s="715"/>
      <c r="B14" s="716"/>
      <c r="C14" s="716"/>
      <c r="D14" s="716"/>
      <c r="E14" s="716"/>
      <c r="F14" s="716"/>
      <c r="G14" s="716"/>
      <c r="H14" s="716"/>
      <c r="I14" s="716"/>
      <c r="J14" s="716"/>
      <c r="K14" s="717"/>
    </row>
    <row r="15" spans="1:11" x14ac:dyDescent="0.25">
      <c r="A15" s="718" t="s">
        <v>7</v>
      </c>
      <c r="B15" s="719"/>
      <c r="C15" s="719"/>
      <c r="D15" s="719"/>
      <c r="E15" s="720"/>
      <c r="F15" s="52" t="s">
        <v>16</v>
      </c>
      <c r="G15" s="721" t="s">
        <v>17</v>
      </c>
      <c r="H15" s="719"/>
      <c r="I15" s="376"/>
      <c r="J15" s="87"/>
      <c r="K15" s="53" t="s">
        <v>8</v>
      </c>
    </row>
    <row r="16" spans="1:11" ht="15.75" x14ac:dyDescent="0.3">
      <c r="A16" s="722" t="s">
        <v>24</v>
      </c>
      <c r="B16" s="723"/>
      <c r="C16" s="723"/>
      <c r="D16" s="723"/>
      <c r="E16" s="724"/>
      <c r="F16" s="54"/>
      <c r="G16" s="725"/>
      <c r="H16" s="726"/>
      <c r="I16" s="377"/>
      <c r="J16" s="88"/>
      <c r="K16" s="55" t="s">
        <v>268</v>
      </c>
    </row>
    <row r="17" spans="1:11" ht="15.75" x14ac:dyDescent="0.3">
      <c r="A17" s="56"/>
      <c r="B17" s="57"/>
      <c r="C17" s="57"/>
      <c r="D17" s="57"/>
      <c r="E17" s="58"/>
      <c r="F17" s="59"/>
      <c r="G17" s="59"/>
      <c r="H17" s="59"/>
      <c r="I17" s="378"/>
      <c r="J17" s="60"/>
      <c r="K17" s="61"/>
    </row>
    <row r="18" spans="1:11" x14ac:dyDescent="0.25">
      <c r="A18" s="62" t="s">
        <v>18</v>
      </c>
      <c r="B18" s="62" t="s">
        <v>27</v>
      </c>
      <c r="C18" s="62" t="s">
        <v>19</v>
      </c>
      <c r="D18" s="62" t="s">
        <v>20</v>
      </c>
      <c r="E18" s="711" t="s">
        <v>21</v>
      </c>
      <c r="F18" s="711"/>
      <c r="G18" s="711"/>
      <c r="H18" s="89" t="s">
        <v>10</v>
      </c>
      <c r="I18" s="165" t="s">
        <v>25</v>
      </c>
      <c r="J18" s="52" t="s">
        <v>28</v>
      </c>
      <c r="K18" s="52" t="s">
        <v>22</v>
      </c>
    </row>
    <row r="19" spans="1:11" ht="15.75" x14ac:dyDescent="0.3">
      <c r="A19" s="532">
        <v>1</v>
      </c>
      <c r="B19" s="532" t="s">
        <v>29</v>
      </c>
      <c r="C19" s="82" t="s">
        <v>26</v>
      </c>
      <c r="D19" s="83"/>
      <c r="E19" s="699"/>
      <c r="F19" s="700"/>
      <c r="G19" s="701"/>
      <c r="H19" s="91"/>
      <c r="I19" s="82">
        <v>8</v>
      </c>
      <c r="J19" s="84">
        <v>55000</v>
      </c>
      <c r="K19" s="75">
        <f t="shared" ref="K19:K32" si="0">IF((C19)&gt;0,SUM(J19*I19),"")</f>
        <v>440000</v>
      </c>
    </row>
    <row r="20" spans="1:11" ht="15.75" x14ac:dyDescent="0.3">
      <c r="A20" s="533">
        <v>2</v>
      </c>
      <c r="B20" s="533" t="s">
        <v>43</v>
      </c>
      <c r="C20" s="82" t="s">
        <v>26</v>
      </c>
      <c r="D20" s="83"/>
      <c r="E20" s="735"/>
      <c r="F20" s="735"/>
      <c r="G20" s="735"/>
      <c r="H20" s="90"/>
      <c r="I20" s="312">
        <v>25</v>
      </c>
      <c r="J20" s="84">
        <v>55000</v>
      </c>
      <c r="K20" s="75">
        <f t="shared" si="0"/>
        <v>1375000</v>
      </c>
    </row>
    <row r="21" spans="1:11" ht="15.75" x14ac:dyDescent="0.3">
      <c r="A21" s="533">
        <v>3</v>
      </c>
      <c r="B21" s="533" t="s">
        <v>30</v>
      </c>
      <c r="C21" s="82" t="s">
        <v>26</v>
      </c>
      <c r="D21" s="83"/>
      <c r="E21" s="735"/>
      <c r="F21" s="735"/>
      <c r="G21" s="735"/>
      <c r="H21" s="90"/>
      <c r="I21" s="312">
        <v>2</v>
      </c>
      <c r="J21" s="84">
        <v>55000</v>
      </c>
      <c r="K21" s="75">
        <f t="shared" si="0"/>
        <v>110000</v>
      </c>
    </row>
    <row r="22" spans="1:11" ht="15.75" x14ac:dyDescent="0.3">
      <c r="A22" s="532">
        <v>4</v>
      </c>
      <c r="B22" s="534" t="s">
        <v>31</v>
      </c>
      <c r="C22" s="82" t="s">
        <v>26</v>
      </c>
      <c r="D22" s="83"/>
      <c r="E22" s="735"/>
      <c r="F22" s="735"/>
      <c r="G22" s="735"/>
      <c r="H22" s="90"/>
      <c r="I22" s="312">
        <v>3</v>
      </c>
      <c r="J22" s="84">
        <v>55000</v>
      </c>
      <c r="K22" s="75">
        <f t="shared" si="0"/>
        <v>165000</v>
      </c>
    </row>
    <row r="23" spans="1:11" ht="15.75" x14ac:dyDescent="0.3">
      <c r="A23" s="533">
        <v>5</v>
      </c>
      <c r="B23" s="532" t="s">
        <v>32</v>
      </c>
      <c r="C23" s="82" t="s">
        <v>26</v>
      </c>
      <c r="D23" s="83"/>
      <c r="E23" s="733"/>
      <c r="F23" s="733"/>
      <c r="G23" s="733"/>
      <c r="H23" s="85"/>
      <c r="I23" s="312">
        <v>13</v>
      </c>
      <c r="J23" s="84">
        <v>55000</v>
      </c>
      <c r="K23" s="75">
        <f t="shared" si="0"/>
        <v>715000</v>
      </c>
    </row>
    <row r="24" spans="1:11" ht="15.75" x14ac:dyDescent="0.3">
      <c r="A24" s="533">
        <v>6</v>
      </c>
      <c r="B24" s="534" t="s">
        <v>33</v>
      </c>
      <c r="C24" s="82" t="s">
        <v>26</v>
      </c>
      <c r="D24" s="83"/>
      <c r="E24" s="733"/>
      <c r="F24" s="733"/>
      <c r="G24" s="733"/>
      <c r="H24" s="85"/>
      <c r="I24" s="312">
        <v>2</v>
      </c>
      <c r="J24" s="84">
        <v>55000</v>
      </c>
      <c r="K24" s="75">
        <f t="shared" si="0"/>
        <v>110000</v>
      </c>
    </row>
    <row r="25" spans="1:11" ht="15.75" x14ac:dyDescent="0.3">
      <c r="A25" s="532">
        <v>7</v>
      </c>
      <c r="B25" s="533" t="s">
        <v>34</v>
      </c>
      <c r="C25" s="82" t="s">
        <v>26</v>
      </c>
      <c r="D25" s="83"/>
      <c r="E25" s="733"/>
      <c r="F25" s="733"/>
      <c r="G25" s="733"/>
      <c r="H25" s="85"/>
      <c r="I25" s="312">
        <v>3</v>
      </c>
      <c r="J25" s="84">
        <v>55000</v>
      </c>
      <c r="K25" s="75">
        <f t="shared" si="0"/>
        <v>165000</v>
      </c>
    </row>
    <row r="26" spans="1:11" ht="15.75" x14ac:dyDescent="0.3">
      <c r="A26" s="533">
        <v>8</v>
      </c>
      <c r="B26" s="532" t="s">
        <v>35</v>
      </c>
      <c r="C26" s="82" t="s">
        <v>26</v>
      </c>
      <c r="D26" s="83"/>
      <c r="E26" s="733"/>
      <c r="F26" s="733"/>
      <c r="G26" s="733"/>
      <c r="H26" s="85"/>
      <c r="I26" s="312">
        <v>3</v>
      </c>
      <c r="J26" s="84">
        <v>55000</v>
      </c>
      <c r="K26" s="75">
        <f t="shared" si="0"/>
        <v>165000</v>
      </c>
    </row>
    <row r="27" spans="1:11" ht="15.75" x14ac:dyDescent="0.3">
      <c r="A27" s="533">
        <v>9</v>
      </c>
      <c r="B27" s="533" t="s">
        <v>75</v>
      </c>
      <c r="C27" s="82" t="s">
        <v>26</v>
      </c>
      <c r="D27" s="83"/>
      <c r="E27" s="733"/>
      <c r="F27" s="733"/>
      <c r="G27" s="733"/>
      <c r="H27" s="85"/>
      <c r="I27" s="312">
        <v>5</v>
      </c>
      <c r="J27" s="84">
        <v>55000</v>
      </c>
      <c r="K27" s="75">
        <f t="shared" si="0"/>
        <v>275000</v>
      </c>
    </row>
    <row r="28" spans="1:11" ht="15.75" x14ac:dyDescent="0.3">
      <c r="A28" s="532">
        <v>10</v>
      </c>
      <c r="B28" s="533" t="s">
        <v>73</v>
      </c>
      <c r="C28" s="82" t="s">
        <v>26</v>
      </c>
      <c r="D28" s="83"/>
      <c r="E28" s="733"/>
      <c r="F28" s="733"/>
      <c r="G28" s="733"/>
      <c r="H28" s="85"/>
      <c r="I28" s="312">
        <v>4</v>
      </c>
      <c r="J28" s="84">
        <v>55000</v>
      </c>
      <c r="K28" s="75">
        <f t="shared" si="0"/>
        <v>220000</v>
      </c>
    </row>
    <row r="29" spans="1:11" ht="15.75" x14ac:dyDescent="0.3">
      <c r="A29" s="533">
        <v>11</v>
      </c>
      <c r="B29" s="535" t="s">
        <v>38</v>
      </c>
      <c r="C29" s="82" t="s">
        <v>26</v>
      </c>
      <c r="D29" s="83"/>
      <c r="E29" s="733"/>
      <c r="F29" s="733"/>
      <c r="G29" s="733"/>
      <c r="H29" s="85"/>
      <c r="I29" s="312">
        <v>5</v>
      </c>
      <c r="J29" s="84">
        <v>55000</v>
      </c>
      <c r="K29" s="75">
        <f t="shared" si="0"/>
        <v>275000</v>
      </c>
    </row>
    <row r="30" spans="1:11" ht="15.75" x14ac:dyDescent="0.3">
      <c r="A30" s="533">
        <v>12</v>
      </c>
      <c r="B30" s="533" t="s">
        <v>39</v>
      </c>
      <c r="C30" s="82" t="s">
        <v>26</v>
      </c>
      <c r="D30" s="83"/>
      <c r="E30" s="733"/>
      <c r="F30" s="733"/>
      <c r="G30" s="733"/>
      <c r="H30" s="85"/>
      <c r="I30" s="312">
        <v>2</v>
      </c>
      <c r="J30" s="84">
        <v>55000</v>
      </c>
      <c r="K30" s="75">
        <f t="shared" si="0"/>
        <v>110000</v>
      </c>
    </row>
    <row r="31" spans="1:11" ht="15.75" x14ac:dyDescent="0.3">
      <c r="A31" s="532">
        <v>13</v>
      </c>
      <c r="B31" s="532" t="s">
        <v>40</v>
      </c>
      <c r="C31" s="82" t="s">
        <v>26</v>
      </c>
      <c r="D31" s="83"/>
      <c r="E31" s="736"/>
      <c r="F31" s="736"/>
      <c r="G31" s="736"/>
      <c r="H31" s="105"/>
      <c r="I31" s="312">
        <v>5</v>
      </c>
      <c r="J31" s="84">
        <v>55000</v>
      </c>
      <c r="K31" s="75">
        <f t="shared" si="0"/>
        <v>275000</v>
      </c>
    </row>
    <row r="32" spans="1:11" ht="15.75" x14ac:dyDescent="0.3">
      <c r="A32" s="533">
        <v>14</v>
      </c>
      <c r="B32" s="533" t="s">
        <v>42</v>
      </c>
      <c r="C32" s="82" t="s">
        <v>26</v>
      </c>
      <c r="D32" s="83"/>
      <c r="E32" s="736"/>
      <c r="F32" s="736"/>
      <c r="G32" s="736"/>
      <c r="H32" s="105"/>
      <c r="I32" s="312">
        <v>10</v>
      </c>
      <c r="J32" s="84">
        <v>55000</v>
      </c>
      <c r="K32" s="75">
        <f t="shared" si="0"/>
        <v>550000</v>
      </c>
    </row>
    <row r="33" spans="1:11" ht="15.75" x14ac:dyDescent="0.3">
      <c r="A33" s="533">
        <v>15</v>
      </c>
      <c r="B33" s="535" t="s">
        <v>44</v>
      </c>
      <c r="C33" s="82" t="s">
        <v>26</v>
      </c>
      <c r="D33" s="83"/>
      <c r="E33" s="736"/>
      <c r="F33" s="736"/>
      <c r="G33" s="736"/>
      <c r="H33" s="105"/>
      <c r="I33" s="381">
        <v>1</v>
      </c>
      <c r="J33" s="84">
        <v>55000</v>
      </c>
      <c r="K33" s="106">
        <v>55000</v>
      </c>
    </row>
    <row r="34" spans="1:11" ht="15.75" x14ac:dyDescent="0.3">
      <c r="A34" s="532">
        <v>16</v>
      </c>
      <c r="B34" s="533" t="s">
        <v>45</v>
      </c>
      <c r="C34" s="82" t="s">
        <v>26</v>
      </c>
      <c r="D34" s="83"/>
      <c r="E34" s="736"/>
      <c r="F34" s="736"/>
      <c r="G34" s="736"/>
      <c r="H34" s="105"/>
      <c r="I34" s="312">
        <v>15</v>
      </c>
      <c r="J34" s="84">
        <v>55000</v>
      </c>
      <c r="K34" s="75">
        <f>IF((C33)&gt;0,SUM(J33*I34),"")</f>
        <v>825000</v>
      </c>
    </row>
    <row r="35" spans="1:11" ht="15.75" x14ac:dyDescent="0.3">
      <c r="A35" s="533">
        <v>17</v>
      </c>
      <c r="B35" s="532" t="s">
        <v>46</v>
      </c>
      <c r="C35" s="82" t="s">
        <v>26</v>
      </c>
      <c r="D35" s="83"/>
      <c r="E35" s="736"/>
      <c r="F35" s="736"/>
      <c r="G35" s="736"/>
      <c r="H35" s="105"/>
      <c r="I35" s="312">
        <v>1</v>
      </c>
      <c r="J35" s="84">
        <v>55000</v>
      </c>
      <c r="K35" s="75">
        <f>IF((C34)&gt;0,SUM(J34*I35),"")</f>
        <v>55000</v>
      </c>
    </row>
    <row r="36" spans="1:11" ht="15.75" x14ac:dyDescent="0.3">
      <c r="A36" s="533">
        <v>18</v>
      </c>
      <c r="B36" s="533" t="s">
        <v>47</v>
      </c>
      <c r="C36" s="82" t="s">
        <v>26</v>
      </c>
      <c r="D36" s="83"/>
      <c r="E36" s="736"/>
      <c r="F36" s="736"/>
      <c r="G36" s="736"/>
      <c r="H36" s="105"/>
      <c r="I36" s="312">
        <v>11</v>
      </c>
      <c r="J36" s="84">
        <v>55000</v>
      </c>
      <c r="K36" s="75">
        <f t="shared" ref="K36:K55" si="1">IF((C36)&gt;0,SUM(J36*I36),"")</f>
        <v>605000</v>
      </c>
    </row>
    <row r="37" spans="1:11" ht="15.75" x14ac:dyDescent="0.3">
      <c r="A37" s="532">
        <v>19</v>
      </c>
      <c r="B37" s="532" t="s">
        <v>48</v>
      </c>
      <c r="C37" s="82" t="s">
        <v>26</v>
      </c>
      <c r="D37" s="83"/>
      <c r="E37" s="734"/>
      <c r="F37" s="734"/>
      <c r="G37" s="734"/>
      <c r="H37" s="107"/>
      <c r="I37" s="312">
        <v>5</v>
      </c>
      <c r="J37" s="84">
        <v>55000</v>
      </c>
      <c r="K37" s="75">
        <f t="shared" si="1"/>
        <v>275000</v>
      </c>
    </row>
    <row r="38" spans="1:11" ht="15.75" x14ac:dyDescent="0.3">
      <c r="A38" s="533">
        <v>20</v>
      </c>
      <c r="B38" s="533" t="s">
        <v>49</v>
      </c>
      <c r="C38" s="82" t="s">
        <v>26</v>
      </c>
      <c r="D38" s="83"/>
      <c r="E38" s="734"/>
      <c r="F38" s="734"/>
      <c r="G38" s="734"/>
      <c r="H38" s="107"/>
      <c r="I38" s="312">
        <v>1</v>
      </c>
      <c r="J38" s="84">
        <v>55000</v>
      </c>
      <c r="K38" s="75">
        <f t="shared" si="1"/>
        <v>55000</v>
      </c>
    </row>
    <row r="39" spans="1:11" ht="15.75" x14ac:dyDescent="0.3">
      <c r="A39" s="533">
        <v>21</v>
      </c>
      <c r="B39" s="533" t="s">
        <v>50</v>
      </c>
      <c r="C39" s="82" t="s">
        <v>26</v>
      </c>
      <c r="D39" s="83"/>
      <c r="E39" s="734"/>
      <c r="F39" s="734"/>
      <c r="G39" s="734"/>
      <c r="H39" s="107"/>
      <c r="I39" s="312">
        <v>1</v>
      </c>
      <c r="J39" s="84">
        <v>55000</v>
      </c>
      <c r="K39" s="75">
        <f t="shared" si="1"/>
        <v>55000</v>
      </c>
    </row>
    <row r="40" spans="1:11" ht="15.75" x14ac:dyDescent="0.3">
      <c r="A40" s="532">
        <v>22</v>
      </c>
      <c r="B40" s="532" t="s">
        <v>52</v>
      </c>
      <c r="C40" s="82" t="s">
        <v>26</v>
      </c>
      <c r="D40" s="83"/>
      <c r="E40" s="734"/>
      <c r="F40" s="734"/>
      <c r="G40" s="734"/>
      <c r="H40" s="107"/>
      <c r="I40" s="312">
        <v>2</v>
      </c>
      <c r="J40" s="84">
        <v>55000</v>
      </c>
      <c r="K40" s="75">
        <f t="shared" si="1"/>
        <v>110000</v>
      </c>
    </row>
    <row r="41" spans="1:11" ht="15.75" x14ac:dyDescent="0.3">
      <c r="A41" s="533">
        <v>23</v>
      </c>
      <c r="B41" s="533" t="s">
        <v>51</v>
      </c>
      <c r="C41" s="82" t="s">
        <v>26</v>
      </c>
      <c r="D41" s="83"/>
      <c r="E41" s="735"/>
      <c r="F41" s="735"/>
      <c r="G41" s="735"/>
      <c r="H41" s="90"/>
      <c r="I41" s="316">
        <v>1</v>
      </c>
      <c r="J41" s="84">
        <v>55000</v>
      </c>
      <c r="K41" s="75">
        <f t="shared" si="1"/>
        <v>55000</v>
      </c>
    </row>
    <row r="42" spans="1:11" ht="15.75" x14ac:dyDescent="0.3">
      <c r="A42" s="533">
        <v>24</v>
      </c>
      <c r="B42" s="533" t="s">
        <v>53</v>
      </c>
      <c r="C42" s="82" t="s">
        <v>26</v>
      </c>
      <c r="D42" s="83"/>
      <c r="E42" s="735"/>
      <c r="F42" s="735"/>
      <c r="G42" s="735"/>
      <c r="H42" s="90"/>
      <c r="I42" s="316">
        <v>96</v>
      </c>
      <c r="J42" s="84">
        <v>55000</v>
      </c>
      <c r="K42" s="75">
        <f t="shared" si="1"/>
        <v>5280000</v>
      </c>
    </row>
    <row r="43" spans="1:11" ht="15.75" x14ac:dyDescent="0.3">
      <c r="A43" s="532">
        <v>25</v>
      </c>
      <c r="B43" s="532" t="s">
        <v>55</v>
      </c>
      <c r="C43" s="82" t="s">
        <v>26</v>
      </c>
      <c r="D43" s="83"/>
      <c r="E43" s="90"/>
      <c r="F43" s="735"/>
      <c r="G43" s="735"/>
      <c r="H43" s="90"/>
      <c r="I43" s="316">
        <v>3</v>
      </c>
      <c r="J43" s="84">
        <v>55000</v>
      </c>
      <c r="K43" s="75">
        <f t="shared" si="1"/>
        <v>165000</v>
      </c>
    </row>
    <row r="44" spans="1:11" ht="15.75" x14ac:dyDescent="0.3">
      <c r="A44" s="533">
        <v>26</v>
      </c>
      <c r="B44" s="533" t="s">
        <v>56</v>
      </c>
      <c r="C44" s="82" t="s">
        <v>26</v>
      </c>
      <c r="D44" s="83"/>
      <c r="E44" s="735"/>
      <c r="F44" s="735"/>
      <c r="G44" s="735"/>
      <c r="H44" s="90"/>
      <c r="I44" s="316">
        <v>4</v>
      </c>
      <c r="J44" s="84">
        <v>55000</v>
      </c>
      <c r="K44" s="75">
        <f t="shared" si="1"/>
        <v>220000</v>
      </c>
    </row>
    <row r="45" spans="1:11" ht="15.75" x14ac:dyDescent="0.3">
      <c r="A45" s="533">
        <v>27</v>
      </c>
      <c r="B45" s="533" t="s">
        <v>57</v>
      </c>
      <c r="C45" s="82" t="s">
        <v>26</v>
      </c>
      <c r="D45" s="83"/>
      <c r="E45" s="731"/>
      <c r="F45" s="731"/>
      <c r="G45" s="731"/>
      <c r="H45" s="108"/>
      <c r="I45" s="313">
        <v>1</v>
      </c>
      <c r="J45" s="84">
        <v>55000</v>
      </c>
      <c r="K45" s="75">
        <f t="shared" si="1"/>
        <v>55000</v>
      </c>
    </row>
    <row r="46" spans="1:11" ht="15.75" x14ac:dyDescent="0.3">
      <c r="A46" s="532">
        <v>28</v>
      </c>
      <c r="B46" s="532" t="s">
        <v>58</v>
      </c>
      <c r="C46" s="82" t="s">
        <v>26</v>
      </c>
      <c r="D46" s="83"/>
      <c r="E46" s="730"/>
      <c r="F46" s="730"/>
      <c r="G46" s="730"/>
      <c r="H46" s="109"/>
      <c r="I46" s="315">
        <v>2</v>
      </c>
      <c r="J46" s="84">
        <v>55000</v>
      </c>
      <c r="K46" s="75">
        <f t="shared" si="1"/>
        <v>110000</v>
      </c>
    </row>
    <row r="47" spans="1:11" ht="15.75" x14ac:dyDescent="0.3">
      <c r="A47" s="533">
        <v>29</v>
      </c>
      <c r="B47" s="533" t="s">
        <v>59</v>
      </c>
      <c r="C47" s="82" t="s">
        <v>26</v>
      </c>
      <c r="D47" s="83"/>
      <c r="E47" s="730"/>
      <c r="F47" s="730"/>
      <c r="G47" s="730"/>
      <c r="H47" s="109"/>
      <c r="I47" s="315">
        <v>4</v>
      </c>
      <c r="J47" s="84">
        <v>55000</v>
      </c>
      <c r="K47" s="75">
        <f t="shared" si="1"/>
        <v>220000</v>
      </c>
    </row>
    <row r="48" spans="1:11" ht="15.75" x14ac:dyDescent="0.3">
      <c r="A48" s="533">
        <v>30</v>
      </c>
      <c r="B48" s="533" t="s">
        <v>60</v>
      </c>
      <c r="C48" s="82" t="s">
        <v>26</v>
      </c>
      <c r="D48" s="83"/>
      <c r="E48" s="731"/>
      <c r="F48" s="731"/>
      <c r="G48" s="731"/>
      <c r="H48" s="108"/>
      <c r="I48" s="313">
        <v>9</v>
      </c>
      <c r="J48" s="84">
        <v>55000</v>
      </c>
      <c r="K48" s="75">
        <f t="shared" si="1"/>
        <v>495000</v>
      </c>
    </row>
    <row r="49" spans="1:11" ht="15.75" x14ac:dyDescent="0.3">
      <c r="A49" s="532">
        <v>31</v>
      </c>
      <c r="B49" s="532" t="s">
        <v>61</v>
      </c>
      <c r="C49" s="82" t="s">
        <v>26</v>
      </c>
      <c r="D49" s="83"/>
      <c r="E49" s="731"/>
      <c r="F49" s="731"/>
      <c r="G49" s="731"/>
      <c r="H49" s="108"/>
      <c r="I49" s="314">
        <v>11</v>
      </c>
      <c r="J49" s="84">
        <v>55000</v>
      </c>
      <c r="K49" s="75">
        <f t="shared" si="1"/>
        <v>605000</v>
      </c>
    </row>
    <row r="50" spans="1:11" ht="15.75" x14ac:dyDescent="0.3">
      <c r="A50" s="533">
        <v>32</v>
      </c>
      <c r="B50" s="533" t="s">
        <v>62</v>
      </c>
      <c r="C50" s="82" t="s">
        <v>26</v>
      </c>
      <c r="D50" s="83"/>
      <c r="E50" s="732"/>
      <c r="F50" s="732"/>
      <c r="G50" s="732"/>
      <c r="H50" s="110"/>
      <c r="I50" s="382">
        <v>1</v>
      </c>
      <c r="J50" s="84">
        <v>55000</v>
      </c>
      <c r="K50" s="75">
        <f t="shared" si="1"/>
        <v>55000</v>
      </c>
    </row>
    <row r="51" spans="1:11" ht="15.75" x14ac:dyDescent="0.3">
      <c r="A51" s="533">
        <v>33</v>
      </c>
      <c r="B51" s="533" t="s">
        <v>63</v>
      </c>
      <c r="C51" s="82" t="s">
        <v>26</v>
      </c>
      <c r="D51" s="83"/>
      <c r="E51" s="732"/>
      <c r="F51" s="732"/>
      <c r="G51" s="732"/>
      <c r="H51" s="110"/>
      <c r="I51" s="382">
        <v>1</v>
      </c>
      <c r="J51" s="84">
        <v>55000</v>
      </c>
      <c r="K51" s="75">
        <f t="shared" si="1"/>
        <v>55000</v>
      </c>
    </row>
    <row r="52" spans="1:11" ht="15.75" x14ac:dyDescent="0.3">
      <c r="A52" s="532">
        <v>34</v>
      </c>
      <c r="B52" s="532" t="s">
        <v>74</v>
      </c>
      <c r="C52" s="82" t="s">
        <v>26</v>
      </c>
      <c r="D52" s="83"/>
      <c r="E52" s="732"/>
      <c r="F52" s="732"/>
      <c r="G52" s="732"/>
      <c r="H52" s="110"/>
      <c r="I52" s="383">
        <v>10</v>
      </c>
      <c r="J52" s="84">
        <v>55000</v>
      </c>
      <c r="K52" s="75">
        <f t="shared" si="1"/>
        <v>550000</v>
      </c>
    </row>
    <row r="53" spans="1:11" ht="15.75" x14ac:dyDescent="0.3">
      <c r="A53" s="532">
        <v>35</v>
      </c>
      <c r="B53" s="532" t="s">
        <v>41</v>
      </c>
      <c r="C53" s="82" t="s">
        <v>26</v>
      </c>
      <c r="D53" s="83"/>
      <c r="E53" s="110"/>
      <c r="F53" s="728"/>
      <c r="G53" s="729"/>
      <c r="H53" s="110"/>
      <c r="I53" s="383"/>
      <c r="J53" s="84">
        <v>55000</v>
      </c>
      <c r="K53" s="75">
        <f t="shared" si="1"/>
        <v>0</v>
      </c>
    </row>
    <row r="54" spans="1:11" ht="15.75" x14ac:dyDescent="0.3">
      <c r="A54" s="533">
        <v>36</v>
      </c>
      <c r="B54" s="533" t="s">
        <v>64</v>
      </c>
      <c r="C54" s="82" t="s">
        <v>26</v>
      </c>
      <c r="D54" s="83"/>
      <c r="E54" s="727"/>
      <c r="F54" s="727"/>
      <c r="G54" s="727"/>
      <c r="H54" s="111"/>
      <c r="I54" s="384">
        <v>1</v>
      </c>
      <c r="J54" s="84">
        <v>55000</v>
      </c>
      <c r="K54" s="75">
        <f t="shared" si="1"/>
        <v>55000</v>
      </c>
    </row>
    <row r="55" spans="1:11" ht="15.75" x14ac:dyDescent="0.3">
      <c r="A55" s="532">
        <v>37</v>
      </c>
      <c r="B55" s="532" t="s">
        <v>65</v>
      </c>
      <c r="C55" s="82" t="s">
        <v>26</v>
      </c>
      <c r="D55" s="83"/>
      <c r="E55" s="727"/>
      <c r="F55" s="727"/>
      <c r="G55" s="727"/>
      <c r="H55" s="111"/>
      <c r="I55" s="384">
        <v>1</v>
      </c>
      <c r="J55" s="84">
        <v>55000</v>
      </c>
      <c r="K55" s="75">
        <f t="shared" si="1"/>
        <v>55000</v>
      </c>
    </row>
    <row r="56" spans="1:11" ht="15.75" x14ac:dyDescent="0.25">
      <c r="A56" s="69"/>
      <c r="B56" s="66"/>
      <c r="C56" s="66"/>
      <c r="D56" s="66"/>
      <c r="E56" s="67"/>
      <c r="F56" s="67"/>
      <c r="G56" s="67"/>
      <c r="H56" s="67"/>
      <c r="I56" s="306"/>
      <c r="J56" s="149" t="s">
        <v>69</v>
      </c>
      <c r="K56" s="648">
        <f>SUM(K16:K55)</f>
        <v>14960000</v>
      </c>
    </row>
    <row r="57" spans="1:11" ht="15.75" x14ac:dyDescent="0.25">
      <c r="A57" s="70"/>
      <c r="B57" s="70"/>
      <c r="C57" s="66"/>
      <c r="E57" s="71"/>
      <c r="F57" s="71"/>
      <c r="G57" s="71"/>
      <c r="H57" s="71"/>
      <c r="I57" s="306"/>
      <c r="J57" s="149" t="s">
        <v>67</v>
      </c>
      <c r="K57" s="649">
        <v>20000</v>
      </c>
    </row>
    <row r="58" spans="1:11" ht="15.75" x14ac:dyDescent="0.25">
      <c r="A58" s="860" t="s">
        <v>255</v>
      </c>
      <c r="B58" s="70"/>
      <c r="C58" s="66"/>
      <c r="E58" s="71"/>
      <c r="F58" s="71"/>
      <c r="G58" s="71"/>
      <c r="H58" s="71"/>
      <c r="I58" s="306"/>
      <c r="J58" s="502" t="s">
        <v>68</v>
      </c>
      <c r="K58" s="649">
        <f>(K56+K57)*5%</f>
        <v>749000</v>
      </c>
    </row>
    <row r="59" spans="1:11" ht="15.75" x14ac:dyDescent="0.25">
      <c r="B59" s="66"/>
      <c r="C59" s="66"/>
      <c r="E59" s="71"/>
      <c r="F59" s="71"/>
      <c r="G59" s="71"/>
      <c r="H59" s="71"/>
      <c r="I59" s="306"/>
      <c r="J59" s="502" t="s">
        <v>70</v>
      </c>
      <c r="K59" s="650">
        <f>K56+K57+K58</f>
        <v>15729000</v>
      </c>
    </row>
    <row r="60" spans="1:11" ht="16.5" thickBot="1" x14ac:dyDescent="0.3">
      <c r="A60" s="103"/>
      <c r="B60" s="98"/>
      <c r="C60" s="98"/>
      <c r="D60" s="99"/>
      <c r="E60" s="100"/>
      <c r="F60" s="100"/>
      <c r="G60" s="100"/>
      <c r="H60" s="100"/>
      <c r="I60" s="379"/>
      <c r="J60" s="101"/>
      <c r="K60" s="102"/>
    </row>
    <row r="61" spans="1:11" x14ac:dyDescent="0.25">
      <c r="A61" s="705" t="s">
        <v>23</v>
      </c>
      <c r="B61" s="706"/>
      <c r="C61" s="706"/>
      <c r="D61" s="706"/>
      <c r="E61" s="706"/>
      <c r="F61" s="706"/>
      <c r="G61" s="706"/>
      <c r="H61" s="706"/>
      <c r="I61" s="706"/>
      <c r="J61" s="706"/>
      <c r="K61" s="707"/>
    </row>
    <row r="62" spans="1:11" ht="15.75" thickBot="1" x14ac:dyDescent="0.3">
      <c r="A62" s="708"/>
      <c r="B62" s="709"/>
      <c r="C62" s="709"/>
      <c r="D62" s="709"/>
      <c r="E62" s="709"/>
      <c r="F62" s="709"/>
      <c r="G62" s="709"/>
      <c r="H62" s="709"/>
      <c r="I62" s="709"/>
      <c r="J62" s="709"/>
      <c r="K62" s="710"/>
    </row>
  </sheetData>
  <mergeCells count="47">
    <mergeCell ref="E31:G31"/>
    <mergeCell ref="E32:G32"/>
    <mergeCell ref="A16:E16"/>
    <mergeCell ref="G16:H16"/>
    <mergeCell ref="E18:G18"/>
    <mergeCell ref="E20:G20"/>
    <mergeCell ref="E21:G21"/>
    <mergeCell ref="E33:G33"/>
    <mergeCell ref="E22:G22"/>
    <mergeCell ref="E23:G23"/>
    <mergeCell ref="E24:G24"/>
    <mergeCell ref="E25:G25"/>
    <mergeCell ref="E1:K1"/>
    <mergeCell ref="D13:E13"/>
    <mergeCell ref="F13:G13"/>
    <mergeCell ref="A14:K14"/>
    <mergeCell ref="A15:E15"/>
    <mergeCell ref="G15:H15"/>
    <mergeCell ref="E26:G26"/>
    <mergeCell ref="E27:G27"/>
    <mergeCell ref="E28:G28"/>
    <mergeCell ref="E29:G29"/>
    <mergeCell ref="A61:K62"/>
    <mergeCell ref="E34:G34"/>
    <mergeCell ref="E35:G35"/>
    <mergeCell ref="E36:G36"/>
    <mergeCell ref="E37:G37"/>
    <mergeCell ref="E38:G38"/>
    <mergeCell ref="E44:G44"/>
    <mergeCell ref="E45:G45"/>
    <mergeCell ref="E52:G52"/>
    <mergeCell ref="E39:G39"/>
    <mergeCell ref="E51:G51"/>
    <mergeCell ref="E40:G40"/>
    <mergeCell ref="E41:G41"/>
    <mergeCell ref="E42:G42"/>
    <mergeCell ref="F43:G43"/>
    <mergeCell ref="E54:G54"/>
    <mergeCell ref="E55:G55"/>
    <mergeCell ref="E19:G19"/>
    <mergeCell ref="F53:G53"/>
    <mergeCell ref="E46:G46"/>
    <mergeCell ref="E47:G47"/>
    <mergeCell ref="E48:G48"/>
    <mergeCell ref="E49:G49"/>
    <mergeCell ref="E50:G50"/>
    <mergeCell ref="E30:G30"/>
  </mergeCells>
  <hyperlinks>
    <hyperlink ref="D12" r:id="rId1" display="enquiries@"/>
  </hyperlinks>
  <pageMargins left="0.70866141732283472" right="0.70866141732283472" top="0.74803149606299213" bottom="0.74803149606299213" header="0.31496062992125984" footer="0.31496062992125984"/>
  <pageSetup scale="65" orientation="portrait" horizontalDpi="300" verticalDpi="300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3"/>
  <sheetViews>
    <sheetView view="pageBreakPreview" topLeftCell="A38" zoomScale="84" zoomScaleNormal="100" zoomScaleSheetLayoutView="84" workbookViewId="0">
      <selection activeCell="H18" sqref="H18"/>
    </sheetView>
  </sheetViews>
  <sheetFormatPr defaultRowHeight="15" x14ac:dyDescent="0.25"/>
  <cols>
    <col min="1" max="1" width="5" style="419" customWidth="1"/>
    <col min="2" max="2" width="13.42578125" style="419" customWidth="1"/>
    <col min="3" max="3" width="17" customWidth="1"/>
    <col min="4" max="4" width="11.5703125" customWidth="1"/>
    <col min="6" max="6" width="13.140625" customWidth="1"/>
    <col min="7" max="7" width="9.140625" hidden="1" customWidth="1"/>
    <col min="8" max="8" width="15.42578125" customWidth="1"/>
    <col min="9" max="9" width="12.7109375" style="380" customWidth="1"/>
    <col min="10" max="10" width="16.140625" customWidth="1"/>
    <col min="11" max="11" width="15.140625" customWidth="1"/>
  </cols>
  <sheetData>
    <row r="1" spans="1:12" ht="46.5" x14ac:dyDescent="0.55000000000000004">
      <c r="A1" s="496"/>
      <c r="B1" s="2"/>
      <c r="C1" s="2"/>
      <c r="D1" s="2"/>
      <c r="E1" s="712" t="s">
        <v>0</v>
      </c>
      <c r="F1" s="712"/>
      <c r="G1" s="712"/>
      <c r="H1" s="712"/>
      <c r="I1" s="712"/>
      <c r="J1" s="712"/>
      <c r="K1" s="713"/>
    </row>
    <row r="2" spans="1:12" ht="17.25" x14ac:dyDescent="0.3">
      <c r="A2" s="3"/>
      <c r="B2" s="4"/>
      <c r="C2" s="4"/>
      <c r="D2" s="4"/>
      <c r="E2" s="5"/>
      <c r="F2" s="5"/>
      <c r="G2" s="6"/>
      <c r="H2" s="6"/>
      <c r="I2" s="372"/>
      <c r="J2" s="7"/>
      <c r="K2" s="8"/>
    </row>
    <row r="3" spans="1:12" ht="20.25" x14ac:dyDescent="0.3">
      <c r="A3" s="497"/>
      <c r="B3" s="443"/>
      <c r="C3" s="10"/>
      <c r="D3" s="10"/>
      <c r="E3" s="11"/>
      <c r="F3" s="12"/>
      <c r="G3" s="12"/>
      <c r="H3" s="12"/>
      <c r="I3" s="373"/>
      <c r="J3" s="13"/>
      <c r="K3" s="14"/>
    </row>
    <row r="4" spans="1:12" x14ac:dyDescent="0.25">
      <c r="A4" s="497"/>
      <c r="B4" s="443"/>
      <c r="C4" s="15"/>
      <c r="D4" s="15"/>
      <c r="E4" s="16"/>
      <c r="F4" s="15"/>
      <c r="G4" s="15"/>
      <c r="H4" s="15"/>
      <c r="I4" s="374"/>
      <c r="J4" s="17"/>
      <c r="K4" s="18"/>
    </row>
    <row r="5" spans="1:12" ht="15.75" x14ac:dyDescent="0.3">
      <c r="A5" s="498"/>
      <c r="B5" s="444"/>
      <c r="C5" s="15"/>
      <c r="D5" s="20"/>
      <c r="E5" s="21"/>
      <c r="F5" s="20"/>
      <c r="G5" s="22"/>
      <c r="H5" s="22"/>
      <c r="I5" s="374"/>
      <c r="J5" s="17"/>
      <c r="K5" s="18"/>
    </row>
    <row r="6" spans="1:12" x14ac:dyDescent="0.25">
      <c r="A6" s="489"/>
      <c r="B6" s="455"/>
      <c r="C6" s="456"/>
      <c r="D6" s="456"/>
      <c r="E6" s="230"/>
      <c r="F6" s="230"/>
      <c r="G6" s="230"/>
      <c r="H6" s="230"/>
      <c r="I6" s="422"/>
      <c r="J6" s="225" t="s">
        <v>226</v>
      </c>
      <c r="K6" s="233">
        <f ca="1">TODAY()</f>
        <v>41556</v>
      </c>
      <c r="L6" s="207"/>
    </row>
    <row r="7" spans="1:12" ht="15.75" x14ac:dyDescent="0.25">
      <c r="A7" s="489"/>
      <c r="B7" s="455"/>
      <c r="C7" s="456"/>
      <c r="D7" s="456"/>
      <c r="E7" s="228"/>
      <c r="F7" s="230"/>
      <c r="G7" s="234"/>
      <c r="H7" s="234"/>
      <c r="I7" s="224"/>
      <c r="J7" s="235"/>
      <c r="K7" s="236"/>
      <c r="L7" s="207"/>
    </row>
    <row r="8" spans="1:12" x14ac:dyDescent="0.25">
      <c r="A8" s="480"/>
      <c r="B8" s="457"/>
      <c r="C8" s="239" t="s">
        <v>71</v>
      </c>
      <c r="D8" s="240" t="s">
        <v>160</v>
      </c>
      <c r="E8" s="241"/>
      <c r="F8" s="240"/>
      <c r="G8" s="241"/>
      <c r="H8" s="241"/>
      <c r="I8" s="242"/>
      <c r="J8" s="243"/>
      <c r="K8" s="244"/>
      <c r="L8" s="207"/>
    </row>
    <row r="9" spans="1:12" x14ac:dyDescent="0.25">
      <c r="A9" s="481"/>
      <c r="B9" s="458"/>
      <c r="C9" s="622" t="s">
        <v>4</v>
      </c>
      <c r="D9" s="297" t="s">
        <v>132</v>
      </c>
      <c r="E9" s="298"/>
      <c r="F9" s="297"/>
      <c r="G9" s="298"/>
      <c r="H9" s="298"/>
      <c r="I9" s="247"/>
      <c r="J9" s="248"/>
      <c r="K9" s="249"/>
      <c r="L9" s="207"/>
    </row>
    <row r="10" spans="1:12" x14ac:dyDescent="0.25">
      <c r="A10" s="481"/>
      <c r="B10" s="458"/>
      <c r="C10" s="622"/>
      <c r="D10" s="252" t="s">
        <v>133</v>
      </c>
      <c r="E10" s="253"/>
      <c r="F10" s="252"/>
      <c r="G10" s="253"/>
      <c r="H10" s="253"/>
      <c r="I10" s="247"/>
      <c r="J10" s="248"/>
      <c r="K10" s="249"/>
      <c r="L10" s="207"/>
    </row>
    <row r="11" spans="1:12" x14ac:dyDescent="0.25">
      <c r="A11" s="490"/>
      <c r="B11" s="459"/>
      <c r="C11" s="257" t="s">
        <v>5</v>
      </c>
      <c r="D11" s="252" t="s">
        <v>134</v>
      </c>
      <c r="E11" s="253"/>
      <c r="F11" s="252"/>
      <c r="G11" s="253"/>
      <c r="H11" s="253"/>
      <c r="I11" s="247"/>
      <c r="J11" s="248"/>
      <c r="K11" s="249"/>
      <c r="L11" s="207"/>
    </row>
    <row r="12" spans="1:12" x14ac:dyDescent="0.25">
      <c r="A12" s="490"/>
      <c r="B12" s="459"/>
      <c r="C12" s="257" t="s">
        <v>15</v>
      </c>
      <c r="D12" s="258" t="s">
        <v>135</v>
      </c>
      <c r="E12" s="253"/>
      <c r="F12" s="258"/>
      <c r="G12" s="253"/>
      <c r="H12" s="253"/>
      <c r="I12" s="247"/>
      <c r="J12" s="248"/>
      <c r="K12" s="249"/>
      <c r="L12" s="207"/>
    </row>
    <row r="13" spans="1:12" x14ac:dyDescent="0.25">
      <c r="A13" s="491"/>
      <c r="B13" s="459"/>
      <c r="C13" s="260" t="s">
        <v>6</v>
      </c>
      <c r="D13" s="663"/>
      <c r="E13" s="663"/>
      <c r="F13" s="663"/>
      <c r="G13" s="663"/>
      <c r="H13" s="617"/>
      <c r="I13" s="423"/>
      <c r="J13" s="263"/>
      <c r="K13" s="263"/>
      <c r="L13" s="207"/>
    </row>
    <row r="14" spans="1:12" x14ac:dyDescent="0.25">
      <c r="A14" s="664"/>
      <c r="B14" s="665"/>
      <c r="C14" s="665"/>
      <c r="D14" s="665"/>
      <c r="E14" s="665"/>
      <c r="F14" s="665"/>
      <c r="G14" s="665"/>
      <c r="H14" s="665"/>
      <c r="I14" s="665"/>
      <c r="J14" s="665"/>
      <c r="K14" s="666"/>
      <c r="L14" s="207"/>
    </row>
    <row r="15" spans="1:12" x14ac:dyDescent="0.25">
      <c r="A15" s="667" t="s">
        <v>7</v>
      </c>
      <c r="B15" s="668"/>
      <c r="C15" s="668"/>
      <c r="D15" s="668"/>
      <c r="E15" s="669"/>
      <c r="F15" s="177" t="s">
        <v>16</v>
      </c>
      <c r="G15" s="670" t="s">
        <v>17</v>
      </c>
      <c r="H15" s="668"/>
      <c r="I15" s="424"/>
      <c r="J15" s="618"/>
      <c r="K15" s="266" t="s">
        <v>8</v>
      </c>
      <c r="L15" s="207"/>
    </row>
    <row r="16" spans="1:12" x14ac:dyDescent="0.25">
      <c r="A16" s="671" t="s">
        <v>24</v>
      </c>
      <c r="B16" s="672"/>
      <c r="C16" s="672"/>
      <c r="D16" s="672"/>
      <c r="E16" s="673"/>
      <c r="F16" s="267"/>
      <c r="G16" s="674"/>
      <c r="H16" s="675"/>
      <c r="I16" s="425"/>
      <c r="J16" s="269"/>
      <c r="K16" s="270" t="s">
        <v>268</v>
      </c>
      <c r="L16" s="207"/>
    </row>
    <row r="17" spans="1:12" x14ac:dyDescent="0.25">
      <c r="A17" s="482"/>
      <c r="B17" s="460"/>
      <c r="C17" s="460"/>
      <c r="D17" s="460"/>
      <c r="E17" s="273"/>
      <c r="F17" s="274"/>
      <c r="G17" s="274"/>
      <c r="H17" s="274"/>
      <c r="I17" s="426"/>
      <c r="J17" s="276"/>
      <c r="K17" s="277"/>
      <c r="L17" s="207"/>
    </row>
    <row r="18" spans="1:12" x14ac:dyDescent="0.25">
      <c r="A18" s="461" t="s">
        <v>18</v>
      </c>
      <c r="B18" s="461" t="s">
        <v>27</v>
      </c>
      <c r="C18" s="461" t="s">
        <v>19</v>
      </c>
      <c r="D18" s="461" t="s">
        <v>20</v>
      </c>
      <c r="E18" s="676" t="s">
        <v>21</v>
      </c>
      <c r="F18" s="676"/>
      <c r="G18" s="676"/>
      <c r="H18" s="615" t="s">
        <v>10</v>
      </c>
      <c r="I18" s="615" t="s">
        <v>25</v>
      </c>
      <c r="J18" s="177" t="s">
        <v>28</v>
      </c>
      <c r="K18" s="177" t="s">
        <v>22</v>
      </c>
      <c r="L18" s="207"/>
    </row>
    <row r="19" spans="1:12" x14ac:dyDescent="0.25">
      <c r="A19" s="862">
        <v>1</v>
      </c>
      <c r="B19" s="528" t="s">
        <v>29</v>
      </c>
      <c r="C19" s="178" t="s">
        <v>26</v>
      </c>
      <c r="D19" s="462"/>
      <c r="E19" s="678"/>
      <c r="F19" s="863"/>
      <c r="G19" s="679"/>
      <c r="H19" s="616"/>
      <c r="I19" s="178">
        <v>8</v>
      </c>
      <c r="J19" s="180">
        <v>55000</v>
      </c>
      <c r="K19" s="181">
        <f t="shared" ref="K19:K32" si="0">IF((C19)&gt;0,SUM(J19*I19),"")</f>
        <v>440000</v>
      </c>
    </row>
    <row r="20" spans="1:12" x14ac:dyDescent="0.25">
      <c r="A20" s="864">
        <v>2</v>
      </c>
      <c r="B20" s="529" t="s">
        <v>43</v>
      </c>
      <c r="C20" s="178" t="s">
        <v>26</v>
      </c>
      <c r="D20" s="462"/>
      <c r="E20" s="680"/>
      <c r="F20" s="680"/>
      <c r="G20" s="680"/>
      <c r="H20" s="182"/>
      <c r="I20" s="167">
        <v>25</v>
      </c>
      <c r="J20" s="180">
        <v>55000</v>
      </c>
      <c r="K20" s="181">
        <f t="shared" si="0"/>
        <v>1375000</v>
      </c>
    </row>
    <row r="21" spans="1:12" x14ac:dyDescent="0.25">
      <c r="A21" s="864">
        <v>3</v>
      </c>
      <c r="B21" s="529" t="s">
        <v>30</v>
      </c>
      <c r="C21" s="178" t="s">
        <v>26</v>
      </c>
      <c r="D21" s="462"/>
      <c r="E21" s="680"/>
      <c r="F21" s="680"/>
      <c r="G21" s="680"/>
      <c r="H21" s="182"/>
      <c r="I21" s="167">
        <v>2</v>
      </c>
      <c r="J21" s="180">
        <v>55000</v>
      </c>
      <c r="K21" s="181">
        <f t="shared" si="0"/>
        <v>110000</v>
      </c>
    </row>
    <row r="22" spans="1:12" x14ac:dyDescent="0.25">
      <c r="A22" s="862">
        <v>4</v>
      </c>
      <c r="B22" s="865" t="s">
        <v>31</v>
      </c>
      <c r="C22" s="178" t="s">
        <v>26</v>
      </c>
      <c r="D22" s="462"/>
      <c r="E22" s="680"/>
      <c r="F22" s="680"/>
      <c r="G22" s="680"/>
      <c r="H22" s="182"/>
      <c r="I22" s="167">
        <v>3</v>
      </c>
      <c r="J22" s="180">
        <v>55000</v>
      </c>
      <c r="K22" s="181">
        <f t="shared" si="0"/>
        <v>165000</v>
      </c>
    </row>
    <row r="23" spans="1:12" x14ac:dyDescent="0.25">
      <c r="A23" s="864">
        <v>5</v>
      </c>
      <c r="B23" s="528" t="s">
        <v>32</v>
      </c>
      <c r="C23" s="178" t="s">
        <v>26</v>
      </c>
      <c r="D23" s="462"/>
      <c r="E23" s="681"/>
      <c r="F23" s="681"/>
      <c r="G23" s="681"/>
      <c r="H23" s="612"/>
      <c r="I23" s="167">
        <v>13</v>
      </c>
      <c r="J23" s="180">
        <v>55000</v>
      </c>
      <c r="K23" s="181">
        <f t="shared" si="0"/>
        <v>715000</v>
      </c>
    </row>
    <row r="24" spans="1:12" x14ac:dyDescent="0.25">
      <c r="A24" s="864">
        <v>6</v>
      </c>
      <c r="B24" s="865" t="s">
        <v>33</v>
      </c>
      <c r="C24" s="178" t="s">
        <v>26</v>
      </c>
      <c r="D24" s="462"/>
      <c r="E24" s="681"/>
      <c r="F24" s="681"/>
      <c r="G24" s="681"/>
      <c r="H24" s="612"/>
      <c r="I24" s="167">
        <v>2</v>
      </c>
      <c r="J24" s="180">
        <v>55000</v>
      </c>
      <c r="K24" s="181">
        <f t="shared" si="0"/>
        <v>110000</v>
      </c>
    </row>
    <row r="25" spans="1:12" x14ac:dyDescent="0.25">
      <c r="A25" s="862">
        <v>7</v>
      </c>
      <c r="B25" s="529" t="s">
        <v>34</v>
      </c>
      <c r="C25" s="178" t="s">
        <v>26</v>
      </c>
      <c r="D25" s="462"/>
      <c r="E25" s="681"/>
      <c r="F25" s="681"/>
      <c r="G25" s="681"/>
      <c r="H25" s="612"/>
      <c r="I25" s="167">
        <v>3</v>
      </c>
      <c r="J25" s="180">
        <v>55000</v>
      </c>
      <c r="K25" s="181">
        <f t="shared" si="0"/>
        <v>165000</v>
      </c>
    </row>
    <row r="26" spans="1:12" x14ac:dyDescent="0.25">
      <c r="A26" s="864">
        <v>8</v>
      </c>
      <c r="B26" s="528" t="s">
        <v>35</v>
      </c>
      <c r="C26" s="178" t="s">
        <v>26</v>
      </c>
      <c r="D26" s="462"/>
      <c r="E26" s="681"/>
      <c r="F26" s="681"/>
      <c r="G26" s="681"/>
      <c r="H26" s="612"/>
      <c r="I26" s="167">
        <v>3</v>
      </c>
      <c r="J26" s="180">
        <v>55000</v>
      </c>
      <c r="K26" s="181">
        <f t="shared" si="0"/>
        <v>165000</v>
      </c>
    </row>
    <row r="27" spans="1:12" x14ac:dyDescent="0.25">
      <c r="A27" s="864">
        <v>9</v>
      </c>
      <c r="B27" s="529" t="s">
        <v>75</v>
      </c>
      <c r="C27" s="178" t="s">
        <v>26</v>
      </c>
      <c r="D27" s="462"/>
      <c r="E27" s="681"/>
      <c r="F27" s="681"/>
      <c r="G27" s="681"/>
      <c r="H27" s="612"/>
      <c r="I27" s="167">
        <v>5</v>
      </c>
      <c r="J27" s="180">
        <v>55000</v>
      </c>
      <c r="K27" s="181">
        <f t="shared" si="0"/>
        <v>275000</v>
      </c>
    </row>
    <row r="28" spans="1:12" x14ac:dyDescent="0.25">
      <c r="A28" s="862">
        <v>10</v>
      </c>
      <c r="B28" s="529" t="s">
        <v>73</v>
      </c>
      <c r="C28" s="178" t="s">
        <v>26</v>
      </c>
      <c r="D28" s="462"/>
      <c r="E28" s="681"/>
      <c r="F28" s="681"/>
      <c r="G28" s="681"/>
      <c r="H28" s="612"/>
      <c r="I28" s="167">
        <v>4</v>
      </c>
      <c r="J28" s="180">
        <v>55000</v>
      </c>
      <c r="K28" s="181">
        <f t="shared" si="0"/>
        <v>220000</v>
      </c>
    </row>
    <row r="29" spans="1:12" x14ac:dyDescent="0.25">
      <c r="A29" s="864">
        <v>11</v>
      </c>
      <c r="B29" s="866" t="s">
        <v>38</v>
      </c>
      <c r="C29" s="178" t="s">
        <v>26</v>
      </c>
      <c r="D29" s="462"/>
      <c r="E29" s="681"/>
      <c r="F29" s="681"/>
      <c r="G29" s="681"/>
      <c r="H29" s="612"/>
      <c r="I29" s="167">
        <v>5</v>
      </c>
      <c r="J29" s="180">
        <v>55000</v>
      </c>
      <c r="K29" s="181">
        <f t="shared" si="0"/>
        <v>275000</v>
      </c>
    </row>
    <row r="30" spans="1:12" x14ac:dyDescent="0.25">
      <c r="A30" s="864">
        <v>12</v>
      </c>
      <c r="B30" s="529" t="s">
        <v>39</v>
      </c>
      <c r="C30" s="178" t="s">
        <v>26</v>
      </c>
      <c r="D30" s="462"/>
      <c r="E30" s="681"/>
      <c r="F30" s="681"/>
      <c r="G30" s="681"/>
      <c r="H30" s="612"/>
      <c r="I30" s="167">
        <v>2</v>
      </c>
      <c r="J30" s="180">
        <v>55000</v>
      </c>
      <c r="K30" s="181">
        <f t="shared" si="0"/>
        <v>110000</v>
      </c>
    </row>
    <row r="31" spans="1:12" x14ac:dyDescent="0.25">
      <c r="A31" s="862">
        <v>13</v>
      </c>
      <c r="B31" s="528" t="s">
        <v>40</v>
      </c>
      <c r="C31" s="178" t="s">
        <v>26</v>
      </c>
      <c r="D31" s="462"/>
      <c r="E31" s="808"/>
      <c r="F31" s="808"/>
      <c r="G31" s="808"/>
      <c r="H31" s="623"/>
      <c r="I31" s="167">
        <v>5</v>
      </c>
      <c r="J31" s="180">
        <v>55000</v>
      </c>
      <c r="K31" s="181">
        <f t="shared" si="0"/>
        <v>275000</v>
      </c>
    </row>
    <row r="32" spans="1:12" x14ac:dyDescent="0.25">
      <c r="A32" s="864">
        <v>14</v>
      </c>
      <c r="B32" s="529" t="s">
        <v>42</v>
      </c>
      <c r="C32" s="178" t="s">
        <v>26</v>
      </c>
      <c r="D32" s="462"/>
      <c r="E32" s="808"/>
      <c r="F32" s="808"/>
      <c r="G32" s="808"/>
      <c r="H32" s="623"/>
      <c r="I32" s="167">
        <v>10</v>
      </c>
      <c r="J32" s="180">
        <v>55000</v>
      </c>
      <c r="K32" s="181">
        <f t="shared" si="0"/>
        <v>550000</v>
      </c>
    </row>
    <row r="33" spans="1:11" x14ac:dyDescent="0.25">
      <c r="A33" s="864">
        <v>15</v>
      </c>
      <c r="B33" s="866" t="s">
        <v>44</v>
      </c>
      <c r="C33" s="178" t="s">
        <v>26</v>
      </c>
      <c r="D33" s="462"/>
      <c r="E33" s="808"/>
      <c r="F33" s="808"/>
      <c r="G33" s="808"/>
      <c r="H33" s="623"/>
      <c r="I33" s="867">
        <v>1</v>
      </c>
      <c r="J33" s="180">
        <v>55000</v>
      </c>
      <c r="K33" s="868">
        <v>55000</v>
      </c>
    </row>
    <row r="34" spans="1:11" x14ac:dyDescent="0.25">
      <c r="A34" s="862">
        <v>16</v>
      </c>
      <c r="B34" s="529" t="s">
        <v>45</v>
      </c>
      <c r="C34" s="178" t="s">
        <v>26</v>
      </c>
      <c r="D34" s="462"/>
      <c r="E34" s="808"/>
      <c r="F34" s="808"/>
      <c r="G34" s="808"/>
      <c r="H34" s="623"/>
      <c r="I34" s="167">
        <v>15</v>
      </c>
      <c r="J34" s="180">
        <v>55000</v>
      </c>
      <c r="K34" s="181">
        <f>IF((C33)&gt;0,SUM(J33*I34),"")</f>
        <v>825000</v>
      </c>
    </row>
    <row r="35" spans="1:11" x14ac:dyDescent="0.25">
      <c r="A35" s="864">
        <v>17</v>
      </c>
      <c r="B35" s="528" t="s">
        <v>46</v>
      </c>
      <c r="C35" s="178" t="s">
        <v>26</v>
      </c>
      <c r="D35" s="462"/>
      <c r="E35" s="808"/>
      <c r="F35" s="808"/>
      <c r="G35" s="808"/>
      <c r="H35" s="623"/>
      <c r="I35" s="167">
        <v>1</v>
      </c>
      <c r="J35" s="180">
        <v>55000</v>
      </c>
      <c r="K35" s="181">
        <f>IF((C34)&gt;0,SUM(J34*I35),"")</f>
        <v>55000</v>
      </c>
    </row>
    <row r="36" spans="1:11" x14ac:dyDescent="0.25">
      <c r="A36" s="864">
        <v>18</v>
      </c>
      <c r="B36" s="529" t="s">
        <v>47</v>
      </c>
      <c r="C36" s="178" t="s">
        <v>26</v>
      </c>
      <c r="D36" s="462"/>
      <c r="E36" s="808"/>
      <c r="F36" s="808"/>
      <c r="G36" s="808"/>
      <c r="H36" s="623"/>
      <c r="I36" s="167">
        <v>11</v>
      </c>
      <c r="J36" s="180">
        <v>55000</v>
      </c>
      <c r="K36" s="181">
        <f t="shared" ref="K36:K55" si="1">IF((C36)&gt;0,SUM(J36*I36),"")</f>
        <v>605000</v>
      </c>
    </row>
    <row r="37" spans="1:11" x14ac:dyDescent="0.25">
      <c r="A37" s="862">
        <v>19</v>
      </c>
      <c r="B37" s="528" t="s">
        <v>48</v>
      </c>
      <c r="C37" s="178" t="s">
        <v>26</v>
      </c>
      <c r="D37" s="462"/>
      <c r="E37" s="806"/>
      <c r="F37" s="806"/>
      <c r="G37" s="806"/>
      <c r="H37" s="185"/>
      <c r="I37" s="167">
        <v>5</v>
      </c>
      <c r="J37" s="180">
        <v>55000</v>
      </c>
      <c r="K37" s="181">
        <f t="shared" si="1"/>
        <v>275000</v>
      </c>
    </row>
    <row r="38" spans="1:11" x14ac:dyDescent="0.25">
      <c r="A38" s="864">
        <v>20</v>
      </c>
      <c r="B38" s="529" t="s">
        <v>49</v>
      </c>
      <c r="C38" s="178" t="s">
        <v>26</v>
      </c>
      <c r="D38" s="462"/>
      <c r="E38" s="806"/>
      <c r="F38" s="806"/>
      <c r="G38" s="806"/>
      <c r="H38" s="185"/>
      <c r="I38" s="167">
        <v>1</v>
      </c>
      <c r="J38" s="180">
        <v>55000</v>
      </c>
      <c r="K38" s="181">
        <f t="shared" si="1"/>
        <v>55000</v>
      </c>
    </row>
    <row r="39" spans="1:11" x14ac:dyDescent="0.25">
      <c r="A39" s="864">
        <v>21</v>
      </c>
      <c r="B39" s="529" t="s">
        <v>50</v>
      </c>
      <c r="C39" s="178" t="s">
        <v>26</v>
      </c>
      <c r="D39" s="462"/>
      <c r="E39" s="806"/>
      <c r="F39" s="806"/>
      <c r="G39" s="806"/>
      <c r="H39" s="185"/>
      <c r="I39" s="167">
        <v>1</v>
      </c>
      <c r="J39" s="180">
        <v>55000</v>
      </c>
      <c r="K39" s="181">
        <f t="shared" si="1"/>
        <v>55000</v>
      </c>
    </row>
    <row r="40" spans="1:11" x14ac:dyDescent="0.25">
      <c r="A40" s="862">
        <v>22</v>
      </c>
      <c r="B40" s="528" t="s">
        <v>52</v>
      </c>
      <c r="C40" s="178" t="s">
        <v>26</v>
      </c>
      <c r="D40" s="462"/>
      <c r="E40" s="806"/>
      <c r="F40" s="806"/>
      <c r="G40" s="806"/>
      <c r="H40" s="185"/>
      <c r="I40" s="167">
        <v>2</v>
      </c>
      <c r="J40" s="180">
        <v>55000</v>
      </c>
      <c r="K40" s="181">
        <f t="shared" si="1"/>
        <v>110000</v>
      </c>
    </row>
    <row r="41" spans="1:11" x14ac:dyDescent="0.25">
      <c r="A41" s="864">
        <v>23</v>
      </c>
      <c r="B41" s="529" t="s">
        <v>51</v>
      </c>
      <c r="C41" s="178" t="s">
        <v>26</v>
      </c>
      <c r="D41" s="462"/>
      <c r="E41" s="680"/>
      <c r="F41" s="680"/>
      <c r="G41" s="680"/>
      <c r="H41" s="182"/>
      <c r="I41" s="168">
        <v>1</v>
      </c>
      <c r="J41" s="180">
        <v>55000</v>
      </c>
      <c r="K41" s="181">
        <f t="shared" si="1"/>
        <v>55000</v>
      </c>
    </row>
    <row r="42" spans="1:11" x14ac:dyDescent="0.25">
      <c r="A42" s="864">
        <v>24</v>
      </c>
      <c r="B42" s="529" t="s">
        <v>53</v>
      </c>
      <c r="C42" s="178" t="s">
        <v>26</v>
      </c>
      <c r="D42" s="462"/>
      <c r="E42" s="680"/>
      <c r="F42" s="680"/>
      <c r="G42" s="680"/>
      <c r="H42" s="182"/>
      <c r="I42" s="168">
        <v>96</v>
      </c>
      <c r="J42" s="180">
        <v>55000</v>
      </c>
      <c r="K42" s="181">
        <f t="shared" si="1"/>
        <v>5280000</v>
      </c>
    </row>
    <row r="43" spans="1:11" x14ac:dyDescent="0.25">
      <c r="A43" s="862">
        <v>25</v>
      </c>
      <c r="B43" s="528" t="s">
        <v>55</v>
      </c>
      <c r="C43" s="178" t="s">
        <v>26</v>
      </c>
      <c r="D43" s="462"/>
      <c r="E43" s="869"/>
      <c r="F43" s="870"/>
      <c r="G43" s="871"/>
      <c r="H43" s="182"/>
      <c r="I43" s="168">
        <v>3</v>
      </c>
      <c r="J43" s="180">
        <v>55000</v>
      </c>
      <c r="K43" s="181">
        <f t="shared" si="1"/>
        <v>165000</v>
      </c>
    </row>
    <row r="44" spans="1:11" x14ac:dyDescent="0.25">
      <c r="A44" s="864">
        <v>26</v>
      </c>
      <c r="B44" s="529" t="s">
        <v>56</v>
      </c>
      <c r="C44" s="178" t="s">
        <v>26</v>
      </c>
      <c r="D44" s="462"/>
      <c r="E44" s="680"/>
      <c r="F44" s="680"/>
      <c r="G44" s="680"/>
      <c r="H44" s="182"/>
      <c r="I44" s="168">
        <v>4</v>
      </c>
      <c r="J44" s="180">
        <v>55000</v>
      </c>
      <c r="K44" s="181">
        <f t="shared" si="1"/>
        <v>220000</v>
      </c>
    </row>
    <row r="45" spans="1:11" x14ac:dyDescent="0.25">
      <c r="A45" s="864">
        <v>27</v>
      </c>
      <c r="B45" s="529" t="s">
        <v>57</v>
      </c>
      <c r="C45" s="178" t="s">
        <v>26</v>
      </c>
      <c r="D45" s="462"/>
      <c r="E45" s="805"/>
      <c r="F45" s="805"/>
      <c r="G45" s="805"/>
      <c r="H45" s="625"/>
      <c r="I45" s="169">
        <v>1</v>
      </c>
      <c r="J45" s="180">
        <v>55000</v>
      </c>
      <c r="K45" s="181">
        <f t="shared" si="1"/>
        <v>55000</v>
      </c>
    </row>
    <row r="46" spans="1:11" x14ac:dyDescent="0.25">
      <c r="A46" s="862">
        <v>28</v>
      </c>
      <c r="B46" s="528" t="s">
        <v>58</v>
      </c>
      <c r="C46" s="178" t="s">
        <v>26</v>
      </c>
      <c r="D46" s="462"/>
      <c r="E46" s="807"/>
      <c r="F46" s="807"/>
      <c r="G46" s="807"/>
      <c r="H46" s="624"/>
      <c r="I46" s="170">
        <v>2</v>
      </c>
      <c r="J46" s="180">
        <v>55000</v>
      </c>
      <c r="K46" s="181">
        <f t="shared" si="1"/>
        <v>110000</v>
      </c>
    </row>
    <row r="47" spans="1:11" x14ac:dyDescent="0.25">
      <c r="A47" s="864">
        <v>29</v>
      </c>
      <c r="B47" s="529" t="s">
        <v>59</v>
      </c>
      <c r="C47" s="178" t="s">
        <v>26</v>
      </c>
      <c r="D47" s="462"/>
      <c r="E47" s="807"/>
      <c r="F47" s="807"/>
      <c r="G47" s="807"/>
      <c r="H47" s="624"/>
      <c r="I47" s="170">
        <v>4</v>
      </c>
      <c r="J47" s="180">
        <v>55000</v>
      </c>
      <c r="K47" s="181">
        <f t="shared" si="1"/>
        <v>220000</v>
      </c>
    </row>
    <row r="48" spans="1:11" x14ac:dyDescent="0.25">
      <c r="A48" s="864">
        <v>30</v>
      </c>
      <c r="B48" s="529" t="s">
        <v>60</v>
      </c>
      <c r="C48" s="178" t="s">
        <v>26</v>
      </c>
      <c r="D48" s="462"/>
      <c r="E48" s="805"/>
      <c r="F48" s="805"/>
      <c r="G48" s="805"/>
      <c r="H48" s="625"/>
      <c r="I48" s="169">
        <v>9</v>
      </c>
      <c r="J48" s="180">
        <v>55000</v>
      </c>
      <c r="K48" s="181">
        <f t="shared" si="1"/>
        <v>495000</v>
      </c>
    </row>
    <row r="49" spans="1:11" x14ac:dyDescent="0.25">
      <c r="A49" s="862">
        <v>31</v>
      </c>
      <c r="B49" s="528" t="s">
        <v>61</v>
      </c>
      <c r="C49" s="178" t="s">
        <v>26</v>
      </c>
      <c r="D49" s="462"/>
      <c r="E49" s="805"/>
      <c r="F49" s="805"/>
      <c r="G49" s="805"/>
      <c r="H49" s="625"/>
      <c r="I49" s="171">
        <v>11</v>
      </c>
      <c r="J49" s="180">
        <v>55000</v>
      </c>
      <c r="K49" s="181">
        <f t="shared" si="1"/>
        <v>605000</v>
      </c>
    </row>
    <row r="50" spans="1:11" x14ac:dyDescent="0.25">
      <c r="A50" s="864">
        <v>32</v>
      </c>
      <c r="B50" s="529" t="s">
        <v>62</v>
      </c>
      <c r="C50" s="178" t="s">
        <v>26</v>
      </c>
      <c r="D50" s="462"/>
      <c r="E50" s="799"/>
      <c r="F50" s="799"/>
      <c r="G50" s="799"/>
      <c r="H50" s="626"/>
      <c r="I50" s="872">
        <v>1</v>
      </c>
      <c r="J50" s="180">
        <v>55000</v>
      </c>
      <c r="K50" s="181">
        <f t="shared" si="1"/>
        <v>55000</v>
      </c>
    </row>
    <row r="51" spans="1:11" x14ac:dyDescent="0.25">
      <c r="A51" s="864">
        <v>33</v>
      </c>
      <c r="B51" s="529" t="s">
        <v>63</v>
      </c>
      <c r="C51" s="178" t="s">
        <v>26</v>
      </c>
      <c r="D51" s="462"/>
      <c r="E51" s="799"/>
      <c r="F51" s="799"/>
      <c r="G51" s="799"/>
      <c r="H51" s="626"/>
      <c r="I51" s="872">
        <v>1</v>
      </c>
      <c r="J51" s="180">
        <v>55000</v>
      </c>
      <c r="K51" s="181">
        <f t="shared" si="1"/>
        <v>55000</v>
      </c>
    </row>
    <row r="52" spans="1:11" x14ac:dyDescent="0.25">
      <c r="A52" s="862">
        <v>34</v>
      </c>
      <c r="B52" s="528" t="s">
        <v>74</v>
      </c>
      <c r="C52" s="178" t="s">
        <v>26</v>
      </c>
      <c r="D52" s="462"/>
      <c r="E52" s="799"/>
      <c r="F52" s="799"/>
      <c r="G52" s="799"/>
      <c r="H52" s="626"/>
      <c r="I52" s="873">
        <v>10</v>
      </c>
      <c r="J52" s="180">
        <v>55000</v>
      </c>
      <c r="K52" s="181">
        <f t="shared" si="1"/>
        <v>550000</v>
      </c>
    </row>
    <row r="53" spans="1:11" x14ac:dyDescent="0.25">
      <c r="A53" s="862">
        <v>35</v>
      </c>
      <c r="B53" s="528" t="s">
        <v>41</v>
      </c>
      <c r="C53" s="178" t="s">
        <v>26</v>
      </c>
      <c r="D53" s="462"/>
      <c r="E53" s="874"/>
      <c r="F53" s="875"/>
      <c r="G53" s="876"/>
      <c r="H53" s="626"/>
      <c r="I53" s="873"/>
      <c r="J53" s="180">
        <v>55000</v>
      </c>
      <c r="K53" s="181">
        <f t="shared" si="1"/>
        <v>0</v>
      </c>
    </row>
    <row r="54" spans="1:11" x14ac:dyDescent="0.25">
      <c r="A54" s="864">
        <v>36</v>
      </c>
      <c r="B54" s="529" t="s">
        <v>64</v>
      </c>
      <c r="C54" s="178" t="s">
        <v>26</v>
      </c>
      <c r="D54" s="462"/>
      <c r="E54" s="801"/>
      <c r="F54" s="801"/>
      <c r="G54" s="801"/>
      <c r="H54" s="190"/>
      <c r="I54" s="877">
        <v>1</v>
      </c>
      <c r="J54" s="180">
        <v>55000</v>
      </c>
      <c r="K54" s="181">
        <f t="shared" si="1"/>
        <v>55000</v>
      </c>
    </row>
    <row r="55" spans="1:11" x14ac:dyDescent="0.25">
      <c r="A55" s="862">
        <v>37</v>
      </c>
      <c r="B55" s="528" t="s">
        <v>65</v>
      </c>
      <c r="C55" s="178" t="s">
        <v>26</v>
      </c>
      <c r="D55" s="462"/>
      <c r="E55" s="801"/>
      <c r="F55" s="801"/>
      <c r="G55" s="801"/>
      <c r="H55" s="190"/>
      <c r="I55" s="877">
        <v>1</v>
      </c>
      <c r="J55" s="180">
        <v>55000</v>
      </c>
      <c r="K55" s="181">
        <f t="shared" si="1"/>
        <v>55000</v>
      </c>
    </row>
    <row r="56" spans="1:11" ht="15.75" x14ac:dyDescent="0.25">
      <c r="A56" s="474"/>
      <c r="B56" s="474"/>
      <c r="C56" s="465"/>
      <c r="D56" s="465"/>
      <c r="E56" s="194"/>
      <c r="F56" s="194"/>
      <c r="G56" s="194"/>
      <c r="H56" s="194"/>
      <c r="I56" s="430"/>
      <c r="J56" s="861" t="s">
        <v>69</v>
      </c>
      <c r="K56" s="879">
        <f>SUM(K16:K55)</f>
        <v>14960000</v>
      </c>
    </row>
    <row r="57" spans="1:11" ht="15.75" x14ac:dyDescent="0.25">
      <c r="A57" s="474"/>
      <c r="B57" s="474"/>
      <c r="C57" s="465"/>
      <c r="D57" s="207"/>
      <c r="E57" s="199"/>
      <c r="F57" s="199"/>
      <c r="G57" s="199"/>
      <c r="H57" s="199"/>
      <c r="I57" s="878"/>
      <c r="J57" s="861" t="s">
        <v>67</v>
      </c>
      <c r="K57" s="879">
        <v>20000</v>
      </c>
    </row>
    <row r="58" spans="1:11" ht="15.75" x14ac:dyDescent="0.25">
      <c r="A58" s="474" t="s">
        <v>267</v>
      </c>
      <c r="B58" s="465"/>
      <c r="C58" s="465"/>
      <c r="D58" s="294"/>
      <c r="E58" s="199"/>
      <c r="F58" s="199"/>
      <c r="G58" s="199"/>
      <c r="H58" s="199"/>
      <c r="I58" s="200"/>
      <c r="J58" s="861" t="s">
        <v>68</v>
      </c>
      <c r="K58" s="879">
        <f>(K56+K57)*5%</f>
        <v>749000</v>
      </c>
    </row>
    <row r="59" spans="1:11" ht="15.75" x14ac:dyDescent="0.25">
      <c r="A59" s="474"/>
      <c r="B59" s="465"/>
      <c r="C59" s="465"/>
      <c r="D59" s="207"/>
      <c r="E59" s="199"/>
      <c r="F59" s="199"/>
      <c r="G59" s="199"/>
      <c r="H59" s="199"/>
      <c r="I59" s="200"/>
      <c r="J59" s="861" t="s">
        <v>70</v>
      </c>
      <c r="K59" s="634">
        <f>K56+K57+K58</f>
        <v>15729000</v>
      </c>
    </row>
    <row r="60" spans="1:11" ht="15.75" x14ac:dyDescent="0.25">
      <c r="A60" s="485"/>
      <c r="B60" s="467"/>
      <c r="C60" s="467"/>
      <c r="D60" s="468"/>
      <c r="E60" s="469"/>
      <c r="F60" s="469"/>
      <c r="G60" s="469"/>
      <c r="H60" s="469"/>
      <c r="I60" s="470"/>
      <c r="J60" s="471"/>
      <c r="K60" s="472"/>
    </row>
    <row r="61" spans="1:11" ht="16.5" thickBot="1" x14ac:dyDescent="0.3">
      <c r="A61" s="97"/>
      <c r="B61" s="98"/>
      <c r="C61" s="98"/>
      <c r="D61" s="99"/>
      <c r="E61" s="100"/>
      <c r="F61" s="100"/>
      <c r="G61" s="100"/>
      <c r="H61" s="100"/>
      <c r="I61" s="379"/>
      <c r="J61" s="101"/>
      <c r="K61" s="102"/>
    </row>
    <row r="62" spans="1:11" x14ac:dyDescent="0.25">
      <c r="A62" s="705" t="s">
        <v>23</v>
      </c>
      <c r="B62" s="706"/>
      <c r="C62" s="706"/>
      <c r="D62" s="706"/>
      <c r="E62" s="706"/>
      <c r="F62" s="706"/>
      <c r="G62" s="706"/>
      <c r="H62" s="706"/>
      <c r="I62" s="706"/>
      <c r="J62" s="706"/>
      <c r="K62" s="707"/>
    </row>
    <row r="63" spans="1:11" ht="15.75" thickBot="1" x14ac:dyDescent="0.3">
      <c r="A63" s="708"/>
      <c r="B63" s="709"/>
      <c r="C63" s="709"/>
      <c r="D63" s="709"/>
      <c r="E63" s="709"/>
      <c r="F63" s="709"/>
      <c r="G63" s="709"/>
      <c r="H63" s="709"/>
      <c r="I63" s="709"/>
      <c r="J63" s="709"/>
      <c r="K63" s="710"/>
    </row>
  </sheetData>
  <mergeCells count="47">
    <mergeCell ref="A62:K63"/>
    <mergeCell ref="E52:G52"/>
    <mergeCell ref="E54:G54"/>
    <mergeCell ref="E55:G55"/>
    <mergeCell ref="E53:G53"/>
    <mergeCell ref="E43:G43"/>
    <mergeCell ref="E46:G46"/>
    <mergeCell ref="E47:G47"/>
    <mergeCell ref="E48:G48"/>
    <mergeCell ref="E49:G49"/>
    <mergeCell ref="E50:G50"/>
    <mergeCell ref="E35:G35"/>
    <mergeCell ref="E36:G36"/>
    <mergeCell ref="E37:G37"/>
    <mergeCell ref="E38:G38"/>
    <mergeCell ref="E51:G51"/>
    <mergeCell ref="E40:G40"/>
    <mergeCell ref="E41:G41"/>
    <mergeCell ref="E42:G42"/>
    <mergeCell ref="E44:G44"/>
    <mergeCell ref="E45:G45"/>
    <mergeCell ref="E25:G25"/>
    <mergeCell ref="E26:G26"/>
    <mergeCell ref="E39:G39"/>
    <mergeCell ref="E28:G28"/>
    <mergeCell ref="E29:G29"/>
    <mergeCell ref="E30:G30"/>
    <mergeCell ref="E31:G31"/>
    <mergeCell ref="E32:G32"/>
    <mergeCell ref="E33:G33"/>
    <mergeCell ref="E34:G34"/>
    <mergeCell ref="E27:G27"/>
    <mergeCell ref="A16:E16"/>
    <mergeCell ref="G16:H16"/>
    <mergeCell ref="E18:G18"/>
    <mergeCell ref="E19:G19"/>
    <mergeCell ref="E20:G20"/>
    <mergeCell ref="E21:G21"/>
    <mergeCell ref="E22:G22"/>
    <mergeCell ref="E23:G23"/>
    <mergeCell ref="E24:G24"/>
    <mergeCell ref="E1:K1"/>
    <mergeCell ref="D13:E13"/>
    <mergeCell ref="F13:G13"/>
    <mergeCell ref="A14:K14"/>
    <mergeCell ref="A15:E15"/>
    <mergeCell ref="G15:H15"/>
  </mergeCells>
  <pageMargins left="0.70866141732283472" right="0.70866141732283472" top="0.74803149606299213" bottom="0.74803149606299213" header="0.31496062992125984" footer="0.31496062992125984"/>
  <pageSetup scale="7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Views>
    <sheetView view="pageBreakPreview" topLeftCell="A16" zoomScale="96" zoomScaleNormal="100" zoomScaleSheetLayoutView="96" workbookViewId="0">
      <selection activeCell="E2" sqref="E2"/>
    </sheetView>
  </sheetViews>
  <sheetFormatPr defaultRowHeight="15" x14ac:dyDescent="0.25"/>
  <cols>
    <col min="3" max="3" width="16.28515625" customWidth="1"/>
    <col min="9" max="9" width="13.42578125" customWidth="1"/>
    <col min="10" max="10" width="14.42578125" style="380" customWidth="1"/>
    <col min="11" max="11" width="23" customWidth="1"/>
  </cols>
  <sheetData>
    <row r="1" spans="1:11" ht="46.5" x14ac:dyDescent="0.55000000000000004">
      <c r="A1" s="1"/>
      <c r="B1" s="2"/>
      <c r="C1" s="2"/>
      <c r="D1" s="2"/>
      <c r="E1" s="712" t="s">
        <v>0</v>
      </c>
      <c r="F1" s="712"/>
      <c r="G1" s="712"/>
      <c r="H1" s="712"/>
      <c r="I1" s="712"/>
      <c r="J1" s="712"/>
      <c r="K1" s="713"/>
    </row>
    <row r="2" spans="1:11" ht="17.25" x14ac:dyDescent="0.3">
      <c r="A2" s="3"/>
      <c r="B2" s="4"/>
      <c r="C2" s="4"/>
      <c r="D2" s="4"/>
      <c r="E2" s="5"/>
      <c r="F2" s="5"/>
      <c r="G2" s="6"/>
      <c r="H2" s="6"/>
      <c r="I2" s="7"/>
      <c r="J2" s="372"/>
      <c r="K2" s="8"/>
    </row>
    <row r="3" spans="1:11" x14ac:dyDescent="0.25">
      <c r="A3" s="9"/>
      <c r="J3" s="373"/>
      <c r="K3" s="14"/>
    </row>
    <row r="4" spans="1:11" ht="20.25" x14ac:dyDescent="0.3">
      <c r="A4" s="9"/>
      <c r="B4" s="10"/>
      <c r="C4" s="10"/>
      <c r="D4" s="10"/>
      <c r="E4" s="11"/>
      <c r="F4" s="12"/>
      <c r="G4" s="12"/>
      <c r="H4" s="12"/>
      <c r="I4" s="13"/>
      <c r="J4" s="374"/>
      <c r="K4" s="18"/>
    </row>
    <row r="5" spans="1:11" x14ac:dyDescent="0.25">
      <c r="A5" s="19"/>
      <c r="B5" s="10"/>
      <c r="C5" s="15"/>
      <c r="D5" s="15"/>
      <c r="E5" s="16"/>
      <c r="F5" s="15"/>
      <c r="G5" s="15"/>
      <c r="H5" s="15"/>
      <c r="I5" s="17"/>
      <c r="J5" s="374"/>
      <c r="K5" s="18"/>
    </row>
    <row r="6" spans="1:11" ht="15.75" x14ac:dyDescent="0.3">
      <c r="A6" s="23"/>
      <c r="B6" s="15"/>
      <c r="C6" s="15"/>
      <c r="D6" s="20"/>
      <c r="E6" s="21"/>
      <c r="F6" s="20"/>
      <c r="G6" s="22"/>
      <c r="H6" s="22"/>
      <c r="I6" s="17"/>
      <c r="J6" s="374"/>
      <c r="K6" s="25">
        <f ca="1">TODAY()</f>
        <v>41556</v>
      </c>
    </row>
    <row r="7" spans="1:11" ht="15.75" x14ac:dyDescent="0.3">
      <c r="A7" s="23"/>
      <c r="B7" s="24"/>
      <c r="C7" s="24"/>
      <c r="D7" s="24"/>
      <c r="E7" s="22"/>
      <c r="F7" s="22"/>
      <c r="G7" s="22"/>
      <c r="H7" s="22"/>
      <c r="I7" s="17"/>
      <c r="J7" s="336"/>
      <c r="K7" s="28" t="s">
        <v>3</v>
      </c>
    </row>
    <row r="8" spans="1:11" x14ac:dyDescent="0.25">
      <c r="A8" s="29"/>
      <c r="B8" s="80"/>
      <c r="C8" s="30" t="s">
        <v>71</v>
      </c>
      <c r="D8" s="31" t="s">
        <v>77</v>
      </c>
      <c r="E8" s="32"/>
      <c r="F8" s="31"/>
      <c r="G8" s="32"/>
      <c r="H8" s="32"/>
      <c r="I8" s="33"/>
      <c r="J8" s="333"/>
      <c r="K8" s="34"/>
    </row>
    <row r="9" spans="1:11" x14ac:dyDescent="0.25">
      <c r="A9" s="35"/>
      <c r="B9" s="36"/>
      <c r="C9" s="37" t="s">
        <v>4</v>
      </c>
      <c r="D9" s="38"/>
      <c r="E9" s="39"/>
      <c r="F9" s="38"/>
      <c r="G9" s="39"/>
      <c r="H9" s="39"/>
      <c r="I9" s="40"/>
      <c r="J9" s="328"/>
      <c r="K9" s="41"/>
    </row>
    <row r="10" spans="1:11" x14ac:dyDescent="0.25">
      <c r="A10" s="42"/>
      <c r="B10" s="81"/>
      <c r="C10" s="37" t="s">
        <v>12</v>
      </c>
      <c r="D10" s="44"/>
      <c r="E10" s="45"/>
      <c r="F10" s="44"/>
      <c r="G10" s="45"/>
      <c r="H10" s="45"/>
      <c r="I10" s="40"/>
      <c r="J10" s="328"/>
      <c r="K10" s="41"/>
    </row>
    <row r="11" spans="1:11" x14ac:dyDescent="0.25">
      <c r="A11" s="42"/>
      <c r="B11" s="81"/>
      <c r="C11" s="37" t="s">
        <v>13</v>
      </c>
      <c r="D11" s="46" t="s">
        <v>14</v>
      </c>
      <c r="E11" s="45"/>
      <c r="F11" s="46"/>
      <c r="G11" s="45"/>
      <c r="H11" s="45"/>
      <c r="I11" s="40"/>
      <c r="J11" s="328"/>
      <c r="K11" s="41"/>
    </row>
    <row r="12" spans="1:11" ht="15.75" x14ac:dyDescent="0.3">
      <c r="A12" s="47"/>
      <c r="B12" s="43"/>
      <c r="C12" s="48" t="s">
        <v>5</v>
      </c>
      <c r="D12" s="44"/>
      <c r="E12" s="45"/>
      <c r="F12" s="44"/>
      <c r="G12" s="45"/>
      <c r="H12" s="45"/>
      <c r="I12" s="40"/>
      <c r="J12" s="328"/>
      <c r="K12" s="41"/>
    </row>
    <row r="13" spans="1:11" ht="15.75" x14ac:dyDescent="0.3">
      <c r="A13" s="47"/>
      <c r="B13" s="43"/>
      <c r="C13" s="48" t="s">
        <v>15</v>
      </c>
      <c r="D13" s="49"/>
      <c r="E13" s="45"/>
      <c r="F13" s="49"/>
      <c r="G13" s="45"/>
      <c r="H13" s="45"/>
      <c r="I13" s="40"/>
      <c r="J13" s="328"/>
      <c r="K13" s="41"/>
    </row>
    <row r="14" spans="1:11" ht="15.75" x14ac:dyDescent="0.3">
      <c r="A14" s="50"/>
      <c r="B14" s="43"/>
      <c r="C14" s="74" t="s">
        <v>6</v>
      </c>
      <c r="D14" s="714"/>
      <c r="E14" s="714"/>
      <c r="F14" s="714"/>
      <c r="G14" s="714"/>
      <c r="H14" s="92"/>
      <c r="I14" s="51"/>
      <c r="J14" s="375"/>
      <c r="K14" s="51"/>
    </row>
    <row r="15" spans="1:11" ht="15.75" x14ac:dyDescent="0.3">
      <c r="A15" s="715"/>
      <c r="B15" s="716"/>
      <c r="C15" s="716"/>
      <c r="D15" s="716"/>
      <c r="E15" s="716"/>
      <c r="F15" s="716"/>
      <c r="G15" s="716"/>
      <c r="H15" s="716"/>
      <c r="I15" s="716"/>
      <c r="J15" s="716"/>
      <c r="K15" s="717"/>
    </row>
    <row r="16" spans="1:11" x14ac:dyDescent="0.25">
      <c r="A16" s="718" t="s">
        <v>7</v>
      </c>
      <c r="B16" s="719"/>
      <c r="C16" s="719"/>
      <c r="D16" s="719"/>
      <c r="E16" s="720"/>
      <c r="F16" s="52" t="s">
        <v>16</v>
      </c>
      <c r="G16" s="721" t="s">
        <v>17</v>
      </c>
      <c r="H16" s="719"/>
      <c r="I16" s="95"/>
      <c r="J16" s="376"/>
      <c r="K16" s="53" t="s">
        <v>8</v>
      </c>
    </row>
    <row r="17" spans="1:12" ht="15.75" x14ac:dyDescent="0.3">
      <c r="A17" s="722" t="s">
        <v>24</v>
      </c>
      <c r="B17" s="723"/>
      <c r="C17" s="723"/>
      <c r="D17" s="723"/>
      <c r="E17" s="724"/>
      <c r="F17" s="54"/>
      <c r="G17" s="725"/>
      <c r="H17" s="726"/>
      <c r="I17" s="88"/>
      <c r="J17" s="385"/>
      <c r="K17" s="55" t="s">
        <v>9</v>
      </c>
    </row>
    <row r="18" spans="1:12" ht="15.75" x14ac:dyDescent="0.3">
      <c r="A18" s="56"/>
      <c r="B18" s="57"/>
      <c r="C18" s="57"/>
      <c r="D18" s="57"/>
      <c r="E18" s="58"/>
      <c r="F18" s="59"/>
      <c r="G18" s="59"/>
      <c r="H18" s="59"/>
      <c r="I18" s="60"/>
      <c r="J18" s="378"/>
      <c r="K18" s="61"/>
    </row>
    <row r="19" spans="1:12" x14ac:dyDescent="0.25">
      <c r="A19" s="62" t="s">
        <v>18</v>
      </c>
      <c r="B19" s="62" t="s">
        <v>27</v>
      </c>
      <c r="C19" s="62" t="s">
        <v>19</v>
      </c>
      <c r="D19" s="62" t="s">
        <v>20</v>
      </c>
      <c r="E19" s="711" t="s">
        <v>21</v>
      </c>
      <c r="F19" s="711"/>
      <c r="G19" s="711"/>
      <c r="H19" s="96" t="s">
        <v>10</v>
      </c>
      <c r="I19" s="52" t="s">
        <v>25</v>
      </c>
      <c r="J19" s="165" t="s">
        <v>28</v>
      </c>
      <c r="K19" s="52" t="s">
        <v>22</v>
      </c>
    </row>
    <row r="20" spans="1:12" ht="15.75" x14ac:dyDescent="0.3">
      <c r="A20" s="63">
        <v>1</v>
      </c>
      <c r="B20" s="63" t="s">
        <v>43</v>
      </c>
      <c r="C20" s="82" t="s">
        <v>26</v>
      </c>
      <c r="D20" s="83"/>
      <c r="E20" s="699"/>
      <c r="F20" s="700"/>
      <c r="G20" s="701"/>
      <c r="H20" s="93"/>
      <c r="I20" s="64">
        <v>1</v>
      </c>
      <c r="J20" s="386">
        <v>55000</v>
      </c>
      <c r="K20" s="75">
        <f>IF((C20)&gt;0,SUM(J20*I20),"")</f>
        <v>55000</v>
      </c>
    </row>
    <row r="21" spans="1:12" ht="15.75" x14ac:dyDescent="0.3">
      <c r="A21" s="65"/>
      <c r="B21" s="65"/>
      <c r="C21" s="82"/>
      <c r="D21" s="83"/>
      <c r="E21" s="735"/>
      <c r="F21" s="735"/>
      <c r="G21" s="735"/>
      <c r="H21" s="90"/>
      <c r="I21" s="64"/>
      <c r="J21" s="387"/>
      <c r="K21" s="75" t="str">
        <f t="shared" ref="K21:K29" si="0">IF((C21)&gt;0,SUM(J21*I21),"")</f>
        <v/>
      </c>
    </row>
    <row r="22" spans="1:12" ht="15.75" x14ac:dyDescent="0.3">
      <c r="A22" s="65"/>
      <c r="B22" s="65"/>
      <c r="C22" s="82"/>
      <c r="D22" s="83"/>
      <c r="E22" s="735"/>
      <c r="F22" s="735"/>
      <c r="G22" s="735"/>
      <c r="H22" s="90"/>
      <c r="I22" s="64"/>
      <c r="J22" s="387"/>
      <c r="K22" s="75" t="str">
        <f t="shared" si="0"/>
        <v/>
      </c>
    </row>
    <row r="23" spans="1:12" ht="15.75" x14ac:dyDescent="0.3">
      <c r="A23" s="63"/>
      <c r="B23" s="63"/>
      <c r="C23" s="82"/>
      <c r="D23" s="83"/>
      <c r="E23" s="735"/>
      <c r="F23" s="735"/>
      <c r="G23" s="735"/>
      <c r="H23" s="90"/>
      <c r="I23" s="64"/>
      <c r="J23" s="387"/>
      <c r="K23" s="75" t="str">
        <f t="shared" si="0"/>
        <v/>
      </c>
    </row>
    <row r="24" spans="1:12" ht="15.75" x14ac:dyDescent="0.3">
      <c r="A24" s="65"/>
      <c r="B24" s="65"/>
      <c r="C24" s="82"/>
      <c r="D24" s="83"/>
      <c r="E24" s="733"/>
      <c r="F24" s="733"/>
      <c r="G24" s="733"/>
      <c r="H24" s="94"/>
      <c r="I24" s="64"/>
      <c r="J24" s="387"/>
      <c r="K24" s="75" t="str">
        <f t="shared" si="0"/>
        <v/>
      </c>
    </row>
    <row r="25" spans="1:12" ht="15.75" x14ac:dyDescent="0.3">
      <c r="A25" s="65"/>
      <c r="B25" s="65"/>
      <c r="C25" s="82"/>
      <c r="D25" s="83"/>
      <c r="E25" s="733"/>
      <c r="F25" s="733"/>
      <c r="G25" s="733"/>
      <c r="H25" s="94"/>
      <c r="I25" s="64"/>
      <c r="J25" s="387"/>
      <c r="K25" s="75" t="str">
        <f t="shared" si="0"/>
        <v/>
      </c>
    </row>
    <row r="26" spans="1:12" ht="15.75" x14ac:dyDescent="0.3">
      <c r="A26" s="63"/>
      <c r="B26" s="63"/>
      <c r="C26" s="82"/>
      <c r="D26" s="83"/>
      <c r="E26" s="733"/>
      <c r="F26" s="733"/>
      <c r="G26" s="733"/>
      <c r="H26" s="94"/>
      <c r="I26" s="64"/>
      <c r="J26" s="387"/>
      <c r="K26" s="75" t="str">
        <f t="shared" si="0"/>
        <v/>
      </c>
    </row>
    <row r="27" spans="1:12" ht="15.75" x14ac:dyDescent="0.3">
      <c r="A27" s="65"/>
      <c r="B27" s="65"/>
      <c r="C27" s="82"/>
      <c r="D27" s="83"/>
      <c r="E27" s="733"/>
      <c r="F27" s="733"/>
      <c r="G27" s="733"/>
      <c r="H27" s="94"/>
      <c r="I27" s="64"/>
      <c r="J27" s="387"/>
      <c r="K27" s="75" t="str">
        <f t="shared" si="0"/>
        <v/>
      </c>
    </row>
    <row r="28" spans="1:12" ht="15.75" x14ac:dyDescent="0.3">
      <c r="A28" s="65"/>
      <c r="B28" s="65"/>
      <c r="C28" s="82"/>
      <c r="D28" s="83"/>
      <c r="E28" s="733"/>
      <c r="F28" s="733"/>
      <c r="G28" s="733"/>
      <c r="H28" s="94"/>
      <c r="I28" s="64"/>
      <c r="J28" s="387"/>
      <c r="K28" s="515" t="str">
        <f t="shared" si="0"/>
        <v/>
      </c>
    </row>
    <row r="29" spans="1:12" ht="15.75" x14ac:dyDescent="0.3">
      <c r="A29" s="63"/>
      <c r="B29" s="63"/>
      <c r="C29" s="114"/>
      <c r="D29" s="83"/>
      <c r="E29" s="733"/>
      <c r="F29" s="733"/>
      <c r="G29" s="733"/>
      <c r="H29" s="94"/>
      <c r="I29" s="64"/>
      <c r="J29" s="514"/>
      <c r="K29" s="75" t="str">
        <f t="shared" si="0"/>
        <v/>
      </c>
      <c r="L29" s="513"/>
    </row>
    <row r="30" spans="1:12" ht="15.75" x14ac:dyDescent="0.25">
      <c r="A30" s="69" t="s">
        <v>69</v>
      </c>
      <c r="B30" s="66"/>
      <c r="C30" s="66"/>
      <c r="D30" s="66"/>
      <c r="E30" s="67"/>
      <c r="F30" s="67"/>
      <c r="G30" s="67"/>
      <c r="H30" s="67"/>
      <c r="I30" s="68"/>
      <c r="J30" s="306"/>
      <c r="K30" s="516">
        <f>SUM(K20:K29)</f>
        <v>55000</v>
      </c>
    </row>
    <row r="31" spans="1:12" ht="15.75" x14ac:dyDescent="0.25">
      <c r="A31" s="70" t="s">
        <v>67</v>
      </c>
      <c r="B31" s="70"/>
      <c r="C31" s="66"/>
      <c r="E31" s="71"/>
      <c r="F31" s="71"/>
      <c r="G31" s="71"/>
      <c r="H31" s="71"/>
      <c r="I31" s="68"/>
      <c r="J31" s="306"/>
      <c r="K31" s="507">
        <v>20000</v>
      </c>
    </row>
    <row r="32" spans="1:12" ht="15.75" x14ac:dyDescent="0.25">
      <c r="A32" s="70" t="s">
        <v>68</v>
      </c>
      <c r="B32" s="66"/>
      <c r="C32" s="66"/>
      <c r="D32" s="78"/>
      <c r="E32" s="71"/>
      <c r="F32" s="71"/>
      <c r="G32" s="71"/>
      <c r="H32" s="71"/>
      <c r="I32" s="68"/>
      <c r="J32" s="306"/>
      <c r="K32" s="507">
        <f>(K30+K31)*5%</f>
        <v>3750</v>
      </c>
    </row>
    <row r="33" spans="1:11" ht="15.75" x14ac:dyDescent="0.25">
      <c r="A33" s="70" t="s">
        <v>70</v>
      </c>
      <c r="B33" s="66"/>
      <c r="C33" s="66"/>
      <c r="E33" s="71"/>
      <c r="F33" s="71"/>
      <c r="G33" s="71"/>
      <c r="H33" s="71"/>
      <c r="I33" s="68"/>
      <c r="J33" s="306"/>
      <c r="K33" s="76">
        <f>K30+K31+K32</f>
        <v>78750</v>
      </c>
    </row>
    <row r="34" spans="1:11" ht="15" customHeight="1" x14ac:dyDescent="0.25">
      <c r="A34" s="97"/>
      <c r="B34" s="98"/>
      <c r="C34" s="98"/>
      <c r="D34" s="99"/>
      <c r="E34" s="100"/>
      <c r="F34" s="100"/>
      <c r="G34" s="100"/>
      <c r="H34" s="100"/>
      <c r="I34" s="101"/>
      <c r="J34" s="379"/>
      <c r="K34" s="102"/>
    </row>
    <row r="35" spans="1:11" ht="15.75" x14ac:dyDescent="0.25">
      <c r="A35" s="103" t="s">
        <v>76</v>
      </c>
      <c r="B35" s="98"/>
      <c r="C35" s="98"/>
      <c r="D35" s="99"/>
      <c r="E35" s="100"/>
      <c r="F35" s="100"/>
      <c r="G35" s="100"/>
      <c r="H35" s="100"/>
      <c r="I35" s="101"/>
      <c r="J35" s="379"/>
      <c r="K35" s="102"/>
    </row>
    <row r="36" spans="1:11" ht="16.5" thickBot="1" x14ac:dyDescent="0.3">
      <c r="A36" s="97"/>
      <c r="B36" s="98"/>
      <c r="C36" s="98"/>
      <c r="D36" s="99"/>
      <c r="E36" s="100"/>
      <c r="F36" s="100"/>
      <c r="G36" s="100"/>
      <c r="H36" s="100"/>
      <c r="I36" s="101"/>
      <c r="J36" s="379"/>
      <c r="K36" s="102"/>
    </row>
    <row r="37" spans="1:11" x14ac:dyDescent="0.25">
      <c r="A37" s="705" t="s">
        <v>23</v>
      </c>
      <c r="B37" s="706"/>
      <c r="C37" s="706"/>
      <c r="D37" s="706"/>
      <c r="E37" s="706"/>
      <c r="F37" s="706"/>
      <c r="G37" s="706"/>
      <c r="H37" s="706"/>
      <c r="I37" s="706"/>
      <c r="J37" s="706"/>
      <c r="K37" s="707"/>
    </row>
    <row r="38" spans="1:11" ht="15.75" thickBot="1" x14ac:dyDescent="0.3">
      <c r="A38" s="708"/>
      <c r="B38" s="709"/>
      <c r="C38" s="709"/>
      <c r="D38" s="709"/>
      <c r="E38" s="709"/>
      <c r="F38" s="709"/>
      <c r="G38" s="709"/>
      <c r="H38" s="709"/>
      <c r="I38" s="709"/>
      <c r="J38" s="709"/>
      <c r="K38" s="710"/>
    </row>
  </sheetData>
  <mergeCells count="20">
    <mergeCell ref="A37:K38"/>
    <mergeCell ref="E23:G23"/>
    <mergeCell ref="E24:G24"/>
    <mergeCell ref="E25:G25"/>
    <mergeCell ref="E26:G26"/>
    <mergeCell ref="E27:G27"/>
    <mergeCell ref="E28:G28"/>
    <mergeCell ref="A17:E17"/>
    <mergeCell ref="G17:H17"/>
    <mergeCell ref="E19:G19"/>
    <mergeCell ref="E21:G21"/>
    <mergeCell ref="E22:G22"/>
    <mergeCell ref="E29:G29"/>
    <mergeCell ref="E20:G20"/>
    <mergeCell ref="E1:K1"/>
    <mergeCell ref="D14:E14"/>
    <mergeCell ref="F14:G14"/>
    <mergeCell ref="A15:K15"/>
    <mergeCell ref="A16:E16"/>
    <mergeCell ref="G16:H16"/>
  </mergeCells>
  <pageMargins left="0.7" right="0.7" top="0.75" bottom="0.75" header="0.3" footer="0.3"/>
  <pageSetup scale="65" orientation="portrait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2"/>
  <sheetViews>
    <sheetView view="pageBreakPreview" topLeftCell="A39" zoomScale="84" zoomScaleNormal="100" zoomScaleSheetLayoutView="84" workbookViewId="0">
      <selection activeCell="H52" sqref="H52"/>
    </sheetView>
  </sheetViews>
  <sheetFormatPr defaultRowHeight="15" x14ac:dyDescent="0.25"/>
  <cols>
    <col min="1" max="1" width="6.28515625" customWidth="1"/>
    <col min="2" max="2" width="13.5703125" customWidth="1"/>
    <col min="3" max="3" width="17.42578125" customWidth="1"/>
    <col min="5" max="5" width="7.42578125" customWidth="1"/>
    <col min="6" max="6" width="12.85546875" customWidth="1"/>
    <col min="7" max="7" width="0.140625" hidden="1" customWidth="1"/>
    <col min="8" max="8" width="14.7109375" customWidth="1"/>
    <col min="9" max="9" width="11.85546875" style="380" customWidth="1"/>
    <col min="10" max="10" width="15.7109375" customWidth="1"/>
    <col min="11" max="11" width="16.140625" customWidth="1"/>
  </cols>
  <sheetData>
    <row r="1" spans="1:11" ht="46.5" x14ac:dyDescent="0.55000000000000004">
      <c r="A1" s="1"/>
      <c r="B1" s="2"/>
      <c r="C1" s="2"/>
      <c r="D1" s="2"/>
      <c r="E1" s="712" t="s">
        <v>0</v>
      </c>
      <c r="F1" s="712"/>
      <c r="G1" s="712"/>
      <c r="H1" s="712"/>
      <c r="I1" s="712"/>
      <c r="J1" s="712"/>
      <c r="K1" s="713"/>
    </row>
    <row r="2" spans="1:11" ht="17.25" x14ac:dyDescent="0.3">
      <c r="A2" s="3"/>
      <c r="B2" s="4"/>
      <c r="C2" s="4"/>
      <c r="D2" s="4"/>
      <c r="E2" s="5"/>
      <c r="F2" s="5"/>
      <c r="G2" s="6"/>
      <c r="H2" s="6"/>
      <c r="I2" s="372"/>
      <c r="J2" s="7"/>
      <c r="K2" s="8"/>
    </row>
    <row r="3" spans="1:11" ht="20.25" x14ac:dyDescent="0.3">
      <c r="A3" s="9"/>
      <c r="B3" s="10"/>
      <c r="C3" s="10"/>
      <c r="D3" s="10"/>
      <c r="E3" s="11"/>
      <c r="F3" s="12"/>
      <c r="G3" s="12"/>
      <c r="H3" s="12"/>
      <c r="I3" s="373"/>
      <c r="J3" s="13"/>
      <c r="K3" s="14"/>
    </row>
    <row r="4" spans="1:11" x14ac:dyDescent="0.25">
      <c r="A4" s="9"/>
      <c r="B4" s="10"/>
      <c r="C4" s="15"/>
      <c r="D4" s="15"/>
      <c r="E4" s="16"/>
      <c r="F4" s="15"/>
      <c r="G4" s="15"/>
      <c r="H4" s="15"/>
      <c r="I4" s="374"/>
      <c r="J4" s="17"/>
      <c r="K4" s="18"/>
    </row>
    <row r="5" spans="1:11" ht="15.75" x14ac:dyDescent="0.3">
      <c r="A5" s="19"/>
      <c r="B5" s="15"/>
      <c r="C5" s="15"/>
      <c r="D5" s="20"/>
      <c r="E5" s="21"/>
      <c r="F5" s="20"/>
      <c r="G5" s="22"/>
      <c r="H5" s="22"/>
      <c r="I5" s="374"/>
      <c r="J5" s="17"/>
      <c r="K5" s="18"/>
    </row>
    <row r="6" spans="1:11" ht="15.75" x14ac:dyDescent="0.3">
      <c r="A6" s="23"/>
      <c r="B6" s="24"/>
      <c r="C6" s="24"/>
      <c r="D6" s="24"/>
      <c r="E6" s="22"/>
      <c r="F6" s="22"/>
      <c r="G6" s="22"/>
      <c r="H6" s="22"/>
      <c r="I6" s="374"/>
      <c r="J6" s="17" t="s">
        <v>226</v>
      </c>
      <c r="K6" s="25">
        <f ca="1">TODAY()</f>
        <v>41556</v>
      </c>
    </row>
    <row r="7" spans="1:11" ht="16.5" x14ac:dyDescent="0.3">
      <c r="A7" s="23"/>
      <c r="B7" s="24"/>
      <c r="C7" s="24"/>
      <c r="D7" s="24"/>
      <c r="E7" s="20"/>
      <c r="F7" s="22"/>
      <c r="G7" s="26"/>
      <c r="H7" s="26"/>
      <c r="I7" s="336"/>
      <c r="J7" s="27"/>
      <c r="K7" s="28"/>
    </row>
    <row r="8" spans="1:11" x14ac:dyDescent="0.25">
      <c r="A8" s="29"/>
      <c r="B8" s="80"/>
      <c r="C8" s="30" t="s">
        <v>71</v>
      </c>
      <c r="D8" s="31" t="s">
        <v>78</v>
      </c>
      <c r="E8" s="32"/>
      <c r="F8" s="31"/>
      <c r="G8" s="32"/>
      <c r="H8" s="32"/>
      <c r="I8" s="333"/>
      <c r="J8" s="33"/>
      <c r="K8" s="34"/>
    </row>
    <row r="9" spans="1:11" x14ac:dyDescent="0.25">
      <c r="A9" s="35"/>
      <c r="B9" s="36"/>
      <c r="C9" s="37" t="s">
        <v>4</v>
      </c>
      <c r="D9" s="38" t="s">
        <v>136</v>
      </c>
      <c r="E9" s="39"/>
      <c r="F9" s="38"/>
      <c r="G9" s="39"/>
      <c r="H9" s="39"/>
      <c r="I9" s="328"/>
      <c r="J9" s="40"/>
      <c r="K9" s="41"/>
    </row>
    <row r="10" spans="1:11" x14ac:dyDescent="0.25">
      <c r="A10" s="42"/>
      <c r="B10" s="81"/>
      <c r="C10" s="37"/>
      <c r="D10" s="44" t="s">
        <v>137</v>
      </c>
      <c r="E10" s="45"/>
      <c r="F10" s="44"/>
      <c r="G10" s="45"/>
      <c r="H10" s="45"/>
      <c r="I10" s="328"/>
      <c r="J10" s="40"/>
      <c r="K10" s="41"/>
    </row>
    <row r="11" spans="1:11" ht="15.75" x14ac:dyDescent="0.3">
      <c r="A11" s="47"/>
      <c r="B11" s="43"/>
      <c r="C11" s="48" t="s">
        <v>5</v>
      </c>
      <c r="D11" s="44" t="s">
        <v>138</v>
      </c>
      <c r="E11" s="45"/>
      <c r="F11" s="44"/>
      <c r="G11" s="45"/>
      <c r="H11" s="45"/>
      <c r="I11" s="328"/>
      <c r="J11" s="40"/>
      <c r="K11" s="41"/>
    </row>
    <row r="12" spans="1:11" ht="15.75" x14ac:dyDescent="0.3">
      <c r="A12" s="47"/>
      <c r="B12" s="43"/>
      <c r="C12" s="48" t="s">
        <v>15</v>
      </c>
      <c r="D12" s="49" t="s">
        <v>139</v>
      </c>
      <c r="E12" s="45"/>
      <c r="F12" s="49"/>
      <c r="G12" s="45"/>
      <c r="H12" s="45"/>
      <c r="I12" s="328"/>
      <c r="J12" s="40"/>
      <c r="K12" s="41"/>
    </row>
    <row r="13" spans="1:11" ht="15.75" x14ac:dyDescent="0.3">
      <c r="A13" s="50"/>
      <c r="B13" s="43"/>
      <c r="C13" s="74" t="s">
        <v>6</v>
      </c>
      <c r="D13" s="714"/>
      <c r="E13" s="714"/>
      <c r="F13" s="714"/>
      <c r="G13" s="714"/>
      <c r="H13" s="92"/>
      <c r="I13" s="375"/>
      <c r="J13" s="51"/>
      <c r="K13" s="51"/>
    </row>
    <row r="14" spans="1:11" ht="15.75" x14ac:dyDescent="0.3">
      <c r="A14" s="715"/>
      <c r="B14" s="716"/>
      <c r="C14" s="716"/>
      <c r="D14" s="716"/>
      <c r="E14" s="716"/>
      <c r="F14" s="716"/>
      <c r="G14" s="716"/>
      <c r="H14" s="716"/>
      <c r="I14" s="716"/>
      <c r="J14" s="716"/>
      <c r="K14" s="717"/>
    </row>
    <row r="15" spans="1:11" x14ac:dyDescent="0.25">
      <c r="A15" s="718" t="s">
        <v>7</v>
      </c>
      <c r="B15" s="719"/>
      <c r="C15" s="719"/>
      <c r="D15" s="719"/>
      <c r="E15" s="720"/>
      <c r="F15" s="52" t="s">
        <v>16</v>
      </c>
      <c r="G15" s="721" t="s">
        <v>17</v>
      </c>
      <c r="H15" s="719"/>
      <c r="I15" s="376"/>
      <c r="J15" s="95"/>
      <c r="K15" s="53" t="s">
        <v>8</v>
      </c>
    </row>
    <row r="16" spans="1:11" ht="15.75" x14ac:dyDescent="0.3">
      <c r="A16" s="722" t="s">
        <v>24</v>
      </c>
      <c r="B16" s="723"/>
      <c r="C16" s="723"/>
      <c r="D16" s="723"/>
      <c r="E16" s="724"/>
      <c r="F16" s="54"/>
      <c r="G16" s="725"/>
      <c r="H16" s="726"/>
      <c r="I16" s="377"/>
      <c r="J16" s="88"/>
      <c r="K16" s="55" t="s">
        <v>268</v>
      </c>
    </row>
    <row r="17" spans="1:11" ht="15.75" x14ac:dyDescent="0.3">
      <c r="A17" s="56"/>
      <c r="B17" s="57"/>
      <c r="C17" s="57"/>
      <c r="D17" s="57"/>
      <c r="E17" s="58"/>
      <c r="F17" s="59"/>
      <c r="G17" s="59"/>
      <c r="H17" s="59"/>
      <c r="I17" s="378"/>
      <c r="J17" s="60"/>
      <c r="K17" s="61"/>
    </row>
    <row r="18" spans="1:11" x14ac:dyDescent="0.25">
      <c r="A18" s="62" t="s">
        <v>18</v>
      </c>
      <c r="B18" s="62" t="s">
        <v>27</v>
      </c>
      <c r="C18" s="62" t="s">
        <v>19</v>
      </c>
      <c r="D18" s="62" t="s">
        <v>20</v>
      </c>
      <c r="E18" s="711" t="s">
        <v>21</v>
      </c>
      <c r="F18" s="711"/>
      <c r="G18" s="711"/>
      <c r="H18" s="96" t="s">
        <v>10</v>
      </c>
      <c r="I18" s="165" t="s">
        <v>25</v>
      </c>
      <c r="J18" s="52" t="s">
        <v>28</v>
      </c>
      <c r="K18" s="52" t="s">
        <v>22</v>
      </c>
    </row>
    <row r="19" spans="1:11" ht="15.75" x14ac:dyDescent="0.3">
      <c r="A19" s="447">
        <v>1</v>
      </c>
      <c r="B19" s="532" t="s">
        <v>43</v>
      </c>
      <c r="C19" s="82" t="s">
        <v>26</v>
      </c>
      <c r="D19" s="83"/>
      <c r="E19" s="699"/>
      <c r="F19" s="700"/>
      <c r="G19" s="701"/>
      <c r="H19" s="93"/>
      <c r="I19" s="82">
        <v>22</v>
      </c>
      <c r="J19" s="84">
        <v>55000</v>
      </c>
      <c r="K19" s="75">
        <f>IF((C19)&gt;0,SUM(J19*I19),"")</f>
        <v>1210000</v>
      </c>
    </row>
    <row r="20" spans="1:11" ht="15.75" x14ac:dyDescent="0.3">
      <c r="A20" s="104">
        <v>2</v>
      </c>
      <c r="B20" s="533" t="s">
        <v>29</v>
      </c>
      <c r="C20" s="82" t="s">
        <v>26</v>
      </c>
      <c r="D20" s="83"/>
      <c r="E20" s="696"/>
      <c r="F20" s="697"/>
      <c r="G20" s="698"/>
      <c r="H20" s="90"/>
      <c r="I20" s="82">
        <v>5</v>
      </c>
      <c r="J20" s="113">
        <v>55000</v>
      </c>
      <c r="K20" s="75">
        <f>IF((C20)&gt;0,SUM(J20*I20),"")</f>
        <v>275000</v>
      </c>
    </row>
    <row r="21" spans="1:11" ht="15.75" x14ac:dyDescent="0.3">
      <c r="A21" s="104">
        <v>3</v>
      </c>
      <c r="B21" s="533" t="s">
        <v>42</v>
      </c>
      <c r="C21" s="82" t="s">
        <v>26</v>
      </c>
      <c r="D21" s="83"/>
      <c r="E21" s="696"/>
      <c r="F21" s="697"/>
      <c r="G21" s="698"/>
      <c r="H21" s="90"/>
      <c r="I21" s="82">
        <v>8</v>
      </c>
      <c r="J21" s="113">
        <v>55000</v>
      </c>
      <c r="K21" s="75">
        <f t="shared" ref="K21:K55" si="0">IF((C21)&gt;0,SUM(J21*I21),"")</f>
        <v>440000</v>
      </c>
    </row>
    <row r="22" spans="1:11" ht="15.75" x14ac:dyDescent="0.3">
      <c r="A22" s="447">
        <v>4</v>
      </c>
      <c r="B22" s="532" t="s">
        <v>56</v>
      </c>
      <c r="C22" s="82" t="s">
        <v>26</v>
      </c>
      <c r="D22" s="83"/>
      <c r="E22" s="696"/>
      <c r="F22" s="697"/>
      <c r="G22" s="698"/>
      <c r="H22" s="90"/>
      <c r="I22" s="82">
        <v>2</v>
      </c>
      <c r="J22" s="113">
        <v>55000</v>
      </c>
      <c r="K22" s="75">
        <f t="shared" si="0"/>
        <v>110000</v>
      </c>
    </row>
    <row r="23" spans="1:11" ht="15.75" x14ac:dyDescent="0.3">
      <c r="A23" s="104">
        <v>5</v>
      </c>
      <c r="B23" s="533" t="s">
        <v>41</v>
      </c>
      <c r="C23" s="82" t="s">
        <v>26</v>
      </c>
      <c r="D23" s="83"/>
      <c r="E23" s="702"/>
      <c r="F23" s="703"/>
      <c r="G23" s="704"/>
      <c r="H23" s="94"/>
      <c r="I23" s="82">
        <v>2</v>
      </c>
      <c r="J23" s="113">
        <v>55000</v>
      </c>
      <c r="K23" s="75">
        <f t="shared" si="0"/>
        <v>110000</v>
      </c>
    </row>
    <row r="24" spans="1:11" ht="15.75" x14ac:dyDescent="0.3">
      <c r="A24" s="104">
        <v>6</v>
      </c>
      <c r="B24" s="533" t="s">
        <v>79</v>
      </c>
      <c r="C24" s="82" t="s">
        <v>26</v>
      </c>
      <c r="D24" s="83"/>
      <c r="E24" s="702"/>
      <c r="F24" s="703"/>
      <c r="G24" s="704"/>
      <c r="H24" s="94"/>
      <c r="I24" s="82">
        <v>2</v>
      </c>
      <c r="J24" s="113">
        <v>55000</v>
      </c>
      <c r="K24" s="75">
        <f t="shared" si="0"/>
        <v>110000</v>
      </c>
    </row>
    <row r="25" spans="1:11" ht="15.75" x14ac:dyDescent="0.3">
      <c r="A25" s="447">
        <v>7</v>
      </c>
      <c r="B25" s="532" t="s">
        <v>38</v>
      </c>
      <c r="C25" s="82" t="s">
        <v>26</v>
      </c>
      <c r="D25" s="83"/>
      <c r="E25" s="702"/>
      <c r="F25" s="703"/>
      <c r="G25" s="704"/>
      <c r="H25" s="94"/>
      <c r="I25" s="82">
        <v>12</v>
      </c>
      <c r="J25" s="113">
        <v>55000</v>
      </c>
      <c r="K25" s="75">
        <f t="shared" si="0"/>
        <v>660000</v>
      </c>
    </row>
    <row r="26" spans="1:11" ht="15.75" x14ac:dyDescent="0.3">
      <c r="A26" s="104">
        <v>8</v>
      </c>
      <c r="B26" s="533" t="s">
        <v>57</v>
      </c>
      <c r="C26" s="82" t="s">
        <v>26</v>
      </c>
      <c r="D26" s="83"/>
      <c r="E26" s="702"/>
      <c r="F26" s="703"/>
      <c r="G26" s="704"/>
      <c r="H26" s="94"/>
      <c r="I26" s="82">
        <v>2</v>
      </c>
      <c r="J26" s="113">
        <v>55000</v>
      </c>
      <c r="K26" s="75">
        <f t="shared" si="0"/>
        <v>110000</v>
      </c>
    </row>
    <row r="27" spans="1:11" ht="15.75" x14ac:dyDescent="0.3">
      <c r="A27" s="104">
        <v>9</v>
      </c>
      <c r="B27" s="533" t="s">
        <v>32</v>
      </c>
      <c r="C27" s="82" t="s">
        <v>26</v>
      </c>
      <c r="D27" s="83"/>
      <c r="E27" s="702"/>
      <c r="F27" s="703"/>
      <c r="G27" s="704"/>
      <c r="H27" s="94"/>
      <c r="I27" s="82">
        <v>24</v>
      </c>
      <c r="J27" s="113">
        <v>55000</v>
      </c>
      <c r="K27" s="75">
        <f t="shared" si="0"/>
        <v>1320000</v>
      </c>
    </row>
    <row r="28" spans="1:11" ht="15.75" x14ac:dyDescent="0.3">
      <c r="A28" s="104">
        <v>10</v>
      </c>
      <c r="B28" s="533" t="s">
        <v>40</v>
      </c>
      <c r="C28" s="82" t="s">
        <v>26</v>
      </c>
      <c r="D28" s="83"/>
      <c r="E28" s="702"/>
      <c r="F28" s="703"/>
      <c r="G28" s="704"/>
      <c r="H28" s="94"/>
      <c r="I28" s="82">
        <v>10</v>
      </c>
      <c r="J28" s="113">
        <v>55000</v>
      </c>
      <c r="K28" s="75">
        <f t="shared" si="0"/>
        <v>550000</v>
      </c>
    </row>
    <row r="29" spans="1:11" ht="15.75" x14ac:dyDescent="0.3">
      <c r="A29" s="104">
        <v>11</v>
      </c>
      <c r="B29" s="533" t="s">
        <v>33</v>
      </c>
      <c r="C29" s="82" t="s">
        <v>26</v>
      </c>
      <c r="D29" s="83"/>
      <c r="E29" s="702"/>
      <c r="F29" s="703"/>
      <c r="G29" s="704"/>
      <c r="H29" s="94"/>
      <c r="I29" s="82">
        <v>2</v>
      </c>
      <c r="J29" s="113">
        <v>55000</v>
      </c>
      <c r="K29" s="75">
        <f t="shared" si="0"/>
        <v>110000</v>
      </c>
    </row>
    <row r="30" spans="1:11" ht="15.75" x14ac:dyDescent="0.3">
      <c r="A30" s="104">
        <v>12</v>
      </c>
      <c r="B30" s="533" t="s">
        <v>50</v>
      </c>
      <c r="C30" s="82" t="s">
        <v>26</v>
      </c>
      <c r="D30" s="83"/>
      <c r="E30" s="702"/>
      <c r="F30" s="703"/>
      <c r="G30" s="704"/>
      <c r="H30" s="94"/>
      <c r="I30" s="82">
        <v>2</v>
      </c>
      <c r="J30" s="113">
        <v>55000</v>
      </c>
      <c r="K30" s="75">
        <f t="shared" si="0"/>
        <v>110000</v>
      </c>
    </row>
    <row r="31" spans="1:11" ht="15.75" x14ac:dyDescent="0.3">
      <c r="A31" s="104">
        <v>13</v>
      </c>
      <c r="B31" s="533" t="s">
        <v>80</v>
      </c>
      <c r="C31" s="82" t="s">
        <v>26</v>
      </c>
      <c r="D31" s="83"/>
      <c r="E31" s="702"/>
      <c r="F31" s="703"/>
      <c r="G31" s="704"/>
      <c r="H31" s="94"/>
      <c r="I31" s="82">
        <v>1</v>
      </c>
      <c r="J31" s="113">
        <v>55000</v>
      </c>
      <c r="K31" s="75">
        <f t="shared" si="0"/>
        <v>55000</v>
      </c>
    </row>
    <row r="32" spans="1:11" ht="15.75" x14ac:dyDescent="0.3">
      <c r="A32" s="104">
        <v>14</v>
      </c>
      <c r="B32" s="533" t="s">
        <v>64</v>
      </c>
      <c r="C32" s="82" t="s">
        <v>26</v>
      </c>
      <c r="D32" s="83"/>
      <c r="E32" s="702"/>
      <c r="F32" s="703"/>
      <c r="G32" s="704"/>
      <c r="H32" s="94"/>
      <c r="I32" s="82">
        <v>1</v>
      </c>
      <c r="J32" s="113">
        <v>55000</v>
      </c>
      <c r="K32" s="75">
        <f t="shared" si="0"/>
        <v>55000</v>
      </c>
    </row>
    <row r="33" spans="1:11" ht="15.75" x14ac:dyDescent="0.3">
      <c r="A33" s="104">
        <v>15</v>
      </c>
      <c r="B33" s="533" t="s">
        <v>46</v>
      </c>
      <c r="C33" s="82" t="s">
        <v>26</v>
      </c>
      <c r="D33" s="83"/>
      <c r="E33" s="702"/>
      <c r="F33" s="703"/>
      <c r="G33" s="704"/>
      <c r="H33" s="94"/>
      <c r="I33" s="82">
        <v>2</v>
      </c>
      <c r="J33" s="113">
        <v>55000</v>
      </c>
      <c r="K33" s="75">
        <f t="shared" si="0"/>
        <v>110000</v>
      </c>
    </row>
    <row r="34" spans="1:11" ht="15.75" x14ac:dyDescent="0.3">
      <c r="A34" s="104">
        <v>16</v>
      </c>
      <c r="B34" s="533" t="s">
        <v>44</v>
      </c>
      <c r="C34" s="82" t="s">
        <v>26</v>
      </c>
      <c r="D34" s="83"/>
      <c r="E34" s="702"/>
      <c r="F34" s="703"/>
      <c r="G34" s="704"/>
      <c r="H34" s="94"/>
      <c r="I34" s="82">
        <v>2</v>
      </c>
      <c r="J34" s="113">
        <v>55000</v>
      </c>
      <c r="K34" s="75">
        <f t="shared" si="0"/>
        <v>110000</v>
      </c>
    </row>
    <row r="35" spans="1:11" ht="15.75" x14ac:dyDescent="0.3">
      <c r="A35" s="104">
        <v>17</v>
      </c>
      <c r="B35" s="533" t="s">
        <v>65</v>
      </c>
      <c r="C35" s="82" t="s">
        <v>26</v>
      </c>
      <c r="D35" s="83"/>
      <c r="E35" s="702"/>
      <c r="F35" s="703"/>
      <c r="G35" s="704"/>
      <c r="H35" s="94"/>
      <c r="I35" s="82">
        <v>2</v>
      </c>
      <c r="J35" s="113">
        <v>55000</v>
      </c>
      <c r="K35" s="75">
        <f t="shared" si="0"/>
        <v>110000</v>
      </c>
    </row>
    <row r="36" spans="1:11" ht="15.75" x14ac:dyDescent="0.3">
      <c r="A36" s="104">
        <v>18</v>
      </c>
      <c r="B36" s="533" t="s">
        <v>59</v>
      </c>
      <c r="C36" s="82" t="s">
        <v>26</v>
      </c>
      <c r="D36" s="83"/>
      <c r="E36" s="702"/>
      <c r="F36" s="703"/>
      <c r="G36" s="704"/>
      <c r="H36" s="94"/>
      <c r="I36" s="82">
        <v>6</v>
      </c>
      <c r="J36" s="113">
        <v>55000</v>
      </c>
      <c r="K36" s="75">
        <f t="shared" si="0"/>
        <v>330000</v>
      </c>
    </row>
    <row r="37" spans="1:11" ht="15.75" x14ac:dyDescent="0.3">
      <c r="A37" s="104">
        <v>19</v>
      </c>
      <c r="B37" s="533" t="s">
        <v>53</v>
      </c>
      <c r="C37" s="82" t="s">
        <v>26</v>
      </c>
      <c r="D37" s="83"/>
      <c r="E37" s="702"/>
      <c r="F37" s="703"/>
      <c r="G37" s="704"/>
      <c r="H37" s="94"/>
      <c r="I37" s="82">
        <v>108</v>
      </c>
      <c r="J37" s="113">
        <v>55000</v>
      </c>
      <c r="K37" s="75">
        <f t="shared" si="0"/>
        <v>5940000</v>
      </c>
    </row>
    <row r="38" spans="1:11" ht="15.75" x14ac:dyDescent="0.3">
      <c r="A38" s="104">
        <v>20</v>
      </c>
      <c r="B38" s="533" t="s">
        <v>52</v>
      </c>
      <c r="C38" s="82" t="s">
        <v>26</v>
      </c>
      <c r="D38" s="83"/>
      <c r="E38" s="702"/>
      <c r="F38" s="703"/>
      <c r="G38" s="704"/>
      <c r="H38" s="94"/>
      <c r="I38" s="82">
        <v>2</v>
      </c>
      <c r="J38" s="113">
        <v>55000</v>
      </c>
      <c r="K38" s="75">
        <f t="shared" si="0"/>
        <v>110000</v>
      </c>
    </row>
    <row r="39" spans="1:11" ht="15.75" x14ac:dyDescent="0.3">
      <c r="A39" s="104">
        <v>21</v>
      </c>
      <c r="B39" s="533" t="s">
        <v>63</v>
      </c>
      <c r="C39" s="82" t="s">
        <v>26</v>
      </c>
      <c r="D39" s="83"/>
      <c r="E39" s="702"/>
      <c r="F39" s="703"/>
      <c r="G39" s="704"/>
      <c r="H39" s="94"/>
      <c r="I39" s="82">
        <v>2</v>
      </c>
      <c r="J39" s="113">
        <v>55000</v>
      </c>
      <c r="K39" s="75">
        <f t="shared" si="0"/>
        <v>110000</v>
      </c>
    </row>
    <row r="40" spans="1:11" ht="15.75" x14ac:dyDescent="0.3">
      <c r="A40" s="104">
        <v>22</v>
      </c>
      <c r="B40" s="533" t="s">
        <v>60</v>
      </c>
      <c r="C40" s="82" t="s">
        <v>26</v>
      </c>
      <c r="D40" s="83"/>
      <c r="E40" s="702"/>
      <c r="F40" s="703"/>
      <c r="G40" s="704"/>
      <c r="H40" s="94"/>
      <c r="I40" s="82">
        <v>4</v>
      </c>
      <c r="J40" s="113">
        <v>55000</v>
      </c>
      <c r="K40" s="75">
        <f t="shared" si="0"/>
        <v>220000</v>
      </c>
    </row>
    <row r="41" spans="1:11" ht="15.75" x14ac:dyDescent="0.3">
      <c r="A41" s="104">
        <v>23</v>
      </c>
      <c r="B41" s="533" t="s">
        <v>47</v>
      </c>
      <c r="C41" s="82" t="s">
        <v>26</v>
      </c>
      <c r="D41" s="83"/>
      <c r="E41" s="702"/>
      <c r="F41" s="703"/>
      <c r="G41" s="704"/>
      <c r="H41" s="94"/>
      <c r="I41" s="82">
        <v>11</v>
      </c>
      <c r="J41" s="113">
        <v>55000</v>
      </c>
      <c r="K41" s="75">
        <f t="shared" si="0"/>
        <v>605000</v>
      </c>
    </row>
    <row r="42" spans="1:11" ht="15.75" x14ac:dyDescent="0.3">
      <c r="A42" s="104">
        <v>24</v>
      </c>
      <c r="B42" s="533" t="s">
        <v>48</v>
      </c>
      <c r="C42" s="82" t="s">
        <v>26</v>
      </c>
      <c r="D42" s="83"/>
      <c r="E42" s="702"/>
      <c r="F42" s="703"/>
      <c r="G42" s="704"/>
      <c r="H42" s="94"/>
      <c r="I42" s="82">
        <v>7</v>
      </c>
      <c r="J42" s="113">
        <v>55000</v>
      </c>
      <c r="K42" s="75">
        <f t="shared" si="0"/>
        <v>385000</v>
      </c>
    </row>
    <row r="43" spans="1:11" ht="15.75" x14ac:dyDescent="0.3">
      <c r="A43" s="104">
        <v>25</v>
      </c>
      <c r="B43" s="533" t="s">
        <v>49</v>
      </c>
      <c r="C43" s="82" t="s">
        <v>26</v>
      </c>
      <c r="D43" s="83"/>
      <c r="E43" s="702"/>
      <c r="F43" s="703"/>
      <c r="G43" s="704"/>
      <c r="H43" s="94"/>
      <c r="I43" s="82">
        <v>2</v>
      </c>
      <c r="J43" s="113">
        <v>55000</v>
      </c>
      <c r="K43" s="75">
        <f t="shared" si="0"/>
        <v>110000</v>
      </c>
    </row>
    <row r="44" spans="1:11" ht="15.75" x14ac:dyDescent="0.3">
      <c r="A44" s="104">
        <v>26</v>
      </c>
      <c r="B44" s="533" t="s">
        <v>51</v>
      </c>
      <c r="C44" s="82" t="s">
        <v>26</v>
      </c>
      <c r="D44" s="83"/>
      <c r="E44" s="702"/>
      <c r="F44" s="703"/>
      <c r="G44" s="704"/>
      <c r="H44" s="94"/>
      <c r="I44" s="82">
        <v>2</v>
      </c>
      <c r="J44" s="113">
        <v>55000</v>
      </c>
      <c r="K44" s="75">
        <f t="shared" si="0"/>
        <v>110000</v>
      </c>
    </row>
    <row r="45" spans="1:11" ht="15.75" x14ac:dyDescent="0.3">
      <c r="A45" s="104">
        <v>27</v>
      </c>
      <c r="B45" s="533" t="s">
        <v>36</v>
      </c>
      <c r="C45" s="82" t="s">
        <v>26</v>
      </c>
      <c r="D45" s="83"/>
      <c r="E45" s="702"/>
      <c r="F45" s="703"/>
      <c r="G45" s="704"/>
      <c r="H45" s="94"/>
      <c r="I45" s="82">
        <v>5</v>
      </c>
      <c r="J45" s="113">
        <v>55000</v>
      </c>
      <c r="K45" s="75">
        <f t="shared" si="0"/>
        <v>275000</v>
      </c>
    </row>
    <row r="46" spans="1:11" ht="15.75" x14ac:dyDescent="0.3">
      <c r="A46" s="104">
        <v>28</v>
      </c>
      <c r="B46" s="533" t="s">
        <v>35</v>
      </c>
      <c r="C46" s="82" t="s">
        <v>26</v>
      </c>
      <c r="D46" s="83"/>
      <c r="E46" s="702"/>
      <c r="F46" s="703"/>
      <c r="G46" s="704"/>
      <c r="H46" s="94"/>
      <c r="I46" s="82">
        <v>4</v>
      </c>
      <c r="J46" s="113">
        <v>55000</v>
      </c>
      <c r="K46" s="75">
        <f t="shared" si="0"/>
        <v>220000</v>
      </c>
    </row>
    <row r="47" spans="1:11" ht="15.75" x14ac:dyDescent="0.3">
      <c r="A47" s="104">
        <v>29</v>
      </c>
      <c r="B47" s="533" t="s">
        <v>55</v>
      </c>
      <c r="C47" s="82" t="s">
        <v>26</v>
      </c>
      <c r="D47" s="83"/>
      <c r="E47" s="702"/>
      <c r="F47" s="703"/>
      <c r="G47" s="704"/>
      <c r="H47" s="94"/>
      <c r="I47" s="82">
        <v>2</v>
      </c>
      <c r="J47" s="113">
        <v>55000</v>
      </c>
      <c r="K47" s="75">
        <f t="shared" si="0"/>
        <v>110000</v>
      </c>
    </row>
    <row r="48" spans="1:11" ht="15.75" x14ac:dyDescent="0.3">
      <c r="A48" s="104">
        <v>30</v>
      </c>
      <c r="B48" s="533" t="s">
        <v>45</v>
      </c>
      <c r="C48" s="82" t="s">
        <v>26</v>
      </c>
      <c r="D48" s="83"/>
      <c r="E48" s="702"/>
      <c r="F48" s="703"/>
      <c r="G48" s="704"/>
      <c r="H48" s="94"/>
      <c r="I48" s="82">
        <v>16</v>
      </c>
      <c r="J48" s="113">
        <v>55000</v>
      </c>
      <c r="K48" s="75">
        <f t="shared" si="0"/>
        <v>880000</v>
      </c>
    </row>
    <row r="49" spans="1:11" ht="15.75" x14ac:dyDescent="0.3">
      <c r="A49" s="104">
        <v>31</v>
      </c>
      <c r="B49" s="533" t="s">
        <v>58</v>
      </c>
      <c r="C49" s="82" t="s">
        <v>26</v>
      </c>
      <c r="D49" s="83"/>
      <c r="E49" s="702"/>
      <c r="F49" s="703"/>
      <c r="G49" s="704"/>
      <c r="H49" s="94"/>
      <c r="I49" s="82">
        <v>2</v>
      </c>
      <c r="J49" s="113">
        <v>55000</v>
      </c>
      <c r="K49" s="75">
        <f t="shared" si="0"/>
        <v>110000</v>
      </c>
    </row>
    <row r="50" spans="1:11" ht="15.75" x14ac:dyDescent="0.3">
      <c r="A50" s="104">
        <v>32</v>
      </c>
      <c r="B50" s="533" t="s">
        <v>61</v>
      </c>
      <c r="C50" s="82" t="s">
        <v>26</v>
      </c>
      <c r="D50" s="83"/>
      <c r="E50" s="702"/>
      <c r="F50" s="703"/>
      <c r="G50" s="704"/>
      <c r="H50" s="94"/>
      <c r="I50" s="82">
        <v>27</v>
      </c>
      <c r="J50" s="113">
        <v>55000</v>
      </c>
      <c r="K50" s="75">
        <f t="shared" si="0"/>
        <v>1485000</v>
      </c>
    </row>
    <row r="51" spans="1:11" ht="15.75" x14ac:dyDescent="0.3">
      <c r="A51" s="104">
        <v>33</v>
      </c>
      <c r="B51" s="533" t="s">
        <v>56</v>
      </c>
      <c r="C51" s="82" t="s">
        <v>26</v>
      </c>
      <c r="D51" s="83"/>
      <c r="E51" s="702"/>
      <c r="F51" s="703"/>
      <c r="G51" s="704"/>
      <c r="H51" s="94"/>
      <c r="I51" s="82">
        <v>2</v>
      </c>
      <c r="J51" s="113">
        <v>55000</v>
      </c>
      <c r="K51" s="75">
        <f t="shared" si="0"/>
        <v>110000</v>
      </c>
    </row>
    <row r="52" spans="1:11" ht="15.75" x14ac:dyDescent="0.3">
      <c r="A52" s="104">
        <v>34</v>
      </c>
      <c r="B52" s="533" t="s">
        <v>62</v>
      </c>
      <c r="C52" s="82" t="s">
        <v>26</v>
      </c>
      <c r="D52" s="83"/>
      <c r="E52" s="702"/>
      <c r="F52" s="703"/>
      <c r="G52" s="704"/>
      <c r="H52" s="94"/>
      <c r="I52" s="82">
        <v>2</v>
      </c>
      <c r="J52" s="113">
        <v>55000</v>
      </c>
      <c r="K52" s="75">
        <f t="shared" si="0"/>
        <v>110000</v>
      </c>
    </row>
    <row r="53" spans="1:11" ht="15.75" x14ac:dyDescent="0.3">
      <c r="A53" s="104">
        <v>35</v>
      </c>
      <c r="B53" s="533" t="s">
        <v>31</v>
      </c>
      <c r="C53" s="82" t="s">
        <v>26</v>
      </c>
      <c r="D53" s="83"/>
      <c r="E53" s="702"/>
      <c r="F53" s="703"/>
      <c r="G53" s="704"/>
      <c r="H53" s="94"/>
      <c r="I53" s="82">
        <v>2</v>
      </c>
      <c r="J53" s="113">
        <v>55000</v>
      </c>
      <c r="K53" s="75">
        <f t="shared" si="0"/>
        <v>110000</v>
      </c>
    </row>
    <row r="54" spans="1:11" ht="15.75" x14ac:dyDescent="0.3">
      <c r="A54" s="104">
        <v>36</v>
      </c>
      <c r="B54" s="533" t="s">
        <v>34</v>
      </c>
      <c r="C54" s="82" t="s">
        <v>26</v>
      </c>
      <c r="D54" s="83"/>
      <c r="E54" s="702"/>
      <c r="F54" s="703"/>
      <c r="G54" s="704"/>
      <c r="H54" s="94"/>
      <c r="I54" s="82">
        <v>2</v>
      </c>
      <c r="J54" s="113">
        <v>55000</v>
      </c>
      <c r="K54" s="75">
        <f t="shared" si="0"/>
        <v>110000</v>
      </c>
    </row>
    <row r="55" spans="1:11" ht="15.75" x14ac:dyDescent="0.3">
      <c r="A55" s="104">
        <v>37</v>
      </c>
      <c r="B55" s="533" t="s">
        <v>30</v>
      </c>
      <c r="C55" s="82" t="s">
        <v>26</v>
      </c>
      <c r="D55" s="83"/>
      <c r="E55" s="702"/>
      <c r="F55" s="703"/>
      <c r="G55" s="704"/>
      <c r="H55" s="94"/>
      <c r="I55" s="82">
        <v>2</v>
      </c>
      <c r="J55" s="113">
        <v>55000</v>
      </c>
      <c r="K55" s="75">
        <f t="shared" si="0"/>
        <v>110000</v>
      </c>
    </row>
    <row r="56" spans="1:11" ht="15.75" x14ac:dyDescent="0.25">
      <c r="A56" s="69"/>
      <c r="B56" s="66"/>
      <c r="C56" s="66"/>
      <c r="D56" s="66"/>
      <c r="E56" s="67"/>
      <c r="F56" s="67"/>
      <c r="G56" s="67"/>
      <c r="H56" s="67"/>
      <c r="I56" s="306"/>
      <c r="J56" s="68" t="s">
        <v>245</v>
      </c>
      <c r="K56" s="648">
        <f>SUM(K17:K55)</f>
        <v>17105000</v>
      </c>
    </row>
    <row r="57" spans="1:11" ht="15.75" x14ac:dyDescent="0.25">
      <c r="A57" s="70"/>
      <c r="B57" s="70"/>
      <c r="C57" s="66"/>
      <c r="E57" s="71"/>
      <c r="F57" s="71"/>
      <c r="G57" s="71"/>
      <c r="H57" s="71"/>
      <c r="I57" s="306"/>
      <c r="J57" s="68" t="s">
        <v>224</v>
      </c>
      <c r="K57" s="649">
        <v>20000</v>
      </c>
    </row>
    <row r="58" spans="1:11" ht="15.75" x14ac:dyDescent="0.25">
      <c r="A58" s="70" t="s">
        <v>267</v>
      </c>
      <c r="B58" s="66"/>
      <c r="C58" s="66"/>
      <c r="E58" s="71"/>
      <c r="F58" s="71"/>
      <c r="G58" s="71"/>
      <c r="H58" s="71"/>
      <c r="I58" s="306"/>
      <c r="J58" s="68" t="s">
        <v>68</v>
      </c>
      <c r="K58" s="649">
        <f>(K56+K57)*5%</f>
        <v>856250</v>
      </c>
    </row>
    <row r="59" spans="1:11" ht="15.75" x14ac:dyDescent="0.25">
      <c r="A59" s="70"/>
      <c r="B59" s="66"/>
      <c r="C59" s="66"/>
      <c r="E59" s="71"/>
      <c r="F59" s="71"/>
      <c r="G59" s="71"/>
      <c r="H59" s="71"/>
      <c r="I59" s="306"/>
      <c r="J59" s="68" t="s">
        <v>66</v>
      </c>
      <c r="K59" s="650">
        <f>K56+K57+K58</f>
        <v>17981250</v>
      </c>
    </row>
    <row r="60" spans="1:11" ht="15" customHeight="1" thickBot="1" x14ac:dyDescent="0.3">
      <c r="A60" s="97"/>
      <c r="B60" s="98"/>
      <c r="C60" s="98"/>
      <c r="D60" s="99"/>
      <c r="E60" s="100"/>
      <c r="F60" s="100"/>
      <c r="G60" s="100"/>
      <c r="H60" s="100"/>
      <c r="I60" s="379"/>
      <c r="J60" s="101"/>
      <c r="K60" s="102"/>
    </row>
    <row r="61" spans="1:11" ht="15" customHeight="1" x14ac:dyDescent="0.25">
      <c r="A61" s="705" t="s">
        <v>23</v>
      </c>
      <c r="B61" s="706"/>
      <c r="C61" s="706"/>
      <c r="D61" s="706"/>
      <c r="E61" s="706"/>
      <c r="F61" s="706"/>
      <c r="G61" s="706"/>
      <c r="H61" s="706"/>
      <c r="I61" s="706"/>
      <c r="J61" s="706"/>
      <c r="K61" s="707"/>
    </row>
    <row r="62" spans="1:11" ht="15.75" thickBot="1" x14ac:dyDescent="0.3">
      <c r="A62" s="708"/>
      <c r="B62" s="709"/>
      <c r="C62" s="709"/>
      <c r="D62" s="709"/>
      <c r="E62" s="709"/>
      <c r="F62" s="709"/>
      <c r="G62" s="709"/>
      <c r="H62" s="709"/>
      <c r="I62" s="709"/>
      <c r="J62" s="709"/>
      <c r="K62" s="710"/>
    </row>
  </sheetData>
  <mergeCells count="47">
    <mergeCell ref="E52:G52"/>
    <mergeCell ref="E54:G54"/>
    <mergeCell ref="E55:G55"/>
    <mergeCell ref="A61:K62"/>
    <mergeCell ref="E53:G53"/>
    <mergeCell ref="E43:G43"/>
    <mergeCell ref="E46:G46"/>
    <mergeCell ref="E47:G47"/>
    <mergeCell ref="E48:G48"/>
    <mergeCell ref="E49:G49"/>
    <mergeCell ref="E50:G50"/>
    <mergeCell ref="E35:G35"/>
    <mergeCell ref="E36:G36"/>
    <mergeCell ref="E37:G37"/>
    <mergeCell ref="E38:G38"/>
    <mergeCell ref="E51:G51"/>
    <mergeCell ref="E40:G40"/>
    <mergeCell ref="E41:G41"/>
    <mergeCell ref="E42:G42"/>
    <mergeCell ref="E44:G44"/>
    <mergeCell ref="E45:G45"/>
    <mergeCell ref="E25:G25"/>
    <mergeCell ref="E26:G26"/>
    <mergeCell ref="E39:G39"/>
    <mergeCell ref="E28:G28"/>
    <mergeCell ref="E29:G29"/>
    <mergeCell ref="E30:G30"/>
    <mergeCell ref="E31:G31"/>
    <mergeCell ref="E32:G32"/>
    <mergeCell ref="E33:G33"/>
    <mergeCell ref="E34:G34"/>
    <mergeCell ref="E27:G27"/>
    <mergeCell ref="A16:E16"/>
    <mergeCell ref="G16:H16"/>
    <mergeCell ref="E18:G18"/>
    <mergeCell ref="E19:G19"/>
    <mergeCell ref="E20:G20"/>
    <mergeCell ref="E21:G21"/>
    <mergeCell ref="E22:G22"/>
    <mergeCell ref="E23:G23"/>
    <mergeCell ref="E24:G24"/>
    <mergeCell ref="E1:K1"/>
    <mergeCell ref="D13:E13"/>
    <mergeCell ref="F13:G13"/>
    <mergeCell ref="A14:K14"/>
    <mergeCell ref="A15:E15"/>
    <mergeCell ref="G15:H15"/>
  </mergeCells>
  <pageMargins left="0.70866141732283472" right="0.70866141732283472" top="0.74803149606299213" bottom="0.74803149606299213" header="0.31496062992125984" footer="0.31496062992125984"/>
  <pageSetup scale="70"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view="pageBreakPreview" topLeftCell="A4" zoomScaleNormal="100" zoomScaleSheetLayoutView="100" workbookViewId="0">
      <selection activeCell="A38" sqref="A38:B38"/>
    </sheetView>
  </sheetViews>
  <sheetFormatPr defaultRowHeight="15" x14ac:dyDescent="0.25"/>
  <cols>
    <col min="1" max="1" width="5" customWidth="1"/>
    <col min="2" max="2" width="9.42578125" customWidth="1"/>
    <col min="3" max="3" width="12.7109375" customWidth="1"/>
    <col min="4" max="4" width="7" customWidth="1"/>
    <col min="5" max="5" width="4.140625" customWidth="1"/>
    <col min="6" max="6" width="11.28515625" customWidth="1"/>
    <col min="7" max="7" width="0.7109375" hidden="1" customWidth="1"/>
    <col min="8" max="8" width="13.5703125" customWidth="1"/>
    <col min="9" max="9" width="10.7109375" style="380" customWidth="1"/>
    <col min="10" max="10" width="9.28515625" customWidth="1"/>
    <col min="11" max="11" width="12.28515625" customWidth="1"/>
  </cols>
  <sheetData>
    <row r="1" spans="1:11" ht="46.5" x14ac:dyDescent="0.55000000000000004">
      <c r="A1" s="1"/>
      <c r="B1" s="2"/>
      <c r="C1" s="2"/>
      <c r="D1" s="2"/>
      <c r="E1" s="712" t="s">
        <v>0</v>
      </c>
      <c r="F1" s="712"/>
      <c r="G1" s="712"/>
      <c r="H1" s="712"/>
      <c r="I1" s="712"/>
      <c r="J1" s="712"/>
      <c r="K1" s="713"/>
    </row>
    <row r="2" spans="1:11" ht="17.25" x14ac:dyDescent="0.3">
      <c r="A2" s="3"/>
      <c r="B2" s="4"/>
      <c r="C2" s="4"/>
      <c r="D2" s="4"/>
      <c r="E2" s="5"/>
      <c r="F2" s="5"/>
      <c r="G2" s="6"/>
      <c r="H2" s="6"/>
      <c r="I2" s="372"/>
      <c r="J2" s="7"/>
      <c r="K2" s="8"/>
    </row>
    <row r="3" spans="1:11" ht="20.25" x14ac:dyDescent="0.3">
      <c r="A3" s="9"/>
      <c r="B3" s="10"/>
      <c r="C3" s="10"/>
      <c r="D3" s="10"/>
      <c r="E3" s="11"/>
      <c r="F3" s="12"/>
      <c r="G3" s="12"/>
      <c r="H3" s="12"/>
      <c r="I3" s="373"/>
      <c r="J3" s="13"/>
      <c r="K3" s="14"/>
    </row>
    <row r="4" spans="1:11" x14ac:dyDescent="0.25">
      <c r="A4" s="9"/>
      <c r="B4" s="10"/>
      <c r="C4" s="15"/>
      <c r="D4" s="15"/>
      <c r="E4" s="16"/>
      <c r="F4" s="15"/>
      <c r="G4" s="15"/>
      <c r="H4" s="15"/>
      <c r="I4" s="374"/>
      <c r="J4" s="17"/>
      <c r="K4" s="18"/>
    </row>
    <row r="5" spans="1:11" ht="15.75" x14ac:dyDescent="0.3">
      <c r="A5" s="19"/>
      <c r="B5" s="15"/>
      <c r="C5" s="15"/>
      <c r="D5" s="20"/>
      <c r="E5" s="21"/>
      <c r="F5" s="20"/>
      <c r="G5" s="22"/>
      <c r="H5" s="22"/>
      <c r="I5" s="374"/>
      <c r="J5" s="17"/>
      <c r="K5" s="18"/>
    </row>
    <row r="6" spans="1:11" ht="15.75" x14ac:dyDescent="0.3">
      <c r="A6" s="23"/>
      <c r="B6" s="24"/>
      <c r="C6" s="24"/>
      <c r="D6" s="24"/>
      <c r="E6" s="22"/>
      <c r="F6" s="22"/>
      <c r="G6" s="22"/>
      <c r="H6" s="22"/>
      <c r="I6" s="374"/>
      <c r="J6" s="853" t="s">
        <v>256</v>
      </c>
      <c r="K6" s="855" t="s">
        <v>266</v>
      </c>
    </row>
    <row r="7" spans="1:11" ht="16.5" x14ac:dyDescent="0.3">
      <c r="A7" s="23"/>
      <c r="B7" s="24"/>
      <c r="C7" s="24"/>
      <c r="D7" s="24"/>
      <c r="E7" s="20"/>
      <c r="F7" s="22"/>
      <c r="G7" s="26"/>
      <c r="H7" s="26"/>
      <c r="I7" s="336"/>
      <c r="J7" s="854"/>
      <c r="K7" s="856"/>
    </row>
    <row r="8" spans="1:11" x14ac:dyDescent="0.25">
      <c r="A8" s="29"/>
      <c r="B8" s="80"/>
      <c r="C8" s="30" t="s">
        <v>71</v>
      </c>
      <c r="D8" s="31" t="s">
        <v>81</v>
      </c>
      <c r="E8" s="32"/>
      <c r="F8" s="31"/>
      <c r="G8" s="32"/>
      <c r="H8" s="32"/>
      <c r="I8" s="333"/>
      <c r="J8" s="33"/>
      <c r="K8" s="34"/>
    </row>
    <row r="9" spans="1:11" ht="15" customHeight="1" x14ac:dyDescent="0.25">
      <c r="A9" s="35"/>
      <c r="B9" s="36"/>
      <c r="C9" s="37" t="s">
        <v>4</v>
      </c>
      <c r="D9" s="38" t="s">
        <v>259</v>
      </c>
      <c r="E9" s="38"/>
      <c r="F9" s="38"/>
      <c r="G9" s="39"/>
      <c r="H9" s="39"/>
      <c r="I9" s="328"/>
      <c r="J9" s="40"/>
      <c r="K9" s="41"/>
    </row>
    <row r="10" spans="1:11" x14ac:dyDescent="0.25">
      <c r="A10" s="42"/>
      <c r="B10" s="81"/>
      <c r="C10" s="37" t="s">
        <v>12</v>
      </c>
      <c r="D10" s="846" t="s">
        <v>260</v>
      </c>
      <c r="E10" s="846"/>
      <c r="F10" s="846"/>
      <c r="G10" s="846"/>
      <c r="H10" s="45"/>
      <c r="I10" s="328"/>
      <c r="J10" s="40"/>
      <c r="K10" s="41"/>
    </row>
    <row r="11" spans="1:11" ht="15.75" customHeight="1" x14ac:dyDescent="0.3">
      <c r="A11" s="47"/>
      <c r="B11" s="43"/>
      <c r="C11" s="48" t="s">
        <v>5</v>
      </c>
      <c r="D11" s="846" t="s">
        <v>261</v>
      </c>
      <c r="E11" s="846"/>
      <c r="F11" s="846"/>
      <c r="G11" s="846"/>
      <c r="H11" s="846"/>
      <c r="I11" s="846"/>
      <c r="J11" s="40"/>
      <c r="K11" s="41"/>
    </row>
    <row r="12" spans="1:11" ht="15.75" x14ac:dyDescent="0.3">
      <c r="A12" s="47"/>
      <c r="B12" s="43"/>
      <c r="C12" s="48" t="s">
        <v>15</v>
      </c>
      <c r="D12" s="49"/>
      <c r="E12" s="45"/>
      <c r="F12" s="49"/>
      <c r="G12" s="45"/>
      <c r="H12" s="45"/>
      <c r="I12" s="328"/>
      <c r="J12" s="40"/>
      <c r="K12" s="41"/>
    </row>
    <row r="13" spans="1:11" ht="15.75" x14ac:dyDescent="0.3">
      <c r="A13" s="50"/>
      <c r="B13" s="43"/>
      <c r="C13" s="74" t="s">
        <v>6</v>
      </c>
      <c r="D13" s="714"/>
      <c r="E13" s="714"/>
      <c r="F13" s="714"/>
      <c r="G13" s="714"/>
      <c r="H13" s="92"/>
      <c r="I13" s="375"/>
      <c r="J13" s="51"/>
      <c r="K13" s="51"/>
    </row>
    <row r="14" spans="1:11" ht="15.75" x14ac:dyDescent="0.3">
      <c r="A14" s="715"/>
      <c r="B14" s="716"/>
      <c r="C14" s="716"/>
      <c r="D14" s="716"/>
      <c r="E14" s="716"/>
      <c r="F14" s="716"/>
      <c r="G14" s="716"/>
      <c r="H14" s="716"/>
      <c r="I14" s="716"/>
      <c r="J14" s="716"/>
      <c r="K14" s="717"/>
    </row>
    <row r="15" spans="1:11" x14ac:dyDescent="0.25">
      <c r="A15" s="718" t="s">
        <v>7</v>
      </c>
      <c r="B15" s="719"/>
      <c r="C15" s="719"/>
      <c r="D15" s="719"/>
      <c r="E15" s="720"/>
      <c r="F15" s="52" t="s">
        <v>16</v>
      </c>
      <c r="G15" s="721" t="s">
        <v>17</v>
      </c>
      <c r="H15" s="719"/>
      <c r="I15" s="376"/>
      <c r="J15" s="95"/>
      <c r="K15" s="53" t="s">
        <v>8</v>
      </c>
    </row>
    <row r="16" spans="1:11" ht="15.75" x14ac:dyDescent="0.3">
      <c r="A16" s="722" t="s">
        <v>24</v>
      </c>
      <c r="B16" s="723"/>
      <c r="C16" s="723"/>
      <c r="D16" s="723"/>
      <c r="E16" s="724"/>
      <c r="F16" s="54"/>
      <c r="G16" s="725"/>
      <c r="H16" s="726"/>
      <c r="I16" s="377"/>
      <c r="J16" s="88"/>
      <c r="K16" s="55" t="s">
        <v>242</v>
      </c>
    </row>
    <row r="17" spans="1:11" ht="15.75" x14ac:dyDescent="0.3">
      <c r="A17" s="56"/>
      <c r="B17" s="57"/>
      <c r="C17" s="57"/>
      <c r="D17" s="57"/>
      <c r="E17" s="58"/>
      <c r="F17" s="59"/>
      <c r="G17" s="59"/>
      <c r="H17" s="59"/>
      <c r="I17" s="378"/>
      <c r="J17" s="60"/>
      <c r="K17" s="61"/>
    </row>
    <row r="18" spans="1:11" x14ac:dyDescent="0.25">
      <c r="A18" s="62" t="s">
        <v>18</v>
      </c>
      <c r="B18" s="62" t="s">
        <v>27</v>
      </c>
      <c r="C18" s="849" t="s">
        <v>19</v>
      </c>
      <c r="D18" s="62" t="s">
        <v>20</v>
      </c>
      <c r="E18" s="711" t="s">
        <v>21</v>
      </c>
      <c r="F18" s="711"/>
      <c r="G18" s="711"/>
      <c r="H18" s="96" t="s">
        <v>10</v>
      </c>
      <c r="I18" s="165" t="s">
        <v>25</v>
      </c>
      <c r="J18" s="52" t="s">
        <v>262</v>
      </c>
      <c r="K18" s="621" t="s">
        <v>264</v>
      </c>
    </row>
    <row r="19" spans="1:11" x14ac:dyDescent="0.25">
      <c r="A19" s="62"/>
      <c r="B19" s="62"/>
      <c r="C19" s="849"/>
      <c r="D19" s="62"/>
      <c r="E19" s="850"/>
      <c r="F19" s="376"/>
      <c r="G19" s="851"/>
      <c r="H19" s="621"/>
      <c r="I19" s="621"/>
      <c r="J19" s="852" t="s">
        <v>263</v>
      </c>
      <c r="K19" s="852" t="s">
        <v>265</v>
      </c>
    </row>
    <row r="20" spans="1:11" ht="15.75" x14ac:dyDescent="0.3">
      <c r="A20" s="530">
        <v>1</v>
      </c>
      <c r="B20" s="532" t="s">
        <v>43</v>
      </c>
      <c r="C20" s="82" t="s">
        <v>26</v>
      </c>
      <c r="D20" s="83"/>
      <c r="E20" s="699"/>
      <c r="F20" s="700"/>
      <c r="G20" s="701"/>
      <c r="H20" s="93"/>
      <c r="I20" s="538">
        <v>12</v>
      </c>
      <c r="J20" s="536">
        <v>55000</v>
      </c>
      <c r="K20" s="537">
        <f>IF((C20)&gt;0,SUM(J20*I20),"")</f>
        <v>660000</v>
      </c>
    </row>
    <row r="21" spans="1:11" ht="15.75" x14ac:dyDescent="0.3">
      <c r="A21" s="531">
        <v>2</v>
      </c>
      <c r="B21" s="533" t="s">
        <v>40</v>
      </c>
      <c r="C21" s="82" t="s">
        <v>26</v>
      </c>
      <c r="D21" s="83"/>
      <c r="E21" s="735"/>
      <c r="F21" s="735"/>
      <c r="G21" s="735"/>
      <c r="H21" s="90"/>
      <c r="I21" s="538">
        <v>1</v>
      </c>
      <c r="J21" s="113">
        <v>55000</v>
      </c>
      <c r="K21" s="537">
        <f t="shared" ref="K21:K32" si="0">IF((C21)&gt;0,SUM(J21*I21),"")</f>
        <v>55000</v>
      </c>
    </row>
    <row r="22" spans="1:11" ht="15.75" x14ac:dyDescent="0.3">
      <c r="A22" s="531">
        <v>3</v>
      </c>
      <c r="B22" s="533" t="s">
        <v>47</v>
      </c>
      <c r="C22" s="82" t="s">
        <v>26</v>
      </c>
      <c r="D22" s="83"/>
      <c r="E22" s="735"/>
      <c r="F22" s="735"/>
      <c r="G22" s="735"/>
      <c r="H22" s="90"/>
      <c r="I22" s="538">
        <v>1</v>
      </c>
      <c r="J22" s="113">
        <v>55000</v>
      </c>
      <c r="K22" s="537">
        <f t="shared" si="0"/>
        <v>55000</v>
      </c>
    </row>
    <row r="23" spans="1:11" ht="15.75" x14ac:dyDescent="0.3">
      <c r="A23" s="530">
        <v>4</v>
      </c>
      <c r="B23" s="532" t="s">
        <v>48</v>
      </c>
      <c r="C23" s="82" t="s">
        <v>26</v>
      </c>
      <c r="D23" s="83"/>
      <c r="E23" s="735"/>
      <c r="F23" s="735"/>
      <c r="G23" s="735"/>
      <c r="H23" s="90"/>
      <c r="I23" s="538">
        <v>1</v>
      </c>
      <c r="J23" s="113">
        <v>55000</v>
      </c>
      <c r="K23" s="537">
        <f t="shared" si="0"/>
        <v>55000</v>
      </c>
    </row>
    <row r="24" spans="1:11" ht="15.75" x14ac:dyDescent="0.3">
      <c r="A24" s="531">
        <v>5</v>
      </c>
      <c r="B24" s="533" t="s">
        <v>53</v>
      </c>
      <c r="C24" s="82" t="s">
        <v>26</v>
      </c>
      <c r="D24" s="83"/>
      <c r="E24" s="733"/>
      <c r="F24" s="733"/>
      <c r="G24" s="733"/>
      <c r="H24" s="94"/>
      <c r="I24" s="538">
        <v>2</v>
      </c>
      <c r="J24" s="113">
        <v>55000</v>
      </c>
      <c r="K24" s="537">
        <f t="shared" si="0"/>
        <v>110000</v>
      </c>
    </row>
    <row r="25" spans="1:11" ht="15.75" x14ac:dyDescent="0.3">
      <c r="A25" s="531">
        <v>6</v>
      </c>
      <c r="B25" s="533" t="s">
        <v>54</v>
      </c>
      <c r="C25" s="82" t="s">
        <v>26</v>
      </c>
      <c r="D25" s="83"/>
      <c r="E25" s="733"/>
      <c r="F25" s="733"/>
      <c r="G25" s="733"/>
      <c r="H25" s="94"/>
      <c r="I25" s="538">
        <v>1</v>
      </c>
      <c r="J25" s="113">
        <v>55000</v>
      </c>
      <c r="K25" s="537">
        <f t="shared" si="0"/>
        <v>55000</v>
      </c>
    </row>
    <row r="26" spans="1:11" ht="15.75" x14ac:dyDescent="0.3">
      <c r="A26" s="530">
        <v>7</v>
      </c>
      <c r="B26" s="532" t="s">
        <v>55</v>
      </c>
      <c r="C26" s="82" t="s">
        <v>26</v>
      </c>
      <c r="D26" s="83"/>
      <c r="E26" s="733"/>
      <c r="F26" s="733"/>
      <c r="G26" s="733"/>
      <c r="H26" s="94"/>
      <c r="I26" s="538">
        <v>1</v>
      </c>
      <c r="J26" s="113">
        <v>55000</v>
      </c>
      <c r="K26" s="537">
        <f t="shared" si="0"/>
        <v>55000</v>
      </c>
    </row>
    <row r="27" spans="1:11" ht="15.75" x14ac:dyDescent="0.3">
      <c r="A27" s="531">
        <v>8</v>
      </c>
      <c r="B27" s="533" t="s">
        <v>61</v>
      </c>
      <c r="C27" s="82" t="s">
        <v>26</v>
      </c>
      <c r="D27" s="83"/>
      <c r="E27" s="733"/>
      <c r="F27" s="733"/>
      <c r="G27" s="733"/>
      <c r="H27" s="94"/>
      <c r="I27" s="538">
        <v>1</v>
      </c>
      <c r="J27" s="113">
        <v>55000</v>
      </c>
      <c r="K27" s="537">
        <f t="shared" si="0"/>
        <v>55000</v>
      </c>
    </row>
    <row r="28" spans="1:11" ht="15.75" x14ac:dyDescent="0.3">
      <c r="A28" s="531">
        <v>9</v>
      </c>
      <c r="B28" s="533" t="s">
        <v>57</v>
      </c>
      <c r="C28" s="82" t="s">
        <v>26</v>
      </c>
      <c r="D28" s="83"/>
      <c r="E28" s="733"/>
      <c r="F28" s="733"/>
      <c r="G28" s="733"/>
      <c r="H28" s="94"/>
      <c r="I28" s="538">
        <v>1</v>
      </c>
      <c r="J28" s="113">
        <v>55000</v>
      </c>
      <c r="K28" s="537">
        <f t="shared" si="0"/>
        <v>55000</v>
      </c>
    </row>
    <row r="29" spans="1:11" ht="15.75" x14ac:dyDescent="0.3">
      <c r="A29" s="530"/>
      <c r="B29" s="530"/>
      <c r="D29" s="83"/>
      <c r="E29" s="733"/>
      <c r="F29" s="733"/>
      <c r="G29" s="733"/>
      <c r="H29" s="94"/>
      <c r="I29" s="82"/>
      <c r="J29" s="113"/>
      <c r="K29" s="75" t="str">
        <f t="shared" si="0"/>
        <v/>
      </c>
    </row>
    <row r="30" spans="1:11" ht="15.75" x14ac:dyDescent="0.3">
      <c r="A30" s="63"/>
      <c r="B30" s="63"/>
      <c r="C30" s="82"/>
      <c r="D30" s="83"/>
      <c r="E30" s="727"/>
      <c r="F30" s="727"/>
      <c r="G30" s="727"/>
      <c r="H30" s="111"/>
      <c r="I30" s="384"/>
      <c r="J30" s="115"/>
      <c r="K30" s="75" t="str">
        <f t="shared" si="0"/>
        <v/>
      </c>
    </row>
    <row r="31" spans="1:11" ht="15.75" x14ac:dyDescent="0.3">
      <c r="A31" s="65"/>
      <c r="B31" s="65"/>
      <c r="C31" s="82"/>
      <c r="D31" s="83"/>
      <c r="E31" s="727"/>
      <c r="F31" s="727"/>
      <c r="G31" s="727"/>
      <c r="H31" s="111"/>
      <c r="I31" s="384"/>
      <c r="J31" s="115"/>
      <c r="K31" s="75" t="str">
        <f t="shared" si="0"/>
        <v/>
      </c>
    </row>
    <row r="32" spans="1:11" ht="15.75" x14ac:dyDescent="0.3">
      <c r="A32" s="65"/>
      <c r="B32" s="65"/>
      <c r="C32" s="82"/>
      <c r="D32" s="116"/>
      <c r="E32" s="737"/>
      <c r="F32" s="737"/>
      <c r="G32" s="737"/>
      <c r="H32" s="112"/>
      <c r="I32" s="384"/>
      <c r="J32" s="115"/>
      <c r="K32" s="75" t="str">
        <f t="shared" si="0"/>
        <v/>
      </c>
    </row>
    <row r="33" spans="1:11" ht="15.75" x14ac:dyDescent="0.25">
      <c r="A33" s="69"/>
      <c r="B33" s="66"/>
      <c r="C33" s="66"/>
      <c r="D33" s="66"/>
      <c r="E33" s="67"/>
      <c r="F33" s="67"/>
      <c r="G33" s="67"/>
      <c r="H33" s="67"/>
      <c r="I33" s="306"/>
      <c r="J33" s="68" t="s">
        <v>245</v>
      </c>
      <c r="K33" s="654">
        <f>SUM(K20:K32)</f>
        <v>1155000</v>
      </c>
    </row>
    <row r="34" spans="1:11" ht="15.75" x14ac:dyDescent="0.25">
      <c r="A34" s="70"/>
      <c r="B34" s="70"/>
      <c r="C34" s="66"/>
      <c r="E34" s="71"/>
      <c r="F34" s="71"/>
      <c r="G34" s="71"/>
      <c r="H34" s="71"/>
      <c r="I34" s="306"/>
      <c r="J34" s="68" t="s">
        <v>224</v>
      </c>
      <c r="K34" s="655">
        <v>20000</v>
      </c>
    </row>
    <row r="35" spans="1:11" ht="15.75" x14ac:dyDescent="0.25">
      <c r="A35" s="858" t="s">
        <v>229</v>
      </c>
      <c r="B35" s="859"/>
      <c r="C35" s="66"/>
      <c r="E35" s="71"/>
      <c r="F35" s="71"/>
      <c r="G35" s="71"/>
      <c r="H35" s="71"/>
      <c r="I35" s="306"/>
      <c r="J35" s="68" t="s">
        <v>68</v>
      </c>
      <c r="K35" s="655">
        <f>(K33+K34)*5%</f>
        <v>58750</v>
      </c>
    </row>
    <row r="36" spans="1:11" ht="15.75" x14ac:dyDescent="0.25">
      <c r="A36" s="70"/>
      <c r="B36" s="66"/>
      <c r="C36" s="66"/>
      <c r="E36" s="71"/>
      <c r="F36" s="71"/>
      <c r="G36" s="71"/>
      <c r="H36" s="71"/>
      <c r="I36" s="306"/>
      <c r="J36" s="68" t="s">
        <v>70</v>
      </c>
      <c r="K36" s="857">
        <f>K33+K34+K35</f>
        <v>1233750</v>
      </c>
    </row>
    <row r="37" spans="1:11" ht="15" customHeight="1" x14ac:dyDescent="0.25">
      <c r="A37" s="97"/>
      <c r="B37" s="98"/>
      <c r="C37" s="98"/>
      <c r="D37" s="99"/>
      <c r="E37" s="100"/>
      <c r="F37" s="100"/>
      <c r="G37" s="100"/>
      <c r="H37" s="100"/>
      <c r="I37" s="379"/>
      <c r="J37" s="101"/>
      <c r="K37" s="102"/>
    </row>
    <row r="38" spans="1:11" ht="15.75" x14ac:dyDescent="0.25">
      <c r="A38" s="847"/>
      <c r="B38" s="848"/>
      <c r="C38" s="98"/>
      <c r="D38" s="99"/>
      <c r="E38" s="100"/>
      <c r="F38" s="100"/>
      <c r="G38" s="100"/>
      <c r="H38" s="100"/>
      <c r="I38" s="379"/>
      <c r="J38" s="101"/>
      <c r="K38" s="102"/>
    </row>
    <row r="39" spans="1:11" ht="16.5" thickBot="1" x14ac:dyDescent="0.3">
      <c r="A39" s="97"/>
      <c r="B39" s="98"/>
      <c r="C39" s="98"/>
      <c r="D39" s="99"/>
      <c r="E39" s="100"/>
      <c r="F39" s="100"/>
      <c r="G39" s="100"/>
      <c r="H39" s="100"/>
      <c r="I39" s="379"/>
      <c r="J39" s="101"/>
      <c r="K39" s="102"/>
    </row>
    <row r="40" spans="1:11" x14ac:dyDescent="0.25">
      <c r="A40" s="705" t="s">
        <v>23</v>
      </c>
      <c r="B40" s="706"/>
      <c r="C40" s="706"/>
      <c r="D40" s="706"/>
      <c r="E40" s="706"/>
      <c r="F40" s="706"/>
      <c r="G40" s="706"/>
      <c r="H40" s="706"/>
      <c r="I40" s="706"/>
      <c r="J40" s="706"/>
      <c r="K40" s="707"/>
    </row>
    <row r="41" spans="1:11" ht="15.75" thickBot="1" x14ac:dyDescent="0.3">
      <c r="A41" s="708"/>
      <c r="B41" s="709"/>
      <c r="C41" s="709"/>
      <c r="D41" s="709"/>
      <c r="E41" s="709"/>
      <c r="F41" s="709"/>
      <c r="G41" s="709"/>
      <c r="H41" s="709"/>
      <c r="I41" s="709"/>
      <c r="J41" s="709"/>
      <c r="K41" s="710"/>
    </row>
  </sheetData>
  <mergeCells count="29">
    <mergeCell ref="D11:I11"/>
    <mergeCell ref="E27:G27"/>
    <mergeCell ref="A40:K41"/>
    <mergeCell ref="E29:G29"/>
    <mergeCell ref="E30:G30"/>
    <mergeCell ref="E31:G31"/>
    <mergeCell ref="E32:G32"/>
    <mergeCell ref="E28:G28"/>
    <mergeCell ref="A35:B35"/>
    <mergeCell ref="A38:B38"/>
    <mergeCell ref="G16:H16"/>
    <mergeCell ref="E18:G18"/>
    <mergeCell ref="E21:G21"/>
    <mergeCell ref="E22:G22"/>
    <mergeCell ref="E20:G20"/>
    <mergeCell ref="E26:G26"/>
    <mergeCell ref="E23:G23"/>
    <mergeCell ref="E24:G24"/>
    <mergeCell ref="E25:G25"/>
    <mergeCell ref="A16:E16"/>
    <mergeCell ref="E1:K1"/>
    <mergeCell ref="D13:E13"/>
    <mergeCell ref="F13:G13"/>
    <mergeCell ref="A14:K14"/>
    <mergeCell ref="A15:E15"/>
    <mergeCell ref="G15:H15"/>
    <mergeCell ref="D10:G10"/>
    <mergeCell ref="J6:J7"/>
    <mergeCell ref="K6:K7"/>
  </mergeCells>
  <pageMargins left="0.70866141732283472" right="0.70866141732283472" top="0.74803149606299213" bottom="0.74803149606299213" header="0.31496062992125984" footer="0.31496062992125984"/>
  <pageSetup scale="95" orientation="portrait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view="pageBreakPreview" zoomScale="96" zoomScaleNormal="81" zoomScaleSheetLayoutView="96" workbookViewId="0">
      <selection activeCell="D53" sqref="D53"/>
    </sheetView>
  </sheetViews>
  <sheetFormatPr defaultRowHeight="15" x14ac:dyDescent="0.25"/>
  <cols>
    <col min="1" max="1" width="5.42578125" customWidth="1"/>
    <col min="2" max="2" width="15.140625" customWidth="1"/>
    <col min="3" max="3" width="17.7109375" customWidth="1"/>
    <col min="5" max="5" width="6.5703125" customWidth="1"/>
    <col min="6" max="6" width="13" customWidth="1"/>
    <col min="7" max="7" width="1" hidden="1" customWidth="1"/>
    <col min="8" max="8" width="16" customWidth="1"/>
    <col min="9" max="9" width="16.42578125" style="380" customWidth="1"/>
    <col min="10" max="10" width="15" customWidth="1"/>
    <col min="11" max="11" width="20.140625" customWidth="1"/>
  </cols>
  <sheetData>
    <row r="1" spans="1:11" ht="46.5" x14ac:dyDescent="0.55000000000000004">
      <c r="A1" s="1"/>
      <c r="B1" s="2"/>
      <c r="C1" s="2"/>
      <c r="D1" s="2"/>
      <c r="E1" s="712" t="s">
        <v>0</v>
      </c>
      <c r="F1" s="712"/>
      <c r="G1" s="712"/>
      <c r="H1" s="712"/>
      <c r="I1" s="712"/>
      <c r="J1" s="712"/>
      <c r="K1" s="713"/>
    </row>
    <row r="2" spans="1:11" ht="17.25" x14ac:dyDescent="0.3">
      <c r="A2" s="3"/>
      <c r="B2" s="4"/>
      <c r="C2" s="4"/>
      <c r="D2" s="4"/>
      <c r="E2" s="5"/>
      <c r="F2" s="5"/>
      <c r="G2" s="6"/>
      <c r="H2" s="6"/>
      <c r="I2" s="388"/>
      <c r="J2" s="7"/>
      <c r="K2" s="8"/>
    </row>
    <row r="3" spans="1:11" ht="22.5" x14ac:dyDescent="0.3">
      <c r="A3" s="9"/>
      <c r="B3" s="10"/>
      <c r="C3" s="10"/>
      <c r="D3" s="10"/>
      <c r="E3" s="117"/>
      <c r="F3" s="12"/>
      <c r="G3" s="12"/>
      <c r="H3" s="12"/>
      <c r="I3" s="389"/>
      <c r="J3" s="13"/>
      <c r="K3" s="14"/>
    </row>
    <row r="4" spans="1:11" x14ac:dyDescent="0.25">
      <c r="A4" s="9"/>
      <c r="B4" s="10"/>
      <c r="C4" s="15"/>
      <c r="D4" s="15"/>
      <c r="E4" s="118"/>
      <c r="F4" s="15"/>
      <c r="G4" s="15"/>
      <c r="H4" s="15"/>
      <c r="I4" s="390"/>
      <c r="J4" s="17"/>
      <c r="K4" s="18"/>
    </row>
    <row r="5" spans="1:11" ht="15.75" x14ac:dyDescent="0.3">
      <c r="A5" s="19"/>
      <c r="B5" s="15"/>
      <c r="C5" s="15"/>
      <c r="D5" s="20"/>
      <c r="E5" s="119"/>
      <c r="F5" s="20"/>
      <c r="G5" s="22"/>
      <c r="H5" s="22"/>
      <c r="I5" s="390"/>
      <c r="J5" s="17"/>
      <c r="K5" s="18"/>
    </row>
    <row r="6" spans="1:11" ht="15.75" x14ac:dyDescent="0.3">
      <c r="A6" s="23"/>
      <c r="B6" s="24"/>
      <c r="C6" s="24"/>
      <c r="D6" s="24"/>
      <c r="E6" s="22"/>
      <c r="F6" s="22"/>
      <c r="G6" s="22"/>
      <c r="H6" s="22"/>
      <c r="I6" s="390"/>
      <c r="J6" s="17" t="s">
        <v>226</v>
      </c>
      <c r="K6" s="25">
        <f ca="1">TODAY()</f>
        <v>41556</v>
      </c>
    </row>
    <row r="7" spans="1:11" ht="16.5" x14ac:dyDescent="0.3">
      <c r="A7" s="23"/>
      <c r="B7" s="24"/>
      <c r="C7" s="24"/>
      <c r="D7" s="24"/>
      <c r="E7" s="20"/>
      <c r="F7" s="22"/>
      <c r="G7" s="26"/>
      <c r="H7" s="26"/>
      <c r="I7" s="391"/>
      <c r="J7" s="27"/>
      <c r="K7" s="28"/>
    </row>
    <row r="8" spans="1:11" x14ac:dyDescent="0.25">
      <c r="A8" s="29"/>
      <c r="B8" s="80"/>
      <c r="C8" s="30" t="s">
        <v>71</v>
      </c>
      <c r="D8" s="830" t="s">
        <v>258</v>
      </c>
      <c r="E8" s="830"/>
      <c r="F8" s="830"/>
      <c r="G8" s="32"/>
      <c r="H8" s="32"/>
      <c r="I8" s="392"/>
      <c r="J8" s="33"/>
      <c r="K8" s="34"/>
    </row>
    <row r="9" spans="1:11" x14ac:dyDescent="0.25">
      <c r="A9" s="35"/>
      <c r="B9" s="36"/>
      <c r="C9" s="37" t="s">
        <v>4</v>
      </c>
      <c r="D9" s="844" t="s">
        <v>257</v>
      </c>
      <c r="E9" s="844"/>
      <c r="F9" s="844"/>
      <c r="G9" s="39"/>
      <c r="H9" s="39"/>
      <c r="I9" s="393"/>
      <c r="J9" s="40"/>
      <c r="K9" s="41"/>
    </row>
    <row r="10" spans="1:11" x14ac:dyDescent="0.25">
      <c r="A10" s="42"/>
      <c r="B10" s="81"/>
      <c r="C10" s="37"/>
      <c r="D10" s="44" t="s">
        <v>137</v>
      </c>
      <c r="E10" s="45"/>
      <c r="F10" s="44"/>
      <c r="G10" s="45"/>
      <c r="H10" s="45"/>
      <c r="I10" s="393"/>
      <c r="J10" s="40"/>
      <c r="K10" s="41"/>
    </row>
    <row r="11" spans="1:11" x14ac:dyDescent="0.25">
      <c r="A11" s="42"/>
      <c r="B11" s="81"/>
      <c r="C11" s="37" t="s">
        <v>13</v>
      </c>
      <c r="D11" s="46" t="s">
        <v>14</v>
      </c>
      <c r="E11" s="45"/>
      <c r="F11" s="46"/>
      <c r="G11" s="45"/>
      <c r="H11" s="45"/>
      <c r="I11" s="393"/>
      <c r="J11" s="40"/>
      <c r="K11" s="41"/>
    </row>
    <row r="12" spans="1:11" ht="15.75" x14ac:dyDescent="0.3">
      <c r="A12" s="47"/>
      <c r="B12" s="43"/>
      <c r="C12" s="48" t="s">
        <v>5</v>
      </c>
      <c r="D12" s="44" t="s">
        <v>141</v>
      </c>
      <c r="E12" s="45"/>
      <c r="F12" s="44"/>
      <c r="G12" s="45"/>
      <c r="H12" s="45"/>
      <c r="I12" s="393"/>
      <c r="J12" s="40"/>
      <c r="K12" s="41"/>
    </row>
    <row r="13" spans="1:11" ht="15.75" x14ac:dyDescent="0.3">
      <c r="A13" s="47"/>
      <c r="B13" s="43"/>
      <c r="C13" s="48" t="s">
        <v>15</v>
      </c>
      <c r="D13" s="49" t="s">
        <v>140</v>
      </c>
      <c r="E13" s="45"/>
      <c r="F13" s="49"/>
      <c r="G13" s="45"/>
      <c r="H13" s="45"/>
      <c r="I13" s="393"/>
      <c r="J13" s="40"/>
      <c r="K13" s="41"/>
    </row>
    <row r="14" spans="1:11" ht="15.75" x14ac:dyDescent="0.3">
      <c r="A14" s="50"/>
      <c r="B14" s="43"/>
      <c r="C14" s="74" t="s">
        <v>6</v>
      </c>
      <c r="D14" s="714"/>
      <c r="E14" s="714"/>
      <c r="F14" s="714"/>
      <c r="G14" s="714"/>
      <c r="H14" s="92"/>
      <c r="I14" s="394"/>
      <c r="J14" s="51"/>
      <c r="K14" s="51"/>
    </row>
    <row r="15" spans="1:11" ht="15.75" x14ac:dyDescent="0.3">
      <c r="A15" s="715"/>
      <c r="B15" s="716"/>
      <c r="C15" s="716"/>
      <c r="D15" s="716"/>
      <c r="E15" s="716"/>
      <c r="F15" s="716"/>
      <c r="G15" s="716"/>
      <c r="H15" s="716"/>
      <c r="I15" s="716"/>
      <c r="J15" s="716"/>
      <c r="K15" s="717"/>
    </row>
    <row r="16" spans="1:11" ht="15.75" x14ac:dyDescent="0.25">
      <c r="A16" s="739" t="s">
        <v>7</v>
      </c>
      <c r="B16" s="740"/>
      <c r="C16" s="740"/>
      <c r="D16" s="740"/>
      <c r="E16" s="741"/>
      <c r="F16" s="657" t="s">
        <v>16</v>
      </c>
      <c r="G16" s="742" t="s">
        <v>17</v>
      </c>
      <c r="H16" s="743"/>
      <c r="I16" s="395"/>
      <c r="J16" s="120"/>
      <c r="K16" s="121" t="s">
        <v>8</v>
      </c>
    </row>
    <row r="17" spans="1:11" ht="17.25" x14ac:dyDescent="0.3">
      <c r="A17" s="745" t="s">
        <v>24</v>
      </c>
      <c r="B17" s="746"/>
      <c r="C17" s="746"/>
      <c r="D17" s="746"/>
      <c r="E17" s="747"/>
      <c r="F17" s="122"/>
      <c r="G17" s="748"/>
      <c r="H17" s="749"/>
      <c r="I17" s="396"/>
      <c r="J17" s="123"/>
      <c r="K17" s="124" t="s">
        <v>244</v>
      </c>
    </row>
    <row r="18" spans="1:11" ht="17.25" x14ac:dyDescent="0.3">
      <c r="A18" s="125"/>
      <c r="B18" s="126"/>
      <c r="C18" s="126"/>
      <c r="D18" s="126"/>
      <c r="E18" s="127"/>
      <c r="F18" s="128"/>
      <c r="G18" s="128"/>
      <c r="H18" s="128"/>
      <c r="I18" s="397"/>
      <c r="J18" s="129"/>
      <c r="K18" s="130"/>
    </row>
    <row r="19" spans="1:11" x14ac:dyDescent="0.25">
      <c r="A19" s="658" t="s">
        <v>18</v>
      </c>
      <c r="B19" s="658" t="s">
        <v>27</v>
      </c>
      <c r="C19" s="658" t="s">
        <v>19</v>
      </c>
      <c r="D19" s="658" t="s">
        <v>20</v>
      </c>
      <c r="E19" s="750" t="s">
        <v>21</v>
      </c>
      <c r="F19" s="750"/>
      <c r="G19" s="750"/>
      <c r="H19" s="659" t="s">
        <v>10</v>
      </c>
      <c r="I19" s="660" t="s">
        <v>25</v>
      </c>
      <c r="J19" s="657" t="s">
        <v>28</v>
      </c>
      <c r="K19" s="657" t="s">
        <v>22</v>
      </c>
    </row>
    <row r="20" spans="1:11" ht="17.25" x14ac:dyDescent="0.3">
      <c r="A20" s="131">
        <v>1</v>
      </c>
      <c r="B20" s="131" t="s">
        <v>82</v>
      </c>
      <c r="C20" s="132" t="s">
        <v>26</v>
      </c>
      <c r="D20" s="133"/>
      <c r="E20" s="752"/>
      <c r="F20" s="753"/>
      <c r="G20" s="754"/>
      <c r="H20" s="134"/>
      <c r="I20" s="398">
        <v>21</v>
      </c>
      <c r="J20" s="135">
        <v>55000</v>
      </c>
      <c r="K20" s="136">
        <f t="shared" ref="K20:K51" si="0">IF((C20)&gt;0,SUM(J20*I20),"")</f>
        <v>1155000</v>
      </c>
    </row>
    <row r="21" spans="1:11" ht="17.25" x14ac:dyDescent="0.3">
      <c r="A21" s="131">
        <v>2</v>
      </c>
      <c r="B21" s="131" t="s">
        <v>83</v>
      </c>
      <c r="C21" s="132" t="s">
        <v>26</v>
      </c>
      <c r="D21" s="133"/>
      <c r="E21" s="751"/>
      <c r="F21" s="751"/>
      <c r="G21" s="751"/>
      <c r="H21" s="137"/>
      <c r="I21" s="399">
        <v>86</v>
      </c>
      <c r="J21" s="135">
        <v>55000</v>
      </c>
      <c r="K21" s="136">
        <f t="shared" si="0"/>
        <v>4730000</v>
      </c>
    </row>
    <row r="22" spans="1:11" ht="17.25" x14ac:dyDescent="0.3">
      <c r="A22" s="131">
        <v>3</v>
      </c>
      <c r="B22" s="131" t="s">
        <v>84</v>
      </c>
      <c r="C22" s="132" t="s">
        <v>26</v>
      </c>
      <c r="D22" s="133"/>
      <c r="E22" s="751"/>
      <c r="F22" s="751"/>
      <c r="G22" s="751"/>
      <c r="H22" s="137"/>
      <c r="I22" s="400">
        <v>5</v>
      </c>
      <c r="J22" s="135">
        <v>55000</v>
      </c>
      <c r="K22" s="136">
        <f t="shared" si="0"/>
        <v>275000</v>
      </c>
    </row>
    <row r="23" spans="1:11" ht="17.25" x14ac:dyDescent="0.3">
      <c r="A23" s="131">
        <v>4</v>
      </c>
      <c r="B23" s="131" t="s">
        <v>85</v>
      </c>
      <c r="C23" s="132" t="s">
        <v>26</v>
      </c>
      <c r="D23" s="133"/>
      <c r="E23" s="751"/>
      <c r="F23" s="751"/>
      <c r="G23" s="751"/>
      <c r="H23" s="137"/>
      <c r="I23" s="401">
        <v>16</v>
      </c>
      <c r="J23" s="135">
        <v>55000</v>
      </c>
      <c r="K23" s="136">
        <f t="shared" si="0"/>
        <v>880000</v>
      </c>
    </row>
    <row r="24" spans="1:11" ht="17.25" x14ac:dyDescent="0.3">
      <c r="A24" s="131">
        <v>5</v>
      </c>
      <c r="B24" s="131" t="s">
        <v>86</v>
      </c>
      <c r="C24" s="132" t="s">
        <v>26</v>
      </c>
      <c r="D24" s="133"/>
      <c r="E24" s="738"/>
      <c r="F24" s="738"/>
      <c r="G24" s="738"/>
      <c r="H24" s="138"/>
      <c r="I24" s="401">
        <v>39</v>
      </c>
      <c r="J24" s="135">
        <v>55000</v>
      </c>
      <c r="K24" s="136">
        <f t="shared" si="0"/>
        <v>2145000</v>
      </c>
    </row>
    <row r="25" spans="1:11" ht="17.25" x14ac:dyDescent="0.3">
      <c r="A25" s="131">
        <v>6</v>
      </c>
      <c r="B25" s="131" t="s">
        <v>87</v>
      </c>
      <c r="C25" s="132" t="s">
        <v>26</v>
      </c>
      <c r="D25" s="133"/>
      <c r="E25" s="738"/>
      <c r="F25" s="738"/>
      <c r="G25" s="738"/>
      <c r="H25" s="138"/>
      <c r="I25" s="401">
        <v>3</v>
      </c>
      <c r="J25" s="135">
        <v>55000</v>
      </c>
      <c r="K25" s="136">
        <f t="shared" si="0"/>
        <v>165000</v>
      </c>
    </row>
    <row r="26" spans="1:11" ht="17.25" x14ac:dyDescent="0.3">
      <c r="A26" s="131">
        <v>7</v>
      </c>
      <c r="B26" s="131" t="s">
        <v>88</v>
      </c>
      <c r="C26" s="132" t="s">
        <v>26</v>
      </c>
      <c r="D26" s="133"/>
      <c r="E26" s="738"/>
      <c r="F26" s="738"/>
      <c r="G26" s="738"/>
      <c r="H26" s="138"/>
      <c r="I26" s="401">
        <v>9</v>
      </c>
      <c r="J26" s="135">
        <v>55000</v>
      </c>
      <c r="K26" s="136">
        <f t="shared" si="0"/>
        <v>495000</v>
      </c>
    </row>
    <row r="27" spans="1:11" ht="17.25" x14ac:dyDescent="0.3">
      <c r="A27" s="131">
        <v>8</v>
      </c>
      <c r="B27" s="139" t="s">
        <v>89</v>
      </c>
      <c r="C27" s="132" t="s">
        <v>26</v>
      </c>
      <c r="D27" s="133"/>
      <c r="E27" s="738"/>
      <c r="F27" s="738"/>
      <c r="G27" s="738"/>
      <c r="H27" s="138"/>
      <c r="I27" s="401">
        <v>7</v>
      </c>
      <c r="J27" s="135">
        <v>55000</v>
      </c>
      <c r="K27" s="136">
        <f t="shared" si="0"/>
        <v>385000</v>
      </c>
    </row>
    <row r="28" spans="1:11" ht="17.25" x14ac:dyDescent="0.3">
      <c r="A28" s="131">
        <v>9</v>
      </c>
      <c r="B28" s="131" t="s">
        <v>90</v>
      </c>
      <c r="C28" s="132" t="s">
        <v>26</v>
      </c>
      <c r="D28" s="133"/>
      <c r="E28" s="738"/>
      <c r="F28" s="738"/>
      <c r="G28" s="738"/>
      <c r="H28" s="138"/>
      <c r="I28" s="401">
        <v>8</v>
      </c>
      <c r="J28" s="135">
        <v>55000</v>
      </c>
      <c r="K28" s="136">
        <f t="shared" si="0"/>
        <v>440000</v>
      </c>
    </row>
    <row r="29" spans="1:11" ht="17.25" x14ac:dyDescent="0.3">
      <c r="A29" s="131">
        <v>10</v>
      </c>
      <c r="B29" s="131" t="s">
        <v>91</v>
      </c>
      <c r="C29" s="132" t="s">
        <v>26</v>
      </c>
      <c r="D29" s="133"/>
      <c r="E29" s="738"/>
      <c r="F29" s="738"/>
      <c r="G29" s="738"/>
      <c r="H29" s="138"/>
      <c r="I29" s="401">
        <v>25</v>
      </c>
      <c r="J29" s="135">
        <v>55000</v>
      </c>
      <c r="K29" s="136">
        <f t="shared" si="0"/>
        <v>1375000</v>
      </c>
    </row>
    <row r="30" spans="1:11" ht="17.25" x14ac:dyDescent="0.3">
      <c r="A30" s="131">
        <v>11</v>
      </c>
      <c r="B30" s="131" t="s">
        <v>92</v>
      </c>
      <c r="C30" s="132" t="s">
        <v>26</v>
      </c>
      <c r="D30" s="133"/>
      <c r="E30" s="738"/>
      <c r="F30" s="738"/>
      <c r="G30" s="738"/>
      <c r="H30" s="138"/>
      <c r="I30" s="401">
        <v>77</v>
      </c>
      <c r="J30" s="135">
        <v>55000</v>
      </c>
      <c r="K30" s="136">
        <f t="shared" si="0"/>
        <v>4235000</v>
      </c>
    </row>
    <row r="31" spans="1:11" ht="17.25" x14ac:dyDescent="0.3">
      <c r="A31" s="131">
        <v>12</v>
      </c>
      <c r="B31" s="131" t="s">
        <v>93</v>
      </c>
      <c r="C31" s="132" t="s">
        <v>26</v>
      </c>
      <c r="D31" s="133"/>
      <c r="E31" s="738"/>
      <c r="F31" s="738"/>
      <c r="G31" s="738"/>
      <c r="H31" s="138"/>
      <c r="I31" s="401">
        <v>4</v>
      </c>
      <c r="J31" s="135">
        <v>55000</v>
      </c>
      <c r="K31" s="136">
        <f t="shared" si="0"/>
        <v>220000</v>
      </c>
    </row>
    <row r="32" spans="1:11" ht="17.25" x14ac:dyDescent="0.3">
      <c r="A32" s="131">
        <v>13</v>
      </c>
      <c r="B32" s="131" t="s">
        <v>94</v>
      </c>
      <c r="C32" s="132" t="s">
        <v>26</v>
      </c>
      <c r="D32" s="133"/>
      <c r="E32" s="744"/>
      <c r="F32" s="744"/>
      <c r="G32" s="744"/>
      <c r="H32" s="140"/>
      <c r="I32" s="401">
        <v>34</v>
      </c>
      <c r="J32" s="135">
        <v>55000</v>
      </c>
      <c r="K32" s="136">
        <f t="shared" si="0"/>
        <v>1870000</v>
      </c>
    </row>
    <row r="33" spans="1:11" ht="17.25" x14ac:dyDescent="0.3">
      <c r="A33" s="131">
        <v>14</v>
      </c>
      <c r="B33" s="131" t="s">
        <v>95</v>
      </c>
      <c r="C33" s="132" t="s">
        <v>26</v>
      </c>
      <c r="D33" s="133"/>
      <c r="E33" s="744"/>
      <c r="F33" s="744"/>
      <c r="G33" s="744"/>
      <c r="H33" s="140"/>
      <c r="I33" s="401">
        <v>5</v>
      </c>
      <c r="J33" s="135">
        <v>55000</v>
      </c>
      <c r="K33" s="136">
        <f t="shared" si="0"/>
        <v>275000</v>
      </c>
    </row>
    <row r="34" spans="1:11" ht="17.25" x14ac:dyDescent="0.3">
      <c r="A34" s="131">
        <v>15</v>
      </c>
      <c r="B34" s="131" t="s">
        <v>96</v>
      </c>
      <c r="C34" s="132" t="s">
        <v>26</v>
      </c>
      <c r="D34" s="133"/>
      <c r="E34" s="744"/>
      <c r="F34" s="744"/>
      <c r="G34" s="744"/>
      <c r="H34" s="140"/>
      <c r="I34" s="401">
        <v>15</v>
      </c>
      <c r="J34" s="135">
        <v>55000</v>
      </c>
      <c r="K34" s="136">
        <f t="shared" si="0"/>
        <v>825000</v>
      </c>
    </row>
    <row r="35" spans="1:11" ht="17.25" x14ac:dyDescent="0.3">
      <c r="A35" s="131">
        <v>16</v>
      </c>
      <c r="B35" s="141" t="s">
        <v>97</v>
      </c>
      <c r="C35" s="132" t="s">
        <v>26</v>
      </c>
      <c r="D35" s="133"/>
      <c r="E35" s="744"/>
      <c r="F35" s="744"/>
      <c r="G35" s="744"/>
      <c r="H35" s="140"/>
      <c r="I35" s="401">
        <v>4</v>
      </c>
      <c r="J35" s="135">
        <v>55000</v>
      </c>
      <c r="K35" s="136">
        <f t="shared" si="0"/>
        <v>220000</v>
      </c>
    </row>
    <row r="36" spans="1:11" ht="17.25" x14ac:dyDescent="0.3">
      <c r="A36" s="131">
        <v>17</v>
      </c>
      <c r="B36" s="131" t="s">
        <v>98</v>
      </c>
      <c r="C36" s="132" t="s">
        <v>26</v>
      </c>
      <c r="D36" s="133"/>
      <c r="E36" s="744"/>
      <c r="F36" s="744"/>
      <c r="G36" s="744"/>
      <c r="H36" s="140"/>
      <c r="I36" s="401">
        <v>15</v>
      </c>
      <c r="J36" s="135">
        <v>55000</v>
      </c>
      <c r="K36" s="136">
        <f t="shared" si="0"/>
        <v>825000</v>
      </c>
    </row>
    <row r="37" spans="1:11" ht="17.25" x14ac:dyDescent="0.3">
      <c r="A37" s="131">
        <v>18</v>
      </c>
      <c r="B37" s="131" t="s">
        <v>99</v>
      </c>
      <c r="C37" s="132" t="s">
        <v>26</v>
      </c>
      <c r="D37" s="133"/>
      <c r="E37" s="744"/>
      <c r="F37" s="744"/>
      <c r="G37" s="744"/>
      <c r="H37" s="140"/>
      <c r="I37" s="401">
        <v>3</v>
      </c>
      <c r="J37" s="135">
        <v>55000</v>
      </c>
      <c r="K37" s="136">
        <f t="shared" si="0"/>
        <v>165000</v>
      </c>
    </row>
    <row r="38" spans="1:11" ht="17.25" x14ac:dyDescent="0.3">
      <c r="A38" s="131">
        <v>19</v>
      </c>
      <c r="B38" s="131" t="s">
        <v>100</v>
      </c>
      <c r="C38" s="132" t="s">
        <v>26</v>
      </c>
      <c r="D38" s="133"/>
      <c r="E38" s="756"/>
      <c r="F38" s="756"/>
      <c r="G38" s="756"/>
      <c r="H38" s="142"/>
      <c r="I38" s="401">
        <v>37</v>
      </c>
      <c r="J38" s="135">
        <v>55000</v>
      </c>
      <c r="K38" s="136">
        <f t="shared" si="0"/>
        <v>2035000</v>
      </c>
    </row>
    <row r="39" spans="1:11" ht="17.25" x14ac:dyDescent="0.3">
      <c r="A39" s="131">
        <v>20</v>
      </c>
      <c r="B39" s="131" t="s">
        <v>101</v>
      </c>
      <c r="C39" s="132" t="s">
        <v>26</v>
      </c>
      <c r="D39" s="133"/>
      <c r="E39" s="756"/>
      <c r="F39" s="756"/>
      <c r="G39" s="756"/>
      <c r="H39" s="142"/>
      <c r="I39" s="401">
        <v>30</v>
      </c>
      <c r="J39" s="135">
        <v>55000</v>
      </c>
      <c r="K39" s="136">
        <f t="shared" si="0"/>
        <v>1650000</v>
      </c>
    </row>
    <row r="40" spans="1:11" ht="17.25" x14ac:dyDescent="0.3">
      <c r="A40" s="131">
        <v>21</v>
      </c>
      <c r="B40" s="131" t="s">
        <v>102</v>
      </c>
      <c r="C40" s="132" t="s">
        <v>26</v>
      </c>
      <c r="D40" s="133"/>
      <c r="E40" s="756"/>
      <c r="F40" s="756"/>
      <c r="G40" s="756"/>
      <c r="H40" s="142"/>
      <c r="I40" s="401">
        <v>3</v>
      </c>
      <c r="J40" s="135">
        <v>55000</v>
      </c>
      <c r="K40" s="136">
        <f t="shared" si="0"/>
        <v>165000</v>
      </c>
    </row>
    <row r="41" spans="1:11" ht="17.25" x14ac:dyDescent="0.3">
      <c r="A41" s="131">
        <v>22</v>
      </c>
      <c r="B41" s="131" t="s">
        <v>103</v>
      </c>
      <c r="C41" s="132" t="s">
        <v>26</v>
      </c>
      <c r="D41" s="133"/>
      <c r="E41" s="756"/>
      <c r="F41" s="756"/>
      <c r="G41" s="756"/>
      <c r="H41" s="142"/>
      <c r="I41" s="401">
        <v>11</v>
      </c>
      <c r="J41" s="135">
        <v>55000</v>
      </c>
      <c r="K41" s="136">
        <f t="shared" si="0"/>
        <v>605000</v>
      </c>
    </row>
    <row r="42" spans="1:11" ht="17.25" x14ac:dyDescent="0.3">
      <c r="A42" s="131">
        <v>23</v>
      </c>
      <c r="B42" s="139" t="s">
        <v>104</v>
      </c>
      <c r="C42" s="132" t="s">
        <v>26</v>
      </c>
      <c r="D42" s="133"/>
      <c r="E42" s="751"/>
      <c r="F42" s="751"/>
      <c r="G42" s="751"/>
      <c r="H42" s="137"/>
      <c r="I42" s="402">
        <v>9</v>
      </c>
      <c r="J42" s="135">
        <v>55000</v>
      </c>
      <c r="K42" s="136">
        <f t="shared" si="0"/>
        <v>495000</v>
      </c>
    </row>
    <row r="43" spans="1:11" ht="17.25" x14ac:dyDescent="0.3">
      <c r="A43" s="131">
        <v>24</v>
      </c>
      <c r="B43" s="131" t="s">
        <v>105</v>
      </c>
      <c r="C43" s="132" t="s">
        <v>26</v>
      </c>
      <c r="D43" s="133"/>
      <c r="E43" s="751"/>
      <c r="F43" s="751"/>
      <c r="G43" s="751"/>
      <c r="H43" s="137"/>
      <c r="I43" s="402">
        <v>10</v>
      </c>
      <c r="J43" s="135">
        <v>55000</v>
      </c>
      <c r="K43" s="136">
        <f t="shared" si="0"/>
        <v>550000</v>
      </c>
    </row>
    <row r="44" spans="1:11" ht="17.25" x14ac:dyDescent="0.3">
      <c r="A44" s="131">
        <v>25</v>
      </c>
      <c r="B44" s="131" t="s">
        <v>106</v>
      </c>
      <c r="C44" s="132" t="s">
        <v>26</v>
      </c>
      <c r="D44" s="133"/>
      <c r="E44" s="760"/>
      <c r="F44" s="761"/>
      <c r="G44" s="762"/>
      <c r="H44" s="137"/>
      <c r="I44" s="402">
        <v>233</v>
      </c>
      <c r="J44" s="135">
        <v>55000</v>
      </c>
      <c r="K44" s="136">
        <f t="shared" si="0"/>
        <v>12815000</v>
      </c>
    </row>
    <row r="45" spans="1:11" ht="17.25" x14ac:dyDescent="0.3">
      <c r="A45" s="131">
        <v>26</v>
      </c>
      <c r="B45" s="131" t="s">
        <v>107</v>
      </c>
      <c r="C45" s="132" t="s">
        <v>26</v>
      </c>
      <c r="D45" s="133"/>
      <c r="E45" s="751"/>
      <c r="F45" s="751"/>
      <c r="G45" s="751"/>
      <c r="H45" s="137"/>
      <c r="I45" s="402">
        <v>13</v>
      </c>
      <c r="J45" s="135">
        <v>55000</v>
      </c>
      <c r="K45" s="136">
        <f t="shared" si="0"/>
        <v>715000</v>
      </c>
    </row>
    <row r="46" spans="1:11" ht="17.25" x14ac:dyDescent="0.3">
      <c r="A46" s="131">
        <v>27</v>
      </c>
      <c r="B46" s="131" t="s">
        <v>108</v>
      </c>
      <c r="C46" s="132" t="s">
        <v>26</v>
      </c>
      <c r="D46" s="133"/>
      <c r="E46" s="755"/>
      <c r="F46" s="755"/>
      <c r="G46" s="755"/>
      <c r="H46" s="143"/>
      <c r="I46" s="403">
        <v>12</v>
      </c>
      <c r="J46" s="135">
        <v>55000</v>
      </c>
      <c r="K46" s="136">
        <f t="shared" si="0"/>
        <v>660000</v>
      </c>
    </row>
    <row r="47" spans="1:11" ht="17.25" x14ac:dyDescent="0.3">
      <c r="A47" s="131">
        <v>28</v>
      </c>
      <c r="B47" s="131" t="s">
        <v>109</v>
      </c>
      <c r="C47" s="132" t="s">
        <v>26</v>
      </c>
      <c r="D47" s="133"/>
      <c r="E47" s="763"/>
      <c r="F47" s="763"/>
      <c r="G47" s="763"/>
      <c r="H47" s="144"/>
      <c r="I47" s="404">
        <v>30</v>
      </c>
      <c r="J47" s="135">
        <v>55000</v>
      </c>
      <c r="K47" s="136">
        <f t="shared" si="0"/>
        <v>1650000</v>
      </c>
    </row>
    <row r="48" spans="1:11" ht="17.25" x14ac:dyDescent="0.3">
      <c r="A48" s="131">
        <v>29</v>
      </c>
      <c r="B48" s="131" t="s">
        <v>110</v>
      </c>
      <c r="C48" s="132" t="s">
        <v>26</v>
      </c>
      <c r="D48" s="133"/>
      <c r="E48" s="763"/>
      <c r="F48" s="763"/>
      <c r="G48" s="763"/>
      <c r="H48" s="144"/>
      <c r="I48" s="404">
        <v>20</v>
      </c>
      <c r="J48" s="135">
        <v>55000</v>
      </c>
      <c r="K48" s="136">
        <f t="shared" si="0"/>
        <v>1100000</v>
      </c>
    </row>
    <row r="49" spans="1:11" ht="17.25" x14ac:dyDescent="0.3">
      <c r="A49" s="131">
        <v>30</v>
      </c>
      <c r="B49" s="131" t="s">
        <v>111</v>
      </c>
      <c r="C49" s="132" t="s">
        <v>26</v>
      </c>
      <c r="D49" s="133"/>
      <c r="E49" s="755"/>
      <c r="F49" s="755"/>
      <c r="G49" s="755"/>
      <c r="H49" s="143"/>
      <c r="I49" s="403">
        <v>15</v>
      </c>
      <c r="J49" s="135">
        <v>55000</v>
      </c>
      <c r="K49" s="136">
        <f t="shared" si="0"/>
        <v>825000</v>
      </c>
    </row>
    <row r="50" spans="1:11" ht="17.25" x14ac:dyDescent="0.3">
      <c r="A50" s="131">
        <v>31</v>
      </c>
      <c r="B50" s="131" t="s">
        <v>112</v>
      </c>
      <c r="C50" s="132" t="s">
        <v>26</v>
      </c>
      <c r="D50" s="133"/>
      <c r="E50" s="755"/>
      <c r="F50" s="755"/>
      <c r="G50" s="755"/>
      <c r="H50" s="143"/>
      <c r="I50" s="403">
        <v>22</v>
      </c>
      <c r="J50" s="135">
        <v>55000</v>
      </c>
      <c r="K50" s="136">
        <f t="shared" si="0"/>
        <v>1210000</v>
      </c>
    </row>
    <row r="51" spans="1:11" ht="17.25" x14ac:dyDescent="0.3">
      <c r="A51" s="131">
        <v>32</v>
      </c>
      <c r="B51" s="131" t="s">
        <v>113</v>
      </c>
      <c r="C51" s="132" t="s">
        <v>26</v>
      </c>
      <c r="D51" s="133"/>
      <c r="E51" s="757"/>
      <c r="F51" s="757"/>
      <c r="G51" s="757"/>
      <c r="H51" s="134"/>
      <c r="I51" s="398">
        <v>12</v>
      </c>
      <c r="J51" s="135">
        <v>55000</v>
      </c>
      <c r="K51" s="136">
        <f t="shared" si="0"/>
        <v>660000</v>
      </c>
    </row>
    <row r="52" spans="1:11" ht="17.25" x14ac:dyDescent="0.3">
      <c r="A52" s="131">
        <v>33</v>
      </c>
      <c r="B52" s="139" t="s">
        <v>114</v>
      </c>
      <c r="C52" s="132" t="s">
        <v>26</v>
      </c>
      <c r="D52" s="133"/>
      <c r="E52" s="757"/>
      <c r="F52" s="757"/>
      <c r="G52" s="757"/>
      <c r="H52" s="134"/>
      <c r="I52" s="398">
        <v>58</v>
      </c>
      <c r="J52" s="135">
        <v>55000</v>
      </c>
      <c r="K52" s="136">
        <f>IF((C52)&gt;0,SUM(J52*I52),"")</f>
        <v>3190000</v>
      </c>
    </row>
    <row r="53" spans="1:11" ht="17.25" x14ac:dyDescent="0.3">
      <c r="A53" s="131">
        <v>34</v>
      </c>
      <c r="B53" s="131" t="s">
        <v>115</v>
      </c>
      <c r="C53" s="132" t="s">
        <v>26</v>
      </c>
      <c r="D53" s="133"/>
      <c r="E53" s="757"/>
      <c r="F53" s="757"/>
      <c r="G53" s="757"/>
      <c r="H53" s="134"/>
      <c r="I53" s="398">
        <v>7</v>
      </c>
      <c r="J53" s="135">
        <v>55000</v>
      </c>
      <c r="K53" s="136">
        <f>IF((C53)&gt;0,SUM(J53*I53),"")</f>
        <v>385000</v>
      </c>
    </row>
    <row r="54" spans="1:11" ht="17.25" x14ac:dyDescent="0.3">
      <c r="A54" s="131">
        <v>35</v>
      </c>
      <c r="B54" s="131" t="s">
        <v>116</v>
      </c>
      <c r="C54" s="132" t="s">
        <v>26</v>
      </c>
      <c r="D54" s="133"/>
      <c r="E54" s="758"/>
      <c r="F54" s="758"/>
      <c r="G54" s="758"/>
      <c r="H54" s="145"/>
      <c r="I54" s="405">
        <v>2</v>
      </c>
      <c r="J54" s="135">
        <v>55000</v>
      </c>
      <c r="K54" s="136">
        <f>IF((C54)&gt;0,SUM(J54*I54),"")</f>
        <v>110000</v>
      </c>
    </row>
    <row r="55" spans="1:11" ht="17.25" x14ac:dyDescent="0.3">
      <c r="A55" s="131">
        <v>36</v>
      </c>
      <c r="B55" s="131" t="s">
        <v>117</v>
      </c>
      <c r="C55" s="132" t="s">
        <v>26</v>
      </c>
      <c r="D55" s="133"/>
      <c r="E55" s="759"/>
      <c r="F55" s="759"/>
      <c r="G55" s="759"/>
      <c r="H55" s="146"/>
      <c r="I55" s="405">
        <v>5</v>
      </c>
      <c r="J55" s="135">
        <v>55000</v>
      </c>
      <c r="K55" s="136">
        <f>IF((C55)&gt;0,SUM(J55*I55),"")</f>
        <v>275000</v>
      </c>
    </row>
    <row r="56" spans="1:11" ht="17.25" x14ac:dyDescent="0.3">
      <c r="A56" s="131">
        <v>37</v>
      </c>
      <c r="B56" s="131" t="s">
        <v>118</v>
      </c>
      <c r="C56" s="132" t="s">
        <v>26</v>
      </c>
      <c r="D56" s="133"/>
      <c r="E56" s="759"/>
      <c r="F56" s="759"/>
      <c r="G56" s="759"/>
      <c r="H56" s="146"/>
      <c r="I56" s="405">
        <v>7</v>
      </c>
      <c r="J56" s="135">
        <v>55000</v>
      </c>
      <c r="K56" s="136">
        <f>IF((C56)&gt;0,SUM(J56*I56),"")</f>
        <v>385000</v>
      </c>
    </row>
    <row r="57" spans="1:11" ht="15.75" x14ac:dyDescent="0.25">
      <c r="A57" s="69"/>
      <c r="B57" s="66"/>
      <c r="C57" s="66"/>
      <c r="D57" s="66"/>
      <c r="E57" s="67"/>
      <c r="F57" s="67"/>
      <c r="G57" s="67"/>
      <c r="H57" s="67"/>
      <c r="I57" s="306"/>
      <c r="J57" s="68" t="s">
        <v>252</v>
      </c>
      <c r="K57" s="648">
        <f>SUM(K20:K56)</f>
        <v>50160000</v>
      </c>
    </row>
    <row r="58" spans="1:11" ht="15.75" x14ac:dyDescent="0.25">
      <c r="A58" s="70"/>
      <c r="B58" s="70"/>
      <c r="C58" s="66"/>
      <c r="E58" s="71"/>
      <c r="F58" s="71"/>
      <c r="G58" s="71"/>
      <c r="H58" s="71"/>
      <c r="I58" s="306"/>
      <c r="J58" s="68" t="s">
        <v>251</v>
      </c>
      <c r="K58" s="649">
        <v>20000</v>
      </c>
    </row>
    <row r="59" spans="1:11" ht="15.75" x14ac:dyDescent="0.25">
      <c r="A59" s="845" t="s">
        <v>222</v>
      </c>
      <c r="B59" s="845"/>
      <c r="C59" s="66"/>
      <c r="E59" s="71"/>
      <c r="F59" s="71"/>
      <c r="G59" s="71"/>
      <c r="H59" s="71"/>
      <c r="I59" s="306"/>
      <c r="J59" s="68" t="s">
        <v>253</v>
      </c>
      <c r="K59" s="649">
        <f>(K57+K58)*5%</f>
        <v>2509000</v>
      </c>
    </row>
    <row r="60" spans="1:11" ht="15.75" x14ac:dyDescent="0.25">
      <c r="A60" s="70"/>
      <c r="B60" s="66"/>
      <c r="C60" s="66"/>
      <c r="E60" s="71"/>
      <c r="F60" s="71"/>
      <c r="G60" s="71"/>
      <c r="H60" s="71"/>
      <c r="I60" s="306"/>
      <c r="J60" s="68" t="s">
        <v>254</v>
      </c>
      <c r="K60" s="76">
        <f>K57+K58+K59</f>
        <v>52689000</v>
      </c>
    </row>
    <row r="61" spans="1:11" ht="15" customHeight="1" thickBot="1" x14ac:dyDescent="0.3">
      <c r="A61" s="97"/>
      <c r="B61" s="98"/>
      <c r="C61" s="98"/>
      <c r="D61" s="99"/>
      <c r="E61" s="100"/>
      <c r="F61" s="100"/>
      <c r="G61" s="100"/>
      <c r="H61" s="100"/>
      <c r="I61" s="379"/>
      <c r="J61" s="101"/>
      <c r="K61" s="102"/>
    </row>
    <row r="62" spans="1:11" x14ac:dyDescent="0.25">
      <c r="A62" s="705" t="s">
        <v>23</v>
      </c>
      <c r="B62" s="706"/>
      <c r="C62" s="706"/>
      <c r="D62" s="706"/>
      <c r="E62" s="706"/>
      <c r="F62" s="706"/>
      <c r="G62" s="706"/>
      <c r="H62" s="706"/>
      <c r="I62" s="706"/>
      <c r="J62" s="706"/>
      <c r="K62" s="707"/>
    </row>
    <row r="63" spans="1:11" ht="15.75" thickBot="1" x14ac:dyDescent="0.3">
      <c r="A63" s="708"/>
      <c r="B63" s="709"/>
      <c r="C63" s="709"/>
      <c r="D63" s="709"/>
      <c r="E63" s="709"/>
      <c r="F63" s="709"/>
      <c r="G63" s="709"/>
      <c r="H63" s="709"/>
      <c r="I63" s="709"/>
      <c r="J63" s="709"/>
      <c r="K63" s="710"/>
    </row>
  </sheetData>
  <mergeCells count="50">
    <mergeCell ref="E49:G49"/>
    <mergeCell ref="E50:G50"/>
    <mergeCell ref="D9:F9"/>
    <mergeCell ref="D8:F8"/>
    <mergeCell ref="E52:G52"/>
    <mergeCell ref="E41:G41"/>
    <mergeCell ref="E42:G42"/>
    <mergeCell ref="E43:G43"/>
    <mergeCell ref="E45:G45"/>
    <mergeCell ref="A62:K63"/>
    <mergeCell ref="E53:G53"/>
    <mergeCell ref="E54:G54"/>
    <mergeCell ref="E55:G55"/>
    <mergeCell ref="E56:G56"/>
    <mergeCell ref="E33:G33"/>
    <mergeCell ref="E34:G34"/>
    <mergeCell ref="E51:G51"/>
    <mergeCell ref="E36:G36"/>
    <mergeCell ref="E37:G37"/>
    <mergeCell ref="E38:G38"/>
    <mergeCell ref="E39:G39"/>
    <mergeCell ref="E44:G44"/>
    <mergeCell ref="E47:G47"/>
    <mergeCell ref="E48:G48"/>
    <mergeCell ref="E23:G23"/>
    <mergeCell ref="E24:G24"/>
    <mergeCell ref="E46:G46"/>
    <mergeCell ref="E26:G26"/>
    <mergeCell ref="E27:G27"/>
    <mergeCell ref="E40:G40"/>
    <mergeCell ref="E29:G29"/>
    <mergeCell ref="E30:G30"/>
    <mergeCell ref="E31:G31"/>
    <mergeCell ref="E32:G32"/>
    <mergeCell ref="A17:E17"/>
    <mergeCell ref="G17:H17"/>
    <mergeCell ref="E19:G19"/>
    <mergeCell ref="E21:G21"/>
    <mergeCell ref="E22:G22"/>
    <mergeCell ref="E20:G20"/>
    <mergeCell ref="A59:B59"/>
    <mergeCell ref="E25:G25"/>
    <mergeCell ref="E1:K1"/>
    <mergeCell ref="D14:E14"/>
    <mergeCell ref="F14:G14"/>
    <mergeCell ref="A15:K15"/>
    <mergeCell ref="A16:E16"/>
    <mergeCell ref="G16:H16"/>
    <mergeCell ref="E35:G35"/>
    <mergeCell ref="E28:G28"/>
  </mergeCells>
  <hyperlinks>
    <hyperlink ref="D13" r:id="rId1"/>
  </hyperlinks>
  <pageMargins left="0.70866141732283472" right="0.70866141732283472" top="0.74803149606299213" bottom="0.74803149606299213" header="0.31496062992125984" footer="0.31496062992125984"/>
  <pageSetup scale="65" orientation="portrait" horizontalDpi="300" verticalDpi="300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5"/>
  <sheetViews>
    <sheetView view="pageBreakPreview" zoomScaleNormal="82" zoomScaleSheetLayoutView="100" workbookViewId="0">
      <selection activeCell="J6" sqref="J6"/>
    </sheetView>
  </sheetViews>
  <sheetFormatPr defaultRowHeight="15" x14ac:dyDescent="0.25"/>
  <cols>
    <col min="2" max="2" width="14.7109375" customWidth="1"/>
    <col min="3" max="3" width="21.140625" customWidth="1"/>
    <col min="6" max="6" width="11.5703125" customWidth="1"/>
    <col min="7" max="7" width="4.5703125" hidden="1" customWidth="1"/>
    <col min="8" max="8" width="12.85546875" customWidth="1"/>
    <col min="9" max="9" width="14.85546875" style="380" customWidth="1"/>
    <col min="10" max="10" width="13.28515625" customWidth="1"/>
    <col min="11" max="11" width="15.28515625" customWidth="1"/>
  </cols>
  <sheetData>
    <row r="1" spans="1:11" ht="46.5" x14ac:dyDescent="0.55000000000000004">
      <c r="A1" s="1"/>
      <c r="B1" s="2"/>
      <c r="C1" s="2"/>
      <c r="D1" s="2"/>
      <c r="E1" s="712" t="s">
        <v>0</v>
      </c>
      <c r="F1" s="712"/>
      <c r="G1" s="712"/>
      <c r="H1" s="712"/>
      <c r="I1" s="712"/>
      <c r="J1" s="712"/>
      <c r="K1" s="713"/>
    </row>
    <row r="2" spans="1:11" ht="17.25" x14ac:dyDescent="0.3">
      <c r="A2" s="3"/>
      <c r="B2" s="4"/>
      <c r="C2" s="4"/>
      <c r="D2" s="4"/>
      <c r="E2" s="5"/>
      <c r="F2" s="5"/>
      <c r="G2" s="6"/>
      <c r="H2" s="6"/>
      <c r="I2" s="388"/>
      <c r="J2" s="7"/>
      <c r="K2" s="8"/>
    </row>
    <row r="3" spans="1:11" ht="20.25" x14ac:dyDescent="0.3">
      <c r="A3" s="9"/>
      <c r="B3" s="10"/>
      <c r="C3" s="10"/>
      <c r="D3" s="10"/>
      <c r="E3" s="11"/>
      <c r="F3" s="12"/>
      <c r="G3" s="12"/>
      <c r="H3" s="12"/>
      <c r="I3" s="389"/>
      <c r="J3" s="13"/>
      <c r="K3" s="14"/>
    </row>
    <row r="4" spans="1:11" x14ac:dyDescent="0.25">
      <c r="A4" s="9"/>
      <c r="B4" s="10"/>
      <c r="C4" s="15"/>
      <c r="D4" s="15"/>
      <c r="E4" s="16"/>
      <c r="F4" s="15"/>
      <c r="G4" s="15"/>
      <c r="H4" s="15"/>
      <c r="I4" s="390"/>
      <c r="J4" s="17"/>
      <c r="K4" s="18"/>
    </row>
    <row r="5" spans="1:11" ht="15.75" x14ac:dyDescent="0.3">
      <c r="A5" s="19"/>
      <c r="B5" s="15"/>
      <c r="C5" s="15"/>
      <c r="D5" s="20"/>
      <c r="E5" s="21"/>
      <c r="F5" s="20"/>
      <c r="G5" s="22"/>
      <c r="H5" s="22"/>
      <c r="I5" s="390"/>
      <c r="J5" s="17"/>
      <c r="K5" s="18"/>
    </row>
    <row r="6" spans="1:11" ht="15.75" x14ac:dyDescent="0.3">
      <c r="A6" s="23"/>
      <c r="B6" s="24"/>
      <c r="C6" s="24"/>
      <c r="D6" s="24"/>
      <c r="E6" s="22"/>
      <c r="F6" s="22"/>
      <c r="G6" s="22"/>
      <c r="H6" s="22"/>
      <c r="I6" s="390"/>
      <c r="J6" s="17" t="s">
        <v>226</v>
      </c>
      <c r="K6" s="25">
        <f ca="1">TODAY()</f>
        <v>41556</v>
      </c>
    </row>
    <row r="7" spans="1:11" ht="16.5" x14ac:dyDescent="0.3">
      <c r="A7" s="23"/>
      <c r="B7" s="24"/>
      <c r="C7" s="24"/>
      <c r="D7" s="24"/>
      <c r="E7" s="20"/>
      <c r="F7" s="22"/>
      <c r="G7" s="26"/>
      <c r="H7" s="26"/>
      <c r="I7" s="391"/>
      <c r="J7" s="27"/>
      <c r="K7" s="28"/>
    </row>
    <row r="8" spans="1:11" x14ac:dyDescent="0.25">
      <c r="A8" s="29"/>
      <c r="B8" s="80"/>
      <c r="C8" s="30" t="s">
        <v>71</v>
      </c>
      <c r="D8" s="31" t="s">
        <v>119</v>
      </c>
      <c r="E8" s="32"/>
      <c r="F8" s="31"/>
      <c r="G8" s="32"/>
      <c r="H8" s="32"/>
      <c r="I8" s="392"/>
      <c r="J8" s="33"/>
      <c r="K8" s="34"/>
    </row>
    <row r="9" spans="1:11" x14ac:dyDescent="0.25">
      <c r="A9" s="35"/>
      <c r="B9" s="36"/>
      <c r="C9" s="37" t="s">
        <v>4</v>
      </c>
      <c r="D9" s="38" t="s">
        <v>142</v>
      </c>
      <c r="E9" s="39"/>
      <c r="F9" s="38"/>
      <c r="G9" s="39"/>
      <c r="H9" s="39"/>
      <c r="I9" s="393"/>
      <c r="J9" s="40"/>
      <c r="K9" s="41"/>
    </row>
    <row r="10" spans="1:11" x14ac:dyDescent="0.25">
      <c r="A10" s="42"/>
      <c r="B10" s="81"/>
      <c r="C10" s="37" t="s">
        <v>13</v>
      </c>
      <c r="D10" s="46" t="s">
        <v>14</v>
      </c>
      <c r="E10" s="45"/>
      <c r="F10" s="46"/>
      <c r="G10" s="45"/>
      <c r="H10" s="45"/>
      <c r="I10" s="393"/>
      <c r="J10" s="40"/>
      <c r="K10" s="41"/>
    </row>
    <row r="11" spans="1:11" ht="15.75" x14ac:dyDescent="0.3">
      <c r="A11" s="47"/>
      <c r="B11" s="43"/>
      <c r="C11" s="48" t="s">
        <v>5</v>
      </c>
      <c r="D11" s="44" t="s">
        <v>143</v>
      </c>
      <c r="E11" s="45"/>
      <c r="F11" s="44"/>
      <c r="G11" s="45"/>
      <c r="H11" s="45"/>
      <c r="I11" s="393"/>
      <c r="J11" s="40"/>
      <c r="K11" s="41"/>
    </row>
    <row r="12" spans="1:11" ht="15.75" x14ac:dyDescent="0.3">
      <c r="A12" s="47"/>
      <c r="B12" s="43"/>
      <c r="C12" s="48" t="s">
        <v>15</v>
      </c>
      <c r="D12" s="49" t="s">
        <v>144</v>
      </c>
      <c r="E12" s="45"/>
      <c r="F12" s="49"/>
      <c r="G12" s="45"/>
      <c r="H12" s="45"/>
      <c r="I12" s="393"/>
      <c r="J12" s="40"/>
      <c r="K12" s="41"/>
    </row>
    <row r="13" spans="1:11" ht="15.75" x14ac:dyDescent="0.3">
      <c r="A13" s="50"/>
      <c r="B13" s="43"/>
      <c r="C13" s="74" t="s">
        <v>6</v>
      </c>
      <c r="D13" s="714"/>
      <c r="E13" s="714"/>
      <c r="F13" s="714"/>
      <c r="G13" s="714"/>
      <c r="H13" s="92"/>
      <c r="I13" s="394"/>
      <c r="J13" s="51"/>
      <c r="K13" s="51"/>
    </row>
    <row r="14" spans="1:11" ht="15.75" x14ac:dyDescent="0.3">
      <c r="A14" s="715"/>
      <c r="B14" s="716"/>
      <c r="C14" s="716"/>
      <c r="D14" s="716"/>
      <c r="E14" s="716"/>
      <c r="F14" s="716"/>
      <c r="G14" s="716"/>
      <c r="H14" s="716"/>
      <c r="I14" s="716"/>
      <c r="J14" s="716"/>
      <c r="K14" s="717"/>
    </row>
    <row r="15" spans="1:11" x14ac:dyDescent="0.25">
      <c r="A15" s="718" t="s">
        <v>7</v>
      </c>
      <c r="B15" s="719"/>
      <c r="C15" s="719"/>
      <c r="D15" s="719"/>
      <c r="E15" s="720"/>
      <c r="F15" s="52" t="s">
        <v>16</v>
      </c>
      <c r="G15" s="721" t="s">
        <v>17</v>
      </c>
      <c r="H15" s="719"/>
      <c r="I15" s="406"/>
      <c r="J15" s="95"/>
      <c r="K15" s="53" t="s">
        <v>8</v>
      </c>
    </row>
    <row r="16" spans="1:11" ht="15.75" x14ac:dyDescent="0.3">
      <c r="A16" s="722" t="s">
        <v>24</v>
      </c>
      <c r="B16" s="723"/>
      <c r="C16" s="723"/>
      <c r="D16" s="723"/>
      <c r="E16" s="724"/>
      <c r="F16" s="54"/>
      <c r="G16" s="725"/>
      <c r="H16" s="726"/>
      <c r="I16" s="407"/>
      <c r="J16" s="88"/>
      <c r="K16" s="55" t="s">
        <v>9</v>
      </c>
    </row>
    <row r="17" spans="1:11" ht="15.75" x14ac:dyDescent="0.3">
      <c r="A17" s="56"/>
      <c r="B17" s="57"/>
      <c r="C17" s="57"/>
      <c r="D17" s="57"/>
      <c r="E17" s="58"/>
      <c r="F17" s="59"/>
      <c r="G17" s="59"/>
      <c r="H17" s="59"/>
      <c r="I17" s="408"/>
      <c r="J17" s="60"/>
      <c r="K17" s="61"/>
    </row>
    <row r="18" spans="1:11" x14ac:dyDescent="0.25">
      <c r="A18" s="62" t="s">
        <v>18</v>
      </c>
      <c r="B18" s="62" t="s">
        <v>27</v>
      </c>
      <c r="C18" s="62" t="s">
        <v>19</v>
      </c>
      <c r="D18" s="62" t="s">
        <v>20</v>
      </c>
      <c r="E18" s="768" t="s">
        <v>21</v>
      </c>
      <c r="F18" s="768"/>
      <c r="G18" s="768"/>
      <c r="H18" s="96" t="s">
        <v>10</v>
      </c>
      <c r="I18" s="409" t="s">
        <v>25</v>
      </c>
      <c r="J18" s="52" t="s">
        <v>28</v>
      </c>
      <c r="K18" s="602" t="s">
        <v>22</v>
      </c>
    </row>
    <row r="19" spans="1:11" x14ac:dyDescent="0.25">
      <c r="A19" s="543">
        <v>1</v>
      </c>
      <c r="B19" s="542" t="s">
        <v>29</v>
      </c>
      <c r="C19" s="538" t="s">
        <v>26</v>
      </c>
      <c r="D19" s="544"/>
      <c r="E19" s="769"/>
      <c r="F19" s="770"/>
      <c r="G19" s="545"/>
      <c r="H19" s="546"/>
      <c r="I19" s="547">
        <v>64</v>
      </c>
      <c r="J19" s="536">
        <v>55000</v>
      </c>
      <c r="K19" s="537">
        <f t="shared" ref="K19:K50" si="0">IF((C19)&gt;0,SUM(J19*I19),"")</f>
        <v>3520000</v>
      </c>
    </row>
    <row r="20" spans="1:11" x14ac:dyDescent="0.25">
      <c r="A20" s="65">
        <v>2</v>
      </c>
      <c r="B20" s="542" t="s">
        <v>120</v>
      </c>
      <c r="C20" s="538" t="s">
        <v>26</v>
      </c>
      <c r="D20" s="548"/>
      <c r="E20" s="771"/>
      <c r="F20" s="771"/>
      <c r="G20" s="771"/>
      <c r="H20" s="90"/>
      <c r="I20" s="410">
        <v>82</v>
      </c>
      <c r="J20" s="536">
        <v>55000</v>
      </c>
      <c r="K20" s="537">
        <f t="shared" si="0"/>
        <v>4510000</v>
      </c>
    </row>
    <row r="21" spans="1:11" x14ac:dyDescent="0.25">
      <c r="A21" s="65">
        <v>3</v>
      </c>
      <c r="B21" s="542" t="s">
        <v>30</v>
      </c>
      <c r="C21" s="538" t="s">
        <v>26</v>
      </c>
      <c r="D21" s="548"/>
      <c r="E21" s="735"/>
      <c r="F21" s="735"/>
      <c r="G21" s="735"/>
      <c r="H21" s="90"/>
      <c r="I21" s="410">
        <v>24</v>
      </c>
      <c r="J21" s="536">
        <v>55000</v>
      </c>
      <c r="K21" s="537">
        <f t="shared" si="0"/>
        <v>1320000</v>
      </c>
    </row>
    <row r="22" spans="1:11" x14ac:dyDescent="0.25">
      <c r="A22" s="543">
        <v>4</v>
      </c>
      <c r="B22" s="542" t="s">
        <v>31</v>
      </c>
      <c r="C22" s="538" t="s">
        <v>26</v>
      </c>
      <c r="D22" s="548"/>
      <c r="E22" s="735"/>
      <c r="F22" s="735"/>
      <c r="G22" s="735"/>
      <c r="H22" s="90"/>
      <c r="I22" s="410">
        <v>38</v>
      </c>
      <c r="J22" s="536">
        <v>55000</v>
      </c>
      <c r="K22" s="537">
        <f t="shared" si="0"/>
        <v>2090000</v>
      </c>
    </row>
    <row r="23" spans="1:11" x14ac:dyDescent="0.25">
      <c r="A23" s="65">
        <v>5</v>
      </c>
      <c r="B23" s="542" t="s">
        <v>32</v>
      </c>
      <c r="C23" s="538" t="s">
        <v>26</v>
      </c>
      <c r="D23" s="548"/>
      <c r="E23" s="733"/>
      <c r="F23" s="733"/>
      <c r="G23" s="733"/>
      <c r="H23" s="509"/>
      <c r="I23" s="410">
        <v>49</v>
      </c>
      <c r="J23" s="536">
        <v>55000</v>
      </c>
      <c r="K23" s="537">
        <f t="shared" si="0"/>
        <v>2695000</v>
      </c>
    </row>
    <row r="24" spans="1:11" x14ac:dyDescent="0.25">
      <c r="A24" s="65">
        <v>6</v>
      </c>
      <c r="B24" s="542" t="s">
        <v>33</v>
      </c>
      <c r="C24" s="538" t="s">
        <v>26</v>
      </c>
      <c r="D24" s="548"/>
      <c r="E24" s="733"/>
      <c r="F24" s="733"/>
      <c r="G24" s="733"/>
      <c r="H24" s="509"/>
      <c r="I24" s="410">
        <v>21</v>
      </c>
      <c r="J24" s="536">
        <v>55000</v>
      </c>
      <c r="K24" s="537">
        <f t="shared" si="0"/>
        <v>1155000</v>
      </c>
    </row>
    <row r="25" spans="1:11" x14ac:dyDescent="0.25">
      <c r="A25" s="543">
        <v>7</v>
      </c>
      <c r="B25" s="542" t="s">
        <v>34</v>
      </c>
      <c r="C25" s="538" t="s">
        <v>26</v>
      </c>
      <c r="D25" s="548"/>
      <c r="E25" s="733"/>
      <c r="F25" s="733"/>
      <c r="G25" s="733"/>
      <c r="H25" s="509"/>
      <c r="I25" s="410">
        <v>11</v>
      </c>
      <c r="J25" s="536">
        <v>55000</v>
      </c>
      <c r="K25" s="537">
        <f t="shared" si="0"/>
        <v>605000</v>
      </c>
    </row>
    <row r="26" spans="1:11" x14ac:dyDescent="0.25">
      <c r="A26" s="65">
        <v>8</v>
      </c>
      <c r="B26" s="542" t="s">
        <v>35</v>
      </c>
      <c r="C26" s="538" t="s">
        <v>26</v>
      </c>
      <c r="D26" s="548"/>
      <c r="E26" s="733"/>
      <c r="F26" s="733"/>
      <c r="G26" s="733"/>
      <c r="H26" s="509"/>
      <c r="I26" s="410">
        <v>37</v>
      </c>
      <c r="J26" s="536">
        <v>55000</v>
      </c>
      <c r="K26" s="537">
        <f t="shared" si="0"/>
        <v>2035000</v>
      </c>
    </row>
    <row r="27" spans="1:11" x14ac:dyDescent="0.25">
      <c r="A27" s="65">
        <v>9</v>
      </c>
      <c r="B27" s="542" t="s">
        <v>36</v>
      </c>
      <c r="C27" s="538" t="s">
        <v>26</v>
      </c>
      <c r="D27" s="548"/>
      <c r="E27" s="733"/>
      <c r="F27" s="733"/>
      <c r="G27" s="733"/>
      <c r="H27" s="509"/>
      <c r="I27" s="410">
        <v>21</v>
      </c>
      <c r="J27" s="536">
        <v>55000</v>
      </c>
      <c r="K27" s="537">
        <f t="shared" si="0"/>
        <v>1155000</v>
      </c>
    </row>
    <row r="28" spans="1:11" x14ac:dyDescent="0.25">
      <c r="A28" s="543">
        <v>10</v>
      </c>
      <c r="B28" s="542" t="s">
        <v>37</v>
      </c>
      <c r="C28" s="538" t="s">
        <v>26</v>
      </c>
      <c r="D28" s="548"/>
      <c r="E28" s="733"/>
      <c r="F28" s="733"/>
      <c r="G28" s="733"/>
      <c r="H28" s="509"/>
      <c r="I28" s="410">
        <v>46</v>
      </c>
      <c r="J28" s="536">
        <v>55000</v>
      </c>
      <c r="K28" s="537">
        <f t="shared" si="0"/>
        <v>2530000</v>
      </c>
    </row>
    <row r="29" spans="1:11" x14ac:dyDescent="0.25">
      <c r="A29" s="65">
        <v>11</v>
      </c>
      <c r="B29" s="542" t="s">
        <v>38</v>
      </c>
      <c r="C29" s="538" t="s">
        <v>26</v>
      </c>
      <c r="D29" s="548"/>
      <c r="E29" s="733"/>
      <c r="F29" s="733"/>
      <c r="G29" s="733"/>
      <c r="H29" s="509"/>
      <c r="I29" s="410">
        <v>49</v>
      </c>
      <c r="J29" s="536">
        <v>55000</v>
      </c>
      <c r="K29" s="537">
        <f t="shared" si="0"/>
        <v>2695000</v>
      </c>
    </row>
    <row r="30" spans="1:11" x14ac:dyDescent="0.25">
      <c r="A30" s="65">
        <v>12</v>
      </c>
      <c r="B30" s="542" t="s">
        <v>39</v>
      </c>
      <c r="C30" s="538" t="s">
        <v>26</v>
      </c>
      <c r="D30" s="548"/>
      <c r="E30" s="733"/>
      <c r="F30" s="733"/>
      <c r="G30" s="733"/>
      <c r="H30" s="509"/>
      <c r="I30" s="410">
        <v>16</v>
      </c>
      <c r="J30" s="536">
        <v>55000</v>
      </c>
      <c r="K30" s="537">
        <f t="shared" si="0"/>
        <v>880000</v>
      </c>
    </row>
    <row r="31" spans="1:11" x14ac:dyDescent="0.25">
      <c r="A31" s="543">
        <v>13</v>
      </c>
      <c r="B31" s="542" t="s">
        <v>40</v>
      </c>
      <c r="C31" s="538" t="s">
        <v>26</v>
      </c>
      <c r="D31" s="548"/>
      <c r="E31" s="736"/>
      <c r="F31" s="736"/>
      <c r="G31" s="736"/>
      <c r="H31" s="510"/>
      <c r="I31" s="410">
        <v>72</v>
      </c>
      <c r="J31" s="536">
        <v>55000</v>
      </c>
      <c r="K31" s="537">
        <f t="shared" si="0"/>
        <v>3960000</v>
      </c>
    </row>
    <row r="32" spans="1:11" x14ac:dyDescent="0.25">
      <c r="A32" s="65">
        <v>14</v>
      </c>
      <c r="B32" s="542" t="s">
        <v>41</v>
      </c>
      <c r="C32" s="538" t="s">
        <v>26</v>
      </c>
      <c r="D32" s="548"/>
      <c r="E32" s="736"/>
      <c r="F32" s="736"/>
      <c r="G32" s="736"/>
      <c r="H32" s="510"/>
      <c r="I32" s="410">
        <v>19</v>
      </c>
      <c r="J32" s="536">
        <v>55000</v>
      </c>
      <c r="K32" s="537">
        <f t="shared" si="0"/>
        <v>1045000</v>
      </c>
    </row>
    <row r="33" spans="1:11" x14ac:dyDescent="0.25">
      <c r="A33" s="65">
        <v>15</v>
      </c>
      <c r="B33" s="542" t="s">
        <v>42</v>
      </c>
      <c r="C33" s="538" t="s">
        <v>26</v>
      </c>
      <c r="D33" s="548"/>
      <c r="E33" s="736"/>
      <c r="F33" s="736"/>
      <c r="G33" s="736"/>
      <c r="H33" s="510"/>
      <c r="I33" s="410">
        <v>56</v>
      </c>
      <c r="J33" s="536">
        <v>55000</v>
      </c>
      <c r="K33" s="537">
        <f t="shared" si="0"/>
        <v>3080000</v>
      </c>
    </row>
    <row r="34" spans="1:11" x14ac:dyDescent="0.25">
      <c r="A34" s="543">
        <v>16</v>
      </c>
      <c r="B34" s="542" t="s">
        <v>44</v>
      </c>
      <c r="C34" s="538" t="s">
        <v>26</v>
      </c>
      <c r="D34" s="548"/>
      <c r="E34" s="736"/>
      <c r="F34" s="736"/>
      <c r="G34" s="736"/>
      <c r="H34" s="510"/>
      <c r="I34" s="410">
        <v>7</v>
      </c>
      <c r="J34" s="536">
        <v>55000</v>
      </c>
      <c r="K34" s="537">
        <f t="shared" si="0"/>
        <v>385000</v>
      </c>
    </row>
    <row r="35" spans="1:11" x14ac:dyDescent="0.25">
      <c r="A35" s="65">
        <v>17</v>
      </c>
      <c r="B35" s="542" t="s">
        <v>45</v>
      </c>
      <c r="C35" s="538" t="s">
        <v>26</v>
      </c>
      <c r="D35" s="548"/>
      <c r="E35" s="736"/>
      <c r="F35" s="736"/>
      <c r="G35" s="736"/>
      <c r="H35" s="510"/>
      <c r="I35" s="410">
        <v>41</v>
      </c>
      <c r="J35" s="536">
        <v>55000</v>
      </c>
      <c r="K35" s="537">
        <f t="shared" si="0"/>
        <v>2255000</v>
      </c>
    </row>
    <row r="36" spans="1:11" x14ac:dyDescent="0.25">
      <c r="A36" s="65">
        <v>18</v>
      </c>
      <c r="B36" s="542" t="s">
        <v>46</v>
      </c>
      <c r="C36" s="538" t="s">
        <v>26</v>
      </c>
      <c r="D36" s="548"/>
      <c r="E36" s="736"/>
      <c r="F36" s="736"/>
      <c r="G36" s="736"/>
      <c r="H36" s="510"/>
      <c r="I36" s="410">
        <v>4</v>
      </c>
      <c r="J36" s="536">
        <v>55000</v>
      </c>
      <c r="K36" s="537">
        <f t="shared" si="0"/>
        <v>220000</v>
      </c>
    </row>
    <row r="37" spans="1:11" x14ac:dyDescent="0.25">
      <c r="A37" s="543">
        <v>19</v>
      </c>
      <c r="B37" s="542" t="s">
        <v>47</v>
      </c>
      <c r="C37" s="538" t="s">
        <v>26</v>
      </c>
      <c r="D37" s="548"/>
      <c r="E37" s="734"/>
      <c r="F37" s="734"/>
      <c r="G37" s="734"/>
      <c r="H37" s="107"/>
      <c r="I37" s="410">
        <v>67</v>
      </c>
      <c r="J37" s="536">
        <v>55000</v>
      </c>
      <c r="K37" s="537">
        <f t="shared" si="0"/>
        <v>3685000</v>
      </c>
    </row>
    <row r="38" spans="1:11" x14ac:dyDescent="0.25">
      <c r="A38" s="65">
        <v>20</v>
      </c>
      <c r="B38" s="542" t="s">
        <v>48</v>
      </c>
      <c r="C38" s="538" t="s">
        <v>26</v>
      </c>
      <c r="D38" s="548"/>
      <c r="E38" s="734"/>
      <c r="F38" s="734"/>
      <c r="G38" s="734"/>
      <c r="H38" s="107"/>
      <c r="I38" s="410">
        <v>45</v>
      </c>
      <c r="J38" s="536">
        <v>55000</v>
      </c>
      <c r="K38" s="537">
        <f t="shared" si="0"/>
        <v>2475000</v>
      </c>
    </row>
    <row r="39" spans="1:11" x14ac:dyDescent="0.25">
      <c r="A39" s="65">
        <v>21</v>
      </c>
      <c r="B39" s="542" t="s">
        <v>49</v>
      </c>
      <c r="C39" s="538" t="s">
        <v>26</v>
      </c>
      <c r="D39" s="548"/>
      <c r="E39" s="734"/>
      <c r="F39" s="734"/>
      <c r="G39" s="734"/>
      <c r="H39" s="107"/>
      <c r="I39" s="410">
        <v>19</v>
      </c>
      <c r="J39" s="536">
        <v>55000</v>
      </c>
      <c r="K39" s="537">
        <f t="shared" si="0"/>
        <v>1045000</v>
      </c>
    </row>
    <row r="40" spans="1:11" x14ac:dyDescent="0.25">
      <c r="A40" s="543">
        <v>22</v>
      </c>
      <c r="B40" s="542" t="s">
        <v>50</v>
      </c>
      <c r="C40" s="538" t="s">
        <v>26</v>
      </c>
      <c r="D40" s="548"/>
      <c r="E40" s="734"/>
      <c r="F40" s="734"/>
      <c r="G40" s="734"/>
      <c r="H40" s="107"/>
      <c r="I40" s="410">
        <v>12</v>
      </c>
      <c r="J40" s="536">
        <v>55000</v>
      </c>
      <c r="K40" s="537">
        <f t="shared" si="0"/>
        <v>660000</v>
      </c>
    </row>
    <row r="41" spans="1:11" x14ac:dyDescent="0.25">
      <c r="A41" s="65">
        <v>23</v>
      </c>
      <c r="B41" s="542" t="s">
        <v>51</v>
      </c>
      <c r="C41" s="538" t="s">
        <v>26</v>
      </c>
      <c r="D41" s="548"/>
      <c r="E41" s="735"/>
      <c r="F41" s="735"/>
      <c r="G41" s="735"/>
      <c r="H41" s="90"/>
      <c r="I41" s="411">
        <v>39</v>
      </c>
      <c r="J41" s="536">
        <v>55000</v>
      </c>
      <c r="K41" s="537">
        <f t="shared" si="0"/>
        <v>2145000</v>
      </c>
    </row>
    <row r="42" spans="1:11" x14ac:dyDescent="0.25">
      <c r="A42" s="65">
        <v>24</v>
      </c>
      <c r="B42" s="542" t="s">
        <v>52</v>
      </c>
      <c r="C42" s="538" t="s">
        <v>26</v>
      </c>
      <c r="D42" s="548"/>
      <c r="E42" s="735"/>
      <c r="F42" s="735"/>
      <c r="G42" s="735"/>
      <c r="H42" s="90"/>
      <c r="I42" s="411">
        <v>24</v>
      </c>
      <c r="J42" s="536">
        <v>55000</v>
      </c>
      <c r="K42" s="537">
        <f t="shared" si="0"/>
        <v>1320000</v>
      </c>
    </row>
    <row r="43" spans="1:11" x14ac:dyDescent="0.25">
      <c r="A43" s="543">
        <v>25</v>
      </c>
      <c r="B43" s="542" t="s">
        <v>53</v>
      </c>
      <c r="C43" s="538" t="s">
        <v>26</v>
      </c>
      <c r="D43" s="548"/>
      <c r="E43" s="696"/>
      <c r="F43" s="697"/>
      <c r="G43" s="698"/>
      <c r="H43" s="90"/>
      <c r="I43" s="411">
        <v>453</v>
      </c>
      <c r="J43" s="536">
        <v>55000</v>
      </c>
      <c r="K43" s="537">
        <f t="shared" si="0"/>
        <v>24915000</v>
      </c>
    </row>
    <row r="44" spans="1:11" x14ac:dyDescent="0.25">
      <c r="A44" s="65">
        <v>26</v>
      </c>
      <c r="B44" s="542" t="s">
        <v>54</v>
      </c>
      <c r="C44" s="538" t="s">
        <v>26</v>
      </c>
      <c r="D44" s="548"/>
      <c r="E44" s="735"/>
      <c r="F44" s="735"/>
      <c r="G44" s="735"/>
      <c r="H44" s="90"/>
      <c r="I44" s="411">
        <v>6</v>
      </c>
      <c r="J44" s="536">
        <v>55000</v>
      </c>
      <c r="K44" s="537">
        <f t="shared" si="0"/>
        <v>330000</v>
      </c>
    </row>
    <row r="45" spans="1:11" x14ac:dyDescent="0.25">
      <c r="A45" s="65">
        <v>27</v>
      </c>
      <c r="B45" s="542" t="s">
        <v>55</v>
      </c>
      <c r="C45" s="538" t="s">
        <v>26</v>
      </c>
      <c r="D45" s="548"/>
      <c r="E45" s="772"/>
      <c r="F45" s="772"/>
      <c r="G45" s="772"/>
      <c r="H45" s="549"/>
      <c r="I45" s="411">
        <v>33</v>
      </c>
      <c r="J45" s="536">
        <v>55000</v>
      </c>
      <c r="K45" s="537">
        <f t="shared" si="0"/>
        <v>1815000</v>
      </c>
    </row>
    <row r="46" spans="1:11" x14ac:dyDescent="0.25">
      <c r="A46" s="543">
        <v>28</v>
      </c>
      <c r="B46" s="542" t="s">
        <v>56</v>
      </c>
      <c r="C46" s="538" t="s">
        <v>26</v>
      </c>
      <c r="D46" s="548"/>
      <c r="E46" s="782"/>
      <c r="F46" s="782"/>
      <c r="G46" s="782"/>
      <c r="H46" s="550"/>
      <c r="I46" s="551">
        <v>49</v>
      </c>
      <c r="J46" s="536">
        <v>55000</v>
      </c>
      <c r="K46" s="537">
        <f t="shared" si="0"/>
        <v>2695000</v>
      </c>
    </row>
    <row r="47" spans="1:11" x14ac:dyDescent="0.25">
      <c r="A47" s="65">
        <v>29</v>
      </c>
      <c r="B47" s="542" t="s">
        <v>57</v>
      </c>
      <c r="C47" s="538" t="s">
        <v>26</v>
      </c>
      <c r="D47" s="548"/>
      <c r="E47" s="782"/>
      <c r="F47" s="782"/>
      <c r="G47" s="782"/>
      <c r="H47" s="550"/>
      <c r="I47" s="551">
        <v>44</v>
      </c>
      <c r="J47" s="536">
        <v>55000</v>
      </c>
      <c r="K47" s="537">
        <f t="shared" si="0"/>
        <v>2420000</v>
      </c>
    </row>
    <row r="48" spans="1:11" x14ac:dyDescent="0.25">
      <c r="A48" s="65">
        <v>30</v>
      </c>
      <c r="B48" s="542" t="s">
        <v>58</v>
      </c>
      <c r="C48" s="538" t="s">
        <v>26</v>
      </c>
      <c r="D48" s="548"/>
      <c r="E48" s="772"/>
      <c r="F48" s="772"/>
      <c r="G48" s="772"/>
      <c r="H48" s="549"/>
      <c r="I48" s="411">
        <v>50</v>
      </c>
      <c r="J48" s="536">
        <v>55000</v>
      </c>
      <c r="K48" s="537">
        <f t="shared" si="0"/>
        <v>2750000</v>
      </c>
    </row>
    <row r="49" spans="1:11" x14ac:dyDescent="0.25">
      <c r="A49" s="543">
        <v>31</v>
      </c>
      <c r="B49" s="542" t="s">
        <v>59</v>
      </c>
      <c r="C49" s="538" t="s">
        <v>26</v>
      </c>
      <c r="D49" s="548"/>
      <c r="E49" s="772"/>
      <c r="F49" s="772"/>
      <c r="G49" s="772"/>
      <c r="H49" s="549"/>
      <c r="I49" s="411">
        <v>110</v>
      </c>
      <c r="J49" s="536">
        <v>55000</v>
      </c>
      <c r="K49" s="537">
        <f t="shared" si="0"/>
        <v>6050000</v>
      </c>
    </row>
    <row r="50" spans="1:11" x14ac:dyDescent="0.25">
      <c r="A50" s="65">
        <v>32</v>
      </c>
      <c r="B50" s="542" t="s">
        <v>60</v>
      </c>
      <c r="C50" s="538" t="s">
        <v>26</v>
      </c>
      <c r="D50" s="548"/>
      <c r="E50" s="773"/>
      <c r="F50" s="773"/>
      <c r="G50" s="773"/>
      <c r="H50" s="546"/>
      <c r="I50" s="547">
        <v>35</v>
      </c>
      <c r="J50" s="536">
        <v>55000</v>
      </c>
      <c r="K50" s="537">
        <f t="shared" si="0"/>
        <v>1925000</v>
      </c>
    </row>
    <row r="51" spans="1:11" x14ac:dyDescent="0.25">
      <c r="A51" s="65">
        <v>33</v>
      </c>
      <c r="B51" s="542" t="s">
        <v>61</v>
      </c>
      <c r="C51" s="538" t="s">
        <v>26</v>
      </c>
      <c r="D51" s="548"/>
      <c r="E51" s="773"/>
      <c r="F51" s="773"/>
      <c r="G51" s="773"/>
      <c r="H51" s="546"/>
      <c r="I51" s="547">
        <v>100</v>
      </c>
      <c r="J51" s="536">
        <v>55000</v>
      </c>
      <c r="K51" s="537">
        <f>IF((C51)&gt;0,SUM(J51*I51),"")</f>
        <v>5500000</v>
      </c>
    </row>
    <row r="52" spans="1:11" x14ac:dyDescent="0.25">
      <c r="A52" s="543">
        <v>34</v>
      </c>
      <c r="B52" s="542" t="s">
        <v>62</v>
      </c>
      <c r="C52" s="538" t="s">
        <v>26</v>
      </c>
      <c r="D52" s="548"/>
      <c r="E52" s="773"/>
      <c r="F52" s="773"/>
      <c r="G52" s="773"/>
      <c r="H52" s="546"/>
      <c r="I52" s="547">
        <v>17</v>
      </c>
      <c r="J52" s="536">
        <v>55000</v>
      </c>
      <c r="K52" s="537">
        <f>IF((C52)&gt;0,SUM(J52*I52),"")</f>
        <v>935000</v>
      </c>
    </row>
    <row r="53" spans="1:11" x14ac:dyDescent="0.25">
      <c r="A53" s="65">
        <v>35</v>
      </c>
      <c r="B53" s="542" t="s">
        <v>63</v>
      </c>
      <c r="C53" s="538" t="s">
        <v>26</v>
      </c>
      <c r="D53" s="548"/>
      <c r="E53" s="780"/>
      <c r="F53" s="780"/>
      <c r="G53" s="780"/>
      <c r="H53" s="552"/>
      <c r="I53" s="553">
        <v>8</v>
      </c>
      <c r="J53" s="536">
        <v>55000</v>
      </c>
      <c r="K53" s="537">
        <f>IF((C53)&gt;0,SUM(J53*I53),"")</f>
        <v>440000</v>
      </c>
    </row>
    <row r="54" spans="1:11" x14ac:dyDescent="0.25">
      <c r="A54" s="65">
        <v>36</v>
      </c>
      <c r="B54" s="542" t="s">
        <v>64</v>
      </c>
      <c r="C54" s="538" t="s">
        <v>26</v>
      </c>
      <c r="D54" s="548"/>
      <c r="E54" s="781" t="s">
        <v>221</v>
      </c>
      <c r="F54" s="781"/>
      <c r="G54" s="781"/>
      <c r="H54" s="554"/>
      <c r="I54" s="553">
        <v>19</v>
      </c>
      <c r="J54" s="536">
        <v>55000</v>
      </c>
      <c r="K54" s="537">
        <f>IF((C54)&gt;0,SUM(J54*I54),"")</f>
        <v>1045000</v>
      </c>
    </row>
    <row r="55" spans="1:11" x14ac:dyDescent="0.25">
      <c r="A55" s="543">
        <v>37</v>
      </c>
      <c r="B55" s="542" t="s">
        <v>65</v>
      </c>
      <c r="C55" s="538" t="s">
        <v>26</v>
      </c>
      <c r="D55" s="548"/>
      <c r="E55" s="781"/>
      <c r="F55" s="781"/>
      <c r="G55" s="781"/>
      <c r="H55" s="554"/>
      <c r="I55" s="553">
        <v>15</v>
      </c>
      <c r="J55" s="536">
        <v>55000</v>
      </c>
      <c r="K55" s="537">
        <f>IF((C55)&gt;0,SUM(J55*I55),"")</f>
        <v>825000</v>
      </c>
    </row>
    <row r="56" spans="1:11" x14ac:dyDescent="0.25">
      <c r="A56" s="103"/>
      <c r="B56" s="147"/>
      <c r="C56" s="147"/>
      <c r="D56" s="147"/>
      <c r="E56" s="148"/>
      <c r="F56" s="148"/>
      <c r="G56" s="148"/>
      <c r="H56" s="148"/>
      <c r="I56" s="764" t="s">
        <v>247</v>
      </c>
      <c r="J56" s="765"/>
      <c r="K56" s="654">
        <f>SUM(K19:K55)</f>
        <v>99110000</v>
      </c>
    </row>
    <row r="57" spans="1:11" ht="15.75" x14ac:dyDescent="0.25">
      <c r="A57" s="653" t="s">
        <v>76</v>
      </c>
      <c r="B57" s="98"/>
      <c r="C57" s="147"/>
      <c r="D57" s="151"/>
      <c r="E57" s="152"/>
      <c r="F57" s="152"/>
      <c r="G57" s="152"/>
      <c r="H57" s="152"/>
      <c r="I57" s="766" t="s">
        <v>250</v>
      </c>
      <c r="J57" s="767"/>
      <c r="K57" s="655">
        <v>20000</v>
      </c>
    </row>
    <row r="58" spans="1:11" x14ac:dyDescent="0.25">
      <c r="A58" s="150"/>
      <c r="B58" s="147"/>
      <c r="C58" s="147"/>
      <c r="D58" s="151"/>
      <c r="E58" s="152"/>
      <c r="F58" s="152"/>
      <c r="G58" s="152"/>
      <c r="H58" s="152"/>
      <c r="I58" s="766" t="s">
        <v>248</v>
      </c>
      <c r="J58" s="767"/>
      <c r="K58" s="655">
        <f>(K56+K57)*5%</f>
        <v>4956500</v>
      </c>
    </row>
    <row r="59" spans="1:11" x14ac:dyDescent="0.25">
      <c r="A59" s="150"/>
      <c r="B59" s="147"/>
      <c r="C59" s="147"/>
      <c r="D59" s="151"/>
      <c r="E59" s="152"/>
      <c r="F59" s="152"/>
      <c r="G59" s="152"/>
      <c r="H59" s="152"/>
      <c r="I59" s="766" t="s">
        <v>249</v>
      </c>
      <c r="J59" s="767"/>
      <c r="K59" s="656">
        <f>K56+K57+K58</f>
        <v>104086500</v>
      </c>
    </row>
    <row r="60" spans="1:11" ht="15" customHeight="1" x14ac:dyDescent="0.25">
      <c r="A60" s="153"/>
      <c r="B60" s="154"/>
      <c r="C60" s="154"/>
      <c r="D60" s="155"/>
      <c r="E60" s="156"/>
      <c r="F60" s="156"/>
      <c r="G60" s="156"/>
      <c r="H60" s="156"/>
      <c r="I60" s="412"/>
      <c r="J60" s="157"/>
      <c r="K60" s="158"/>
    </row>
    <row r="61" spans="1:11" x14ac:dyDescent="0.25">
      <c r="A61" s="103"/>
      <c r="B61" s="154"/>
      <c r="C61" s="154"/>
      <c r="D61" s="155"/>
      <c r="E61" s="156"/>
      <c r="F61" s="156"/>
      <c r="G61" s="156"/>
      <c r="H61" s="156"/>
      <c r="I61" s="412"/>
      <c r="J61" s="157"/>
      <c r="K61" s="158"/>
    </row>
    <row r="62" spans="1:11" ht="15.75" thickBot="1" x14ac:dyDescent="0.3">
      <c r="A62" s="153"/>
      <c r="B62" s="154"/>
      <c r="C62" s="154"/>
      <c r="D62" s="155"/>
      <c r="E62" s="156"/>
      <c r="F62" s="156"/>
      <c r="G62" s="156"/>
      <c r="H62" s="156"/>
      <c r="I62" s="412"/>
      <c r="J62" s="157"/>
      <c r="K62" s="158"/>
    </row>
    <row r="63" spans="1:11" x14ac:dyDescent="0.25">
      <c r="A63" s="774" t="s">
        <v>23</v>
      </c>
      <c r="B63" s="775"/>
      <c r="C63" s="775"/>
      <c r="D63" s="775"/>
      <c r="E63" s="775"/>
      <c r="F63" s="775"/>
      <c r="G63" s="775"/>
      <c r="H63" s="775"/>
      <c r="I63" s="775"/>
      <c r="J63" s="775"/>
      <c r="K63" s="776"/>
    </row>
    <row r="64" spans="1:11" ht="15.75" thickBot="1" x14ac:dyDescent="0.3">
      <c r="A64" s="777"/>
      <c r="B64" s="778"/>
      <c r="C64" s="778"/>
      <c r="D64" s="778"/>
      <c r="E64" s="778"/>
      <c r="F64" s="778"/>
      <c r="G64" s="778"/>
      <c r="H64" s="778"/>
      <c r="I64" s="778"/>
      <c r="J64" s="778"/>
      <c r="K64" s="779"/>
    </row>
    <row r="65" spans="1:11" x14ac:dyDescent="0.25">
      <c r="A65" s="151"/>
      <c r="B65" s="151"/>
      <c r="C65" s="151"/>
      <c r="D65" s="151"/>
      <c r="E65" s="151"/>
      <c r="F65" s="151"/>
      <c r="G65" s="151"/>
      <c r="H65" s="151"/>
      <c r="I65" s="413"/>
      <c r="J65" s="151"/>
      <c r="K65" s="151"/>
    </row>
  </sheetData>
  <mergeCells count="51">
    <mergeCell ref="E49:G49"/>
    <mergeCell ref="E51:G51"/>
    <mergeCell ref="E40:G40"/>
    <mergeCell ref="E41:G41"/>
    <mergeCell ref="E42:G42"/>
    <mergeCell ref="E44:G44"/>
    <mergeCell ref="A63:K64"/>
    <mergeCell ref="E52:G52"/>
    <mergeCell ref="E53:G53"/>
    <mergeCell ref="E54:G54"/>
    <mergeCell ref="E55:G55"/>
    <mergeCell ref="E33:G33"/>
    <mergeCell ref="E50:G50"/>
    <mergeCell ref="E35:G35"/>
    <mergeCell ref="E36:G36"/>
    <mergeCell ref="E37:G37"/>
    <mergeCell ref="E38:G38"/>
    <mergeCell ref="E43:G43"/>
    <mergeCell ref="E46:G46"/>
    <mergeCell ref="E47:G47"/>
    <mergeCell ref="E48:G48"/>
    <mergeCell ref="E23:G23"/>
    <mergeCell ref="E45:G45"/>
    <mergeCell ref="E25:G25"/>
    <mergeCell ref="E26:G26"/>
    <mergeCell ref="E39:G39"/>
    <mergeCell ref="E28:G28"/>
    <mergeCell ref="E29:G29"/>
    <mergeCell ref="E30:G30"/>
    <mergeCell ref="E31:G31"/>
    <mergeCell ref="E32:G32"/>
    <mergeCell ref="G15:H15"/>
    <mergeCell ref="E34:G34"/>
    <mergeCell ref="E27:G27"/>
    <mergeCell ref="A16:E16"/>
    <mergeCell ref="G16:H16"/>
    <mergeCell ref="E18:G18"/>
    <mergeCell ref="E19:F19"/>
    <mergeCell ref="E20:G20"/>
    <mergeCell ref="E21:G21"/>
    <mergeCell ref="E22:G22"/>
    <mergeCell ref="I56:J56"/>
    <mergeCell ref="I57:J57"/>
    <mergeCell ref="I58:J58"/>
    <mergeCell ref="I59:J59"/>
    <mergeCell ref="E24:G24"/>
    <mergeCell ref="E1:K1"/>
    <mergeCell ref="D13:E13"/>
    <mergeCell ref="F13:G13"/>
    <mergeCell ref="A14:K14"/>
    <mergeCell ref="A15:E15"/>
  </mergeCells>
  <pageMargins left="0.70866141732283472" right="0.70866141732283472" top="0.74803149606299213" bottom="0.74803149606299213" header="0.31496062992125984" footer="0.31496062992125984"/>
  <pageSetup scale="70" orientation="portrait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1"/>
  <sheetViews>
    <sheetView view="pageBreakPreview" zoomScaleNormal="100" zoomScaleSheetLayoutView="100" workbookViewId="0">
      <selection activeCell="J4" sqref="J4"/>
    </sheetView>
  </sheetViews>
  <sheetFormatPr defaultRowHeight="15" x14ac:dyDescent="0.25"/>
  <cols>
    <col min="1" max="1" width="9.140625" customWidth="1"/>
    <col min="2" max="2" width="15.42578125" customWidth="1"/>
    <col min="3" max="3" width="17" customWidth="1"/>
    <col min="4" max="4" width="12.42578125" customWidth="1"/>
    <col min="5" max="5" width="5.85546875" customWidth="1"/>
    <col min="6" max="6" width="8" customWidth="1"/>
    <col min="7" max="7" width="5.140625" hidden="1" customWidth="1"/>
    <col min="8" max="8" width="15.85546875" customWidth="1"/>
    <col min="9" max="9" width="13" style="380" customWidth="1"/>
    <col min="10" max="10" width="17.140625" customWidth="1"/>
    <col min="11" max="11" width="17.5703125" customWidth="1"/>
  </cols>
  <sheetData>
    <row r="1" spans="1:11" ht="46.5" x14ac:dyDescent="0.55000000000000004">
      <c r="A1" s="1"/>
      <c r="B1" s="2"/>
      <c r="C1" s="2"/>
      <c r="D1" s="2"/>
      <c r="E1" s="712" t="s">
        <v>0</v>
      </c>
      <c r="F1" s="712"/>
      <c r="G1" s="712"/>
      <c r="H1" s="712"/>
      <c r="I1" s="712"/>
      <c r="J1" s="712"/>
      <c r="K1" s="713"/>
    </row>
    <row r="2" spans="1:11" ht="17.25" x14ac:dyDescent="0.3">
      <c r="A2" s="3"/>
      <c r="B2" s="4"/>
      <c r="C2" s="4"/>
      <c r="D2" s="4"/>
      <c r="E2" s="5"/>
      <c r="F2" s="5"/>
      <c r="G2" s="6"/>
      <c r="H2" s="6"/>
      <c r="I2" s="388"/>
      <c r="J2" s="7"/>
      <c r="K2" s="8"/>
    </row>
    <row r="3" spans="1:11" ht="20.25" x14ac:dyDescent="0.3">
      <c r="A3" s="9"/>
      <c r="B3" s="10"/>
      <c r="C3" s="10"/>
      <c r="D3" s="10"/>
      <c r="E3" s="11"/>
      <c r="F3" s="12"/>
      <c r="G3" s="12"/>
      <c r="H3" s="12"/>
      <c r="I3" s="389"/>
      <c r="J3" s="13"/>
      <c r="K3" s="14"/>
    </row>
    <row r="4" spans="1:11" x14ac:dyDescent="0.25">
      <c r="A4" s="9"/>
      <c r="B4" s="10"/>
      <c r="C4" s="15"/>
      <c r="D4" s="15"/>
      <c r="E4" s="16"/>
      <c r="F4" s="15"/>
      <c r="G4" s="15"/>
      <c r="H4" s="15"/>
      <c r="I4" s="390"/>
      <c r="J4" s="17"/>
      <c r="K4" s="18"/>
    </row>
    <row r="5" spans="1:11" ht="15.75" x14ac:dyDescent="0.3">
      <c r="A5" s="19"/>
      <c r="B5" s="15"/>
      <c r="C5" s="15"/>
      <c r="D5" s="20"/>
      <c r="E5" s="21"/>
      <c r="F5" s="20"/>
      <c r="G5" s="22"/>
      <c r="H5" s="22"/>
      <c r="I5" s="390"/>
      <c r="J5" s="17"/>
      <c r="K5" s="18"/>
    </row>
    <row r="6" spans="1:11" ht="15.75" x14ac:dyDescent="0.3">
      <c r="A6" s="23"/>
      <c r="B6" s="24"/>
      <c r="C6" s="24"/>
      <c r="D6" s="24"/>
      <c r="E6" s="22"/>
      <c r="F6" s="22"/>
      <c r="G6" s="22"/>
      <c r="H6" s="22"/>
      <c r="I6" s="390"/>
      <c r="J6" s="17" t="s">
        <v>246</v>
      </c>
      <c r="K6" s="25">
        <f ca="1">TODAY()</f>
        <v>41556</v>
      </c>
    </row>
    <row r="7" spans="1:11" x14ac:dyDescent="0.25">
      <c r="A7" s="29"/>
      <c r="B7" s="80"/>
      <c r="C7" s="30" t="s">
        <v>71</v>
      </c>
      <c r="D7" s="31" t="s">
        <v>121</v>
      </c>
      <c r="E7" s="32"/>
      <c r="F7" s="31"/>
      <c r="G7" s="32"/>
      <c r="H7" s="32"/>
      <c r="I7" s="392"/>
      <c r="J7" s="33"/>
      <c r="K7" s="34"/>
    </row>
    <row r="8" spans="1:11" x14ac:dyDescent="0.25">
      <c r="A8" s="35"/>
      <c r="B8" s="36"/>
      <c r="C8" s="37" t="s">
        <v>4</v>
      </c>
      <c r="D8" s="38" t="s">
        <v>145</v>
      </c>
      <c r="E8" s="39"/>
      <c r="F8" s="38"/>
      <c r="G8" s="39"/>
      <c r="H8" s="39"/>
      <c r="I8" s="393"/>
      <c r="J8" s="40"/>
      <c r="K8" s="41"/>
    </row>
    <row r="9" spans="1:11" x14ac:dyDescent="0.25">
      <c r="A9" s="42"/>
      <c r="B9" s="81"/>
      <c r="C9" s="37"/>
      <c r="D9" s="44" t="s">
        <v>146</v>
      </c>
      <c r="E9" s="45"/>
      <c r="F9" s="44"/>
      <c r="G9" s="45"/>
      <c r="H9" s="45"/>
      <c r="I9" s="393"/>
      <c r="J9" s="40"/>
      <c r="K9" s="41"/>
    </row>
    <row r="10" spans="1:11" ht="15.75" x14ac:dyDescent="0.3">
      <c r="A10" s="47"/>
      <c r="B10" s="43"/>
      <c r="C10" s="48" t="s">
        <v>5</v>
      </c>
      <c r="D10" s="159" t="s">
        <v>147</v>
      </c>
      <c r="E10" s="159"/>
      <c r="F10" s="159"/>
      <c r="G10" s="45"/>
      <c r="H10" s="45"/>
      <c r="I10" s="393"/>
      <c r="J10" s="40"/>
      <c r="K10" s="41"/>
    </row>
    <row r="11" spans="1:11" ht="15.75" x14ac:dyDescent="0.3">
      <c r="A11" s="47"/>
      <c r="B11" s="43"/>
      <c r="C11" s="48" t="s">
        <v>15</v>
      </c>
      <c r="D11" s="49" t="s">
        <v>148</v>
      </c>
      <c r="E11" s="45"/>
      <c r="F11" s="49"/>
      <c r="G11" s="45"/>
      <c r="H11" s="45"/>
      <c r="I11" s="393"/>
      <c r="J11" s="40"/>
      <c r="K11" s="41"/>
    </row>
    <row r="12" spans="1:11" ht="15.75" x14ac:dyDescent="0.3">
      <c r="A12" s="50"/>
      <c r="B12" s="43"/>
      <c r="C12" s="74" t="s">
        <v>6</v>
      </c>
      <c r="D12" s="714"/>
      <c r="E12" s="714"/>
      <c r="F12" s="714"/>
      <c r="G12" s="714"/>
      <c r="H12" s="92"/>
      <c r="I12" s="394"/>
      <c r="J12" s="51"/>
      <c r="K12" s="51"/>
    </row>
    <row r="13" spans="1:11" ht="15.75" x14ac:dyDescent="0.3">
      <c r="A13" s="715"/>
      <c r="B13" s="716"/>
      <c r="C13" s="716"/>
      <c r="D13" s="716"/>
      <c r="E13" s="716"/>
      <c r="F13" s="716"/>
      <c r="G13" s="716"/>
      <c r="H13" s="716"/>
      <c r="I13" s="716"/>
      <c r="J13" s="716"/>
      <c r="K13" s="717"/>
    </row>
    <row r="14" spans="1:11" x14ac:dyDescent="0.25">
      <c r="A14" s="718" t="s">
        <v>7</v>
      </c>
      <c r="B14" s="719"/>
      <c r="C14" s="719"/>
      <c r="D14" s="719"/>
      <c r="E14" s="720"/>
      <c r="F14" s="52" t="s">
        <v>16</v>
      </c>
      <c r="G14" s="721" t="s">
        <v>17</v>
      </c>
      <c r="H14" s="719"/>
      <c r="I14" s="406"/>
      <c r="J14" s="95"/>
      <c r="K14" s="53" t="s">
        <v>8</v>
      </c>
    </row>
    <row r="15" spans="1:11" ht="15.75" x14ac:dyDescent="0.3">
      <c r="A15" s="722" t="s">
        <v>24</v>
      </c>
      <c r="B15" s="723"/>
      <c r="C15" s="723"/>
      <c r="D15" s="723"/>
      <c r="E15" s="724"/>
      <c r="F15" s="54"/>
      <c r="G15" s="725"/>
      <c r="H15" s="726"/>
      <c r="I15" s="407"/>
      <c r="J15" s="88"/>
      <c r="K15" s="55" t="s">
        <v>244</v>
      </c>
    </row>
    <row r="16" spans="1:11" ht="15.75" x14ac:dyDescent="0.3">
      <c r="A16" s="56"/>
      <c r="B16" s="57"/>
      <c r="C16" s="57"/>
      <c r="D16" s="57"/>
      <c r="E16" s="58"/>
      <c r="F16" s="59"/>
      <c r="G16" s="59"/>
      <c r="H16" s="59"/>
      <c r="I16" s="408"/>
      <c r="J16" s="60"/>
      <c r="K16" s="61"/>
    </row>
    <row r="17" spans="1:11" x14ac:dyDescent="0.25">
      <c r="A17" s="62" t="s">
        <v>18</v>
      </c>
      <c r="B17" s="62" t="s">
        <v>27</v>
      </c>
      <c r="C17" s="62" t="s">
        <v>19</v>
      </c>
      <c r="D17" s="62" t="s">
        <v>20</v>
      </c>
      <c r="E17" s="711" t="s">
        <v>21</v>
      </c>
      <c r="F17" s="711"/>
      <c r="G17" s="711"/>
      <c r="H17" s="96" t="s">
        <v>10</v>
      </c>
      <c r="I17" s="409" t="s">
        <v>25</v>
      </c>
      <c r="J17" s="52" t="s">
        <v>28</v>
      </c>
      <c r="K17" s="52" t="s">
        <v>22</v>
      </c>
    </row>
    <row r="18" spans="1:11" ht="16.5" x14ac:dyDescent="0.3">
      <c r="A18" s="543">
        <v>1</v>
      </c>
      <c r="B18" s="539" t="s">
        <v>82</v>
      </c>
      <c r="C18" s="555" t="s">
        <v>26</v>
      </c>
      <c r="D18" s="556"/>
      <c r="E18" s="784"/>
      <c r="F18" s="785"/>
      <c r="G18" s="786"/>
      <c r="H18" s="557"/>
      <c r="I18" s="558">
        <v>9</v>
      </c>
      <c r="J18" s="559">
        <v>55000</v>
      </c>
      <c r="K18" s="560">
        <f t="shared" ref="K18:K49" si="0">IF((C18)&gt;0,SUM(J18*I18),"")</f>
        <v>495000</v>
      </c>
    </row>
    <row r="19" spans="1:11" ht="16.5" x14ac:dyDescent="0.3">
      <c r="A19" s="65">
        <v>2</v>
      </c>
      <c r="B19" s="539" t="s">
        <v>83</v>
      </c>
      <c r="C19" s="555" t="s">
        <v>26</v>
      </c>
      <c r="D19" s="556"/>
      <c r="E19" s="735"/>
      <c r="F19" s="735"/>
      <c r="G19" s="735"/>
      <c r="H19" s="90"/>
      <c r="I19" s="410">
        <v>57</v>
      </c>
      <c r="J19" s="559">
        <v>55000</v>
      </c>
      <c r="K19" s="560">
        <f t="shared" si="0"/>
        <v>3135000</v>
      </c>
    </row>
    <row r="20" spans="1:11" ht="16.5" x14ac:dyDescent="0.3">
      <c r="A20" s="65">
        <v>3</v>
      </c>
      <c r="B20" s="539" t="s">
        <v>84</v>
      </c>
      <c r="C20" s="555" t="s">
        <v>26</v>
      </c>
      <c r="D20" s="556"/>
      <c r="E20" s="735"/>
      <c r="F20" s="735"/>
      <c r="G20" s="735"/>
      <c r="H20" s="90"/>
      <c r="I20" s="410">
        <v>6</v>
      </c>
      <c r="J20" s="559">
        <v>55000</v>
      </c>
      <c r="K20" s="560">
        <f t="shared" si="0"/>
        <v>330000</v>
      </c>
    </row>
    <row r="21" spans="1:11" ht="16.5" x14ac:dyDescent="0.3">
      <c r="A21" s="543">
        <v>4</v>
      </c>
      <c r="B21" s="539" t="s">
        <v>85</v>
      </c>
      <c r="C21" s="555" t="s">
        <v>26</v>
      </c>
      <c r="D21" s="556"/>
      <c r="E21" s="735"/>
      <c r="F21" s="735"/>
      <c r="G21" s="735"/>
      <c r="H21" s="90"/>
      <c r="I21" s="410">
        <v>2</v>
      </c>
      <c r="J21" s="559">
        <v>55000</v>
      </c>
      <c r="K21" s="560">
        <f t="shared" si="0"/>
        <v>110000</v>
      </c>
    </row>
    <row r="22" spans="1:11" ht="16.5" x14ac:dyDescent="0.3">
      <c r="A22" s="65">
        <v>5</v>
      </c>
      <c r="B22" s="539" t="s">
        <v>86</v>
      </c>
      <c r="C22" s="555" t="s">
        <v>26</v>
      </c>
      <c r="D22" s="556"/>
      <c r="E22" s="733"/>
      <c r="F22" s="733"/>
      <c r="G22" s="733"/>
      <c r="H22" s="509"/>
      <c r="I22" s="410">
        <v>12</v>
      </c>
      <c r="J22" s="559">
        <v>55000</v>
      </c>
      <c r="K22" s="560">
        <f t="shared" si="0"/>
        <v>660000</v>
      </c>
    </row>
    <row r="23" spans="1:11" ht="16.5" x14ac:dyDescent="0.3">
      <c r="A23" s="65">
        <v>6</v>
      </c>
      <c r="B23" s="539" t="s">
        <v>87</v>
      </c>
      <c r="C23" s="555" t="s">
        <v>26</v>
      </c>
      <c r="D23" s="556"/>
      <c r="E23" s="733"/>
      <c r="F23" s="733"/>
      <c r="G23" s="733"/>
      <c r="H23" s="509"/>
      <c r="I23" s="410">
        <v>5</v>
      </c>
      <c r="J23" s="559">
        <v>55000</v>
      </c>
      <c r="K23" s="560">
        <f t="shared" si="0"/>
        <v>275000</v>
      </c>
    </row>
    <row r="24" spans="1:11" ht="16.5" x14ac:dyDescent="0.3">
      <c r="A24" s="543">
        <v>7</v>
      </c>
      <c r="B24" s="539" t="s">
        <v>88</v>
      </c>
      <c r="C24" s="555" t="s">
        <v>26</v>
      </c>
      <c r="D24" s="556"/>
      <c r="E24" s="733"/>
      <c r="F24" s="733"/>
      <c r="G24" s="733"/>
      <c r="H24" s="509"/>
      <c r="I24" s="410">
        <v>3</v>
      </c>
      <c r="J24" s="559">
        <v>55000</v>
      </c>
      <c r="K24" s="560">
        <f t="shared" si="0"/>
        <v>165000</v>
      </c>
    </row>
    <row r="25" spans="1:11" ht="16.5" x14ac:dyDescent="0.3">
      <c r="A25" s="65">
        <v>8</v>
      </c>
      <c r="B25" s="540" t="s">
        <v>89</v>
      </c>
      <c r="C25" s="555" t="s">
        <v>26</v>
      </c>
      <c r="D25" s="556"/>
      <c r="E25" s="733"/>
      <c r="F25" s="733"/>
      <c r="G25" s="733"/>
      <c r="H25" s="509"/>
      <c r="I25" s="410">
        <v>4</v>
      </c>
      <c r="J25" s="559">
        <v>55000</v>
      </c>
      <c r="K25" s="560">
        <f t="shared" si="0"/>
        <v>220000</v>
      </c>
    </row>
    <row r="26" spans="1:11" ht="16.5" x14ac:dyDescent="0.3">
      <c r="A26" s="65">
        <v>9</v>
      </c>
      <c r="B26" s="539" t="s">
        <v>90</v>
      </c>
      <c r="C26" s="555" t="s">
        <v>26</v>
      </c>
      <c r="D26" s="556"/>
      <c r="E26" s="733"/>
      <c r="F26" s="733"/>
      <c r="G26" s="733"/>
      <c r="H26" s="509"/>
      <c r="I26" s="410">
        <v>7</v>
      </c>
      <c r="J26" s="559">
        <v>55000</v>
      </c>
      <c r="K26" s="560">
        <f t="shared" si="0"/>
        <v>385000</v>
      </c>
    </row>
    <row r="27" spans="1:11" ht="16.5" x14ac:dyDescent="0.3">
      <c r="A27" s="543">
        <v>10</v>
      </c>
      <c r="B27" s="539" t="s">
        <v>91</v>
      </c>
      <c r="C27" s="555" t="s">
        <v>26</v>
      </c>
      <c r="D27" s="556"/>
      <c r="E27" s="733"/>
      <c r="F27" s="733"/>
      <c r="G27" s="733"/>
      <c r="H27" s="509"/>
      <c r="I27" s="410">
        <v>7</v>
      </c>
      <c r="J27" s="559">
        <v>55000</v>
      </c>
      <c r="K27" s="560">
        <f t="shared" si="0"/>
        <v>385000</v>
      </c>
    </row>
    <row r="28" spans="1:11" ht="16.5" x14ac:dyDescent="0.3">
      <c r="A28" s="65">
        <v>11</v>
      </c>
      <c r="B28" s="539" t="s">
        <v>92</v>
      </c>
      <c r="C28" s="555" t="s">
        <v>26</v>
      </c>
      <c r="D28" s="556"/>
      <c r="E28" s="733"/>
      <c r="F28" s="733"/>
      <c r="G28" s="733"/>
      <c r="H28" s="509"/>
      <c r="I28" s="410">
        <v>12</v>
      </c>
      <c r="J28" s="559">
        <v>55000</v>
      </c>
      <c r="K28" s="560">
        <f t="shared" si="0"/>
        <v>660000</v>
      </c>
    </row>
    <row r="29" spans="1:11" ht="16.5" x14ac:dyDescent="0.3">
      <c r="A29" s="65">
        <v>12</v>
      </c>
      <c r="B29" s="539" t="s">
        <v>93</v>
      </c>
      <c r="C29" s="555" t="s">
        <v>26</v>
      </c>
      <c r="D29" s="556"/>
      <c r="E29" s="733"/>
      <c r="F29" s="733"/>
      <c r="G29" s="733"/>
      <c r="H29" s="509"/>
      <c r="I29" s="410">
        <v>2</v>
      </c>
      <c r="J29" s="559">
        <v>55000</v>
      </c>
      <c r="K29" s="560">
        <f t="shared" si="0"/>
        <v>110000</v>
      </c>
    </row>
    <row r="30" spans="1:11" ht="16.5" x14ac:dyDescent="0.3">
      <c r="A30" s="543">
        <v>13</v>
      </c>
      <c r="B30" s="539" t="s">
        <v>94</v>
      </c>
      <c r="C30" s="555" t="s">
        <v>26</v>
      </c>
      <c r="D30" s="556"/>
      <c r="E30" s="736"/>
      <c r="F30" s="736"/>
      <c r="G30" s="736"/>
      <c r="H30" s="510"/>
      <c r="I30" s="410">
        <v>22</v>
      </c>
      <c r="J30" s="559">
        <v>55000</v>
      </c>
      <c r="K30" s="560">
        <f t="shared" si="0"/>
        <v>1210000</v>
      </c>
    </row>
    <row r="31" spans="1:11" ht="16.5" x14ac:dyDescent="0.3">
      <c r="A31" s="65">
        <v>14</v>
      </c>
      <c r="B31" s="539" t="s">
        <v>95</v>
      </c>
      <c r="C31" s="555" t="s">
        <v>26</v>
      </c>
      <c r="D31" s="556"/>
      <c r="E31" s="736"/>
      <c r="F31" s="736"/>
      <c r="G31" s="736"/>
      <c r="H31" s="510"/>
      <c r="I31" s="410">
        <v>8</v>
      </c>
      <c r="J31" s="559">
        <v>55000</v>
      </c>
      <c r="K31" s="560">
        <f t="shared" si="0"/>
        <v>440000</v>
      </c>
    </row>
    <row r="32" spans="1:11" ht="16.5" x14ac:dyDescent="0.3">
      <c r="A32" s="65">
        <v>15</v>
      </c>
      <c r="B32" s="539" t="s">
        <v>96</v>
      </c>
      <c r="C32" s="555" t="s">
        <v>26</v>
      </c>
      <c r="D32" s="556"/>
      <c r="E32" s="736"/>
      <c r="F32" s="736"/>
      <c r="G32" s="736"/>
      <c r="H32" s="510"/>
      <c r="I32" s="410">
        <v>9</v>
      </c>
      <c r="J32" s="559">
        <v>55000</v>
      </c>
      <c r="K32" s="560">
        <f t="shared" si="0"/>
        <v>495000</v>
      </c>
    </row>
    <row r="33" spans="1:11" ht="16.5" x14ac:dyDescent="0.3">
      <c r="A33" s="543">
        <v>16</v>
      </c>
      <c r="B33" s="541" t="s">
        <v>97</v>
      </c>
      <c r="C33" s="555" t="s">
        <v>26</v>
      </c>
      <c r="D33" s="556"/>
      <c r="E33" s="736"/>
      <c r="F33" s="736"/>
      <c r="G33" s="736"/>
      <c r="H33" s="510"/>
      <c r="I33" s="410">
        <v>2</v>
      </c>
      <c r="J33" s="559">
        <v>55000</v>
      </c>
      <c r="K33" s="560">
        <f t="shared" si="0"/>
        <v>110000</v>
      </c>
    </row>
    <row r="34" spans="1:11" ht="16.5" x14ac:dyDescent="0.3">
      <c r="A34" s="65">
        <v>17</v>
      </c>
      <c r="B34" s="539" t="s">
        <v>98</v>
      </c>
      <c r="C34" s="555" t="s">
        <v>26</v>
      </c>
      <c r="D34" s="556"/>
      <c r="E34" s="736"/>
      <c r="F34" s="736"/>
      <c r="G34" s="736"/>
      <c r="H34" s="510"/>
      <c r="I34" s="410">
        <v>7</v>
      </c>
      <c r="J34" s="559">
        <v>55000</v>
      </c>
      <c r="K34" s="560">
        <f t="shared" si="0"/>
        <v>385000</v>
      </c>
    </row>
    <row r="35" spans="1:11" ht="16.5" x14ac:dyDescent="0.3">
      <c r="A35" s="65">
        <v>18</v>
      </c>
      <c r="B35" s="539" t="s">
        <v>99</v>
      </c>
      <c r="C35" s="555" t="s">
        <v>26</v>
      </c>
      <c r="D35" s="556"/>
      <c r="E35" s="736"/>
      <c r="F35" s="736"/>
      <c r="G35" s="736"/>
      <c r="H35" s="510"/>
      <c r="I35" s="410">
        <v>2</v>
      </c>
      <c r="J35" s="559">
        <v>55000</v>
      </c>
      <c r="K35" s="560">
        <f t="shared" si="0"/>
        <v>110000</v>
      </c>
    </row>
    <row r="36" spans="1:11" ht="16.5" x14ac:dyDescent="0.3">
      <c r="A36" s="543">
        <v>19</v>
      </c>
      <c r="B36" s="539" t="s">
        <v>100</v>
      </c>
      <c r="C36" s="555" t="s">
        <v>26</v>
      </c>
      <c r="D36" s="556"/>
      <c r="E36" s="734"/>
      <c r="F36" s="734"/>
      <c r="G36" s="734"/>
      <c r="H36" s="107"/>
      <c r="I36" s="410">
        <v>33</v>
      </c>
      <c r="J36" s="559">
        <v>55000</v>
      </c>
      <c r="K36" s="560">
        <f t="shared" si="0"/>
        <v>1815000</v>
      </c>
    </row>
    <row r="37" spans="1:11" ht="16.5" x14ac:dyDescent="0.3">
      <c r="A37" s="65">
        <v>20</v>
      </c>
      <c r="B37" s="539" t="s">
        <v>101</v>
      </c>
      <c r="C37" s="555" t="s">
        <v>26</v>
      </c>
      <c r="D37" s="556"/>
      <c r="E37" s="734"/>
      <c r="F37" s="734"/>
      <c r="G37" s="734"/>
      <c r="H37" s="107"/>
      <c r="I37" s="410">
        <v>26</v>
      </c>
      <c r="J37" s="559">
        <v>55000</v>
      </c>
      <c r="K37" s="560">
        <f t="shared" si="0"/>
        <v>1430000</v>
      </c>
    </row>
    <row r="38" spans="1:11" ht="16.5" x14ac:dyDescent="0.3">
      <c r="A38" s="65">
        <v>21</v>
      </c>
      <c r="B38" s="539" t="s">
        <v>102</v>
      </c>
      <c r="C38" s="555" t="s">
        <v>26</v>
      </c>
      <c r="D38" s="556"/>
      <c r="E38" s="734"/>
      <c r="F38" s="734"/>
      <c r="G38" s="734"/>
      <c r="H38" s="107"/>
      <c r="I38" s="410">
        <v>2</v>
      </c>
      <c r="J38" s="559">
        <v>55000</v>
      </c>
      <c r="K38" s="560">
        <f t="shared" si="0"/>
        <v>110000</v>
      </c>
    </row>
    <row r="39" spans="1:11" ht="16.5" x14ac:dyDescent="0.3">
      <c r="A39" s="543">
        <v>22</v>
      </c>
      <c r="B39" s="539" t="s">
        <v>103</v>
      </c>
      <c r="C39" s="555" t="s">
        <v>26</v>
      </c>
      <c r="D39" s="556"/>
      <c r="E39" s="734"/>
      <c r="F39" s="734"/>
      <c r="G39" s="734"/>
      <c r="H39" s="107"/>
      <c r="I39" s="410">
        <v>2</v>
      </c>
      <c r="J39" s="559">
        <v>55000</v>
      </c>
      <c r="K39" s="560">
        <f t="shared" si="0"/>
        <v>110000</v>
      </c>
    </row>
    <row r="40" spans="1:11" ht="16.5" x14ac:dyDescent="0.3">
      <c r="A40" s="65">
        <v>23</v>
      </c>
      <c r="B40" s="540" t="s">
        <v>104</v>
      </c>
      <c r="C40" s="555" t="s">
        <v>26</v>
      </c>
      <c r="D40" s="556"/>
      <c r="E40" s="735"/>
      <c r="F40" s="735"/>
      <c r="G40" s="735"/>
      <c r="H40" s="90"/>
      <c r="I40" s="411">
        <v>8</v>
      </c>
      <c r="J40" s="559">
        <v>55000</v>
      </c>
      <c r="K40" s="560">
        <f t="shared" si="0"/>
        <v>440000</v>
      </c>
    </row>
    <row r="41" spans="1:11" ht="16.5" x14ac:dyDescent="0.3">
      <c r="A41" s="65">
        <v>24</v>
      </c>
      <c r="B41" s="539" t="s">
        <v>105</v>
      </c>
      <c r="C41" s="555" t="s">
        <v>26</v>
      </c>
      <c r="D41" s="556"/>
      <c r="E41" s="735"/>
      <c r="F41" s="735"/>
      <c r="G41" s="735"/>
      <c r="H41" s="90"/>
      <c r="I41" s="411">
        <v>25</v>
      </c>
      <c r="J41" s="559">
        <v>55000</v>
      </c>
      <c r="K41" s="560">
        <f t="shared" si="0"/>
        <v>1375000</v>
      </c>
    </row>
    <row r="42" spans="1:11" ht="16.5" x14ac:dyDescent="0.3">
      <c r="A42" s="543">
        <v>25</v>
      </c>
      <c r="B42" s="539" t="s">
        <v>106</v>
      </c>
      <c r="C42" s="555" t="s">
        <v>26</v>
      </c>
      <c r="D42" s="556"/>
      <c r="E42" s="696"/>
      <c r="F42" s="697"/>
      <c r="G42" s="698"/>
      <c r="H42" s="90"/>
      <c r="I42" s="411">
        <v>317</v>
      </c>
      <c r="J42" s="559">
        <v>55000</v>
      </c>
      <c r="K42" s="560">
        <f t="shared" si="0"/>
        <v>17435000</v>
      </c>
    </row>
    <row r="43" spans="1:11" ht="16.5" x14ac:dyDescent="0.3">
      <c r="A43" s="65">
        <v>26</v>
      </c>
      <c r="B43" s="539" t="s">
        <v>107</v>
      </c>
      <c r="C43" s="555" t="s">
        <v>26</v>
      </c>
      <c r="D43" s="556"/>
      <c r="E43" s="735"/>
      <c r="F43" s="735"/>
      <c r="G43" s="735"/>
      <c r="H43" s="90"/>
      <c r="I43" s="411">
        <v>2</v>
      </c>
      <c r="J43" s="559">
        <v>55000</v>
      </c>
      <c r="K43" s="560">
        <f t="shared" si="0"/>
        <v>110000</v>
      </c>
    </row>
    <row r="44" spans="1:11" ht="16.5" x14ac:dyDescent="0.3">
      <c r="A44" s="65">
        <v>27</v>
      </c>
      <c r="B44" s="539" t="s">
        <v>108</v>
      </c>
      <c r="C44" s="555" t="s">
        <v>26</v>
      </c>
      <c r="D44" s="556"/>
      <c r="E44" s="787"/>
      <c r="F44" s="787"/>
      <c r="G44" s="787"/>
      <c r="H44" s="561"/>
      <c r="I44" s="562">
        <v>8</v>
      </c>
      <c r="J44" s="559">
        <v>55000</v>
      </c>
      <c r="K44" s="560">
        <f t="shared" si="0"/>
        <v>440000</v>
      </c>
    </row>
    <row r="45" spans="1:11" ht="16.5" x14ac:dyDescent="0.3">
      <c r="A45" s="543">
        <v>28</v>
      </c>
      <c r="B45" s="539" t="s">
        <v>109</v>
      </c>
      <c r="C45" s="555" t="s">
        <v>26</v>
      </c>
      <c r="D45" s="556"/>
      <c r="E45" s="791"/>
      <c r="F45" s="791"/>
      <c r="G45" s="791"/>
      <c r="H45" s="563"/>
      <c r="I45" s="564">
        <v>39</v>
      </c>
      <c r="J45" s="559">
        <v>55000</v>
      </c>
      <c r="K45" s="560">
        <f t="shared" si="0"/>
        <v>2145000</v>
      </c>
    </row>
    <row r="46" spans="1:11" ht="16.5" x14ac:dyDescent="0.3">
      <c r="A46" s="65">
        <v>29</v>
      </c>
      <c r="B46" s="539" t="s">
        <v>110</v>
      </c>
      <c r="C46" s="555" t="s">
        <v>26</v>
      </c>
      <c r="D46" s="556"/>
      <c r="E46" s="791"/>
      <c r="F46" s="791"/>
      <c r="G46" s="791"/>
      <c r="H46" s="563"/>
      <c r="I46" s="564">
        <v>10</v>
      </c>
      <c r="J46" s="559">
        <v>55000</v>
      </c>
      <c r="K46" s="560">
        <f t="shared" si="0"/>
        <v>550000</v>
      </c>
    </row>
    <row r="47" spans="1:11" ht="16.5" x14ac:dyDescent="0.3">
      <c r="A47" s="65">
        <v>30</v>
      </c>
      <c r="B47" s="539" t="s">
        <v>111</v>
      </c>
      <c r="C47" s="555" t="s">
        <v>26</v>
      </c>
      <c r="D47" s="556"/>
      <c r="E47" s="787"/>
      <c r="F47" s="787"/>
      <c r="G47" s="787"/>
      <c r="H47" s="561"/>
      <c r="I47" s="562">
        <v>22</v>
      </c>
      <c r="J47" s="559">
        <v>55000</v>
      </c>
      <c r="K47" s="560">
        <f t="shared" si="0"/>
        <v>1210000</v>
      </c>
    </row>
    <row r="48" spans="1:11" ht="16.5" x14ac:dyDescent="0.3">
      <c r="A48" s="543">
        <v>31</v>
      </c>
      <c r="B48" s="539" t="s">
        <v>112</v>
      </c>
      <c r="C48" s="555" t="s">
        <v>26</v>
      </c>
      <c r="D48" s="556"/>
      <c r="E48" s="787"/>
      <c r="F48" s="787"/>
      <c r="G48" s="787"/>
      <c r="H48" s="561"/>
      <c r="I48" s="562">
        <v>47</v>
      </c>
      <c r="J48" s="559">
        <v>55000</v>
      </c>
      <c r="K48" s="560">
        <f t="shared" si="0"/>
        <v>2585000</v>
      </c>
    </row>
    <row r="49" spans="1:11" ht="16.5" x14ac:dyDescent="0.3">
      <c r="A49" s="65">
        <v>32</v>
      </c>
      <c r="B49" s="539" t="s">
        <v>113</v>
      </c>
      <c r="C49" s="555" t="s">
        <v>26</v>
      </c>
      <c r="D49" s="556"/>
      <c r="E49" s="788"/>
      <c r="F49" s="788"/>
      <c r="G49" s="788"/>
      <c r="H49" s="557"/>
      <c r="I49" s="558">
        <v>8</v>
      </c>
      <c r="J49" s="559">
        <v>55000</v>
      </c>
      <c r="K49" s="560">
        <f t="shared" si="0"/>
        <v>440000</v>
      </c>
    </row>
    <row r="50" spans="1:11" ht="16.5" x14ac:dyDescent="0.3">
      <c r="A50" s="65">
        <v>33</v>
      </c>
      <c r="B50" s="540" t="s">
        <v>114</v>
      </c>
      <c r="C50" s="555" t="s">
        <v>26</v>
      </c>
      <c r="D50" s="556"/>
      <c r="E50" s="788"/>
      <c r="F50" s="788"/>
      <c r="G50" s="788"/>
      <c r="H50" s="557"/>
      <c r="I50" s="558">
        <v>38</v>
      </c>
      <c r="J50" s="559">
        <v>55000</v>
      </c>
      <c r="K50" s="560">
        <f>IF((C50)&gt;0,SUM(J50*I50),"")</f>
        <v>2090000</v>
      </c>
    </row>
    <row r="51" spans="1:11" ht="16.5" x14ac:dyDescent="0.3">
      <c r="A51" s="543">
        <v>34</v>
      </c>
      <c r="B51" s="539" t="s">
        <v>115</v>
      </c>
      <c r="C51" s="555" t="s">
        <v>26</v>
      </c>
      <c r="D51" s="556"/>
      <c r="E51" s="788"/>
      <c r="F51" s="788"/>
      <c r="G51" s="788"/>
      <c r="H51" s="557"/>
      <c r="I51" s="558">
        <v>8</v>
      </c>
      <c r="J51" s="559">
        <v>55000</v>
      </c>
      <c r="K51" s="560">
        <f>IF((C51)&gt;0,SUM(J51*I51),"")</f>
        <v>440000</v>
      </c>
    </row>
    <row r="52" spans="1:11" ht="16.5" x14ac:dyDescent="0.3">
      <c r="A52" s="65">
        <v>35</v>
      </c>
      <c r="B52" s="539" t="s">
        <v>116</v>
      </c>
      <c r="C52" s="555" t="s">
        <v>26</v>
      </c>
      <c r="D52" s="556"/>
      <c r="E52" s="789"/>
      <c r="F52" s="789"/>
      <c r="G52" s="789"/>
      <c r="H52" s="565"/>
      <c r="I52" s="566">
        <v>4</v>
      </c>
      <c r="J52" s="559">
        <v>55000</v>
      </c>
      <c r="K52" s="560">
        <f>IF((C52)&gt;0,SUM(J52*I52),"")</f>
        <v>220000</v>
      </c>
    </row>
    <row r="53" spans="1:11" ht="16.5" x14ac:dyDescent="0.3">
      <c r="A53" s="65">
        <v>36</v>
      </c>
      <c r="B53" s="539" t="s">
        <v>117</v>
      </c>
      <c r="C53" s="555" t="s">
        <v>26</v>
      </c>
      <c r="D53" s="556"/>
      <c r="E53" s="790"/>
      <c r="F53" s="790"/>
      <c r="G53" s="790"/>
      <c r="H53" s="567"/>
      <c r="I53" s="566">
        <v>5</v>
      </c>
      <c r="J53" s="559">
        <v>55000</v>
      </c>
      <c r="K53" s="560">
        <f>IF((C53)&gt;0,SUM(J53*I53),"")</f>
        <v>275000</v>
      </c>
    </row>
    <row r="54" spans="1:11" ht="16.5" x14ac:dyDescent="0.3">
      <c r="A54" s="543">
        <v>37</v>
      </c>
      <c r="B54" s="539" t="s">
        <v>118</v>
      </c>
      <c r="C54" s="555" t="s">
        <v>26</v>
      </c>
      <c r="D54" s="556"/>
      <c r="E54" s="790"/>
      <c r="F54" s="790"/>
      <c r="G54" s="790"/>
      <c r="H54" s="567"/>
      <c r="I54" s="566">
        <v>2</v>
      </c>
      <c r="J54" s="559">
        <v>55000</v>
      </c>
      <c r="K54" s="560">
        <f>IF((C54)&gt;0,SUM(J54*I54),"")</f>
        <v>110000</v>
      </c>
    </row>
    <row r="55" spans="1:11" ht="15.75" x14ac:dyDescent="0.25">
      <c r="A55" s="69"/>
      <c r="B55" s="66"/>
      <c r="C55" s="66"/>
      <c r="D55" s="66"/>
      <c r="E55" s="67"/>
      <c r="F55" s="67"/>
      <c r="G55" s="67"/>
      <c r="H55" s="67"/>
      <c r="I55" s="306"/>
      <c r="J55" s="68" t="s">
        <v>245</v>
      </c>
      <c r="K55" s="651">
        <f>SUM(K18:K54)</f>
        <v>43010000</v>
      </c>
    </row>
    <row r="56" spans="1:11" ht="15.75" x14ac:dyDescent="0.25">
      <c r="A56" s="783" t="s">
        <v>229</v>
      </c>
      <c r="B56" s="783"/>
      <c r="C56" s="66"/>
      <c r="E56" s="71"/>
      <c r="F56" s="71"/>
      <c r="G56" s="71"/>
      <c r="H56" s="71"/>
      <c r="I56" s="306"/>
      <c r="J56" s="68" t="s">
        <v>224</v>
      </c>
      <c r="K56" s="652">
        <v>20000</v>
      </c>
    </row>
    <row r="57" spans="1:11" ht="15.75" x14ac:dyDescent="0.25">
      <c r="A57" s="783"/>
      <c r="B57" s="783"/>
      <c r="C57" s="66"/>
      <c r="E57" s="71"/>
      <c r="F57" s="71"/>
      <c r="G57" s="71"/>
      <c r="H57" s="71"/>
      <c r="I57" s="306"/>
      <c r="J57" s="68" t="s">
        <v>68</v>
      </c>
      <c r="K57" s="652">
        <f>(K55+K56)*5%</f>
        <v>2151500</v>
      </c>
    </row>
    <row r="58" spans="1:11" ht="15.75" x14ac:dyDescent="0.25">
      <c r="A58" s="70"/>
      <c r="B58" s="66"/>
      <c r="C58" s="66"/>
      <c r="E58" s="71"/>
      <c r="F58" s="71"/>
      <c r="G58" s="71"/>
      <c r="H58" s="71"/>
      <c r="I58" s="306"/>
      <c r="J58" s="68" t="s">
        <v>66</v>
      </c>
      <c r="K58" s="650">
        <f>K55+K56+K57</f>
        <v>45181500</v>
      </c>
    </row>
    <row r="59" spans="1:11" ht="15" customHeight="1" thickBot="1" x14ac:dyDescent="0.3">
      <c r="A59" s="97"/>
      <c r="B59" s="98"/>
      <c r="C59" s="98"/>
      <c r="D59" s="99"/>
      <c r="E59" s="100"/>
      <c r="F59" s="100"/>
      <c r="G59" s="100"/>
      <c r="H59" s="100"/>
      <c r="I59" s="379"/>
      <c r="J59" s="101"/>
      <c r="K59" s="102"/>
    </row>
    <row r="60" spans="1:11" x14ac:dyDescent="0.25">
      <c r="A60" s="705" t="s">
        <v>23</v>
      </c>
      <c r="B60" s="706"/>
      <c r="C60" s="706"/>
      <c r="D60" s="706"/>
      <c r="E60" s="706"/>
      <c r="F60" s="706"/>
      <c r="G60" s="706"/>
      <c r="H60" s="706"/>
      <c r="I60" s="706"/>
      <c r="J60" s="706"/>
      <c r="K60" s="707"/>
    </row>
    <row r="61" spans="1:11" ht="15.75" thickBot="1" x14ac:dyDescent="0.3">
      <c r="A61" s="708"/>
      <c r="B61" s="709"/>
      <c r="C61" s="709"/>
      <c r="D61" s="709"/>
      <c r="E61" s="709"/>
      <c r="F61" s="709"/>
      <c r="G61" s="709"/>
      <c r="H61" s="709"/>
      <c r="I61" s="709"/>
      <c r="J61" s="709"/>
      <c r="K61" s="710"/>
    </row>
  </sheetData>
  <mergeCells count="48">
    <mergeCell ref="E47:G47"/>
    <mergeCell ref="E48:G48"/>
    <mergeCell ref="E50:G50"/>
    <mergeCell ref="E39:G39"/>
    <mergeCell ref="E40:G40"/>
    <mergeCell ref="E41:G41"/>
    <mergeCell ref="E43:G43"/>
    <mergeCell ref="A60:K61"/>
    <mergeCell ref="E51:G51"/>
    <mergeCell ref="E52:G52"/>
    <mergeCell ref="E53:G53"/>
    <mergeCell ref="E54:G54"/>
    <mergeCell ref="E31:G31"/>
    <mergeCell ref="E32:G32"/>
    <mergeCell ref="E49:G49"/>
    <mergeCell ref="E34:G34"/>
    <mergeCell ref="E35:G35"/>
    <mergeCell ref="E36:G36"/>
    <mergeCell ref="E37:G37"/>
    <mergeCell ref="E42:G42"/>
    <mergeCell ref="E45:G45"/>
    <mergeCell ref="E46:G46"/>
    <mergeCell ref="E21:G21"/>
    <mergeCell ref="E22:G22"/>
    <mergeCell ref="E44:G44"/>
    <mergeCell ref="E24:G24"/>
    <mergeCell ref="E25:G25"/>
    <mergeCell ref="E38:G38"/>
    <mergeCell ref="E27:G27"/>
    <mergeCell ref="E28:G28"/>
    <mergeCell ref="E29:G29"/>
    <mergeCell ref="E30:G30"/>
    <mergeCell ref="A15:E15"/>
    <mergeCell ref="G15:H15"/>
    <mergeCell ref="E17:G17"/>
    <mergeCell ref="E19:G19"/>
    <mergeCell ref="E20:G20"/>
    <mergeCell ref="E18:G18"/>
    <mergeCell ref="A56:B57"/>
    <mergeCell ref="E23:G23"/>
    <mergeCell ref="E1:K1"/>
    <mergeCell ref="D12:E12"/>
    <mergeCell ref="F12:G12"/>
    <mergeCell ref="A13:K13"/>
    <mergeCell ref="A14:E14"/>
    <mergeCell ref="G14:H14"/>
    <mergeCell ref="E33:G33"/>
    <mergeCell ref="E26:G26"/>
  </mergeCells>
  <pageMargins left="0.70866141732283472" right="0.70866141732283472" top="0.74803149606299213" bottom="0.74803149606299213" header="0.31496062992125984" footer="0.31496062992125984"/>
  <pageSetup scale="70" orientation="portrait" horizontalDpi="300" verticalDpi="3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7"/>
  <sheetViews>
    <sheetView view="pageBreakPreview" topLeftCell="A4" zoomScale="80" zoomScaleNormal="100" zoomScaleSheetLayoutView="80" workbookViewId="0">
      <selection activeCell="K12" sqref="D12:K12"/>
    </sheetView>
  </sheetViews>
  <sheetFormatPr defaultRowHeight="15" x14ac:dyDescent="0.25"/>
  <cols>
    <col min="2" max="2" width="13.42578125" customWidth="1"/>
    <col min="3" max="3" width="19.28515625" customWidth="1"/>
    <col min="4" max="4" width="12.5703125" customWidth="1"/>
    <col min="8" max="8" width="17.42578125" customWidth="1"/>
    <col min="9" max="9" width="15.5703125" style="380" customWidth="1"/>
    <col min="10" max="10" width="15" customWidth="1"/>
    <col min="11" max="11" width="23.5703125" customWidth="1"/>
  </cols>
  <sheetData>
    <row r="1" spans="1:11" ht="46.5" x14ac:dyDescent="0.55000000000000004">
      <c r="A1" s="1"/>
      <c r="B1" s="2"/>
      <c r="C1" s="2"/>
      <c r="D1" s="2"/>
      <c r="E1" s="712" t="s">
        <v>0</v>
      </c>
      <c r="F1" s="712"/>
      <c r="G1" s="712"/>
      <c r="H1" s="712"/>
      <c r="I1" s="712"/>
      <c r="J1" s="712"/>
      <c r="K1" s="713"/>
    </row>
    <row r="2" spans="1:11" ht="17.25" x14ac:dyDescent="0.3">
      <c r="A2" s="3"/>
      <c r="B2" s="4"/>
      <c r="C2" s="4"/>
      <c r="D2" s="4"/>
      <c r="E2" s="5"/>
      <c r="F2" s="5"/>
      <c r="G2" s="6"/>
      <c r="H2" s="6"/>
      <c r="I2" s="388"/>
      <c r="J2" s="7"/>
      <c r="K2" s="8"/>
    </row>
    <row r="3" spans="1:11" ht="20.25" x14ac:dyDescent="0.3">
      <c r="A3" s="9"/>
      <c r="B3" s="10"/>
      <c r="C3" s="10"/>
      <c r="D3" s="10"/>
      <c r="E3" s="11"/>
      <c r="F3" s="12"/>
      <c r="G3" s="12"/>
      <c r="H3" s="12"/>
      <c r="I3" s="389"/>
      <c r="J3" s="13"/>
      <c r="K3" s="14"/>
    </row>
    <row r="4" spans="1:11" x14ac:dyDescent="0.25">
      <c r="A4" s="9"/>
      <c r="B4" s="10"/>
      <c r="C4" s="15"/>
      <c r="D4" s="15"/>
      <c r="E4" s="16"/>
      <c r="F4" s="15"/>
      <c r="G4" s="15"/>
      <c r="H4" s="15"/>
      <c r="I4" s="390"/>
      <c r="J4" s="17"/>
      <c r="K4" s="18"/>
    </row>
    <row r="5" spans="1:11" ht="15.75" x14ac:dyDescent="0.3">
      <c r="A5" s="19"/>
      <c r="B5" s="15"/>
      <c r="C5" s="15"/>
      <c r="D5" s="20"/>
      <c r="E5" s="21"/>
      <c r="F5" s="20"/>
      <c r="G5" s="22"/>
      <c r="H5" s="22"/>
      <c r="I5" s="390"/>
      <c r="J5" s="17"/>
      <c r="K5" s="18"/>
    </row>
    <row r="6" spans="1:11" ht="15.75" x14ac:dyDescent="0.3">
      <c r="A6" s="23"/>
      <c r="B6" s="24"/>
      <c r="C6" s="24"/>
      <c r="D6" s="24"/>
      <c r="E6" s="22"/>
      <c r="F6" s="22"/>
      <c r="G6" s="22"/>
      <c r="H6" s="22"/>
      <c r="I6" s="390"/>
      <c r="J6" s="17"/>
      <c r="K6" s="25">
        <f ca="1">TODAY()</f>
        <v>41556</v>
      </c>
    </row>
    <row r="7" spans="1:11" ht="16.5" x14ac:dyDescent="0.3">
      <c r="A7" s="23"/>
      <c r="B7" s="24"/>
      <c r="C7" s="24"/>
      <c r="D7" s="24"/>
      <c r="E7" s="20"/>
      <c r="F7" s="22"/>
      <c r="G7" s="26"/>
      <c r="H7" s="26"/>
      <c r="I7" s="391"/>
      <c r="J7" s="27"/>
      <c r="K7" s="28" t="s">
        <v>3</v>
      </c>
    </row>
    <row r="8" spans="1:11" x14ac:dyDescent="0.25">
      <c r="A8" s="29"/>
      <c r="B8" s="80"/>
      <c r="C8" s="30" t="s">
        <v>71</v>
      </c>
      <c r="D8" s="31" t="s">
        <v>149</v>
      </c>
      <c r="E8" s="32"/>
      <c r="F8" s="31"/>
      <c r="G8" s="32"/>
      <c r="H8" s="32"/>
      <c r="I8" s="392"/>
      <c r="J8" s="33"/>
      <c r="K8" s="34"/>
    </row>
    <row r="9" spans="1:11" x14ac:dyDescent="0.25">
      <c r="A9" s="35"/>
      <c r="B9" s="36"/>
      <c r="C9" s="37" t="s">
        <v>4</v>
      </c>
      <c r="D9" s="38" t="s">
        <v>150</v>
      </c>
      <c r="E9" s="39"/>
      <c r="F9" s="38"/>
      <c r="G9" s="39"/>
      <c r="H9" s="39"/>
      <c r="I9" s="393"/>
      <c r="J9" s="40"/>
      <c r="K9" s="41"/>
    </row>
    <row r="10" spans="1:11" x14ac:dyDescent="0.25">
      <c r="A10" s="42"/>
      <c r="B10" s="81"/>
      <c r="C10" s="37"/>
      <c r="D10" s="44" t="s">
        <v>151</v>
      </c>
      <c r="E10" s="45"/>
      <c r="F10" s="44"/>
      <c r="G10" s="45"/>
      <c r="H10" s="45"/>
      <c r="I10" s="393"/>
      <c r="J10" s="40"/>
      <c r="K10" s="41"/>
    </row>
    <row r="11" spans="1:11" ht="15.75" x14ac:dyDescent="0.3">
      <c r="A11" s="47"/>
      <c r="B11" s="43"/>
      <c r="C11" s="48" t="s">
        <v>5</v>
      </c>
      <c r="D11" s="44" t="s">
        <v>152</v>
      </c>
      <c r="E11" s="45"/>
      <c r="F11" s="44"/>
      <c r="G11" s="45"/>
      <c r="H11" s="45"/>
      <c r="I11" s="393"/>
      <c r="J11" s="40"/>
      <c r="K11" s="41"/>
    </row>
    <row r="12" spans="1:11" ht="15.75" x14ac:dyDescent="0.3">
      <c r="A12" s="47"/>
      <c r="B12" s="43"/>
      <c r="C12" s="48" t="s">
        <v>15</v>
      </c>
      <c r="D12" s="49" t="s">
        <v>153</v>
      </c>
      <c r="E12" s="45"/>
      <c r="F12" s="49"/>
      <c r="G12" s="45"/>
      <c r="H12" s="45"/>
      <c r="I12" s="393"/>
      <c r="J12" s="40"/>
      <c r="K12" s="41"/>
    </row>
    <row r="13" spans="1:11" ht="15.75" x14ac:dyDescent="0.3">
      <c r="A13" s="50"/>
      <c r="B13" s="43"/>
      <c r="C13" s="74" t="s">
        <v>6</v>
      </c>
      <c r="D13" s="714"/>
      <c r="E13" s="714"/>
      <c r="F13" s="714"/>
      <c r="G13" s="714"/>
      <c r="H13" s="92"/>
      <c r="I13" s="394"/>
      <c r="J13" s="51"/>
      <c r="K13" s="51"/>
    </row>
    <row r="14" spans="1:11" ht="15.75" x14ac:dyDescent="0.3">
      <c r="A14" s="715"/>
      <c r="B14" s="716"/>
      <c r="C14" s="716"/>
      <c r="D14" s="716"/>
      <c r="E14" s="716"/>
      <c r="F14" s="716"/>
      <c r="G14" s="716"/>
      <c r="H14" s="716"/>
      <c r="I14" s="716"/>
      <c r="J14" s="716"/>
      <c r="K14" s="717"/>
    </row>
    <row r="15" spans="1:11" x14ac:dyDescent="0.25">
      <c r="A15" s="718" t="s">
        <v>7</v>
      </c>
      <c r="B15" s="719"/>
      <c r="C15" s="719"/>
      <c r="D15" s="719"/>
      <c r="E15" s="720"/>
      <c r="F15" s="52" t="s">
        <v>16</v>
      </c>
      <c r="G15" s="721" t="s">
        <v>17</v>
      </c>
      <c r="H15" s="719"/>
      <c r="I15" s="406"/>
      <c r="J15" s="95"/>
      <c r="K15" s="53" t="s">
        <v>8</v>
      </c>
    </row>
    <row r="16" spans="1:11" ht="15.75" x14ac:dyDescent="0.3">
      <c r="A16" s="722" t="s">
        <v>24</v>
      </c>
      <c r="B16" s="723"/>
      <c r="C16" s="723"/>
      <c r="D16" s="723"/>
      <c r="E16" s="724"/>
      <c r="F16" s="54"/>
      <c r="G16" s="725"/>
      <c r="H16" s="726"/>
      <c r="I16" s="407"/>
      <c r="J16" s="88"/>
      <c r="K16" s="55" t="s">
        <v>9</v>
      </c>
    </row>
    <row r="17" spans="1:11" ht="15.75" x14ac:dyDescent="0.3">
      <c r="A17" s="56"/>
      <c r="B17" s="57"/>
      <c r="C17" s="57"/>
      <c r="D17" s="57"/>
      <c r="E17" s="58"/>
      <c r="F17" s="59"/>
      <c r="G17" s="59"/>
      <c r="H17" s="59"/>
      <c r="I17" s="408"/>
      <c r="J17" s="60"/>
      <c r="K17" s="61"/>
    </row>
    <row r="18" spans="1:11" x14ac:dyDescent="0.25">
      <c r="A18" s="62" t="s">
        <v>18</v>
      </c>
      <c r="B18" s="62" t="s">
        <v>27</v>
      </c>
      <c r="C18" s="62" t="s">
        <v>19</v>
      </c>
      <c r="D18" s="62" t="s">
        <v>20</v>
      </c>
      <c r="E18" s="711" t="s">
        <v>21</v>
      </c>
      <c r="F18" s="711"/>
      <c r="G18" s="711"/>
      <c r="H18" s="96" t="s">
        <v>10</v>
      </c>
      <c r="I18" s="409" t="s">
        <v>25</v>
      </c>
      <c r="J18" s="52" t="s">
        <v>28</v>
      </c>
      <c r="K18" s="52" t="s">
        <v>22</v>
      </c>
    </row>
    <row r="19" spans="1:11" x14ac:dyDescent="0.25">
      <c r="A19" s="543">
        <v>1</v>
      </c>
      <c r="B19" s="568" t="s">
        <v>82</v>
      </c>
      <c r="C19" s="538" t="s">
        <v>26</v>
      </c>
      <c r="D19" s="548"/>
      <c r="E19" s="773"/>
      <c r="F19" s="773"/>
      <c r="G19" s="546"/>
      <c r="H19" s="546"/>
      <c r="I19" s="547">
        <v>3</v>
      </c>
      <c r="J19" s="536">
        <v>55000</v>
      </c>
      <c r="K19" s="537">
        <f t="shared" ref="K19:K35" si="0">IF((C19)&gt;0,SUM(J19*I19),"")</f>
        <v>165000</v>
      </c>
    </row>
    <row r="20" spans="1:11" x14ac:dyDescent="0.25">
      <c r="A20" s="65">
        <v>2</v>
      </c>
      <c r="B20" s="568" t="s">
        <v>83</v>
      </c>
      <c r="C20" s="538" t="s">
        <v>26</v>
      </c>
      <c r="D20" s="548"/>
      <c r="E20" s="735"/>
      <c r="F20" s="735"/>
      <c r="G20" s="735"/>
      <c r="H20" s="90"/>
      <c r="I20" s="410">
        <v>14</v>
      </c>
      <c r="J20" s="536">
        <v>55000</v>
      </c>
      <c r="K20" s="537">
        <f t="shared" si="0"/>
        <v>770000</v>
      </c>
    </row>
    <row r="21" spans="1:11" x14ac:dyDescent="0.25">
      <c r="A21" s="65">
        <v>3</v>
      </c>
      <c r="B21" s="568" t="s">
        <v>86</v>
      </c>
      <c r="C21" s="538" t="s">
        <v>26</v>
      </c>
      <c r="D21" s="548"/>
      <c r="E21" s="733"/>
      <c r="F21" s="733"/>
      <c r="G21" s="733"/>
      <c r="H21" s="509"/>
      <c r="I21" s="410">
        <v>1</v>
      </c>
      <c r="J21" s="536">
        <v>55000</v>
      </c>
      <c r="K21" s="537">
        <f t="shared" si="0"/>
        <v>55000</v>
      </c>
    </row>
    <row r="22" spans="1:11" x14ac:dyDescent="0.25">
      <c r="A22" s="543">
        <v>4</v>
      </c>
      <c r="B22" s="568" t="s">
        <v>94</v>
      </c>
      <c r="C22" s="538" t="s">
        <v>26</v>
      </c>
      <c r="D22" s="548"/>
      <c r="E22" s="736"/>
      <c r="F22" s="736"/>
      <c r="G22" s="736"/>
      <c r="H22" s="510"/>
      <c r="I22" s="410">
        <v>10</v>
      </c>
      <c r="J22" s="536">
        <v>55000</v>
      </c>
      <c r="K22" s="537">
        <f t="shared" si="0"/>
        <v>550000</v>
      </c>
    </row>
    <row r="23" spans="1:11" x14ac:dyDescent="0.25">
      <c r="A23" s="65">
        <v>5</v>
      </c>
      <c r="B23" s="568" t="s">
        <v>95</v>
      </c>
      <c r="C23" s="538" t="s">
        <v>26</v>
      </c>
      <c r="D23" s="548"/>
      <c r="E23" s="736"/>
      <c r="F23" s="736"/>
      <c r="G23" s="736"/>
      <c r="H23" s="510"/>
      <c r="I23" s="410">
        <v>1</v>
      </c>
      <c r="J23" s="536">
        <v>55000</v>
      </c>
      <c r="K23" s="537">
        <f t="shared" si="0"/>
        <v>55000</v>
      </c>
    </row>
    <row r="24" spans="1:11" x14ac:dyDescent="0.25">
      <c r="A24" s="65">
        <v>6</v>
      </c>
      <c r="B24" s="568" t="s">
        <v>96</v>
      </c>
      <c r="C24" s="538" t="s">
        <v>26</v>
      </c>
      <c r="D24" s="548"/>
      <c r="E24" s="736"/>
      <c r="F24" s="736"/>
      <c r="G24" s="736"/>
      <c r="H24" s="510"/>
      <c r="I24" s="410">
        <v>2</v>
      </c>
      <c r="J24" s="536">
        <v>55000</v>
      </c>
      <c r="K24" s="537">
        <f t="shared" si="0"/>
        <v>110000</v>
      </c>
    </row>
    <row r="25" spans="1:11" x14ac:dyDescent="0.25">
      <c r="A25" s="543">
        <v>7</v>
      </c>
      <c r="B25" s="568" t="s">
        <v>98</v>
      </c>
      <c r="C25" s="538" t="s">
        <v>26</v>
      </c>
      <c r="D25" s="548"/>
      <c r="E25" s="736"/>
      <c r="F25" s="736"/>
      <c r="G25" s="736"/>
      <c r="H25" s="510"/>
      <c r="I25" s="410">
        <v>2</v>
      </c>
      <c r="J25" s="536">
        <v>55000</v>
      </c>
      <c r="K25" s="537">
        <f t="shared" si="0"/>
        <v>110000</v>
      </c>
    </row>
    <row r="26" spans="1:11" x14ac:dyDescent="0.25">
      <c r="A26" s="65">
        <v>8</v>
      </c>
      <c r="B26" s="568" t="s">
        <v>100</v>
      </c>
      <c r="C26" s="538" t="s">
        <v>26</v>
      </c>
      <c r="D26" s="548"/>
      <c r="E26" s="734"/>
      <c r="F26" s="734"/>
      <c r="G26" s="734"/>
      <c r="H26" s="107"/>
      <c r="I26" s="410">
        <v>4</v>
      </c>
      <c r="J26" s="536">
        <v>55000</v>
      </c>
      <c r="K26" s="537">
        <f t="shared" si="0"/>
        <v>220000</v>
      </c>
    </row>
    <row r="27" spans="1:11" x14ac:dyDescent="0.25">
      <c r="A27" s="65">
        <v>9</v>
      </c>
      <c r="B27" s="568" t="s">
        <v>101</v>
      </c>
      <c r="C27" s="538" t="s">
        <v>26</v>
      </c>
      <c r="D27" s="548"/>
      <c r="E27" s="734"/>
      <c r="F27" s="734"/>
      <c r="G27" s="734"/>
      <c r="H27" s="107"/>
      <c r="I27" s="410">
        <v>8</v>
      </c>
      <c r="J27" s="536">
        <v>55000</v>
      </c>
      <c r="K27" s="537">
        <f t="shared" si="0"/>
        <v>440000</v>
      </c>
    </row>
    <row r="28" spans="1:11" x14ac:dyDescent="0.25">
      <c r="A28" s="543">
        <v>10</v>
      </c>
      <c r="B28" s="568" t="s">
        <v>103</v>
      </c>
      <c r="C28" s="538" t="s">
        <v>26</v>
      </c>
      <c r="D28" s="548"/>
      <c r="E28" s="734"/>
      <c r="F28" s="734"/>
      <c r="G28" s="734"/>
      <c r="H28" s="107"/>
      <c r="I28" s="410">
        <v>1</v>
      </c>
      <c r="J28" s="536">
        <v>55000</v>
      </c>
      <c r="K28" s="537">
        <f t="shared" si="0"/>
        <v>55000</v>
      </c>
    </row>
    <row r="29" spans="1:11" x14ac:dyDescent="0.25">
      <c r="A29" s="65">
        <v>11</v>
      </c>
      <c r="B29" s="568" t="s">
        <v>105</v>
      </c>
      <c r="C29" s="538" t="s">
        <v>26</v>
      </c>
      <c r="D29" s="548"/>
      <c r="E29" s="735"/>
      <c r="F29" s="735"/>
      <c r="G29" s="735"/>
      <c r="H29" s="90"/>
      <c r="I29" s="411">
        <v>1</v>
      </c>
      <c r="J29" s="536">
        <v>55000</v>
      </c>
      <c r="K29" s="537">
        <f t="shared" si="0"/>
        <v>55000</v>
      </c>
    </row>
    <row r="30" spans="1:11" x14ac:dyDescent="0.25">
      <c r="A30" s="65">
        <v>12</v>
      </c>
      <c r="B30" s="568" t="s">
        <v>106</v>
      </c>
      <c r="C30" s="538" t="s">
        <v>26</v>
      </c>
      <c r="D30" s="548"/>
      <c r="E30" s="696"/>
      <c r="F30" s="697"/>
      <c r="G30" s="698"/>
      <c r="H30" s="90"/>
      <c r="I30" s="411">
        <v>33</v>
      </c>
      <c r="J30" s="536">
        <v>55000</v>
      </c>
      <c r="K30" s="537">
        <f t="shared" si="0"/>
        <v>1815000</v>
      </c>
    </row>
    <row r="31" spans="1:11" x14ac:dyDescent="0.25">
      <c r="A31" s="543">
        <v>13</v>
      </c>
      <c r="B31" s="568" t="s">
        <v>109</v>
      </c>
      <c r="C31" s="538" t="s">
        <v>26</v>
      </c>
      <c r="D31" s="548"/>
      <c r="E31" s="782"/>
      <c r="F31" s="782"/>
      <c r="G31" s="782"/>
      <c r="H31" s="550"/>
      <c r="I31" s="551">
        <v>2</v>
      </c>
      <c r="J31" s="536">
        <v>55000</v>
      </c>
      <c r="K31" s="537">
        <f t="shared" si="0"/>
        <v>110000</v>
      </c>
    </row>
    <row r="32" spans="1:11" x14ac:dyDescent="0.25">
      <c r="A32" s="65">
        <v>14</v>
      </c>
      <c r="B32" s="568" t="s">
        <v>110</v>
      </c>
      <c r="C32" s="538" t="s">
        <v>26</v>
      </c>
      <c r="D32" s="548"/>
      <c r="E32" s="782"/>
      <c r="F32" s="782"/>
      <c r="G32" s="782"/>
      <c r="H32" s="550"/>
      <c r="I32" s="551">
        <v>1</v>
      </c>
      <c r="J32" s="536">
        <v>55000</v>
      </c>
      <c r="K32" s="537">
        <f t="shared" si="0"/>
        <v>55000</v>
      </c>
    </row>
    <row r="33" spans="1:11" x14ac:dyDescent="0.25">
      <c r="A33" s="65">
        <v>15</v>
      </c>
      <c r="B33" s="568" t="s">
        <v>111</v>
      </c>
      <c r="C33" s="538" t="s">
        <v>26</v>
      </c>
      <c r="D33" s="548"/>
      <c r="E33" s="772"/>
      <c r="F33" s="772"/>
      <c r="G33" s="772"/>
      <c r="H33" s="549"/>
      <c r="I33" s="411">
        <v>4</v>
      </c>
      <c r="J33" s="536">
        <v>55000</v>
      </c>
      <c r="K33" s="537">
        <f t="shared" si="0"/>
        <v>220000</v>
      </c>
    </row>
    <row r="34" spans="1:11" x14ac:dyDescent="0.25">
      <c r="A34" s="543">
        <v>16</v>
      </c>
      <c r="B34" s="568" t="s">
        <v>112</v>
      </c>
      <c r="C34" s="538" t="s">
        <v>26</v>
      </c>
      <c r="D34" s="548"/>
      <c r="E34" s="772"/>
      <c r="F34" s="772"/>
      <c r="G34" s="772"/>
      <c r="H34" s="549"/>
      <c r="I34" s="411">
        <v>7</v>
      </c>
      <c r="J34" s="536">
        <v>55000</v>
      </c>
      <c r="K34" s="537">
        <f t="shared" si="0"/>
        <v>385000</v>
      </c>
    </row>
    <row r="35" spans="1:11" x14ac:dyDescent="0.25">
      <c r="A35" s="65">
        <v>17</v>
      </c>
      <c r="B35" s="568" t="s">
        <v>113</v>
      </c>
      <c r="C35" s="538" t="s">
        <v>26</v>
      </c>
      <c r="D35" s="548"/>
      <c r="E35" s="773"/>
      <c r="F35" s="773"/>
      <c r="G35" s="773"/>
      <c r="H35" s="546"/>
      <c r="I35" s="547">
        <v>1</v>
      </c>
      <c r="J35" s="536">
        <v>55000</v>
      </c>
      <c r="K35" s="537">
        <f t="shared" si="0"/>
        <v>55000</v>
      </c>
    </row>
    <row r="36" spans="1:11" x14ac:dyDescent="0.25">
      <c r="A36" s="65">
        <v>18</v>
      </c>
      <c r="B36" s="569" t="s">
        <v>114</v>
      </c>
      <c r="C36" s="538" t="s">
        <v>26</v>
      </c>
      <c r="D36" s="548"/>
      <c r="E36" s="773"/>
      <c r="F36" s="773"/>
      <c r="G36" s="773"/>
      <c r="H36" s="546"/>
      <c r="I36" s="547">
        <v>9</v>
      </c>
      <c r="J36" s="536">
        <v>55000</v>
      </c>
      <c r="K36" s="537">
        <f>IF((C36)&gt;0,SUM(J36*I36),"")</f>
        <v>495000</v>
      </c>
    </row>
    <row r="37" spans="1:11" x14ac:dyDescent="0.25">
      <c r="A37" s="543">
        <v>19</v>
      </c>
      <c r="B37" s="568" t="s">
        <v>115</v>
      </c>
      <c r="C37" s="538" t="s">
        <v>26</v>
      </c>
      <c r="D37" s="548"/>
      <c r="E37" s="773"/>
      <c r="F37" s="773"/>
      <c r="G37" s="773"/>
      <c r="H37" s="546"/>
      <c r="I37" s="547">
        <v>2</v>
      </c>
      <c r="J37" s="536">
        <v>55000</v>
      </c>
      <c r="K37" s="537">
        <f>IF((C37)&gt;0,SUM(J37*I37),"")</f>
        <v>110000</v>
      </c>
    </row>
    <row r="38" spans="1:11" x14ac:dyDescent="0.25">
      <c r="A38" s="65">
        <v>20</v>
      </c>
      <c r="B38" s="568" t="s">
        <v>118</v>
      </c>
      <c r="C38" s="538" t="s">
        <v>26</v>
      </c>
      <c r="D38" s="548"/>
      <c r="E38" s="781"/>
      <c r="F38" s="781"/>
      <c r="G38" s="781"/>
      <c r="H38" s="554"/>
      <c r="I38" s="553">
        <v>1</v>
      </c>
      <c r="J38" s="536">
        <v>55000</v>
      </c>
      <c r="K38" s="537">
        <f>IF((C38)&gt;0,SUM(J38*I38),"")</f>
        <v>55000</v>
      </c>
    </row>
    <row r="39" spans="1:11" ht="15.75" x14ac:dyDescent="0.25">
      <c r="A39" s="69" t="s">
        <v>69</v>
      </c>
      <c r="B39" s="66"/>
      <c r="C39" s="66"/>
      <c r="D39" s="66"/>
      <c r="E39" s="67"/>
      <c r="F39" s="67"/>
      <c r="G39" s="67"/>
      <c r="H39" s="67"/>
      <c r="I39" s="306"/>
      <c r="J39" s="68"/>
      <c r="K39" s="506">
        <f>SUM(K19:K38)</f>
        <v>5885000</v>
      </c>
    </row>
    <row r="40" spans="1:11" ht="15.75" x14ac:dyDescent="0.25">
      <c r="A40" s="70" t="s">
        <v>67</v>
      </c>
      <c r="B40" s="70"/>
      <c r="C40" s="66"/>
      <c r="E40" s="71"/>
      <c r="F40" s="71"/>
      <c r="G40" s="71"/>
      <c r="H40" s="71"/>
      <c r="I40" s="306"/>
      <c r="J40" s="68"/>
      <c r="K40" s="507">
        <v>20000</v>
      </c>
    </row>
    <row r="41" spans="1:11" ht="15.75" x14ac:dyDescent="0.25">
      <c r="A41" s="70" t="s">
        <v>68</v>
      </c>
      <c r="B41" s="66"/>
      <c r="C41" s="66"/>
      <c r="E41" s="71"/>
      <c r="F41" s="71"/>
      <c r="G41" s="71"/>
      <c r="H41" s="71"/>
      <c r="I41" s="306"/>
      <c r="J41" s="68"/>
      <c r="K41" s="507">
        <f>(K39+K40)*5%</f>
        <v>295250</v>
      </c>
    </row>
    <row r="42" spans="1:11" ht="15.75" x14ac:dyDescent="0.25">
      <c r="A42" s="70" t="s">
        <v>70</v>
      </c>
      <c r="B42" s="66"/>
      <c r="C42" s="66"/>
      <c r="E42" s="71"/>
      <c r="F42" s="71"/>
      <c r="G42" s="71"/>
      <c r="H42" s="71"/>
      <c r="I42" s="306"/>
      <c r="J42" s="68"/>
      <c r="K42" s="76">
        <f>K39+K40+K41</f>
        <v>6200250</v>
      </c>
    </row>
    <row r="43" spans="1:11" ht="15" customHeight="1" x14ac:dyDescent="0.25">
      <c r="A43" s="97"/>
      <c r="B43" s="98"/>
      <c r="C43" s="98"/>
      <c r="D43" s="99"/>
      <c r="E43" s="100"/>
      <c r="F43" s="100"/>
      <c r="G43" s="100"/>
      <c r="H43" s="100"/>
      <c r="I43" s="379"/>
      <c r="J43" s="101"/>
      <c r="K43" s="102"/>
    </row>
    <row r="44" spans="1:11" ht="15.75" x14ac:dyDescent="0.25">
      <c r="A44" s="103" t="s">
        <v>76</v>
      </c>
      <c r="B44" s="98"/>
      <c r="C44" s="98"/>
      <c r="D44" s="99"/>
      <c r="E44" s="100"/>
      <c r="F44" s="100"/>
      <c r="G44" s="100"/>
      <c r="H44" s="100"/>
      <c r="I44" s="379"/>
      <c r="J44" s="101"/>
      <c r="K44" s="102"/>
    </row>
    <row r="45" spans="1:11" ht="16.5" thickBot="1" x14ac:dyDescent="0.3">
      <c r="A45" s="97"/>
      <c r="B45" s="98"/>
      <c r="C45" s="98"/>
      <c r="D45" s="99"/>
      <c r="E45" s="100"/>
      <c r="F45" s="100"/>
      <c r="G45" s="100"/>
      <c r="H45" s="100"/>
      <c r="I45" s="379"/>
      <c r="J45" s="101"/>
      <c r="K45" s="102"/>
    </row>
    <row r="46" spans="1:11" x14ac:dyDescent="0.25">
      <c r="A46" s="705" t="s">
        <v>23</v>
      </c>
      <c r="B46" s="706"/>
      <c r="C46" s="706"/>
      <c r="D46" s="706"/>
      <c r="E46" s="706"/>
      <c r="F46" s="706"/>
      <c r="G46" s="706"/>
      <c r="H46" s="706"/>
      <c r="I46" s="706"/>
      <c r="J46" s="706"/>
      <c r="K46" s="707"/>
    </row>
    <row r="47" spans="1:11" ht="15.75" thickBot="1" x14ac:dyDescent="0.3">
      <c r="A47" s="708"/>
      <c r="B47" s="709"/>
      <c r="C47" s="709"/>
      <c r="D47" s="709"/>
      <c r="E47" s="709"/>
      <c r="F47" s="709"/>
      <c r="G47" s="709"/>
      <c r="H47" s="709"/>
      <c r="I47" s="709"/>
      <c r="J47" s="709"/>
      <c r="K47" s="710"/>
    </row>
  </sheetData>
  <mergeCells count="30">
    <mergeCell ref="E33:G33"/>
    <mergeCell ref="E30:G30"/>
    <mergeCell ref="A46:K47"/>
    <mergeCell ref="E34:G34"/>
    <mergeCell ref="E35:G35"/>
    <mergeCell ref="E36:G36"/>
    <mergeCell ref="E37:G37"/>
    <mergeCell ref="E38:G38"/>
    <mergeCell ref="E26:G26"/>
    <mergeCell ref="E28:G28"/>
    <mergeCell ref="E29:G29"/>
    <mergeCell ref="E31:G31"/>
    <mergeCell ref="E32:G32"/>
    <mergeCell ref="E27:G27"/>
    <mergeCell ref="G16:H16"/>
    <mergeCell ref="E18:G18"/>
    <mergeCell ref="E19:F19"/>
    <mergeCell ref="E20:G20"/>
    <mergeCell ref="E21:G21"/>
    <mergeCell ref="E25:G25"/>
    <mergeCell ref="E22:G22"/>
    <mergeCell ref="E23:G23"/>
    <mergeCell ref="E24:G24"/>
    <mergeCell ref="A16:E16"/>
    <mergeCell ref="E1:K1"/>
    <mergeCell ref="D13:E13"/>
    <mergeCell ref="F13:G13"/>
    <mergeCell ref="A14:K14"/>
    <mergeCell ref="A15:E15"/>
    <mergeCell ref="G15:H15"/>
  </mergeCells>
  <pageMargins left="0.7" right="0.7" top="0.75" bottom="0.75" header="0.3" footer="0.3"/>
  <pageSetup scale="60" orientation="portrait" horizontalDpi="300" verticalDpi="3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8"/>
  <sheetViews>
    <sheetView view="pageBreakPreview" topLeftCell="B12" zoomScaleNormal="80" zoomScaleSheetLayoutView="100" workbookViewId="0">
      <selection activeCell="H12" sqref="D12:H12"/>
    </sheetView>
  </sheetViews>
  <sheetFormatPr defaultColWidth="22.28515625" defaultRowHeight="15" x14ac:dyDescent="0.25"/>
  <cols>
    <col min="1" max="1" width="12.140625" customWidth="1"/>
    <col min="4" max="4" width="15.85546875" customWidth="1"/>
    <col min="5" max="5" width="9" customWidth="1"/>
    <col min="6" max="6" width="15.28515625" customWidth="1"/>
    <col min="7" max="7" width="1.7109375" hidden="1" customWidth="1"/>
    <col min="8" max="8" width="18.42578125" customWidth="1"/>
    <col min="9" max="9" width="22.28515625" style="415"/>
    <col min="11" max="11" width="33.7109375" customWidth="1"/>
  </cols>
  <sheetData>
    <row r="1" spans="1:11" ht="46.5" x14ac:dyDescent="0.55000000000000004">
      <c r="A1" s="1" t="s">
        <v>123</v>
      </c>
      <c r="B1" s="2"/>
      <c r="C1" s="2"/>
      <c r="D1" s="2"/>
      <c r="E1" s="712" t="s">
        <v>0</v>
      </c>
      <c r="F1" s="712"/>
      <c r="G1" s="712"/>
      <c r="H1" s="712"/>
      <c r="I1" s="712"/>
      <c r="J1" s="712"/>
      <c r="K1" s="713"/>
    </row>
    <row r="2" spans="1:11" ht="17.25" x14ac:dyDescent="0.3">
      <c r="A2" s="3"/>
      <c r="B2" s="4"/>
      <c r="C2" s="4"/>
      <c r="D2" s="4"/>
      <c r="E2" s="5"/>
      <c r="F2" s="5"/>
      <c r="G2" s="6"/>
      <c r="H2" s="6"/>
      <c r="I2" s="388"/>
      <c r="J2" s="7"/>
      <c r="K2" s="8"/>
    </row>
    <row r="3" spans="1:11" ht="20.25" x14ac:dyDescent="0.3">
      <c r="A3" s="9"/>
      <c r="B3" s="10"/>
      <c r="C3" s="10"/>
      <c r="D3" s="10"/>
      <c r="E3" s="11" t="s">
        <v>1</v>
      </c>
      <c r="F3" s="12"/>
      <c r="G3" s="12"/>
      <c r="H3" s="12"/>
      <c r="I3" s="389"/>
      <c r="J3" s="13"/>
      <c r="K3" s="14"/>
    </row>
    <row r="4" spans="1:11" x14ac:dyDescent="0.25">
      <c r="A4" s="9"/>
      <c r="B4" s="10"/>
      <c r="C4" s="15"/>
      <c r="D4" s="15"/>
      <c r="E4" s="16" t="s">
        <v>2</v>
      </c>
      <c r="F4" s="15"/>
      <c r="G4" s="15"/>
      <c r="H4" s="15"/>
      <c r="I4" s="390"/>
      <c r="J4" s="17"/>
      <c r="K4" s="18"/>
    </row>
    <row r="5" spans="1:11" ht="15.75" x14ac:dyDescent="0.3">
      <c r="A5" s="19"/>
      <c r="B5" s="15"/>
      <c r="C5" s="15"/>
      <c r="D5" s="20"/>
      <c r="E5" s="21" t="s">
        <v>11</v>
      </c>
      <c r="F5" s="20"/>
      <c r="G5" s="22"/>
      <c r="H5" s="22"/>
      <c r="I5" s="390"/>
      <c r="J5" s="17"/>
      <c r="K5" s="18"/>
    </row>
    <row r="6" spans="1:11" ht="15.75" x14ac:dyDescent="0.3">
      <c r="A6" s="23"/>
      <c r="B6" s="24"/>
      <c r="C6" s="24"/>
      <c r="D6" s="24"/>
      <c r="E6" s="22"/>
      <c r="F6" s="22"/>
      <c r="G6" s="22"/>
      <c r="H6" s="22"/>
      <c r="I6" s="390"/>
      <c r="J6" s="17"/>
      <c r="K6" s="25">
        <f ca="1">TODAY()</f>
        <v>41556</v>
      </c>
    </row>
    <row r="7" spans="1:11" ht="16.5" x14ac:dyDescent="0.3">
      <c r="A7" s="23"/>
      <c r="B7" s="24"/>
      <c r="C7" s="24"/>
      <c r="D7" s="24"/>
      <c r="E7" s="20"/>
      <c r="F7" s="22"/>
      <c r="G7" s="26"/>
      <c r="H7" s="26"/>
      <c r="I7" s="391"/>
      <c r="J7" s="27"/>
      <c r="K7" s="28" t="s">
        <v>3</v>
      </c>
    </row>
    <row r="8" spans="1:11" x14ac:dyDescent="0.25">
      <c r="A8" s="29"/>
      <c r="B8" s="80"/>
      <c r="C8" s="30" t="s">
        <v>71</v>
      </c>
      <c r="D8" s="31" t="s">
        <v>122</v>
      </c>
      <c r="E8" s="32"/>
      <c r="F8" s="31"/>
      <c r="G8" s="32"/>
      <c r="H8" s="32"/>
      <c r="I8" s="392"/>
      <c r="J8" s="33"/>
      <c r="K8" s="34"/>
    </row>
    <row r="9" spans="1:11" x14ac:dyDescent="0.25">
      <c r="A9" s="35"/>
      <c r="B9" s="36"/>
      <c r="C9" s="37" t="s">
        <v>4</v>
      </c>
      <c r="D9" s="38" t="s">
        <v>154</v>
      </c>
      <c r="E9" s="39"/>
      <c r="F9" s="38"/>
      <c r="G9" s="39"/>
      <c r="H9" s="39"/>
      <c r="I9" s="393"/>
      <c r="J9" s="40"/>
      <c r="K9" s="41"/>
    </row>
    <row r="10" spans="1:11" x14ac:dyDescent="0.25">
      <c r="A10" s="42"/>
      <c r="B10" s="81"/>
      <c r="C10" s="37" t="s">
        <v>12</v>
      </c>
      <c r="D10" s="44" t="s">
        <v>155</v>
      </c>
      <c r="E10" s="45"/>
      <c r="F10" s="44"/>
      <c r="G10" s="45"/>
      <c r="H10" s="45"/>
      <c r="I10" s="393"/>
      <c r="J10" s="40"/>
      <c r="K10" s="41"/>
    </row>
    <row r="11" spans="1:11" ht="15.75" x14ac:dyDescent="0.3">
      <c r="A11" s="47"/>
      <c r="B11" s="43"/>
      <c r="C11" s="48" t="s">
        <v>5</v>
      </c>
      <c r="D11" s="44" t="s">
        <v>156</v>
      </c>
      <c r="E11" s="45"/>
      <c r="F11" s="44"/>
      <c r="G11" s="45"/>
      <c r="H11" s="45"/>
      <c r="I11" s="393"/>
      <c r="J11" s="40"/>
      <c r="K11" s="41"/>
    </row>
    <row r="12" spans="1:11" ht="15.75" x14ac:dyDescent="0.3">
      <c r="A12" s="47"/>
      <c r="B12" s="43"/>
      <c r="C12" s="48" t="s">
        <v>15</v>
      </c>
      <c r="D12" s="49" t="s">
        <v>220</v>
      </c>
      <c r="E12" s="45"/>
      <c r="F12" s="49"/>
      <c r="G12" s="45"/>
      <c r="H12" s="45"/>
      <c r="I12" s="393"/>
      <c r="J12" s="40"/>
      <c r="K12" s="41"/>
    </row>
    <row r="13" spans="1:11" ht="15.75" x14ac:dyDescent="0.3">
      <c r="A13" s="50"/>
      <c r="B13" s="43"/>
      <c r="C13" s="74" t="s">
        <v>6</v>
      </c>
      <c r="D13" s="714"/>
      <c r="E13" s="714"/>
      <c r="F13" s="714"/>
      <c r="G13" s="714"/>
      <c r="H13" s="92"/>
      <c r="I13" s="394"/>
      <c r="J13" s="51"/>
      <c r="K13" s="51"/>
    </row>
    <row r="14" spans="1:11" ht="15.75" x14ac:dyDescent="0.3">
      <c r="A14" s="715"/>
      <c r="B14" s="716"/>
      <c r="C14" s="716"/>
      <c r="D14" s="716"/>
      <c r="E14" s="716"/>
      <c r="F14" s="716"/>
      <c r="G14" s="716"/>
      <c r="H14" s="716"/>
      <c r="I14" s="716"/>
      <c r="J14" s="716"/>
      <c r="K14" s="717"/>
    </row>
    <row r="15" spans="1:11" x14ac:dyDescent="0.25">
      <c r="A15" s="718" t="s">
        <v>7</v>
      </c>
      <c r="B15" s="719"/>
      <c r="C15" s="719"/>
      <c r="D15" s="719"/>
      <c r="E15" s="720"/>
      <c r="F15" s="52" t="s">
        <v>16</v>
      </c>
      <c r="G15" s="721" t="s">
        <v>17</v>
      </c>
      <c r="H15" s="719"/>
      <c r="I15" s="406"/>
      <c r="J15" s="95"/>
      <c r="K15" s="53" t="s">
        <v>8</v>
      </c>
    </row>
    <row r="16" spans="1:11" ht="15.75" x14ac:dyDescent="0.3">
      <c r="A16" s="722" t="s">
        <v>24</v>
      </c>
      <c r="B16" s="723"/>
      <c r="C16" s="723"/>
      <c r="D16" s="723"/>
      <c r="E16" s="724"/>
      <c r="F16" s="54"/>
      <c r="G16" s="725"/>
      <c r="H16" s="726"/>
      <c r="I16" s="407"/>
      <c r="J16" s="88"/>
      <c r="K16" s="55" t="s">
        <v>9</v>
      </c>
    </row>
    <row r="17" spans="1:11" ht="15.75" x14ac:dyDescent="0.3">
      <c r="A17" s="56"/>
      <c r="B17" s="57"/>
      <c r="C17" s="57"/>
      <c r="D17" s="57"/>
      <c r="E17" s="58"/>
      <c r="F17" s="59"/>
      <c r="G17" s="59"/>
      <c r="H17" s="59"/>
      <c r="I17" s="408"/>
      <c r="J17" s="60"/>
      <c r="K17" s="61"/>
    </row>
    <row r="18" spans="1:11" x14ac:dyDescent="0.25">
      <c r="A18" s="62" t="s">
        <v>18</v>
      </c>
      <c r="B18" s="62" t="s">
        <v>27</v>
      </c>
      <c r="C18" s="62" t="s">
        <v>19</v>
      </c>
      <c r="D18" s="62" t="s">
        <v>20</v>
      </c>
      <c r="E18" s="711" t="s">
        <v>21</v>
      </c>
      <c r="F18" s="711"/>
      <c r="G18" s="711"/>
      <c r="H18" s="96" t="s">
        <v>10</v>
      </c>
      <c r="I18" s="409" t="s">
        <v>25</v>
      </c>
      <c r="J18" s="52" t="s">
        <v>28</v>
      </c>
      <c r="K18" s="52" t="s">
        <v>22</v>
      </c>
    </row>
    <row r="19" spans="1:11" x14ac:dyDescent="0.25">
      <c r="A19" s="543">
        <v>1</v>
      </c>
      <c r="B19" s="568" t="s">
        <v>82</v>
      </c>
      <c r="C19" s="538" t="s">
        <v>26</v>
      </c>
      <c r="D19" s="548"/>
      <c r="E19" s="773"/>
      <c r="F19" s="773"/>
      <c r="G19" s="546"/>
      <c r="H19" s="546"/>
      <c r="I19" s="547">
        <v>8</v>
      </c>
      <c r="J19" s="536">
        <v>55000</v>
      </c>
      <c r="K19" s="537">
        <f t="shared" ref="K19:K50" si="0">IF((C19)&gt;0,SUM(J19*I19),"")</f>
        <v>440000</v>
      </c>
    </row>
    <row r="20" spans="1:11" x14ac:dyDescent="0.25">
      <c r="A20" s="65">
        <v>2</v>
      </c>
      <c r="B20" s="568" t="s">
        <v>83</v>
      </c>
      <c r="C20" s="538" t="s">
        <v>26</v>
      </c>
      <c r="D20" s="548"/>
      <c r="E20" s="735"/>
      <c r="F20" s="735"/>
      <c r="G20" s="735"/>
      <c r="H20" s="90"/>
      <c r="I20" s="410">
        <v>49</v>
      </c>
      <c r="J20" s="536">
        <v>55000</v>
      </c>
      <c r="K20" s="537">
        <f t="shared" si="0"/>
        <v>2695000</v>
      </c>
    </row>
    <row r="21" spans="1:11" x14ac:dyDescent="0.25">
      <c r="A21" s="65">
        <v>3</v>
      </c>
      <c r="B21" s="568" t="s">
        <v>84</v>
      </c>
      <c r="C21" s="538" t="s">
        <v>26</v>
      </c>
      <c r="D21" s="548"/>
      <c r="E21" s="735"/>
      <c r="F21" s="735"/>
      <c r="G21" s="735"/>
      <c r="H21" s="90"/>
      <c r="I21" s="410">
        <v>3</v>
      </c>
      <c r="J21" s="536">
        <v>55000</v>
      </c>
      <c r="K21" s="537">
        <f t="shared" si="0"/>
        <v>165000</v>
      </c>
    </row>
    <row r="22" spans="1:11" x14ac:dyDescent="0.25">
      <c r="A22" s="543">
        <v>4</v>
      </c>
      <c r="B22" s="568" t="s">
        <v>85</v>
      </c>
      <c r="C22" s="538" t="s">
        <v>26</v>
      </c>
      <c r="D22" s="548"/>
      <c r="E22" s="735"/>
      <c r="F22" s="735"/>
      <c r="G22" s="735"/>
      <c r="H22" s="90"/>
      <c r="I22" s="410">
        <v>8</v>
      </c>
      <c r="J22" s="536">
        <v>55000</v>
      </c>
      <c r="K22" s="537">
        <f t="shared" si="0"/>
        <v>440000</v>
      </c>
    </row>
    <row r="23" spans="1:11" x14ac:dyDescent="0.25">
      <c r="A23" s="65">
        <v>5</v>
      </c>
      <c r="B23" s="568" t="s">
        <v>86</v>
      </c>
      <c r="C23" s="538" t="s">
        <v>26</v>
      </c>
      <c r="D23" s="548"/>
      <c r="E23" s="733"/>
      <c r="F23" s="733"/>
      <c r="G23" s="733"/>
      <c r="H23" s="509"/>
      <c r="I23" s="410">
        <v>8</v>
      </c>
      <c r="J23" s="536">
        <v>55000</v>
      </c>
      <c r="K23" s="537">
        <f t="shared" si="0"/>
        <v>440000</v>
      </c>
    </row>
    <row r="24" spans="1:11" x14ac:dyDescent="0.25">
      <c r="A24" s="65">
        <v>6</v>
      </c>
      <c r="B24" s="568" t="s">
        <v>87</v>
      </c>
      <c r="C24" s="538" t="s">
        <v>26</v>
      </c>
      <c r="D24" s="548"/>
      <c r="E24" s="733"/>
      <c r="F24" s="733"/>
      <c r="G24" s="733"/>
      <c r="H24" s="509"/>
      <c r="I24" s="410">
        <v>3</v>
      </c>
      <c r="J24" s="536">
        <v>55000</v>
      </c>
      <c r="K24" s="537">
        <f t="shared" si="0"/>
        <v>165000</v>
      </c>
    </row>
    <row r="25" spans="1:11" x14ac:dyDescent="0.25">
      <c r="A25" s="543">
        <v>7</v>
      </c>
      <c r="B25" s="568" t="s">
        <v>88</v>
      </c>
      <c r="C25" s="538" t="s">
        <v>26</v>
      </c>
      <c r="D25" s="548"/>
      <c r="E25" s="733"/>
      <c r="F25" s="733"/>
      <c r="G25" s="733"/>
      <c r="H25" s="509"/>
      <c r="I25" s="410">
        <v>4</v>
      </c>
      <c r="J25" s="536">
        <v>55000</v>
      </c>
      <c r="K25" s="537">
        <f t="shared" si="0"/>
        <v>220000</v>
      </c>
    </row>
    <row r="26" spans="1:11" x14ac:dyDescent="0.25">
      <c r="A26" s="65">
        <v>8</v>
      </c>
      <c r="B26" s="569" t="s">
        <v>89</v>
      </c>
      <c r="C26" s="538" t="s">
        <v>26</v>
      </c>
      <c r="D26" s="548"/>
      <c r="E26" s="733"/>
      <c r="F26" s="733"/>
      <c r="G26" s="733"/>
      <c r="H26" s="509"/>
      <c r="I26" s="410">
        <v>4</v>
      </c>
      <c r="J26" s="536">
        <v>55000</v>
      </c>
      <c r="K26" s="537">
        <f t="shared" si="0"/>
        <v>220000</v>
      </c>
    </row>
    <row r="27" spans="1:11" x14ac:dyDescent="0.25">
      <c r="A27" s="65">
        <v>9</v>
      </c>
      <c r="B27" s="568" t="s">
        <v>90</v>
      </c>
      <c r="C27" s="538" t="s">
        <v>26</v>
      </c>
      <c r="D27" s="548"/>
      <c r="E27" s="733"/>
      <c r="F27" s="733"/>
      <c r="G27" s="733"/>
      <c r="H27" s="509"/>
      <c r="I27" s="410">
        <v>6</v>
      </c>
      <c r="J27" s="536">
        <v>55000</v>
      </c>
      <c r="K27" s="537">
        <f t="shared" si="0"/>
        <v>330000</v>
      </c>
    </row>
    <row r="28" spans="1:11" x14ac:dyDescent="0.25">
      <c r="A28" s="543">
        <v>10</v>
      </c>
      <c r="B28" s="568" t="s">
        <v>91</v>
      </c>
      <c r="C28" s="538" t="s">
        <v>26</v>
      </c>
      <c r="D28" s="548"/>
      <c r="E28" s="733"/>
      <c r="F28" s="733"/>
      <c r="G28" s="733"/>
      <c r="H28" s="509"/>
      <c r="I28" s="410">
        <v>4</v>
      </c>
      <c r="J28" s="536">
        <v>55000</v>
      </c>
      <c r="K28" s="537">
        <f t="shared" si="0"/>
        <v>220000</v>
      </c>
    </row>
    <row r="29" spans="1:11" x14ac:dyDescent="0.25">
      <c r="A29" s="65">
        <v>11</v>
      </c>
      <c r="B29" s="568" t="s">
        <v>92</v>
      </c>
      <c r="C29" s="538" t="s">
        <v>26</v>
      </c>
      <c r="D29" s="548"/>
      <c r="E29" s="733"/>
      <c r="F29" s="733"/>
      <c r="G29" s="733"/>
      <c r="H29" s="509"/>
      <c r="I29" s="410">
        <v>3</v>
      </c>
      <c r="J29" s="536">
        <v>55000</v>
      </c>
      <c r="K29" s="537">
        <f t="shared" si="0"/>
        <v>165000</v>
      </c>
    </row>
    <row r="30" spans="1:11" x14ac:dyDescent="0.25">
      <c r="A30" s="65">
        <v>12</v>
      </c>
      <c r="B30" s="568" t="s">
        <v>93</v>
      </c>
      <c r="C30" s="538" t="s">
        <v>26</v>
      </c>
      <c r="D30" s="548"/>
      <c r="E30" s="733"/>
      <c r="F30" s="733"/>
      <c r="G30" s="733"/>
      <c r="H30" s="509"/>
      <c r="I30" s="410">
        <v>2</v>
      </c>
      <c r="J30" s="536">
        <v>55000</v>
      </c>
      <c r="K30" s="537">
        <f t="shared" si="0"/>
        <v>110000</v>
      </c>
    </row>
    <row r="31" spans="1:11" x14ac:dyDescent="0.25">
      <c r="A31" s="543">
        <v>13</v>
      </c>
      <c r="B31" s="568" t="s">
        <v>94</v>
      </c>
      <c r="C31" s="538" t="s">
        <v>26</v>
      </c>
      <c r="D31" s="548"/>
      <c r="E31" s="736"/>
      <c r="F31" s="736"/>
      <c r="G31" s="736"/>
      <c r="H31" s="510"/>
      <c r="I31" s="410">
        <v>11</v>
      </c>
      <c r="J31" s="536">
        <v>55000</v>
      </c>
      <c r="K31" s="537">
        <f t="shared" si="0"/>
        <v>605000</v>
      </c>
    </row>
    <row r="32" spans="1:11" x14ac:dyDescent="0.25">
      <c r="A32" s="65">
        <v>14</v>
      </c>
      <c r="B32" s="568" t="s">
        <v>95</v>
      </c>
      <c r="C32" s="538" t="s">
        <v>26</v>
      </c>
      <c r="D32" s="548"/>
      <c r="E32" s="736"/>
      <c r="F32" s="736"/>
      <c r="G32" s="736"/>
      <c r="H32" s="510"/>
      <c r="I32" s="410">
        <v>7</v>
      </c>
      <c r="J32" s="536">
        <v>55000</v>
      </c>
      <c r="K32" s="537">
        <f t="shared" si="0"/>
        <v>385000</v>
      </c>
    </row>
    <row r="33" spans="1:11" x14ac:dyDescent="0.25">
      <c r="A33" s="65">
        <v>15</v>
      </c>
      <c r="B33" s="568" t="s">
        <v>96</v>
      </c>
      <c r="C33" s="538" t="s">
        <v>26</v>
      </c>
      <c r="D33" s="548"/>
      <c r="E33" s="736"/>
      <c r="F33" s="736"/>
      <c r="G33" s="736"/>
      <c r="H33" s="510"/>
      <c r="I33" s="410">
        <v>9</v>
      </c>
      <c r="J33" s="536">
        <v>55000</v>
      </c>
      <c r="K33" s="537">
        <f t="shared" si="0"/>
        <v>495000</v>
      </c>
    </row>
    <row r="34" spans="1:11" x14ac:dyDescent="0.25">
      <c r="A34" s="543">
        <v>16</v>
      </c>
      <c r="B34" s="570" t="s">
        <v>97</v>
      </c>
      <c r="C34" s="538" t="s">
        <v>26</v>
      </c>
      <c r="D34" s="548"/>
      <c r="E34" s="736"/>
      <c r="F34" s="736"/>
      <c r="G34" s="736"/>
      <c r="H34" s="510"/>
      <c r="I34" s="410">
        <v>4</v>
      </c>
      <c r="J34" s="536">
        <v>55000</v>
      </c>
      <c r="K34" s="537">
        <f t="shared" si="0"/>
        <v>220000</v>
      </c>
    </row>
    <row r="35" spans="1:11" x14ac:dyDescent="0.25">
      <c r="A35" s="65">
        <v>17</v>
      </c>
      <c r="B35" s="568" t="s">
        <v>98</v>
      </c>
      <c r="C35" s="538" t="s">
        <v>26</v>
      </c>
      <c r="D35" s="548"/>
      <c r="E35" s="736"/>
      <c r="F35" s="736"/>
      <c r="G35" s="736"/>
      <c r="H35" s="510"/>
      <c r="I35" s="410">
        <v>6</v>
      </c>
      <c r="J35" s="536">
        <v>55000</v>
      </c>
      <c r="K35" s="537">
        <f t="shared" si="0"/>
        <v>330000</v>
      </c>
    </row>
    <row r="36" spans="1:11" x14ac:dyDescent="0.25">
      <c r="A36" s="65">
        <v>18</v>
      </c>
      <c r="B36" s="568" t="s">
        <v>99</v>
      </c>
      <c r="C36" s="538" t="s">
        <v>26</v>
      </c>
      <c r="D36" s="548"/>
      <c r="E36" s="736"/>
      <c r="F36" s="736"/>
      <c r="G36" s="736"/>
      <c r="H36" s="510"/>
      <c r="I36" s="410">
        <v>4</v>
      </c>
      <c r="J36" s="536">
        <v>55000</v>
      </c>
      <c r="K36" s="537">
        <f t="shared" si="0"/>
        <v>220000</v>
      </c>
    </row>
    <row r="37" spans="1:11" x14ac:dyDescent="0.25">
      <c r="A37" s="543">
        <v>19</v>
      </c>
      <c r="B37" s="568" t="s">
        <v>100</v>
      </c>
      <c r="C37" s="538" t="s">
        <v>26</v>
      </c>
      <c r="D37" s="548"/>
      <c r="E37" s="734"/>
      <c r="F37" s="734"/>
      <c r="G37" s="734"/>
      <c r="H37" s="107"/>
      <c r="I37" s="410">
        <v>10</v>
      </c>
      <c r="J37" s="536">
        <v>55000</v>
      </c>
      <c r="K37" s="537">
        <f t="shared" si="0"/>
        <v>550000</v>
      </c>
    </row>
    <row r="38" spans="1:11" x14ac:dyDescent="0.25">
      <c r="A38" s="65">
        <v>20</v>
      </c>
      <c r="B38" s="568" t="s">
        <v>101</v>
      </c>
      <c r="C38" s="538" t="s">
        <v>26</v>
      </c>
      <c r="D38" s="548"/>
      <c r="E38" s="734"/>
      <c r="F38" s="734"/>
      <c r="G38" s="734"/>
      <c r="H38" s="107"/>
      <c r="I38" s="410">
        <v>10</v>
      </c>
      <c r="J38" s="536">
        <v>55000</v>
      </c>
      <c r="K38" s="537">
        <f t="shared" si="0"/>
        <v>550000</v>
      </c>
    </row>
    <row r="39" spans="1:11" x14ac:dyDescent="0.25">
      <c r="A39" s="65">
        <v>21</v>
      </c>
      <c r="B39" s="568" t="s">
        <v>102</v>
      </c>
      <c r="C39" s="538" t="s">
        <v>26</v>
      </c>
      <c r="D39" s="548"/>
      <c r="E39" s="734"/>
      <c r="F39" s="734"/>
      <c r="G39" s="734"/>
      <c r="H39" s="107"/>
      <c r="I39" s="410">
        <v>2</v>
      </c>
      <c r="J39" s="536">
        <v>55000</v>
      </c>
      <c r="K39" s="537">
        <f t="shared" si="0"/>
        <v>110000</v>
      </c>
    </row>
    <row r="40" spans="1:11" x14ac:dyDescent="0.25">
      <c r="A40" s="543">
        <v>22</v>
      </c>
      <c r="B40" s="568" t="s">
        <v>103</v>
      </c>
      <c r="C40" s="538" t="s">
        <v>26</v>
      </c>
      <c r="D40" s="548"/>
      <c r="E40" s="734"/>
      <c r="F40" s="734"/>
      <c r="G40" s="734"/>
      <c r="H40" s="107"/>
      <c r="I40" s="410">
        <v>2</v>
      </c>
      <c r="J40" s="536">
        <v>55000</v>
      </c>
      <c r="K40" s="537">
        <f t="shared" si="0"/>
        <v>110000</v>
      </c>
    </row>
    <row r="41" spans="1:11" x14ac:dyDescent="0.25">
      <c r="A41" s="65">
        <v>23</v>
      </c>
      <c r="B41" s="569" t="s">
        <v>104</v>
      </c>
      <c r="C41" s="538" t="s">
        <v>26</v>
      </c>
      <c r="D41" s="548"/>
      <c r="E41" s="735"/>
      <c r="F41" s="735"/>
      <c r="G41" s="735"/>
      <c r="H41" s="90"/>
      <c r="I41" s="411">
        <v>2</v>
      </c>
      <c r="J41" s="536">
        <v>55000</v>
      </c>
      <c r="K41" s="537">
        <f t="shared" si="0"/>
        <v>110000</v>
      </c>
    </row>
    <row r="42" spans="1:11" x14ac:dyDescent="0.25">
      <c r="A42" s="65">
        <v>24</v>
      </c>
      <c r="B42" s="568" t="s">
        <v>105</v>
      </c>
      <c r="C42" s="538" t="s">
        <v>26</v>
      </c>
      <c r="D42" s="548"/>
      <c r="E42" s="735"/>
      <c r="F42" s="735"/>
      <c r="G42" s="735"/>
      <c r="H42" s="90"/>
      <c r="I42" s="411">
        <v>11</v>
      </c>
      <c r="J42" s="536">
        <v>55000</v>
      </c>
      <c r="K42" s="537">
        <f t="shared" si="0"/>
        <v>605000</v>
      </c>
    </row>
    <row r="43" spans="1:11" x14ac:dyDescent="0.25">
      <c r="A43" s="543">
        <v>25</v>
      </c>
      <c r="B43" s="568" t="s">
        <v>106</v>
      </c>
      <c r="C43" s="538" t="s">
        <v>26</v>
      </c>
      <c r="D43" s="548"/>
      <c r="E43" s="696"/>
      <c r="F43" s="697"/>
      <c r="G43" s="698"/>
      <c r="H43" s="90"/>
      <c r="I43" s="411">
        <v>202</v>
      </c>
      <c r="J43" s="536">
        <v>55000</v>
      </c>
      <c r="K43" s="537">
        <f t="shared" si="0"/>
        <v>11110000</v>
      </c>
    </row>
    <row r="44" spans="1:11" x14ac:dyDescent="0.25">
      <c r="A44" s="65">
        <v>26</v>
      </c>
      <c r="B44" s="568" t="s">
        <v>107</v>
      </c>
      <c r="C44" s="538" t="s">
        <v>26</v>
      </c>
      <c r="D44" s="548"/>
      <c r="E44" s="735"/>
      <c r="F44" s="735"/>
      <c r="G44" s="735"/>
      <c r="H44" s="90"/>
      <c r="I44" s="411">
        <v>1</v>
      </c>
      <c r="J44" s="536">
        <v>55000</v>
      </c>
      <c r="K44" s="537">
        <f t="shared" si="0"/>
        <v>55000</v>
      </c>
    </row>
    <row r="45" spans="1:11" x14ac:dyDescent="0.25">
      <c r="A45" s="65">
        <v>27</v>
      </c>
      <c r="B45" s="568" t="s">
        <v>108</v>
      </c>
      <c r="C45" s="538" t="s">
        <v>26</v>
      </c>
      <c r="D45" s="548"/>
      <c r="E45" s="772"/>
      <c r="F45" s="772"/>
      <c r="G45" s="772"/>
      <c r="H45" s="549"/>
      <c r="I45" s="411">
        <v>4</v>
      </c>
      <c r="J45" s="536">
        <v>55000</v>
      </c>
      <c r="K45" s="537">
        <f t="shared" si="0"/>
        <v>220000</v>
      </c>
    </row>
    <row r="46" spans="1:11" x14ac:dyDescent="0.25">
      <c r="A46" s="543">
        <v>28</v>
      </c>
      <c r="B46" s="568" t="s">
        <v>109</v>
      </c>
      <c r="C46" s="538" t="s">
        <v>26</v>
      </c>
      <c r="D46" s="548"/>
      <c r="E46" s="782"/>
      <c r="F46" s="782"/>
      <c r="G46" s="782"/>
      <c r="H46" s="550"/>
      <c r="I46" s="551">
        <v>19</v>
      </c>
      <c r="J46" s="536">
        <v>55000</v>
      </c>
      <c r="K46" s="537">
        <f t="shared" si="0"/>
        <v>1045000</v>
      </c>
    </row>
    <row r="47" spans="1:11" x14ac:dyDescent="0.25">
      <c r="A47" s="65">
        <v>29</v>
      </c>
      <c r="B47" s="568" t="s">
        <v>110</v>
      </c>
      <c r="C47" s="538" t="s">
        <v>26</v>
      </c>
      <c r="D47" s="548"/>
      <c r="E47" s="782"/>
      <c r="F47" s="782"/>
      <c r="G47" s="782"/>
      <c r="H47" s="550"/>
      <c r="I47" s="551">
        <v>28</v>
      </c>
      <c r="J47" s="536">
        <v>55000</v>
      </c>
      <c r="K47" s="537">
        <f t="shared" si="0"/>
        <v>1540000</v>
      </c>
    </row>
    <row r="48" spans="1:11" x14ac:dyDescent="0.25">
      <c r="A48" s="65">
        <v>30</v>
      </c>
      <c r="B48" s="568" t="s">
        <v>111</v>
      </c>
      <c r="C48" s="538" t="s">
        <v>26</v>
      </c>
      <c r="D48" s="548"/>
      <c r="E48" s="772"/>
      <c r="F48" s="772"/>
      <c r="G48" s="772"/>
      <c r="H48" s="549"/>
      <c r="I48" s="411">
        <v>32</v>
      </c>
      <c r="J48" s="536">
        <v>55000</v>
      </c>
      <c r="K48" s="537">
        <f t="shared" si="0"/>
        <v>1760000</v>
      </c>
    </row>
    <row r="49" spans="1:11" x14ac:dyDescent="0.25">
      <c r="A49" s="543">
        <v>31</v>
      </c>
      <c r="B49" s="568" t="s">
        <v>112</v>
      </c>
      <c r="C49" s="538" t="s">
        <v>26</v>
      </c>
      <c r="D49" s="548"/>
      <c r="E49" s="772"/>
      <c r="F49" s="772"/>
      <c r="G49" s="772"/>
      <c r="H49" s="549"/>
      <c r="I49" s="411">
        <v>54</v>
      </c>
      <c r="J49" s="536">
        <v>55000</v>
      </c>
      <c r="K49" s="537">
        <f t="shared" si="0"/>
        <v>2970000</v>
      </c>
    </row>
    <row r="50" spans="1:11" x14ac:dyDescent="0.25">
      <c r="A50" s="65">
        <v>32</v>
      </c>
      <c r="B50" s="568" t="s">
        <v>113</v>
      </c>
      <c r="C50" s="538" t="s">
        <v>26</v>
      </c>
      <c r="D50" s="548"/>
      <c r="E50" s="773"/>
      <c r="F50" s="773"/>
      <c r="G50" s="773"/>
      <c r="H50" s="546"/>
      <c r="I50" s="547">
        <v>5</v>
      </c>
      <c r="J50" s="536">
        <v>55000</v>
      </c>
      <c r="K50" s="537">
        <f t="shared" si="0"/>
        <v>275000</v>
      </c>
    </row>
    <row r="51" spans="1:11" x14ac:dyDescent="0.25">
      <c r="A51" s="65">
        <v>33</v>
      </c>
      <c r="B51" s="569" t="s">
        <v>114</v>
      </c>
      <c r="C51" s="538" t="s">
        <v>26</v>
      </c>
      <c r="D51" s="548"/>
      <c r="E51" s="773"/>
      <c r="F51" s="773"/>
      <c r="G51" s="773"/>
      <c r="H51" s="546"/>
      <c r="I51" s="547">
        <v>32</v>
      </c>
      <c r="J51" s="536">
        <v>55000</v>
      </c>
      <c r="K51" s="537">
        <f>IF((C51)&gt;0,SUM(J51*I51),"")</f>
        <v>1760000</v>
      </c>
    </row>
    <row r="52" spans="1:11" x14ac:dyDescent="0.25">
      <c r="A52" s="543">
        <v>34</v>
      </c>
      <c r="B52" s="568" t="s">
        <v>115</v>
      </c>
      <c r="C52" s="538" t="s">
        <v>26</v>
      </c>
      <c r="D52" s="548"/>
      <c r="E52" s="773"/>
      <c r="F52" s="773"/>
      <c r="G52" s="773"/>
      <c r="H52" s="546"/>
      <c r="I52" s="547">
        <v>5</v>
      </c>
      <c r="J52" s="536">
        <v>55000</v>
      </c>
      <c r="K52" s="537">
        <f>IF((C52)&gt;0,SUM(J52*I52),"")</f>
        <v>275000</v>
      </c>
    </row>
    <row r="53" spans="1:11" x14ac:dyDescent="0.25">
      <c r="A53" s="65">
        <v>35</v>
      </c>
      <c r="B53" s="568" t="s">
        <v>116</v>
      </c>
      <c r="C53" s="538" t="s">
        <v>26</v>
      </c>
      <c r="D53" s="548"/>
      <c r="E53" s="780"/>
      <c r="F53" s="780"/>
      <c r="G53" s="780"/>
      <c r="H53" s="552"/>
      <c r="I53" s="553">
        <v>2</v>
      </c>
      <c r="J53" s="536">
        <v>55000</v>
      </c>
      <c r="K53" s="537">
        <f>IF((C53)&gt;0,SUM(J53*I53),"")</f>
        <v>110000</v>
      </c>
    </row>
    <row r="54" spans="1:11" x14ac:dyDescent="0.25">
      <c r="A54" s="65">
        <v>36</v>
      </c>
      <c r="B54" s="568" t="s">
        <v>117</v>
      </c>
      <c r="C54" s="538" t="s">
        <v>26</v>
      </c>
      <c r="D54" s="548"/>
      <c r="E54" s="781"/>
      <c r="F54" s="781"/>
      <c r="G54" s="781"/>
      <c r="H54" s="554"/>
      <c r="I54" s="553">
        <v>2</v>
      </c>
      <c r="J54" s="536">
        <v>55000</v>
      </c>
      <c r="K54" s="537">
        <f>IF((C54)&gt;0,SUM(J54*I54),"")</f>
        <v>110000</v>
      </c>
    </row>
    <row r="55" spans="1:11" x14ac:dyDescent="0.25">
      <c r="A55" s="543">
        <v>37</v>
      </c>
      <c r="B55" s="568" t="s">
        <v>118</v>
      </c>
      <c r="C55" s="538" t="s">
        <v>26</v>
      </c>
      <c r="D55" s="548"/>
      <c r="E55" s="781"/>
      <c r="F55" s="781"/>
      <c r="G55" s="781"/>
      <c r="H55" s="554"/>
      <c r="I55" s="553">
        <v>2</v>
      </c>
      <c r="J55" s="536">
        <v>55000</v>
      </c>
      <c r="K55" s="537">
        <f>IF((C55)&gt;0,SUM(J55*I55),"")</f>
        <v>110000</v>
      </c>
    </row>
    <row r="56" spans="1:11" ht="15.75" x14ac:dyDescent="0.25">
      <c r="A56" s="69" t="s">
        <v>69</v>
      </c>
      <c r="B56" s="66"/>
      <c r="C56" s="66"/>
      <c r="D56" s="66"/>
      <c r="E56" s="67"/>
      <c r="F56" s="67"/>
      <c r="G56" s="67"/>
      <c r="H56" s="67"/>
      <c r="I56" s="306"/>
      <c r="J56" s="68"/>
      <c r="K56" s="506">
        <f>SUM(K19:K55)</f>
        <v>31240000</v>
      </c>
    </row>
    <row r="57" spans="1:11" ht="15.75" x14ac:dyDescent="0.25">
      <c r="A57" s="70" t="s">
        <v>67</v>
      </c>
      <c r="B57" s="70"/>
      <c r="C57" s="66"/>
      <c r="E57" s="71"/>
      <c r="F57" s="71"/>
      <c r="G57" s="71"/>
      <c r="H57" s="71"/>
      <c r="I57" s="306"/>
      <c r="J57" s="68"/>
      <c r="K57" s="507">
        <v>20000</v>
      </c>
    </row>
    <row r="58" spans="1:11" ht="15.75" x14ac:dyDescent="0.25">
      <c r="A58" s="70" t="s">
        <v>68</v>
      </c>
      <c r="B58" s="66"/>
      <c r="C58" s="66"/>
      <c r="E58" s="71"/>
      <c r="F58" s="71"/>
      <c r="G58" s="71"/>
      <c r="H58" s="71"/>
      <c r="I58" s="306"/>
      <c r="J58" s="68"/>
      <c r="K58" s="507">
        <f>(K56+K57)*5%</f>
        <v>1563000</v>
      </c>
    </row>
    <row r="59" spans="1:11" ht="15.75" x14ac:dyDescent="0.25">
      <c r="A59" s="70" t="s">
        <v>70</v>
      </c>
      <c r="B59" s="66"/>
      <c r="C59" s="66"/>
      <c r="E59" s="71"/>
      <c r="F59" s="71"/>
      <c r="G59" s="71"/>
      <c r="H59" s="71"/>
      <c r="I59" s="306"/>
      <c r="J59" s="68"/>
      <c r="K59" s="76">
        <f>K56+K57+K58</f>
        <v>32823000</v>
      </c>
    </row>
    <row r="60" spans="1:11" ht="15" customHeight="1" x14ac:dyDescent="0.25">
      <c r="A60" s="97"/>
      <c r="B60" s="98"/>
      <c r="C60" s="98"/>
      <c r="D60" s="99"/>
      <c r="E60" s="100"/>
      <c r="F60" s="100"/>
      <c r="G60" s="100"/>
      <c r="H60" s="100"/>
      <c r="I60" s="379"/>
      <c r="J60" s="101"/>
      <c r="K60" s="102"/>
    </row>
    <row r="61" spans="1:11" ht="15.75" x14ac:dyDescent="0.25">
      <c r="A61" s="103" t="s">
        <v>76</v>
      </c>
      <c r="B61" s="98"/>
      <c r="C61" s="98"/>
      <c r="D61" s="99"/>
      <c r="E61" s="100"/>
      <c r="F61" s="100"/>
      <c r="G61" s="100"/>
      <c r="H61" s="100"/>
      <c r="I61" s="379"/>
      <c r="J61" s="101"/>
      <c r="K61" s="102"/>
    </row>
    <row r="62" spans="1:11" ht="16.5" thickBot="1" x14ac:dyDescent="0.3">
      <c r="A62" s="97"/>
      <c r="B62" s="98"/>
      <c r="C62" s="98"/>
      <c r="D62" s="99"/>
      <c r="E62" s="100"/>
      <c r="F62" s="100"/>
      <c r="G62" s="100"/>
      <c r="H62" s="100"/>
      <c r="I62" s="379"/>
      <c r="J62" s="101"/>
      <c r="K62" s="102"/>
    </row>
    <row r="63" spans="1:11" x14ac:dyDescent="0.25">
      <c r="A63" s="705" t="s">
        <v>23</v>
      </c>
      <c r="B63" s="706"/>
      <c r="C63" s="706"/>
      <c r="D63" s="706"/>
      <c r="E63" s="706"/>
      <c r="F63" s="706"/>
      <c r="G63" s="706"/>
      <c r="H63" s="706"/>
      <c r="I63" s="706"/>
      <c r="J63" s="706"/>
      <c r="K63" s="707"/>
    </row>
    <row r="64" spans="1:11" ht="15.75" thickBot="1" x14ac:dyDescent="0.3">
      <c r="A64" s="708"/>
      <c r="B64" s="709"/>
      <c r="C64" s="709"/>
      <c r="D64" s="709"/>
      <c r="E64" s="709"/>
      <c r="F64" s="709"/>
      <c r="G64" s="709"/>
      <c r="H64" s="709"/>
      <c r="I64" s="709"/>
      <c r="J64" s="709"/>
      <c r="K64" s="710"/>
    </row>
    <row r="65" spans="1:11" x14ac:dyDescent="0.25">
      <c r="I65" s="380"/>
    </row>
    <row r="66" spans="1:11" x14ac:dyDescent="0.25">
      <c r="A66" s="78"/>
      <c r="B66" s="78"/>
      <c r="C66" s="78"/>
      <c r="D66" s="78"/>
      <c r="E66" s="78"/>
      <c r="F66" s="78"/>
      <c r="G66" s="78"/>
      <c r="H66" s="78"/>
      <c r="I66" s="414"/>
      <c r="J66" s="78"/>
      <c r="K66" s="79"/>
    </row>
    <row r="67" spans="1:11" x14ac:dyDescent="0.25">
      <c r="A67" s="78"/>
      <c r="B67" s="78"/>
      <c r="C67" s="78"/>
      <c r="D67" s="78"/>
      <c r="E67" s="78"/>
      <c r="F67" s="78"/>
      <c r="G67" s="78"/>
      <c r="H67" s="78"/>
      <c r="I67" s="414"/>
      <c r="J67" s="78"/>
      <c r="K67" s="79"/>
    </row>
    <row r="68" spans="1:11" x14ac:dyDescent="0.25">
      <c r="A68" s="78"/>
      <c r="B68" s="78"/>
      <c r="C68" s="78"/>
      <c r="D68" s="78"/>
      <c r="E68" s="78"/>
      <c r="F68" s="78"/>
      <c r="G68" s="78"/>
      <c r="H68" s="78"/>
      <c r="I68" s="414"/>
      <c r="J68" s="78"/>
      <c r="K68" s="79"/>
    </row>
    <row r="69" spans="1:11" x14ac:dyDescent="0.25">
      <c r="A69" s="78"/>
      <c r="B69" s="78"/>
      <c r="C69" s="78"/>
      <c r="D69" s="78"/>
      <c r="E69" s="78"/>
      <c r="F69" s="78"/>
      <c r="G69" s="78"/>
      <c r="H69" s="78"/>
      <c r="I69" s="414"/>
      <c r="J69" s="78"/>
      <c r="K69" s="79"/>
    </row>
    <row r="70" spans="1:11" x14ac:dyDescent="0.25">
      <c r="A70" s="78"/>
      <c r="B70" s="78"/>
      <c r="C70" s="78"/>
      <c r="D70" s="78"/>
      <c r="E70" s="78"/>
      <c r="F70" s="78"/>
      <c r="G70" s="78"/>
      <c r="H70" s="78"/>
      <c r="I70" s="414"/>
      <c r="J70" s="78"/>
      <c r="K70" s="79"/>
    </row>
    <row r="71" spans="1:11" x14ac:dyDescent="0.25">
      <c r="A71" s="78"/>
      <c r="B71" s="78"/>
      <c r="C71" s="78"/>
      <c r="D71" s="78"/>
      <c r="E71" s="78"/>
      <c r="F71" s="78"/>
      <c r="G71" s="78"/>
      <c r="H71" s="78"/>
      <c r="I71" s="414"/>
      <c r="J71" s="78"/>
      <c r="K71" s="79"/>
    </row>
    <row r="72" spans="1:11" x14ac:dyDescent="0.25">
      <c r="A72" s="78"/>
      <c r="B72" s="78"/>
      <c r="C72" s="78"/>
      <c r="D72" s="78"/>
      <c r="E72" s="78"/>
      <c r="F72" s="78"/>
      <c r="G72" s="78"/>
      <c r="H72" s="78"/>
      <c r="I72" s="414"/>
      <c r="J72" s="78"/>
      <c r="K72" s="79"/>
    </row>
    <row r="73" spans="1:11" x14ac:dyDescent="0.25">
      <c r="A73" s="78"/>
      <c r="B73" s="78"/>
      <c r="C73" s="78"/>
      <c r="D73" s="78"/>
      <c r="E73" s="78"/>
      <c r="F73" s="78"/>
      <c r="G73" s="78"/>
      <c r="H73" s="78"/>
      <c r="I73" s="414"/>
      <c r="J73" s="78"/>
      <c r="K73" s="79"/>
    </row>
    <row r="74" spans="1:11" x14ac:dyDescent="0.25">
      <c r="A74" s="78"/>
      <c r="B74" s="78"/>
      <c r="C74" s="78"/>
      <c r="D74" s="78"/>
      <c r="E74" s="78"/>
      <c r="F74" s="78"/>
      <c r="G74" s="78"/>
      <c r="H74" s="78"/>
      <c r="I74" s="414"/>
      <c r="J74" s="78"/>
      <c r="K74" s="79"/>
    </row>
    <row r="75" spans="1:11" x14ac:dyDescent="0.25">
      <c r="A75" s="78"/>
      <c r="B75" s="78"/>
      <c r="C75" s="78"/>
      <c r="D75" s="78"/>
      <c r="E75" s="78"/>
      <c r="F75" s="78"/>
      <c r="G75" s="78"/>
      <c r="H75" s="78"/>
      <c r="I75" s="414"/>
      <c r="J75" s="78"/>
      <c r="K75" s="79"/>
    </row>
    <row r="76" spans="1:11" x14ac:dyDescent="0.25">
      <c r="A76" s="78"/>
      <c r="B76" s="78"/>
      <c r="C76" s="78"/>
      <c r="D76" s="78"/>
      <c r="E76" s="78"/>
      <c r="F76" s="78"/>
      <c r="G76" s="78"/>
      <c r="H76" s="78"/>
      <c r="I76" s="414"/>
      <c r="J76" s="78"/>
      <c r="K76" s="79"/>
    </row>
    <row r="77" spans="1:11" x14ac:dyDescent="0.25">
      <c r="A77" s="78"/>
      <c r="B77" s="78"/>
      <c r="C77" s="78"/>
      <c r="D77" s="78"/>
      <c r="E77" s="78"/>
      <c r="F77" s="78"/>
      <c r="G77" s="78"/>
      <c r="H77" s="78"/>
      <c r="I77" s="414"/>
      <c r="J77" s="78"/>
      <c r="K77" s="79"/>
    </row>
    <row r="78" spans="1:11" x14ac:dyDescent="0.25">
      <c r="A78" s="78"/>
      <c r="B78" s="78"/>
      <c r="C78" s="78"/>
      <c r="D78" s="78"/>
      <c r="E78" s="78"/>
      <c r="F78" s="78"/>
      <c r="G78" s="78"/>
      <c r="H78" s="78"/>
      <c r="I78" s="414"/>
      <c r="J78" s="78"/>
      <c r="K78" s="79"/>
    </row>
  </sheetData>
  <mergeCells count="47">
    <mergeCell ref="A63:K64"/>
    <mergeCell ref="E52:G52"/>
    <mergeCell ref="E53:G53"/>
    <mergeCell ref="E54:G54"/>
    <mergeCell ref="E55:G55"/>
    <mergeCell ref="E43:G43"/>
    <mergeCell ref="E46:G46"/>
    <mergeCell ref="E47:G47"/>
    <mergeCell ref="E48:G48"/>
    <mergeCell ref="E49:G49"/>
    <mergeCell ref="E50:G50"/>
    <mergeCell ref="E35:G35"/>
    <mergeCell ref="E36:G36"/>
    <mergeCell ref="E37:G37"/>
    <mergeCell ref="E38:G38"/>
    <mergeCell ref="E51:G51"/>
    <mergeCell ref="E40:G40"/>
    <mergeCell ref="E41:G41"/>
    <mergeCell ref="E42:G42"/>
    <mergeCell ref="E44:G44"/>
    <mergeCell ref="E45:G45"/>
    <mergeCell ref="E25:G25"/>
    <mergeCell ref="E26:G26"/>
    <mergeCell ref="E39:G39"/>
    <mergeCell ref="E28:G28"/>
    <mergeCell ref="E29:G29"/>
    <mergeCell ref="E30:G30"/>
    <mergeCell ref="E31:G31"/>
    <mergeCell ref="E32:G32"/>
    <mergeCell ref="E33:G33"/>
    <mergeCell ref="E34:G34"/>
    <mergeCell ref="E27:G27"/>
    <mergeCell ref="A16:E16"/>
    <mergeCell ref="G16:H16"/>
    <mergeCell ref="E18:G18"/>
    <mergeCell ref="E19:F19"/>
    <mergeCell ref="E20:G20"/>
    <mergeCell ref="E21:G21"/>
    <mergeCell ref="E22:G22"/>
    <mergeCell ref="E23:G23"/>
    <mergeCell ref="E24:G24"/>
    <mergeCell ref="E1:K1"/>
    <mergeCell ref="D13:E13"/>
    <mergeCell ref="F13:G13"/>
    <mergeCell ref="A14:K14"/>
    <mergeCell ref="A15:E15"/>
    <mergeCell ref="G15:H15"/>
  </mergeCells>
  <hyperlinks>
    <hyperlink ref="D12" r:id="rId1"/>
  </hyperlinks>
  <pageMargins left="0.7" right="0.7" top="0.75" bottom="0.75" header="0.3" footer="0.3"/>
  <pageSetup scale="47" orientation="portrait" horizontalDpi="300" verticalDpi="300" r:id="rId2"/>
  <colBreaks count="1" manualBreakCount="1">
    <brk id="11" max="1048575" man="1"/>
  </colBreaks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4"/>
  <sheetViews>
    <sheetView view="pageBreakPreview" topLeftCell="A2" zoomScale="60" zoomScaleNormal="80" workbookViewId="0">
      <selection activeCell="E26" sqref="E26:G26"/>
    </sheetView>
  </sheetViews>
  <sheetFormatPr defaultRowHeight="15" x14ac:dyDescent="0.25"/>
  <cols>
    <col min="2" max="2" width="14.5703125" customWidth="1"/>
    <col min="3" max="3" width="21.5703125" customWidth="1"/>
    <col min="4" max="4" width="12.140625" customWidth="1"/>
    <col min="8" max="8" width="21" customWidth="1"/>
    <col min="9" max="9" width="14.5703125" style="380" customWidth="1"/>
    <col min="10" max="10" width="14" customWidth="1"/>
    <col min="11" max="11" width="21.5703125" customWidth="1"/>
  </cols>
  <sheetData>
    <row r="1" spans="1:11" ht="46.5" x14ac:dyDescent="0.55000000000000004">
      <c r="A1" s="1"/>
      <c r="B1" s="2"/>
      <c r="C1" s="2"/>
      <c r="D1" s="2"/>
      <c r="E1" s="712" t="s">
        <v>0</v>
      </c>
      <c r="F1" s="712"/>
      <c r="G1" s="712"/>
      <c r="H1" s="712"/>
      <c r="I1" s="712"/>
      <c r="J1" s="712"/>
      <c r="K1" s="713"/>
    </row>
    <row r="2" spans="1:11" ht="17.25" x14ac:dyDescent="0.3">
      <c r="A2" s="3"/>
      <c r="B2" s="4"/>
      <c r="C2" s="4"/>
      <c r="D2" s="4"/>
      <c r="E2" s="5"/>
      <c r="F2" s="5"/>
      <c r="G2" s="6"/>
      <c r="H2" s="6"/>
      <c r="I2" s="388"/>
      <c r="J2" s="7"/>
      <c r="K2" s="8"/>
    </row>
    <row r="3" spans="1:11" ht="20.25" x14ac:dyDescent="0.3">
      <c r="A3" s="9"/>
      <c r="B3" s="10"/>
      <c r="C3" s="10"/>
      <c r="D3" s="10"/>
      <c r="E3" s="11"/>
      <c r="F3" s="12"/>
      <c r="G3" s="12"/>
      <c r="H3" s="12"/>
      <c r="I3" s="389"/>
      <c r="J3" s="13"/>
      <c r="K3" s="14"/>
    </row>
    <row r="4" spans="1:11" x14ac:dyDescent="0.25">
      <c r="A4" s="9"/>
      <c r="B4" s="10"/>
      <c r="C4" s="15"/>
      <c r="D4" s="15"/>
      <c r="E4" s="16"/>
      <c r="F4" s="15"/>
      <c r="G4" s="15"/>
      <c r="H4" s="15"/>
      <c r="I4" s="390"/>
      <c r="J4" s="17"/>
      <c r="K4" s="18"/>
    </row>
    <row r="5" spans="1:11" ht="15.75" x14ac:dyDescent="0.3">
      <c r="A5" s="19"/>
      <c r="B5" s="15"/>
      <c r="C5" s="15"/>
      <c r="D5" s="20"/>
      <c r="E5" s="21"/>
      <c r="F5" s="20"/>
      <c r="G5" s="22"/>
      <c r="H5" s="22"/>
      <c r="I5" s="390"/>
      <c r="J5" s="17"/>
      <c r="K5" s="18"/>
    </row>
    <row r="6" spans="1:11" ht="15.75" x14ac:dyDescent="0.3">
      <c r="A6" s="23"/>
      <c r="B6" s="24"/>
      <c r="C6" s="24"/>
      <c r="D6" s="24"/>
      <c r="E6" s="22"/>
      <c r="F6" s="22"/>
      <c r="G6" s="22"/>
      <c r="H6" s="22"/>
      <c r="I6" s="390"/>
      <c r="J6" s="17"/>
      <c r="K6" s="25">
        <f ca="1">TODAY()</f>
        <v>41556</v>
      </c>
    </row>
    <row r="7" spans="1:11" ht="16.5" x14ac:dyDescent="0.3">
      <c r="A7" s="23"/>
      <c r="B7" s="24"/>
      <c r="C7" s="24"/>
      <c r="D7" s="24"/>
      <c r="E7" s="20"/>
      <c r="F7" s="22"/>
      <c r="G7" s="26"/>
      <c r="H7" s="26"/>
      <c r="I7" s="391"/>
      <c r="J7" s="27"/>
      <c r="K7" s="28" t="s">
        <v>3</v>
      </c>
    </row>
    <row r="8" spans="1:11" x14ac:dyDescent="0.25">
      <c r="A8" s="29"/>
      <c r="B8" s="80"/>
      <c r="C8" s="30" t="s">
        <v>71</v>
      </c>
      <c r="D8" s="31" t="s">
        <v>124</v>
      </c>
      <c r="E8" s="32"/>
      <c r="F8" s="31"/>
      <c r="G8" s="32"/>
      <c r="H8" s="32"/>
      <c r="I8" s="392"/>
      <c r="J8" s="33"/>
      <c r="K8" s="34"/>
    </row>
    <row r="9" spans="1:11" x14ac:dyDescent="0.25">
      <c r="A9" s="35"/>
      <c r="B9" s="36"/>
      <c r="C9" s="37" t="s">
        <v>4</v>
      </c>
      <c r="D9" s="38" t="s">
        <v>159</v>
      </c>
      <c r="E9" s="39"/>
      <c r="F9" s="38"/>
      <c r="G9" s="39"/>
      <c r="H9" s="39"/>
      <c r="I9" s="393"/>
      <c r="J9" s="40"/>
      <c r="K9" s="41"/>
    </row>
    <row r="10" spans="1:11" ht="15.75" x14ac:dyDescent="0.3">
      <c r="A10" s="47"/>
      <c r="B10" s="43"/>
      <c r="C10" s="48" t="s">
        <v>5</v>
      </c>
      <c r="D10" s="44" t="s">
        <v>157</v>
      </c>
      <c r="E10" s="45"/>
      <c r="F10" s="44"/>
      <c r="G10" s="45"/>
      <c r="H10" s="45"/>
      <c r="I10" s="393"/>
      <c r="J10" s="40"/>
      <c r="K10" s="41"/>
    </row>
    <row r="11" spans="1:11" ht="15.75" x14ac:dyDescent="0.3">
      <c r="A11" s="47"/>
      <c r="B11" s="43"/>
      <c r="C11" s="48" t="s">
        <v>15</v>
      </c>
      <c r="D11" s="49" t="s">
        <v>158</v>
      </c>
      <c r="E11" s="45"/>
      <c r="F11" s="49"/>
      <c r="G11" s="45"/>
      <c r="H11" s="45"/>
      <c r="I11" s="393"/>
      <c r="J11" s="40"/>
      <c r="K11" s="41"/>
    </row>
    <row r="12" spans="1:11" ht="15.75" x14ac:dyDescent="0.3">
      <c r="A12" s="50"/>
      <c r="B12" s="43"/>
      <c r="C12" s="74" t="s">
        <v>6</v>
      </c>
      <c r="D12" s="714"/>
      <c r="E12" s="714"/>
      <c r="F12" s="714"/>
      <c r="G12" s="714"/>
      <c r="H12" s="92"/>
      <c r="I12" s="394"/>
      <c r="J12" s="51"/>
      <c r="K12" s="51"/>
    </row>
    <row r="13" spans="1:11" ht="15.75" x14ac:dyDescent="0.3">
      <c r="A13" s="715"/>
      <c r="B13" s="716"/>
      <c r="C13" s="716"/>
      <c r="D13" s="716"/>
      <c r="E13" s="716"/>
      <c r="F13" s="716"/>
      <c r="G13" s="716"/>
      <c r="H13" s="716"/>
      <c r="I13" s="716"/>
      <c r="J13" s="716"/>
      <c r="K13" s="717"/>
    </row>
    <row r="14" spans="1:11" x14ac:dyDescent="0.25">
      <c r="A14" s="718" t="s">
        <v>7</v>
      </c>
      <c r="B14" s="719"/>
      <c r="C14" s="719"/>
      <c r="D14" s="719"/>
      <c r="E14" s="720"/>
      <c r="F14" s="52" t="s">
        <v>16</v>
      </c>
      <c r="G14" s="721" t="s">
        <v>17</v>
      </c>
      <c r="H14" s="719"/>
      <c r="I14" s="406"/>
      <c r="J14" s="95"/>
      <c r="K14" s="53" t="s">
        <v>8</v>
      </c>
    </row>
    <row r="15" spans="1:11" ht="15.75" x14ac:dyDescent="0.3">
      <c r="A15" s="722" t="s">
        <v>24</v>
      </c>
      <c r="B15" s="723"/>
      <c r="C15" s="723"/>
      <c r="D15" s="723"/>
      <c r="E15" s="724"/>
      <c r="F15" s="54"/>
      <c r="G15" s="725"/>
      <c r="H15" s="726"/>
      <c r="I15" s="407"/>
      <c r="J15" s="88"/>
      <c r="K15" s="55" t="s">
        <v>9</v>
      </c>
    </row>
    <row r="16" spans="1:11" ht="15.75" x14ac:dyDescent="0.3">
      <c r="A16" s="56"/>
      <c r="B16" s="57"/>
      <c r="C16" s="57"/>
      <c r="D16" s="57"/>
      <c r="E16" s="58"/>
      <c r="F16" s="59"/>
      <c r="G16" s="59"/>
      <c r="H16" s="59"/>
      <c r="I16" s="408"/>
      <c r="J16" s="60"/>
      <c r="K16" s="61"/>
    </row>
    <row r="17" spans="1:11" x14ac:dyDescent="0.25">
      <c r="A17" s="62" t="s">
        <v>18</v>
      </c>
      <c r="B17" s="62" t="s">
        <v>27</v>
      </c>
      <c r="C17" s="62" t="s">
        <v>19</v>
      </c>
      <c r="D17" s="62" t="s">
        <v>20</v>
      </c>
      <c r="E17" s="711" t="s">
        <v>21</v>
      </c>
      <c r="F17" s="711"/>
      <c r="G17" s="711"/>
      <c r="H17" s="96" t="s">
        <v>10</v>
      </c>
      <c r="I17" s="409" t="s">
        <v>25</v>
      </c>
      <c r="J17" s="52" t="s">
        <v>28</v>
      </c>
      <c r="K17" s="52" t="s">
        <v>22</v>
      </c>
    </row>
    <row r="18" spans="1:11" x14ac:dyDescent="0.25">
      <c r="A18" s="543">
        <v>1</v>
      </c>
      <c r="B18" s="568" t="s">
        <v>82</v>
      </c>
      <c r="C18" s="538" t="s">
        <v>26</v>
      </c>
      <c r="D18" s="548"/>
      <c r="E18" s="769"/>
      <c r="F18" s="770"/>
      <c r="G18" s="792"/>
      <c r="H18" s="546"/>
      <c r="I18" s="547">
        <v>3</v>
      </c>
      <c r="J18" s="536">
        <v>55000</v>
      </c>
      <c r="K18" s="537">
        <f t="shared" ref="K18:K49" si="0">IF((C18)&gt;0,SUM(J18*I18),"")</f>
        <v>165000</v>
      </c>
    </row>
    <row r="19" spans="1:11" x14ac:dyDescent="0.25">
      <c r="A19" s="65">
        <v>2</v>
      </c>
      <c r="B19" s="568" t="s">
        <v>43</v>
      </c>
      <c r="C19" s="538" t="s">
        <v>26</v>
      </c>
      <c r="D19" s="548"/>
      <c r="E19" s="735"/>
      <c r="F19" s="735"/>
      <c r="G19" s="735"/>
      <c r="H19" s="90"/>
      <c r="I19" s="410">
        <v>15</v>
      </c>
      <c r="J19" s="536">
        <v>55000</v>
      </c>
      <c r="K19" s="537">
        <f t="shared" si="0"/>
        <v>825000</v>
      </c>
    </row>
    <row r="20" spans="1:11" x14ac:dyDescent="0.25">
      <c r="A20" s="65">
        <v>3</v>
      </c>
      <c r="B20" s="568" t="s">
        <v>84</v>
      </c>
      <c r="C20" s="538" t="s">
        <v>26</v>
      </c>
      <c r="D20" s="548"/>
      <c r="E20" s="735"/>
      <c r="F20" s="735"/>
      <c r="G20" s="735"/>
      <c r="H20" s="90"/>
      <c r="I20" s="410">
        <v>1</v>
      </c>
      <c r="J20" s="536">
        <v>55000</v>
      </c>
      <c r="K20" s="537">
        <f t="shared" si="0"/>
        <v>55000</v>
      </c>
    </row>
    <row r="21" spans="1:11" x14ac:dyDescent="0.25">
      <c r="A21" s="543">
        <v>4</v>
      </c>
      <c r="B21" s="568" t="s">
        <v>85</v>
      </c>
      <c r="C21" s="538" t="s">
        <v>26</v>
      </c>
      <c r="D21" s="548"/>
      <c r="E21" s="735"/>
      <c r="F21" s="735"/>
      <c r="G21" s="735"/>
      <c r="H21" s="90"/>
      <c r="I21" s="410">
        <v>1</v>
      </c>
      <c r="J21" s="536">
        <v>55000</v>
      </c>
      <c r="K21" s="537">
        <f t="shared" si="0"/>
        <v>55000</v>
      </c>
    </row>
    <row r="22" spans="1:11" x14ac:dyDescent="0.25">
      <c r="A22" s="65">
        <v>5</v>
      </c>
      <c r="B22" s="568" t="s">
        <v>86</v>
      </c>
      <c r="C22" s="538" t="s">
        <v>26</v>
      </c>
      <c r="D22" s="548"/>
      <c r="E22" s="733"/>
      <c r="F22" s="733"/>
      <c r="G22" s="733"/>
      <c r="H22" s="509"/>
      <c r="I22" s="410">
        <v>3</v>
      </c>
      <c r="J22" s="536">
        <v>55000</v>
      </c>
      <c r="K22" s="537">
        <f t="shared" si="0"/>
        <v>165000</v>
      </c>
    </row>
    <row r="23" spans="1:11" x14ac:dyDescent="0.25">
      <c r="A23" s="65">
        <v>6</v>
      </c>
      <c r="B23" s="568" t="s">
        <v>87</v>
      </c>
      <c r="C23" s="538" t="s">
        <v>26</v>
      </c>
      <c r="D23" s="548"/>
      <c r="E23" s="733"/>
      <c r="F23" s="733"/>
      <c r="G23" s="733"/>
      <c r="H23" s="509"/>
      <c r="I23" s="410">
        <v>1</v>
      </c>
      <c r="J23" s="536">
        <v>55000</v>
      </c>
      <c r="K23" s="537">
        <f t="shared" si="0"/>
        <v>55000</v>
      </c>
    </row>
    <row r="24" spans="1:11" x14ac:dyDescent="0.25">
      <c r="A24" s="543">
        <v>7</v>
      </c>
      <c r="B24" s="568" t="s">
        <v>88</v>
      </c>
      <c r="C24" s="538" t="s">
        <v>26</v>
      </c>
      <c r="D24" s="548"/>
      <c r="E24" s="733"/>
      <c r="F24" s="733"/>
      <c r="G24" s="733"/>
      <c r="H24" s="509"/>
      <c r="I24" s="410">
        <v>2</v>
      </c>
      <c r="J24" s="536">
        <v>55000</v>
      </c>
      <c r="K24" s="537">
        <f t="shared" si="0"/>
        <v>110000</v>
      </c>
    </row>
    <row r="25" spans="1:11" x14ac:dyDescent="0.25">
      <c r="A25" s="65">
        <v>8</v>
      </c>
      <c r="B25" s="569" t="s">
        <v>89</v>
      </c>
      <c r="C25" s="538" t="s">
        <v>26</v>
      </c>
      <c r="D25" s="548"/>
      <c r="E25" s="733"/>
      <c r="F25" s="733"/>
      <c r="G25" s="733"/>
      <c r="H25" s="509"/>
      <c r="I25" s="410">
        <v>3</v>
      </c>
      <c r="J25" s="536">
        <v>55000</v>
      </c>
      <c r="K25" s="537">
        <f t="shared" si="0"/>
        <v>165000</v>
      </c>
    </row>
    <row r="26" spans="1:11" x14ac:dyDescent="0.25">
      <c r="A26" s="65">
        <v>9</v>
      </c>
      <c r="B26" s="568" t="s">
        <v>90</v>
      </c>
      <c r="C26" s="538" t="s">
        <v>26</v>
      </c>
      <c r="D26" s="548"/>
      <c r="E26" s="733"/>
      <c r="F26" s="733"/>
      <c r="G26" s="733"/>
      <c r="H26" s="509"/>
      <c r="I26" s="410">
        <v>1</v>
      </c>
      <c r="J26" s="536">
        <v>55000</v>
      </c>
      <c r="K26" s="537">
        <f t="shared" si="0"/>
        <v>55000</v>
      </c>
    </row>
    <row r="27" spans="1:11" x14ac:dyDescent="0.25">
      <c r="A27" s="543">
        <v>10</v>
      </c>
      <c r="B27" s="568" t="s">
        <v>91</v>
      </c>
      <c r="C27" s="538" t="s">
        <v>26</v>
      </c>
      <c r="D27" s="548"/>
      <c r="E27" s="733"/>
      <c r="F27" s="733"/>
      <c r="G27" s="733"/>
      <c r="H27" s="509"/>
      <c r="I27" s="410">
        <v>3</v>
      </c>
      <c r="J27" s="536">
        <v>55000</v>
      </c>
      <c r="K27" s="537">
        <f t="shared" si="0"/>
        <v>165000</v>
      </c>
    </row>
    <row r="28" spans="1:11" x14ac:dyDescent="0.25">
      <c r="A28" s="65">
        <v>11</v>
      </c>
      <c r="B28" s="568" t="s">
        <v>92</v>
      </c>
      <c r="C28" s="538" t="s">
        <v>26</v>
      </c>
      <c r="D28" s="548"/>
      <c r="E28" s="733"/>
      <c r="F28" s="733"/>
      <c r="G28" s="733"/>
      <c r="H28" s="509"/>
      <c r="I28" s="410">
        <v>3</v>
      </c>
      <c r="J28" s="536">
        <v>55000</v>
      </c>
      <c r="K28" s="537">
        <f t="shared" si="0"/>
        <v>165000</v>
      </c>
    </row>
    <row r="29" spans="1:11" ht="15" customHeight="1" x14ac:dyDescent="0.25">
      <c r="A29" s="65">
        <v>12</v>
      </c>
      <c r="B29" s="568" t="s">
        <v>93</v>
      </c>
      <c r="C29" s="538" t="s">
        <v>26</v>
      </c>
      <c r="D29" s="548"/>
      <c r="E29" s="733"/>
      <c r="F29" s="733"/>
      <c r="G29" s="733"/>
      <c r="H29" s="509"/>
      <c r="I29" s="410">
        <v>1</v>
      </c>
      <c r="J29" s="536">
        <v>55000</v>
      </c>
      <c r="K29" s="537">
        <f t="shared" si="0"/>
        <v>55000</v>
      </c>
    </row>
    <row r="30" spans="1:11" x14ac:dyDescent="0.25">
      <c r="A30" s="543">
        <v>13</v>
      </c>
      <c r="B30" s="568" t="s">
        <v>94</v>
      </c>
      <c r="C30" s="538" t="s">
        <v>26</v>
      </c>
      <c r="D30" s="548"/>
      <c r="E30" s="736"/>
      <c r="F30" s="736"/>
      <c r="G30" s="736"/>
      <c r="H30" s="510"/>
      <c r="I30" s="410">
        <v>4</v>
      </c>
      <c r="J30" s="536">
        <v>55000</v>
      </c>
      <c r="K30" s="537">
        <f t="shared" si="0"/>
        <v>220000</v>
      </c>
    </row>
    <row r="31" spans="1:11" x14ac:dyDescent="0.25">
      <c r="A31" s="65">
        <v>14</v>
      </c>
      <c r="B31" s="568" t="s">
        <v>95</v>
      </c>
      <c r="C31" s="538" t="s">
        <v>26</v>
      </c>
      <c r="D31" s="548"/>
      <c r="E31" s="736"/>
      <c r="F31" s="736"/>
      <c r="G31" s="736"/>
      <c r="H31" s="510"/>
      <c r="I31" s="410">
        <v>1</v>
      </c>
      <c r="J31" s="536">
        <v>55000</v>
      </c>
      <c r="K31" s="537">
        <f t="shared" si="0"/>
        <v>55000</v>
      </c>
    </row>
    <row r="32" spans="1:11" x14ac:dyDescent="0.25">
      <c r="A32" s="65">
        <v>15</v>
      </c>
      <c r="B32" s="568" t="s">
        <v>96</v>
      </c>
      <c r="C32" s="538" t="s">
        <v>26</v>
      </c>
      <c r="D32" s="548"/>
      <c r="E32" s="736"/>
      <c r="F32" s="736"/>
      <c r="G32" s="736"/>
      <c r="H32" s="510"/>
      <c r="I32" s="410">
        <v>2</v>
      </c>
      <c r="J32" s="536">
        <v>55000</v>
      </c>
      <c r="K32" s="537">
        <f t="shared" si="0"/>
        <v>110000</v>
      </c>
    </row>
    <row r="33" spans="1:11" x14ac:dyDescent="0.25">
      <c r="A33" s="543">
        <v>16</v>
      </c>
      <c r="B33" s="570" t="s">
        <v>97</v>
      </c>
      <c r="C33" s="538" t="s">
        <v>26</v>
      </c>
      <c r="D33" s="548"/>
      <c r="E33" s="736"/>
      <c r="F33" s="736"/>
      <c r="G33" s="736"/>
      <c r="H33" s="510"/>
      <c r="I33" s="410">
        <v>1</v>
      </c>
      <c r="J33" s="536">
        <v>55000</v>
      </c>
      <c r="K33" s="537">
        <f t="shared" si="0"/>
        <v>55000</v>
      </c>
    </row>
    <row r="34" spans="1:11" x14ac:dyDescent="0.25">
      <c r="A34" s="65">
        <v>17</v>
      </c>
      <c r="B34" s="568" t="s">
        <v>98</v>
      </c>
      <c r="C34" s="538" t="s">
        <v>26</v>
      </c>
      <c r="D34" s="548"/>
      <c r="E34" s="736"/>
      <c r="F34" s="736"/>
      <c r="G34" s="736"/>
      <c r="H34" s="510"/>
      <c r="I34" s="410">
        <v>1</v>
      </c>
      <c r="J34" s="536">
        <v>55000</v>
      </c>
      <c r="K34" s="537">
        <f t="shared" si="0"/>
        <v>55000</v>
      </c>
    </row>
    <row r="35" spans="1:11" x14ac:dyDescent="0.25">
      <c r="A35" s="65">
        <v>18</v>
      </c>
      <c r="B35" s="568" t="s">
        <v>99</v>
      </c>
      <c r="C35" s="538" t="s">
        <v>26</v>
      </c>
      <c r="D35" s="548"/>
      <c r="E35" s="736"/>
      <c r="F35" s="736"/>
      <c r="G35" s="736"/>
      <c r="H35" s="510"/>
      <c r="I35" s="410">
        <v>1</v>
      </c>
      <c r="J35" s="536">
        <v>55000</v>
      </c>
      <c r="K35" s="537">
        <f t="shared" si="0"/>
        <v>55000</v>
      </c>
    </row>
    <row r="36" spans="1:11" x14ac:dyDescent="0.25">
      <c r="A36" s="543">
        <v>19</v>
      </c>
      <c r="B36" s="568" t="s">
        <v>100</v>
      </c>
      <c r="C36" s="538" t="s">
        <v>26</v>
      </c>
      <c r="D36" s="548"/>
      <c r="E36" s="734"/>
      <c r="F36" s="734"/>
      <c r="G36" s="734"/>
      <c r="H36" s="107"/>
      <c r="I36" s="410">
        <v>15</v>
      </c>
      <c r="J36" s="536">
        <v>55000</v>
      </c>
      <c r="K36" s="537">
        <f t="shared" si="0"/>
        <v>825000</v>
      </c>
    </row>
    <row r="37" spans="1:11" x14ac:dyDescent="0.25">
      <c r="A37" s="65">
        <v>20</v>
      </c>
      <c r="B37" s="568" t="s">
        <v>101</v>
      </c>
      <c r="C37" s="538" t="s">
        <v>26</v>
      </c>
      <c r="D37" s="548"/>
      <c r="E37" s="734"/>
      <c r="F37" s="734"/>
      <c r="G37" s="734"/>
      <c r="H37" s="107"/>
      <c r="I37" s="410">
        <v>6</v>
      </c>
      <c r="J37" s="536">
        <v>55000</v>
      </c>
      <c r="K37" s="537">
        <f t="shared" si="0"/>
        <v>330000</v>
      </c>
    </row>
    <row r="38" spans="1:11" x14ac:dyDescent="0.25">
      <c r="A38" s="65">
        <v>21</v>
      </c>
      <c r="B38" s="568" t="s">
        <v>102</v>
      </c>
      <c r="C38" s="538" t="s">
        <v>26</v>
      </c>
      <c r="D38" s="548"/>
      <c r="E38" s="734"/>
      <c r="F38" s="734"/>
      <c r="G38" s="734"/>
      <c r="H38" s="107"/>
      <c r="I38" s="410">
        <v>1</v>
      </c>
      <c r="J38" s="536">
        <v>55000</v>
      </c>
      <c r="K38" s="537">
        <f t="shared" si="0"/>
        <v>55000</v>
      </c>
    </row>
    <row r="39" spans="1:11" x14ac:dyDescent="0.25">
      <c r="A39" s="543">
        <v>22</v>
      </c>
      <c r="B39" s="568" t="s">
        <v>103</v>
      </c>
      <c r="C39" s="538" t="s">
        <v>26</v>
      </c>
      <c r="D39" s="548"/>
      <c r="E39" s="734"/>
      <c r="F39" s="734"/>
      <c r="G39" s="734"/>
      <c r="H39" s="107"/>
      <c r="I39" s="410">
        <v>1</v>
      </c>
      <c r="J39" s="536">
        <v>55000</v>
      </c>
      <c r="K39" s="537">
        <f t="shared" si="0"/>
        <v>55000</v>
      </c>
    </row>
    <row r="40" spans="1:11" x14ac:dyDescent="0.25">
      <c r="A40" s="65">
        <v>23</v>
      </c>
      <c r="B40" s="569" t="s">
        <v>104</v>
      </c>
      <c r="C40" s="538" t="s">
        <v>26</v>
      </c>
      <c r="D40" s="548"/>
      <c r="E40" s="735"/>
      <c r="F40" s="735"/>
      <c r="G40" s="735"/>
      <c r="H40" s="90"/>
      <c r="I40" s="411">
        <v>1</v>
      </c>
      <c r="J40" s="536">
        <v>55000</v>
      </c>
      <c r="K40" s="537">
        <f t="shared" si="0"/>
        <v>55000</v>
      </c>
    </row>
    <row r="41" spans="1:11" x14ac:dyDescent="0.25">
      <c r="A41" s="65">
        <v>24</v>
      </c>
      <c r="B41" s="568" t="s">
        <v>105</v>
      </c>
      <c r="C41" s="538" t="s">
        <v>26</v>
      </c>
      <c r="D41" s="548"/>
      <c r="E41" s="735"/>
      <c r="F41" s="735"/>
      <c r="G41" s="735"/>
      <c r="H41" s="90"/>
      <c r="I41" s="411">
        <v>1</v>
      </c>
      <c r="J41" s="536">
        <v>55000</v>
      </c>
      <c r="K41" s="537">
        <f t="shared" si="0"/>
        <v>55000</v>
      </c>
    </row>
    <row r="42" spans="1:11" x14ac:dyDescent="0.25">
      <c r="A42" s="543">
        <v>25</v>
      </c>
      <c r="B42" s="568" t="s">
        <v>106</v>
      </c>
      <c r="C42" s="538" t="s">
        <v>26</v>
      </c>
      <c r="D42" s="548"/>
      <c r="E42" s="696"/>
      <c r="F42" s="697"/>
      <c r="G42" s="698"/>
      <c r="H42" s="90"/>
      <c r="I42" s="411">
        <v>84</v>
      </c>
      <c r="J42" s="536">
        <v>55000</v>
      </c>
      <c r="K42" s="537">
        <f t="shared" si="0"/>
        <v>4620000</v>
      </c>
    </row>
    <row r="43" spans="1:11" x14ac:dyDescent="0.25">
      <c r="A43" s="65">
        <v>26</v>
      </c>
      <c r="B43" s="568" t="s">
        <v>107</v>
      </c>
      <c r="C43" s="538" t="s">
        <v>26</v>
      </c>
      <c r="D43" s="548"/>
      <c r="E43" s="735"/>
      <c r="F43" s="735"/>
      <c r="G43" s="735"/>
      <c r="H43" s="90"/>
      <c r="I43" s="411">
        <v>1</v>
      </c>
      <c r="J43" s="536">
        <v>55000</v>
      </c>
      <c r="K43" s="537">
        <f t="shared" si="0"/>
        <v>55000</v>
      </c>
    </row>
    <row r="44" spans="1:11" x14ac:dyDescent="0.25">
      <c r="A44" s="65">
        <v>27</v>
      </c>
      <c r="B44" s="568" t="s">
        <v>108</v>
      </c>
      <c r="C44" s="538" t="s">
        <v>26</v>
      </c>
      <c r="D44" s="548"/>
      <c r="E44" s="772"/>
      <c r="F44" s="772"/>
      <c r="G44" s="772"/>
      <c r="H44" s="549"/>
      <c r="I44" s="411">
        <v>3</v>
      </c>
      <c r="J44" s="536">
        <v>55000</v>
      </c>
      <c r="K44" s="537">
        <f t="shared" si="0"/>
        <v>165000</v>
      </c>
    </row>
    <row r="45" spans="1:11" x14ac:dyDescent="0.25">
      <c r="A45" s="543">
        <v>28</v>
      </c>
      <c r="B45" s="568" t="s">
        <v>109</v>
      </c>
      <c r="C45" s="538" t="s">
        <v>26</v>
      </c>
      <c r="D45" s="548"/>
      <c r="E45" s="782"/>
      <c r="F45" s="782"/>
      <c r="G45" s="782"/>
      <c r="H45" s="550"/>
      <c r="I45" s="551">
        <v>5</v>
      </c>
      <c r="J45" s="536">
        <v>55000</v>
      </c>
      <c r="K45" s="537">
        <f t="shared" si="0"/>
        <v>275000</v>
      </c>
    </row>
    <row r="46" spans="1:11" x14ac:dyDescent="0.25">
      <c r="A46" s="65">
        <v>29</v>
      </c>
      <c r="B46" s="568" t="s">
        <v>110</v>
      </c>
      <c r="C46" s="538" t="s">
        <v>26</v>
      </c>
      <c r="D46" s="548"/>
      <c r="E46" s="782"/>
      <c r="F46" s="782"/>
      <c r="G46" s="782"/>
      <c r="H46" s="550"/>
      <c r="I46" s="551">
        <v>2</v>
      </c>
      <c r="J46" s="536">
        <v>55000</v>
      </c>
      <c r="K46" s="537">
        <f t="shared" si="0"/>
        <v>110000</v>
      </c>
    </row>
    <row r="47" spans="1:11" x14ac:dyDescent="0.25">
      <c r="A47" s="65">
        <v>30</v>
      </c>
      <c r="B47" s="568" t="s">
        <v>111</v>
      </c>
      <c r="C47" s="538" t="s">
        <v>26</v>
      </c>
      <c r="D47" s="548"/>
      <c r="E47" s="772"/>
      <c r="F47" s="772"/>
      <c r="G47" s="772"/>
      <c r="H47" s="549"/>
      <c r="I47" s="411">
        <v>3</v>
      </c>
      <c r="J47" s="536">
        <v>55000</v>
      </c>
      <c r="K47" s="537">
        <f t="shared" si="0"/>
        <v>165000</v>
      </c>
    </row>
    <row r="48" spans="1:11" x14ac:dyDescent="0.25">
      <c r="A48" s="543">
        <v>31</v>
      </c>
      <c r="B48" s="568" t="s">
        <v>112</v>
      </c>
      <c r="C48" s="538" t="s">
        <v>26</v>
      </c>
      <c r="D48" s="548"/>
      <c r="E48" s="772"/>
      <c r="F48" s="772"/>
      <c r="G48" s="772"/>
      <c r="H48" s="549"/>
      <c r="I48" s="411">
        <v>17</v>
      </c>
      <c r="J48" s="536">
        <v>55000</v>
      </c>
      <c r="K48" s="537">
        <f t="shared" si="0"/>
        <v>935000</v>
      </c>
    </row>
    <row r="49" spans="1:11" x14ac:dyDescent="0.25">
      <c r="A49" s="65">
        <v>32</v>
      </c>
      <c r="B49" s="568" t="s">
        <v>113</v>
      </c>
      <c r="C49" s="538" t="s">
        <v>26</v>
      </c>
      <c r="D49" s="548"/>
      <c r="E49" s="773"/>
      <c r="F49" s="773"/>
      <c r="G49" s="773"/>
      <c r="H49" s="546"/>
      <c r="I49" s="547">
        <v>1</v>
      </c>
      <c r="J49" s="536">
        <v>55000</v>
      </c>
      <c r="K49" s="537">
        <f t="shared" si="0"/>
        <v>55000</v>
      </c>
    </row>
    <row r="50" spans="1:11" x14ac:dyDescent="0.25">
      <c r="A50" s="65">
        <v>33</v>
      </c>
      <c r="B50" s="569" t="s">
        <v>114</v>
      </c>
      <c r="C50" s="538" t="s">
        <v>26</v>
      </c>
      <c r="D50" s="548"/>
      <c r="E50" s="773"/>
      <c r="F50" s="773"/>
      <c r="G50" s="773"/>
      <c r="H50" s="546"/>
      <c r="I50" s="547">
        <v>8</v>
      </c>
      <c r="J50" s="536">
        <v>55000</v>
      </c>
      <c r="K50" s="537">
        <f>IF((C50)&gt;0,SUM(J50*I50),"")</f>
        <v>440000</v>
      </c>
    </row>
    <row r="51" spans="1:11" x14ac:dyDescent="0.25">
      <c r="A51" s="543">
        <v>34</v>
      </c>
      <c r="B51" s="568" t="s">
        <v>115</v>
      </c>
      <c r="C51" s="538" t="s">
        <v>26</v>
      </c>
      <c r="D51" s="548"/>
      <c r="E51" s="773"/>
      <c r="F51" s="773"/>
      <c r="G51" s="773"/>
      <c r="H51" s="546"/>
      <c r="I51" s="547">
        <v>1</v>
      </c>
      <c r="J51" s="536">
        <v>55000</v>
      </c>
      <c r="K51" s="537">
        <f>IF((C51)&gt;0,SUM(J51*I51),"")</f>
        <v>55000</v>
      </c>
    </row>
    <row r="52" spans="1:11" x14ac:dyDescent="0.25">
      <c r="A52" s="65">
        <v>35</v>
      </c>
      <c r="B52" s="568" t="s">
        <v>116</v>
      </c>
      <c r="C52" s="538" t="s">
        <v>26</v>
      </c>
      <c r="D52" s="548"/>
      <c r="E52" s="780"/>
      <c r="F52" s="780"/>
      <c r="G52" s="780"/>
      <c r="H52" s="552"/>
      <c r="I52" s="553">
        <v>1</v>
      </c>
      <c r="J52" s="536">
        <v>55000</v>
      </c>
      <c r="K52" s="537">
        <f>IF((C52)&gt;0,SUM(J52*I52),"")</f>
        <v>55000</v>
      </c>
    </row>
    <row r="53" spans="1:11" x14ac:dyDescent="0.25">
      <c r="A53" s="65">
        <v>36</v>
      </c>
      <c r="B53" s="568" t="s">
        <v>117</v>
      </c>
      <c r="C53" s="538" t="s">
        <v>26</v>
      </c>
      <c r="D53" s="548"/>
      <c r="E53" s="781"/>
      <c r="F53" s="781"/>
      <c r="G53" s="781"/>
      <c r="H53" s="554"/>
      <c r="I53" s="553">
        <v>1</v>
      </c>
      <c r="J53" s="536">
        <v>55000</v>
      </c>
      <c r="K53" s="537">
        <f>IF((C53)&gt;0,SUM(J53*I53),"")</f>
        <v>55000</v>
      </c>
    </row>
    <row r="54" spans="1:11" x14ac:dyDescent="0.25">
      <c r="A54" s="543">
        <v>37</v>
      </c>
      <c r="B54" s="568" t="s">
        <v>118</v>
      </c>
      <c r="C54" s="538" t="s">
        <v>26</v>
      </c>
      <c r="D54" s="548"/>
      <c r="E54" s="781"/>
      <c r="F54" s="781"/>
      <c r="G54" s="781"/>
      <c r="H54" s="554"/>
      <c r="I54" s="553">
        <v>1</v>
      </c>
      <c r="J54" s="536">
        <v>55000</v>
      </c>
      <c r="K54" s="537">
        <f>IF((C54)&gt;0,SUM(J54*I54),"")</f>
        <v>55000</v>
      </c>
    </row>
    <row r="55" spans="1:11" ht="15.75" x14ac:dyDescent="0.25">
      <c r="A55" s="69" t="s">
        <v>69</v>
      </c>
      <c r="B55" s="66"/>
      <c r="C55" s="66"/>
      <c r="D55" s="66"/>
      <c r="E55" s="67"/>
      <c r="F55" s="67"/>
      <c r="G55" s="67"/>
      <c r="H55" s="67"/>
      <c r="I55" s="306"/>
      <c r="J55" s="68"/>
      <c r="K55" s="506">
        <f>SUM(K18:K54)</f>
        <v>11000000</v>
      </c>
    </row>
    <row r="56" spans="1:11" ht="15.75" x14ac:dyDescent="0.25">
      <c r="A56" s="70" t="s">
        <v>67</v>
      </c>
      <c r="B56" s="70"/>
      <c r="C56" s="66"/>
      <c r="E56" s="71"/>
      <c r="F56" s="71"/>
      <c r="G56" s="71"/>
      <c r="H56" s="71"/>
      <c r="I56" s="306"/>
      <c r="J56" s="68"/>
      <c r="K56" s="507">
        <v>20000</v>
      </c>
    </row>
    <row r="57" spans="1:11" ht="15.75" x14ac:dyDescent="0.25">
      <c r="A57" s="70" t="s">
        <v>68</v>
      </c>
      <c r="B57" s="66"/>
      <c r="C57" s="66"/>
      <c r="E57" s="71"/>
      <c r="F57" s="71"/>
      <c r="G57" s="71"/>
      <c r="H57" s="71"/>
      <c r="I57" s="306"/>
      <c r="J57" s="68"/>
      <c r="K57" s="507">
        <f>(K55+K56)*5%</f>
        <v>551000</v>
      </c>
    </row>
    <row r="58" spans="1:11" ht="15.75" x14ac:dyDescent="0.25">
      <c r="A58" s="70" t="s">
        <v>70</v>
      </c>
      <c r="B58" s="66"/>
      <c r="C58" s="66"/>
      <c r="E58" s="71"/>
      <c r="F58" s="71"/>
      <c r="G58" s="71"/>
      <c r="H58" s="71"/>
      <c r="I58" s="306"/>
      <c r="J58" s="68"/>
      <c r="K58" s="76">
        <f>K55+K56+K57</f>
        <v>11571000</v>
      </c>
    </row>
    <row r="59" spans="1:11" ht="15" customHeight="1" x14ac:dyDescent="0.25">
      <c r="A59" s="97"/>
      <c r="B59" s="98"/>
      <c r="C59" s="98"/>
      <c r="D59" s="99"/>
      <c r="E59" s="100"/>
      <c r="F59" s="100"/>
      <c r="G59" s="100"/>
      <c r="H59" s="100"/>
      <c r="I59" s="379"/>
      <c r="J59" s="101"/>
      <c r="K59" s="102"/>
    </row>
    <row r="60" spans="1:11" ht="15.75" x14ac:dyDescent="0.25">
      <c r="A60" s="103" t="s">
        <v>76</v>
      </c>
      <c r="B60" s="98"/>
      <c r="C60" s="98"/>
      <c r="D60" s="99"/>
      <c r="E60" s="100"/>
      <c r="F60" s="100"/>
      <c r="G60" s="100"/>
      <c r="H60" s="100"/>
      <c r="I60" s="379"/>
      <c r="J60" s="101"/>
      <c r="K60" s="102"/>
    </row>
    <row r="61" spans="1:11" ht="16.5" thickBot="1" x14ac:dyDescent="0.3">
      <c r="A61" s="97"/>
      <c r="B61" s="98"/>
      <c r="C61" s="98"/>
      <c r="D61" s="99"/>
      <c r="E61" s="100"/>
      <c r="F61" s="100"/>
      <c r="G61" s="100"/>
      <c r="H61" s="100"/>
      <c r="I61" s="379"/>
      <c r="J61" s="101"/>
      <c r="K61" s="102"/>
    </row>
    <row r="62" spans="1:11" x14ac:dyDescent="0.25">
      <c r="A62" s="705" t="s">
        <v>23</v>
      </c>
      <c r="B62" s="706"/>
      <c r="C62" s="706"/>
      <c r="D62" s="706"/>
      <c r="E62" s="706"/>
      <c r="F62" s="706"/>
      <c r="G62" s="706"/>
      <c r="H62" s="706"/>
      <c r="I62" s="706"/>
      <c r="J62" s="706"/>
      <c r="K62" s="707"/>
    </row>
    <row r="63" spans="1:11" ht="15.75" thickBot="1" x14ac:dyDescent="0.3">
      <c r="A63" s="708"/>
      <c r="B63" s="709"/>
      <c r="C63" s="709"/>
      <c r="D63" s="709"/>
      <c r="E63" s="709"/>
      <c r="F63" s="709"/>
      <c r="G63" s="709"/>
      <c r="H63" s="709"/>
      <c r="I63" s="709"/>
      <c r="J63" s="709"/>
      <c r="K63" s="710"/>
    </row>
    <row r="64" spans="1:11" ht="15.75" thickBot="1" x14ac:dyDescent="0.3">
      <c r="A64" s="793"/>
      <c r="B64" s="794"/>
      <c r="C64" s="794"/>
      <c r="D64" s="794"/>
      <c r="E64" s="794"/>
      <c r="F64" s="794"/>
      <c r="G64" s="794"/>
      <c r="H64" s="794"/>
      <c r="I64" s="794"/>
      <c r="J64" s="794"/>
      <c r="K64" s="795"/>
    </row>
  </sheetData>
  <mergeCells count="48">
    <mergeCell ref="A64:K64"/>
    <mergeCell ref="E51:G51"/>
    <mergeCell ref="E52:G52"/>
    <mergeCell ref="E53:G53"/>
    <mergeCell ref="E54:G54"/>
    <mergeCell ref="A62:K63"/>
    <mergeCell ref="E42:G42"/>
    <mergeCell ref="E45:G45"/>
    <mergeCell ref="E46:G46"/>
    <mergeCell ref="E47:G47"/>
    <mergeCell ref="E48:G48"/>
    <mergeCell ref="E49:G49"/>
    <mergeCell ref="E34:G34"/>
    <mergeCell ref="E35:G35"/>
    <mergeCell ref="E36:G36"/>
    <mergeCell ref="E37:G37"/>
    <mergeCell ref="E50:G50"/>
    <mergeCell ref="E39:G39"/>
    <mergeCell ref="E40:G40"/>
    <mergeCell ref="E41:G41"/>
    <mergeCell ref="E43:G43"/>
    <mergeCell ref="E44:G44"/>
    <mergeCell ref="E24:G24"/>
    <mergeCell ref="E25:G25"/>
    <mergeCell ref="E38:G38"/>
    <mergeCell ref="E27:G27"/>
    <mergeCell ref="E28:G28"/>
    <mergeCell ref="E29:G29"/>
    <mergeCell ref="E30:G30"/>
    <mergeCell ref="E31:G31"/>
    <mergeCell ref="E32:G32"/>
    <mergeCell ref="E33:G33"/>
    <mergeCell ref="E26:G26"/>
    <mergeCell ref="A15:E15"/>
    <mergeCell ref="G15:H15"/>
    <mergeCell ref="E17:G17"/>
    <mergeCell ref="E19:G19"/>
    <mergeCell ref="E20:G20"/>
    <mergeCell ref="E18:G18"/>
    <mergeCell ref="E21:G21"/>
    <mergeCell ref="E22:G22"/>
    <mergeCell ref="E23:G23"/>
    <mergeCell ref="E1:K1"/>
    <mergeCell ref="D12:E12"/>
    <mergeCell ref="F12:G12"/>
    <mergeCell ref="A13:K13"/>
    <mergeCell ref="A14:E14"/>
    <mergeCell ref="G14:H14"/>
  </mergeCells>
  <pageMargins left="0.70866141732283472" right="0.70866141732283472" top="0.74803149606299213" bottom="0.74803149606299213" header="0.31496062992125984" footer="0.31496062992125984"/>
  <pageSetup paperSize="9" scale="57" fitToHeight="0" orientation="portrait" horizontalDpi="300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5"/>
  <sheetViews>
    <sheetView view="pageBreakPreview" zoomScaleNormal="100" zoomScaleSheetLayoutView="100" workbookViewId="0">
      <selection activeCell="E1" sqref="E1:J1"/>
    </sheetView>
  </sheetViews>
  <sheetFormatPr defaultRowHeight="15" x14ac:dyDescent="0.25"/>
  <cols>
    <col min="1" max="1" width="3.7109375" customWidth="1"/>
    <col min="2" max="2" width="14.85546875" customWidth="1"/>
    <col min="3" max="3" width="18.85546875" customWidth="1"/>
    <col min="4" max="4" width="12.42578125" customWidth="1"/>
    <col min="5" max="5" width="14.85546875" customWidth="1"/>
    <col min="6" max="6" width="3.5703125" customWidth="1"/>
    <col min="7" max="7" width="14.140625" customWidth="1"/>
    <col min="8" max="8" width="13.42578125" style="380" customWidth="1"/>
    <col min="9" max="9" width="13.42578125" customWidth="1"/>
    <col min="10" max="10" width="16.140625" customWidth="1"/>
  </cols>
  <sheetData>
    <row r="1" spans="1:10" ht="46.5" x14ac:dyDescent="0.55000000000000004">
      <c r="A1" s="1"/>
      <c r="B1" s="2"/>
      <c r="C1" s="2"/>
      <c r="D1" s="2"/>
      <c r="E1" s="712"/>
      <c r="F1" s="712"/>
      <c r="G1" s="712"/>
      <c r="H1" s="712"/>
      <c r="I1" s="712"/>
      <c r="J1" s="713"/>
    </row>
    <row r="2" spans="1:10" ht="17.25" x14ac:dyDescent="0.3">
      <c r="A2" s="3"/>
      <c r="B2" s="4"/>
      <c r="C2" s="4"/>
      <c r="D2" s="4"/>
      <c r="E2" s="5"/>
      <c r="F2" s="6"/>
      <c r="G2" s="6"/>
      <c r="H2" s="388"/>
      <c r="I2" s="7"/>
      <c r="J2" s="8"/>
    </row>
    <row r="3" spans="1:10" ht="15.75" x14ac:dyDescent="0.25">
      <c r="A3" s="9"/>
      <c r="B3" s="10"/>
      <c r="C3" s="10"/>
      <c r="D3" s="10"/>
      <c r="E3" s="12"/>
      <c r="F3" s="12"/>
      <c r="G3" s="12"/>
      <c r="H3" s="389"/>
      <c r="I3" s="13"/>
      <c r="J3" s="14"/>
    </row>
    <row r="4" spans="1:10" x14ac:dyDescent="0.25">
      <c r="A4" s="9"/>
      <c r="B4" s="10"/>
      <c r="C4" s="15"/>
      <c r="D4" s="15"/>
      <c r="E4" s="15"/>
      <c r="F4" s="15"/>
      <c r="G4" s="15"/>
      <c r="H4" s="390"/>
      <c r="I4" s="17"/>
      <c r="J4" s="18"/>
    </row>
    <row r="5" spans="1:10" ht="15.75" x14ac:dyDescent="0.3">
      <c r="A5" s="19"/>
      <c r="B5" s="15"/>
      <c r="C5" s="15"/>
      <c r="D5" s="20"/>
      <c r="E5" s="20"/>
      <c r="F5" s="22"/>
      <c r="G5" s="22"/>
      <c r="H5" s="390"/>
      <c r="I5" s="17"/>
      <c r="J5" s="18"/>
    </row>
    <row r="6" spans="1:10" ht="15.75" x14ac:dyDescent="0.3">
      <c r="A6" s="23"/>
      <c r="B6" s="24"/>
      <c r="C6" s="24"/>
      <c r="D6" s="24"/>
      <c r="E6" s="22"/>
      <c r="F6" s="22"/>
      <c r="G6" s="22"/>
      <c r="H6" s="390"/>
      <c r="I6" s="17" t="s">
        <v>226</v>
      </c>
      <c r="J6" s="25">
        <f ca="1">TODAY()</f>
        <v>41556</v>
      </c>
    </row>
    <row r="7" spans="1:10" ht="16.5" x14ac:dyDescent="0.3">
      <c r="A7" s="23"/>
      <c r="B7" s="24"/>
      <c r="C7" s="24"/>
      <c r="D7" s="24"/>
      <c r="E7" s="22"/>
      <c r="F7" s="26"/>
      <c r="G7" s="26"/>
      <c r="H7" s="391"/>
      <c r="I7" s="27"/>
      <c r="J7" s="28"/>
    </row>
    <row r="8" spans="1:10" x14ac:dyDescent="0.25">
      <c r="A8" s="29"/>
      <c r="B8" s="80"/>
      <c r="C8" s="30" t="s">
        <v>71</v>
      </c>
      <c r="D8" s="31" t="s">
        <v>162</v>
      </c>
      <c r="E8" s="31"/>
      <c r="F8" s="32"/>
      <c r="G8" s="32"/>
      <c r="H8" s="392"/>
      <c r="I8" s="33"/>
      <c r="J8" s="34"/>
    </row>
    <row r="9" spans="1:10" x14ac:dyDescent="0.25">
      <c r="A9" s="35"/>
      <c r="B9" s="36"/>
      <c r="C9" s="37" t="s">
        <v>4</v>
      </c>
      <c r="D9" s="38" t="s">
        <v>269</v>
      </c>
      <c r="E9" s="38"/>
      <c r="F9" s="39"/>
      <c r="G9" s="39"/>
      <c r="H9" s="393"/>
      <c r="I9" s="40"/>
      <c r="J9" s="41"/>
    </row>
    <row r="10" spans="1:10" x14ac:dyDescent="0.25">
      <c r="A10" s="35"/>
      <c r="B10" s="36"/>
      <c r="C10" s="627" t="s">
        <v>12</v>
      </c>
      <c r="D10" s="38" t="s">
        <v>137</v>
      </c>
      <c r="E10" s="38"/>
      <c r="F10" s="39"/>
      <c r="G10" s="39"/>
      <c r="H10" s="393"/>
      <c r="I10" s="40"/>
      <c r="J10" s="41"/>
    </row>
    <row r="11" spans="1:10" ht="15.75" x14ac:dyDescent="0.3">
      <c r="A11" s="47"/>
      <c r="B11" s="43"/>
      <c r="C11" s="48" t="s">
        <v>5</v>
      </c>
      <c r="D11" s="44" t="s">
        <v>164</v>
      </c>
      <c r="E11" s="44"/>
      <c r="F11" s="45"/>
      <c r="G11" s="45"/>
      <c r="H11" s="393"/>
      <c r="I11" s="40"/>
      <c r="J11" s="41"/>
    </row>
    <row r="12" spans="1:10" ht="15.75" x14ac:dyDescent="0.3">
      <c r="A12" s="47"/>
      <c r="B12" s="43"/>
      <c r="C12" s="48" t="s">
        <v>15</v>
      </c>
      <c r="D12" s="49" t="s">
        <v>165</v>
      </c>
      <c r="E12" s="49"/>
      <c r="F12" s="45"/>
      <c r="G12" s="45"/>
      <c r="H12" s="393"/>
      <c r="I12" s="40"/>
      <c r="J12" s="41"/>
    </row>
    <row r="13" spans="1:10" ht="15.75" x14ac:dyDescent="0.3">
      <c r="A13" s="50"/>
      <c r="B13" s="43"/>
      <c r="C13" s="74" t="s">
        <v>6</v>
      </c>
      <c r="D13" s="508"/>
      <c r="E13" s="714"/>
      <c r="F13" s="714"/>
      <c r="G13" s="160"/>
      <c r="H13" s="394"/>
      <c r="I13" s="51"/>
      <c r="J13" s="51"/>
    </row>
    <row r="14" spans="1:10" ht="15.75" x14ac:dyDescent="0.3">
      <c r="A14" s="715"/>
      <c r="B14" s="716"/>
      <c r="C14" s="716"/>
      <c r="D14" s="716"/>
      <c r="E14" s="716"/>
      <c r="F14" s="716"/>
      <c r="G14" s="716"/>
      <c r="H14" s="716"/>
      <c r="I14" s="716"/>
      <c r="J14" s="717"/>
    </row>
    <row r="15" spans="1:10" x14ac:dyDescent="0.25">
      <c r="A15" s="718" t="s">
        <v>7</v>
      </c>
      <c r="B15" s="719"/>
      <c r="C15" s="719"/>
      <c r="D15" s="719"/>
      <c r="E15" s="52" t="s">
        <v>16</v>
      </c>
      <c r="F15" s="721" t="s">
        <v>17</v>
      </c>
      <c r="G15" s="719"/>
      <c r="H15" s="406"/>
      <c r="I15" s="161"/>
      <c r="J15" s="53" t="s">
        <v>8</v>
      </c>
    </row>
    <row r="16" spans="1:10" ht="15.75" x14ac:dyDescent="0.3">
      <c r="A16" s="722" t="s">
        <v>24</v>
      </c>
      <c r="B16" s="723"/>
      <c r="C16" s="723"/>
      <c r="D16" s="723"/>
      <c r="E16" s="54"/>
      <c r="F16" s="725"/>
      <c r="G16" s="726"/>
      <c r="H16" s="407"/>
      <c r="I16" s="88"/>
      <c r="J16" s="55" t="s">
        <v>268</v>
      </c>
    </row>
    <row r="17" spans="1:10" ht="15.75" x14ac:dyDescent="0.3">
      <c r="A17" s="56"/>
      <c r="B17" s="57"/>
      <c r="C17" s="57"/>
      <c r="D17" s="57"/>
      <c r="E17" s="59"/>
      <c r="F17" s="59"/>
      <c r="G17" s="59"/>
      <c r="H17" s="408"/>
      <c r="I17" s="60"/>
      <c r="J17" s="61"/>
    </row>
    <row r="18" spans="1:10" x14ac:dyDescent="0.25">
      <c r="A18" s="62" t="s">
        <v>18</v>
      </c>
      <c r="B18" s="62" t="s">
        <v>27</v>
      </c>
      <c r="C18" s="62" t="s">
        <v>19</v>
      </c>
      <c r="D18" s="62" t="s">
        <v>20</v>
      </c>
      <c r="E18" s="711" t="s">
        <v>21</v>
      </c>
      <c r="F18" s="711"/>
      <c r="G18" s="162" t="s">
        <v>10</v>
      </c>
      <c r="H18" s="409" t="s">
        <v>25</v>
      </c>
      <c r="I18" s="52" t="s">
        <v>28</v>
      </c>
      <c r="J18" s="52" t="s">
        <v>22</v>
      </c>
    </row>
    <row r="19" spans="1:10" x14ac:dyDescent="0.25">
      <c r="A19" s="543">
        <v>1</v>
      </c>
      <c r="B19" s="568" t="s">
        <v>82</v>
      </c>
      <c r="C19" s="538" t="s">
        <v>26</v>
      </c>
      <c r="D19" s="548"/>
      <c r="E19" s="770"/>
      <c r="F19" s="792"/>
      <c r="G19" s="546"/>
      <c r="H19" s="547">
        <v>21</v>
      </c>
      <c r="I19" s="536">
        <v>55000</v>
      </c>
      <c r="J19" s="537">
        <f t="shared" ref="J19:J55" si="0">IF((C19)&gt;0,SUM(I19*H19),"")</f>
        <v>1155000</v>
      </c>
    </row>
    <row r="20" spans="1:10" x14ac:dyDescent="0.25">
      <c r="A20" s="65">
        <v>2</v>
      </c>
      <c r="B20" s="568" t="s">
        <v>84</v>
      </c>
      <c r="C20" s="538" t="s">
        <v>26</v>
      </c>
      <c r="D20" s="548"/>
      <c r="E20" s="735"/>
      <c r="F20" s="735"/>
      <c r="G20" s="90"/>
      <c r="H20" s="410">
        <v>6</v>
      </c>
      <c r="I20" s="536">
        <v>55000</v>
      </c>
      <c r="J20" s="537">
        <f t="shared" si="0"/>
        <v>330000</v>
      </c>
    </row>
    <row r="21" spans="1:10" x14ac:dyDescent="0.25">
      <c r="A21" s="543">
        <v>3</v>
      </c>
      <c r="B21" s="568" t="s">
        <v>85</v>
      </c>
      <c r="C21" s="538" t="s">
        <v>26</v>
      </c>
      <c r="D21" s="548"/>
      <c r="E21" s="735"/>
      <c r="F21" s="735"/>
      <c r="G21" s="90"/>
      <c r="H21" s="410">
        <v>19</v>
      </c>
      <c r="I21" s="536">
        <v>55000</v>
      </c>
      <c r="J21" s="537">
        <f t="shared" si="0"/>
        <v>1045000</v>
      </c>
    </row>
    <row r="22" spans="1:10" x14ac:dyDescent="0.25">
      <c r="A22" s="65">
        <v>4</v>
      </c>
      <c r="B22" s="568" t="s">
        <v>163</v>
      </c>
      <c r="C22" s="538" t="s">
        <v>26</v>
      </c>
      <c r="D22" s="548"/>
      <c r="E22" s="733"/>
      <c r="F22" s="733"/>
      <c r="G22" s="509"/>
      <c r="H22" s="410">
        <v>24</v>
      </c>
      <c r="I22" s="536">
        <v>55000</v>
      </c>
      <c r="J22" s="537">
        <f t="shared" si="0"/>
        <v>1320000</v>
      </c>
    </row>
    <row r="23" spans="1:10" x14ac:dyDescent="0.25">
      <c r="A23" s="543">
        <v>5</v>
      </c>
      <c r="B23" s="568" t="s">
        <v>87</v>
      </c>
      <c r="C23" s="538" t="s">
        <v>26</v>
      </c>
      <c r="D23" s="548"/>
      <c r="E23" s="733"/>
      <c r="F23" s="733"/>
      <c r="G23" s="509"/>
      <c r="H23" s="410">
        <v>7</v>
      </c>
      <c r="I23" s="536">
        <v>55000</v>
      </c>
      <c r="J23" s="537">
        <f t="shared" si="0"/>
        <v>385000</v>
      </c>
    </row>
    <row r="24" spans="1:10" x14ac:dyDescent="0.25">
      <c r="A24" s="65">
        <v>6</v>
      </c>
      <c r="B24" s="568" t="s">
        <v>88</v>
      </c>
      <c r="C24" s="538" t="s">
        <v>26</v>
      </c>
      <c r="D24" s="548"/>
      <c r="E24" s="733"/>
      <c r="F24" s="733"/>
      <c r="G24" s="509"/>
      <c r="H24" s="410">
        <v>4</v>
      </c>
      <c r="I24" s="536">
        <v>55000</v>
      </c>
      <c r="J24" s="537">
        <f t="shared" si="0"/>
        <v>220000</v>
      </c>
    </row>
    <row r="25" spans="1:10" x14ac:dyDescent="0.25">
      <c r="A25" s="543">
        <v>7</v>
      </c>
      <c r="B25" s="569" t="s">
        <v>89</v>
      </c>
      <c r="C25" s="538" t="s">
        <v>26</v>
      </c>
      <c r="D25" s="548"/>
      <c r="E25" s="733"/>
      <c r="F25" s="733"/>
      <c r="G25" s="509"/>
      <c r="H25" s="410">
        <v>25</v>
      </c>
      <c r="I25" s="536">
        <v>55000</v>
      </c>
      <c r="J25" s="537">
        <f t="shared" si="0"/>
        <v>1375000</v>
      </c>
    </row>
    <row r="26" spans="1:10" x14ac:dyDescent="0.25">
      <c r="A26" s="65">
        <v>8</v>
      </c>
      <c r="B26" s="568" t="s">
        <v>90</v>
      </c>
      <c r="C26" s="538" t="s">
        <v>26</v>
      </c>
      <c r="D26" s="548"/>
      <c r="E26" s="733"/>
      <c r="F26" s="733"/>
      <c r="G26" s="509"/>
      <c r="H26" s="410">
        <v>19</v>
      </c>
      <c r="I26" s="536">
        <v>55000</v>
      </c>
      <c r="J26" s="537">
        <f t="shared" si="0"/>
        <v>1045000</v>
      </c>
    </row>
    <row r="27" spans="1:10" x14ac:dyDescent="0.25">
      <c r="A27" s="543">
        <v>9</v>
      </c>
      <c r="B27" s="568" t="s">
        <v>91</v>
      </c>
      <c r="C27" s="538" t="s">
        <v>26</v>
      </c>
      <c r="D27" s="548"/>
      <c r="E27" s="733"/>
      <c r="F27" s="733"/>
      <c r="G27" s="509"/>
      <c r="H27" s="410">
        <v>9</v>
      </c>
      <c r="I27" s="536">
        <v>55000</v>
      </c>
      <c r="J27" s="537">
        <f t="shared" si="0"/>
        <v>495000</v>
      </c>
    </row>
    <row r="28" spans="1:10" x14ac:dyDescent="0.25">
      <c r="A28" s="65">
        <v>10</v>
      </c>
      <c r="B28" s="568" t="s">
        <v>92</v>
      </c>
      <c r="C28" s="538" t="s">
        <v>26</v>
      </c>
      <c r="D28" s="548"/>
      <c r="E28" s="733"/>
      <c r="F28" s="733"/>
      <c r="G28" s="509"/>
      <c r="H28" s="410">
        <v>25</v>
      </c>
      <c r="I28" s="536">
        <v>55000</v>
      </c>
      <c r="J28" s="537">
        <f t="shared" si="0"/>
        <v>1375000</v>
      </c>
    </row>
    <row r="29" spans="1:10" x14ac:dyDescent="0.25">
      <c r="A29" s="543">
        <v>11</v>
      </c>
      <c r="B29" s="568" t="s">
        <v>93</v>
      </c>
      <c r="C29" s="538" t="s">
        <v>26</v>
      </c>
      <c r="D29" s="548"/>
      <c r="E29" s="733"/>
      <c r="F29" s="733"/>
      <c r="G29" s="509"/>
      <c r="H29" s="410">
        <v>9</v>
      </c>
      <c r="I29" s="536">
        <v>55000</v>
      </c>
      <c r="J29" s="537">
        <f t="shared" si="0"/>
        <v>495000</v>
      </c>
    </row>
    <row r="30" spans="1:10" x14ac:dyDescent="0.25">
      <c r="A30" s="65">
        <v>12</v>
      </c>
      <c r="B30" s="568" t="s">
        <v>94</v>
      </c>
      <c r="C30" s="538" t="s">
        <v>26</v>
      </c>
      <c r="D30" s="548"/>
      <c r="E30" s="736"/>
      <c r="F30" s="736"/>
      <c r="G30" s="510"/>
      <c r="H30" s="410">
        <v>33</v>
      </c>
      <c r="I30" s="536">
        <v>55000</v>
      </c>
      <c r="J30" s="537">
        <f t="shared" si="0"/>
        <v>1815000</v>
      </c>
    </row>
    <row r="31" spans="1:10" x14ac:dyDescent="0.25">
      <c r="A31" s="543">
        <v>13</v>
      </c>
      <c r="B31" s="568" t="s">
        <v>95</v>
      </c>
      <c r="C31" s="538" t="s">
        <v>26</v>
      </c>
      <c r="D31" s="548"/>
      <c r="E31" s="736"/>
      <c r="F31" s="736"/>
      <c r="G31" s="510"/>
      <c r="H31" s="410">
        <v>18</v>
      </c>
      <c r="I31" s="536">
        <v>55000</v>
      </c>
      <c r="J31" s="537">
        <f t="shared" si="0"/>
        <v>990000</v>
      </c>
    </row>
    <row r="32" spans="1:10" x14ac:dyDescent="0.25">
      <c r="A32" s="65">
        <v>14</v>
      </c>
      <c r="B32" s="568" t="s">
        <v>96</v>
      </c>
      <c r="C32" s="538" t="s">
        <v>26</v>
      </c>
      <c r="D32" s="548"/>
      <c r="E32" s="736"/>
      <c r="F32" s="736"/>
      <c r="G32" s="510"/>
      <c r="H32" s="410">
        <v>23</v>
      </c>
      <c r="I32" s="536">
        <v>55000</v>
      </c>
      <c r="J32" s="537">
        <f t="shared" si="0"/>
        <v>1265000</v>
      </c>
    </row>
    <row r="33" spans="1:10" x14ac:dyDescent="0.25">
      <c r="A33" s="543">
        <v>15</v>
      </c>
      <c r="B33" s="568" t="s">
        <v>43</v>
      </c>
      <c r="C33" s="538" t="s">
        <v>26</v>
      </c>
      <c r="D33" s="548"/>
      <c r="E33" s="796"/>
      <c r="F33" s="797"/>
      <c r="G33" s="510"/>
      <c r="H33" s="410">
        <v>98</v>
      </c>
      <c r="I33" s="536">
        <v>55000</v>
      </c>
      <c r="J33" s="537">
        <f t="shared" si="0"/>
        <v>5390000</v>
      </c>
    </row>
    <row r="34" spans="1:10" x14ac:dyDescent="0.25">
      <c r="A34" s="543">
        <v>16</v>
      </c>
      <c r="B34" s="570" t="s">
        <v>97</v>
      </c>
      <c r="C34" s="538" t="s">
        <v>26</v>
      </c>
      <c r="D34" s="548"/>
      <c r="E34" s="736"/>
      <c r="F34" s="736"/>
      <c r="G34" s="510"/>
      <c r="H34" s="410">
        <v>18</v>
      </c>
      <c r="I34" s="536">
        <v>55000</v>
      </c>
      <c r="J34" s="537">
        <f t="shared" si="0"/>
        <v>990000</v>
      </c>
    </row>
    <row r="35" spans="1:10" x14ac:dyDescent="0.25">
      <c r="A35" s="65">
        <v>17</v>
      </c>
      <c r="B35" s="568" t="s">
        <v>98</v>
      </c>
      <c r="C35" s="538" t="s">
        <v>26</v>
      </c>
      <c r="D35" s="548"/>
      <c r="E35" s="736"/>
      <c r="F35" s="736"/>
      <c r="G35" s="510"/>
      <c r="H35" s="410">
        <v>13</v>
      </c>
      <c r="I35" s="536">
        <v>55000</v>
      </c>
      <c r="J35" s="537">
        <f t="shared" si="0"/>
        <v>715000</v>
      </c>
    </row>
    <row r="36" spans="1:10" x14ac:dyDescent="0.25">
      <c r="A36" s="65">
        <v>18</v>
      </c>
      <c r="B36" s="568" t="s">
        <v>99</v>
      </c>
      <c r="C36" s="538" t="s">
        <v>26</v>
      </c>
      <c r="D36" s="548"/>
      <c r="E36" s="736"/>
      <c r="F36" s="736"/>
      <c r="G36" s="510"/>
      <c r="H36" s="410">
        <v>3</v>
      </c>
      <c r="I36" s="536">
        <v>55000</v>
      </c>
      <c r="J36" s="537">
        <f t="shared" si="0"/>
        <v>165000</v>
      </c>
    </row>
    <row r="37" spans="1:10" x14ac:dyDescent="0.25">
      <c r="A37" s="543">
        <v>19</v>
      </c>
      <c r="B37" s="568" t="s">
        <v>100</v>
      </c>
      <c r="C37" s="538" t="s">
        <v>26</v>
      </c>
      <c r="D37" s="548"/>
      <c r="E37" s="734"/>
      <c r="F37" s="734"/>
      <c r="G37" s="107"/>
      <c r="H37" s="410">
        <v>24</v>
      </c>
      <c r="I37" s="536">
        <v>55000</v>
      </c>
      <c r="J37" s="537">
        <f t="shared" si="0"/>
        <v>1320000</v>
      </c>
    </row>
    <row r="38" spans="1:10" x14ac:dyDescent="0.25">
      <c r="A38" s="65">
        <v>20</v>
      </c>
      <c r="B38" s="568" t="s">
        <v>101</v>
      </c>
      <c r="C38" s="538" t="s">
        <v>26</v>
      </c>
      <c r="D38" s="548"/>
      <c r="E38" s="734"/>
      <c r="F38" s="734"/>
      <c r="G38" s="107"/>
      <c r="H38" s="410">
        <v>27</v>
      </c>
      <c r="I38" s="536">
        <v>55000</v>
      </c>
      <c r="J38" s="537">
        <f t="shared" si="0"/>
        <v>1485000</v>
      </c>
    </row>
    <row r="39" spans="1:10" x14ac:dyDescent="0.25">
      <c r="A39" s="65">
        <v>21</v>
      </c>
      <c r="B39" s="568" t="s">
        <v>102</v>
      </c>
      <c r="C39" s="538" t="s">
        <v>26</v>
      </c>
      <c r="D39" s="548"/>
      <c r="E39" s="734"/>
      <c r="F39" s="734"/>
      <c r="G39" s="107"/>
      <c r="H39" s="410">
        <v>8</v>
      </c>
      <c r="I39" s="536">
        <v>55000</v>
      </c>
      <c r="J39" s="537">
        <f t="shared" si="0"/>
        <v>440000</v>
      </c>
    </row>
    <row r="40" spans="1:10" x14ac:dyDescent="0.25">
      <c r="A40" s="543">
        <v>22</v>
      </c>
      <c r="B40" s="568" t="s">
        <v>103</v>
      </c>
      <c r="C40" s="538" t="s">
        <v>26</v>
      </c>
      <c r="D40" s="548"/>
      <c r="E40" s="734"/>
      <c r="F40" s="734"/>
      <c r="G40" s="107"/>
      <c r="H40" s="410">
        <v>12</v>
      </c>
      <c r="I40" s="536">
        <v>55000</v>
      </c>
      <c r="J40" s="537">
        <f t="shared" si="0"/>
        <v>660000</v>
      </c>
    </row>
    <row r="41" spans="1:10" x14ac:dyDescent="0.25">
      <c r="A41" s="65">
        <v>23</v>
      </c>
      <c r="B41" s="569" t="s">
        <v>104</v>
      </c>
      <c r="C41" s="538" t="s">
        <v>26</v>
      </c>
      <c r="D41" s="548"/>
      <c r="E41" s="735"/>
      <c r="F41" s="735"/>
      <c r="G41" s="90"/>
      <c r="H41" s="411">
        <v>10</v>
      </c>
      <c r="I41" s="536">
        <v>55000</v>
      </c>
      <c r="J41" s="537">
        <f t="shared" si="0"/>
        <v>550000</v>
      </c>
    </row>
    <row r="42" spans="1:10" x14ac:dyDescent="0.25">
      <c r="A42" s="65">
        <v>24</v>
      </c>
      <c r="B42" s="568" t="s">
        <v>105</v>
      </c>
      <c r="C42" s="538" t="s">
        <v>26</v>
      </c>
      <c r="D42" s="548"/>
      <c r="E42" s="735"/>
      <c r="F42" s="735"/>
      <c r="G42" s="90"/>
      <c r="H42" s="411">
        <v>7</v>
      </c>
      <c r="I42" s="536">
        <v>55000</v>
      </c>
      <c r="J42" s="537">
        <f t="shared" si="0"/>
        <v>385000</v>
      </c>
    </row>
    <row r="43" spans="1:10" x14ac:dyDescent="0.25">
      <c r="A43" s="543">
        <v>25</v>
      </c>
      <c r="B43" s="568" t="s">
        <v>106</v>
      </c>
      <c r="C43" s="538" t="s">
        <v>26</v>
      </c>
      <c r="D43" s="548"/>
      <c r="E43" s="697"/>
      <c r="F43" s="698"/>
      <c r="G43" s="90"/>
      <c r="H43" s="411">
        <v>294</v>
      </c>
      <c r="I43" s="536">
        <v>55000</v>
      </c>
      <c r="J43" s="537">
        <f t="shared" si="0"/>
        <v>16170000</v>
      </c>
    </row>
    <row r="44" spans="1:10" x14ac:dyDescent="0.25">
      <c r="A44" s="65">
        <v>26</v>
      </c>
      <c r="B44" s="568" t="s">
        <v>107</v>
      </c>
      <c r="C44" s="538" t="s">
        <v>26</v>
      </c>
      <c r="D44" s="548"/>
      <c r="E44" s="735"/>
      <c r="F44" s="735"/>
      <c r="G44" s="90"/>
      <c r="H44" s="411">
        <v>3</v>
      </c>
      <c r="I44" s="536">
        <v>55000</v>
      </c>
      <c r="J44" s="537">
        <f t="shared" si="0"/>
        <v>165000</v>
      </c>
    </row>
    <row r="45" spans="1:10" x14ac:dyDescent="0.25">
      <c r="A45" s="65">
        <v>27</v>
      </c>
      <c r="B45" s="568" t="s">
        <v>108</v>
      </c>
      <c r="C45" s="538" t="s">
        <v>26</v>
      </c>
      <c r="D45" s="548"/>
      <c r="E45" s="772"/>
      <c r="F45" s="772"/>
      <c r="G45" s="549"/>
      <c r="H45" s="411">
        <v>24</v>
      </c>
      <c r="I45" s="536">
        <v>55000</v>
      </c>
      <c r="J45" s="537">
        <f t="shared" si="0"/>
        <v>1320000</v>
      </c>
    </row>
    <row r="46" spans="1:10" x14ac:dyDescent="0.25">
      <c r="A46" s="543">
        <v>28</v>
      </c>
      <c r="B46" s="568" t="s">
        <v>109</v>
      </c>
      <c r="C46" s="538" t="s">
        <v>26</v>
      </c>
      <c r="D46" s="548"/>
      <c r="E46" s="782"/>
      <c r="F46" s="782"/>
      <c r="G46" s="550"/>
      <c r="H46" s="551">
        <v>24</v>
      </c>
      <c r="I46" s="536">
        <v>55000</v>
      </c>
      <c r="J46" s="537">
        <f t="shared" si="0"/>
        <v>1320000</v>
      </c>
    </row>
    <row r="47" spans="1:10" x14ac:dyDescent="0.25">
      <c r="A47" s="65">
        <v>29</v>
      </c>
      <c r="B47" s="568" t="s">
        <v>110</v>
      </c>
      <c r="C47" s="538" t="s">
        <v>26</v>
      </c>
      <c r="D47" s="548"/>
      <c r="E47" s="782"/>
      <c r="F47" s="782"/>
      <c r="G47" s="550"/>
      <c r="H47" s="551">
        <v>16</v>
      </c>
      <c r="I47" s="536">
        <v>55000</v>
      </c>
      <c r="J47" s="537">
        <f t="shared" si="0"/>
        <v>880000</v>
      </c>
    </row>
    <row r="48" spans="1:10" x14ac:dyDescent="0.25">
      <c r="A48" s="65">
        <v>30</v>
      </c>
      <c r="B48" s="568" t="s">
        <v>111</v>
      </c>
      <c r="C48" s="538" t="s">
        <v>26</v>
      </c>
      <c r="D48" s="548"/>
      <c r="E48" s="772"/>
      <c r="F48" s="772"/>
      <c r="G48" s="549"/>
      <c r="H48" s="411">
        <v>17</v>
      </c>
      <c r="I48" s="536">
        <v>55000</v>
      </c>
      <c r="J48" s="537">
        <f t="shared" si="0"/>
        <v>935000</v>
      </c>
    </row>
    <row r="49" spans="1:10" x14ac:dyDescent="0.25">
      <c r="A49" s="543">
        <v>31</v>
      </c>
      <c r="B49" s="568" t="s">
        <v>112</v>
      </c>
      <c r="C49" s="538" t="s">
        <v>26</v>
      </c>
      <c r="D49" s="548"/>
      <c r="E49" s="772"/>
      <c r="F49" s="772"/>
      <c r="G49" s="549"/>
      <c r="H49" s="411">
        <v>60</v>
      </c>
      <c r="I49" s="536">
        <v>55000</v>
      </c>
      <c r="J49" s="537">
        <f t="shared" si="0"/>
        <v>3300000</v>
      </c>
    </row>
    <row r="50" spans="1:10" x14ac:dyDescent="0.25">
      <c r="A50" s="65">
        <v>32</v>
      </c>
      <c r="B50" s="568" t="s">
        <v>113</v>
      </c>
      <c r="C50" s="538" t="s">
        <v>26</v>
      </c>
      <c r="D50" s="548"/>
      <c r="E50" s="773"/>
      <c r="F50" s="773"/>
      <c r="G50" s="546"/>
      <c r="H50" s="547">
        <v>15</v>
      </c>
      <c r="I50" s="536">
        <v>55000</v>
      </c>
      <c r="J50" s="537">
        <f t="shared" si="0"/>
        <v>825000</v>
      </c>
    </row>
    <row r="51" spans="1:10" x14ac:dyDescent="0.25">
      <c r="A51" s="65">
        <v>33</v>
      </c>
      <c r="B51" s="569" t="s">
        <v>114</v>
      </c>
      <c r="C51" s="538" t="s">
        <v>26</v>
      </c>
      <c r="D51" s="548"/>
      <c r="E51" s="773"/>
      <c r="F51" s="773"/>
      <c r="G51" s="546"/>
      <c r="H51" s="547">
        <v>60</v>
      </c>
      <c r="I51" s="536">
        <v>55000</v>
      </c>
      <c r="J51" s="537">
        <f t="shared" si="0"/>
        <v>3300000</v>
      </c>
    </row>
    <row r="52" spans="1:10" x14ac:dyDescent="0.25">
      <c r="A52" s="543">
        <v>34</v>
      </c>
      <c r="B52" s="568" t="s">
        <v>115</v>
      </c>
      <c r="C52" s="538" t="s">
        <v>26</v>
      </c>
      <c r="D52" s="548"/>
      <c r="E52" s="773"/>
      <c r="F52" s="773"/>
      <c r="G52" s="546"/>
      <c r="H52" s="547">
        <v>11</v>
      </c>
      <c r="I52" s="536">
        <v>55000</v>
      </c>
      <c r="J52" s="537">
        <f t="shared" si="0"/>
        <v>605000</v>
      </c>
    </row>
    <row r="53" spans="1:10" x14ac:dyDescent="0.25">
      <c r="A53" s="65">
        <v>35</v>
      </c>
      <c r="B53" s="568" t="s">
        <v>116</v>
      </c>
      <c r="C53" s="538" t="s">
        <v>26</v>
      </c>
      <c r="D53" s="548"/>
      <c r="E53" s="780"/>
      <c r="F53" s="780"/>
      <c r="G53" s="552"/>
      <c r="H53" s="553">
        <v>5</v>
      </c>
      <c r="I53" s="536">
        <v>55000</v>
      </c>
      <c r="J53" s="537">
        <f t="shared" si="0"/>
        <v>275000</v>
      </c>
    </row>
    <row r="54" spans="1:10" x14ac:dyDescent="0.25">
      <c r="A54" s="65">
        <v>36</v>
      </c>
      <c r="B54" s="568" t="s">
        <v>117</v>
      </c>
      <c r="C54" s="538" t="s">
        <v>26</v>
      </c>
      <c r="D54" s="548"/>
      <c r="E54" s="781"/>
      <c r="F54" s="781"/>
      <c r="G54" s="554"/>
      <c r="H54" s="553">
        <v>4</v>
      </c>
      <c r="I54" s="536">
        <v>55000</v>
      </c>
      <c r="J54" s="537">
        <f t="shared" si="0"/>
        <v>220000</v>
      </c>
    </row>
    <row r="55" spans="1:10" x14ac:dyDescent="0.25">
      <c r="A55" s="543">
        <v>37</v>
      </c>
      <c r="B55" s="568" t="s">
        <v>118</v>
      </c>
      <c r="C55" s="538" t="s">
        <v>26</v>
      </c>
      <c r="D55" s="548"/>
      <c r="E55" s="781"/>
      <c r="F55" s="781"/>
      <c r="G55" s="554"/>
      <c r="H55" s="553">
        <v>10</v>
      </c>
      <c r="I55" s="536">
        <v>55000</v>
      </c>
      <c r="J55" s="537">
        <f t="shared" si="0"/>
        <v>550000</v>
      </c>
    </row>
    <row r="56" spans="1:10" ht="15.75" x14ac:dyDescent="0.25">
      <c r="A56" s="69"/>
      <c r="B56" s="66"/>
      <c r="C56" s="66"/>
      <c r="D56" s="66"/>
      <c r="E56" s="67"/>
      <c r="F56" s="67"/>
      <c r="G56" s="67"/>
      <c r="H56" s="306"/>
      <c r="I56" s="68" t="s">
        <v>245</v>
      </c>
      <c r="J56" s="648">
        <f>SUM(J19:J55)</f>
        <v>55275000</v>
      </c>
    </row>
    <row r="57" spans="1:10" ht="15.75" x14ac:dyDescent="0.25">
      <c r="A57" s="70"/>
      <c r="B57" s="70"/>
      <c r="C57" s="66"/>
      <c r="E57" s="71"/>
      <c r="F57" s="71"/>
      <c r="G57" s="71"/>
      <c r="H57" s="306"/>
      <c r="I57" s="68" t="s">
        <v>270</v>
      </c>
      <c r="J57" s="649">
        <v>20000</v>
      </c>
    </row>
    <row r="58" spans="1:10" ht="15.75" x14ac:dyDescent="0.25">
      <c r="A58" s="70" t="s">
        <v>222</v>
      </c>
      <c r="B58" s="66"/>
      <c r="C58" s="66"/>
      <c r="E58" s="71"/>
      <c r="F58" s="71"/>
      <c r="G58" s="71"/>
      <c r="H58" s="306"/>
      <c r="I58" s="68" t="s">
        <v>68</v>
      </c>
      <c r="J58" s="649">
        <f>(J56+J57)*5%</f>
        <v>2764750</v>
      </c>
    </row>
    <row r="59" spans="1:10" ht="15.75" x14ac:dyDescent="0.25">
      <c r="A59" s="70"/>
      <c r="B59" s="66"/>
      <c r="C59" s="66"/>
      <c r="E59" s="71"/>
      <c r="F59" s="71"/>
      <c r="G59" s="71"/>
      <c r="H59" s="306"/>
      <c r="I59" s="68" t="s">
        <v>70</v>
      </c>
      <c r="J59" s="650">
        <f>J56+J57+J58</f>
        <v>58059750</v>
      </c>
    </row>
    <row r="60" spans="1:10" ht="15.75" x14ac:dyDescent="0.25">
      <c r="A60" s="97"/>
      <c r="B60" s="98"/>
      <c r="C60" s="98"/>
      <c r="D60" s="99"/>
      <c r="E60" s="100"/>
      <c r="F60" s="100"/>
      <c r="G60" s="100"/>
      <c r="H60" s="379"/>
      <c r="I60" s="101"/>
      <c r="J60" s="102"/>
    </row>
    <row r="61" spans="1:10" ht="15.75" x14ac:dyDescent="0.25">
      <c r="A61" s="103"/>
      <c r="B61" s="98"/>
      <c r="C61" s="98"/>
      <c r="D61" s="99"/>
      <c r="E61" s="100"/>
      <c r="F61" s="100"/>
      <c r="G61" s="100"/>
      <c r="H61" s="379"/>
      <c r="I61" s="101"/>
      <c r="J61" s="102"/>
    </row>
    <row r="62" spans="1:10" ht="16.5" thickBot="1" x14ac:dyDescent="0.3">
      <c r="A62" s="97"/>
      <c r="B62" s="98"/>
      <c r="C62" s="98"/>
      <c r="D62" s="99"/>
      <c r="E62" s="100"/>
      <c r="F62" s="100"/>
      <c r="G62" s="100"/>
      <c r="H62" s="379"/>
      <c r="I62" s="101"/>
      <c r="J62" s="102"/>
    </row>
    <row r="63" spans="1:10" x14ac:dyDescent="0.25">
      <c r="A63" s="705" t="s">
        <v>23</v>
      </c>
      <c r="B63" s="706"/>
      <c r="C63" s="706"/>
      <c r="D63" s="706"/>
      <c r="E63" s="706"/>
      <c r="F63" s="706"/>
      <c r="G63" s="706"/>
      <c r="H63" s="706"/>
      <c r="I63" s="706"/>
      <c r="J63" s="707"/>
    </row>
    <row r="64" spans="1:10" ht="15.75" thickBot="1" x14ac:dyDescent="0.3">
      <c r="A64" s="708"/>
      <c r="B64" s="709"/>
      <c r="C64" s="709"/>
      <c r="D64" s="709"/>
      <c r="E64" s="709"/>
      <c r="F64" s="709"/>
      <c r="G64" s="709"/>
      <c r="H64" s="709"/>
      <c r="I64" s="709"/>
      <c r="J64" s="710"/>
    </row>
    <row r="65" spans="1:10" ht="15.75" thickBot="1" x14ac:dyDescent="0.3">
      <c r="A65" s="793"/>
      <c r="B65" s="794"/>
      <c r="C65" s="794"/>
      <c r="D65" s="794"/>
      <c r="E65" s="794"/>
      <c r="F65" s="794"/>
      <c r="G65" s="794"/>
      <c r="H65" s="794"/>
      <c r="I65" s="794"/>
      <c r="J65" s="795"/>
    </row>
  </sheetData>
  <mergeCells count="47">
    <mergeCell ref="E54:F54"/>
    <mergeCell ref="E55:F55"/>
    <mergeCell ref="A65:J65"/>
    <mergeCell ref="A63:J64"/>
    <mergeCell ref="E36:F36"/>
    <mergeCell ref="E37:F37"/>
    <mergeCell ref="E38:F38"/>
    <mergeCell ref="E39:F39"/>
    <mergeCell ref="E52:F52"/>
    <mergeCell ref="E53:F53"/>
    <mergeCell ref="E51:F51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27:F27"/>
    <mergeCell ref="E28:F28"/>
    <mergeCell ref="E29:F29"/>
    <mergeCell ref="E30:F30"/>
    <mergeCell ref="E31:F31"/>
    <mergeCell ref="E50:F50"/>
    <mergeCell ref="E33:F33"/>
    <mergeCell ref="E49:F49"/>
    <mergeCell ref="E34:F34"/>
    <mergeCell ref="E35:F35"/>
    <mergeCell ref="E18:F18"/>
    <mergeCell ref="E19:F19"/>
    <mergeCell ref="E20:F20"/>
    <mergeCell ref="E32:F32"/>
    <mergeCell ref="E21:F21"/>
    <mergeCell ref="E22:F22"/>
    <mergeCell ref="E23:F23"/>
    <mergeCell ref="E24:F24"/>
    <mergeCell ref="E25:F25"/>
    <mergeCell ref="E26:F26"/>
    <mergeCell ref="E1:J1"/>
    <mergeCell ref="E13:F13"/>
    <mergeCell ref="A14:J14"/>
    <mergeCell ref="A15:D15"/>
    <mergeCell ref="F15:G15"/>
    <mergeCell ref="A16:D16"/>
    <mergeCell ref="F16:G16"/>
  </mergeCells>
  <pageMargins left="0.70866141732283472" right="0.70866141732283472" top="0.74803149606299213" bottom="0.74803149606299213" header="0.31496062992125984" footer="0.31496062992125984"/>
  <pageSetup scale="70" orientation="portrait" horizontalDpi="300" verticalDpi="3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84"/>
  <sheetViews>
    <sheetView topLeftCell="A49" zoomScaleNormal="100" workbookViewId="0">
      <selection activeCell="L70" sqref="L70"/>
    </sheetView>
  </sheetViews>
  <sheetFormatPr defaultRowHeight="15" x14ac:dyDescent="0.25"/>
  <cols>
    <col min="1" max="1" width="9.140625" style="207"/>
    <col min="2" max="2" width="7.140625" style="296" customWidth="1"/>
    <col min="3" max="3" width="15.140625" style="207" customWidth="1"/>
    <col min="4" max="4" width="18.7109375" style="207" customWidth="1"/>
    <col min="5" max="5" width="15.140625" style="207" customWidth="1"/>
    <col min="6" max="6" width="14.5703125" style="207" customWidth="1"/>
    <col min="7" max="7" width="16.85546875" style="207" customWidth="1"/>
    <col min="8" max="8" width="9.140625" style="207" hidden="1" customWidth="1"/>
    <col min="9" max="9" width="18.5703125" style="207" customWidth="1"/>
    <col min="10" max="10" width="17.140625" style="296" customWidth="1"/>
    <col min="11" max="11" width="17.7109375" style="430" customWidth="1"/>
    <col min="12" max="12" width="18" style="442" customWidth="1"/>
    <col min="13" max="16384" width="9.140625" style="207"/>
  </cols>
  <sheetData>
    <row r="2" spans="2:12" x14ac:dyDescent="0.25">
      <c r="B2" s="293"/>
      <c r="C2" s="294"/>
      <c r="D2" s="646"/>
      <c r="E2" s="646"/>
      <c r="F2" s="646"/>
      <c r="G2" s="646"/>
      <c r="H2" s="646"/>
      <c r="I2" s="646"/>
      <c r="J2" s="647"/>
      <c r="K2" s="429"/>
      <c r="L2" s="572"/>
    </row>
    <row r="3" spans="2:12" ht="47.25" x14ac:dyDescent="0.6">
      <c r="B3" s="644"/>
      <c r="C3" s="645"/>
      <c r="D3" s="645"/>
      <c r="E3" s="645"/>
      <c r="F3" s="812" t="s">
        <v>0</v>
      </c>
      <c r="G3" s="812"/>
      <c r="H3" s="812"/>
      <c r="I3" s="812"/>
      <c r="J3" s="812"/>
      <c r="K3" s="812"/>
      <c r="L3" s="813"/>
    </row>
    <row r="4" spans="2:12" ht="15.75" x14ac:dyDescent="0.25">
      <c r="B4" s="208"/>
      <c r="C4" s="209"/>
      <c r="D4" s="209"/>
      <c r="E4" s="209"/>
      <c r="F4" s="210"/>
      <c r="G4" s="210"/>
      <c r="H4" s="211"/>
      <c r="I4" s="211"/>
      <c r="J4" s="212"/>
      <c r="K4" s="420"/>
      <c r="L4" s="431"/>
    </row>
    <row r="5" spans="2:12" ht="20.25" x14ac:dyDescent="0.3">
      <c r="B5" s="215"/>
      <c r="C5" s="216"/>
      <c r="D5" s="216"/>
      <c r="E5" s="216"/>
      <c r="F5" s="217"/>
      <c r="G5" s="218"/>
      <c r="H5" s="218"/>
      <c r="I5" s="218"/>
      <c r="J5" s="219"/>
      <c r="K5" s="421"/>
      <c r="L5" s="432"/>
    </row>
    <row r="6" spans="2:12" x14ac:dyDescent="0.25">
      <c r="B6" s="215"/>
      <c r="C6" s="216"/>
      <c r="D6" s="222"/>
      <c r="E6" s="222"/>
      <c r="F6" s="223"/>
      <c r="G6" s="222"/>
      <c r="H6" s="222"/>
      <c r="I6" s="222"/>
      <c r="J6" s="224"/>
      <c r="K6" s="422"/>
      <c r="L6" s="433"/>
    </row>
    <row r="7" spans="2:12" x14ac:dyDescent="0.25">
      <c r="B7" s="227"/>
      <c r="C7" s="222"/>
      <c r="D7" s="222"/>
      <c r="E7" s="228"/>
      <c r="F7" s="229"/>
      <c r="G7" s="228"/>
      <c r="H7" s="230"/>
      <c r="I7" s="230"/>
      <c r="J7" s="224"/>
      <c r="K7" s="422"/>
      <c r="L7" s="433"/>
    </row>
    <row r="8" spans="2:12" x14ac:dyDescent="0.25">
      <c r="B8" s="231"/>
      <c r="C8" s="232"/>
      <c r="D8" s="232"/>
      <c r="E8" s="232"/>
      <c r="F8" s="230"/>
      <c r="G8" s="230"/>
      <c r="H8" s="230"/>
      <c r="I8" s="230"/>
      <c r="J8" s="224"/>
      <c r="K8" s="422"/>
      <c r="L8" s="434">
        <f ca="1">TODAY()</f>
        <v>41556</v>
      </c>
    </row>
    <row r="9" spans="2:12" ht="15.75" x14ac:dyDescent="0.25">
      <c r="B9" s="231"/>
      <c r="C9" s="232"/>
      <c r="D9" s="232"/>
      <c r="E9" s="232"/>
      <c r="F9" s="228"/>
      <c r="G9" s="230"/>
      <c r="H9" s="234"/>
      <c r="I9" s="234"/>
      <c r="J9" s="224"/>
      <c r="K9" s="224"/>
      <c r="L9" s="435"/>
    </row>
    <row r="10" spans="2:12" x14ac:dyDescent="0.25">
      <c r="B10" s="237"/>
      <c r="C10" s="238"/>
      <c r="D10" s="239" t="s">
        <v>71</v>
      </c>
      <c r="E10" s="814" t="s">
        <v>210</v>
      </c>
      <c r="F10" s="814"/>
      <c r="G10" s="240"/>
      <c r="H10" s="241"/>
      <c r="I10" s="241"/>
      <c r="J10" s="242"/>
      <c r="K10" s="242"/>
      <c r="L10" s="436"/>
    </row>
    <row r="11" spans="2:12" x14ac:dyDescent="0.25">
      <c r="B11" s="245"/>
      <c r="C11" s="246"/>
      <c r="D11" s="815" t="s">
        <v>241</v>
      </c>
      <c r="E11" s="816"/>
      <c r="F11" s="816"/>
      <c r="G11" s="297"/>
      <c r="H11" s="298"/>
      <c r="I11" s="298"/>
      <c r="J11" s="247"/>
      <c r="K11" s="247"/>
      <c r="L11" s="437"/>
    </row>
    <row r="12" spans="2:12" x14ac:dyDescent="0.25">
      <c r="B12" s="245"/>
      <c r="C12" s="250"/>
      <c r="D12" s="251" t="s">
        <v>211</v>
      </c>
      <c r="E12" s="252"/>
      <c r="F12" s="253"/>
      <c r="G12" s="252"/>
      <c r="H12" s="253"/>
      <c r="I12" s="253"/>
      <c r="J12" s="247"/>
      <c r="K12" s="247"/>
      <c r="L12" s="437"/>
    </row>
    <row r="13" spans="2:12" x14ac:dyDescent="0.25">
      <c r="B13" s="255"/>
      <c r="C13" s="256"/>
      <c r="D13" s="257" t="s">
        <v>5</v>
      </c>
      <c r="E13" s="252"/>
      <c r="F13" s="253"/>
      <c r="G13" s="252"/>
      <c r="H13" s="253"/>
      <c r="I13" s="253"/>
      <c r="J13" s="247"/>
      <c r="K13" s="247"/>
      <c r="L13" s="437"/>
    </row>
    <row r="14" spans="2:12" x14ac:dyDescent="0.25">
      <c r="B14" s="255"/>
      <c r="C14" s="256"/>
      <c r="D14" s="257" t="s">
        <v>15</v>
      </c>
      <c r="E14" s="258"/>
      <c r="F14" s="253"/>
      <c r="G14" s="258"/>
      <c r="H14" s="253"/>
      <c r="I14" s="253"/>
      <c r="J14" s="247"/>
      <c r="K14" s="247"/>
      <c r="L14" s="437"/>
    </row>
    <row r="15" spans="2:12" x14ac:dyDescent="0.25">
      <c r="B15" s="255"/>
      <c r="C15" s="256"/>
      <c r="D15" s="260" t="s">
        <v>6</v>
      </c>
      <c r="E15" s="663"/>
      <c r="F15" s="663"/>
      <c r="G15" s="663"/>
      <c r="H15" s="663"/>
      <c r="I15" s="261"/>
      <c r="J15" s="262"/>
      <c r="K15" s="423"/>
      <c r="L15" s="438"/>
    </row>
    <row r="16" spans="2:12" x14ac:dyDescent="0.25">
      <c r="B16" s="809"/>
      <c r="C16" s="810"/>
      <c r="D16" s="810"/>
      <c r="E16" s="810"/>
      <c r="F16" s="810"/>
      <c r="G16" s="810"/>
      <c r="H16" s="810"/>
      <c r="I16" s="810"/>
      <c r="J16" s="810"/>
      <c r="K16" s="810"/>
      <c r="L16" s="811"/>
    </row>
    <row r="17" spans="2:12" x14ac:dyDescent="0.25">
      <c r="B17" s="667" t="s">
        <v>7</v>
      </c>
      <c r="C17" s="668"/>
      <c r="D17" s="668"/>
      <c r="E17" s="668"/>
      <c r="F17" s="669"/>
      <c r="G17" s="177" t="s">
        <v>16</v>
      </c>
      <c r="H17" s="670" t="s">
        <v>17</v>
      </c>
      <c r="I17" s="668"/>
      <c r="J17" s="264"/>
      <c r="K17" s="424"/>
      <c r="L17" s="439" t="s">
        <v>8</v>
      </c>
    </row>
    <row r="18" spans="2:12" x14ac:dyDescent="0.25">
      <c r="B18" s="671" t="s">
        <v>24</v>
      </c>
      <c r="C18" s="672"/>
      <c r="D18" s="672"/>
      <c r="E18" s="672"/>
      <c r="F18" s="673"/>
      <c r="G18" s="267"/>
      <c r="H18" s="674"/>
      <c r="I18" s="675"/>
      <c r="J18" s="268"/>
      <c r="K18" s="425"/>
      <c r="L18" s="643" t="s">
        <v>242</v>
      </c>
    </row>
    <row r="19" spans="2:12" x14ac:dyDescent="0.25">
      <c r="B19" s="271"/>
      <c r="C19" s="272"/>
      <c r="D19" s="272"/>
      <c r="E19" s="272"/>
      <c r="F19" s="273"/>
      <c r="G19" s="274"/>
      <c r="H19" s="274"/>
      <c r="I19" s="274"/>
      <c r="J19" s="275"/>
      <c r="K19" s="426"/>
      <c r="L19" s="277"/>
    </row>
    <row r="20" spans="2:12" x14ac:dyDescent="0.25">
      <c r="B20" s="278" t="s">
        <v>18</v>
      </c>
      <c r="C20" s="279" t="s">
        <v>27</v>
      </c>
      <c r="D20" s="279" t="s">
        <v>19</v>
      </c>
      <c r="E20" s="279" t="s">
        <v>20</v>
      </c>
      <c r="F20" s="676" t="s">
        <v>21</v>
      </c>
      <c r="G20" s="676"/>
      <c r="H20" s="676"/>
      <c r="I20" s="175" t="s">
        <v>10</v>
      </c>
      <c r="J20" s="176" t="s">
        <v>25</v>
      </c>
      <c r="K20" s="175" t="s">
        <v>28</v>
      </c>
      <c r="L20" s="440" t="s">
        <v>22</v>
      </c>
    </row>
    <row r="21" spans="2:12" x14ac:dyDescent="0.25">
      <c r="B21" s="280">
        <v>1</v>
      </c>
      <c r="C21" s="417" t="s">
        <v>166</v>
      </c>
      <c r="D21" s="178" t="s">
        <v>26</v>
      </c>
      <c r="E21" s="281"/>
      <c r="F21" s="677"/>
      <c r="G21" s="677"/>
      <c r="H21" s="179"/>
      <c r="I21" s="179"/>
      <c r="J21" s="166">
        <v>2</v>
      </c>
      <c r="K21" s="427">
        <v>55000</v>
      </c>
      <c r="L21" s="181">
        <f>IF((D21)&gt;0,SUM(K21*J21),"")</f>
        <v>110000</v>
      </c>
    </row>
    <row r="22" spans="2:12" x14ac:dyDescent="0.25">
      <c r="B22" s="167">
        <v>2</v>
      </c>
      <c r="C22" s="417" t="s">
        <v>167</v>
      </c>
      <c r="D22" s="178" t="s">
        <v>26</v>
      </c>
      <c r="E22" s="281"/>
      <c r="F22" s="680"/>
      <c r="G22" s="680"/>
      <c r="H22" s="680"/>
      <c r="I22" s="182"/>
      <c r="J22" s="166">
        <v>10</v>
      </c>
      <c r="K22" s="427">
        <v>55000</v>
      </c>
      <c r="L22" s="181">
        <f>IF((D22)&gt;0,SUM(K22*J22),"")</f>
        <v>550000</v>
      </c>
    </row>
    <row r="23" spans="2:12" x14ac:dyDescent="0.25">
      <c r="B23" s="167">
        <v>3</v>
      </c>
      <c r="C23" s="417" t="s">
        <v>168</v>
      </c>
      <c r="D23" s="178" t="s">
        <v>26</v>
      </c>
      <c r="E23" s="281"/>
      <c r="F23" s="680"/>
      <c r="G23" s="680"/>
      <c r="H23" s="680"/>
      <c r="I23" s="182"/>
      <c r="J23" s="167">
        <v>4</v>
      </c>
      <c r="K23" s="427">
        <v>55000</v>
      </c>
      <c r="L23" s="181">
        <f t="shared" ref="L23:L56" si="0">IF((D23)&gt;0,SUM(K23*J23),"")</f>
        <v>220000</v>
      </c>
    </row>
    <row r="24" spans="2:12" x14ac:dyDescent="0.25">
      <c r="B24" s="280">
        <v>4</v>
      </c>
      <c r="C24" s="417" t="s">
        <v>169</v>
      </c>
      <c r="D24" s="178" t="s">
        <v>26</v>
      </c>
      <c r="E24" s="281"/>
      <c r="F24" s="680"/>
      <c r="G24" s="680"/>
      <c r="H24" s="680"/>
      <c r="I24" s="182"/>
      <c r="J24" s="167">
        <v>2</v>
      </c>
      <c r="K24" s="427">
        <v>55000</v>
      </c>
      <c r="L24" s="181">
        <f t="shared" si="0"/>
        <v>110000</v>
      </c>
    </row>
    <row r="25" spans="2:12" x14ac:dyDescent="0.25">
      <c r="B25" s="167">
        <v>5</v>
      </c>
      <c r="C25" s="416" t="s">
        <v>170</v>
      </c>
      <c r="D25" s="178" t="s">
        <v>26</v>
      </c>
      <c r="E25" s="281"/>
      <c r="F25" s="681"/>
      <c r="G25" s="681"/>
      <c r="H25" s="681"/>
      <c r="I25" s="183"/>
      <c r="J25" s="167">
        <v>1</v>
      </c>
      <c r="K25" s="427">
        <v>55000</v>
      </c>
      <c r="L25" s="181">
        <f t="shared" si="0"/>
        <v>55000</v>
      </c>
    </row>
    <row r="26" spans="2:12" x14ac:dyDescent="0.25">
      <c r="B26" s="167">
        <v>6</v>
      </c>
      <c r="C26" s="417" t="s">
        <v>171</v>
      </c>
      <c r="D26" s="178" t="s">
        <v>26</v>
      </c>
      <c r="E26" s="281"/>
      <c r="F26" s="681"/>
      <c r="G26" s="681"/>
      <c r="H26" s="681"/>
      <c r="I26" s="183"/>
      <c r="J26" s="167"/>
      <c r="K26" s="427">
        <v>55000</v>
      </c>
      <c r="L26" s="181">
        <f t="shared" si="0"/>
        <v>0</v>
      </c>
    </row>
    <row r="27" spans="2:12" x14ac:dyDescent="0.25">
      <c r="B27" s="280">
        <v>7</v>
      </c>
      <c r="C27" s="416" t="s">
        <v>172</v>
      </c>
      <c r="D27" s="178" t="s">
        <v>26</v>
      </c>
      <c r="E27" s="281"/>
      <c r="F27" s="681"/>
      <c r="G27" s="681"/>
      <c r="H27" s="681"/>
      <c r="I27" s="183"/>
      <c r="J27" s="167">
        <v>1</v>
      </c>
      <c r="K27" s="427">
        <v>55000</v>
      </c>
      <c r="L27" s="181">
        <f t="shared" si="0"/>
        <v>55000</v>
      </c>
    </row>
    <row r="28" spans="2:12" x14ac:dyDescent="0.25">
      <c r="B28" s="167">
        <v>8</v>
      </c>
      <c r="C28" s="417" t="s">
        <v>173</v>
      </c>
      <c r="D28" s="178" t="s">
        <v>26</v>
      </c>
      <c r="E28" s="281"/>
      <c r="F28" s="681"/>
      <c r="G28" s="681"/>
      <c r="H28" s="681"/>
      <c r="I28" s="183"/>
      <c r="J28" s="167"/>
      <c r="K28" s="427">
        <v>55000</v>
      </c>
      <c r="L28" s="181">
        <f t="shared" si="0"/>
        <v>0</v>
      </c>
    </row>
    <row r="29" spans="2:12" x14ac:dyDescent="0.25">
      <c r="B29" s="167">
        <v>9</v>
      </c>
      <c r="C29" s="416" t="s">
        <v>174</v>
      </c>
      <c r="D29" s="178" t="s">
        <v>26</v>
      </c>
      <c r="E29" s="281"/>
      <c r="F29" s="681"/>
      <c r="G29" s="681"/>
      <c r="H29" s="681"/>
      <c r="I29" s="183"/>
      <c r="J29" s="167">
        <v>1</v>
      </c>
      <c r="K29" s="427">
        <v>55000</v>
      </c>
      <c r="L29" s="181">
        <f t="shared" si="0"/>
        <v>55000</v>
      </c>
    </row>
    <row r="30" spans="2:12" x14ac:dyDescent="0.25">
      <c r="B30" s="280">
        <v>10</v>
      </c>
      <c r="C30" s="417" t="s">
        <v>175</v>
      </c>
      <c r="D30" s="178" t="s">
        <v>26</v>
      </c>
      <c r="E30" s="281"/>
      <c r="F30" s="681"/>
      <c r="G30" s="681"/>
      <c r="H30" s="681"/>
      <c r="I30" s="183"/>
      <c r="J30" s="167">
        <v>1</v>
      </c>
      <c r="K30" s="427">
        <v>55000</v>
      </c>
      <c r="L30" s="181">
        <f t="shared" si="0"/>
        <v>55000</v>
      </c>
    </row>
    <row r="31" spans="2:12" x14ac:dyDescent="0.25">
      <c r="B31" s="167">
        <v>11</v>
      </c>
      <c r="C31" s="416" t="s">
        <v>176</v>
      </c>
      <c r="D31" s="178" t="s">
        <v>26</v>
      </c>
      <c r="E31" s="281"/>
      <c r="F31" s="681"/>
      <c r="G31" s="681"/>
      <c r="H31" s="681"/>
      <c r="I31" s="183"/>
      <c r="J31" s="167">
        <v>2</v>
      </c>
      <c r="K31" s="427">
        <v>55000</v>
      </c>
      <c r="L31" s="181">
        <f t="shared" si="0"/>
        <v>110000</v>
      </c>
    </row>
    <row r="32" spans="2:12" x14ac:dyDescent="0.25">
      <c r="B32" s="167">
        <v>12</v>
      </c>
      <c r="C32" s="417" t="s">
        <v>177</v>
      </c>
      <c r="D32" s="178" t="s">
        <v>26</v>
      </c>
      <c r="E32" s="281"/>
      <c r="F32" s="681"/>
      <c r="G32" s="681"/>
      <c r="H32" s="681"/>
      <c r="I32" s="183"/>
      <c r="J32" s="167"/>
      <c r="K32" s="427">
        <v>55000</v>
      </c>
      <c r="L32" s="181">
        <f t="shared" si="0"/>
        <v>0</v>
      </c>
    </row>
    <row r="33" spans="2:12" x14ac:dyDescent="0.25">
      <c r="B33" s="280">
        <v>13</v>
      </c>
      <c r="C33" s="416" t="s">
        <v>178</v>
      </c>
      <c r="D33" s="178" t="s">
        <v>26</v>
      </c>
      <c r="E33" s="281"/>
      <c r="F33" s="808"/>
      <c r="G33" s="808"/>
      <c r="H33" s="808"/>
      <c r="I33" s="184"/>
      <c r="J33" s="167">
        <v>2</v>
      </c>
      <c r="K33" s="427">
        <v>55000</v>
      </c>
      <c r="L33" s="181">
        <f t="shared" si="0"/>
        <v>110000</v>
      </c>
    </row>
    <row r="34" spans="2:12" x14ac:dyDescent="0.25">
      <c r="B34" s="167">
        <v>14</v>
      </c>
      <c r="C34" s="417" t="s">
        <v>179</v>
      </c>
      <c r="D34" s="178" t="s">
        <v>26</v>
      </c>
      <c r="E34" s="281"/>
      <c r="F34" s="808"/>
      <c r="G34" s="808"/>
      <c r="H34" s="808"/>
      <c r="I34" s="184"/>
      <c r="J34" s="167"/>
      <c r="K34" s="427">
        <v>55000</v>
      </c>
      <c r="L34" s="181">
        <f t="shared" si="0"/>
        <v>0</v>
      </c>
    </row>
    <row r="35" spans="2:12" x14ac:dyDescent="0.25">
      <c r="B35" s="167">
        <v>15</v>
      </c>
      <c r="C35" s="416" t="s">
        <v>180</v>
      </c>
      <c r="D35" s="178" t="s">
        <v>26</v>
      </c>
      <c r="E35" s="281"/>
      <c r="F35" s="808"/>
      <c r="G35" s="808"/>
      <c r="H35" s="808"/>
      <c r="I35" s="184"/>
      <c r="J35" s="167">
        <v>2</v>
      </c>
      <c r="K35" s="427">
        <v>55000</v>
      </c>
      <c r="L35" s="181">
        <f t="shared" si="0"/>
        <v>110000</v>
      </c>
    </row>
    <row r="36" spans="2:12" x14ac:dyDescent="0.25">
      <c r="B36" s="280">
        <v>16</v>
      </c>
      <c r="C36" s="417" t="s">
        <v>181</v>
      </c>
      <c r="D36" s="178" t="s">
        <v>26</v>
      </c>
      <c r="E36" s="281"/>
      <c r="F36" s="808"/>
      <c r="G36" s="808"/>
      <c r="H36" s="808"/>
      <c r="I36" s="184"/>
      <c r="J36" s="167"/>
      <c r="K36" s="427">
        <v>55000</v>
      </c>
      <c r="L36" s="181">
        <f t="shared" si="0"/>
        <v>0</v>
      </c>
    </row>
    <row r="37" spans="2:12" x14ac:dyDescent="0.25">
      <c r="B37" s="167">
        <v>17</v>
      </c>
      <c r="C37" s="416" t="s">
        <v>182</v>
      </c>
      <c r="D37" s="178" t="s">
        <v>26</v>
      </c>
      <c r="E37" s="281"/>
      <c r="F37" s="808"/>
      <c r="G37" s="808"/>
      <c r="H37" s="808"/>
      <c r="I37" s="184"/>
      <c r="J37" s="167">
        <v>2</v>
      </c>
      <c r="K37" s="427">
        <v>55000</v>
      </c>
      <c r="L37" s="181">
        <f t="shared" si="0"/>
        <v>110000</v>
      </c>
    </row>
    <row r="38" spans="2:12" x14ac:dyDescent="0.25">
      <c r="B38" s="167">
        <v>18</v>
      </c>
      <c r="C38" s="417" t="s">
        <v>183</v>
      </c>
      <c r="D38" s="178" t="s">
        <v>26</v>
      </c>
      <c r="E38" s="281"/>
      <c r="F38" s="808"/>
      <c r="G38" s="808"/>
      <c r="H38" s="808"/>
      <c r="I38" s="184"/>
      <c r="J38" s="167">
        <v>1</v>
      </c>
      <c r="K38" s="427">
        <v>55000</v>
      </c>
      <c r="L38" s="181">
        <f t="shared" si="0"/>
        <v>55000</v>
      </c>
    </row>
    <row r="39" spans="2:12" x14ac:dyDescent="0.25">
      <c r="B39" s="280">
        <v>19</v>
      </c>
      <c r="C39" s="416" t="s">
        <v>184</v>
      </c>
      <c r="D39" s="178" t="s">
        <v>26</v>
      </c>
      <c r="E39" s="281"/>
      <c r="F39" s="806"/>
      <c r="G39" s="806"/>
      <c r="H39" s="806"/>
      <c r="I39" s="185"/>
      <c r="J39" s="167">
        <v>6</v>
      </c>
      <c r="K39" s="427">
        <v>55000</v>
      </c>
      <c r="L39" s="181">
        <f t="shared" si="0"/>
        <v>330000</v>
      </c>
    </row>
    <row r="40" spans="2:12" x14ac:dyDescent="0.25">
      <c r="B40" s="167">
        <v>20</v>
      </c>
      <c r="C40" s="417" t="s">
        <v>185</v>
      </c>
      <c r="D40" s="178" t="s">
        <v>26</v>
      </c>
      <c r="E40" s="281"/>
      <c r="F40" s="806"/>
      <c r="G40" s="806"/>
      <c r="H40" s="806"/>
      <c r="I40" s="185"/>
      <c r="J40" s="167">
        <v>6</v>
      </c>
      <c r="K40" s="427">
        <v>55000</v>
      </c>
      <c r="L40" s="181">
        <f t="shared" si="0"/>
        <v>330000</v>
      </c>
    </row>
    <row r="41" spans="2:12" x14ac:dyDescent="0.25">
      <c r="B41" s="167">
        <v>21</v>
      </c>
      <c r="C41" s="416" t="s">
        <v>186</v>
      </c>
      <c r="D41" s="178" t="s">
        <v>26</v>
      </c>
      <c r="E41" s="281"/>
      <c r="F41" s="806"/>
      <c r="G41" s="806"/>
      <c r="H41" s="806"/>
      <c r="I41" s="185"/>
      <c r="J41" s="167">
        <v>1</v>
      </c>
      <c r="K41" s="427">
        <v>55000</v>
      </c>
      <c r="L41" s="181">
        <f t="shared" si="0"/>
        <v>55000</v>
      </c>
    </row>
    <row r="42" spans="2:12" x14ac:dyDescent="0.25">
      <c r="B42" s="280">
        <v>22</v>
      </c>
      <c r="C42" s="417" t="s">
        <v>187</v>
      </c>
      <c r="D42" s="178" t="s">
        <v>26</v>
      </c>
      <c r="E42" s="281"/>
      <c r="F42" s="806"/>
      <c r="G42" s="806"/>
      <c r="H42" s="806"/>
      <c r="I42" s="185"/>
      <c r="J42" s="167"/>
      <c r="K42" s="427">
        <v>55000</v>
      </c>
      <c r="L42" s="181">
        <f t="shared" si="0"/>
        <v>0</v>
      </c>
    </row>
    <row r="43" spans="2:12" x14ac:dyDescent="0.25">
      <c r="B43" s="167">
        <v>23</v>
      </c>
      <c r="C43" s="416" t="s">
        <v>188</v>
      </c>
      <c r="D43" s="178" t="s">
        <v>26</v>
      </c>
      <c r="E43" s="281"/>
      <c r="F43" s="680"/>
      <c r="G43" s="680"/>
      <c r="H43" s="680"/>
      <c r="I43" s="182"/>
      <c r="J43" s="168"/>
      <c r="K43" s="427">
        <v>55000</v>
      </c>
      <c r="L43" s="181">
        <f t="shared" si="0"/>
        <v>0</v>
      </c>
    </row>
    <row r="44" spans="2:12" x14ac:dyDescent="0.25">
      <c r="B44" s="167">
        <v>24</v>
      </c>
      <c r="C44" s="417" t="s">
        <v>189</v>
      </c>
      <c r="D44" s="178" t="s">
        <v>26</v>
      </c>
      <c r="E44" s="281"/>
      <c r="F44" s="680"/>
      <c r="G44" s="680"/>
      <c r="H44" s="680"/>
      <c r="I44" s="182"/>
      <c r="J44" s="168">
        <v>1</v>
      </c>
      <c r="K44" s="427">
        <v>55000</v>
      </c>
      <c r="L44" s="181">
        <f t="shared" si="0"/>
        <v>55000</v>
      </c>
    </row>
    <row r="45" spans="2:12" x14ac:dyDescent="0.25">
      <c r="B45" s="280">
        <v>25</v>
      </c>
      <c r="C45" s="416" t="s">
        <v>190</v>
      </c>
      <c r="D45" s="178" t="s">
        <v>26</v>
      </c>
      <c r="E45" s="281"/>
      <c r="F45" s="182"/>
      <c r="G45" s="680"/>
      <c r="H45" s="680"/>
      <c r="I45" s="182"/>
      <c r="J45" s="168">
        <v>65</v>
      </c>
      <c r="K45" s="427">
        <v>55000</v>
      </c>
      <c r="L45" s="181">
        <f t="shared" si="0"/>
        <v>3575000</v>
      </c>
    </row>
    <row r="46" spans="2:12" x14ac:dyDescent="0.25">
      <c r="B46" s="167">
        <v>26</v>
      </c>
      <c r="C46" s="417" t="s">
        <v>191</v>
      </c>
      <c r="D46" s="178" t="s">
        <v>26</v>
      </c>
      <c r="E46" s="281"/>
      <c r="F46" s="680"/>
      <c r="G46" s="680"/>
      <c r="H46" s="680"/>
      <c r="I46" s="182"/>
      <c r="J46" s="168"/>
      <c r="K46" s="427">
        <v>55000</v>
      </c>
      <c r="L46" s="181">
        <f t="shared" si="0"/>
        <v>0</v>
      </c>
    </row>
    <row r="47" spans="2:12" x14ac:dyDescent="0.25">
      <c r="B47" s="167">
        <v>27</v>
      </c>
      <c r="C47" s="416" t="s">
        <v>192</v>
      </c>
      <c r="D47" s="178" t="s">
        <v>26</v>
      </c>
      <c r="E47" s="281"/>
      <c r="F47" s="805"/>
      <c r="G47" s="805"/>
      <c r="H47" s="805"/>
      <c r="I47" s="186"/>
      <c r="J47" s="169"/>
      <c r="K47" s="427">
        <v>55000</v>
      </c>
      <c r="L47" s="181">
        <f t="shared" si="0"/>
        <v>0</v>
      </c>
    </row>
    <row r="48" spans="2:12" x14ac:dyDescent="0.25">
      <c r="B48" s="280">
        <v>28</v>
      </c>
      <c r="C48" s="417" t="s">
        <v>193</v>
      </c>
      <c r="D48" s="178" t="s">
        <v>26</v>
      </c>
      <c r="E48" s="281"/>
      <c r="F48" s="807"/>
      <c r="G48" s="807"/>
      <c r="H48" s="807"/>
      <c r="I48" s="187"/>
      <c r="J48" s="170">
        <v>3</v>
      </c>
      <c r="K48" s="427">
        <v>55000</v>
      </c>
      <c r="L48" s="181">
        <f t="shared" si="0"/>
        <v>165000</v>
      </c>
    </row>
    <row r="49" spans="2:12" x14ac:dyDescent="0.25">
      <c r="B49" s="167">
        <v>29</v>
      </c>
      <c r="C49" s="416" t="s">
        <v>194</v>
      </c>
      <c r="D49" s="178" t="s">
        <v>26</v>
      </c>
      <c r="E49" s="281"/>
      <c r="F49" s="807"/>
      <c r="G49" s="807"/>
      <c r="H49" s="807"/>
      <c r="I49" s="187"/>
      <c r="J49" s="170">
        <v>2</v>
      </c>
      <c r="K49" s="427">
        <v>55000</v>
      </c>
      <c r="L49" s="181">
        <f t="shared" si="0"/>
        <v>110000</v>
      </c>
    </row>
    <row r="50" spans="2:12" x14ac:dyDescent="0.25">
      <c r="B50" s="167">
        <v>30</v>
      </c>
      <c r="C50" s="417" t="s">
        <v>195</v>
      </c>
      <c r="D50" s="178" t="s">
        <v>26</v>
      </c>
      <c r="E50" s="281"/>
      <c r="F50" s="805"/>
      <c r="G50" s="805"/>
      <c r="H50" s="805"/>
      <c r="I50" s="186"/>
      <c r="J50" s="169">
        <v>4</v>
      </c>
      <c r="K50" s="427">
        <v>55000</v>
      </c>
      <c r="L50" s="181">
        <f t="shared" si="0"/>
        <v>220000</v>
      </c>
    </row>
    <row r="51" spans="2:12" x14ac:dyDescent="0.25">
      <c r="B51" s="280">
        <v>31</v>
      </c>
      <c r="C51" s="416" t="s">
        <v>196</v>
      </c>
      <c r="D51" s="178" t="s">
        <v>26</v>
      </c>
      <c r="E51" s="281"/>
      <c r="F51" s="805"/>
      <c r="G51" s="805"/>
      <c r="H51" s="805"/>
      <c r="I51" s="186"/>
      <c r="J51" s="171">
        <v>4</v>
      </c>
      <c r="K51" s="427">
        <v>55000</v>
      </c>
      <c r="L51" s="181">
        <f t="shared" si="0"/>
        <v>220000</v>
      </c>
    </row>
    <row r="52" spans="2:12" x14ac:dyDescent="0.25">
      <c r="B52" s="167">
        <v>32</v>
      </c>
      <c r="C52" s="417" t="s">
        <v>197</v>
      </c>
      <c r="D52" s="178" t="s">
        <v>26</v>
      </c>
      <c r="E52" s="281"/>
      <c r="F52" s="799"/>
      <c r="G52" s="799"/>
      <c r="H52" s="799"/>
      <c r="I52" s="188"/>
      <c r="J52" s="171">
        <v>1</v>
      </c>
      <c r="K52" s="427">
        <v>55000</v>
      </c>
      <c r="L52" s="181">
        <f t="shared" si="0"/>
        <v>55000</v>
      </c>
    </row>
    <row r="53" spans="2:12" x14ac:dyDescent="0.25">
      <c r="B53" s="167">
        <v>33</v>
      </c>
      <c r="C53" s="416" t="s">
        <v>198</v>
      </c>
      <c r="D53" s="178" t="s">
        <v>26</v>
      </c>
      <c r="E53" s="281"/>
      <c r="F53" s="799"/>
      <c r="G53" s="799"/>
      <c r="H53" s="799"/>
      <c r="I53" s="188"/>
      <c r="J53" s="171">
        <v>9</v>
      </c>
      <c r="K53" s="427">
        <v>55000</v>
      </c>
      <c r="L53" s="181">
        <f t="shared" si="0"/>
        <v>495000</v>
      </c>
    </row>
    <row r="54" spans="2:12" x14ac:dyDescent="0.25">
      <c r="B54" s="280">
        <v>34</v>
      </c>
      <c r="C54" s="417" t="s">
        <v>199</v>
      </c>
      <c r="D54" s="178" t="s">
        <v>26</v>
      </c>
      <c r="E54" s="281"/>
      <c r="F54" s="799"/>
      <c r="G54" s="799"/>
      <c r="H54" s="799"/>
      <c r="I54" s="188"/>
      <c r="J54" s="169">
        <v>1</v>
      </c>
      <c r="K54" s="427">
        <v>55000</v>
      </c>
      <c r="L54" s="181">
        <f t="shared" si="0"/>
        <v>55000</v>
      </c>
    </row>
    <row r="55" spans="2:12" x14ac:dyDescent="0.25">
      <c r="B55" s="167">
        <v>35</v>
      </c>
      <c r="C55" s="416" t="s">
        <v>116</v>
      </c>
      <c r="D55" s="178" t="s">
        <v>26</v>
      </c>
      <c r="E55" s="281"/>
      <c r="F55" s="800"/>
      <c r="G55" s="800"/>
      <c r="H55" s="800"/>
      <c r="I55" s="189"/>
      <c r="J55" s="172"/>
      <c r="K55" s="427">
        <v>55000</v>
      </c>
      <c r="L55" s="181">
        <f t="shared" si="0"/>
        <v>0</v>
      </c>
    </row>
    <row r="56" spans="2:12" x14ac:dyDescent="0.25">
      <c r="B56" s="167">
        <v>36</v>
      </c>
      <c r="C56" s="417" t="s">
        <v>200</v>
      </c>
      <c r="D56" s="178" t="s">
        <v>26</v>
      </c>
      <c r="E56" s="281"/>
      <c r="F56" s="801"/>
      <c r="G56" s="801"/>
      <c r="H56" s="801"/>
      <c r="I56" s="190"/>
      <c r="J56" s="172">
        <v>1</v>
      </c>
      <c r="K56" s="427">
        <v>55000</v>
      </c>
      <c r="L56" s="181">
        <f t="shared" si="0"/>
        <v>55000</v>
      </c>
    </row>
    <row r="57" spans="2:12" x14ac:dyDescent="0.25">
      <c r="B57" s="280">
        <v>37</v>
      </c>
      <c r="C57" s="417" t="s">
        <v>201</v>
      </c>
      <c r="D57" s="178" t="s">
        <v>26</v>
      </c>
      <c r="E57" s="281"/>
      <c r="F57" s="801"/>
      <c r="G57" s="801"/>
      <c r="H57" s="801"/>
      <c r="I57" s="190"/>
      <c r="J57" s="172"/>
      <c r="K57" s="427"/>
      <c r="L57" s="181"/>
    </row>
    <row r="58" spans="2:12" ht="15.75" x14ac:dyDescent="0.25">
      <c r="B58" s="639"/>
      <c r="C58" s="283"/>
      <c r="D58" s="283"/>
      <c r="E58" s="283"/>
      <c r="F58" s="194"/>
      <c r="G58" s="194"/>
      <c r="H58" s="194"/>
      <c r="I58" s="194"/>
      <c r="J58" s="200"/>
      <c r="K58" s="428" t="s">
        <v>238</v>
      </c>
      <c r="L58" s="641">
        <f>SUM(L21:L57)</f>
        <v>7425000</v>
      </c>
    </row>
    <row r="59" spans="2:12" ht="15.75" x14ac:dyDescent="0.25">
      <c r="B59" s="802" t="s">
        <v>222</v>
      </c>
      <c r="C59" s="803"/>
      <c r="D59" s="804" t="s">
        <v>237</v>
      </c>
      <c r="E59" s="804"/>
      <c r="F59" s="804"/>
      <c r="G59" s="804"/>
      <c r="H59" s="804"/>
      <c r="I59" s="804"/>
      <c r="J59" s="200"/>
      <c r="K59" s="628" t="s">
        <v>224</v>
      </c>
      <c r="L59" s="641">
        <v>20000</v>
      </c>
    </row>
    <row r="60" spans="2:12" ht="15.75" x14ac:dyDescent="0.25">
      <c r="B60" s="802"/>
      <c r="C60" s="803"/>
      <c r="D60" s="804"/>
      <c r="E60" s="804"/>
      <c r="F60" s="804"/>
      <c r="G60" s="804"/>
      <c r="H60" s="804"/>
      <c r="I60" s="804"/>
      <c r="J60" s="200"/>
      <c r="K60" s="428" t="s">
        <v>239</v>
      </c>
      <c r="L60" s="641">
        <v>373250</v>
      </c>
    </row>
    <row r="61" spans="2:12" ht="18.75" customHeight="1" x14ac:dyDescent="0.25">
      <c r="B61" s="640"/>
      <c r="C61" s="571"/>
      <c r="K61" s="428" t="s">
        <v>240</v>
      </c>
      <c r="L61" s="642">
        <f>SUM(L58:L60)</f>
        <v>7818250</v>
      </c>
    </row>
    <row r="62" spans="2:12" ht="15.75" x14ac:dyDescent="0.25">
      <c r="B62" s="368"/>
      <c r="C62" s="527"/>
      <c r="D62" s="571"/>
      <c r="E62" s="571"/>
      <c r="F62" s="571"/>
      <c r="G62" s="571"/>
      <c r="H62" s="571"/>
      <c r="I62" s="571"/>
      <c r="J62" s="571"/>
      <c r="K62" s="527"/>
      <c r="L62" s="637"/>
    </row>
    <row r="63" spans="2:12" x14ac:dyDescent="0.25">
      <c r="B63" s="798" t="s">
        <v>23</v>
      </c>
      <c r="C63" s="798"/>
      <c r="D63" s="798"/>
      <c r="E63" s="798"/>
      <c r="F63" s="798"/>
      <c r="G63" s="798"/>
      <c r="H63" s="798"/>
      <c r="I63" s="798"/>
      <c r="J63" s="798"/>
      <c r="K63" s="798"/>
      <c r="L63" s="798"/>
    </row>
    <row r="64" spans="2:12" x14ac:dyDescent="0.25">
      <c r="B64" s="798"/>
      <c r="C64" s="798"/>
      <c r="D64" s="798"/>
      <c r="E64" s="798"/>
      <c r="F64" s="798"/>
      <c r="G64" s="798"/>
      <c r="H64" s="798"/>
      <c r="I64" s="798"/>
      <c r="J64" s="798"/>
      <c r="K64" s="798"/>
      <c r="L64" s="798"/>
    </row>
    <row r="65" spans="2:15" x14ac:dyDescent="0.25">
      <c r="B65" s="635"/>
      <c r="C65" s="636"/>
      <c r="D65" s="636"/>
      <c r="E65" s="636"/>
      <c r="F65" s="527"/>
      <c r="G65" s="527"/>
      <c r="H65" s="527"/>
      <c r="I65" s="527"/>
      <c r="J65" s="224"/>
      <c r="K65" s="224"/>
      <c r="L65" s="638"/>
    </row>
    <row r="66" spans="2:15" x14ac:dyDescent="0.25">
      <c r="B66" s="293"/>
      <c r="C66" s="294"/>
      <c r="D66" s="294"/>
      <c r="E66" s="294"/>
      <c r="F66" s="294"/>
      <c r="G66" s="294"/>
      <c r="H66" s="294"/>
      <c r="I66" s="294"/>
      <c r="J66" s="293"/>
      <c r="K66" s="429"/>
      <c r="L66" s="441"/>
    </row>
    <row r="67" spans="2:15" x14ac:dyDescent="0.25">
      <c r="B67" s="293"/>
      <c r="C67" s="294"/>
      <c r="D67" s="294"/>
      <c r="E67" s="294"/>
      <c r="F67" s="294"/>
      <c r="G67" s="294"/>
      <c r="H67" s="294"/>
      <c r="I67" s="294"/>
      <c r="J67" s="293"/>
      <c r="K67" s="429"/>
      <c r="L67" s="441"/>
    </row>
    <row r="68" spans="2:15" x14ac:dyDescent="0.25">
      <c r="B68" s="293"/>
      <c r="C68" s="294"/>
      <c r="D68" s="294"/>
      <c r="E68" s="294"/>
      <c r="F68" s="294"/>
      <c r="G68" s="294"/>
      <c r="H68" s="294"/>
      <c r="I68" s="294"/>
      <c r="J68" s="293"/>
      <c r="K68" s="429"/>
      <c r="L68" s="441"/>
    </row>
    <row r="69" spans="2:15" x14ac:dyDescent="0.25">
      <c r="B69" s="293"/>
      <c r="C69" s="294"/>
      <c r="D69" s="294"/>
      <c r="E69" s="294"/>
      <c r="F69" s="294"/>
      <c r="G69" s="294"/>
      <c r="H69" s="294"/>
      <c r="I69" s="294"/>
      <c r="J69" s="293"/>
      <c r="K69" s="429"/>
      <c r="L69" s="441"/>
    </row>
    <row r="70" spans="2:15" x14ac:dyDescent="0.25">
      <c r="B70" s="293"/>
      <c r="C70" s="294"/>
      <c r="D70" s="294"/>
      <c r="E70" s="294"/>
      <c r="F70" s="294"/>
      <c r="G70" s="294"/>
      <c r="H70" s="294"/>
      <c r="I70" s="294"/>
      <c r="J70" s="293"/>
      <c r="K70" s="429"/>
      <c r="L70" s="441" t="s">
        <v>243</v>
      </c>
    </row>
    <row r="71" spans="2:15" x14ac:dyDescent="0.25">
      <c r="B71" s="293"/>
      <c r="C71" s="294"/>
      <c r="D71" s="294"/>
      <c r="E71" s="294"/>
      <c r="F71" s="294"/>
      <c r="G71" s="294"/>
      <c r="H71" s="294"/>
      <c r="I71" s="294"/>
      <c r="J71" s="293"/>
      <c r="K71" s="429"/>
      <c r="L71" s="572"/>
    </row>
    <row r="72" spans="2:15" x14ac:dyDescent="0.25">
      <c r="B72" s="293"/>
      <c r="C72" s="294"/>
      <c r="D72" s="294"/>
      <c r="E72" s="294"/>
      <c r="F72" s="294"/>
      <c r="G72" s="294"/>
      <c r="H72" s="294"/>
      <c r="I72" s="294"/>
      <c r="J72" s="293"/>
      <c r="K72" s="429"/>
      <c r="L72" s="572"/>
    </row>
    <row r="73" spans="2:15" x14ac:dyDescent="0.25">
      <c r="B73" s="293"/>
      <c r="C73" s="294"/>
      <c r="D73" s="294"/>
      <c r="E73" s="294"/>
      <c r="F73" s="294"/>
      <c r="G73" s="294"/>
      <c r="H73" s="294"/>
      <c r="I73" s="294"/>
      <c r="J73" s="293"/>
      <c r="K73" s="429"/>
      <c r="L73" s="572"/>
      <c r="M73" s="294"/>
      <c r="N73" s="294"/>
      <c r="O73" s="294"/>
    </row>
    <row r="74" spans="2:15" x14ac:dyDescent="0.25">
      <c r="B74" s="293"/>
      <c r="C74" s="294"/>
      <c r="D74" s="294"/>
      <c r="E74" s="294"/>
      <c r="F74" s="294"/>
      <c r="G74" s="294"/>
      <c r="H74" s="294"/>
      <c r="I74" s="294"/>
      <c r="J74" s="293"/>
      <c r="K74" s="429"/>
      <c r="L74" s="572"/>
      <c r="M74" s="294"/>
      <c r="N74" s="294"/>
      <c r="O74" s="294"/>
    </row>
    <row r="75" spans="2:15" x14ac:dyDescent="0.25">
      <c r="B75" s="293"/>
      <c r="C75" s="294"/>
      <c r="D75" s="294"/>
      <c r="E75" s="294"/>
      <c r="F75" s="294"/>
      <c r="G75" s="294"/>
      <c r="H75" s="294"/>
      <c r="I75" s="294"/>
      <c r="J75" s="293"/>
      <c r="K75" s="429"/>
      <c r="L75" s="572"/>
      <c r="M75" s="294"/>
      <c r="N75" s="294"/>
      <c r="O75" s="294"/>
    </row>
    <row r="76" spans="2:15" x14ac:dyDescent="0.25">
      <c r="B76" s="293"/>
      <c r="C76" s="294"/>
      <c r="D76" s="294"/>
      <c r="E76" s="294"/>
      <c r="F76" s="294"/>
      <c r="G76" s="294"/>
      <c r="H76" s="294"/>
      <c r="I76" s="294"/>
      <c r="J76" s="293"/>
      <c r="K76" s="429"/>
      <c r="L76" s="572"/>
      <c r="M76" s="294"/>
      <c r="N76" s="294"/>
      <c r="O76" s="294"/>
    </row>
    <row r="77" spans="2:15" x14ac:dyDescent="0.25">
      <c r="B77" s="293"/>
      <c r="C77" s="294"/>
      <c r="D77" s="294"/>
      <c r="E77" s="294"/>
      <c r="F77" s="294"/>
      <c r="G77" s="294"/>
      <c r="H77" s="294"/>
      <c r="I77" s="294"/>
      <c r="J77" s="293"/>
      <c r="K77" s="429"/>
      <c r="L77" s="572"/>
      <c r="M77" s="294"/>
      <c r="N77" s="294"/>
      <c r="O77" s="294"/>
    </row>
    <row r="78" spans="2:15" x14ac:dyDescent="0.25">
      <c r="B78" s="293"/>
      <c r="C78" s="294"/>
      <c r="D78" s="294"/>
      <c r="E78" s="294"/>
      <c r="F78" s="294"/>
      <c r="G78" s="294"/>
      <c r="H78" s="294"/>
      <c r="I78" s="294"/>
      <c r="J78" s="293"/>
      <c r="K78" s="429"/>
      <c r="L78" s="572"/>
      <c r="M78" s="294"/>
      <c r="N78" s="294"/>
      <c r="O78" s="294"/>
    </row>
    <row r="79" spans="2:15" x14ac:dyDescent="0.25">
      <c r="B79" s="293"/>
      <c r="C79" s="294"/>
      <c r="D79" s="294"/>
      <c r="E79" s="294"/>
      <c r="F79" s="294"/>
      <c r="G79" s="294"/>
      <c r="H79" s="294"/>
      <c r="I79" s="294"/>
      <c r="J79" s="293"/>
      <c r="K79" s="429"/>
      <c r="L79" s="572"/>
      <c r="M79" s="294"/>
      <c r="N79" s="294"/>
      <c r="O79" s="294"/>
    </row>
    <row r="80" spans="2:15" x14ac:dyDescent="0.25">
      <c r="B80" s="293"/>
      <c r="C80" s="294"/>
      <c r="D80" s="294"/>
      <c r="E80" s="294"/>
      <c r="F80" s="294"/>
      <c r="G80" s="294"/>
      <c r="H80" s="294"/>
      <c r="I80" s="294"/>
      <c r="J80" s="293"/>
      <c r="K80" s="429"/>
      <c r="L80" s="572"/>
      <c r="M80" s="294"/>
      <c r="N80" s="294"/>
      <c r="O80" s="294"/>
    </row>
    <row r="81" spans="2:15" x14ac:dyDescent="0.25">
      <c r="B81" s="293"/>
      <c r="C81" s="294"/>
      <c r="D81" s="294"/>
      <c r="E81" s="294"/>
      <c r="F81" s="294"/>
      <c r="G81" s="294"/>
      <c r="H81" s="294"/>
      <c r="I81" s="294"/>
      <c r="J81" s="293"/>
      <c r="K81" s="429"/>
      <c r="L81" s="572"/>
      <c r="M81" s="294"/>
      <c r="N81" s="294"/>
      <c r="O81" s="294"/>
    </row>
    <row r="82" spans="2:15" x14ac:dyDescent="0.25">
      <c r="B82" s="293"/>
      <c r="C82" s="294"/>
      <c r="D82" s="294"/>
      <c r="E82" s="294"/>
      <c r="F82" s="294"/>
      <c r="G82" s="294"/>
      <c r="H82" s="294"/>
      <c r="I82" s="294"/>
      <c r="J82" s="293"/>
      <c r="K82" s="429"/>
      <c r="L82" s="572"/>
      <c r="M82" s="294"/>
      <c r="N82" s="294"/>
      <c r="O82" s="294"/>
    </row>
    <row r="83" spans="2:15" x14ac:dyDescent="0.25">
      <c r="L83" s="572"/>
      <c r="M83" s="294"/>
      <c r="N83" s="294"/>
      <c r="O83" s="294"/>
    </row>
    <row r="84" spans="2:15" x14ac:dyDescent="0.25">
      <c r="L84" s="572"/>
      <c r="M84" s="294"/>
      <c r="N84" s="294"/>
      <c r="O84" s="294"/>
    </row>
  </sheetData>
  <mergeCells count="51">
    <mergeCell ref="B16:L16"/>
    <mergeCell ref="F3:L3"/>
    <mergeCell ref="E10:F10"/>
    <mergeCell ref="D11:F11"/>
    <mergeCell ref="E15:F15"/>
    <mergeCell ref="G15:H15"/>
    <mergeCell ref="F21:G21"/>
    <mergeCell ref="F22:H22"/>
    <mergeCell ref="F23:H23"/>
    <mergeCell ref="F24:H24"/>
    <mergeCell ref="F25:H25"/>
    <mergeCell ref="F26:H26"/>
    <mergeCell ref="F35:H35"/>
    <mergeCell ref="F36:H36"/>
    <mergeCell ref="F37:H37"/>
    <mergeCell ref="F38:H38"/>
    <mergeCell ref="F27:H27"/>
    <mergeCell ref="B17:F17"/>
    <mergeCell ref="H17:I17"/>
    <mergeCell ref="B18:F18"/>
    <mergeCell ref="H18:I18"/>
    <mergeCell ref="F20:H20"/>
    <mergeCell ref="F49:H49"/>
    <mergeCell ref="F50:H50"/>
    <mergeCell ref="F39:H39"/>
    <mergeCell ref="F28:H28"/>
    <mergeCell ref="F29:H29"/>
    <mergeCell ref="F30:H30"/>
    <mergeCell ref="F31:H31"/>
    <mergeCell ref="F32:H32"/>
    <mergeCell ref="F33:H33"/>
    <mergeCell ref="F34:H34"/>
    <mergeCell ref="F51:H51"/>
    <mergeCell ref="F40:H40"/>
    <mergeCell ref="F41:H41"/>
    <mergeCell ref="F42:H42"/>
    <mergeCell ref="F43:H43"/>
    <mergeCell ref="F44:H44"/>
    <mergeCell ref="G45:H45"/>
    <mergeCell ref="F46:H46"/>
    <mergeCell ref="F47:H47"/>
    <mergeCell ref="F48:H48"/>
    <mergeCell ref="B63:L64"/>
    <mergeCell ref="F52:H52"/>
    <mergeCell ref="F53:H53"/>
    <mergeCell ref="F54:H54"/>
    <mergeCell ref="F55:H55"/>
    <mergeCell ref="F56:H56"/>
    <mergeCell ref="F57:H57"/>
    <mergeCell ref="B59:C60"/>
    <mergeCell ref="D59:I60"/>
  </mergeCells>
  <pageMargins left="0.7" right="0.7" top="0.75" bottom="0.75" header="0.3" footer="0.3"/>
  <pageSetup paperSize="9" scale="55" orientation="portrait" horizontalDpi="300" verticalDpi="3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Views>
    <sheetView zoomScaleNormal="100" workbookViewId="0">
      <selection activeCell="L8" sqref="A1:IV65536"/>
    </sheetView>
  </sheetViews>
  <sheetFormatPr defaultRowHeight="15" x14ac:dyDescent="0.25"/>
  <cols>
    <col min="1" max="1" width="7.140625" style="296" customWidth="1"/>
    <col min="2" max="2" width="15.140625" style="207" customWidth="1"/>
    <col min="3" max="3" width="18.7109375" style="207" customWidth="1"/>
    <col min="4" max="4" width="15.140625" style="207" customWidth="1"/>
    <col min="5" max="5" width="16.7109375" style="207" customWidth="1"/>
    <col min="6" max="6" width="13.140625" style="207" customWidth="1"/>
    <col min="7" max="7" width="9.140625" style="207" hidden="1" customWidth="1"/>
    <col min="8" max="8" width="15.7109375" style="207" customWidth="1"/>
    <col min="9" max="9" width="13.7109375" style="296" customWidth="1"/>
    <col min="10" max="10" width="22.42578125" style="207" customWidth="1"/>
    <col min="11" max="11" width="24.42578125" style="207" customWidth="1"/>
    <col min="12" max="232" width="9.140625" style="207"/>
    <col min="233" max="233" width="7.140625" style="207" customWidth="1"/>
    <col min="234" max="234" width="15.140625" style="207" customWidth="1"/>
    <col min="235" max="235" width="18.7109375" style="207" customWidth="1"/>
    <col min="236" max="236" width="15.140625" style="207" customWidth="1"/>
    <col min="237" max="237" width="16.7109375" style="207" customWidth="1"/>
    <col min="238" max="238" width="13.140625" style="207" customWidth="1"/>
    <col min="239" max="239" width="0" style="207" hidden="1" customWidth="1"/>
    <col min="240" max="240" width="18.5703125" style="207" customWidth="1"/>
    <col min="241" max="241" width="13.85546875" style="207" customWidth="1"/>
    <col min="242" max="242" width="15.42578125" style="207" customWidth="1"/>
    <col min="243" max="243" width="20.140625" style="207" customWidth="1"/>
    <col min="244" max="16384" width="9.140625" style="207"/>
  </cols>
  <sheetData>
    <row r="1" spans="1:11" ht="47.25" x14ac:dyDescent="0.6">
      <c r="A1" s="348"/>
      <c r="B1" s="349"/>
      <c r="C1" s="349"/>
      <c r="D1" s="349"/>
      <c r="E1" s="661" t="s">
        <v>0</v>
      </c>
      <c r="F1" s="661"/>
      <c r="G1" s="661"/>
      <c r="H1" s="661"/>
      <c r="I1" s="661"/>
      <c r="J1" s="661"/>
      <c r="K1" s="662"/>
    </row>
    <row r="2" spans="1:11" ht="15.75" x14ac:dyDescent="0.25">
      <c r="A2" s="350"/>
      <c r="B2" s="351"/>
      <c r="C2" s="351"/>
      <c r="D2" s="351"/>
      <c r="E2" s="210"/>
      <c r="F2" s="210"/>
      <c r="G2" s="211"/>
      <c r="H2" s="211"/>
      <c r="I2" s="212"/>
      <c r="J2" s="213"/>
      <c r="K2" s="214"/>
    </row>
    <row r="3" spans="1:11" ht="20.25" x14ac:dyDescent="0.3">
      <c r="A3" s="352"/>
      <c r="B3" s="353"/>
      <c r="C3" s="353"/>
      <c r="D3" s="353"/>
      <c r="E3" s="217"/>
      <c r="F3" s="218"/>
      <c r="G3" s="218"/>
      <c r="H3" s="218"/>
      <c r="I3" s="219"/>
      <c r="J3" s="220"/>
      <c r="K3" s="221"/>
    </row>
    <row r="4" spans="1:11" x14ac:dyDescent="0.25">
      <c r="A4" s="352"/>
      <c r="B4" s="353"/>
      <c r="C4" s="222"/>
      <c r="D4" s="826"/>
      <c r="E4" s="826"/>
      <c r="F4" s="826"/>
      <c r="G4" s="222"/>
      <c r="H4" s="222"/>
      <c r="I4" s="224"/>
      <c r="J4" s="225"/>
      <c r="K4" s="226"/>
    </row>
    <row r="5" spans="1:11" x14ac:dyDescent="0.25">
      <c r="A5" s="227"/>
      <c r="B5" s="222"/>
      <c r="C5" s="222"/>
      <c r="D5" s="228"/>
      <c r="E5" s="229"/>
      <c r="F5" s="228"/>
      <c r="G5" s="230"/>
      <c r="H5" s="230"/>
      <c r="I5" s="224"/>
      <c r="J5" s="225"/>
      <c r="K5" s="226"/>
    </row>
    <row r="6" spans="1:11" x14ac:dyDescent="0.25">
      <c r="A6" s="354"/>
      <c r="B6" s="355"/>
      <c r="C6" s="355"/>
      <c r="D6" s="355"/>
      <c r="E6" s="230"/>
      <c r="F6" s="230"/>
      <c r="G6" s="230"/>
      <c r="H6" s="230"/>
      <c r="I6" s="224"/>
      <c r="J6" s="225"/>
      <c r="K6" s="233">
        <f ca="1">TODAY()</f>
        <v>41556</v>
      </c>
    </row>
    <row r="7" spans="1:11" ht="15.75" x14ac:dyDescent="0.25">
      <c r="A7" s="354"/>
      <c r="B7" s="355"/>
      <c r="C7" s="355"/>
      <c r="D7" s="355"/>
      <c r="E7" s="228"/>
      <c r="F7" s="230"/>
      <c r="G7" s="234"/>
      <c r="H7" s="234"/>
      <c r="I7" s="224"/>
      <c r="J7" s="235"/>
      <c r="K7" s="236" t="s">
        <v>3</v>
      </c>
    </row>
    <row r="8" spans="1:11" x14ac:dyDescent="0.25">
      <c r="A8" s="356"/>
      <c r="B8" s="357"/>
      <c r="C8" s="239" t="s">
        <v>71</v>
      </c>
      <c r="D8" s="827" t="s">
        <v>216</v>
      </c>
      <c r="E8" s="827"/>
      <c r="F8" s="240"/>
      <c r="G8" s="241"/>
      <c r="H8" s="241"/>
      <c r="I8" s="242"/>
      <c r="J8" s="243"/>
      <c r="K8" s="244"/>
    </row>
    <row r="9" spans="1:11" x14ac:dyDescent="0.25">
      <c r="A9" s="358"/>
      <c r="B9" s="359"/>
      <c r="C9" s="815" t="s">
        <v>217</v>
      </c>
      <c r="D9" s="816"/>
      <c r="E9" s="816"/>
      <c r="F9" s="297"/>
      <c r="G9" s="298"/>
      <c r="H9" s="298"/>
      <c r="I9" s="247"/>
      <c r="J9" s="248"/>
      <c r="K9" s="249"/>
    </row>
    <row r="10" spans="1:11" x14ac:dyDescent="0.25">
      <c r="A10" s="358"/>
      <c r="B10" s="360"/>
      <c r="C10" s="815" t="s">
        <v>218</v>
      </c>
      <c r="D10" s="816"/>
      <c r="E10" s="253"/>
      <c r="F10" s="252"/>
      <c r="G10" s="253"/>
      <c r="H10" s="253"/>
      <c r="I10" s="247"/>
      <c r="J10" s="248"/>
      <c r="K10" s="249"/>
    </row>
    <row r="11" spans="1:11" x14ac:dyDescent="0.25">
      <c r="A11" s="358"/>
      <c r="B11" s="360"/>
      <c r="C11" s="251" t="s">
        <v>13</v>
      </c>
      <c r="D11" s="254" t="s">
        <v>14</v>
      </c>
      <c r="E11" s="253"/>
      <c r="F11" s="254"/>
      <c r="G11" s="253"/>
      <c r="H11" s="253"/>
      <c r="I11" s="247"/>
      <c r="J11" s="248"/>
      <c r="K11" s="249"/>
    </row>
    <row r="12" spans="1:11" x14ac:dyDescent="0.25">
      <c r="A12" s="361"/>
      <c r="B12" s="362"/>
      <c r="C12" s="257" t="s">
        <v>5</v>
      </c>
      <c r="D12" s="252"/>
      <c r="E12" s="253"/>
      <c r="F12" s="252"/>
      <c r="G12" s="253"/>
      <c r="H12" s="253"/>
      <c r="I12" s="247"/>
      <c r="J12" s="248"/>
      <c r="K12" s="249"/>
    </row>
    <row r="13" spans="1:11" x14ac:dyDescent="0.25">
      <c r="A13" s="361"/>
      <c r="B13" s="362"/>
      <c r="C13" s="257" t="s">
        <v>15</v>
      </c>
      <c r="D13" s="258"/>
      <c r="E13" s="253"/>
      <c r="F13" s="258"/>
      <c r="G13" s="253"/>
      <c r="H13" s="253"/>
      <c r="I13" s="247"/>
      <c r="J13" s="248"/>
      <c r="K13" s="249"/>
    </row>
    <row r="14" spans="1:11" x14ac:dyDescent="0.25">
      <c r="A14" s="363"/>
      <c r="B14" s="362"/>
      <c r="C14" s="260" t="s">
        <v>6</v>
      </c>
      <c r="D14" s="663"/>
      <c r="E14" s="663"/>
      <c r="F14" s="663"/>
      <c r="G14" s="663"/>
      <c r="H14" s="261"/>
      <c r="I14" s="262"/>
      <c r="J14" s="263"/>
      <c r="K14" s="263"/>
    </row>
    <row r="15" spans="1:11" x14ac:dyDescent="0.25">
      <c r="A15" s="664"/>
      <c r="B15" s="665"/>
      <c r="C15" s="665"/>
      <c r="D15" s="665"/>
      <c r="E15" s="665"/>
      <c r="F15" s="665"/>
      <c r="G15" s="665"/>
      <c r="H15" s="665"/>
      <c r="I15" s="665"/>
      <c r="J15" s="665"/>
      <c r="K15" s="666"/>
    </row>
    <row r="16" spans="1:11" x14ac:dyDescent="0.25">
      <c r="A16" s="667" t="s">
        <v>7</v>
      </c>
      <c r="B16" s="668"/>
      <c r="C16" s="668"/>
      <c r="D16" s="668"/>
      <c r="E16" s="669"/>
      <c r="F16" s="177" t="s">
        <v>16</v>
      </c>
      <c r="G16" s="670" t="s">
        <v>17</v>
      </c>
      <c r="H16" s="668"/>
      <c r="I16" s="264"/>
      <c r="J16" s="265"/>
      <c r="K16" s="266" t="s">
        <v>8</v>
      </c>
    </row>
    <row r="17" spans="1:11" x14ac:dyDescent="0.25">
      <c r="A17" s="671" t="s">
        <v>24</v>
      </c>
      <c r="B17" s="672"/>
      <c r="C17" s="672"/>
      <c r="D17" s="672"/>
      <c r="E17" s="673"/>
      <c r="F17" s="267"/>
      <c r="G17" s="674"/>
      <c r="H17" s="675"/>
      <c r="I17" s="268"/>
      <c r="J17" s="269"/>
      <c r="K17" s="270" t="s">
        <v>9</v>
      </c>
    </row>
    <row r="18" spans="1:11" x14ac:dyDescent="0.25">
      <c r="A18" s="364"/>
      <c r="B18" s="365"/>
      <c r="C18" s="365"/>
      <c r="D18" s="365"/>
      <c r="E18" s="273"/>
      <c r="F18" s="274"/>
      <c r="G18" s="274"/>
      <c r="H18" s="274"/>
      <c r="I18" s="275"/>
      <c r="J18" s="276"/>
      <c r="K18" s="277"/>
    </row>
    <row r="19" spans="1:11" x14ac:dyDescent="0.25">
      <c r="A19" s="173" t="s">
        <v>18</v>
      </c>
      <c r="B19" s="174" t="s">
        <v>27</v>
      </c>
      <c r="C19" s="174" t="s">
        <v>19</v>
      </c>
      <c r="D19" s="174" t="s">
        <v>20</v>
      </c>
      <c r="E19" s="676" t="s">
        <v>21</v>
      </c>
      <c r="F19" s="676"/>
      <c r="G19" s="676"/>
      <c r="H19" s="175" t="s">
        <v>10</v>
      </c>
      <c r="I19" s="176" t="s">
        <v>25</v>
      </c>
      <c r="J19" s="177" t="s">
        <v>28</v>
      </c>
      <c r="K19" s="177" t="s">
        <v>22</v>
      </c>
    </row>
    <row r="20" spans="1:11" x14ac:dyDescent="0.25">
      <c r="A20" s="600">
        <v>1</v>
      </c>
      <c r="B20" s="581" t="s">
        <v>166</v>
      </c>
      <c r="C20" s="582" t="s">
        <v>26</v>
      </c>
      <c r="D20" s="601"/>
      <c r="E20" s="821"/>
      <c r="F20" s="821"/>
      <c r="G20" s="584"/>
      <c r="H20" s="584"/>
      <c r="I20" s="578"/>
      <c r="J20" s="586">
        <v>55000</v>
      </c>
      <c r="K20" s="587">
        <f>IF((C20)&gt;0,SUM(J20*I20),"")</f>
        <v>0</v>
      </c>
    </row>
    <row r="21" spans="1:11" x14ac:dyDescent="0.25">
      <c r="A21" s="573">
        <v>2</v>
      </c>
      <c r="B21" s="588" t="s">
        <v>167</v>
      </c>
      <c r="C21" s="582" t="s">
        <v>26</v>
      </c>
      <c r="D21" s="601"/>
      <c r="E21" s="818"/>
      <c r="F21" s="818"/>
      <c r="G21" s="818"/>
      <c r="H21" s="574"/>
      <c r="I21" s="578">
        <v>6</v>
      </c>
      <c r="J21" s="586">
        <v>55000</v>
      </c>
      <c r="K21" s="587">
        <f>IF((C21)&gt;0,SUM(J21*I21),"")</f>
        <v>330000</v>
      </c>
    </row>
    <row r="22" spans="1:11" x14ac:dyDescent="0.25">
      <c r="A22" s="573">
        <v>3</v>
      </c>
      <c r="B22" s="588" t="s">
        <v>168</v>
      </c>
      <c r="C22" s="582" t="s">
        <v>26</v>
      </c>
      <c r="D22" s="601"/>
      <c r="E22" s="818"/>
      <c r="F22" s="818"/>
      <c r="G22" s="818"/>
      <c r="H22" s="574"/>
      <c r="I22" s="599"/>
      <c r="J22" s="586">
        <v>55000</v>
      </c>
      <c r="K22" s="587">
        <f t="shared" ref="K22:K56" si="0">IF((C22)&gt;0,SUM(J22*I22),"")</f>
        <v>0</v>
      </c>
    </row>
    <row r="23" spans="1:11" x14ac:dyDescent="0.25">
      <c r="A23" s="600">
        <v>4</v>
      </c>
      <c r="B23" s="581" t="s">
        <v>169</v>
      </c>
      <c r="C23" s="582" t="s">
        <v>26</v>
      </c>
      <c r="D23" s="601"/>
      <c r="E23" s="818"/>
      <c r="F23" s="818"/>
      <c r="G23" s="818"/>
      <c r="H23" s="574"/>
      <c r="I23" s="573">
        <v>2</v>
      </c>
      <c r="J23" s="586">
        <v>55000</v>
      </c>
      <c r="K23" s="587">
        <f t="shared" si="0"/>
        <v>110000</v>
      </c>
    </row>
    <row r="24" spans="1:11" x14ac:dyDescent="0.25">
      <c r="A24" s="573">
        <v>5</v>
      </c>
      <c r="B24" s="588" t="s">
        <v>170</v>
      </c>
      <c r="C24" s="582" t="s">
        <v>26</v>
      </c>
      <c r="D24" s="601"/>
      <c r="E24" s="825"/>
      <c r="F24" s="825"/>
      <c r="G24" s="825"/>
      <c r="H24" s="575"/>
      <c r="I24" s="573"/>
      <c r="J24" s="586">
        <v>55000</v>
      </c>
      <c r="K24" s="587">
        <f t="shared" si="0"/>
        <v>0</v>
      </c>
    </row>
    <row r="25" spans="1:11" x14ac:dyDescent="0.25">
      <c r="A25" s="573">
        <v>6</v>
      </c>
      <c r="B25" s="588" t="s">
        <v>171</v>
      </c>
      <c r="C25" s="582" t="s">
        <v>26</v>
      </c>
      <c r="D25" s="601"/>
      <c r="E25" s="825"/>
      <c r="F25" s="825"/>
      <c r="G25" s="825"/>
      <c r="H25" s="575"/>
      <c r="I25" s="573"/>
      <c r="J25" s="586">
        <v>55000</v>
      </c>
      <c r="K25" s="587">
        <f t="shared" si="0"/>
        <v>0</v>
      </c>
    </row>
    <row r="26" spans="1:11" x14ac:dyDescent="0.25">
      <c r="A26" s="600">
        <v>7</v>
      </c>
      <c r="B26" s="581" t="s">
        <v>172</v>
      </c>
      <c r="C26" s="582" t="s">
        <v>26</v>
      </c>
      <c r="D26" s="601"/>
      <c r="E26" s="825"/>
      <c r="F26" s="825"/>
      <c r="G26" s="825"/>
      <c r="H26" s="575"/>
      <c r="I26" s="573">
        <v>1</v>
      </c>
      <c r="J26" s="586">
        <v>55000</v>
      </c>
      <c r="K26" s="587">
        <f t="shared" si="0"/>
        <v>55000</v>
      </c>
    </row>
    <row r="27" spans="1:11" x14ac:dyDescent="0.25">
      <c r="A27" s="573">
        <v>8</v>
      </c>
      <c r="B27" s="588" t="s">
        <v>173</v>
      </c>
      <c r="C27" s="582" t="s">
        <v>26</v>
      </c>
      <c r="D27" s="601"/>
      <c r="E27" s="825"/>
      <c r="F27" s="825"/>
      <c r="G27" s="825"/>
      <c r="H27" s="575"/>
      <c r="I27" s="573"/>
      <c r="J27" s="586">
        <v>55000</v>
      </c>
      <c r="K27" s="587">
        <f t="shared" si="0"/>
        <v>0</v>
      </c>
    </row>
    <row r="28" spans="1:11" x14ac:dyDescent="0.25">
      <c r="A28" s="573">
        <v>9</v>
      </c>
      <c r="B28" s="581" t="s">
        <v>174</v>
      </c>
      <c r="C28" s="582" t="s">
        <v>26</v>
      </c>
      <c r="D28" s="601"/>
      <c r="E28" s="825"/>
      <c r="F28" s="825"/>
      <c r="G28" s="825"/>
      <c r="H28" s="575"/>
      <c r="I28" s="573"/>
      <c r="J28" s="586">
        <v>55000</v>
      </c>
      <c r="K28" s="587">
        <f t="shared" si="0"/>
        <v>0</v>
      </c>
    </row>
    <row r="29" spans="1:11" x14ac:dyDescent="0.25">
      <c r="A29" s="600">
        <v>10</v>
      </c>
      <c r="B29" s="588" t="s">
        <v>175</v>
      </c>
      <c r="C29" s="582" t="s">
        <v>26</v>
      </c>
      <c r="D29" s="601"/>
      <c r="E29" s="825"/>
      <c r="F29" s="825"/>
      <c r="G29" s="825"/>
      <c r="H29" s="575"/>
      <c r="I29" s="573">
        <v>2</v>
      </c>
      <c r="J29" s="586">
        <v>55000</v>
      </c>
      <c r="K29" s="587">
        <f t="shared" si="0"/>
        <v>110000</v>
      </c>
    </row>
    <row r="30" spans="1:11" x14ac:dyDescent="0.25">
      <c r="A30" s="573">
        <v>11</v>
      </c>
      <c r="B30" s="581" t="s">
        <v>176</v>
      </c>
      <c r="C30" s="582" t="s">
        <v>26</v>
      </c>
      <c r="D30" s="601"/>
      <c r="E30" s="825"/>
      <c r="F30" s="825"/>
      <c r="G30" s="825"/>
      <c r="H30" s="575"/>
      <c r="I30" s="573">
        <v>3</v>
      </c>
      <c r="J30" s="586">
        <v>55000</v>
      </c>
      <c r="K30" s="587">
        <f t="shared" si="0"/>
        <v>165000</v>
      </c>
    </row>
    <row r="31" spans="1:11" x14ac:dyDescent="0.25">
      <c r="A31" s="573">
        <v>12</v>
      </c>
      <c r="B31" s="588" t="s">
        <v>177</v>
      </c>
      <c r="C31" s="582" t="s">
        <v>26</v>
      </c>
      <c r="D31" s="601"/>
      <c r="E31" s="825"/>
      <c r="F31" s="825"/>
      <c r="G31" s="825"/>
      <c r="H31" s="575"/>
      <c r="I31" s="573"/>
      <c r="J31" s="586">
        <v>55000</v>
      </c>
      <c r="K31" s="587">
        <f t="shared" si="0"/>
        <v>0</v>
      </c>
    </row>
    <row r="32" spans="1:11" x14ac:dyDescent="0.25">
      <c r="A32" s="600">
        <v>13</v>
      </c>
      <c r="B32" s="581" t="s">
        <v>178</v>
      </c>
      <c r="C32" s="582" t="s">
        <v>26</v>
      </c>
      <c r="D32" s="601"/>
      <c r="E32" s="823"/>
      <c r="F32" s="823"/>
      <c r="G32" s="823"/>
      <c r="H32" s="576"/>
      <c r="I32" s="573">
        <v>3</v>
      </c>
      <c r="J32" s="586">
        <v>55000</v>
      </c>
      <c r="K32" s="587">
        <f t="shared" si="0"/>
        <v>165000</v>
      </c>
    </row>
    <row r="33" spans="1:11" x14ac:dyDescent="0.25">
      <c r="A33" s="573">
        <v>14</v>
      </c>
      <c r="B33" s="588" t="s">
        <v>179</v>
      </c>
      <c r="C33" s="582" t="s">
        <v>26</v>
      </c>
      <c r="D33" s="601"/>
      <c r="E33" s="823"/>
      <c r="F33" s="823"/>
      <c r="G33" s="823"/>
      <c r="H33" s="576"/>
      <c r="I33" s="573">
        <v>9</v>
      </c>
      <c r="J33" s="586">
        <v>55000</v>
      </c>
      <c r="K33" s="587">
        <f t="shared" si="0"/>
        <v>495000</v>
      </c>
    </row>
    <row r="34" spans="1:11" x14ac:dyDescent="0.25">
      <c r="A34" s="573">
        <v>15</v>
      </c>
      <c r="B34" s="581" t="s">
        <v>180</v>
      </c>
      <c r="C34" s="582" t="s">
        <v>26</v>
      </c>
      <c r="D34" s="601"/>
      <c r="E34" s="823"/>
      <c r="F34" s="823"/>
      <c r="G34" s="823"/>
      <c r="H34" s="576"/>
      <c r="I34" s="573"/>
      <c r="J34" s="586">
        <v>55000</v>
      </c>
      <c r="K34" s="587">
        <f t="shared" si="0"/>
        <v>0</v>
      </c>
    </row>
    <row r="35" spans="1:11" x14ac:dyDescent="0.25">
      <c r="A35" s="600">
        <v>16</v>
      </c>
      <c r="B35" s="588" t="s">
        <v>181</v>
      </c>
      <c r="C35" s="582" t="s">
        <v>26</v>
      </c>
      <c r="D35" s="601"/>
      <c r="E35" s="823"/>
      <c r="F35" s="823"/>
      <c r="G35" s="823"/>
      <c r="H35" s="576"/>
      <c r="I35" s="573"/>
      <c r="J35" s="586">
        <v>55000</v>
      </c>
      <c r="K35" s="587">
        <f t="shared" si="0"/>
        <v>0</v>
      </c>
    </row>
    <row r="36" spans="1:11" x14ac:dyDescent="0.25">
      <c r="A36" s="573">
        <v>17</v>
      </c>
      <c r="B36" s="581" t="s">
        <v>182</v>
      </c>
      <c r="C36" s="582" t="s">
        <v>26</v>
      </c>
      <c r="D36" s="601"/>
      <c r="E36" s="823"/>
      <c r="F36" s="823"/>
      <c r="G36" s="823"/>
      <c r="H36" s="576"/>
      <c r="I36" s="599"/>
      <c r="J36" s="586">
        <v>55000</v>
      </c>
      <c r="K36" s="587">
        <f t="shared" si="0"/>
        <v>0</v>
      </c>
    </row>
    <row r="37" spans="1:11" x14ac:dyDescent="0.25">
      <c r="A37" s="573">
        <v>18</v>
      </c>
      <c r="B37" s="588" t="s">
        <v>183</v>
      </c>
      <c r="C37" s="582" t="s">
        <v>26</v>
      </c>
      <c r="D37" s="601"/>
      <c r="E37" s="823"/>
      <c r="F37" s="823"/>
      <c r="G37" s="823"/>
      <c r="H37" s="576"/>
      <c r="I37" s="573"/>
      <c r="J37" s="586">
        <v>55000</v>
      </c>
      <c r="K37" s="587">
        <f t="shared" si="0"/>
        <v>0</v>
      </c>
    </row>
    <row r="38" spans="1:11" x14ac:dyDescent="0.25">
      <c r="A38" s="600">
        <v>19</v>
      </c>
      <c r="B38" s="581" t="s">
        <v>184</v>
      </c>
      <c r="C38" s="582" t="s">
        <v>26</v>
      </c>
      <c r="D38" s="601"/>
      <c r="E38" s="824"/>
      <c r="F38" s="824"/>
      <c r="G38" s="824"/>
      <c r="H38" s="577"/>
      <c r="I38" s="573"/>
      <c r="J38" s="586">
        <v>55000</v>
      </c>
      <c r="K38" s="587">
        <f t="shared" si="0"/>
        <v>0</v>
      </c>
    </row>
    <row r="39" spans="1:11" x14ac:dyDescent="0.25">
      <c r="A39" s="573">
        <v>20</v>
      </c>
      <c r="B39" s="588" t="s">
        <v>185</v>
      </c>
      <c r="C39" s="582" t="s">
        <v>26</v>
      </c>
      <c r="D39" s="601"/>
      <c r="E39" s="824"/>
      <c r="F39" s="824"/>
      <c r="G39" s="824"/>
      <c r="H39" s="577"/>
      <c r="I39" s="573"/>
      <c r="J39" s="586">
        <v>55000</v>
      </c>
      <c r="K39" s="587">
        <f t="shared" si="0"/>
        <v>0</v>
      </c>
    </row>
    <row r="40" spans="1:11" x14ac:dyDescent="0.25">
      <c r="A40" s="573">
        <v>21</v>
      </c>
      <c r="B40" s="581" t="s">
        <v>186</v>
      </c>
      <c r="C40" s="582" t="s">
        <v>26</v>
      </c>
      <c r="D40" s="601"/>
      <c r="E40" s="824"/>
      <c r="F40" s="824"/>
      <c r="G40" s="824"/>
      <c r="H40" s="577"/>
      <c r="I40" s="573"/>
      <c r="J40" s="586">
        <v>55000</v>
      </c>
      <c r="K40" s="587">
        <f t="shared" si="0"/>
        <v>0</v>
      </c>
    </row>
    <row r="41" spans="1:11" x14ac:dyDescent="0.25">
      <c r="A41" s="600">
        <v>22</v>
      </c>
      <c r="B41" s="588" t="s">
        <v>187</v>
      </c>
      <c r="C41" s="582" t="s">
        <v>26</v>
      </c>
      <c r="D41" s="601"/>
      <c r="E41" s="824"/>
      <c r="F41" s="824"/>
      <c r="G41" s="824"/>
      <c r="H41" s="577"/>
      <c r="I41" s="573"/>
      <c r="J41" s="586">
        <v>55000</v>
      </c>
      <c r="K41" s="587">
        <f t="shared" si="0"/>
        <v>0</v>
      </c>
    </row>
    <row r="42" spans="1:11" x14ac:dyDescent="0.25">
      <c r="A42" s="573">
        <v>23</v>
      </c>
      <c r="B42" s="581" t="s">
        <v>188</v>
      </c>
      <c r="C42" s="582" t="s">
        <v>26</v>
      </c>
      <c r="D42" s="601"/>
      <c r="E42" s="818"/>
      <c r="F42" s="818"/>
      <c r="G42" s="818"/>
      <c r="H42" s="574"/>
      <c r="I42" s="578"/>
      <c r="J42" s="586">
        <v>55000</v>
      </c>
      <c r="K42" s="587">
        <f t="shared" si="0"/>
        <v>0</v>
      </c>
    </row>
    <row r="43" spans="1:11" x14ac:dyDescent="0.25">
      <c r="A43" s="573">
        <v>24</v>
      </c>
      <c r="B43" s="588" t="s">
        <v>189</v>
      </c>
      <c r="C43" s="582" t="s">
        <v>26</v>
      </c>
      <c r="D43" s="601"/>
      <c r="E43" s="818"/>
      <c r="F43" s="818"/>
      <c r="G43" s="818"/>
      <c r="H43" s="574"/>
      <c r="I43" s="578">
        <v>2</v>
      </c>
      <c r="J43" s="586">
        <v>55000</v>
      </c>
      <c r="K43" s="587">
        <f t="shared" si="0"/>
        <v>110000</v>
      </c>
    </row>
    <row r="44" spans="1:11" x14ac:dyDescent="0.25">
      <c r="A44" s="600">
        <v>25</v>
      </c>
      <c r="B44" s="581" t="s">
        <v>190</v>
      </c>
      <c r="C44" s="582" t="s">
        <v>26</v>
      </c>
      <c r="D44" s="601"/>
      <c r="E44" s="574"/>
      <c r="F44" s="818"/>
      <c r="G44" s="818"/>
      <c r="H44" s="574"/>
      <c r="I44" s="578">
        <v>48</v>
      </c>
      <c r="J44" s="586">
        <v>55000</v>
      </c>
      <c r="K44" s="587">
        <f t="shared" si="0"/>
        <v>2640000</v>
      </c>
    </row>
    <row r="45" spans="1:11" x14ac:dyDescent="0.25">
      <c r="A45" s="573">
        <v>26</v>
      </c>
      <c r="B45" s="588" t="s">
        <v>191</v>
      </c>
      <c r="C45" s="582" t="s">
        <v>26</v>
      </c>
      <c r="D45" s="601"/>
      <c r="E45" s="818"/>
      <c r="F45" s="818"/>
      <c r="G45" s="818"/>
      <c r="H45" s="574"/>
      <c r="I45" s="578"/>
      <c r="J45" s="586">
        <v>55000</v>
      </c>
      <c r="K45" s="587">
        <f t="shared" si="0"/>
        <v>0</v>
      </c>
    </row>
    <row r="46" spans="1:11" x14ac:dyDescent="0.25">
      <c r="A46" s="573">
        <v>27</v>
      </c>
      <c r="B46" s="581" t="s">
        <v>192</v>
      </c>
      <c r="C46" s="582" t="s">
        <v>26</v>
      </c>
      <c r="D46" s="601"/>
      <c r="E46" s="819"/>
      <c r="F46" s="819"/>
      <c r="G46" s="819"/>
      <c r="H46" s="592"/>
      <c r="I46" s="578"/>
      <c r="J46" s="586">
        <v>55000</v>
      </c>
      <c r="K46" s="587">
        <f t="shared" si="0"/>
        <v>0</v>
      </c>
    </row>
    <row r="47" spans="1:11" x14ac:dyDescent="0.25">
      <c r="A47" s="600">
        <v>28</v>
      </c>
      <c r="B47" s="588" t="s">
        <v>193</v>
      </c>
      <c r="C47" s="582" t="s">
        <v>26</v>
      </c>
      <c r="D47" s="601"/>
      <c r="E47" s="820"/>
      <c r="F47" s="820"/>
      <c r="G47" s="820"/>
      <c r="H47" s="593"/>
      <c r="I47" s="594">
        <v>23</v>
      </c>
      <c r="J47" s="586">
        <v>55000</v>
      </c>
      <c r="K47" s="587">
        <f t="shared" si="0"/>
        <v>1265000</v>
      </c>
    </row>
    <row r="48" spans="1:11" x14ac:dyDescent="0.25">
      <c r="A48" s="573">
        <v>29</v>
      </c>
      <c r="B48" s="581" t="s">
        <v>194</v>
      </c>
      <c r="C48" s="582" t="s">
        <v>26</v>
      </c>
      <c r="D48" s="601"/>
      <c r="E48" s="820"/>
      <c r="F48" s="820"/>
      <c r="G48" s="820"/>
      <c r="H48" s="593"/>
      <c r="I48" s="594">
        <v>9</v>
      </c>
      <c r="J48" s="586">
        <v>55000</v>
      </c>
      <c r="K48" s="587">
        <f t="shared" si="0"/>
        <v>495000</v>
      </c>
    </row>
    <row r="49" spans="1:11" x14ac:dyDescent="0.25">
      <c r="A49" s="573">
        <v>30</v>
      </c>
      <c r="B49" s="588" t="s">
        <v>195</v>
      </c>
      <c r="C49" s="582" t="s">
        <v>26</v>
      </c>
      <c r="D49" s="601"/>
      <c r="E49" s="819"/>
      <c r="F49" s="819"/>
      <c r="G49" s="819"/>
      <c r="H49" s="592"/>
      <c r="I49" s="578">
        <v>12</v>
      </c>
      <c r="J49" s="586">
        <v>55000</v>
      </c>
      <c r="K49" s="587">
        <f t="shared" si="0"/>
        <v>660000</v>
      </c>
    </row>
    <row r="50" spans="1:11" x14ac:dyDescent="0.25">
      <c r="A50" s="600">
        <v>31</v>
      </c>
      <c r="B50" s="581" t="s">
        <v>196</v>
      </c>
      <c r="C50" s="582" t="s">
        <v>26</v>
      </c>
      <c r="D50" s="601"/>
      <c r="E50" s="819"/>
      <c r="F50" s="819"/>
      <c r="G50" s="819"/>
      <c r="H50" s="592"/>
      <c r="I50" s="578">
        <v>13</v>
      </c>
      <c r="J50" s="586">
        <v>55000</v>
      </c>
      <c r="K50" s="587">
        <f t="shared" si="0"/>
        <v>715000</v>
      </c>
    </row>
    <row r="51" spans="1:11" x14ac:dyDescent="0.25">
      <c r="A51" s="573">
        <v>32</v>
      </c>
      <c r="B51" s="588" t="s">
        <v>197</v>
      </c>
      <c r="C51" s="582" t="s">
        <v>26</v>
      </c>
      <c r="D51" s="601"/>
      <c r="E51" s="821"/>
      <c r="F51" s="821"/>
      <c r="G51" s="821"/>
      <c r="H51" s="584"/>
      <c r="I51" s="578"/>
      <c r="J51" s="586">
        <v>55000</v>
      </c>
      <c r="K51" s="587">
        <f t="shared" si="0"/>
        <v>0</v>
      </c>
    </row>
    <row r="52" spans="1:11" x14ac:dyDescent="0.25">
      <c r="A52" s="573">
        <v>33</v>
      </c>
      <c r="B52" s="581" t="s">
        <v>198</v>
      </c>
      <c r="C52" s="582" t="s">
        <v>26</v>
      </c>
      <c r="D52" s="601"/>
      <c r="E52" s="821"/>
      <c r="F52" s="821"/>
      <c r="G52" s="821"/>
      <c r="H52" s="584"/>
      <c r="I52" s="578">
        <v>1</v>
      </c>
      <c r="J52" s="586">
        <v>55000</v>
      </c>
      <c r="K52" s="587">
        <f t="shared" si="0"/>
        <v>55000</v>
      </c>
    </row>
    <row r="53" spans="1:11" x14ac:dyDescent="0.25">
      <c r="A53" s="600">
        <v>34</v>
      </c>
      <c r="B53" s="588" t="s">
        <v>199</v>
      </c>
      <c r="C53" s="582" t="s">
        <v>26</v>
      </c>
      <c r="D53" s="601"/>
      <c r="E53" s="821"/>
      <c r="F53" s="821"/>
      <c r="G53" s="821"/>
      <c r="H53" s="584"/>
      <c r="I53" s="578"/>
      <c r="J53" s="586">
        <v>55000</v>
      </c>
      <c r="K53" s="587">
        <f t="shared" si="0"/>
        <v>0</v>
      </c>
    </row>
    <row r="54" spans="1:11" x14ac:dyDescent="0.25">
      <c r="A54" s="573">
        <v>35</v>
      </c>
      <c r="B54" s="581" t="s">
        <v>116</v>
      </c>
      <c r="C54" s="582" t="s">
        <v>26</v>
      </c>
      <c r="D54" s="601"/>
      <c r="E54" s="822"/>
      <c r="F54" s="822"/>
      <c r="G54" s="822"/>
      <c r="H54" s="595"/>
      <c r="I54" s="596"/>
      <c r="J54" s="586">
        <v>55000</v>
      </c>
      <c r="K54" s="587">
        <f t="shared" si="0"/>
        <v>0</v>
      </c>
    </row>
    <row r="55" spans="1:11" x14ac:dyDescent="0.25">
      <c r="A55" s="573">
        <v>36</v>
      </c>
      <c r="B55" s="588" t="s">
        <v>200</v>
      </c>
      <c r="C55" s="582" t="s">
        <v>26</v>
      </c>
      <c r="D55" s="601"/>
      <c r="E55" s="817"/>
      <c r="F55" s="817"/>
      <c r="G55" s="817"/>
      <c r="H55" s="597"/>
      <c r="I55" s="596"/>
      <c r="J55" s="586">
        <v>55000</v>
      </c>
      <c r="K55" s="587">
        <f t="shared" si="0"/>
        <v>0</v>
      </c>
    </row>
    <row r="56" spans="1:11" x14ac:dyDescent="0.25">
      <c r="A56" s="600">
        <v>37</v>
      </c>
      <c r="B56" s="588" t="s">
        <v>201</v>
      </c>
      <c r="C56" s="582" t="s">
        <v>26</v>
      </c>
      <c r="D56" s="601"/>
      <c r="E56" s="817"/>
      <c r="F56" s="817"/>
      <c r="G56" s="817"/>
      <c r="H56" s="597"/>
      <c r="I56" s="596"/>
      <c r="J56" s="586">
        <v>55000</v>
      </c>
      <c r="K56" s="587">
        <f t="shared" si="0"/>
        <v>0</v>
      </c>
    </row>
    <row r="57" spans="1:11" ht="18.75" x14ac:dyDescent="0.25">
      <c r="A57" s="192"/>
      <c r="B57" s="366"/>
      <c r="C57" s="193"/>
      <c r="D57" s="193"/>
      <c r="E57" s="194"/>
      <c r="F57" s="194"/>
      <c r="G57" s="194"/>
      <c r="H57" s="194"/>
      <c r="I57" s="200"/>
      <c r="J57" s="195" t="s">
        <v>202</v>
      </c>
      <c r="K57" s="196">
        <f>SUM(K20:K56)</f>
        <v>7370000</v>
      </c>
    </row>
    <row r="58" spans="1:11" ht="18.75" x14ac:dyDescent="0.25">
      <c r="A58" s="192"/>
      <c r="B58" s="366"/>
      <c r="C58" s="193"/>
      <c r="D58" s="193"/>
      <c r="E58" s="194"/>
      <c r="F58" s="194"/>
      <c r="G58" s="194"/>
      <c r="H58" s="194"/>
      <c r="I58" s="200"/>
      <c r="J58" s="367" t="s">
        <v>67</v>
      </c>
      <c r="K58" s="196">
        <v>20000</v>
      </c>
    </row>
    <row r="59" spans="1:11" ht="15.75" x14ac:dyDescent="0.25">
      <c r="A59" s="368"/>
      <c r="B59" s="369"/>
      <c r="D59" s="198"/>
      <c r="E59" s="199"/>
      <c r="F59" s="199"/>
      <c r="G59" s="199"/>
      <c r="H59" s="199"/>
      <c r="I59" s="200"/>
      <c r="J59" s="201" t="s">
        <v>203</v>
      </c>
      <c r="K59" s="202">
        <v>369500</v>
      </c>
    </row>
    <row r="60" spans="1:11" ht="20.25" x14ac:dyDescent="0.25">
      <c r="D60" s="571"/>
      <c r="E60" s="571"/>
      <c r="F60" s="571"/>
      <c r="G60" s="571"/>
      <c r="H60" s="571"/>
      <c r="I60" s="571"/>
      <c r="J60" s="203" t="s">
        <v>66</v>
      </c>
      <c r="K60" s="204">
        <f>SUM(K57:K59)</f>
        <v>7759500</v>
      </c>
    </row>
    <row r="61" spans="1:11" ht="16.5" thickBot="1" x14ac:dyDescent="0.3">
      <c r="A61" s="368" t="s">
        <v>204</v>
      </c>
      <c r="B61" s="571"/>
      <c r="C61" s="571" t="s">
        <v>219</v>
      </c>
      <c r="D61" s="511"/>
      <c r="E61" s="511"/>
      <c r="F61" s="511"/>
      <c r="G61" s="511"/>
      <c r="H61" s="511"/>
      <c r="I61" s="511"/>
      <c r="J61" s="511"/>
      <c r="K61" s="512"/>
    </row>
    <row r="62" spans="1:11" x14ac:dyDescent="0.25">
      <c r="A62" s="683" t="s">
        <v>23</v>
      </c>
      <c r="B62" s="684"/>
      <c r="C62" s="684"/>
      <c r="D62" s="684"/>
      <c r="E62" s="684"/>
      <c r="F62" s="684"/>
      <c r="G62" s="684"/>
      <c r="H62" s="684"/>
      <c r="I62" s="684"/>
      <c r="J62" s="684"/>
      <c r="K62" s="685"/>
    </row>
    <row r="63" spans="1:11" ht="15.75" thickBot="1" x14ac:dyDescent="0.3">
      <c r="A63" s="689"/>
      <c r="B63" s="690"/>
      <c r="C63" s="690"/>
      <c r="D63" s="690"/>
      <c r="E63" s="690"/>
      <c r="F63" s="690"/>
      <c r="G63" s="690"/>
      <c r="H63" s="690"/>
      <c r="I63" s="690"/>
      <c r="J63" s="690"/>
      <c r="K63" s="691"/>
    </row>
    <row r="64" spans="1:11" x14ac:dyDescent="0.25">
      <c r="A64" s="370"/>
      <c r="B64" s="371"/>
      <c r="C64" s="371"/>
      <c r="D64" s="371"/>
      <c r="E64" s="289"/>
      <c r="F64" s="289"/>
      <c r="G64" s="289"/>
      <c r="H64" s="289"/>
      <c r="I64" s="290"/>
      <c r="J64" s="291"/>
      <c r="K64" s="292"/>
    </row>
    <row r="65" spans="1:11" x14ac:dyDescent="0.25">
      <c r="A65" s="293"/>
      <c r="B65" s="294"/>
      <c r="C65" s="294"/>
      <c r="D65" s="294"/>
      <c r="E65" s="294"/>
      <c r="F65" s="294"/>
      <c r="G65" s="294"/>
      <c r="H65" s="294"/>
      <c r="I65" s="293"/>
      <c r="J65" s="294"/>
      <c r="K65" s="295"/>
    </row>
    <row r="66" spans="1:11" x14ac:dyDescent="0.25">
      <c r="A66" s="293"/>
      <c r="B66" s="294"/>
      <c r="C66" s="294"/>
      <c r="D66" s="294"/>
      <c r="E66" s="294"/>
      <c r="F66" s="294"/>
      <c r="G66" s="294"/>
      <c r="H66" s="294"/>
      <c r="I66" s="293"/>
      <c r="J66" s="294"/>
      <c r="K66" s="295"/>
    </row>
    <row r="67" spans="1:11" x14ac:dyDescent="0.25">
      <c r="A67" s="293"/>
      <c r="B67" s="294"/>
      <c r="C67" s="294"/>
      <c r="D67" s="294"/>
      <c r="E67" s="294"/>
      <c r="F67" s="294"/>
      <c r="G67" s="294"/>
      <c r="H67" s="294"/>
      <c r="I67" s="293"/>
      <c r="J67" s="294"/>
      <c r="K67" s="295"/>
    </row>
    <row r="68" spans="1:11" x14ac:dyDescent="0.25">
      <c r="A68" s="293"/>
      <c r="B68" s="294"/>
      <c r="C68" s="294"/>
      <c r="D68" s="294"/>
      <c r="E68" s="294"/>
      <c r="F68" s="294"/>
      <c r="G68" s="294"/>
      <c r="H68" s="294"/>
      <c r="I68" s="293"/>
      <c r="J68" s="294"/>
      <c r="K68" s="295"/>
    </row>
    <row r="69" spans="1:11" x14ac:dyDescent="0.25">
      <c r="A69" s="293"/>
      <c r="B69" s="294"/>
      <c r="C69" s="294"/>
      <c r="D69" s="294"/>
      <c r="E69" s="294"/>
      <c r="F69" s="294"/>
      <c r="G69" s="294"/>
      <c r="H69" s="294"/>
      <c r="I69" s="293"/>
      <c r="J69" s="294"/>
      <c r="K69" s="295"/>
    </row>
    <row r="70" spans="1:11" x14ac:dyDescent="0.25">
      <c r="A70" s="293"/>
      <c r="B70" s="294"/>
      <c r="C70" s="294"/>
      <c r="D70" s="294"/>
      <c r="E70" s="294"/>
      <c r="F70" s="294"/>
      <c r="G70" s="294"/>
      <c r="H70" s="294"/>
      <c r="I70" s="293"/>
      <c r="J70" s="294"/>
      <c r="K70" s="295"/>
    </row>
    <row r="71" spans="1:11" x14ac:dyDescent="0.25">
      <c r="A71" s="293"/>
      <c r="B71" s="294"/>
      <c r="C71" s="294"/>
      <c r="D71" s="294"/>
      <c r="E71" s="294"/>
      <c r="F71" s="294"/>
      <c r="G71" s="294"/>
      <c r="H71" s="294"/>
      <c r="I71" s="293"/>
      <c r="J71" s="294"/>
      <c r="K71" s="295"/>
    </row>
    <row r="72" spans="1:11" x14ac:dyDescent="0.25">
      <c r="A72" s="293"/>
      <c r="B72" s="294"/>
      <c r="C72" s="294"/>
      <c r="D72" s="294"/>
      <c r="E72" s="294"/>
      <c r="F72" s="294"/>
      <c r="G72" s="294"/>
      <c r="H72" s="294"/>
      <c r="I72" s="293"/>
      <c r="J72" s="294"/>
      <c r="K72" s="295"/>
    </row>
    <row r="73" spans="1:11" x14ac:dyDescent="0.25">
      <c r="A73" s="293"/>
      <c r="B73" s="294"/>
      <c r="C73" s="294"/>
      <c r="D73" s="294"/>
      <c r="E73" s="294"/>
      <c r="F73" s="294"/>
      <c r="G73" s="294"/>
      <c r="H73" s="294"/>
      <c r="I73" s="293"/>
      <c r="J73" s="294"/>
      <c r="K73" s="295"/>
    </row>
    <row r="74" spans="1:11" x14ac:dyDescent="0.25">
      <c r="A74" s="293"/>
      <c r="B74" s="294"/>
      <c r="C74" s="294"/>
      <c r="D74" s="294"/>
      <c r="E74" s="294"/>
      <c r="F74" s="294"/>
      <c r="G74" s="294"/>
      <c r="H74" s="294"/>
      <c r="I74" s="293"/>
      <c r="J74" s="294"/>
      <c r="K74" s="295"/>
    </row>
    <row r="75" spans="1:11" x14ac:dyDescent="0.25">
      <c r="A75" s="293"/>
      <c r="B75" s="294"/>
      <c r="C75" s="294"/>
      <c r="D75" s="294"/>
      <c r="E75" s="294"/>
      <c r="F75" s="294"/>
      <c r="G75" s="294"/>
      <c r="H75" s="294"/>
      <c r="I75" s="293"/>
      <c r="J75" s="294"/>
      <c r="K75" s="295"/>
    </row>
    <row r="76" spans="1:11" x14ac:dyDescent="0.25">
      <c r="A76" s="293"/>
      <c r="B76" s="294"/>
      <c r="C76" s="294"/>
      <c r="D76" s="294"/>
      <c r="E76" s="294"/>
      <c r="F76" s="294"/>
      <c r="G76" s="294"/>
      <c r="H76" s="294"/>
      <c r="I76" s="293"/>
      <c r="J76" s="294"/>
      <c r="K76" s="295"/>
    </row>
    <row r="77" spans="1:11" x14ac:dyDescent="0.25">
      <c r="A77" s="293"/>
      <c r="B77" s="294"/>
      <c r="C77" s="294"/>
      <c r="D77" s="294"/>
      <c r="E77" s="294"/>
      <c r="F77" s="294"/>
      <c r="G77" s="294"/>
      <c r="H77" s="294"/>
      <c r="I77" s="293"/>
      <c r="J77" s="294"/>
      <c r="K77" s="295"/>
    </row>
    <row r="78" spans="1:11" x14ac:dyDescent="0.25">
      <c r="A78" s="293"/>
      <c r="B78" s="294"/>
      <c r="C78" s="294"/>
      <c r="D78" s="294"/>
      <c r="E78" s="294"/>
      <c r="F78" s="294"/>
      <c r="G78" s="294"/>
      <c r="H78" s="294"/>
      <c r="I78" s="293"/>
      <c r="J78" s="294"/>
      <c r="K78" s="295"/>
    </row>
    <row r="79" spans="1:11" x14ac:dyDescent="0.25">
      <c r="A79" s="293"/>
      <c r="B79" s="294"/>
      <c r="C79" s="294"/>
      <c r="D79" s="294"/>
      <c r="E79" s="294"/>
      <c r="F79" s="294"/>
      <c r="G79" s="294"/>
      <c r="H79" s="294"/>
      <c r="I79" s="293"/>
      <c r="J79" s="294"/>
      <c r="K79" s="295"/>
    </row>
    <row r="80" spans="1:11" x14ac:dyDescent="0.25">
      <c r="A80" s="293"/>
      <c r="B80" s="294"/>
      <c r="C80" s="294"/>
      <c r="D80" s="294"/>
      <c r="E80" s="294"/>
      <c r="F80" s="294"/>
      <c r="G80" s="294"/>
      <c r="H80" s="294"/>
      <c r="I80" s="293"/>
      <c r="J80" s="294"/>
      <c r="K80" s="295"/>
    </row>
    <row r="81" spans="1:11" x14ac:dyDescent="0.25">
      <c r="A81" s="293"/>
      <c r="B81" s="294"/>
      <c r="C81" s="294"/>
      <c r="D81" s="294"/>
      <c r="E81" s="294"/>
      <c r="F81" s="294"/>
      <c r="G81" s="294"/>
      <c r="H81" s="294"/>
      <c r="I81" s="293"/>
      <c r="J81" s="294"/>
      <c r="K81" s="295"/>
    </row>
  </sheetData>
  <mergeCells count="51">
    <mergeCell ref="A16:E16"/>
    <mergeCell ref="G16:H16"/>
    <mergeCell ref="A17:E17"/>
    <mergeCell ref="G17:H17"/>
    <mergeCell ref="E29:G29"/>
    <mergeCell ref="E30:G30"/>
    <mergeCell ref="E19:G19"/>
    <mergeCell ref="E28:G28"/>
    <mergeCell ref="E1:K1"/>
    <mergeCell ref="D4:F4"/>
    <mergeCell ref="D8:E8"/>
    <mergeCell ref="C9:E9"/>
    <mergeCell ref="C10:D10"/>
    <mergeCell ref="D14:E14"/>
    <mergeCell ref="F14:G14"/>
    <mergeCell ref="A15:K15"/>
    <mergeCell ref="E31:G31"/>
    <mergeCell ref="E20:F20"/>
    <mergeCell ref="E21:G21"/>
    <mergeCell ref="E22:G22"/>
    <mergeCell ref="E23:G23"/>
    <mergeCell ref="E24:G24"/>
    <mergeCell ref="E25:G25"/>
    <mergeCell ref="E26:G26"/>
    <mergeCell ref="E27:G27"/>
    <mergeCell ref="E37:G37"/>
    <mergeCell ref="E38:G38"/>
    <mergeCell ref="E39:G39"/>
    <mergeCell ref="E40:G40"/>
    <mergeCell ref="E41:G41"/>
    <mergeCell ref="E42:G42"/>
    <mergeCell ref="E51:G51"/>
    <mergeCell ref="E52:G52"/>
    <mergeCell ref="E53:G53"/>
    <mergeCell ref="E54:G54"/>
    <mergeCell ref="E43:G43"/>
    <mergeCell ref="E32:G32"/>
    <mergeCell ref="E33:G33"/>
    <mergeCell ref="E34:G34"/>
    <mergeCell ref="E35:G35"/>
    <mergeCell ref="E36:G36"/>
    <mergeCell ref="E56:G56"/>
    <mergeCell ref="A62:K63"/>
    <mergeCell ref="E55:G55"/>
    <mergeCell ref="F44:G44"/>
    <mergeCell ref="E45:G45"/>
    <mergeCell ref="E46:G46"/>
    <mergeCell ref="E47:G47"/>
    <mergeCell ref="E48:G48"/>
    <mergeCell ref="E49:G49"/>
    <mergeCell ref="E50:G50"/>
  </mergeCells>
  <pageMargins left="0.7" right="0.7" top="0.75" bottom="0.75" header="0.3" footer="0.3"/>
  <pageSetup scale="57" orientation="portrait" horizontalDpi="300" verticalDpi="3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Views>
    <sheetView topLeftCell="C1" zoomScaleNormal="100" workbookViewId="0">
      <selection activeCell="E1" sqref="E1:K1"/>
    </sheetView>
  </sheetViews>
  <sheetFormatPr defaultRowHeight="15" x14ac:dyDescent="0.25"/>
  <cols>
    <col min="1" max="1" width="7.140625" style="299" customWidth="1"/>
    <col min="2" max="2" width="15.140625" customWidth="1"/>
    <col min="3" max="3" width="18.7109375" customWidth="1"/>
    <col min="4" max="4" width="15.140625" customWidth="1"/>
    <col min="5" max="5" width="16.7109375" customWidth="1"/>
    <col min="6" max="6" width="13.140625" customWidth="1"/>
    <col min="7" max="7" width="9.140625" hidden="1" customWidth="1"/>
    <col min="8" max="8" width="18.5703125" customWidth="1"/>
    <col min="9" max="9" width="19" style="299" customWidth="1"/>
    <col min="10" max="10" width="25" customWidth="1"/>
    <col min="11" max="11" width="27.28515625" customWidth="1"/>
  </cols>
  <sheetData>
    <row r="1" spans="1:11" ht="46.5" x14ac:dyDescent="0.55000000000000004">
      <c r="A1" s="347"/>
      <c r="B1" s="346"/>
      <c r="C1" s="346"/>
      <c r="D1" s="346"/>
      <c r="E1" s="712" t="s">
        <v>0</v>
      </c>
      <c r="F1" s="712"/>
      <c r="G1" s="712"/>
      <c r="H1" s="712"/>
      <c r="I1" s="712"/>
      <c r="J1" s="712"/>
      <c r="K1" s="713"/>
    </row>
    <row r="2" spans="1:11" ht="17.25" x14ac:dyDescent="0.3">
      <c r="A2" s="345"/>
      <c r="B2" s="344"/>
      <c r="C2" s="344"/>
      <c r="D2" s="344"/>
      <c r="E2" s="5"/>
      <c r="F2" s="5"/>
      <c r="G2" s="6"/>
      <c r="H2" s="6"/>
      <c r="I2" s="343"/>
      <c r="J2" s="7"/>
      <c r="K2" s="8"/>
    </row>
    <row r="3" spans="1:11" ht="20.25" x14ac:dyDescent="0.3">
      <c r="A3" s="341"/>
      <c r="B3" s="340"/>
      <c r="C3" s="340"/>
      <c r="D3" s="340"/>
      <c r="E3" s="11"/>
      <c r="F3" s="12"/>
      <c r="G3" s="12"/>
      <c r="H3" s="12"/>
      <c r="I3" s="342"/>
      <c r="J3" s="13"/>
      <c r="K3" s="14"/>
    </row>
    <row r="4" spans="1:11" x14ac:dyDescent="0.25">
      <c r="A4" s="341"/>
      <c r="B4" s="340"/>
      <c r="C4" s="15"/>
      <c r="D4" s="15"/>
      <c r="E4" s="16"/>
      <c r="F4" s="15"/>
      <c r="G4" s="15"/>
      <c r="H4" s="15"/>
      <c r="I4" s="336"/>
      <c r="J4" s="17"/>
      <c r="K4" s="18"/>
    </row>
    <row r="5" spans="1:11" ht="15.75" x14ac:dyDescent="0.3">
      <c r="A5" s="339"/>
      <c r="B5" s="15"/>
      <c r="C5" s="15"/>
      <c r="D5" s="20"/>
      <c r="E5" s="21"/>
      <c r="F5" s="20"/>
      <c r="G5" s="22"/>
      <c r="H5" s="22"/>
      <c r="I5" s="336"/>
      <c r="J5" s="17"/>
      <c r="K5" s="18"/>
    </row>
    <row r="6" spans="1:11" ht="15.75" x14ac:dyDescent="0.3">
      <c r="A6" s="338"/>
      <c r="B6" s="337"/>
      <c r="C6" s="337"/>
      <c r="D6" s="337"/>
      <c r="E6" s="22"/>
      <c r="F6" s="22"/>
      <c r="G6" s="22"/>
      <c r="H6" s="22"/>
      <c r="I6" s="336"/>
      <c r="J6" s="17"/>
      <c r="K6" s="25">
        <f ca="1">TODAY()</f>
        <v>41556</v>
      </c>
    </row>
    <row r="7" spans="1:11" ht="16.5" x14ac:dyDescent="0.3">
      <c r="A7" s="338"/>
      <c r="B7" s="337"/>
      <c r="C7" s="337"/>
      <c r="D7" s="337"/>
      <c r="E7" s="20"/>
      <c r="F7" s="22"/>
      <c r="G7" s="26"/>
      <c r="H7" s="26"/>
      <c r="I7" s="336"/>
      <c r="J7" s="27"/>
      <c r="K7" s="28" t="s">
        <v>3</v>
      </c>
    </row>
    <row r="8" spans="1:11" x14ac:dyDescent="0.25">
      <c r="A8" s="335"/>
      <c r="B8" s="334"/>
      <c r="C8" s="30" t="s">
        <v>71</v>
      </c>
      <c r="D8" s="830" t="s">
        <v>215</v>
      </c>
      <c r="E8" s="830"/>
      <c r="F8" s="31"/>
      <c r="G8" s="32"/>
      <c r="H8" s="32"/>
      <c r="I8" s="333"/>
      <c r="J8" s="33"/>
      <c r="K8" s="34"/>
    </row>
    <row r="9" spans="1:11" x14ac:dyDescent="0.25">
      <c r="A9" s="331"/>
      <c r="B9" s="332"/>
      <c r="C9" s="828" t="s">
        <v>214</v>
      </c>
      <c r="D9" s="829"/>
      <c r="E9" s="829"/>
      <c r="F9" s="38"/>
      <c r="G9" s="39"/>
      <c r="H9" s="39"/>
      <c r="I9" s="328"/>
      <c r="J9" s="40"/>
      <c r="K9" s="41"/>
    </row>
    <row r="10" spans="1:11" x14ac:dyDescent="0.25">
      <c r="A10" s="331"/>
      <c r="B10" s="330"/>
      <c r="C10" s="828" t="s">
        <v>213</v>
      </c>
      <c r="D10" s="829"/>
      <c r="E10" s="45"/>
      <c r="F10" s="44"/>
      <c r="G10" s="45"/>
      <c r="H10" s="45"/>
      <c r="I10" s="328"/>
      <c r="J10" s="40"/>
      <c r="K10" s="41"/>
    </row>
    <row r="11" spans="1:11" x14ac:dyDescent="0.25">
      <c r="A11" s="331"/>
      <c r="B11" s="330"/>
      <c r="C11" s="37" t="s">
        <v>13</v>
      </c>
      <c r="D11" s="46" t="s">
        <v>14</v>
      </c>
      <c r="E11" s="45"/>
      <c r="F11" s="46"/>
      <c r="G11" s="45"/>
      <c r="H11" s="45"/>
      <c r="I11" s="328"/>
      <c r="J11" s="40"/>
      <c r="K11" s="41"/>
    </row>
    <row r="12" spans="1:11" ht="15.75" x14ac:dyDescent="0.3">
      <c r="A12" s="329"/>
      <c r="B12" s="326"/>
      <c r="C12" s="48" t="s">
        <v>5</v>
      </c>
      <c r="D12" s="44"/>
      <c r="E12" s="45"/>
      <c r="F12" s="44"/>
      <c r="G12" s="45"/>
      <c r="H12" s="45"/>
      <c r="I12" s="328"/>
      <c r="J12" s="40"/>
      <c r="K12" s="41"/>
    </row>
    <row r="13" spans="1:11" ht="15.75" x14ac:dyDescent="0.3">
      <c r="A13" s="329"/>
      <c r="B13" s="326"/>
      <c r="C13" s="48" t="s">
        <v>15</v>
      </c>
      <c r="D13" s="49"/>
      <c r="E13" s="45"/>
      <c r="F13" s="49"/>
      <c r="G13" s="45"/>
      <c r="H13" s="45"/>
      <c r="I13" s="328"/>
      <c r="J13" s="40"/>
      <c r="K13" s="41"/>
    </row>
    <row r="14" spans="1:11" ht="15.75" x14ac:dyDescent="0.3">
      <c r="A14" s="327"/>
      <c r="B14" s="326"/>
      <c r="C14" s="74" t="s">
        <v>6</v>
      </c>
      <c r="D14" s="714"/>
      <c r="E14" s="714"/>
      <c r="F14" s="714"/>
      <c r="G14" s="714"/>
      <c r="H14" s="163"/>
      <c r="I14" s="325"/>
      <c r="J14" s="51"/>
      <c r="K14" s="51"/>
    </row>
    <row r="15" spans="1:11" ht="15.75" x14ac:dyDescent="0.3">
      <c r="A15" s="715"/>
      <c r="B15" s="716"/>
      <c r="C15" s="716"/>
      <c r="D15" s="716"/>
      <c r="E15" s="716"/>
      <c r="F15" s="716"/>
      <c r="G15" s="716"/>
      <c r="H15" s="716"/>
      <c r="I15" s="716"/>
      <c r="J15" s="716"/>
      <c r="K15" s="717"/>
    </row>
    <row r="16" spans="1:11" x14ac:dyDescent="0.25">
      <c r="A16" s="718" t="s">
        <v>7</v>
      </c>
      <c r="B16" s="719"/>
      <c r="C16" s="719"/>
      <c r="D16" s="719"/>
      <c r="E16" s="720"/>
      <c r="F16" s="52" t="s">
        <v>16</v>
      </c>
      <c r="G16" s="721" t="s">
        <v>17</v>
      </c>
      <c r="H16" s="719"/>
      <c r="I16" s="324"/>
      <c r="J16" s="164"/>
      <c r="K16" s="53" t="s">
        <v>8</v>
      </c>
    </row>
    <row r="17" spans="1:11" ht="15.75" x14ac:dyDescent="0.3">
      <c r="A17" s="722" t="s">
        <v>24</v>
      </c>
      <c r="B17" s="723"/>
      <c r="C17" s="723"/>
      <c r="D17" s="723"/>
      <c r="E17" s="724"/>
      <c r="F17" s="54"/>
      <c r="G17" s="725"/>
      <c r="H17" s="726"/>
      <c r="I17" s="323"/>
      <c r="J17" s="88"/>
      <c r="K17" s="55" t="s">
        <v>9</v>
      </c>
    </row>
    <row r="18" spans="1:11" ht="15.75" x14ac:dyDescent="0.3">
      <c r="A18" s="322"/>
      <c r="B18" s="321"/>
      <c r="C18" s="321"/>
      <c r="D18" s="321"/>
      <c r="E18" s="58"/>
      <c r="F18" s="59"/>
      <c r="G18" s="59"/>
      <c r="H18" s="59"/>
      <c r="I18" s="320"/>
      <c r="J18" s="60"/>
      <c r="K18" s="61"/>
    </row>
    <row r="19" spans="1:11" x14ac:dyDescent="0.25">
      <c r="A19" s="319" t="s">
        <v>18</v>
      </c>
      <c r="B19" s="318" t="s">
        <v>27</v>
      </c>
      <c r="C19" s="318" t="s">
        <v>19</v>
      </c>
      <c r="D19" s="318" t="s">
        <v>20</v>
      </c>
      <c r="E19" s="711" t="s">
        <v>21</v>
      </c>
      <c r="F19" s="711"/>
      <c r="G19" s="711"/>
      <c r="H19" s="165" t="s">
        <v>10</v>
      </c>
      <c r="I19" s="317" t="s">
        <v>25</v>
      </c>
      <c r="J19" s="52" t="s">
        <v>28</v>
      </c>
      <c r="K19" s="52" t="s">
        <v>22</v>
      </c>
    </row>
    <row r="20" spans="1:11" x14ac:dyDescent="0.25">
      <c r="A20" s="580">
        <v>1</v>
      </c>
      <c r="B20" s="581" t="s">
        <v>166</v>
      </c>
      <c r="C20" s="582" t="s">
        <v>26</v>
      </c>
      <c r="D20" s="583"/>
      <c r="E20" s="821"/>
      <c r="F20" s="821"/>
      <c r="G20" s="584"/>
      <c r="H20" s="584"/>
      <c r="I20" s="578">
        <v>1</v>
      </c>
      <c r="J20" s="586">
        <v>55000</v>
      </c>
      <c r="K20" s="587">
        <f t="shared" ref="K20:K56" si="0">IF((C20)&gt;0,SUM(J20*I20),"")</f>
        <v>55000</v>
      </c>
    </row>
    <row r="21" spans="1:11" x14ac:dyDescent="0.25">
      <c r="A21" s="573">
        <v>2</v>
      </c>
      <c r="B21" s="588" t="s">
        <v>167</v>
      </c>
      <c r="C21" s="582" t="s">
        <v>26</v>
      </c>
      <c r="D21" s="583"/>
      <c r="E21" s="818"/>
      <c r="F21" s="818"/>
      <c r="G21" s="818"/>
      <c r="H21" s="574"/>
      <c r="I21" s="578">
        <v>23</v>
      </c>
      <c r="J21" s="586">
        <v>55000</v>
      </c>
      <c r="K21" s="587">
        <f t="shared" si="0"/>
        <v>1265000</v>
      </c>
    </row>
    <row r="22" spans="1:11" x14ac:dyDescent="0.25">
      <c r="A22" s="573">
        <v>3</v>
      </c>
      <c r="B22" s="589" t="s">
        <v>168</v>
      </c>
      <c r="C22" s="582" t="s">
        <v>26</v>
      </c>
      <c r="D22" s="583"/>
      <c r="E22" s="818"/>
      <c r="F22" s="818"/>
      <c r="G22" s="818"/>
      <c r="H22" s="574"/>
      <c r="I22" s="573">
        <v>3</v>
      </c>
      <c r="J22" s="586">
        <v>55000</v>
      </c>
      <c r="K22" s="587">
        <f t="shared" si="0"/>
        <v>165000</v>
      </c>
    </row>
    <row r="23" spans="1:11" x14ac:dyDescent="0.25">
      <c r="A23" s="580">
        <v>4</v>
      </c>
      <c r="B23" s="590" t="s">
        <v>169</v>
      </c>
      <c r="C23" s="582" t="s">
        <v>26</v>
      </c>
      <c r="D23" s="583"/>
      <c r="E23" s="818"/>
      <c r="F23" s="818"/>
      <c r="G23" s="818"/>
      <c r="H23" s="574"/>
      <c r="I23" s="573">
        <v>6</v>
      </c>
      <c r="J23" s="586">
        <v>55000</v>
      </c>
      <c r="K23" s="587">
        <f t="shared" si="0"/>
        <v>330000</v>
      </c>
    </row>
    <row r="24" spans="1:11" x14ac:dyDescent="0.25">
      <c r="A24" s="573">
        <v>5</v>
      </c>
      <c r="B24" s="581" t="s">
        <v>170</v>
      </c>
      <c r="C24" s="582" t="s">
        <v>26</v>
      </c>
      <c r="D24" s="583"/>
      <c r="E24" s="825"/>
      <c r="F24" s="825"/>
      <c r="G24" s="825"/>
      <c r="H24" s="575"/>
      <c r="I24" s="573">
        <v>5</v>
      </c>
      <c r="J24" s="586">
        <v>55000</v>
      </c>
      <c r="K24" s="587">
        <f t="shared" si="0"/>
        <v>275000</v>
      </c>
    </row>
    <row r="25" spans="1:11" x14ac:dyDescent="0.25">
      <c r="A25" s="573">
        <v>6</v>
      </c>
      <c r="B25" s="588" t="s">
        <v>171</v>
      </c>
      <c r="C25" s="582" t="s">
        <v>26</v>
      </c>
      <c r="D25" s="583"/>
      <c r="E25" s="825"/>
      <c r="F25" s="825"/>
      <c r="G25" s="825"/>
      <c r="H25" s="575"/>
      <c r="I25" s="573">
        <v>1</v>
      </c>
      <c r="J25" s="586">
        <v>55000</v>
      </c>
      <c r="K25" s="587">
        <f t="shared" si="0"/>
        <v>55000</v>
      </c>
    </row>
    <row r="26" spans="1:11" x14ac:dyDescent="0.25">
      <c r="A26" s="580">
        <v>7</v>
      </c>
      <c r="B26" s="581" t="s">
        <v>172</v>
      </c>
      <c r="C26" s="582" t="s">
        <v>26</v>
      </c>
      <c r="D26" s="583"/>
      <c r="E26" s="825"/>
      <c r="F26" s="825"/>
      <c r="G26" s="825"/>
      <c r="H26" s="575"/>
      <c r="I26" s="573">
        <v>3</v>
      </c>
      <c r="J26" s="586">
        <v>55000</v>
      </c>
      <c r="K26" s="587">
        <f t="shared" si="0"/>
        <v>165000</v>
      </c>
    </row>
    <row r="27" spans="1:11" x14ac:dyDescent="0.25">
      <c r="A27" s="573">
        <v>8</v>
      </c>
      <c r="B27" s="588" t="s">
        <v>173</v>
      </c>
      <c r="C27" s="582" t="s">
        <v>26</v>
      </c>
      <c r="D27" s="583"/>
      <c r="E27" s="825"/>
      <c r="F27" s="825"/>
      <c r="G27" s="825"/>
      <c r="H27" s="575"/>
      <c r="I27" s="573">
        <v>3</v>
      </c>
      <c r="J27" s="586">
        <v>55000</v>
      </c>
      <c r="K27" s="587">
        <f t="shared" si="0"/>
        <v>165000</v>
      </c>
    </row>
    <row r="28" spans="1:11" x14ac:dyDescent="0.25">
      <c r="A28" s="573">
        <v>9</v>
      </c>
      <c r="B28" s="581" t="s">
        <v>174</v>
      </c>
      <c r="C28" s="582" t="s">
        <v>26</v>
      </c>
      <c r="D28" s="583"/>
      <c r="E28" s="825"/>
      <c r="F28" s="825"/>
      <c r="G28" s="825"/>
      <c r="H28" s="575"/>
      <c r="I28" s="573">
        <v>3</v>
      </c>
      <c r="J28" s="586">
        <v>55000</v>
      </c>
      <c r="K28" s="587">
        <f t="shared" si="0"/>
        <v>165000</v>
      </c>
    </row>
    <row r="29" spans="1:11" x14ac:dyDescent="0.25">
      <c r="A29" s="580">
        <v>10</v>
      </c>
      <c r="B29" s="588" t="s">
        <v>175</v>
      </c>
      <c r="C29" s="582" t="s">
        <v>26</v>
      </c>
      <c r="D29" s="583"/>
      <c r="E29" s="825"/>
      <c r="F29" s="825"/>
      <c r="G29" s="825"/>
      <c r="H29" s="575"/>
      <c r="I29" s="573">
        <v>1</v>
      </c>
      <c r="J29" s="586">
        <v>55000</v>
      </c>
      <c r="K29" s="587">
        <f t="shared" si="0"/>
        <v>55000</v>
      </c>
    </row>
    <row r="30" spans="1:11" x14ac:dyDescent="0.25">
      <c r="A30" s="573">
        <v>11</v>
      </c>
      <c r="B30" s="581" t="s">
        <v>176</v>
      </c>
      <c r="C30" s="582" t="s">
        <v>26</v>
      </c>
      <c r="D30" s="583"/>
      <c r="E30" s="825"/>
      <c r="F30" s="825"/>
      <c r="G30" s="825"/>
      <c r="H30" s="575"/>
      <c r="I30" s="573">
        <v>10</v>
      </c>
      <c r="J30" s="586">
        <v>55000</v>
      </c>
      <c r="K30" s="587">
        <f t="shared" si="0"/>
        <v>550000</v>
      </c>
    </row>
    <row r="31" spans="1:11" x14ac:dyDescent="0.25">
      <c r="A31" s="573">
        <v>12</v>
      </c>
      <c r="B31" s="588" t="s">
        <v>177</v>
      </c>
      <c r="C31" s="582" t="s">
        <v>26</v>
      </c>
      <c r="D31" s="583"/>
      <c r="E31" s="825"/>
      <c r="F31" s="825"/>
      <c r="G31" s="825"/>
      <c r="H31" s="575"/>
      <c r="I31" s="573">
        <v>1</v>
      </c>
      <c r="J31" s="586">
        <v>55000</v>
      </c>
      <c r="K31" s="587">
        <f t="shared" si="0"/>
        <v>55000</v>
      </c>
    </row>
    <row r="32" spans="1:11" x14ac:dyDescent="0.25">
      <c r="A32" s="580">
        <v>13</v>
      </c>
      <c r="B32" s="581" t="s">
        <v>178</v>
      </c>
      <c r="C32" s="582" t="s">
        <v>26</v>
      </c>
      <c r="D32" s="583"/>
      <c r="E32" s="823"/>
      <c r="F32" s="823"/>
      <c r="G32" s="823"/>
      <c r="H32" s="576"/>
      <c r="I32" s="573">
        <v>10</v>
      </c>
      <c r="J32" s="586">
        <v>55000</v>
      </c>
      <c r="K32" s="587">
        <f t="shared" si="0"/>
        <v>550000</v>
      </c>
    </row>
    <row r="33" spans="1:11" x14ac:dyDescent="0.25">
      <c r="A33" s="573">
        <v>14</v>
      </c>
      <c r="B33" s="588" t="s">
        <v>179</v>
      </c>
      <c r="C33" s="582" t="s">
        <v>26</v>
      </c>
      <c r="D33" s="583"/>
      <c r="E33" s="823"/>
      <c r="F33" s="823"/>
      <c r="G33" s="823"/>
      <c r="H33" s="576"/>
      <c r="I33" s="573"/>
      <c r="J33" s="586">
        <v>55000</v>
      </c>
      <c r="K33" s="587">
        <f t="shared" si="0"/>
        <v>0</v>
      </c>
    </row>
    <row r="34" spans="1:11" x14ac:dyDescent="0.25">
      <c r="A34" s="573">
        <v>15</v>
      </c>
      <c r="B34" s="581" t="s">
        <v>180</v>
      </c>
      <c r="C34" s="582" t="s">
        <v>26</v>
      </c>
      <c r="D34" s="583"/>
      <c r="E34" s="823"/>
      <c r="F34" s="823"/>
      <c r="G34" s="823"/>
      <c r="H34" s="576"/>
      <c r="I34" s="573">
        <v>10</v>
      </c>
      <c r="J34" s="586">
        <v>55000</v>
      </c>
      <c r="K34" s="587">
        <f t="shared" si="0"/>
        <v>550000</v>
      </c>
    </row>
    <row r="35" spans="1:11" x14ac:dyDescent="0.25">
      <c r="A35" s="580">
        <v>16</v>
      </c>
      <c r="B35" s="588" t="s">
        <v>181</v>
      </c>
      <c r="C35" s="582" t="s">
        <v>26</v>
      </c>
      <c r="D35" s="583"/>
      <c r="E35" s="823"/>
      <c r="F35" s="823"/>
      <c r="G35" s="823"/>
      <c r="H35" s="576"/>
      <c r="I35" s="573">
        <v>1</v>
      </c>
      <c r="J35" s="586">
        <v>55000</v>
      </c>
      <c r="K35" s="587">
        <f t="shared" si="0"/>
        <v>55000</v>
      </c>
    </row>
    <row r="36" spans="1:11" x14ac:dyDescent="0.25">
      <c r="A36" s="573">
        <v>17</v>
      </c>
      <c r="B36" s="581" t="s">
        <v>182</v>
      </c>
      <c r="C36" s="582" t="s">
        <v>26</v>
      </c>
      <c r="D36" s="583"/>
      <c r="E36" s="823"/>
      <c r="F36" s="823"/>
      <c r="G36" s="823"/>
      <c r="H36" s="576"/>
      <c r="I36" s="573">
        <v>7</v>
      </c>
      <c r="J36" s="586">
        <v>55000</v>
      </c>
      <c r="K36" s="587">
        <f t="shared" si="0"/>
        <v>385000</v>
      </c>
    </row>
    <row r="37" spans="1:11" x14ac:dyDescent="0.25">
      <c r="A37" s="573">
        <v>18</v>
      </c>
      <c r="B37" s="588" t="s">
        <v>183</v>
      </c>
      <c r="C37" s="582" t="s">
        <v>26</v>
      </c>
      <c r="D37" s="583"/>
      <c r="E37" s="823"/>
      <c r="F37" s="823"/>
      <c r="G37" s="823"/>
      <c r="H37" s="576"/>
      <c r="I37" s="573">
        <v>2</v>
      </c>
      <c r="J37" s="586">
        <v>55000</v>
      </c>
      <c r="K37" s="587">
        <f t="shared" si="0"/>
        <v>110000</v>
      </c>
    </row>
    <row r="38" spans="1:11" x14ac:dyDescent="0.25">
      <c r="A38" s="580">
        <v>19</v>
      </c>
      <c r="B38" s="581" t="s">
        <v>184</v>
      </c>
      <c r="C38" s="582" t="s">
        <v>26</v>
      </c>
      <c r="D38" s="583"/>
      <c r="E38" s="824"/>
      <c r="F38" s="824"/>
      <c r="G38" s="824"/>
      <c r="H38" s="577"/>
      <c r="I38" s="573">
        <v>20</v>
      </c>
      <c r="J38" s="586">
        <v>55000</v>
      </c>
      <c r="K38" s="587">
        <f t="shared" si="0"/>
        <v>1100000</v>
      </c>
    </row>
    <row r="39" spans="1:11" x14ac:dyDescent="0.25">
      <c r="A39" s="573">
        <v>20</v>
      </c>
      <c r="B39" s="588" t="s">
        <v>185</v>
      </c>
      <c r="C39" s="582" t="s">
        <v>26</v>
      </c>
      <c r="D39" s="583"/>
      <c r="E39" s="824"/>
      <c r="F39" s="824"/>
      <c r="G39" s="824"/>
      <c r="H39" s="577"/>
      <c r="I39" s="573">
        <v>9</v>
      </c>
      <c r="J39" s="586">
        <v>55000</v>
      </c>
      <c r="K39" s="587">
        <f t="shared" si="0"/>
        <v>495000</v>
      </c>
    </row>
    <row r="40" spans="1:11" x14ac:dyDescent="0.25">
      <c r="A40" s="573">
        <v>21</v>
      </c>
      <c r="B40" s="581" t="s">
        <v>186</v>
      </c>
      <c r="C40" s="582" t="s">
        <v>26</v>
      </c>
      <c r="D40" s="583"/>
      <c r="E40" s="824"/>
      <c r="F40" s="824"/>
      <c r="G40" s="824"/>
      <c r="H40" s="577"/>
      <c r="I40" s="573">
        <v>7</v>
      </c>
      <c r="J40" s="586">
        <v>55000</v>
      </c>
      <c r="K40" s="587">
        <f t="shared" si="0"/>
        <v>385000</v>
      </c>
    </row>
    <row r="41" spans="1:11" x14ac:dyDescent="0.25">
      <c r="A41" s="580">
        <v>22</v>
      </c>
      <c r="B41" s="589" t="s">
        <v>187</v>
      </c>
      <c r="C41" s="582" t="s">
        <v>26</v>
      </c>
      <c r="D41" s="583"/>
      <c r="E41" s="824"/>
      <c r="F41" s="824"/>
      <c r="G41" s="824"/>
      <c r="H41" s="577"/>
      <c r="I41" s="573">
        <v>1</v>
      </c>
      <c r="J41" s="586">
        <v>55000</v>
      </c>
      <c r="K41" s="587">
        <f t="shared" si="0"/>
        <v>55000</v>
      </c>
    </row>
    <row r="42" spans="1:11" x14ac:dyDescent="0.25">
      <c r="A42" s="573">
        <v>23</v>
      </c>
      <c r="B42" s="590" t="s">
        <v>188</v>
      </c>
      <c r="C42" s="582" t="s">
        <v>26</v>
      </c>
      <c r="D42" s="583"/>
      <c r="E42" s="818"/>
      <c r="F42" s="818"/>
      <c r="G42" s="818"/>
      <c r="H42" s="574"/>
      <c r="I42" s="578">
        <v>1</v>
      </c>
      <c r="J42" s="586">
        <v>55000</v>
      </c>
      <c r="K42" s="587">
        <f t="shared" si="0"/>
        <v>55000</v>
      </c>
    </row>
    <row r="43" spans="1:11" x14ac:dyDescent="0.25">
      <c r="A43" s="573">
        <v>24</v>
      </c>
      <c r="B43" s="588" t="s">
        <v>189</v>
      </c>
      <c r="C43" s="582" t="s">
        <v>26</v>
      </c>
      <c r="D43" s="583"/>
      <c r="E43" s="818"/>
      <c r="F43" s="818"/>
      <c r="G43" s="818"/>
      <c r="H43" s="574"/>
      <c r="I43" s="578">
        <v>5</v>
      </c>
      <c r="J43" s="586">
        <v>55000</v>
      </c>
      <c r="K43" s="587">
        <f t="shared" si="0"/>
        <v>275000</v>
      </c>
    </row>
    <row r="44" spans="1:11" x14ac:dyDescent="0.25">
      <c r="A44" s="580">
        <v>25</v>
      </c>
      <c r="B44" s="581" t="s">
        <v>190</v>
      </c>
      <c r="C44" s="582" t="s">
        <v>26</v>
      </c>
      <c r="D44" s="583"/>
      <c r="E44" s="574"/>
      <c r="F44" s="818"/>
      <c r="G44" s="818"/>
      <c r="H44" s="574"/>
      <c r="I44" s="578">
        <v>85</v>
      </c>
      <c r="J44" s="586">
        <v>55000</v>
      </c>
      <c r="K44" s="587">
        <f t="shared" si="0"/>
        <v>4675000</v>
      </c>
    </row>
    <row r="45" spans="1:11" x14ac:dyDescent="0.25">
      <c r="A45" s="573">
        <v>26</v>
      </c>
      <c r="B45" s="588" t="s">
        <v>191</v>
      </c>
      <c r="C45" s="582" t="s">
        <v>26</v>
      </c>
      <c r="D45" s="583"/>
      <c r="E45" s="818"/>
      <c r="F45" s="818"/>
      <c r="G45" s="818"/>
      <c r="H45" s="574"/>
      <c r="I45" s="578">
        <v>6</v>
      </c>
      <c r="J45" s="586">
        <v>55000</v>
      </c>
      <c r="K45" s="587">
        <f t="shared" si="0"/>
        <v>330000</v>
      </c>
    </row>
    <row r="46" spans="1:11" x14ac:dyDescent="0.25">
      <c r="A46" s="573">
        <v>27</v>
      </c>
      <c r="B46" s="581" t="s">
        <v>192</v>
      </c>
      <c r="C46" s="582" t="s">
        <v>26</v>
      </c>
      <c r="D46" s="583"/>
      <c r="E46" s="819"/>
      <c r="F46" s="819"/>
      <c r="G46" s="819"/>
      <c r="H46" s="592"/>
      <c r="I46" s="578">
        <v>7</v>
      </c>
      <c r="J46" s="586">
        <v>55000</v>
      </c>
      <c r="K46" s="587">
        <f t="shared" si="0"/>
        <v>385000</v>
      </c>
    </row>
    <row r="47" spans="1:11" x14ac:dyDescent="0.25">
      <c r="A47" s="580">
        <v>28</v>
      </c>
      <c r="B47" s="588" t="s">
        <v>193</v>
      </c>
      <c r="C47" s="582" t="s">
        <v>26</v>
      </c>
      <c r="D47" s="583"/>
      <c r="E47" s="820"/>
      <c r="F47" s="820"/>
      <c r="G47" s="820"/>
      <c r="H47" s="593"/>
      <c r="I47" s="594">
        <v>4</v>
      </c>
      <c r="J47" s="586">
        <v>55000</v>
      </c>
      <c r="K47" s="587">
        <f t="shared" si="0"/>
        <v>220000</v>
      </c>
    </row>
    <row r="48" spans="1:11" x14ac:dyDescent="0.25">
      <c r="A48" s="573">
        <v>29</v>
      </c>
      <c r="B48" s="581" t="s">
        <v>194</v>
      </c>
      <c r="C48" s="582" t="s">
        <v>26</v>
      </c>
      <c r="D48" s="583"/>
      <c r="E48" s="820"/>
      <c r="F48" s="820"/>
      <c r="G48" s="820"/>
      <c r="H48" s="593"/>
      <c r="I48" s="594">
        <v>3</v>
      </c>
      <c r="J48" s="586">
        <v>55000</v>
      </c>
      <c r="K48" s="587">
        <f t="shared" si="0"/>
        <v>165000</v>
      </c>
    </row>
    <row r="49" spans="1:11" x14ac:dyDescent="0.25">
      <c r="A49" s="573">
        <v>30</v>
      </c>
      <c r="B49" s="588" t="s">
        <v>195</v>
      </c>
      <c r="C49" s="582" t="s">
        <v>26</v>
      </c>
      <c r="D49" s="583"/>
      <c r="E49" s="819"/>
      <c r="F49" s="819"/>
      <c r="G49" s="819"/>
      <c r="H49" s="592"/>
      <c r="I49" s="578">
        <v>3</v>
      </c>
      <c r="J49" s="586">
        <v>55000</v>
      </c>
      <c r="K49" s="587">
        <f t="shared" si="0"/>
        <v>165000</v>
      </c>
    </row>
    <row r="50" spans="1:11" x14ac:dyDescent="0.25">
      <c r="A50" s="580">
        <v>31</v>
      </c>
      <c r="B50" s="581" t="s">
        <v>196</v>
      </c>
      <c r="C50" s="582" t="s">
        <v>26</v>
      </c>
      <c r="D50" s="583"/>
      <c r="E50" s="819"/>
      <c r="F50" s="819"/>
      <c r="G50" s="819"/>
      <c r="H50" s="592"/>
      <c r="I50" s="578">
        <v>7</v>
      </c>
      <c r="J50" s="586">
        <v>55000</v>
      </c>
      <c r="K50" s="587">
        <f t="shared" si="0"/>
        <v>385000</v>
      </c>
    </row>
    <row r="51" spans="1:11" x14ac:dyDescent="0.25">
      <c r="A51" s="573">
        <v>32</v>
      </c>
      <c r="B51" s="588" t="s">
        <v>197</v>
      </c>
      <c r="C51" s="582" t="s">
        <v>26</v>
      </c>
      <c r="D51" s="583"/>
      <c r="E51" s="821"/>
      <c r="F51" s="821"/>
      <c r="G51" s="821"/>
      <c r="H51" s="584"/>
      <c r="I51" s="578">
        <v>3</v>
      </c>
      <c r="J51" s="586">
        <v>55000</v>
      </c>
      <c r="K51" s="587">
        <f t="shared" si="0"/>
        <v>165000</v>
      </c>
    </row>
    <row r="52" spans="1:11" x14ac:dyDescent="0.25">
      <c r="A52" s="573">
        <v>33</v>
      </c>
      <c r="B52" s="581" t="s">
        <v>198</v>
      </c>
      <c r="C52" s="582" t="s">
        <v>26</v>
      </c>
      <c r="D52" s="583"/>
      <c r="E52" s="821"/>
      <c r="F52" s="821"/>
      <c r="G52" s="821"/>
      <c r="H52" s="584"/>
      <c r="I52" s="578">
        <v>9</v>
      </c>
      <c r="J52" s="586">
        <v>55000</v>
      </c>
      <c r="K52" s="587">
        <f t="shared" si="0"/>
        <v>495000</v>
      </c>
    </row>
    <row r="53" spans="1:11" x14ac:dyDescent="0.25">
      <c r="A53" s="580">
        <v>34</v>
      </c>
      <c r="B53" s="588" t="s">
        <v>199</v>
      </c>
      <c r="C53" s="582" t="s">
        <v>26</v>
      </c>
      <c r="D53" s="583"/>
      <c r="E53" s="821"/>
      <c r="F53" s="821"/>
      <c r="G53" s="821"/>
      <c r="H53" s="584"/>
      <c r="I53" s="578">
        <v>2</v>
      </c>
      <c r="J53" s="586">
        <v>55000</v>
      </c>
      <c r="K53" s="587">
        <f t="shared" si="0"/>
        <v>110000</v>
      </c>
    </row>
    <row r="54" spans="1:11" x14ac:dyDescent="0.25">
      <c r="A54" s="573">
        <v>35</v>
      </c>
      <c r="B54" s="581" t="s">
        <v>116</v>
      </c>
      <c r="C54" s="582" t="s">
        <v>26</v>
      </c>
      <c r="D54" s="583"/>
      <c r="E54" s="822"/>
      <c r="F54" s="822"/>
      <c r="G54" s="822"/>
      <c r="H54" s="595"/>
      <c r="I54" s="596">
        <v>2</v>
      </c>
      <c r="J54" s="586">
        <v>55000</v>
      </c>
      <c r="K54" s="587">
        <f t="shared" si="0"/>
        <v>110000</v>
      </c>
    </row>
    <row r="55" spans="1:11" x14ac:dyDescent="0.25">
      <c r="A55" s="573">
        <v>36</v>
      </c>
      <c r="B55" s="588" t="s">
        <v>200</v>
      </c>
      <c r="C55" s="582" t="s">
        <v>26</v>
      </c>
      <c r="D55" s="583"/>
      <c r="E55" s="817"/>
      <c r="F55" s="817"/>
      <c r="G55" s="817"/>
      <c r="H55" s="597"/>
      <c r="I55" s="596">
        <v>2</v>
      </c>
      <c r="J55" s="586">
        <v>55000</v>
      </c>
      <c r="K55" s="587">
        <f t="shared" si="0"/>
        <v>110000</v>
      </c>
    </row>
    <row r="56" spans="1:11" x14ac:dyDescent="0.25">
      <c r="A56" s="580">
        <v>37</v>
      </c>
      <c r="B56" s="588" t="s">
        <v>201</v>
      </c>
      <c r="C56" s="582" t="s">
        <v>26</v>
      </c>
      <c r="D56" s="583"/>
      <c r="E56" s="817"/>
      <c r="F56" s="817"/>
      <c r="G56" s="817"/>
      <c r="H56" s="597"/>
      <c r="I56" s="596">
        <v>3</v>
      </c>
      <c r="J56" s="586">
        <v>55000</v>
      </c>
      <c r="K56" s="587">
        <f t="shared" si="0"/>
        <v>165000</v>
      </c>
    </row>
    <row r="57" spans="1:11" ht="18.75" x14ac:dyDescent="0.25">
      <c r="A57" s="311"/>
      <c r="B57" s="308"/>
      <c r="C57" s="308"/>
      <c r="D57" s="308"/>
      <c r="E57" s="67"/>
      <c r="F57" s="67"/>
      <c r="G57" s="67"/>
      <c r="H57" s="67"/>
      <c r="I57" s="306"/>
      <c r="J57" s="195" t="s">
        <v>202</v>
      </c>
      <c r="K57" s="310">
        <f>SUM(K20:K56)</f>
        <v>14795000</v>
      </c>
    </row>
    <row r="58" spans="1:11" ht="18.75" x14ac:dyDescent="0.25">
      <c r="A58" s="311"/>
      <c r="B58" s="308"/>
      <c r="C58" s="308"/>
      <c r="D58" s="308"/>
      <c r="E58" s="67"/>
      <c r="F58" s="67"/>
      <c r="G58" s="67"/>
      <c r="H58" s="67"/>
      <c r="I58" s="306"/>
      <c r="J58" s="197" t="s">
        <v>67</v>
      </c>
      <c r="K58" s="310">
        <v>20000</v>
      </c>
    </row>
    <row r="59" spans="1:11" ht="15.75" x14ac:dyDescent="0.25">
      <c r="A59" s="309"/>
      <c r="B59" s="307"/>
      <c r="C59" s="308"/>
      <c r="D59" s="307"/>
      <c r="E59" s="71"/>
      <c r="F59" s="71"/>
      <c r="G59" s="71"/>
      <c r="H59" s="71"/>
      <c r="I59" s="306"/>
      <c r="J59" s="201" t="s">
        <v>203</v>
      </c>
      <c r="K59" s="305">
        <v>740750</v>
      </c>
    </row>
    <row r="60" spans="1:11" ht="42" customHeight="1" x14ac:dyDescent="0.25">
      <c r="A60" s="831" t="s">
        <v>204</v>
      </c>
      <c r="B60" s="832"/>
      <c r="C60" s="833" t="s">
        <v>212</v>
      </c>
      <c r="D60" s="833"/>
      <c r="E60" s="833"/>
      <c r="F60" s="833"/>
      <c r="G60" s="833"/>
      <c r="H60" s="833"/>
      <c r="I60" s="833"/>
      <c r="J60" s="203" t="s">
        <v>66</v>
      </c>
      <c r="K60" s="304">
        <f>SUM(K57:K59)</f>
        <v>15555750</v>
      </c>
    </row>
    <row r="61" spans="1:11" ht="15.75" thickBot="1" x14ac:dyDescent="0.3">
      <c r="A61" s="793"/>
      <c r="B61" s="794"/>
      <c r="C61" s="794"/>
      <c r="D61" s="794"/>
      <c r="E61" s="794"/>
      <c r="F61" s="794"/>
      <c r="G61" s="794"/>
      <c r="H61" s="794"/>
      <c r="I61" s="794"/>
      <c r="J61" s="794"/>
      <c r="K61" s="795"/>
    </row>
    <row r="62" spans="1:11" x14ac:dyDescent="0.25">
      <c r="A62" s="705" t="s">
        <v>23</v>
      </c>
      <c r="B62" s="706"/>
      <c r="C62" s="706"/>
      <c r="D62" s="706"/>
      <c r="E62" s="706"/>
      <c r="F62" s="706"/>
      <c r="G62" s="706"/>
      <c r="H62" s="706"/>
      <c r="I62" s="706"/>
      <c r="J62" s="706"/>
      <c r="K62" s="707"/>
    </row>
    <row r="63" spans="1:11" ht="15.75" thickBot="1" x14ac:dyDescent="0.3">
      <c r="A63" s="708"/>
      <c r="B63" s="709"/>
      <c r="C63" s="709"/>
      <c r="D63" s="709"/>
      <c r="E63" s="709"/>
      <c r="F63" s="709"/>
      <c r="G63" s="709"/>
      <c r="H63" s="709"/>
      <c r="I63" s="709"/>
      <c r="J63" s="709"/>
      <c r="K63" s="710"/>
    </row>
    <row r="64" spans="1:11" x14ac:dyDescent="0.25">
      <c r="A64" s="303"/>
      <c r="B64" s="302"/>
      <c r="C64" s="302"/>
      <c r="D64" s="302"/>
      <c r="E64" s="72"/>
      <c r="F64" s="72"/>
      <c r="G64" s="72"/>
      <c r="H64" s="72"/>
      <c r="I64" s="301"/>
      <c r="J64" s="73"/>
      <c r="K64" s="77"/>
    </row>
    <row r="65" spans="1:11" x14ac:dyDescent="0.25">
      <c r="A65" s="300"/>
      <c r="B65" s="78"/>
      <c r="C65" s="78"/>
      <c r="D65" s="78"/>
      <c r="E65" s="78"/>
      <c r="F65" s="78"/>
      <c r="G65" s="78"/>
      <c r="H65" s="78"/>
      <c r="I65" s="300"/>
      <c r="J65" s="78"/>
      <c r="K65" s="79"/>
    </row>
    <row r="66" spans="1:11" x14ac:dyDescent="0.25">
      <c r="A66" s="300"/>
      <c r="B66" s="78"/>
      <c r="C66" s="78"/>
      <c r="D66" s="78"/>
      <c r="E66" s="78"/>
      <c r="F66" s="78"/>
      <c r="G66" s="78"/>
      <c r="H66" s="78"/>
      <c r="I66" s="300"/>
      <c r="J66" s="78"/>
      <c r="K66" s="79"/>
    </row>
    <row r="67" spans="1:11" x14ac:dyDescent="0.25">
      <c r="A67" s="300"/>
      <c r="B67" s="78"/>
      <c r="C67" s="78"/>
      <c r="D67" s="78"/>
      <c r="E67" s="78"/>
      <c r="F67" s="78"/>
      <c r="G67" s="78"/>
      <c r="H67" s="78"/>
      <c r="I67" s="300"/>
      <c r="J67" s="78"/>
      <c r="K67" s="79"/>
    </row>
    <row r="68" spans="1:11" x14ac:dyDescent="0.25">
      <c r="A68" s="300"/>
      <c r="B68" s="78"/>
      <c r="C68" s="78"/>
      <c r="D68" s="78"/>
      <c r="E68" s="78"/>
      <c r="F68" s="78"/>
      <c r="G68" s="78"/>
      <c r="H68" s="78"/>
      <c r="I68" s="300"/>
      <c r="J68" s="78"/>
      <c r="K68" s="79"/>
    </row>
    <row r="69" spans="1:11" x14ac:dyDescent="0.25">
      <c r="A69" s="300"/>
      <c r="B69" s="78"/>
      <c r="C69" s="78"/>
      <c r="D69" s="78"/>
      <c r="E69" s="78"/>
      <c r="F69" s="78"/>
      <c r="G69" s="78"/>
      <c r="H69" s="78"/>
      <c r="I69" s="300"/>
      <c r="J69" s="78"/>
      <c r="K69" s="79"/>
    </row>
    <row r="70" spans="1:11" x14ac:dyDescent="0.25">
      <c r="A70" s="300"/>
      <c r="B70" s="78"/>
      <c r="C70" s="78"/>
      <c r="D70" s="78"/>
      <c r="E70" s="78"/>
      <c r="F70" s="78"/>
      <c r="G70" s="78"/>
      <c r="H70" s="78"/>
      <c r="I70" s="300"/>
      <c r="J70" s="78"/>
      <c r="K70" s="79"/>
    </row>
    <row r="71" spans="1:11" x14ac:dyDescent="0.25">
      <c r="A71" s="300"/>
      <c r="B71" s="78"/>
      <c r="C71" s="78"/>
      <c r="D71" s="78"/>
      <c r="E71" s="78"/>
      <c r="F71" s="78"/>
      <c r="G71" s="78"/>
      <c r="H71" s="78"/>
      <c r="I71" s="300"/>
      <c r="J71" s="78"/>
      <c r="K71" s="79"/>
    </row>
    <row r="72" spans="1:11" x14ac:dyDescent="0.25">
      <c r="A72" s="300"/>
      <c r="B72" s="78"/>
      <c r="C72" s="78"/>
      <c r="D72" s="78"/>
      <c r="E72" s="78"/>
      <c r="F72" s="78"/>
      <c r="G72" s="78"/>
      <c r="H72" s="78"/>
      <c r="I72" s="300"/>
      <c r="J72" s="78"/>
      <c r="K72" s="79"/>
    </row>
    <row r="73" spans="1:11" x14ac:dyDescent="0.25">
      <c r="A73" s="300"/>
      <c r="B73" s="78"/>
      <c r="C73" s="78"/>
      <c r="D73" s="78"/>
      <c r="E73" s="78"/>
      <c r="F73" s="78"/>
      <c r="G73" s="78"/>
      <c r="H73" s="78"/>
      <c r="I73" s="300"/>
      <c r="J73" s="78"/>
      <c r="K73" s="79"/>
    </row>
    <row r="74" spans="1:11" x14ac:dyDescent="0.25">
      <c r="A74" s="300"/>
      <c r="B74" s="78"/>
      <c r="C74" s="78"/>
      <c r="D74" s="78"/>
      <c r="E74" s="78"/>
      <c r="F74" s="78"/>
      <c r="G74" s="78"/>
      <c r="H74" s="78"/>
      <c r="I74" s="300"/>
      <c r="J74" s="78"/>
      <c r="K74" s="79"/>
    </row>
    <row r="75" spans="1:11" x14ac:dyDescent="0.25">
      <c r="A75" s="300"/>
      <c r="B75" s="78"/>
      <c r="C75" s="78"/>
      <c r="D75" s="78"/>
      <c r="E75" s="78"/>
      <c r="F75" s="78"/>
      <c r="G75" s="78"/>
      <c r="H75" s="78"/>
      <c r="I75" s="300"/>
      <c r="J75" s="78"/>
      <c r="K75" s="79"/>
    </row>
    <row r="76" spans="1:11" x14ac:dyDescent="0.25">
      <c r="A76" s="300"/>
      <c r="B76" s="78"/>
      <c r="C76" s="78"/>
      <c r="D76" s="78"/>
      <c r="E76" s="78"/>
      <c r="F76" s="78"/>
      <c r="G76" s="78"/>
      <c r="H76" s="78"/>
      <c r="I76" s="300"/>
      <c r="J76" s="78"/>
      <c r="K76" s="79"/>
    </row>
    <row r="77" spans="1:11" x14ac:dyDescent="0.25">
      <c r="A77" s="300"/>
      <c r="B77" s="78"/>
      <c r="C77" s="78"/>
      <c r="D77" s="78"/>
      <c r="E77" s="78"/>
      <c r="F77" s="78"/>
      <c r="G77" s="78"/>
      <c r="H77" s="78"/>
      <c r="I77" s="300"/>
      <c r="J77" s="78"/>
      <c r="K77" s="79"/>
    </row>
    <row r="78" spans="1:11" x14ac:dyDescent="0.25">
      <c r="A78" s="300"/>
      <c r="B78" s="78"/>
      <c r="C78" s="78"/>
      <c r="D78" s="78"/>
      <c r="E78" s="78"/>
      <c r="F78" s="78"/>
      <c r="G78" s="78"/>
      <c r="H78" s="78"/>
      <c r="I78" s="300"/>
      <c r="J78" s="78"/>
      <c r="K78" s="79"/>
    </row>
    <row r="79" spans="1:11" x14ac:dyDescent="0.25">
      <c r="A79" s="300"/>
      <c r="B79" s="78"/>
      <c r="C79" s="78"/>
      <c r="D79" s="78"/>
      <c r="E79" s="78"/>
      <c r="F79" s="78"/>
      <c r="G79" s="78"/>
      <c r="H79" s="78"/>
      <c r="I79" s="300"/>
      <c r="J79" s="78"/>
      <c r="K79" s="79"/>
    </row>
    <row r="80" spans="1:11" x14ac:dyDescent="0.25">
      <c r="A80" s="300"/>
      <c r="B80" s="78"/>
      <c r="C80" s="78"/>
      <c r="D80" s="78"/>
      <c r="E80" s="78"/>
      <c r="F80" s="78"/>
      <c r="G80" s="78"/>
      <c r="H80" s="78"/>
      <c r="I80" s="300"/>
      <c r="J80" s="78"/>
      <c r="K80" s="79"/>
    </row>
    <row r="81" spans="1:11" x14ac:dyDescent="0.25">
      <c r="A81" s="300"/>
      <c r="B81" s="78"/>
      <c r="C81" s="78"/>
      <c r="D81" s="78"/>
      <c r="E81" s="78"/>
      <c r="F81" s="78"/>
      <c r="G81" s="78"/>
      <c r="H81" s="78"/>
      <c r="I81" s="300"/>
      <c r="J81" s="78"/>
      <c r="K81" s="79"/>
    </row>
  </sheetData>
  <mergeCells count="53">
    <mergeCell ref="E30:G30"/>
    <mergeCell ref="E42:G42"/>
    <mergeCell ref="E56:G56"/>
    <mergeCell ref="F44:G44"/>
    <mergeCell ref="E46:G46"/>
    <mergeCell ref="E50:G50"/>
    <mergeCell ref="E45:G45"/>
    <mergeCell ref="E26:G26"/>
    <mergeCell ref="E32:G32"/>
    <mergeCell ref="E27:G27"/>
    <mergeCell ref="E40:G40"/>
    <mergeCell ref="E41:G41"/>
    <mergeCell ref="A60:B60"/>
    <mergeCell ref="C60:I60"/>
    <mergeCell ref="E43:G43"/>
    <mergeCell ref="E28:G28"/>
    <mergeCell ref="E29:G29"/>
    <mergeCell ref="E24:G24"/>
    <mergeCell ref="E47:G47"/>
    <mergeCell ref="E48:G48"/>
    <mergeCell ref="E49:G49"/>
    <mergeCell ref="E31:G31"/>
    <mergeCell ref="E33:G33"/>
    <mergeCell ref="E34:G34"/>
    <mergeCell ref="E35:G35"/>
    <mergeCell ref="E36:G36"/>
    <mergeCell ref="E39:G39"/>
    <mergeCell ref="A17:E17"/>
    <mergeCell ref="G17:H17"/>
    <mergeCell ref="E19:G19"/>
    <mergeCell ref="E21:G21"/>
    <mergeCell ref="E22:G22"/>
    <mergeCell ref="E23:G23"/>
    <mergeCell ref="G16:H16"/>
    <mergeCell ref="E37:G37"/>
    <mergeCell ref="E38:G38"/>
    <mergeCell ref="E20:F20"/>
    <mergeCell ref="E25:G25"/>
    <mergeCell ref="E1:K1"/>
    <mergeCell ref="D8:E8"/>
    <mergeCell ref="D14:E14"/>
    <mergeCell ref="F14:G14"/>
    <mergeCell ref="A15:K15"/>
    <mergeCell ref="A62:K63"/>
    <mergeCell ref="C9:E9"/>
    <mergeCell ref="C10:D10"/>
    <mergeCell ref="E51:G51"/>
    <mergeCell ref="E52:G52"/>
    <mergeCell ref="E53:G53"/>
    <mergeCell ref="E54:G54"/>
    <mergeCell ref="E55:G55"/>
    <mergeCell ref="A61:K61"/>
    <mergeCell ref="A16:E16"/>
  </mergeCells>
  <pageMargins left="0.7" right="0.7" top="0.75" bottom="0.75" header="0.3" footer="0.3"/>
  <pageSetup scale="52" orientation="portrait" horizontalDpi="300" verticalDpi="3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"/>
  <sheetViews>
    <sheetView topLeftCell="B1" zoomScaleNormal="100" workbookViewId="0">
      <selection activeCell="E1" sqref="E1:K1"/>
    </sheetView>
  </sheetViews>
  <sheetFormatPr defaultRowHeight="15" x14ac:dyDescent="0.25"/>
  <cols>
    <col min="1" max="1" width="7.140625" style="296" customWidth="1"/>
    <col min="2" max="2" width="15.140625" style="207" customWidth="1"/>
    <col min="3" max="3" width="18.7109375" style="207" customWidth="1"/>
    <col min="4" max="4" width="15.140625" style="207" customWidth="1"/>
    <col min="5" max="5" width="16.7109375" style="207" customWidth="1"/>
    <col min="6" max="6" width="11.28515625" style="207" customWidth="1"/>
    <col min="7" max="7" width="9.140625" style="207" hidden="1" customWidth="1"/>
    <col min="8" max="8" width="16.7109375" style="207" customWidth="1"/>
    <col min="9" max="9" width="17" style="296" customWidth="1"/>
    <col min="10" max="10" width="22.5703125" style="207" customWidth="1"/>
    <col min="11" max="11" width="23.42578125" style="207" customWidth="1"/>
    <col min="12" max="16384" width="9.140625" style="207"/>
  </cols>
  <sheetData>
    <row r="1" spans="1:11" ht="47.25" x14ac:dyDescent="0.6">
      <c r="A1" s="205"/>
      <c r="B1" s="206"/>
      <c r="C1" s="206"/>
      <c r="D1" s="206"/>
      <c r="E1" s="661" t="s">
        <v>0</v>
      </c>
      <c r="F1" s="661"/>
      <c r="G1" s="661"/>
      <c r="H1" s="661"/>
      <c r="I1" s="661"/>
      <c r="J1" s="661"/>
      <c r="K1" s="662"/>
    </row>
    <row r="2" spans="1:11" ht="15.75" x14ac:dyDescent="0.25">
      <c r="A2" s="208"/>
      <c r="B2" s="209"/>
      <c r="C2" s="209"/>
      <c r="D2" s="209"/>
      <c r="E2" s="210"/>
      <c r="F2" s="210"/>
      <c r="G2" s="211"/>
      <c r="H2" s="211"/>
      <c r="I2" s="212"/>
      <c r="J2" s="213"/>
      <c r="K2" s="214"/>
    </row>
    <row r="3" spans="1:11" ht="20.25" x14ac:dyDescent="0.3">
      <c r="A3" s="215"/>
      <c r="B3" s="216"/>
      <c r="C3" s="216"/>
      <c r="D3" s="216"/>
      <c r="E3" s="217"/>
      <c r="F3" s="218"/>
      <c r="G3" s="218"/>
      <c r="H3" s="218"/>
      <c r="I3" s="219"/>
      <c r="J3" s="220"/>
      <c r="K3" s="221"/>
    </row>
    <row r="4" spans="1:11" x14ac:dyDescent="0.25">
      <c r="A4" s="215"/>
      <c r="B4" s="216"/>
      <c r="C4" s="222"/>
      <c r="D4" s="222"/>
      <c r="E4" s="223"/>
      <c r="F4" s="222"/>
      <c r="G4" s="222"/>
      <c r="H4" s="222"/>
      <c r="I4" s="224"/>
      <c r="J4" s="225"/>
      <c r="K4" s="226"/>
    </row>
    <row r="5" spans="1:11" x14ac:dyDescent="0.25">
      <c r="A5" s="227"/>
      <c r="B5" s="222"/>
      <c r="C5" s="222"/>
      <c r="D5" s="228"/>
      <c r="E5" s="229"/>
      <c r="F5" s="228"/>
      <c r="G5" s="230"/>
      <c r="H5" s="230"/>
      <c r="I5" s="224"/>
      <c r="J5" s="225"/>
      <c r="K5" s="226"/>
    </row>
    <row r="6" spans="1:11" x14ac:dyDescent="0.25">
      <c r="A6" s="231"/>
      <c r="B6" s="232"/>
      <c r="C6" s="232"/>
      <c r="D6" s="232"/>
      <c r="E6" s="230"/>
      <c r="F6" s="230"/>
      <c r="G6" s="230"/>
      <c r="H6" s="230"/>
      <c r="I6" s="224"/>
      <c r="J6" s="225"/>
      <c r="K6" s="233">
        <f ca="1">TODAY()</f>
        <v>41556</v>
      </c>
    </row>
    <row r="7" spans="1:11" ht="15.75" x14ac:dyDescent="0.25">
      <c r="A7" s="231"/>
      <c r="B7" s="232"/>
      <c r="C7" s="232"/>
      <c r="D7" s="232"/>
      <c r="E7" s="228"/>
      <c r="F7" s="230"/>
      <c r="G7" s="234"/>
      <c r="H7" s="234"/>
      <c r="I7" s="224"/>
      <c r="J7" s="235"/>
      <c r="K7" s="236" t="s">
        <v>3</v>
      </c>
    </row>
    <row r="8" spans="1:11" x14ac:dyDescent="0.25">
      <c r="A8" s="237"/>
      <c r="B8" s="238"/>
      <c r="C8" s="239" t="s">
        <v>71</v>
      </c>
      <c r="D8" s="814" t="s">
        <v>205</v>
      </c>
      <c r="E8" s="814"/>
      <c r="F8" s="240"/>
      <c r="G8" s="241"/>
      <c r="H8" s="241"/>
      <c r="I8" s="242"/>
      <c r="J8" s="243"/>
      <c r="K8" s="244"/>
    </row>
    <row r="9" spans="1:11" x14ac:dyDescent="0.25">
      <c r="A9" s="245"/>
      <c r="B9" s="246"/>
      <c r="C9" s="815" t="s">
        <v>206</v>
      </c>
      <c r="D9" s="816"/>
      <c r="E9" s="816"/>
      <c r="F9" s="816"/>
      <c r="G9" s="816"/>
      <c r="H9" s="816"/>
      <c r="I9" s="247"/>
      <c r="J9" s="248"/>
      <c r="K9" s="249"/>
    </row>
    <row r="10" spans="1:11" x14ac:dyDescent="0.25">
      <c r="A10" s="245"/>
      <c r="B10" s="250"/>
      <c r="C10" s="251" t="s">
        <v>207</v>
      </c>
      <c r="D10" s="252"/>
      <c r="E10" s="253"/>
      <c r="F10" s="252"/>
      <c r="G10" s="253"/>
      <c r="H10" s="253"/>
      <c r="I10" s="247"/>
      <c r="J10" s="248"/>
      <c r="K10" s="249"/>
    </row>
    <row r="11" spans="1:11" x14ac:dyDescent="0.25">
      <c r="A11" s="245"/>
      <c r="B11" s="250"/>
      <c r="C11" s="251" t="s">
        <v>13</v>
      </c>
      <c r="D11" s="254" t="s">
        <v>14</v>
      </c>
      <c r="E11" s="253"/>
      <c r="F11" s="254"/>
      <c r="G11" s="253"/>
      <c r="H11" s="253"/>
      <c r="I11" s="247"/>
      <c r="J11" s="248"/>
      <c r="K11" s="249"/>
    </row>
    <row r="12" spans="1:11" x14ac:dyDescent="0.25">
      <c r="A12" s="255"/>
      <c r="B12" s="256"/>
      <c r="C12" s="257" t="s">
        <v>5</v>
      </c>
      <c r="D12" s="252"/>
      <c r="E12" s="253"/>
      <c r="F12" s="252"/>
      <c r="G12" s="253"/>
      <c r="H12" s="253"/>
      <c r="I12" s="247"/>
      <c r="J12" s="248"/>
      <c r="K12" s="249"/>
    </row>
    <row r="13" spans="1:11" x14ac:dyDescent="0.25">
      <c r="A13" s="255"/>
      <c r="B13" s="256"/>
      <c r="C13" s="257" t="s">
        <v>15</v>
      </c>
      <c r="D13" s="258"/>
      <c r="E13" s="253"/>
      <c r="F13" s="258"/>
      <c r="G13" s="253"/>
      <c r="H13" s="253"/>
      <c r="I13" s="247"/>
      <c r="J13" s="248"/>
      <c r="K13" s="249"/>
    </row>
    <row r="14" spans="1:11" x14ac:dyDescent="0.25">
      <c r="A14" s="259"/>
      <c r="B14" s="256"/>
      <c r="C14" s="260" t="s">
        <v>6</v>
      </c>
      <c r="D14" s="663"/>
      <c r="E14" s="663"/>
      <c r="F14" s="663"/>
      <c r="G14" s="663"/>
      <c r="H14" s="261"/>
      <c r="I14" s="262"/>
      <c r="J14" s="263"/>
      <c r="K14" s="263"/>
    </row>
    <row r="15" spans="1:11" x14ac:dyDescent="0.25">
      <c r="A15" s="664"/>
      <c r="B15" s="665"/>
      <c r="C15" s="665"/>
      <c r="D15" s="665"/>
      <c r="E15" s="665"/>
      <c r="F15" s="665"/>
      <c r="G15" s="665"/>
      <c r="H15" s="665"/>
      <c r="I15" s="665"/>
      <c r="J15" s="665"/>
      <c r="K15" s="666"/>
    </row>
    <row r="16" spans="1:11" x14ac:dyDescent="0.25">
      <c r="A16" s="667" t="s">
        <v>7</v>
      </c>
      <c r="B16" s="668"/>
      <c r="C16" s="668"/>
      <c r="D16" s="668"/>
      <c r="E16" s="669"/>
      <c r="F16" s="177" t="s">
        <v>16</v>
      </c>
      <c r="G16" s="670" t="s">
        <v>17</v>
      </c>
      <c r="H16" s="668"/>
      <c r="I16" s="264"/>
      <c r="J16" s="265"/>
      <c r="K16" s="266" t="s">
        <v>8</v>
      </c>
    </row>
    <row r="17" spans="1:11" x14ac:dyDescent="0.25">
      <c r="A17" s="671" t="s">
        <v>24</v>
      </c>
      <c r="B17" s="672"/>
      <c r="C17" s="672"/>
      <c r="D17" s="672"/>
      <c r="E17" s="673"/>
      <c r="F17" s="267"/>
      <c r="G17" s="674"/>
      <c r="H17" s="675"/>
      <c r="I17" s="268"/>
      <c r="J17" s="269"/>
      <c r="K17" s="598" t="s">
        <v>9</v>
      </c>
    </row>
    <row r="18" spans="1:11" x14ac:dyDescent="0.25">
      <c r="A18" s="271"/>
      <c r="B18" s="272"/>
      <c r="C18" s="272"/>
      <c r="D18" s="272"/>
      <c r="E18" s="273"/>
      <c r="F18" s="274"/>
      <c r="G18" s="274"/>
      <c r="H18" s="274"/>
      <c r="I18" s="275"/>
      <c r="J18" s="276"/>
      <c r="K18" s="277"/>
    </row>
    <row r="19" spans="1:11" x14ac:dyDescent="0.25">
      <c r="A19" s="278" t="s">
        <v>18</v>
      </c>
      <c r="B19" s="279" t="s">
        <v>27</v>
      </c>
      <c r="C19" s="279" t="s">
        <v>19</v>
      </c>
      <c r="D19" s="279" t="s">
        <v>20</v>
      </c>
      <c r="E19" s="676" t="s">
        <v>21</v>
      </c>
      <c r="F19" s="676"/>
      <c r="G19" s="676"/>
      <c r="H19" s="175" t="s">
        <v>10</v>
      </c>
      <c r="I19" s="176" t="s">
        <v>25</v>
      </c>
      <c r="J19" s="177" t="s">
        <v>28</v>
      </c>
      <c r="K19" s="175" t="s">
        <v>22</v>
      </c>
    </row>
    <row r="20" spans="1:11" x14ac:dyDescent="0.25">
      <c r="A20" s="580">
        <v>1</v>
      </c>
      <c r="B20" s="581" t="s">
        <v>166</v>
      </c>
      <c r="C20" s="582" t="s">
        <v>26</v>
      </c>
      <c r="D20" s="583"/>
      <c r="E20" s="821"/>
      <c r="F20" s="821"/>
      <c r="G20" s="584"/>
      <c r="H20" s="584"/>
      <c r="I20" s="585">
        <v>2</v>
      </c>
      <c r="J20" s="586">
        <v>55000</v>
      </c>
      <c r="K20" s="587">
        <f>IF((C20)&gt;0,SUM(J20*I20),"")</f>
        <v>110000</v>
      </c>
    </row>
    <row r="21" spans="1:11" x14ac:dyDescent="0.25">
      <c r="A21" s="573">
        <v>2</v>
      </c>
      <c r="B21" s="588" t="s">
        <v>167</v>
      </c>
      <c r="C21" s="582" t="s">
        <v>26</v>
      </c>
      <c r="D21" s="583"/>
      <c r="E21" s="818"/>
      <c r="F21" s="818"/>
      <c r="G21" s="818"/>
      <c r="H21" s="574"/>
      <c r="I21" s="585">
        <v>21</v>
      </c>
      <c r="J21" s="586">
        <v>55000</v>
      </c>
      <c r="K21" s="587">
        <f>IF((C21)&gt;0,SUM(J21*I21),"")</f>
        <v>1155000</v>
      </c>
    </row>
    <row r="22" spans="1:11" x14ac:dyDescent="0.25">
      <c r="A22" s="573">
        <v>3</v>
      </c>
      <c r="B22" s="581" t="s">
        <v>168</v>
      </c>
      <c r="C22" s="582" t="s">
        <v>26</v>
      </c>
      <c r="D22" s="583"/>
      <c r="E22" s="818"/>
      <c r="F22" s="818"/>
      <c r="G22" s="818"/>
      <c r="H22" s="574"/>
      <c r="I22" s="573">
        <v>2</v>
      </c>
      <c r="J22" s="586">
        <v>55000</v>
      </c>
      <c r="K22" s="587">
        <f t="shared" ref="K22:K56" si="0">IF((C22)&gt;0,SUM(J22*I22),"")</f>
        <v>110000</v>
      </c>
    </row>
    <row r="23" spans="1:11" x14ac:dyDescent="0.25">
      <c r="A23" s="580">
        <v>4</v>
      </c>
      <c r="B23" s="588" t="s">
        <v>169</v>
      </c>
      <c r="C23" s="582" t="s">
        <v>26</v>
      </c>
      <c r="D23" s="583"/>
      <c r="E23" s="818"/>
      <c r="F23" s="818"/>
      <c r="G23" s="818"/>
      <c r="H23" s="574"/>
      <c r="I23" s="573">
        <v>2</v>
      </c>
      <c r="J23" s="586">
        <v>55000</v>
      </c>
      <c r="K23" s="587">
        <f t="shared" si="0"/>
        <v>110000</v>
      </c>
    </row>
    <row r="24" spans="1:11" x14ac:dyDescent="0.25">
      <c r="A24" s="573">
        <v>5</v>
      </c>
      <c r="B24" s="581" t="s">
        <v>170</v>
      </c>
      <c r="C24" s="582" t="s">
        <v>26</v>
      </c>
      <c r="D24" s="583"/>
      <c r="E24" s="825"/>
      <c r="F24" s="825"/>
      <c r="G24" s="825"/>
      <c r="H24" s="575"/>
      <c r="I24" s="573">
        <v>1</v>
      </c>
      <c r="J24" s="586">
        <v>55000</v>
      </c>
      <c r="K24" s="587">
        <f t="shared" si="0"/>
        <v>55000</v>
      </c>
    </row>
    <row r="25" spans="1:11" x14ac:dyDescent="0.25">
      <c r="A25" s="573">
        <v>6</v>
      </c>
      <c r="B25" s="588" t="s">
        <v>171</v>
      </c>
      <c r="C25" s="582" t="s">
        <v>26</v>
      </c>
      <c r="D25" s="583"/>
      <c r="E25" s="825"/>
      <c r="F25" s="825"/>
      <c r="G25" s="825"/>
      <c r="H25" s="575"/>
      <c r="I25" s="573">
        <v>2</v>
      </c>
      <c r="J25" s="586">
        <v>55000</v>
      </c>
      <c r="K25" s="587">
        <f t="shared" si="0"/>
        <v>110000</v>
      </c>
    </row>
    <row r="26" spans="1:11" x14ac:dyDescent="0.25">
      <c r="A26" s="580">
        <v>7</v>
      </c>
      <c r="B26" s="581" t="s">
        <v>172</v>
      </c>
      <c r="C26" s="582" t="s">
        <v>26</v>
      </c>
      <c r="D26" s="583"/>
      <c r="E26" s="825"/>
      <c r="F26" s="825"/>
      <c r="G26" s="825"/>
      <c r="H26" s="575"/>
      <c r="I26" s="573">
        <v>1</v>
      </c>
      <c r="J26" s="586">
        <v>55000</v>
      </c>
      <c r="K26" s="587">
        <f t="shared" si="0"/>
        <v>55000</v>
      </c>
    </row>
    <row r="27" spans="1:11" x14ac:dyDescent="0.25">
      <c r="A27" s="573">
        <v>8</v>
      </c>
      <c r="B27" s="588" t="s">
        <v>173</v>
      </c>
      <c r="C27" s="582" t="s">
        <v>26</v>
      </c>
      <c r="D27" s="583"/>
      <c r="E27" s="825"/>
      <c r="F27" s="825"/>
      <c r="G27" s="825"/>
      <c r="H27" s="575"/>
      <c r="I27" s="573">
        <v>3</v>
      </c>
      <c r="J27" s="586">
        <v>55000</v>
      </c>
      <c r="K27" s="587">
        <f t="shared" si="0"/>
        <v>165000</v>
      </c>
    </row>
    <row r="28" spans="1:11" x14ac:dyDescent="0.25">
      <c r="A28" s="573">
        <v>9</v>
      </c>
      <c r="B28" s="581" t="s">
        <v>174</v>
      </c>
      <c r="C28" s="582" t="s">
        <v>26</v>
      </c>
      <c r="D28" s="583"/>
      <c r="E28" s="825"/>
      <c r="F28" s="825"/>
      <c r="G28" s="825"/>
      <c r="H28" s="575"/>
      <c r="I28" s="573">
        <v>4</v>
      </c>
      <c r="J28" s="586">
        <v>55000</v>
      </c>
      <c r="K28" s="587">
        <f t="shared" si="0"/>
        <v>220000</v>
      </c>
    </row>
    <row r="29" spans="1:11" x14ac:dyDescent="0.25">
      <c r="A29" s="580">
        <v>10</v>
      </c>
      <c r="B29" s="588" t="s">
        <v>175</v>
      </c>
      <c r="C29" s="582" t="s">
        <v>26</v>
      </c>
      <c r="D29" s="583"/>
      <c r="E29" s="825"/>
      <c r="F29" s="825"/>
      <c r="G29" s="825"/>
      <c r="H29" s="575"/>
      <c r="I29" s="573">
        <v>1</v>
      </c>
      <c r="J29" s="586">
        <v>55000</v>
      </c>
      <c r="K29" s="587">
        <f t="shared" si="0"/>
        <v>55000</v>
      </c>
    </row>
    <row r="30" spans="1:11" x14ac:dyDescent="0.25">
      <c r="A30" s="573">
        <v>11</v>
      </c>
      <c r="B30" s="581" t="s">
        <v>176</v>
      </c>
      <c r="C30" s="582" t="s">
        <v>26</v>
      </c>
      <c r="D30" s="583"/>
      <c r="E30" s="825"/>
      <c r="F30" s="825"/>
      <c r="G30" s="825"/>
      <c r="H30" s="575"/>
      <c r="I30" s="573">
        <v>7</v>
      </c>
      <c r="J30" s="586">
        <v>55000</v>
      </c>
      <c r="K30" s="587">
        <f t="shared" si="0"/>
        <v>385000</v>
      </c>
    </row>
    <row r="31" spans="1:11" x14ac:dyDescent="0.25">
      <c r="A31" s="573">
        <v>12</v>
      </c>
      <c r="B31" s="588" t="s">
        <v>177</v>
      </c>
      <c r="C31" s="582" t="s">
        <v>26</v>
      </c>
      <c r="D31" s="583"/>
      <c r="E31" s="825"/>
      <c r="F31" s="825"/>
      <c r="G31" s="825"/>
      <c r="H31" s="575"/>
      <c r="I31" s="573"/>
      <c r="J31" s="586">
        <v>55000</v>
      </c>
      <c r="K31" s="587">
        <f t="shared" si="0"/>
        <v>0</v>
      </c>
    </row>
    <row r="32" spans="1:11" x14ac:dyDescent="0.25">
      <c r="A32" s="580">
        <v>13</v>
      </c>
      <c r="B32" s="581" t="s">
        <v>178</v>
      </c>
      <c r="C32" s="582" t="s">
        <v>26</v>
      </c>
      <c r="D32" s="583"/>
      <c r="E32" s="823"/>
      <c r="F32" s="823"/>
      <c r="G32" s="823"/>
      <c r="H32" s="576"/>
      <c r="I32" s="573">
        <v>5</v>
      </c>
      <c r="J32" s="586">
        <v>55000</v>
      </c>
      <c r="K32" s="587">
        <f t="shared" si="0"/>
        <v>275000</v>
      </c>
    </row>
    <row r="33" spans="1:11" x14ac:dyDescent="0.25">
      <c r="A33" s="573">
        <v>14</v>
      </c>
      <c r="B33" s="588" t="s">
        <v>179</v>
      </c>
      <c r="C33" s="582" t="s">
        <v>26</v>
      </c>
      <c r="D33" s="583"/>
      <c r="E33" s="823"/>
      <c r="F33" s="823"/>
      <c r="G33" s="823"/>
      <c r="H33" s="576"/>
      <c r="I33" s="573">
        <v>1</v>
      </c>
      <c r="J33" s="586">
        <v>55000</v>
      </c>
      <c r="K33" s="587">
        <f t="shared" si="0"/>
        <v>55000</v>
      </c>
    </row>
    <row r="34" spans="1:11" x14ac:dyDescent="0.25">
      <c r="A34" s="573">
        <v>15</v>
      </c>
      <c r="B34" s="581" t="s">
        <v>180</v>
      </c>
      <c r="C34" s="582" t="s">
        <v>26</v>
      </c>
      <c r="D34" s="583"/>
      <c r="E34" s="823"/>
      <c r="F34" s="823"/>
      <c r="G34" s="823"/>
      <c r="H34" s="576"/>
      <c r="I34" s="573"/>
      <c r="J34" s="586">
        <v>55000</v>
      </c>
      <c r="K34" s="587">
        <f t="shared" si="0"/>
        <v>0</v>
      </c>
    </row>
    <row r="35" spans="1:11" x14ac:dyDescent="0.25">
      <c r="A35" s="580">
        <v>16</v>
      </c>
      <c r="B35" s="588" t="s">
        <v>181</v>
      </c>
      <c r="C35" s="582" t="s">
        <v>26</v>
      </c>
      <c r="D35" s="583"/>
      <c r="E35" s="823"/>
      <c r="F35" s="823"/>
      <c r="G35" s="823"/>
      <c r="H35" s="576"/>
      <c r="I35" s="573">
        <v>2</v>
      </c>
      <c r="J35" s="586">
        <v>55000</v>
      </c>
      <c r="K35" s="587">
        <f t="shared" si="0"/>
        <v>110000</v>
      </c>
    </row>
    <row r="36" spans="1:11" x14ac:dyDescent="0.25">
      <c r="A36" s="573">
        <v>17</v>
      </c>
      <c r="B36" s="581" t="s">
        <v>182</v>
      </c>
      <c r="C36" s="582" t="s">
        <v>26</v>
      </c>
      <c r="D36" s="583"/>
      <c r="E36" s="823"/>
      <c r="F36" s="823"/>
      <c r="G36" s="823"/>
      <c r="H36" s="576"/>
      <c r="I36" s="573">
        <v>1</v>
      </c>
      <c r="J36" s="586">
        <v>55000</v>
      </c>
      <c r="K36" s="587">
        <f t="shared" si="0"/>
        <v>55000</v>
      </c>
    </row>
    <row r="37" spans="1:11" x14ac:dyDescent="0.25">
      <c r="A37" s="573">
        <v>18</v>
      </c>
      <c r="B37" s="588" t="s">
        <v>183</v>
      </c>
      <c r="C37" s="582" t="s">
        <v>26</v>
      </c>
      <c r="D37" s="583"/>
      <c r="E37" s="823"/>
      <c r="F37" s="823"/>
      <c r="G37" s="823"/>
      <c r="H37" s="576"/>
      <c r="I37" s="573">
        <v>1</v>
      </c>
      <c r="J37" s="586">
        <v>55000</v>
      </c>
      <c r="K37" s="587">
        <f t="shared" si="0"/>
        <v>55000</v>
      </c>
    </row>
    <row r="38" spans="1:11" x14ac:dyDescent="0.25">
      <c r="A38" s="580">
        <v>19</v>
      </c>
      <c r="B38" s="581" t="s">
        <v>184</v>
      </c>
      <c r="C38" s="582" t="s">
        <v>26</v>
      </c>
      <c r="D38" s="583"/>
      <c r="E38" s="824"/>
      <c r="F38" s="824"/>
      <c r="G38" s="824"/>
      <c r="H38" s="577"/>
      <c r="I38" s="573">
        <v>13</v>
      </c>
      <c r="J38" s="586">
        <v>55000</v>
      </c>
      <c r="K38" s="587">
        <f t="shared" si="0"/>
        <v>715000</v>
      </c>
    </row>
    <row r="39" spans="1:11" x14ac:dyDescent="0.25">
      <c r="A39" s="573">
        <v>20</v>
      </c>
      <c r="B39" s="589" t="s">
        <v>185</v>
      </c>
      <c r="C39" s="582" t="s">
        <v>26</v>
      </c>
      <c r="D39" s="583"/>
      <c r="E39" s="824"/>
      <c r="F39" s="824"/>
      <c r="G39" s="824"/>
      <c r="H39" s="577"/>
      <c r="I39" s="573">
        <v>13</v>
      </c>
      <c r="J39" s="586">
        <v>55000</v>
      </c>
      <c r="K39" s="587">
        <f t="shared" si="0"/>
        <v>715000</v>
      </c>
    </row>
    <row r="40" spans="1:11" x14ac:dyDescent="0.25">
      <c r="A40" s="573">
        <v>21</v>
      </c>
      <c r="B40" s="590" t="s">
        <v>186</v>
      </c>
      <c r="C40" s="582" t="s">
        <v>26</v>
      </c>
      <c r="D40" s="583"/>
      <c r="E40" s="824"/>
      <c r="F40" s="824"/>
      <c r="G40" s="824"/>
      <c r="H40" s="577"/>
      <c r="I40" s="573">
        <v>4</v>
      </c>
      <c r="J40" s="586">
        <v>55000</v>
      </c>
      <c r="K40" s="587">
        <f t="shared" si="0"/>
        <v>220000</v>
      </c>
    </row>
    <row r="41" spans="1:11" x14ac:dyDescent="0.25">
      <c r="A41" s="580">
        <v>22</v>
      </c>
      <c r="B41" s="588" t="s">
        <v>187</v>
      </c>
      <c r="C41" s="582" t="s">
        <v>26</v>
      </c>
      <c r="D41" s="583"/>
      <c r="E41" s="824"/>
      <c r="F41" s="824"/>
      <c r="G41" s="824"/>
      <c r="H41" s="577"/>
      <c r="I41" s="573">
        <v>2</v>
      </c>
      <c r="J41" s="586">
        <v>55000</v>
      </c>
      <c r="K41" s="587">
        <f t="shared" si="0"/>
        <v>110000</v>
      </c>
    </row>
    <row r="42" spans="1:11" x14ac:dyDescent="0.25">
      <c r="A42" s="573">
        <v>23</v>
      </c>
      <c r="B42" s="581" t="s">
        <v>188</v>
      </c>
      <c r="C42" s="582" t="s">
        <v>26</v>
      </c>
      <c r="D42" s="583"/>
      <c r="E42" s="818"/>
      <c r="F42" s="818"/>
      <c r="G42" s="818"/>
      <c r="H42" s="574"/>
      <c r="I42" s="578">
        <v>4</v>
      </c>
      <c r="J42" s="586">
        <v>55000</v>
      </c>
      <c r="K42" s="587">
        <f t="shared" si="0"/>
        <v>220000</v>
      </c>
    </row>
    <row r="43" spans="1:11" x14ac:dyDescent="0.25">
      <c r="A43" s="573">
        <v>24</v>
      </c>
      <c r="B43" s="581" t="s">
        <v>189</v>
      </c>
      <c r="C43" s="582" t="s">
        <v>26</v>
      </c>
      <c r="D43" s="583"/>
      <c r="E43" s="839"/>
      <c r="F43" s="839"/>
      <c r="G43" s="839"/>
      <c r="H43" s="574"/>
      <c r="I43" s="578">
        <v>3</v>
      </c>
      <c r="J43" s="586">
        <v>55000</v>
      </c>
      <c r="K43" s="587">
        <f t="shared" si="0"/>
        <v>165000</v>
      </c>
    </row>
    <row r="44" spans="1:11" x14ac:dyDescent="0.25">
      <c r="A44" s="580">
        <v>25</v>
      </c>
      <c r="B44" s="588" t="s">
        <v>190</v>
      </c>
      <c r="C44" s="582" t="s">
        <v>26</v>
      </c>
      <c r="D44" s="591"/>
      <c r="E44" s="579"/>
      <c r="F44" s="837"/>
      <c r="G44" s="818"/>
      <c r="H44" s="574"/>
      <c r="I44" s="578">
        <v>21</v>
      </c>
      <c r="J44" s="586">
        <v>55000</v>
      </c>
      <c r="K44" s="587">
        <f t="shared" si="0"/>
        <v>1155000</v>
      </c>
    </row>
    <row r="45" spans="1:11" x14ac:dyDescent="0.25">
      <c r="A45" s="573">
        <v>26</v>
      </c>
      <c r="B45" s="581" t="s">
        <v>191</v>
      </c>
      <c r="C45" s="582" t="s">
        <v>26</v>
      </c>
      <c r="D45" s="583"/>
      <c r="E45" s="838"/>
      <c r="F45" s="838"/>
      <c r="G45" s="838"/>
      <c r="H45" s="574"/>
      <c r="I45" s="578">
        <v>4</v>
      </c>
      <c r="J45" s="586">
        <v>55000</v>
      </c>
      <c r="K45" s="587">
        <f t="shared" si="0"/>
        <v>220000</v>
      </c>
    </row>
    <row r="46" spans="1:11" x14ac:dyDescent="0.25">
      <c r="A46" s="573">
        <v>27</v>
      </c>
      <c r="B46" s="581" t="s">
        <v>192</v>
      </c>
      <c r="C46" s="582" t="s">
        <v>26</v>
      </c>
      <c r="D46" s="583"/>
      <c r="E46" s="819"/>
      <c r="F46" s="819"/>
      <c r="G46" s="819"/>
      <c r="H46" s="592"/>
      <c r="I46" s="578">
        <v>3</v>
      </c>
      <c r="J46" s="586">
        <v>55000</v>
      </c>
      <c r="K46" s="587">
        <f t="shared" si="0"/>
        <v>165000</v>
      </c>
    </row>
    <row r="47" spans="1:11" x14ac:dyDescent="0.25">
      <c r="A47" s="580">
        <v>28</v>
      </c>
      <c r="B47" s="588" t="s">
        <v>193</v>
      </c>
      <c r="C47" s="582" t="s">
        <v>26</v>
      </c>
      <c r="D47" s="583"/>
      <c r="E47" s="820"/>
      <c r="F47" s="820"/>
      <c r="G47" s="820"/>
      <c r="H47" s="593"/>
      <c r="I47" s="594">
        <v>1</v>
      </c>
      <c r="J47" s="586">
        <v>55000</v>
      </c>
      <c r="K47" s="587">
        <f t="shared" si="0"/>
        <v>55000</v>
      </c>
    </row>
    <row r="48" spans="1:11" x14ac:dyDescent="0.25">
      <c r="A48" s="573">
        <v>29</v>
      </c>
      <c r="B48" s="581" t="s">
        <v>194</v>
      </c>
      <c r="C48" s="582" t="s">
        <v>26</v>
      </c>
      <c r="D48" s="583"/>
      <c r="E48" s="820"/>
      <c r="F48" s="820"/>
      <c r="G48" s="820"/>
      <c r="H48" s="593"/>
      <c r="I48" s="594">
        <v>3</v>
      </c>
      <c r="J48" s="586">
        <v>55000</v>
      </c>
      <c r="K48" s="587">
        <f t="shared" si="0"/>
        <v>165000</v>
      </c>
    </row>
    <row r="49" spans="1:11" x14ac:dyDescent="0.25">
      <c r="A49" s="573">
        <v>30</v>
      </c>
      <c r="B49" s="588" t="s">
        <v>195</v>
      </c>
      <c r="C49" s="582" t="s">
        <v>26</v>
      </c>
      <c r="D49" s="583"/>
      <c r="E49" s="819"/>
      <c r="F49" s="819"/>
      <c r="G49" s="819"/>
      <c r="H49" s="592"/>
      <c r="I49" s="578">
        <v>1</v>
      </c>
      <c r="J49" s="586">
        <v>55000</v>
      </c>
      <c r="K49" s="587">
        <f t="shared" si="0"/>
        <v>55000</v>
      </c>
    </row>
    <row r="50" spans="1:11" x14ac:dyDescent="0.25">
      <c r="A50" s="580">
        <v>31</v>
      </c>
      <c r="B50" s="581" t="s">
        <v>196</v>
      </c>
      <c r="C50" s="582" t="s">
        <v>26</v>
      </c>
      <c r="D50" s="583"/>
      <c r="E50" s="819"/>
      <c r="F50" s="819"/>
      <c r="G50" s="819"/>
      <c r="H50" s="592"/>
      <c r="I50" s="578">
        <v>2</v>
      </c>
      <c r="J50" s="586">
        <v>55000</v>
      </c>
      <c r="K50" s="587">
        <f t="shared" si="0"/>
        <v>110000</v>
      </c>
    </row>
    <row r="51" spans="1:11" x14ac:dyDescent="0.25">
      <c r="A51" s="573">
        <v>32</v>
      </c>
      <c r="B51" s="588" t="s">
        <v>197</v>
      </c>
      <c r="C51" s="582" t="s">
        <v>26</v>
      </c>
      <c r="D51" s="583"/>
      <c r="E51" s="821"/>
      <c r="F51" s="821"/>
      <c r="G51" s="821"/>
      <c r="H51" s="584"/>
      <c r="I51" s="578">
        <v>3</v>
      </c>
      <c r="J51" s="586">
        <v>55000</v>
      </c>
      <c r="K51" s="587">
        <f t="shared" si="0"/>
        <v>165000</v>
      </c>
    </row>
    <row r="52" spans="1:11" x14ac:dyDescent="0.25">
      <c r="A52" s="573">
        <v>33</v>
      </c>
      <c r="B52" s="581" t="s">
        <v>198</v>
      </c>
      <c r="C52" s="582" t="s">
        <v>26</v>
      </c>
      <c r="D52" s="583"/>
      <c r="E52" s="821"/>
      <c r="F52" s="821"/>
      <c r="G52" s="821"/>
      <c r="H52" s="584"/>
      <c r="I52" s="578">
        <v>7</v>
      </c>
      <c r="J52" s="586">
        <v>55000</v>
      </c>
      <c r="K52" s="587">
        <f t="shared" si="0"/>
        <v>385000</v>
      </c>
    </row>
    <row r="53" spans="1:11" x14ac:dyDescent="0.25">
      <c r="A53" s="580">
        <v>34</v>
      </c>
      <c r="B53" s="589" t="s">
        <v>199</v>
      </c>
      <c r="C53" s="582" t="s">
        <v>26</v>
      </c>
      <c r="D53" s="583"/>
      <c r="E53" s="821"/>
      <c r="F53" s="821"/>
      <c r="G53" s="821"/>
      <c r="H53" s="584"/>
      <c r="I53" s="578">
        <v>2</v>
      </c>
      <c r="J53" s="586">
        <v>55000</v>
      </c>
      <c r="K53" s="587">
        <f t="shared" si="0"/>
        <v>110000</v>
      </c>
    </row>
    <row r="54" spans="1:11" x14ac:dyDescent="0.25">
      <c r="A54" s="573">
        <v>35</v>
      </c>
      <c r="B54" s="590" t="s">
        <v>116</v>
      </c>
      <c r="C54" s="582" t="s">
        <v>26</v>
      </c>
      <c r="D54" s="583"/>
      <c r="E54" s="822"/>
      <c r="F54" s="822"/>
      <c r="G54" s="822"/>
      <c r="H54" s="595"/>
      <c r="I54" s="596">
        <v>2</v>
      </c>
      <c r="J54" s="586">
        <v>55000</v>
      </c>
      <c r="K54" s="587">
        <f t="shared" si="0"/>
        <v>110000</v>
      </c>
    </row>
    <row r="55" spans="1:11" x14ac:dyDescent="0.25">
      <c r="A55" s="573">
        <v>36</v>
      </c>
      <c r="B55" s="588" t="s">
        <v>200</v>
      </c>
      <c r="C55" s="582" t="s">
        <v>26</v>
      </c>
      <c r="D55" s="583"/>
      <c r="E55" s="817"/>
      <c r="F55" s="817"/>
      <c r="G55" s="817"/>
      <c r="H55" s="597"/>
      <c r="I55" s="596">
        <v>2</v>
      </c>
      <c r="J55" s="586">
        <v>55000</v>
      </c>
      <c r="K55" s="587">
        <f t="shared" si="0"/>
        <v>110000</v>
      </c>
    </row>
    <row r="56" spans="1:11" x14ac:dyDescent="0.25">
      <c r="A56" s="580">
        <v>37</v>
      </c>
      <c r="B56" s="581" t="s">
        <v>201</v>
      </c>
      <c r="C56" s="582" t="s">
        <v>26</v>
      </c>
      <c r="D56" s="583"/>
      <c r="E56" s="817"/>
      <c r="F56" s="817"/>
      <c r="G56" s="817"/>
      <c r="H56" s="597"/>
      <c r="I56" s="596">
        <v>2</v>
      </c>
      <c r="J56" s="586">
        <v>55000</v>
      </c>
      <c r="K56" s="587">
        <f t="shared" si="0"/>
        <v>110000</v>
      </c>
    </row>
    <row r="57" spans="1:11" x14ac:dyDescent="0.25">
      <c r="A57" s="167"/>
      <c r="B57" s="191"/>
      <c r="C57" s="178"/>
      <c r="D57" s="281"/>
      <c r="E57" s="801"/>
      <c r="F57" s="801"/>
      <c r="G57" s="801"/>
      <c r="H57" s="190"/>
      <c r="I57" s="172" t="s">
        <v>208</v>
      </c>
      <c r="J57" s="180"/>
      <c r="K57" s="181" t="str">
        <f>IF((C57)&gt;0,SUM(J57*#REF!),"")</f>
        <v/>
      </c>
    </row>
    <row r="58" spans="1:11" ht="18.75" x14ac:dyDescent="0.25">
      <c r="A58" s="282"/>
      <c r="B58" s="283"/>
      <c r="C58" s="283"/>
      <c r="D58" s="283"/>
      <c r="E58" s="194"/>
      <c r="F58" s="194"/>
      <c r="G58" s="194"/>
      <c r="H58" s="194"/>
      <c r="I58" s="200"/>
      <c r="J58" s="195" t="s">
        <v>202</v>
      </c>
      <c r="K58" s="202">
        <f>SUM(K20:K57)</f>
        <v>8140000</v>
      </c>
    </row>
    <row r="59" spans="1:11" ht="15.75" x14ac:dyDescent="0.25">
      <c r="A59" s="282"/>
      <c r="B59" s="283"/>
      <c r="C59" s="283"/>
      <c r="D59" s="283"/>
      <c r="E59" s="194"/>
      <c r="F59" s="194"/>
      <c r="G59" s="194"/>
      <c r="H59" s="194"/>
      <c r="I59" s="200"/>
      <c r="J59" s="197" t="s">
        <v>67</v>
      </c>
      <c r="K59" s="202">
        <v>20000</v>
      </c>
    </row>
    <row r="60" spans="1:11" ht="15.75" x14ac:dyDescent="0.25">
      <c r="A60" s="284"/>
      <c r="B60" s="285"/>
      <c r="C60" s="283"/>
      <c r="D60" s="285"/>
      <c r="E60" s="199"/>
      <c r="F60" s="199"/>
      <c r="G60" s="199"/>
      <c r="H60" s="199"/>
      <c r="I60" s="200"/>
      <c r="J60" s="201" t="s">
        <v>203</v>
      </c>
      <c r="K60" s="202">
        <v>408000</v>
      </c>
    </row>
    <row r="61" spans="1:11" customFormat="1" ht="18.75" x14ac:dyDescent="0.25">
      <c r="A61" s="831" t="s">
        <v>204</v>
      </c>
      <c r="B61" s="832"/>
      <c r="C61" s="833" t="s">
        <v>209</v>
      </c>
      <c r="D61" s="833"/>
      <c r="E61" s="833"/>
      <c r="F61" s="833"/>
      <c r="G61" s="833"/>
      <c r="H61" s="833"/>
      <c r="I61" s="833"/>
      <c r="J61" s="203" t="s">
        <v>66</v>
      </c>
      <c r="K61" s="286">
        <f>SUM(K58:K60)</f>
        <v>8568000</v>
      </c>
    </row>
    <row r="62" spans="1:11" ht="15.75" thickBot="1" x14ac:dyDescent="0.3">
      <c r="A62" s="834"/>
      <c r="B62" s="835"/>
      <c r="C62" s="835"/>
      <c r="D62" s="835"/>
      <c r="E62" s="835"/>
      <c r="F62" s="835"/>
      <c r="G62" s="835"/>
      <c r="H62" s="835"/>
      <c r="I62" s="835"/>
      <c r="J62" s="835"/>
      <c r="K62" s="836"/>
    </row>
    <row r="63" spans="1:11" x14ac:dyDescent="0.25">
      <c r="A63" s="683" t="s">
        <v>23</v>
      </c>
      <c r="B63" s="684"/>
      <c r="C63" s="684"/>
      <c r="D63" s="684"/>
      <c r="E63" s="684"/>
      <c r="F63" s="684"/>
      <c r="G63" s="684"/>
      <c r="H63" s="684"/>
      <c r="I63" s="684"/>
      <c r="J63" s="684"/>
      <c r="K63" s="685"/>
    </row>
    <row r="64" spans="1:11" ht="15.75" thickBot="1" x14ac:dyDescent="0.3">
      <c r="A64" s="689"/>
      <c r="B64" s="690"/>
      <c r="C64" s="690"/>
      <c r="D64" s="690"/>
      <c r="E64" s="690"/>
      <c r="F64" s="690"/>
      <c r="G64" s="690"/>
      <c r="H64" s="690"/>
      <c r="I64" s="690"/>
      <c r="J64" s="690"/>
      <c r="K64" s="691"/>
    </row>
    <row r="65" spans="1:11" x14ac:dyDescent="0.25">
      <c r="A65" s="287"/>
      <c r="B65" s="288"/>
      <c r="C65" s="288"/>
      <c r="D65" s="288"/>
      <c r="E65" s="289"/>
      <c r="F65" s="289"/>
      <c r="G65" s="289"/>
      <c r="H65" s="289"/>
      <c r="I65" s="290"/>
      <c r="J65" s="291"/>
      <c r="K65" s="292"/>
    </row>
    <row r="66" spans="1:11" x14ac:dyDescent="0.25">
      <c r="A66" s="293"/>
      <c r="B66" s="294"/>
      <c r="C66" s="294"/>
      <c r="D66" s="294"/>
      <c r="E66" s="294"/>
      <c r="F66" s="294"/>
      <c r="G66" s="294"/>
      <c r="H66" s="294"/>
      <c r="I66" s="293"/>
      <c r="J66" s="294"/>
      <c r="K66" s="295"/>
    </row>
    <row r="67" spans="1:11" x14ac:dyDescent="0.25">
      <c r="A67" s="293"/>
      <c r="B67" s="294"/>
      <c r="C67" s="294"/>
      <c r="D67" s="294"/>
      <c r="E67" s="294"/>
      <c r="F67" s="294"/>
      <c r="G67" s="294"/>
      <c r="H67" s="294"/>
      <c r="I67" s="293"/>
      <c r="J67" s="294"/>
      <c r="K67" s="295"/>
    </row>
    <row r="68" spans="1:11" x14ac:dyDescent="0.25">
      <c r="A68" s="293"/>
      <c r="B68" s="294"/>
      <c r="C68" s="294"/>
      <c r="D68" s="294"/>
      <c r="E68" s="294"/>
      <c r="F68" s="294"/>
      <c r="G68" s="294"/>
      <c r="H68" s="294"/>
      <c r="I68" s="293"/>
      <c r="J68" s="294"/>
      <c r="K68" s="295"/>
    </row>
    <row r="69" spans="1:11" x14ac:dyDescent="0.25">
      <c r="A69" s="293"/>
      <c r="B69" s="294"/>
      <c r="C69" s="294"/>
      <c r="D69" s="294"/>
      <c r="E69" s="294"/>
      <c r="F69" s="294"/>
      <c r="G69" s="294"/>
      <c r="H69" s="294"/>
      <c r="I69" s="293"/>
      <c r="J69" s="294"/>
      <c r="K69" s="295"/>
    </row>
    <row r="70" spans="1:11" x14ac:dyDescent="0.25">
      <c r="A70" s="293"/>
      <c r="B70" s="294"/>
      <c r="C70" s="294"/>
      <c r="D70" s="294"/>
      <c r="E70" s="294"/>
      <c r="F70" s="294"/>
      <c r="G70" s="294"/>
      <c r="H70" s="294"/>
      <c r="I70" s="293"/>
      <c r="J70" s="294"/>
      <c r="K70" s="295"/>
    </row>
    <row r="71" spans="1:11" x14ac:dyDescent="0.25">
      <c r="A71" s="293"/>
      <c r="B71" s="294"/>
      <c r="C71" s="294"/>
      <c r="D71" s="294"/>
      <c r="E71" s="294"/>
      <c r="F71" s="294"/>
      <c r="G71" s="294"/>
      <c r="H71" s="294"/>
      <c r="I71" s="293"/>
      <c r="J71" s="294"/>
      <c r="K71" s="295"/>
    </row>
    <row r="72" spans="1:11" x14ac:dyDescent="0.25">
      <c r="A72" s="293"/>
      <c r="B72" s="294"/>
      <c r="C72" s="294"/>
      <c r="D72" s="294"/>
      <c r="E72" s="294"/>
      <c r="F72" s="294"/>
      <c r="G72" s="294"/>
      <c r="H72" s="294"/>
      <c r="I72" s="293"/>
      <c r="J72" s="294"/>
      <c r="K72" s="295"/>
    </row>
    <row r="73" spans="1:11" x14ac:dyDescent="0.25">
      <c r="A73" s="293"/>
      <c r="B73" s="294"/>
      <c r="C73" s="294"/>
      <c r="D73" s="294"/>
      <c r="E73" s="294"/>
      <c r="F73" s="294"/>
      <c r="G73" s="294"/>
      <c r="H73" s="294"/>
      <c r="I73" s="293"/>
      <c r="J73" s="294"/>
      <c r="K73" s="295"/>
    </row>
    <row r="74" spans="1:11" x14ac:dyDescent="0.25">
      <c r="A74" s="293"/>
      <c r="B74" s="294"/>
      <c r="C74" s="294"/>
      <c r="D74" s="294"/>
      <c r="E74" s="294"/>
      <c r="F74" s="294"/>
      <c r="G74" s="294"/>
      <c r="H74" s="294"/>
      <c r="I74" s="293"/>
      <c r="J74" s="294"/>
      <c r="K74" s="295"/>
    </row>
    <row r="75" spans="1:11" x14ac:dyDescent="0.25">
      <c r="A75" s="293"/>
      <c r="B75" s="294"/>
      <c r="C75" s="294"/>
      <c r="D75" s="294"/>
      <c r="E75" s="294"/>
      <c r="F75" s="294"/>
      <c r="G75" s="294"/>
      <c r="H75" s="294"/>
      <c r="I75" s="293"/>
      <c r="J75" s="294"/>
      <c r="K75" s="295"/>
    </row>
    <row r="76" spans="1:11" x14ac:dyDescent="0.25">
      <c r="A76" s="293"/>
      <c r="B76" s="294"/>
      <c r="C76" s="294"/>
      <c r="D76" s="294"/>
      <c r="E76" s="294"/>
      <c r="F76" s="294"/>
      <c r="G76" s="294"/>
      <c r="H76" s="294"/>
      <c r="I76" s="293"/>
      <c r="J76" s="294"/>
      <c r="K76" s="295"/>
    </row>
    <row r="77" spans="1:11" x14ac:dyDescent="0.25">
      <c r="A77" s="293"/>
      <c r="B77" s="294"/>
      <c r="C77" s="294"/>
      <c r="D77" s="294"/>
      <c r="E77" s="294"/>
      <c r="F77" s="294"/>
      <c r="G77" s="294"/>
      <c r="H77" s="294"/>
      <c r="I77" s="293"/>
      <c r="J77" s="294"/>
      <c r="K77" s="295"/>
    </row>
    <row r="78" spans="1:11" x14ac:dyDescent="0.25">
      <c r="A78" s="293"/>
      <c r="B78" s="294"/>
      <c r="C78" s="294"/>
      <c r="D78" s="294"/>
      <c r="E78" s="294"/>
      <c r="F78" s="294"/>
      <c r="G78" s="294"/>
      <c r="H78" s="294"/>
      <c r="I78" s="293"/>
      <c r="J78" s="294"/>
      <c r="K78" s="295"/>
    </row>
    <row r="79" spans="1:11" x14ac:dyDescent="0.25">
      <c r="A79" s="293"/>
      <c r="B79" s="294"/>
      <c r="C79" s="294"/>
      <c r="D79" s="294"/>
      <c r="E79" s="294"/>
      <c r="F79" s="294"/>
      <c r="G79" s="294"/>
      <c r="H79" s="294"/>
      <c r="I79" s="293"/>
      <c r="J79" s="294"/>
      <c r="K79" s="295"/>
    </row>
    <row r="80" spans="1:11" x14ac:dyDescent="0.25">
      <c r="A80" s="293"/>
      <c r="B80" s="294"/>
      <c r="C80" s="294"/>
      <c r="D80" s="294"/>
      <c r="E80" s="294"/>
      <c r="F80" s="294"/>
      <c r="G80" s="294"/>
      <c r="H80" s="294"/>
      <c r="I80" s="293"/>
      <c r="J80" s="294"/>
      <c r="K80" s="295"/>
    </row>
    <row r="81" spans="1:11" x14ac:dyDescent="0.25">
      <c r="A81" s="293"/>
      <c r="B81" s="294"/>
      <c r="C81" s="294"/>
      <c r="D81" s="294"/>
      <c r="E81" s="294"/>
      <c r="F81" s="294"/>
      <c r="G81" s="294"/>
      <c r="H81" s="294"/>
      <c r="I81" s="293"/>
      <c r="J81" s="294"/>
      <c r="K81" s="295"/>
    </row>
    <row r="82" spans="1:11" x14ac:dyDescent="0.25">
      <c r="A82" s="293"/>
      <c r="B82" s="294"/>
      <c r="C82" s="294"/>
      <c r="D82" s="294"/>
      <c r="E82" s="294"/>
      <c r="F82" s="294"/>
      <c r="G82" s="294"/>
      <c r="H82" s="294"/>
      <c r="I82" s="293"/>
      <c r="J82" s="294"/>
      <c r="K82" s="295"/>
    </row>
  </sheetData>
  <mergeCells count="53">
    <mergeCell ref="A16:E16"/>
    <mergeCell ref="G16:H16"/>
    <mergeCell ref="A17:E17"/>
    <mergeCell ref="G17:H17"/>
    <mergeCell ref="E19:G19"/>
    <mergeCell ref="E1:K1"/>
    <mergeCell ref="D8:E8"/>
    <mergeCell ref="C9:H9"/>
    <mergeCell ref="D14:E14"/>
    <mergeCell ref="F14:G14"/>
    <mergeCell ref="A15:K15"/>
    <mergeCell ref="E27:G27"/>
    <mergeCell ref="E28:G28"/>
    <mergeCell ref="E29:G29"/>
    <mergeCell ref="E30:G30"/>
    <mergeCell ref="E31:G31"/>
    <mergeCell ref="E20:F20"/>
    <mergeCell ref="E21:G21"/>
    <mergeCell ref="E22:G22"/>
    <mergeCell ref="E23:G23"/>
    <mergeCell ref="E24:G24"/>
    <mergeCell ref="E25:G25"/>
    <mergeCell ref="E26:G26"/>
    <mergeCell ref="E39:G39"/>
    <mergeCell ref="E40:G40"/>
    <mergeCell ref="E41:G41"/>
    <mergeCell ref="E42:G42"/>
    <mergeCell ref="E43:G43"/>
    <mergeCell ref="E32:G32"/>
    <mergeCell ref="E33:G33"/>
    <mergeCell ref="E34:G34"/>
    <mergeCell ref="E35:G35"/>
    <mergeCell ref="E36:G36"/>
    <mergeCell ref="E37:G37"/>
    <mergeCell ref="E38:G38"/>
    <mergeCell ref="E53:G53"/>
    <mergeCell ref="E54:G54"/>
    <mergeCell ref="E55:G55"/>
    <mergeCell ref="F44:G44"/>
    <mergeCell ref="E45:G45"/>
    <mergeCell ref="E46:G46"/>
    <mergeCell ref="E47:G47"/>
    <mergeCell ref="E48:G48"/>
    <mergeCell ref="A63:K64"/>
    <mergeCell ref="E56:G56"/>
    <mergeCell ref="E49:G49"/>
    <mergeCell ref="E50:G50"/>
    <mergeCell ref="E57:G57"/>
    <mergeCell ref="A61:B61"/>
    <mergeCell ref="C61:I61"/>
    <mergeCell ref="A62:K62"/>
    <mergeCell ref="E51:G51"/>
    <mergeCell ref="E52:G52"/>
  </mergeCells>
  <pageMargins left="0.7" right="0.7" top="0.75" bottom="0.75" header="0.3" footer="0.3"/>
  <pageSetup scale="56" orientation="portrait" horizontalDpi="300" verticalDpi="3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4"/>
  <sheetViews>
    <sheetView zoomScaleNormal="100" workbookViewId="0"/>
  </sheetViews>
  <sheetFormatPr defaultRowHeight="15" x14ac:dyDescent="0.25"/>
  <cols>
    <col min="1" max="1" width="7.140625" style="296" customWidth="1"/>
    <col min="2" max="2" width="15.140625" style="207" customWidth="1"/>
    <col min="3" max="3" width="18.7109375" style="207" customWidth="1"/>
    <col min="4" max="4" width="10" style="207" customWidth="1"/>
    <col min="5" max="5" width="12.5703125" style="207" customWidth="1"/>
    <col min="6" max="6" width="22" style="207" hidden="1" customWidth="1"/>
    <col min="7" max="7" width="9.140625" style="207" hidden="1" customWidth="1"/>
    <col min="8" max="8" width="15.7109375" style="207" customWidth="1"/>
    <col min="9" max="9" width="13.7109375" style="296" customWidth="1"/>
    <col min="10" max="10" width="18.5703125" style="207" customWidth="1"/>
    <col min="11" max="11" width="19.85546875" style="207" customWidth="1"/>
    <col min="12" max="232" width="9.140625" style="207"/>
    <col min="233" max="233" width="7.140625" style="207" customWidth="1"/>
    <col min="234" max="234" width="15.140625" style="207" customWidth="1"/>
    <col min="235" max="235" width="18.7109375" style="207" customWidth="1"/>
    <col min="236" max="236" width="15.140625" style="207" customWidth="1"/>
    <col min="237" max="237" width="16.7109375" style="207" customWidth="1"/>
    <col min="238" max="238" width="13.140625" style="207" customWidth="1"/>
    <col min="239" max="239" width="0" style="207" hidden="1" customWidth="1"/>
    <col min="240" max="240" width="18.5703125" style="207" customWidth="1"/>
    <col min="241" max="241" width="13.85546875" style="207" customWidth="1"/>
    <col min="242" max="242" width="15.42578125" style="207" customWidth="1"/>
    <col min="243" max="243" width="20.140625" style="207" customWidth="1"/>
    <col min="244" max="16384" width="9.140625" style="207"/>
  </cols>
  <sheetData>
    <row r="1" spans="1:11" ht="47.25" x14ac:dyDescent="0.6">
      <c r="A1" s="348"/>
      <c r="B1" s="349"/>
      <c r="C1" s="349"/>
      <c r="D1" s="349"/>
      <c r="E1" s="661" t="s">
        <v>0</v>
      </c>
      <c r="F1" s="661"/>
      <c r="G1" s="661"/>
      <c r="H1" s="661"/>
      <c r="I1" s="661"/>
      <c r="J1" s="661"/>
      <c r="K1" s="662"/>
    </row>
    <row r="2" spans="1:11" ht="15.75" x14ac:dyDescent="0.25">
      <c r="A2" s="350"/>
      <c r="B2" s="351"/>
      <c r="C2" s="351"/>
      <c r="D2" s="351"/>
      <c r="E2" s="210"/>
      <c r="F2" s="210"/>
      <c r="G2" s="211"/>
      <c r="H2" s="843"/>
      <c r="I2" s="212"/>
      <c r="J2" s="213"/>
      <c r="K2" s="214"/>
    </row>
    <row r="3" spans="1:11" ht="20.25" x14ac:dyDescent="0.3">
      <c r="A3" s="352"/>
      <c r="B3" s="353"/>
      <c r="C3" s="353"/>
      <c r="D3" s="353"/>
      <c r="E3" s="217"/>
      <c r="F3" s="218"/>
      <c r="G3" s="218"/>
      <c r="H3" s="843"/>
      <c r="I3" s="219"/>
      <c r="J3" s="220"/>
      <c r="K3" s="221"/>
    </row>
    <row r="4" spans="1:11" x14ac:dyDescent="0.25">
      <c r="A4" s="352"/>
      <c r="B4" s="353"/>
      <c r="C4" s="222"/>
      <c r="D4" s="826"/>
      <c r="E4" s="826"/>
      <c r="F4" s="826"/>
      <c r="G4" s="222"/>
      <c r="H4" s="843"/>
      <c r="I4" s="224"/>
      <c r="J4" s="225"/>
      <c r="K4" s="226"/>
    </row>
    <row r="5" spans="1:11" x14ac:dyDescent="0.25">
      <c r="A5" s="227"/>
      <c r="B5" s="222"/>
      <c r="C5" s="222"/>
      <c r="D5" s="228"/>
      <c r="E5" s="229"/>
      <c r="F5" s="228"/>
      <c r="G5" s="230"/>
      <c r="H5" s="843"/>
      <c r="I5" s="224"/>
      <c r="J5" s="225"/>
      <c r="K5" s="226"/>
    </row>
    <row r="6" spans="1:11" x14ac:dyDescent="0.25">
      <c r="A6" s="354"/>
      <c r="B6" s="355"/>
      <c r="C6" s="355"/>
      <c r="D6" s="355"/>
      <c r="E6" s="230"/>
      <c r="F6" s="230"/>
      <c r="G6" s="230"/>
      <c r="H6" s="843"/>
      <c r="I6" s="224"/>
      <c r="J6" s="225" t="s">
        <v>227</v>
      </c>
      <c r="K6" s="233">
        <f ca="1">TODAY()</f>
        <v>41556</v>
      </c>
    </row>
    <row r="7" spans="1:11" x14ac:dyDescent="0.25">
      <c r="A7" s="356"/>
      <c r="B7" s="357"/>
      <c r="C7" s="239" t="s">
        <v>233</v>
      </c>
      <c r="D7" s="827" t="s">
        <v>236</v>
      </c>
      <c r="E7" s="827"/>
      <c r="F7" s="240"/>
      <c r="G7" s="241"/>
      <c r="H7" s="241"/>
      <c r="I7" s="242"/>
      <c r="J7" s="243"/>
      <c r="K7" s="244"/>
    </row>
    <row r="8" spans="1:11" x14ac:dyDescent="0.25">
      <c r="A8" s="358"/>
      <c r="B8" s="359"/>
      <c r="C8" s="815" t="s">
        <v>235</v>
      </c>
      <c r="D8" s="816"/>
      <c r="E8" s="816"/>
      <c r="F8" s="297"/>
      <c r="G8" s="298"/>
      <c r="H8" s="298"/>
      <c r="I8" s="247"/>
      <c r="J8" s="248"/>
      <c r="K8" s="249"/>
    </row>
    <row r="9" spans="1:11" x14ac:dyDescent="0.25">
      <c r="A9" s="358"/>
      <c r="B9" s="360"/>
      <c r="C9" s="815" t="s">
        <v>234</v>
      </c>
      <c r="D9" s="816"/>
      <c r="E9" s="253"/>
      <c r="F9" s="252"/>
      <c r="G9" s="253"/>
      <c r="H9" s="253"/>
      <c r="I9" s="247"/>
      <c r="J9" s="248"/>
      <c r="K9" s="249"/>
    </row>
    <row r="10" spans="1:11" x14ac:dyDescent="0.25">
      <c r="A10" s="361"/>
      <c r="B10" s="362"/>
      <c r="C10" s="257" t="s">
        <v>230</v>
      </c>
      <c r="D10" s="252"/>
      <c r="E10" s="253"/>
      <c r="F10" s="252"/>
      <c r="G10" s="253"/>
      <c r="H10" s="253"/>
      <c r="I10" s="247"/>
      <c r="J10" s="248"/>
      <c r="K10" s="249"/>
    </row>
    <row r="11" spans="1:11" x14ac:dyDescent="0.25">
      <c r="A11" s="361"/>
      <c r="B11" s="362"/>
      <c r="C11" s="257" t="s">
        <v>231</v>
      </c>
      <c r="D11" s="258"/>
      <c r="E11" s="253"/>
      <c r="F11" s="258"/>
      <c r="G11" s="253"/>
      <c r="H11" s="253"/>
      <c r="I11" s="247"/>
      <c r="J11" s="248"/>
      <c r="K11" s="249"/>
    </row>
    <row r="12" spans="1:11" x14ac:dyDescent="0.25">
      <c r="A12" s="363"/>
      <c r="B12" s="362"/>
      <c r="C12" s="260" t="s">
        <v>232</v>
      </c>
      <c r="D12" s="663"/>
      <c r="E12" s="663"/>
      <c r="F12" s="663"/>
      <c r="G12" s="663"/>
      <c r="H12" s="603"/>
      <c r="I12" s="262"/>
      <c r="J12" s="263"/>
      <c r="K12" s="263"/>
    </row>
    <row r="13" spans="1:11" x14ac:dyDescent="0.25">
      <c r="A13" s="664"/>
      <c r="B13" s="665"/>
      <c r="C13" s="665"/>
      <c r="D13" s="665"/>
      <c r="E13" s="665"/>
      <c r="F13" s="665"/>
      <c r="G13" s="665"/>
      <c r="H13" s="665"/>
      <c r="I13" s="665"/>
      <c r="J13" s="665"/>
      <c r="K13" s="666"/>
    </row>
    <row r="14" spans="1:11" x14ac:dyDescent="0.25">
      <c r="A14" s="667" t="s">
        <v>7</v>
      </c>
      <c r="B14" s="668"/>
      <c r="C14" s="668"/>
      <c r="D14" s="668"/>
      <c r="E14" s="669"/>
      <c r="F14" s="177" t="s">
        <v>16</v>
      </c>
      <c r="G14" s="670" t="s">
        <v>17</v>
      </c>
      <c r="H14" s="668"/>
      <c r="I14" s="264"/>
      <c r="J14" s="604"/>
      <c r="K14" s="266" t="s">
        <v>8</v>
      </c>
    </row>
    <row r="15" spans="1:11" x14ac:dyDescent="0.25">
      <c r="A15" s="671"/>
      <c r="B15" s="672"/>
      <c r="C15" s="672"/>
      <c r="D15" s="672"/>
      <c r="E15" s="673"/>
      <c r="F15" s="632" t="s">
        <v>228</v>
      </c>
      <c r="G15" s="674"/>
      <c r="H15" s="675"/>
      <c r="I15" s="268"/>
      <c r="J15" s="269"/>
      <c r="K15" s="631">
        <v>41122</v>
      </c>
    </row>
    <row r="16" spans="1:11" x14ac:dyDescent="0.25">
      <c r="A16" s="364"/>
      <c r="B16" s="365"/>
      <c r="C16" s="365"/>
      <c r="D16" s="365"/>
      <c r="E16" s="273"/>
      <c r="F16" s="274"/>
      <c r="G16" s="274"/>
      <c r="H16" s="274"/>
      <c r="I16" s="275"/>
      <c r="J16" s="276"/>
      <c r="K16" s="277"/>
    </row>
    <row r="17" spans="1:11" x14ac:dyDescent="0.25">
      <c r="A17" s="173" t="s">
        <v>18</v>
      </c>
      <c r="B17" s="174" t="s">
        <v>27</v>
      </c>
      <c r="C17" s="174" t="s">
        <v>19</v>
      </c>
      <c r="D17" s="174" t="s">
        <v>20</v>
      </c>
      <c r="E17" s="676" t="s">
        <v>21</v>
      </c>
      <c r="F17" s="676"/>
      <c r="G17" s="676"/>
      <c r="H17" s="605" t="s">
        <v>10</v>
      </c>
      <c r="I17" s="176" t="s">
        <v>25</v>
      </c>
      <c r="J17" s="177" t="s">
        <v>28</v>
      </c>
      <c r="K17" s="177" t="s">
        <v>22</v>
      </c>
    </row>
    <row r="18" spans="1:11" x14ac:dyDescent="0.25">
      <c r="A18" s="600">
        <v>1</v>
      </c>
      <c r="B18" s="581" t="s">
        <v>166</v>
      </c>
      <c r="C18" s="582" t="s">
        <v>26</v>
      </c>
      <c r="D18" s="601"/>
      <c r="E18" s="821"/>
      <c r="F18" s="821"/>
      <c r="G18" s="609"/>
      <c r="H18" s="609"/>
      <c r="I18" s="578"/>
      <c r="J18" s="586">
        <v>55000</v>
      </c>
      <c r="K18" s="587">
        <f>IF((C18)&gt;0,SUM(J18*I18),"")</f>
        <v>0</v>
      </c>
    </row>
    <row r="19" spans="1:11" x14ac:dyDescent="0.25">
      <c r="A19" s="573">
        <v>2</v>
      </c>
      <c r="B19" s="588" t="s">
        <v>167</v>
      </c>
      <c r="C19" s="582" t="s">
        <v>26</v>
      </c>
      <c r="D19" s="601"/>
      <c r="E19" s="818"/>
      <c r="F19" s="818"/>
      <c r="G19" s="818"/>
      <c r="H19" s="606"/>
      <c r="I19" s="578">
        <v>6</v>
      </c>
      <c r="J19" s="586">
        <v>55000</v>
      </c>
      <c r="K19" s="587">
        <f>IF((C19)&gt;0,SUM(J19*I19),"")</f>
        <v>330000</v>
      </c>
    </row>
    <row r="20" spans="1:11" x14ac:dyDescent="0.25">
      <c r="A20" s="573">
        <v>3</v>
      </c>
      <c r="B20" s="588" t="s">
        <v>168</v>
      </c>
      <c r="C20" s="582" t="s">
        <v>26</v>
      </c>
      <c r="D20" s="601"/>
      <c r="E20" s="818"/>
      <c r="F20" s="818"/>
      <c r="G20" s="818"/>
      <c r="H20" s="606"/>
      <c r="I20" s="599"/>
      <c r="J20" s="586">
        <v>55000</v>
      </c>
      <c r="K20" s="587">
        <f t="shared" ref="K20:K39" si="0">IF((C20)&gt;0,SUM(J20*I20),"")</f>
        <v>0</v>
      </c>
    </row>
    <row r="21" spans="1:11" x14ac:dyDescent="0.25">
      <c r="A21" s="600">
        <v>4</v>
      </c>
      <c r="B21" s="581" t="s">
        <v>169</v>
      </c>
      <c r="C21" s="582" t="s">
        <v>26</v>
      </c>
      <c r="D21" s="601"/>
      <c r="E21" s="818"/>
      <c r="F21" s="818"/>
      <c r="G21" s="818"/>
      <c r="H21" s="606"/>
      <c r="I21" s="573">
        <v>2</v>
      </c>
      <c r="J21" s="586">
        <v>55000</v>
      </c>
      <c r="K21" s="587">
        <f t="shared" si="0"/>
        <v>110000</v>
      </c>
    </row>
    <row r="22" spans="1:11" x14ac:dyDescent="0.25">
      <c r="A22" s="573">
        <v>5</v>
      </c>
      <c r="B22" s="588" t="s">
        <v>170</v>
      </c>
      <c r="C22" s="582" t="s">
        <v>26</v>
      </c>
      <c r="D22" s="601"/>
      <c r="E22" s="825"/>
      <c r="F22" s="825"/>
      <c r="G22" s="825"/>
      <c r="H22" s="611"/>
      <c r="I22" s="573"/>
      <c r="J22" s="586">
        <v>55000</v>
      </c>
      <c r="K22" s="587">
        <f t="shared" si="0"/>
        <v>0</v>
      </c>
    </row>
    <row r="23" spans="1:11" x14ac:dyDescent="0.25">
      <c r="A23" s="573">
        <v>6</v>
      </c>
      <c r="B23" s="588" t="s">
        <v>171</v>
      </c>
      <c r="C23" s="582" t="s">
        <v>26</v>
      </c>
      <c r="D23" s="601"/>
      <c r="E23" s="825"/>
      <c r="F23" s="825"/>
      <c r="G23" s="825"/>
      <c r="H23" s="611"/>
      <c r="I23" s="573"/>
      <c r="J23" s="586">
        <v>55000</v>
      </c>
      <c r="K23" s="587">
        <f t="shared" si="0"/>
        <v>0</v>
      </c>
    </row>
    <row r="24" spans="1:11" x14ac:dyDescent="0.25">
      <c r="A24" s="600">
        <v>7</v>
      </c>
      <c r="B24" s="581" t="s">
        <v>172</v>
      </c>
      <c r="C24" s="582" t="s">
        <v>26</v>
      </c>
      <c r="D24" s="601"/>
      <c r="E24" s="825"/>
      <c r="F24" s="825"/>
      <c r="G24" s="825"/>
      <c r="H24" s="611"/>
      <c r="I24" s="573">
        <v>1</v>
      </c>
      <c r="J24" s="586">
        <v>55000</v>
      </c>
      <c r="K24" s="587">
        <f t="shared" si="0"/>
        <v>55000</v>
      </c>
    </row>
    <row r="25" spans="1:11" x14ac:dyDescent="0.25">
      <c r="A25" s="573">
        <v>8</v>
      </c>
      <c r="B25" s="588" t="s">
        <v>173</v>
      </c>
      <c r="C25" s="582" t="s">
        <v>26</v>
      </c>
      <c r="D25" s="601"/>
      <c r="E25" s="825"/>
      <c r="F25" s="825"/>
      <c r="G25" s="825"/>
      <c r="H25" s="611"/>
      <c r="I25" s="573"/>
      <c r="J25" s="586">
        <v>55000</v>
      </c>
      <c r="K25" s="587">
        <f t="shared" si="0"/>
        <v>0</v>
      </c>
    </row>
    <row r="26" spans="1:11" x14ac:dyDescent="0.25">
      <c r="A26" s="573">
        <v>9</v>
      </c>
      <c r="B26" s="581" t="s">
        <v>174</v>
      </c>
      <c r="C26" s="582" t="s">
        <v>26</v>
      </c>
      <c r="D26" s="601"/>
      <c r="E26" s="825"/>
      <c r="F26" s="825"/>
      <c r="G26" s="825"/>
      <c r="H26" s="611"/>
      <c r="I26" s="573"/>
      <c r="J26" s="586">
        <v>55000</v>
      </c>
      <c r="K26" s="587">
        <f t="shared" si="0"/>
        <v>0</v>
      </c>
    </row>
    <row r="27" spans="1:11" x14ac:dyDescent="0.25">
      <c r="A27" s="600">
        <v>10</v>
      </c>
      <c r="B27" s="588" t="s">
        <v>175</v>
      </c>
      <c r="C27" s="582" t="s">
        <v>26</v>
      </c>
      <c r="D27" s="601"/>
      <c r="E27" s="825"/>
      <c r="F27" s="825"/>
      <c r="G27" s="825"/>
      <c r="H27" s="611"/>
      <c r="I27" s="573">
        <v>2</v>
      </c>
      <c r="J27" s="586">
        <v>55000</v>
      </c>
      <c r="K27" s="587">
        <f t="shared" si="0"/>
        <v>110000</v>
      </c>
    </row>
    <row r="28" spans="1:11" x14ac:dyDescent="0.25">
      <c r="A28" s="573">
        <v>11</v>
      </c>
      <c r="B28" s="581" t="s">
        <v>176</v>
      </c>
      <c r="C28" s="582" t="s">
        <v>26</v>
      </c>
      <c r="D28" s="601"/>
      <c r="E28" s="825"/>
      <c r="F28" s="825"/>
      <c r="G28" s="825"/>
      <c r="H28" s="611"/>
      <c r="I28" s="573">
        <v>3</v>
      </c>
      <c r="J28" s="586">
        <v>55000</v>
      </c>
      <c r="K28" s="587">
        <f t="shared" si="0"/>
        <v>165000</v>
      </c>
    </row>
    <row r="29" spans="1:11" x14ac:dyDescent="0.25">
      <c r="A29" s="573">
        <v>12</v>
      </c>
      <c r="B29" s="588" t="s">
        <v>177</v>
      </c>
      <c r="C29" s="582" t="s">
        <v>26</v>
      </c>
      <c r="D29" s="601"/>
      <c r="E29" s="825"/>
      <c r="F29" s="825"/>
      <c r="G29" s="825"/>
      <c r="H29" s="611"/>
      <c r="I29" s="573"/>
      <c r="J29" s="586">
        <v>55000</v>
      </c>
      <c r="K29" s="587">
        <f t="shared" si="0"/>
        <v>0</v>
      </c>
    </row>
    <row r="30" spans="1:11" x14ac:dyDescent="0.25">
      <c r="A30" s="600">
        <v>13</v>
      </c>
      <c r="B30" s="581" t="s">
        <v>178</v>
      </c>
      <c r="C30" s="582" t="s">
        <v>26</v>
      </c>
      <c r="D30" s="601"/>
      <c r="E30" s="823"/>
      <c r="F30" s="823"/>
      <c r="G30" s="823"/>
      <c r="H30" s="610"/>
      <c r="I30" s="573">
        <v>3</v>
      </c>
      <c r="J30" s="586">
        <v>55000</v>
      </c>
      <c r="K30" s="587">
        <f t="shared" si="0"/>
        <v>165000</v>
      </c>
    </row>
    <row r="31" spans="1:11" x14ac:dyDescent="0.25">
      <c r="A31" s="573">
        <v>14</v>
      </c>
      <c r="B31" s="588" t="s">
        <v>179</v>
      </c>
      <c r="C31" s="582" t="s">
        <v>26</v>
      </c>
      <c r="D31" s="601"/>
      <c r="E31" s="823"/>
      <c r="F31" s="823"/>
      <c r="G31" s="823"/>
      <c r="H31" s="610"/>
      <c r="I31" s="573">
        <v>9</v>
      </c>
      <c r="J31" s="586">
        <v>55000</v>
      </c>
      <c r="K31" s="587">
        <f t="shared" si="0"/>
        <v>495000</v>
      </c>
    </row>
    <row r="32" spans="1:11" x14ac:dyDescent="0.25">
      <c r="A32" s="573">
        <v>15</v>
      </c>
      <c r="B32" s="581" t="s">
        <v>188</v>
      </c>
      <c r="C32" s="582" t="s">
        <v>26</v>
      </c>
      <c r="D32" s="601"/>
      <c r="E32" s="818"/>
      <c r="F32" s="818"/>
      <c r="G32" s="818"/>
      <c r="H32" s="606"/>
      <c r="I32" s="578"/>
      <c r="J32" s="586">
        <v>55000</v>
      </c>
      <c r="K32" s="587">
        <f t="shared" si="0"/>
        <v>0</v>
      </c>
    </row>
    <row r="33" spans="1:11" x14ac:dyDescent="0.25">
      <c r="A33" s="573">
        <v>16</v>
      </c>
      <c r="B33" s="588" t="s">
        <v>189</v>
      </c>
      <c r="C33" s="582" t="s">
        <v>26</v>
      </c>
      <c r="D33" s="601"/>
      <c r="E33" s="818"/>
      <c r="F33" s="818"/>
      <c r="G33" s="818"/>
      <c r="H33" s="606"/>
      <c r="I33" s="578">
        <v>2</v>
      </c>
      <c r="J33" s="586">
        <v>55000</v>
      </c>
      <c r="K33" s="587">
        <f t="shared" si="0"/>
        <v>110000</v>
      </c>
    </row>
    <row r="34" spans="1:11" x14ac:dyDescent="0.25">
      <c r="A34" s="600">
        <v>17</v>
      </c>
      <c r="B34" s="581" t="s">
        <v>190</v>
      </c>
      <c r="C34" s="582" t="s">
        <v>26</v>
      </c>
      <c r="D34" s="601"/>
      <c r="E34" s="606"/>
      <c r="F34" s="818"/>
      <c r="G34" s="818"/>
      <c r="H34" s="606"/>
      <c r="I34" s="578">
        <v>48</v>
      </c>
      <c r="J34" s="586">
        <v>55000</v>
      </c>
      <c r="K34" s="587">
        <f t="shared" si="0"/>
        <v>2640000</v>
      </c>
    </row>
    <row r="35" spans="1:11" x14ac:dyDescent="0.25">
      <c r="A35" s="600">
        <v>18</v>
      </c>
      <c r="B35" s="588" t="s">
        <v>193</v>
      </c>
      <c r="C35" s="582" t="s">
        <v>26</v>
      </c>
      <c r="D35" s="601"/>
      <c r="E35" s="820"/>
      <c r="F35" s="820"/>
      <c r="G35" s="820"/>
      <c r="H35" s="608"/>
      <c r="I35" s="594">
        <v>23</v>
      </c>
      <c r="J35" s="586">
        <v>55000</v>
      </c>
      <c r="K35" s="587">
        <f t="shared" si="0"/>
        <v>1265000</v>
      </c>
    </row>
    <row r="36" spans="1:11" x14ac:dyDescent="0.25">
      <c r="A36" s="573">
        <v>19</v>
      </c>
      <c r="B36" s="581" t="s">
        <v>194</v>
      </c>
      <c r="C36" s="582" t="s">
        <v>26</v>
      </c>
      <c r="D36" s="601"/>
      <c r="E36" s="820"/>
      <c r="F36" s="820"/>
      <c r="G36" s="820"/>
      <c r="H36" s="608"/>
      <c r="I36" s="594">
        <v>9</v>
      </c>
      <c r="J36" s="586">
        <v>55000</v>
      </c>
      <c r="K36" s="587">
        <f t="shared" si="0"/>
        <v>495000</v>
      </c>
    </row>
    <row r="37" spans="1:11" x14ac:dyDescent="0.25">
      <c r="A37" s="573">
        <v>20</v>
      </c>
      <c r="B37" s="588" t="s">
        <v>195</v>
      </c>
      <c r="C37" s="582" t="s">
        <v>26</v>
      </c>
      <c r="D37" s="601"/>
      <c r="E37" s="819"/>
      <c r="F37" s="819"/>
      <c r="G37" s="819"/>
      <c r="H37" s="607"/>
      <c r="I37" s="578">
        <v>12</v>
      </c>
      <c r="J37" s="586">
        <v>55000</v>
      </c>
      <c r="K37" s="587">
        <f t="shared" si="0"/>
        <v>660000</v>
      </c>
    </row>
    <row r="38" spans="1:11" x14ac:dyDescent="0.25">
      <c r="A38" s="600">
        <v>21</v>
      </c>
      <c r="B38" s="581" t="s">
        <v>196</v>
      </c>
      <c r="C38" s="582" t="s">
        <v>26</v>
      </c>
      <c r="D38" s="601"/>
      <c r="E38" s="819"/>
      <c r="F38" s="819"/>
      <c r="G38" s="819"/>
      <c r="H38" s="607"/>
      <c r="I38" s="578">
        <v>13</v>
      </c>
      <c r="J38" s="586">
        <v>55000</v>
      </c>
      <c r="K38" s="587">
        <f t="shared" si="0"/>
        <v>715000</v>
      </c>
    </row>
    <row r="39" spans="1:11" x14ac:dyDescent="0.25">
      <c r="A39" s="573">
        <v>22</v>
      </c>
      <c r="B39" s="588" t="s">
        <v>197</v>
      </c>
      <c r="C39" s="582" t="s">
        <v>26</v>
      </c>
      <c r="D39" s="601"/>
      <c r="E39" s="821"/>
      <c r="F39" s="821"/>
      <c r="G39" s="821"/>
      <c r="H39" s="609"/>
      <c r="I39" s="578"/>
      <c r="J39" s="586">
        <v>55000</v>
      </c>
      <c r="K39" s="587">
        <f t="shared" si="0"/>
        <v>0</v>
      </c>
    </row>
    <row r="40" spans="1:11" ht="15.75" x14ac:dyDescent="0.25">
      <c r="A40" s="192"/>
      <c r="B40" s="366"/>
      <c r="C40" s="193"/>
      <c r="D40" s="193"/>
      <c r="E40" s="194"/>
      <c r="F40" s="194"/>
      <c r="G40" s="194"/>
      <c r="H40" s="194"/>
      <c r="I40" s="200"/>
      <c r="J40" s="203" t="s">
        <v>202</v>
      </c>
      <c r="K40" s="633">
        <f>SUM(K18:K39)</f>
        <v>7315000</v>
      </c>
    </row>
    <row r="41" spans="1:11" ht="15.75" x14ac:dyDescent="0.25">
      <c r="A41" s="841" t="s">
        <v>222</v>
      </c>
      <c r="B41" s="842"/>
      <c r="C41" s="840" t="s">
        <v>223</v>
      </c>
      <c r="D41" s="840"/>
      <c r="E41" s="840"/>
      <c r="F41" s="840"/>
      <c r="G41" s="840"/>
      <c r="H41" s="840"/>
      <c r="I41" s="200"/>
      <c r="J41" s="628" t="s">
        <v>225</v>
      </c>
      <c r="K41" s="633">
        <v>20000</v>
      </c>
    </row>
    <row r="42" spans="1:11" ht="15.75" x14ac:dyDescent="0.25">
      <c r="A42" s="841"/>
      <c r="B42" s="842"/>
      <c r="C42" s="840"/>
      <c r="D42" s="840"/>
      <c r="E42" s="840"/>
      <c r="F42" s="840"/>
      <c r="G42" s="840"/>
      <c r="H42" s="840"/>
      <c r="I42" s="200"/>
      <c r="J42" s="203" t="s">
        <v>203</v>
      </c>
      <c r="K42" s="633">
        <v>369500</v>
      </c>
    </row>
    <row r="43" spans="1:11" ht="15.75" x14ac:dyDescent="0.25">
      <c r="D43" s="571"/>
      <c r="E43" s="571"/>
      <c r="F43" s="571"/>
      <c r="G43" s="571"/>
      <c r="H43" s="571"/>
      <c r="I43" s="571"/>
      <c r="J43" s="203" t="s">
        <v>66</v>
      </c>
      <c r="K43" s="634">
        <f>SUM(K40:K42)</f>
        <v>7704500</v>
      </c>
    </row>
    <row r="44" spans="1:11" ht="16.5" thickBot="1" x14ac:dyDescent="0.3">
      <c r="A44" s="368"/>
      <c r="B44" s="571"/>
      <c r="C44" s="571"/>
      <c r="D44" s="511"/>
      <c r="E44" s="511"/>
      <c r="F44" s="511"/>
      <c r="G44" s="511"/>
      <c r="H44" s="511"/>
      <c r="I44" s="511"/>
      <c r="J44" s="511"/>
      <c r="K44" s="512"/>
    </row>
    <row r="45" spans="1:11" x14ac:dyDescent="0.25">
      <c r="A45" s="683" t="s">
        <v>23</v>
      </c>
      <c r="B45" s="684"/>
      <c r="C45" s="684"/>
      <c r="D45" s="684"/>
      <c r="E45" s="684"/>
      <c r="F45" s="684"/>
      <c r="G45" s="684"/>
      <c r="H45" s="684"/>
      <c r="I45" s="684"/>
      <c r="J45" s="684"/>
      <c r="K45" s="685"/>
    </row>
    <row r="46" spans="1:11" ht="15.75" thickBot="1" x14ac:dyDescent="0.3">
      <c r="A46" s="689"/>
      <c r="B46" s="690"/>
      <c r="C46" s="690"/>
      <c r="D46" s="690"/>
      <c r="E46" s="690"/>
      <c r="F46" s="690"/>
      <c r="G46" s="690"/>
      <c r="H46" s="690"/>
      <c r="I46" s="690"/>
      <c r="J46" s="690"/>
      <c r="K46" s="691"/>
    </row>
    <row r="47" spans="1:11" x14ac:dyDescent="0.25">
      <c r="A47" s="630"/>
      <c r="B47" s="629"/>
      <c r="C47" s="629"/>
      <c r="D47" s="629"/>
      <c r="E47" s="527"/>
      <c r="F47" s="527"/>
      <c r="G47" s="527"/>
      <c r="H47" s="527"/>
      <c r="I47" s="224"/>
      <c r="J47" s="235"/>
      <c r="K47" s="235"/>
    </row>
    <row r="48" spans="1:11" x14ac:dyDescent="0.25">
      <c r="A48" s="293"/>
      <c r="B48" s="294"/>
      <c r="C48" s="294"/>
      <c r="D48" s="294"/>
      <c r="E48" s="294"/>
      <c r="F48" s="294"/>
      <c r="G48" s="294"/>
      <c r="H48" s="294"/>
      <c r="I48" s="293"/>
      <c r="J48" s="294"/>
      <c r="K48" s="294"/>
    </row>
    <row r="49" spans="1:11" x14ac:dyDescent="0.25">
      <c r="A49" s="293"/>
      <c r="B49" s="294"/>
      <c r="C49" s="294"/>
      <c r="D49" s="294"/>
      <c r="E49" s="294"/>
      <c r="F49" s="294"/>
      <c r="G49" s="294"/>
      <c r="H49" s="294"/>
      <c r="I49" s="293"/>
      <c r="J49" s="294"/>
      <c r="K49" s="294"/>
    </row>
    <row r="50" spans="1:11" x14ac:dyDescent="0.25">
      <c r="A50" s="293"/>
      <c r="B50" s="294"/>
      <c r="C50" s="294"/>
      <c r="D50" s="294"/>
      <c r="E50" s="294"/>
      <c r="F50" s="294"/>
      <c r="G50" s="294"/>
      <c r="H50" s="294"/>
      <c r="I50" s="293"/>
      <c r="J50" s="294"/>
      <c r="K50" s="294"/>
    </row>
    <row r="51" spans="1:11" x14ac:dyDescent="0.25">
      <c r="A51" s="293"/>
      <c r="B51" s="294"/>
      <c r="C51" s="294"/>
      <c r="D51" s="294"/>
      <c r="E51" s="294"/>
      <c r="F51" s="294"/>
      <c r="G51" s="294"/>
      <c r="H51" s="294"/>
      <c r="I51" s="293"/>
      <c r="J51" s="294"/>
      <c r="K51" s="294"/>
    </row>
    <row r="52" spans="1:11" x14ac:dyDescent="0.25">
      <c r="A52" s="293"/>
      <c r="B52" s="294"/>
      <c r="C52" s="294"/>
      <c r="D52" s="294"/>
      <c r="E52" s="294"/>
      <c r="F52" s="294"/>
      <c r="G52" s="294"/>
      <c r="H52" s="294"/>
      <c r="I52" s="293"/>
      <c r="J52" s="294"/>
      <c r="K52" s="294"/>
    </row>
    <row r="53" spans="1:11" x14ac:dyDescent="0.25">
      <c r="A53" s="293"/>
      <c r="B53" s="294"/>
      <c r="C53" s="294"/>
      <c r="D53" s="294"/>
      <c r="E53" s="294"/>
      <c r="F53" s="294"/>
      <c r="G53" s="294"/>
      <c r="H53" s="294"/>
      <c r="I53" s="293"/>
      <c r="J53" s="294"/>
      <c r="K53" s="294"/>
    </row>
    <row r="54" spans="1:11" x14ac:dyDescent="0.25">
      <c r="A54" s="293"/>
      <c r="B54" s="294"/>
      <c r="C54" s="294"/>
      <c r="D54" s="294"/>
      <c r="E54" s="294"/>
      <c r="F54" s="294"/>
      <c r="G54" s="294"/>
      <c r="H54" s="294"/>
      <c r="I54" s="293"/>
      <c r="J54" s="294"/>
      <c r="K54" s="294"/>
    </row>
    <row r="55" spans="1:11" x14ac:dyDescent="0.25">
      <c r="A55" s="293"/>
      <c r="B55" s="294"/>
      <c r="C55" s="294"/>
      <c r="D55" s="294"/>
      <c r="E55" s="294"/>
      <c r="F55" s="294"/>
      <c r="G55" s="294"/>
      <c r="H55" s="294"/>
      <c r="I55" s="293"/>
      <c r="J55" s="294"/>
      <c r="K55" s="294"/>
    </row>
    <row r="56" spans="1:11" x14ac:dyDescent="0.25">
      <c r="A56" s="293"/>
      <c r="B56" s="294"/>
      <c r="C56" s="294"/>
      <c r="D56" s="294"/>
      <c r="E56" s="294"/>
      <c r="F56" s="294"/>
      <c r="G56" s="294"/>
      <c r="H56" s="294"/>
      <c r="I56" s="293"/>
      <c r="J56" s="294"/>
      <c r="K56" s="294"/>
    </row>
    <row r="57" spans="1:11" x14ac:dyDescent="0.25">
      <c r="A57" s="293"/>
      <c r="B57" s="294"/>
      <c r="C57" s="294"/>
      <c r="D57" s="294"/>
      <c r="E57" s="294"/>
      <c r="F57" s="294"/>
      <c r="G57" s="294"/>
      <c r="H57" s="294"/>
      <c r="I57" s="293"/>
      <c r="J57" s="294"/>
      <c r="K57" s="294"/>
    </row>
    <row r="58" spans="1:11" x14ac:dyDescent="0.25">
      <c r="A58" s="293"/>
      <c r="B58" s="294"/>
      <c r="C58" s="294"/>
      <c r="D58" s="294"/>
      <c r="E58" s="294"/>
      <c r="F58" s="294"/>
      <c r="G58" s="294"/>
      <c r="H58" s="294"/>
      <c r="I58" s="293"/>
      <c r="J58" s="294"/>
      <c r="K58" s="294"/>
    </row>
    <row r="59" spans="1:11" x14ac:dyDescent="0.25">
      <c r="A59" s="293"/>
      <c r="B59" s="294"/>
      <c r="C59" s="294"/>
      <c r="D59" s="294"/>
      <c r="E59" s="294"/>
      <c r="F59" s="294"/>
      <c r="G59" s="294"/>
      <c r="H59" s="294"/>
      <c r="I59" s="293"/>
      <c r="J59" s="294"/>
      <c r="K59" s="294"/>
    </row>
    <row r="60" spans="1:11" x14ac:dyDescent="0.25">
      <c r="A60" s="293"/>
      <c r="B60" s="294"/>
      <c r="C60" s="294"/>
      <c r="D60" s="294"/>
      <c r="E60" s="294"/>
      <c r="F60" s="294"/>
      <c r="G60" s="294"/>
      <c r="H60" s="294"/>
      <c r="I60" s="293"/>
      <c r="J60" s="294"/>
      <c r="K60" s="294"/>
    </row>
    <row r="61" spans="1:11" x14ac:dyDescent="0.25">
      <c r="A61" s="293"/>
      <c r="B61" s="294"/>
      <c r="C61" s="294"/>
      <c r="D61" s="294"/>
      <c r="E61" s="294"/>
      <c r="F61" s="294"/>
      <c r="G61" s="294"/>
      <c r="H61" s="294"/>
      <c r="I61" s="293"/>
      <c r="J61" s="294"/>
      <c r="K61" s="294"/>
    </row>
    <row r="62" spans="1:11" x14ac:dyDescent="0.25">
      <c r="A62" s="293"/>
      <c r="B62" s="294"/>
      <c r="C62" s="294"/>
      <c r="D62" s="294"/>
      <c r="E62" s="294"/>
      <c r="F62" s="294"/>
      <c r="G62" s="294"/>
      <c r="H62" s="294"/>
      <c r="I62" s="293"/>
      <c r="J62" s="294"/>
      <c r="K62" s="294"/>
    </row>
    <row r="63" spans="1:11" x14ac:dyDescent="0.25">
      <c r="A63" s="293"/>
      <c r="B63" s="294"/>
      <c r="C63" s="294"/>
      <c r="D63" s="294"/>
      <c r="E63" s="294"/>
      <c r="F63" s="294"/>
      <c r="G63" s="294"/>
      <c r="H63" s="294"/>
      <c r="I63" s="293"/>
      <c r="J63" s="294"/>
      <c r="K63" s="294"/>
    </row>
    <row r="64" spans="1:11" x14ac:dyDescent="0.25">
      <c r="A64" s="293"/>
      <c r="B64" s="294"/>
      <c r="C64" s="294"/>
      <c r="D64" s="294"/>
      <c r="E64" s="294"/>
      <c r="F64" s="294"/>
      <c r="G64" s="294"/>
      <c r="H64" s="294"/>
      <c r="I64" s="293"/>
      <c r="J64" s="294"/>
      <c r="K64" s="294"/>
    </row>
  </sheetData>
  <mergeCells count="39">
    <mergeCell ref="E1:K1"/>
    <mergeCell ref="D4:F4"/>
    <mergeCell ref="D7:E7"/>
    <mergeCell ref="C8:E8"/>
    <mergeCell ref="C9:D9"/>
    <mergeCell ref="D12:E12"/>
    <mergeCell ref="F12:G12"/>
    <mergeCell ref="A13:K13"/>
    <mergeCell ref="A14:E14"/>
    <mergeCell ref="G14:H14"/>
    <mergeCell ref="A15:E15"/>
    <mergeCell ref="G15:H15"/>
    <mergeCell ref="E17:G17"/>
    <mergeCell ref="E18:F18"/>
    <mergeCell ref="E19:G19"/>
    <mergeCell ref="E20:G20"/>
    <mergeCell ref="E21:G21"/>
    <mergeCell ref="E22:G22"/>
    <mergeCell ref="E23:G23"/>
    <mergeCell ref="E32:G32"/>
    <mergeCell ref="E33:G33"/>
    <mergeCell ref="E30:G30"/>
    <mergeCell ref="E31:G31"/>
    <mergeCell ref="E24:G24"/>
    <mergeCell ref="E25:G25"/>
    <mergeCell ref="E26:G26"/>
    <mergeCell ref="E27:G27"/>
    <mergeCell ref="E28:G28"/>
    <mergeCell ref="E29:G29"/>
    <mergeCell ref="A45:K46"/>
    <mergeCell ref="C41:H42"/>
    <mergeCell ref="A41:B42"/>
    <mergeCell ref="H2:H6"/>
    <mergeCell ref="E38:G38"/>
    <mergeCell ref="E39:G39"/>
    <mergeCell ref="F34:G34"/>
    <mergeCell ref="E35:G35"/>
    <mergeCell ref="E36:G36"/>
    <mergeCell ref="E37:G37"/>
  </mergeCells>
  <pageMargins left="0.7" right="0.7" top="0.75" bottom="0.7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4"/>
  <sheetViews>
    <sheetView tabSelected="1" topLeftCell="A12" workbookViewId="0">
      <selection activeCell="E22" sqref="E22"/>
    </sheetView>
  </sheetViews>
  <sheetFormatPr defaultRowHeight="15" x14ac:dyDescent="0.25"/>
  <cols>
    <col min="1" max="1" width="3.7109375" customWidth="1"/>
    <col min="2" max="2" width="14.85546875" customWidth="1"/>
    <col min="3" max="3" width="18.85546875" customWidth="1"/>
    <col min="4" max="4" width="12.42578125" customWidth="1"/>
    <col min="5" max="5" width="14.85546875" customWidth="1"/>
    <col min="6" max="6" width="3.5703125" customWidth="1"/>
    <col min="7" max="7" width="14.140625" customWidth="1"/>
    <col min="8" max="8" width="13.42578125" style="380" customWidth="1"/>
    <col min="9" max="9" width="12" customWidth="1"/>
    <col min="10" max="10" width="15.140625" customWidth="1"/>
  </cols>
  <sheetData>
    <row r="1" spans="1:10" ht="46.5" x14ac:dyDescent="0.55000000000000004">
      <c r="A1" s="1"/>
      <c r="B1" s="2"/>
      <c r="C1" s="2"/>
      <c r="D1" s="2"/>
      <c r="E1" s="712"/>
      <c r="F1" s="712"/>
      <c r="G1" s="712"/>
      <c r="H1" s="712"/>
      <c r="I1" s="712"/>
      <c r="J1" s="713"/>
    </row>
    <row r="2" spans="1:10" ht="17.25" x14ac:dyDescent="0.3">
      <c r="A2" s="3"/>
      <c r="B2" s="4"/>
      <c r="C2" s="4"/>
      <c r="D2" s="4"/>
      <c r="E2" s="5"/>
      <c r="F2" s="6"/>
      <c r="G2" s="6"/>
      <c r="H2" s="388"/>
      <c r="I2" s="7"/>
      <c r="J2" s="8"/>
    </row>
    <row r="3" spans="1:10" ht="15.75" x14ac:dyDescent="0.25">
      <c r="A3" s="9"/>
      <c r="B3" s="10"/>
      <c r="C3" s="10"/>
      <c r="D3" s="10"/>
      <c r="E3" s="12"/>
      <c r="F3" s="12"/>
      <c r="G3" s="12"/>
      <c r="H3" s="389"/>
      <c r="I3" s="13"/>
      <c r="J3" s="14"/>
    </row>
    <row r="4" spans="1:10" x14ac:dyDescent="0.25">
      <c r="A4" s="9"/>
      <c r="B4" s="10"/>
      <c r="C4" s="15"/>
      <c r="D4" s="15"/>
      <c r="E4" s="15"/>
      <c r="F4" s="15"/>
      <c r="G4" s="15"/>
      <c r="H4" s="390"/>
      <c r="I4" s="17"/>
      <c r="J4" s="18"/>
    </row>
    <row r="5" spans="1:10" ht="15.75" x14ac:dyDescent="0.3">
      <c r="A5" s="19"/>
      <c r="B5" s="15"/>
      <c r="C5" s="15"/>
      <c r="D5" s="20"/>
      <c r="E5" s="20"/>
      <c r="F5" s="22"/>
      <c r="G5" s="22"/>
      <c r="H5" s="390"/>
      <c r="I5" s="17"/>
      <c r="J5" s="18"/>
    </row>
    <row r="6" spans="1:10" ht="15.75" x14ac:dyDescent="0.3">
      <c r="A6" s="23"/>
      <c r="B6" s="24"/>
      <c r="C6" s="24"/>
      <c r="D6" s="24"/>
      <c r="E6" s="22"/>
      <c r="F6" s="22"/>
      <c r="G6" s="22"/>
      <c r="H6" s="390"/>
      <c r="I6" s="17" t="s">
        <v>226</v>
      </c>
      <c r="J6" s="25">
        <f ca="1">TODAY()</f>
        <v>41556</v>
      </c>
    </row>
    <row r="7" spans="1:10" ht="16.5" x14ac:dyDescent="0.3">
      <c r="A7" s="23"/>
      <c r="B7" s="24"/>
      <c r="C7" s="24"/>
      <c r="D7" s="24"/>
      <c r="E7" s="22"/>
      <c r="F7" s="26"/>
      <c r="G7" s="26"/>
      <c r="H7" s="391"/>
      <c r="I7" s="27"/>
      <c r="J7" s="28"/>
    </row>
    <row r="8" spans="1:10" x14ac:dyDescent="0.25">
      <c r="A8" s="29"/>
      <c r="B8" s="80"/>
      <c r="C8" s="30" t="s">
        <v>71</v>
      </c>
      <c r="D8" s="31" t="s">
        <v>161</v>
      </c>
      <c r="E8" s="31"/>
      <c r="F8" s="32"/>
      <c r="G8" s="32"/>
      <c r="H8" s="392"/>
      <c r="I8" s="33"/>
      <c r="J8" s="34"/>
    </row>
    <row r="9" spans="1:10" x14ac:dyDescent="0.25">
      <c r="A9" s="35"/>
      <c r="B9" s="36"/>
      <c r="C9" s="627" t="s">
        <v>4</v>
      </c>
      <c r="D9" s="38" t="s">
        <v>276</v>
      </c>
      <c r="E9" s="38"/>
      <c r="F9" s="39"/>
      <c r="G9" s="39"/>
      <c r="H9" s="393"/>
      <c r="I9" s="40"/>
      <c r="J9" s="41"/>
    </row>
    <row r="10" spans="1:10" x14ac:dyDescent="0.25">
      <c r="A10" s="35"/>
      <c r="B10" s="36"/>
      <c r="C10" s="627" t="s">
        <v>12</v>
      </c>
      <c r="D10" s="38" t="s">
        <v>277</v>
      </c>
      <c r="E10" s="38"/>
      <c r="F10" s="39"/>
      <c r="G10" s="39"/>
      <c r="H10" s="393"/>
      <c r="I10" s="40"/>
      <c r="J10" s="41"/>
    </row>
    <row r="11" spans="1:10" ht="15.75" x14ac:dyDescent="0.3">
      <c r="A11" s="47"/>
      <c r="B11" s="43"/>
      <c r="C11" s="48" t="s">
        <v>5</v>
      </c>
      <c r="D11" s="252" t="s">
        <v>126</v>
      </c>
      <c r="E11" s="253"/>
      <c r="F11" s="252"/>
      <c r="G11" s="253"/>
      <c r="H11" s="880"/>
      <c r="I11" s="880"/>
      <c r="J11" s="41"/>
    </row>
    <row r="12" spans="1:10" ht="15.75" x14ac:dyDescent="0.3">
      <c r="A12" s="47"/>
      <c r="B12" s="43"/>
      <c r="C12" s="48" t="s">
        <v>15</v>
      </c>
      <c r="D12" s="49" t="s">
        <v>165</v>
      </c>
      <c r="E12" s="49"/>
      <c r="F12" s="45"/>
      <c r="G12" s="45"/>
      <c r="H12" s="393"/>
      <c r="I12" s="40"/>
      <c r="J12" s="41"/>
    </row>
    <row r="13" spans="1:10" ht="15.75" x14ac:dyDescent="0.3">
      <c r="A13" s="50"/>
      <c r="B13" s="43"/>
      <c r="C13" s="74" t="s">
        <v>6</v>
      </c>
      <c r="D13" s="619"/>
      <c r="E13" s="714"/>
      <c r="F13" s="714"/>
      <c r="G13" s="619"/>
      <c r="H13" s="394"/>
      <c r="I13" s="51"/>
      <c r="J13" s="51"/>
    </row>
    <row r="14" spans="1:10" ht="15.75" x14ac:dyDescent="0.3">
      <c r="A14" s="715"/>
      <c r="B14" s="716"/>
      <c r="C14" s="716"/>
      <c r="D14" s="716"/>
      <c r="E14" s="716"/>
      <c r="F14" s="716"/>
      <c r="G14" s="716"/>
      <c r="H14" s="716"/>
      <c r="I14" s="716"/>
      <c r="J14" s="717"/>
    </row>
    <row r="15" spans="1:10" x14ac:dyDescent="0.25">
      <c r="A15" s="718" t="s">
        <v>7</v>
      </c>
      <c r="B15" s="719"/>
      <c r="C15" s="719"/>
      <c r="D15" s="719"/>
      <c r="E15" s="52" t="s">
        <v>16</v>
      </c>
      <c r="F15" s="721" t="s">
        <v>17</v>
      </c>
      <c r="G15" s="719"/>
      <c r="H15" s="406"/>
      <c r="I15" s="620"/>
      <c r="J15" s="53" t="s">
        <v>8</v>
      </c>
    </row>
    <row r="16" spans="1:10" ht="15.75" x14ac:dyDescent="0.3">
      <c r="A16" s="722" t="s">
        <v>24</v>
      </c>
      <c r="B16" s="723"/>
      <c r="C16" s="723"/>
      <c r="D16" s="723"/>
      <c r="E16" s="54" t="s">
        <v>228</v>
      </c>
      <c r="F16" s="725"/>
      <c r="G16" s="726"/>
      <c r="H16" s="407"/>
      <c r="I16" s="88"/>
      <c r="J16" s="55" t="s">
        <v>268</v>
      </c>
    </row>
    <row r="17" spans="1:10" ht="15.75" x14ac:dyDescent="0.3">
      <c r="A17" s="56"/>
      <c r="B17" s="57"/>
      <c r="C17" s="57"/>
      <c r="D17" s="57"/>
      <c r="E17" s="59"/>
      <c r="F17" s="59"/>
      <c r="G17" s="59"/>
      <c r="H17" s="408"/>
      <c r="I17" s="60"/>
      <c r="J17" s="61"/>
    </row>
    <row r="18" spans="1:10" x14ac:dyDescent="0.25">
      <c r="A18" s="461" t="s">
        <v>18</v>
      </c>
      <c r="B18" s="461" t="s">
        <v>27</v>
      </c>
      <c r="C18" s="461" t="s">
        <v>19</v>
      </c>
      <c r="D18" s="461" t="s">
        <v>20</v>
      </c>
      <c r="E18" s="676" t="s">
        <v>21</v>
      </c>
      <c r="F18" s="676"/>
      <c r="G18" s="615" t="s">
        <v>10</v>
      </c>
      <c r="H18" s="881" t="s">
        <v>25</v>
      </c>
      <c r="I18" s="177" t="s">
        <v>28</v>
      </c>
      <c r="J18" s="177" t="s">
        <v>22</v>
      </c>
    </row>
    <row r="19" spans="1:10" x14ac:dyDescent="0.25">
      <c r="A19" s="528">
        <v>1</v>
      </c>
      <c r="B19" s="528" t="s">
        <v>29</v>
      </c>
      <c r="C19" s="178" t="s">
        <v>26</v>
      </c>
      <c r="D19" s="462"/>
      <c r="E19" s="677"/>
      <c r="F19" s="677"/>
      <c r="G19" s="616"/>
      <c r="H19" s="178">
        <v>9</v>
      </c>
      <c r="I19" s="180">
        <v>55000</v>
      </c>
      <c r="J19" s="181">
        <f>IF((B19)&gt;0,SUM(I19*H19),"")</f>
        <v>495000</v>
      </c>
    </row>
    <row r="20" spans="1:10" x14ac:dyDescent="0.25">
      <c r="A20" s="529">
        <v>2</v>
      </c>
      <c r="B20" s="529" t="s">
        <v>30</v>
      </c>
      <c r="C20" s="178" t="s">
        <v>26</v>
      </c>
      <c r="D20" s="462"/>
      <c r="E20" s="613"/>
      <c r="F20" s="614"/>
      <c r="G20" s="616"/>
      <c r="H20" s="178">
        <v>5</v>
      </c>
      <c r="I20" s="180">
        <v>55000</v>
      </c>
      <c r="J20" s="181">
        <f t="shared" ref="J20:J46" si="0">IF((B20)&gt;0,SUM(I20*H20),"")</f>
        <v>275000</v>
      </c>
    </row>
    <row r="21" spans="1:10" x14ac:dyDescent="0.25">
      <c r="A21" s="529">
        <v>3</v>
      </c>
      <c r="B21" s="529" t="s">
        <v>31</v>
      </c>
      <c r="C21" s="178" t="s">
        <v>26</v>
      </c>
      <c r="D21" s="462"/>
      <c r="E21" s="613"/>
      <c r="F21" s="614"/>
      <c r="G21" s="616"/>
      <c r="H21" s="178">
        <v>4</v>
      </c>
      <c r="I21" s="180">
        <v>55000</v>
      </c>
      <c r="J21" s="181">
        <f t="shared" si="0"/>
        <v>220000</v>
      </c>
    </row>
    <row r="22" spans="1:10" x14ac:dyDescent="0.25">
      <c r="A22" s="528">
        <v>4</v>
      </c>
      <c r="B22" s="528" t="s">
        <v>32</v>
      </c>
      <c r="C22" s="178" t="s">
        <v>26</v>
      </c>
      <c r="D22" s="462"/>
      <c r="E22" s="613"/>
      <c r="F22" s="614"/>
      <c r="G22" s="616"/>
      <c r="H22" s="178">
        <v>5</v>
      </c>
      <c r="I22" s="180">
        <v>55000</v>
      </c>
      <c r="J22" s="181">
        <f t="shared" si="0"/>
        <v>275000</v>
      </c>
    </row>
    <row r="23" spans="1:10" x14ac:dyDescent="0.25">
      <c r="A23" s="528">
        <v>5</v>
      </c>
      <c r="B23" s="529" t="s">
        <v>33</v>
      </c>
      <c r="C23" s="178" t="s">
        <v>26</v>
      </c>
      <c r="D23" s="462"/>
      <c r="E23" s="613"/>
      <c r="F23" s="614"/>
      <c r="G23" s="616"/>
      <c r="H23" s="178">
        <v>2</v>
      </c>
      <c r="I23" s="180">
        <v>55000</v>
      </c>
      <c r="J23" s="181">
        <f t="shared" si="0"/>
        <v>110000</v>
      </c>
    </row>
    <row r="24" spans="1:10" x14ac:dyDescent="0.25">
      <c r="A24" s="529">
        <v>6</v>
      </c>
      <c r="B24" s="529" t="s">
        <v>34</v>
      </c>
      <c r="C24" s="178" t="s">
        <v>26</v>
      </c>
      <c r="D24" s="462"/>
      <c r="E24" s="613"/>
      <c r="F24" s="614"/>
      <c r="G24" s="616"/>
      <c r="H24" s="178"/>
      <c r="I24" s="180">
        <v>55000</v>
      </c>
      <c r="J24" s="181">
        <f t="shared" si="0"/>
        <v>0</v>
      </c>
    </row>
    <row r="25" spans="1:10" x14ac:dyDescent="0.25">
      <c r="A25" s="529">
        <v>7</v>
      </c>
      <c r="B25" s="528" t="s">
        <v>35</v>
      </c>
      <c r="C25" s="178" t="s">
        <v>26</v>
      </c>
      <c r="D25" s="462"/>
      <c r="E25" s="613"/>
      <c r="F25" s="614"/>
      <c r="G25" s="616"/>
      <c r="H25" s="178">
        <v>10</v>
      </c>
      <c r="I25" s="180">
        <v>55000</v>
      </c>
      <c r="J25" s="181">
        <f t="shared" si="0"/>
        <v>550000</v>
      </c>
    </row>
    <row r="26" spans="1:10" x14ac:dyDescent="0.25">
      <c r="A26" s="528">
        <v>8</v>
      </c>
      <c r="B26" s="529" t="s">
        <v>36</v>
      </c>
      <c r="C26" s="178" t="s">
        <v>26</v>
      </c>
      <c r="D26" s="462"/>
      <c r="E26" s="613"/>
      <c r="F26" s="614"/>
      <c r="G26" s="616"/>
      <c r="H26" s="178"/>
      <c r="I26" s="180">
        <v>55000</v>
      </c>
      <c r="J26" s="181">
        <f>IF((B26)&gt;0,SUM(I26*H26),"")</f>
        <v>0</v>
      </c>
    </row>
    <row r="27" spans="1:10" x14ac:dyDescent="0.25">
      <c r="A27" s="528">
        <v>9</v>
      </c>
      <c r="B27" s="529" t="s">
        <v>37</v>
      </c>
      <c r="C27" s="178" t="s">
        <v>26</v>
      </c>
      <c r="D27" s="462"/>
      <c r="E27" s="613"/>
      <c r="F27" s="614"/>
      <c r="G27" s="616"/>
      <c r="H27" s="178">
        <v>4</v>
      </c>
      <c r="I27" s="180">
        <v>55000</v>
      </c>
      <c r="J27" s="181">
        <f t="shared" si="0"/>
        <v>220000</v>
      </c>
    </row>
    <row r="28" spans="1:10" x14ac:dyDescent="0.25">
      <c r="A28" s="529">
        <v>10</v>
      </c>
      <c r="B28" s="528" t="s">
        <v>38</v>
      </c>
      <c r="C28" s="178" t="s">
        <v>26</v>
      </c>
      <c r="D28" s="462"/>
      <c r="E28" s="613"/>
      <c r="F28" s="614"/>
      <c r="G28" s="616"/>
      <c r="H28" s="178">
        <v>5</v>
      </c>
      <c r="I28" s="180">
        <v>55000</v>
      </c>
      <c r="J28" s="181">
        <f t="shared" si="0"/>
        <v>275000</v>
      </c>
    </row>
    <row r="29" spans="1:10" x14ac:dyDescent="0.25">
      <c r="A29" s="529">
        <v>11</v>
      </c>
      <c r="B29" s="529" t="s">
        <v>39</v>
      </c>
      <c r="C29" s="178" t="s">
        <v>26</v>
      </c>
      <c r="D29" s="462"/>
      <c r="E29" s="613"/>
      <c r="F29" s="614"/>
      <c r="G29" s="616"/>
      <c r="H29" s="178">
        <v>1</v>
      </c>
      <c r="I29" s="180">
        <v>55000</v>
      </c>
      <c r="J29" s="181">
        <f t="shared" si="0"/>
        <v>55000</v>
      </c>
    </row>
    <row r="30" spans="1:10" x14ac:dyDescent="0.25">
      <c r="A30" s="528">
        <v>12</v>
      </c>
      <c r="B30" s="529" t="s">
        <v>40</v>
      </c>
      <c r="C30" s="178" t="s">
        <v>26</v>
      </c>
      <c r="D30" s="462"/>
      <c r="E30" s="613"/>
      <c r="F30" s="614"/>
      <c r="G30" s="616"/>
      <c r="H30" s="178">
        <v>7</v>
      </c>
      <c r="I30" s="180">
        <v>55000</v>
      </c>
      <c r="J30" s="181">
        <f t="shared" si="0"/>
        <v>385000</v>
      </c>
    </row>
    <row r="31" spans="1:10" x14ac:dyDescent="0.25">
      <c r="A31" s="528">
        <v>13</v>
      </c>
      <c r="B31" s="528" t="s">
        <v>41</v>
      </c>
      <c r="C31" s="178" t="s">
        <v>26</v>
      </c>
      <c r="D31" s="462"/>
      <c r="E31" s="613"/>
      <c r="F31" s="614"/>
      <c r="G31" s="616"/>
      <c r="H31" s="178">
        <v>3</v>
      </c>
      <c r="I31" s="180">
        <v>55000</v>
      </c>
      <c r="J31" s="181">
        <f t="shared" si="0"/>
        <v>165000</v>
      </c>
    </row>
    <row r="32" spans="1:10" x14ac:dyDescent="0.25">
      <c r="A32" s="529">
        <v>14</v>
      </c>
      <c r="B32" s="529" t="s">
        <v>42</v>
      </c>
      <c r="C32" s="178" t="s">
        <v>26</v>
      </c>
      <c r="D32" s="462"/>
      <c r="E32" s="613"/>
      <c r="F32" s="614"/>
      <c r="G32" s="616"/>
      <c r="H32" s="178">
        <v>9</v>
      </c>
      <c r="I32" s="180">
        <v>55000</v>
      </c>
      <c r="J32" s="181">
        <f t="shared" si="0"/>
        <v>495000</v>
      </c>
    </row>
    <row r="33" spans="1:10" x14ac:dyDescent="0.25">
      <c r="A33" s="529">
        <v>15</v>
      </c>
      <c r="B33" s="529" t="s">
        <v>43</v>
      </c>
      <c r="C33" s="178" t="s">
        <v>26</v>
      </c>
      <c r="D33" s="462"/>
      <c r="E33" s="613"/>
      <c r="F33" s="614"/>
      <c r="G33" s="616"/>
      <c r="H33" s="178">
        <v>10</v>
      </c>
      <c r="I33" s="180">
        <v>55000</v>
      </c>
      <c r="J33" s="181">
        <f t="shared" si="0"/>
        <v>550000</v>
      </c>
    </row>
    <row r="34" spans="1:10" x14ac:dyDescent="0.25">
      <c r="A34" s="528">
        <v>16</v>
      </c>
      <c r="B34" s="528" t="s">
        <v>44</v>
      </c>
      <c r="C34" s="178" t="s">
        <v>26</v>
      </c>
      <c r="D34" s="462"/>
      <c r="E34" s="613"/>
      <c r="F34" s="614"/>
      <c r="G34" s="616"/>
      <c r="H34" s="178">
        <v>2</v>
      </c>
      <c r="I34" s="180">
        <v>55000</v>
      </c>
      <c r="J34" s="181">
        <f t="shared" si="0"/>
        <v>110000</v>
      </c>
    </row>
    <row r="35" spans="1:10" x14ac:dyDescent="0.25">
      <c r="A35" s="528">
        <v>17</v>
      </c>
      <c r="B35" s="529" t="s">
        <v>45</v>
      </c>
      <c r="C35" s="178" t="s">
        <v>26</v>
      </c>
      <c r="D35" s="462"/>
      <c r="E35" s="613"/>
      <c r="F35" s="614"/>
      <c r="G35" s="616"/>
      <c r="H35" s="178">
        <v>7</v>
      </c>
      <c r="I35" s="180">
        <v>55000</v>
      </c>
      <c r="J35" s="181">
        <f t="shared" si="0"/>
        <v>385000</v>
      </c>
    </row>
    <row r="36" spans="1:10" x14ac:dyDescent="0.25">
      <c r="A36" s="529">
        <v>18</v>
      </c>
      <c r="B36" s="529" t="s">
        <v>46</v>
      </c>
      <c r="C36" s="178" t="s">
        <v>26</v>
      </c>
      <c r="D36" s="462"/>
      <c r="E36" s="613"/>
      <c r="F36" s="614"/>
      <c r="G36" s="616"/>
      <c r="H36" s="178">
        <v>1</v>
      </c>
      <c r="I36" s="180">
        <v>55000</v>
      </c>
      <c r="J36" s="181">
        <f t="shared" si="0"/>
        <v>55000</v>
      </c>
    </row>
    <row r="37" spans="1:10" x14ac:dyDescent="0.25">
      <c r="A37" s="529">
        <v>19</v>
      </c>
      <c r="B37" s="528" t="s">
        <v>47</v>
      </c>
      <c r="C37" s="178" t="s">
        <v>26</v>
      </c>
      <c r="D37" s="462"/>
      <c r="E37" s="613"/>
      <c r="F37" s="614"/>
      <c r="G37" s="616"/>
      <c r="H37" s="178">
        <v>14</v>
      </c>
      <c r="I37" s="180">
        <v>55000</v>
      </c>
      <c r="J37" s="181">
        <f t="shared" si="0"/>
        <v>770000</v>
      </c>
    </row>
    <row r="38" spans="1:10" x14ac:dyDescent="0.25">
      <c r="A38" s="528">
        <v>20</v>
      </c>
      <c r="B38" s="529" t="s">
        <v>48</v>
      </c>
      <c r="C38" s="178" t="s">
        <v>26</v>
      </c>
      <c r="D38" s="462"/>
      <c r="E38" s="678"/>
      <c r="F38" s="679"/>
      <c r="G38" s="616"/>
      <c r="H38" s="178">
        <v>5</v>
      </c>
      <c r="I38" s="180">
        <v>55000</v>
      </c>
      <c r="J38" s="181">
        <f t="shared" si="0"/>
        <v>275000</v>
      </c>
    </row>
    <row r="39" spans="1:10" x14ac:dyDescent="0.25">
      <c r="A39" s="528">
        <v>21</v>
      </c>
      <c r="B39" s="529" t="s">
        <v>49</v>
      </c>
      <c r="C39" s="178" t="s">
        <v>26</v>
      </c>
      <c r="D39" s="462"/>
      <c r="E39" s="678"/>
      <c r="F39" s="679"/>
      <c r="G39" s="616"/>
      <c r="H39" s="178">
        <v>1</v>
      </c>
      <c r="I39" s="180">
        <v>55000</v>
      </c>
      <c r="J39" s="181">
        <f t="shared" si="0"/>
        <v>55000</v>
      </c>
    </row>
    <row r="40" spans="1:10" x14ac:dyDescent="0.25">
      <c r="A40" s="529">
        <v>22</v>
      </c>
      <c r="B40" s="528" t="s">
        <v>50</v>
      </c>
      <c r="C40" s="178" t="s">
        <v>26</v>
      </c>
      <c r="D40" s="462"/>
      <c r="E40" s="678"/>
      <c r="F40" s="679"/>
      <c r="G40" s="616"/>
      <c r="H40" s="178">
        <v>1</v>
      </c>
      <c r="I40" s="180">
        <v>55000</v>
      </c>
      <c r="J40" s="181">
        <f t="shared" si="0"/>
        <v>55000</v>
      </c>
    </row>
    <row r="41" spans="1:10" x14ac:dyDescent="0.25">
      <c r="A41" s="529">
        <v>23</v>
      </c>
      <c r="B41" s="529" t="s">
        <v>51</v>
      </c>
      <c r="C41" s="178" t="s">
        <v>26</v>
      </c>
      <c r="D41" s="462"/>
      <c r="E41" s="678"/>
      <c r="F41" s="679"/>
      <c r="G41" s="616"/>
      <c r="H41" s="178">
        <v>2</v>
      </c>
      <c r="I41" s="180">
        <v>55000</v>
      </c>
      <c r="J41" s="181">
        <f t="shared" si="0"/>
        <v>110000</v>
      </c>
    </row>
    <row r="42" spans="1:10" x14ac:dyDescent="0.25">
      <c r="A42" s="528">
        <v>24</v>
      </c>
      <c r="B42" s="529" t="s">
        <v>52</v>
      </c>
      <c r="C42" s="178" t="s">
        <v>26</v>
      </c>
      <c r="D42" s="462"/>
      <c r="E42" s="678"/>
      <c r="F42" s="679"/>
      <c r="G42" s="616"/>
      <c r="H42" s="178">
        <v>10</v>
      </c>
      <c r="I42" s="180">
        <v>55000</v>
      </c>
      <c r="J42" s="181">
        <f t="shared" si="0"/>
        <v>550000</v>
      </c>
    </row>
    <row r="43" spans="1:10" x14ac:dyDescent="0.25">
      <c r="A43" s="528">
        <v>25</v>
      </c>
      <c r="B43" s="528" t="s">
        <v>53</v>
      </c>
      <c r="C43" s="178" t="s">
        <v>26</v>
      </c>
      <c r="D43" s="462"/>
      <c r="E43" s="678"/>
      <c r="F43" s="679"/>
      <c r="G43" s="616"/>
      <c r="H43" s="178">
        <v>81</v>
      </c>
      <c r="I43" s="180">
        <v>55000</v>
      </c>
      <c r="J43" s="181">
        <f t="shared" si="0"/>
        <v>4455000</v>
      </c>
    </row>
    <row r="44" spans="1:10" x14ac:dyDescent="0.25">
      <c r="A44" s="529">
        <v>26</v>
      </c>
      <c r="B44" s="529" t="s">
        <v>54</v>
      </c>
      <c r="C44" s="178" t="s">
        <v>26</v>
      </c>
      <c r="D44" s="462"/>
      <c r="E44" s="678"/>
      <c r="F44" s="679"/>
      <c r="G44" s="616"/>
      <c r="H44" s="178">
        <v>1</v>
      </c>
      <c r="I44" s="180">
        <v>55000</v>
      </c>
      <c r="J44" s="181">
        <f t="shared" si="0"/>
        <v>55000</v>
      </c>
    </row>
    <row r="45" spans="1:10" x14ac:dyDescent="0.25">
      <c r="A45" s="529">
        <v>27</v>
      </c>
      <c r="B45" s="529" t="s">
        <v>55</v>
      </c>
      <c r="C45" s="178" t="s">
        <v>26</v>
      </c>
      <c r="D45" s="462"/>
      <c r="E45" s="678"/>
      <c r="F45" s="679"/>
      <c r="G45" s="616"/>
      <c r="H45" s="178">
        <v>5</v>
      </c>
      <c r="I45" s="180">
        <v>55000</v>
      </c>
      <c r="J45" s="181">
        <f t="shared" si="0"/>
        <v>275000</v>
      </c>
    </row>
    <row r="46" spans="1:10" x14ac:dyDescent="0.25">
      <c r="A46" s="528">
        <v>28</v>
      </c>
      <c r="B46" s="528" t="s">
        <v>56</v>
      </c>
      <c r="C46" s="178" t="s">
        <v>26</v>
      </c>
      <c r="D46" s="462"/>
      <c r="E46" s="678"/>
      <c r="F46" s="679"/>
      <c r="G46" s="616"/>
      <c r="H46" s="178">
        <v>7</v>
      </c>
      <c r="I46" s="180">
        <v>55000</v>
      </c>
      <c r="J46" s="181">
        <f t="shared" si="0"/>
        <v>385000</v>
      </c>
    </row>
    <row r="47" spans="1:10" x14ac:dyDescent="0.25">
      <c r="A47" s="528">
        <v>29</v>
      </c>
      <c r="B47" s="529" t="s">
        <v>57</v>
      </c>
      <c r="C47" s="178" t="s">
        <v>26</v>
      </c>
      <c r="D47" s="462"/>
      <c r="E47" s="680"/>
      <c r="F47" s="680"/>
      <c r="G47" s="680"/>
      <c r="H47" s="178">
        <v>8</v>
      </c>
      <c r="I47" s="180">
        <v>55000</v>
      </c>
      <c r="J47" s="181">
        <f>IF((B47)&gt;0,SUM(I47*H47),"")</f>
        <v>440000</v>
      </c>
    </row>
    <row r="48" spans="1:10" x14ac:dyDescent="0.25">
      <c r="A48" s="529">
        <v>30</v>
      </c>
      <c r="B48" s="529" t="s">
        <v>58</v>
      </c>
      <c r="C48" s="178" t="s">
        <v>26</v>
      </c>
      <c r="D48" s="462"/>
      <c r="E48" s="680"/>
      <c r="F48" s="680"/>
      <c r="G48" s="680"/>
      <c r="H48" s="178">
        <v>5</v>
      </c>
      <c r="I48" s="180">
        <v>55000</v>
      </c>
      <c r="J48" s="181">
        <f t="shared" ref="J48:J53" si="1">IF((B48)&gt;0,SUM(I48*H48),"")</f>
        <v>275000</v>
      </c>
    </row>
    <row r="49" spans="1:10" x14ac:dyDescent="0.25">
      <c r="A49" s="529">
        <v>31</v>
      </c>
      <c r="B49" s="528" t="s">
        <v>59</v>
      </c>
      <c r="C49" s="178" t="s">
        <v>26</v>
      </c>
      <c r="D49" s="462"/>
      <c r="E49" s="680"/>
      <c r="F49" s="680"/>
      <c r="G49" s="680"/>
      <c r="H49" s="178">
        <v>10</v>
      </c>
      <c r="I49" s="180">
        <v>55000</v>
      </c>
      <c r="J49" s="181">
        <f t="shared" si="1"/>
        <v>550000</v>
      </c>
    </row>
    <row r="50" spans="1:10" x14ac:dyDescent="0.25">
      <c r="A50" s="528">
        <v>32</v>
      </c>
      <c r="B50" s="529" t="s">
        <v>60</v>
      </c>
      <c r="C50" s="178" t="s">
        <v>26</v>
      </c>
      <c r="D50" s="462"/>
      <c r="E50" s="681"/>
      <c r="F50" s="681"/>
      <c r="G50" s="681"/>
      <c r="H50" s="178">
        <v>5</v>
      </c>
      <c r="I50" s="180">
        <v>55000</v>
      </c>
      <c r="J50" s="181">
        <f t="shared" si="1"/>
        <v>275000</v>
      </c>
    </row>
    <row r="51" spans="1:10" x14ac:dyDescent="0.25">
      <c r="A51" s="528">
        <v>33</v>
      </c>
      <c r="B51" s="529" t="s">
        <v>61</v>
      </c>
      <c r="C51" s="178" t="s">
        <v>26</v>
      </c>
      <c r="D51" s="462"/>
      <c r="E51" s="681"/>
      <c r="F51" s="681"/>
      <c r="G51" s="681"/>
      <c r="H51" s="178">
        <v>10</v>
      </c>
      <c r="I51" s="180">
        <v>55000</v>
      </c>
      <c r="J51" s="181">
        <f t="shared" si="1"/>
        <v>550000</v>
      </c>
    </row>
    <row r="52" spans="1:10" x14ac:dyDescent="0.25">
      <c r="A52" s="529">
        <v>34</v>
      </c>
      <c r="B52" s="528" t="s">
        <v>62</v>
      </c>
      <c r="C52" s="178" t="s">
        <v>26</v>
      </c>
      <c r="D52" s="462"/>
      <c r="E52" s="681"/>
      <c r="F52" s="681"/>
      <c r="G52" s="681"/>
      <c r="H52" s="178">
        <v>3</v>
      </c>
      <c r="I52" s="180">
        <v>55000</v>
      </c>
      <c r="J52" s="181">
        <f t="shared" si="1"/>
        <v>165000</v>
      </c>
    </row>
    <row r="53" spans="1:10" x14ac:dyDescent="0.25">
      <c r="A53" s="529">
        <v>35</v>
      </c>
      <c r="B53" s="529" t="s">
        <v>63</v>
      </c>
      <c r="C53" s="178" t="s">
        <v>26</v>
      </c>
      <c r="D53" s="462"/>
      <c r="E53" s="681"/>
      <c r="F53" s="681"/>
      <c r="G53" s="681"/>
      <c r="H53" s="178">
        <v>1</v>
      </c>
      <c r="I53" s="180">
        <v>55000</v>
      </c>
      <c r="J53" s="181">
        <f t="shared" si="1"/>
        <v>55000</v>
      </c>
    </row>
    <row r="54" spans="1:10" x14ac:dyDescent="0.25">
      <c r="A54" s="528">
        <v>36</v>
      </c>
      <c r="B54" s="529" t="s">
        <v>64</v>
      </c>
      <c r="C54" s="178" t="s">
        <v>26</v>
      </c>
      <c r="D54" s="462"/>
      <c r="E54" s="681"/>
      <c r="F54" s="681"/>
      <c r="G54" s="681"/>
      <c r="H54" s="178">
        <v>1</v>
      </c>
      <c r="I54" s="180">
        <v>55000</v>
      </c>
      <c r="J54" s="181">
        <f>IF((B54)&gt;0,SUM(I54*H54),"")</f>
        <v>55000</v>
      </c>
    </row>
    <row r="55" spans="1:10" x14ac:dyDescent="0.25">
      <c r="A55" s="528">
        <v>37</v>
      </c>
      <c r="B55" s="528" t="s">
        <v>65</v>
      </c>
      <c r="C55" s="178" t="s">
        <v>26</v>
      </c>
      <c r="D55" s="462"/>
      <c r="E55" s="681"/>
      <c r="F55" s="681"/>
      <c r="G55" s="681"/>
      <c r="H55" s="178">
        <v>1</v>
      </c>
      <c r="I55" s="180">
        <v>55000</v>
      </c>
      <c r="J55" s="181">
        <f>IF((B55)&gt;0,SUM(I55*H55),"")</f>
        <v>55000</v>
      </c>
    </row>
    <row r="56" spans="1:10" ht="15.75" x14ac:dyDescent="0.25">
      <c r="A56" s="882"/>
      <c r="B56" s="465"/>
      <c r="C56" s="465"/>
      <c r="D56" s="465"/>
      <c r="E56" s="194"/>
      <c r="F56" s="194"/>
      <c r="G56" s="194"/>
      <c r="H56" s="200"/>
      <c r="I56" s="203" t="s">
        <v>245</v>
      </c>
      <c r="J56" s="883">
        <f>SUM(J19:J55)</f>
        <v>14025000</v>
      </c>
    </row>
    <row r="57" spans="1:10" ht="15.75" x14ac:dyDescent="0.25">
      <c r="A57" s="483"/>
      <c r="B57" s="483"/>
      <c r="C57" s="465"/>
      <c r="D57" s="207"/>
      <c r="E57" s="199"/>
      <c r="F57" s="199"/>
      <c r="G57" s="199"/>
      <c r="H57" s="200"/>
      <c r="I57" s="203" t="s">
        <v>270</v>
      </c>
      <c r="J57" s="884">
        <v>20000</v>
      </c>
    </row>
    <row r="58" spans="1:10" ht="15.75" x14ac:dyDescent="0.25">
      <c r="A58" s="483" t="s">
        <v>229</v>
      </c>
      <c r="B58" s="465"/>
      <c r="C58" s="465"/>
      <c r="D58" s="207"/>
      <c r="E58" s="199"/>
      <c r="F58" s="199"/>
      <c r="G58" s="199"/>
      <c r="H58" s="200"/>
      <c r="I58" s="203" t="s">
        <v>68</v>
      </c>
      <c r="J58" s="884">
        <f>(J56+J57)*5%</f>
        <v>702250</v>
      </c>
    </row>
    <row r="59" spans="1:10" ht="15.75" x14ac:dyDescent="0.25">
      <c r="A59" s="483"/>
      <c r="B59" s="465"/>
      <c r="C59" s="465"/>
      <c r="D59" s="207"/>
      <c r="E59" s="199"/>
      <c r="F59" s="199"/>
      <c r="G59" s="199"/>
      <c r="H59" s="200"/>
      <c r="I59" s="203" t="s">
        <v>70</v>
      </c>
      <c r="J59" s="885">
        <f>J56+J57+J58</f>
        <v>14747250</v>
      </c>
    </row>
    <row r="60" spans="1:10" ht="15.75" x14ac:dyDescent="0.25">
      <c r="A60" s="97"/>
      <c r="B60" s="98"/>
      <c r="C60" s="98"/>
      <c r="D60" s="99"/>
      <c r="E60" s="100"/>
      <c r="F60" s="100"/>
      <c r="G60" s="100"/>
      <c r="H60" s="379"/>
      <c r="I60" s="101"/>
      <c r="J60" s="102"/>
    </row>
    <row r="61" spans="1:10" ht="16.5" thickBot="1" x14ac:dyDescent="0.3">
      <c r="A61" s="103"/>
      <c r="B61" s="98"/>
      <c r="C61" s="98"/>
      <c r="D61" s="99"/>
      <c r="E61" s="100"/>
      <c r="F61" s="100"/>
      <c r="G61" s="100"/>
      <c r="H61" s="379"/>
      <c r="I61" s="101"/>
      <c r="J61" s="102"/>
    </row>
    <row r="62" spans="1:10" x14ac:dyDescent="0.25">
      <c r="A62" s="705" t="s">
        <v>23</v>
      </c>
      <c r="B62" s="706"/>
      <c r="C62" s="706"/>
      <c r="D62" s="706"/>
      <c r="E62" s="706"/>
      <c r="F62" s="706"/>
      <c r="G62" s="706"/>
      <c r="H62" s="706"/>
      <c r="I62" s="706"/>
      <c r="J62" s="707"/>
    </row>
    <row r="63" spans="1:10" ht="15.75" thickBot="1" x14ac:dyDescent="0.3">
      <c r="A63" s="708"/>
      <c r="B63" s="709"/>
      <c r="C63" s="709"/>
      <c r="D63" s="709"/>
      <c r="E63" s="709"/>
      <c r="F63" s="709"/>
      <c r="G63" s="709"/>
      <c r="H63" s="709"/>
      <c r="I63" s="709"/>
      <c r="J63" s="710"/>
    </row>
    <row r="64" spans="1:10" ht="15.75" thickBot="1" x14ac:dyDescent="0.3">
      <c r="A64" s="793"/>
      <c r="B64" s="794"/>
      <c r="C64" s="794"/>
      <c r="D64" s="794"/>
      <c r="E64" s="794"/>
      <c r="F64" s="794"/>
      <c r="G64" s="794"/>
      <c r="H64" s="794"/>
      <c r="I64" s="794"/>
      <c r="J64" s="795"/>
    </row>
  </sheetData>
  <mergeCells count="29">
    <mergeCell ref="E47:G47"/>
    <mergeCell ref="E48:G48"/>
    <mergeCell ref="E49:G49"/>
    <mergeCell ref="E50:G50"/>
    <mergeCell ref="E51:G51"/>
    <mergeCell ref="E52:G52"/>
    <mergeCell ref="A62:J63"/>
    <mergeCell ref="A64:J64"/>
    <mergeCell ref="E53:G53"/>
    <mergeCell ref="E54:G54"/>
    <mergeCell ref="E55:G55"/>
    <mergeCell ref="E42:F42"/>
    <mergeCell ref="E43:F43"/>
    <mergeCell ref="E44:F44"/>
    <mergeCell ref="E45:F45"/>
    <mergeCell ref="E46:F46"/>
    <mergeCell ref="E38:F38"/>
    <mergeCell ref="E39:F39"/>
    <mergeCell ref="E40:F40"/>
    <mergeCell ref="E41:F41"/>
    <mergeCell ref="E18:F18"/>
    <mergeCell ref="E19:F19"/>
    <mergeCell ref="E1:J1"/>
    <mergeCell ref="E13:F13"/>
    <mergeCell ref="A14:J14"/>
    <mergeCell ref="A15:D15"/>
    <mergeCell ref="F15:G15"/>
    <mergeCell ref="A16:D16"/>
    <mergeCell ref="F16:G16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3</vt:i4>
      </vt:variant>
    </vt:vector>
  </HeadingPairs>
  <TitlesOfParts>
    <vt:vector size="25" baseType="lpstr">
      <vt:lpstr>UNION (2)</vt:lpstr>
      <vt:lpstr>UNION</vt:lpstr>
      <vt:lpstr>SPRING</vt:lpstr>
      <vt:lpstr>FINBANK</vt:lpstr>
      <vt:lpstr>DIAMOND</vt:lpstr>
      <vt:lpstr>FCMB</vt:lpstr>
      <vt:lpstr>HASAL</vt:lpstr>
      <vt:lpstr>FIDELITY</vt:lpstr>
      <vt:lpstr>ASO</vt:lpstr>
      <vt:lpstr>ECOBANK</vt:lpstr>
      <vt:lpstr>FIRSTBANK</vt:lpstr>
      <vt:lpstr>GTB</vt:lpstr>
      <vt:lpstr>MAINSTREET</vt:lpstr>
      <vt:lpstr>SKYE</vt:lpstr>
      <vt:lpstr>STANBIC</vt:lpstr>
      <vt:lpstr>ACCESS</vt:lpstr>
      <vt:lpstr>STERLING</vt:lpstr>
      <vt:lpstr>WEMA</vt:lpstr>
      <vt:lpstr>KEY STONE</vt:lpstr>
      <vt:lpstr>UNITY</vt:lpstr>
      <vt:lpstr>Sheet1</vt:lpstr>
      <vt:lpstr>Sheet2</vt:lpstr>
      <vt:lpstr>FIRSTBANK!Print_Area</vt:lpstr>
      <vt:lpstr>SKYE!Print_Area</vt:lpstr>
      <vt:lpstr>STERLING!Print_Area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PASTOR</dc:creator>
  <cp:lastModifiedBy>user</cp:lastModifiedBy>
  <cp:lastPrinted>2013-10-09T12:37:46Z</cp:lastPrinted>
  <dcterms:created xsi:type="dcterms:W3CDTF">2012-09-13T11:30:50Z</dcterms:created>
  <dcterms:modified xsi:type="dcterms:W3CDTF">2013-10-09T12:40:13Z</dcterms:modified>
</cp:coreProperties>
</file>