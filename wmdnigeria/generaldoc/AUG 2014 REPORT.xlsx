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540" windowWidth="20100" windowHeight="7200"/>
  </bookViews>
  <sheets>
    <sheet name="CIR AUGUST 2014" sheetId="4" r:id="rId1"/>
    <sheet name="CID AUGUST 2014 " sheetId="7" r:id="rId2"/>
    <sheet name="NCI AUGUST 2014" sheetId="6" r:id="rId3"/>
  </sheets>
  <definedNames>
    <definedName name="_xlnm._FilterDatabase" localSheetId="1" hidden="1">'CID AUGUST 2014 '!$H$23:$I$57</definedName>
    <definedName name="_xlnm._FilterDatabase" localSheetId="0" hidden="1">'CIR AUGUST 2014'!$C$29:$D$65</definedName>
    <definedName name="_xlnm._FilterDatabase" localSheetId="2" hidden="1">'NCI AUGUST 2014'!$A$31:$AA$41</definedName>
    <definedName name="_xlnm.Print_Area" localSheetId="1">'CID AUGUST 2014 '!$A$1:$AA$59</definedName>
    <definedName name="_xlnm.Print_Area" localSheetId="0">'CIR AUGUST 2014'!$A$1:$AA$68</definedName>
    <definedName name="_xlnm.Print_Area" localSheetId="2">'NCI AUGUST 2014'!$A$1:$AA$43</definedName>
    <definedName name="_xlnm.Print_Titles" localSheetId="1">'CID AUGUST 2014 '!$A:$A,'CID AUGUST 2014 '!$21:$21</definedName>
    <definedName name="_xlnm.Print_Titles" localSheetId="0">'CIR AUGUST 2014'!$A:$A,'CIR AUGUST 2014'!$29:$29</definedName>
    <definedName name="_xlnm.Print_Titles" localSheetId="2">'NCI AUGUST 2014'!$A:$A,'NCI AUGUST 2014'!#REF!</definedName>
  </definedNames>
  <calcPr calcId="145621"/>
</workbook>
</file>

<file path=xl/calcChain.xml><?xml version="1.0" encoding="utf-8"?>
<calcChain xmlns="http://schemas.openxmlformats.org/spreadsheetml/2006/main">
  <c r="Q43" i="6" l="1"/>
  <c r="P43" i="6"/>
  <c r="O43" i="6"/>
  <c r="Y59" i="7"/>
  <c r="O59" i="7"/>
  <c r="O68" i="4"/>
  <c r="P68" i="4"/>
  <c r="Q68" i="4"/>
  <c r="V68" i="4"/>
  <c r="X68" i="4"/>
  <c r="Y68" i="4"/>
  <c r="P25" i="7" l="1"/>
  <c r="Q25" i="7" s="1"/>
  <c r="T25" i="7"/>
  <c r="V25" i="7" l="1"/>
  <c r="X25" i="7" s="1"/>
  <c r="T35" i="7" l="1"/>
  <c r="P35" i="7"/>
  <c r="V35" i="7" s="1"/>
  <c r="X35" i="7" s="1"/>
  <c r="T33" i="7"/>
  <c r="P33" i="7"/>
  <c r="V33" i="7" s="1"/>
  <c r="X33" i="7" s="1"/>
  <c r="T32" i="7"/>
  <c r="P32" i="7"/>
  <c r="V32" i="7" s="1"/>
  <c r="X32" i="7" s="1"/>
  <c r="T31" i="7"/>
  <c r="P31" i="7"/>
  <c r="V31" i="7" s="1"/>
  <c r="X31" i="7" s="1"/>
  <c r="P51" i="7"/>
  <c r="Q51" i="7" s="1"/>
  <c r="T51" i="7"/>
  <c r="V51" i="7"/>
  <c r="X51" i="7" s="1"/>
  <c r="P52" i="7"/>
  <c r="Q52" i="7" s="1"/>
  <c r="T52" i="7"/>
  <c r="P53" i="7"/>
  <c r="Q53" i="7" s="1"/>
  <c r="T53" i="7"/>
  <c r="P54" i="7"/>
  <c r="Q54" i="7" s="1"/>
  <c r="T54" i="7"/>
  <c r="Q33" i="7" l="1"/>
  <c r="V53" i="7"/>
  <c r="X53" i="7" s="1"/>
  <c r="Q31" i="7"/>
  <c r="Q32" i="7"/>
  <c r="Q35" i="7"/>
  <c r="V54" i="7"/>
  <c r="X54" i="7" s="1"/>
  <c r="V52" i="7"/>
  <c r="X52" i="7" s="1"/>
  <c r="P37" i="7" l="1"/>
  <c r="Q37" i="7" s="1"/>
  <c r="T37" i="7"/>
  <c r="V37" i="7"/>
  <c r="X37" i="7" s="1"/>
  <c r="P38" i="7"/>
  <c r="Q38" i="7" s="1"/>
  <c r="T38" i="7"/>
  <c r="V38" i="7"/>
  <c r="X38" i="7" s="1"/>
  <c r="P39" i="7"/>
  <c r="Q39" i="7" s="1"/>
  <c r="T39" i="7"/>
  <c r="V39" i="7"/>
  <c r="X39" i="7" s="1"/>
  <c r="P40" i="7"/>
  <c r="Q40" i="7" s="1"/>
  <c r="T40" i="7"/>
  <c r="P41" i="7"/>
  <c r="Q41" i="7" s="1"/>
  <c r="T41" i="7"/>
  <c r="V41" i="7"/>
  <c r="X41" i="7" s="1"/>
  <c r="P42" i="7"/>
  <c r="Q42" i="7" s="1"/>
  <c r="T42" i="7"/>
  <c r="P43" i="7"/>
  <c r="Q43" i="7" s="1"/>
  <c r="T43" i="7"/>
  <c r="V43" i="7"/>
  <c r="X43" i="7" s="1"/>
  <c r="P44" i="7"/>
  <c r="Q44" i="7" s="1"/>
  <c r="T44" i="7"/>
  <c r="P45" i="7"/>
  <c r="Q45" i="7" s="1"/>
  <c r="T45" i="7"/>
  <c r="V45" i="7"/>
  <c r="X45" i="7" s="1"/>
  <c r="P46" i="7"/>
  <c r="Q46" i="7" s="1"/>
  <c r="T46" i="7"/>
  <c r="P47" i="7"/>
  <c r="Q47" i="7" s="1"/>
  <c r="T47" i="7"/>
  <c r="V47" i="7"/>
  <c r="X47" i="7" s="1"/>
  <c r="P48" i="7"/>
  <c r="Q48" i="7" s="1"/>
  <c r="T48" i="7"/>
  <c r="P49" i="7"/>
  <c r="Q49" i="7" s="1"/>
  <c r="T49" i="7"/>
  <c r="T30" i="7"/>
  <c r="T34" i="7"/>
  <c r="T36" i="7"/>
  <c r="P30" i="7"/>
  <c r="Q30" i="7" s="1"/>
  <c r="P34" i="7"/>
  <c r="Q34" i="7" s="1"/>
  <c r="P36" i="7"/>
  <c r="Q36" i="7" s="1"/>
  <c r="Y43" i="6"/>
  <c r="X43" i="6"/>
  <c r="V43" i="6"/>
  <c r="T41" i="6"/>
  <c r="P41" i="6"/>
  <c r="V41" i="6" s="1"/>
  <c r="X41" i="6" s="1"/>
  <c r="T40" i="6"/>
  <c r="P40" i="6"/>
  <c r="V40" i="6" s="1"/>
  <c r="X40" i="6" s="1"/>
  <c r="T39" i="6"/>
  <c r="P39" i="6"/>
  <c r="V39" i="6" s="1"/>
  <c r="X39" i="6" s="1"/>
  <c r="T38" i="6"/>
  <c r="P38" i="6"/>
  <c r="V38" i="6" s="1"/>
  <c r="X38" i="6" s="1"/>
  <c r="T37" i="6"/>
  <c r="P37" i="6"/>
  <c r="V37" i="6" s="1"/>
  <c r="X37" i="6" s="1"/>
  <c r="T36" i="6"/>
  <c r="P36" i="6"/>
  <c r="V36" i="6" s="1"/>
  <c r="X36" i="6" s="1"/>
  <c r="T35" i="6"/>
  <c r="P35" i="6"/>
  <c r="V35" i="6" s="1"/>
  <c r="X35" i="6" s="1"/>
  <c r="T34" i="6"/>
  <c r="P34" i="6"/>
  <c r="V34" i="6" s="1"/>
  <c r="X34" i="6" s="1"/>
  <c r="T33" i="6"/>
  <c r="P33" i="6"/>
  <c r="V33" i="6" s="1"/>
  <c r="X33" i="6" s="1"/>
  <c r="T32" i="6"/>
  <c r="P32" i="6"/>
  <c r="V32" i="6" s="1"/>
  <c r="X32" i="6" s="1"/>
  <c r="T31" i="6"/>
  <c r="P31" i="6"/>
  <c r="V31" i="6" s="1"/>
  <c r="X31" i="6" s="1"/>
  <c r="P52" i="4"/>
  <c r="Q52" i="4" s="1"/>
  <c r="P53" i="4"/>
  <c r="Q53" i="4" s="1"/>
  <c r="P54" i="4"/>
  <c r="Q54" i="4" s="1"/>
  <c r="P55" i="4"/>
  <c r="Q55" i="4" s="1"/>
  <c r="P56" i="4"/>
  <c r="Q56" i="4" s="1"/>
  <c r="P57" i="4"/>
  <c r="Q57" i="4" s="1"/>
  <c r="P58" i="4"/>
  <c r="Q58" i="4" s="1"/>
  <c r="P59" i="4"/>
  <c r="Q59" i="4" s="1"/>
  <c r="P60" i="4"/>
  <c r="Q60" i="4" s="1"/>
  <c r="P61" i="4"/>
  <c r="Q61" i="4" s="1"/>
  <c r="P62" i="4"/>
  <c r="Q62" i="4" s="1"/>
  <c r="P63" i="4"/>
  <c r="Q63" i="4" s="1"/>
  <c r="P64" i="4"/>
  <c r="Q64" i="4" s="1"/>
  <c r="P65" i="4"/>
  <c r="Q65" i="4" s="1"/>
  <c r="T52" i="4"/>
  <c r="V52" i="4"/>
  <c r="X52" i="4" s="1"/>
  <c r="T53" i="4"/>
  <c r="V53" i="4"/>
  <c r="X53" i="4" s="1"/>
  <c r="T54" i="4"/>
  <c r="V54" i="4"/>
  <c r="X54" i="4" s="1"/>
  <c r="T55" i="4"/>
  <c r="V55" i="4"/>
  <c r="X55" i="4" s="1"/>
  <c r="T56" i="4"/>
  <c r="V56" i="4"/>
  <c r="X56" i="4" s="1"/>
  <c r="T57" i="4"/>
  <c r="V57" i="4"/>
  <c r="X57" i="4" s="1"/>
  <c r="T58" i="4"/>
  <c r="V58" i="4"/>
  <c r="X58" i="4" s="1"/>
  <c r="T59" i="4"/>
  <c r="V59" i="4"/>
  <c r="X59" i="4" s="1"/>
  <c r="T60" i="4"/>
  <c r="T61" i="4"/>
  <c r="T62" i="4"/>
  <c r="V62" i="4"/>
  <c r="X62" i="4" s="1"/>
  <c r="T63" i="4"/>
  <c r="T64" i="4"/>
  <c r="T65" i="4"/>
  <c r="V34" i="7" l="1"/>
  <c r="X34" i="7" s="1"/>
  <c r="V30" i="7"/>
  <c r="X30" i="7" s="1"/>
  <c r="V36" i="7"/>
  <c r="X36" i="7" s="1"/>
  <c r="V49" i="7"/>
  <c r="X49" i="7" s="1"/>
  <c r="V48" i="7"/>
  <c r="X48" i="7" s="1"/>
  <c r="V46" i="7"/>
  <c r="X46" i="7" s="1"/>
  <c r="V44" i="7"/>
  <c r="X44" i="7" s="1"/>
  <c r="V42" i="7"/>
  <c r="X42" i="7" s="1"/>
  <c r="V40" i="7"/>
  <c r="X40" i="7" s="1"/>
  <c r="V63" i="4"/>
  <c r="X63" i="4" s="1"/>
  <c r="V61" i="4"/>
  <c r="X61" i="4" s="1"/>
  <c r="Q32" i="6"/>
  <c r="Q34" i="6"/>
  <c r="Q36" i="6"/>
  <c r="Q38" i="6"/>
  <c r="Q40" i="6"/>
  <c r="Q31" i="6"/>
  <c r="Q33" i="6"/>
  <c r="Q35" i="6"/>
  <c r="Q37" i="6"/>
  <c r="Q39" i="6"/>
  <c r="Q41" i="6"/>
  <c r="T27" i="7" l="1"/>
  <c r="P27" i="7"/>
  <c r="Q27" i="7" s="1"/>
  <c r="V27" i="7" l="1"/>
  <c r="X27" i="7" s="1"/>
  <c r="P33" i="4" l="1"/>
  <c r="Q33" i="4" s="1"/>
  <c r="T33" i="4"/>
  <c r="P40" i="4"/>
  <c r="Q40" i="4" s="1"/>
  <c r="T40" i="4"/>
  <c r="V40" i="4"/>
  <c r="X40" i="4" s="1"/>
  <c r="P41" i="4"/>
  <c r="Q41" i="4" s="1"/>
  <c r="T41" i="4"/>
  <c r="P42" i="4"/>
  <c r="Q42" i="4" s="1"/>
  <c r="T42" i="4"/>
  <c r="P43" i="4"/>
  <c r="Q43" i="4" s="1"/>
  <c r="T43" i="4"/>
  <c r="P44" i="4"/>
  <c r="Q44" i="4" s="1"/>
  <c r="T44" i="4"/>
  <c r="P45" i="4"/>
  <c r="Q45" i="4" s="1"/>
  <c r="T45" i="4"/>
  <c r="P46" i="4"/>
  <c r="Q46" i="4" s="1"/>
  <c r="T46" i="4"/>
  <c r="P47" i="4"/>
  <c r="Q47" i="4" s="1"/>
  <c r="T47" i="4"/>
  <c r="P48" i="4"/>
  <c r="Q48" i="4" s="1"/>
  <c r="T48" i="4"/>
  <c r="P49" i="4"/>
  <c r="Q49" i="4" s="1"/>
  <c r="T49" i="4"/>
  <c r="P50" i="4"/>
  <c r="Q50" i="4" s="1"/>
  <c r="T50" i="4"/>
  <c r="V50" i="4" l="1"/>
  <c r="X50" i="4" s="1"/>
  <c r="V48" i="4"/>
  <c r="X48" i="4" s="1"/>
  <c r="V46" i="4"/>
  <c r="X46" i="4" s="1"/>
  <c r="V44" i="4"/>
  <c r="X44" i="4" s="1"/>
  <c r="V42" i="4"/>
  <c r="X42" i="4" s="1"/>
  <c r="V33" i="4"/>
  <c r="X33" i="4" s="1"/>
  <c r="V49" i="4"/>
  <c r="X49" i="4" s="1"/>
  <c r="V47" i="4"/>
  <c r="X47" i="4" s="1"/>
  <c r="V45" i="4"/>
  <c r="X45" i="4" s="1"/>
  <c r="V43" i="4"/>
  <c r="X43" i="4" s="1"/>
  <c r="V41" i="4"/>
  <c r="X41" i="4" s="1"/>
  <c r="P28" i="7" l="1"/>
  <c r="V28" i="7" s="1"/>
  <c r="X28" i="7" s="1"/>
  <c r="P29" i="7"/>
  <c r="V29" i="7" s="1"/>
  <c r="X29" i="7" s="1"/>
  <c r="T28" i="7" l="1"/>
  <c r="T29" i="7"/>
  <c r="T50" i="7"/>
  <c r="T55" i="7"/>
  <c r="T56" i="7"/>
  <c r="P50" i="7"/>
  <c r="Q50" i="7" s="1"/>
  <c r="P55" i="7"/>
  <c r="Q55" i="7" s="1"/>
  <c r="P56" i="7"/>
  <c r="V56" i="7" s="1"/>
  <c r="X56" i="7" s="1"/>
  <c r="Q29" i="7" l="1"/>
  <c r="V55" i="7"/>
  <c r="X55" i="7" s="1"/>
  <c r="V50" i="7"/>
  <c r="X50" i="7" s="1"/>
  <c r="Q56" i="7"/>
  <c r="Q28" i="7"/>
  <c r="T57" i="7"/>
  <c r="T26" i="7"/>
  <c r="P26" i="7"/>
  <c r="Q26" i="7" l="1"/>
  <c r="V26" i="7"/>
  <c r="X26" i="7" s="1"/>
  <c r="P32" i="4"/>
  <c r="Q32" i="4" s="1"/>
  <c r="T32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51" i="4"/>
  <c r="Q51" i="4" s="1"/>
  <c r="T51" i="4"/>
  <c r="V65" i="4" l="1"/>
  <c r="X65" i="4" s="1"/>
  <c r="V60" i="4"/>
  <c r="X60" i="4" s="1"/>
  <c r="V64" i="4"/>
  <c r="X64" i="4" s="1"/>
  <c r="V51" i="4"/>
  <c r="X51" i="4" s="1"/>
  <c r="V39" i="4"/>
  <c r="X39" i="4" s="1"/>
  <c r="V37" i="4"/>
  <c r="X37" i="4" s="1"/>
  <c r="V35" i="4"/>
  <c r="X35" i="4" s="1"/>
  <c r="V32" i="4"/>
  <c r="X32" i="4" s="1"/>
  <c r="V38" i="4"/>
  <c r="X38" i="4" s="1"/>
  <c r="V36" i="4"/>
  <c r="X36" i="4" s="1"/>
  <c r="V34" i="4"/>
  <c r="X34" i="4" s="1"/>
  <c r="T24" i="7" l="1"/>
  <c r="P24" i="7" l="1"/>
  <c r="P59" i="7" s="1"/>
  <c r="V24" i="7" l="1"/>
  <c r="V59" i="7" s="1"/>
  <c r="Q24" i="7"/>
  <c r="Q59" i="7" s="1"/>
  <c r="X24" i="7" l="1"/>
  <c r="X59" i="7" s="1"/>
  <c r="P57" i="7"/>
  <c r="V57" i="7" l="1"/>
  <c r="X57" i="7" l="1"/>
  <c r="Q57" i="7" l="1"/>
  <c r="T31" i="4" l="1"/>
  <c r="P31" i="4"/>
  <c r="T30" i="4"/>
  <c r="P30" i="4"/>
  <c r="V30" i="4" l="1"/>
  <c r="Q30" i="4"/>
  <c r="V31" i="4"/>
  <c r="X31" i="4" s="1"/>
  <c r="Q31" i="4"/>
  <c r="X30" i="4" l="1"/>
</calcChain>
</file>

<file path=xl/sharedStrings.xml><?xml version="1.0" encoding="utf-8"?>
<sst xmlns="http://schemas.openxmlformats.org/spreadsheetml/2006/main" count="1280" uniqueCount="253">
  <si>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</si>
  <si>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</si>
  <si>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</si>
  <si>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</si>
  <si>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</si>
  <si>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</si>
  <si>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</si>
  <si>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</si>
  <si>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</si>
  <si>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</si>
  <si>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</si>
  <si>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</si>
  <si>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</si>
  <si>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</si>
  <si>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</si>
  <si>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</si>
  <si>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</si>
  <si>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</si>
  <si>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</si>
  <si>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</si>
  <si>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</si>
  <si>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</si>
  <si>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</si>
  <si>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</si>
  <si>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</si>
  <si>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</si>
  <si>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GSTL FOB VALUE  ($)</t>
  </si>
  <si>
    <t>TOTAL</t>
  </si>
  <si>
    <t>FOB VALUE  ($)</t>
  </si>
  <si>
    <t xml:space="preserve">EXCHANGE RATE </t>
  </si>
  <si>
    <t>FOB VALUE  (NGN)</t>
  </si>
  <si>
    <t>GSTL FOB VALUE  (NGN)</t>
  </si>
  <si>
    <t>NOT ISSUED</t>
  </si>
  <si>
    <t>FIRST BANK OF NIGERIA</t>
  </si>
  <si>
    <t>CENTRAL BANK OF NIGERIA</t>
  </si>
  <si>
    <t>NOT RECEIVED</t>
  </si>
  <si>
    <t>SKYE BANK PLC</t>
  </si>
  <si>
    <t>STANDARD CHARTERED BANK</t>
  </si>
  <si>
    <t>SHELL PETROLEUM DEVELOPMENT COMPANY</t>
  </si>
  <si>
    <t>NIGERIAN NATIONAL PETROLEUM CORPORATION</t>
  </si>
  <si>
    <t>CHEVRON NIGERIA LTD</t>
  </si>
  <si>
    <t>WALTERSMITH PETROMAN OIL LIMITED</t>
  </si>
  <si>
    <t>NIGER DELTA PETROLEUM RESOURCES</t>
  </si>
  <si>
    <t>MOBIL PRODUCING NIGERIA UNLIMITED</t>
  </si>
  <si>
    <t>TOTAL E &amp; P NIGERIA LIMITED</t>
  </si>
  <si>
    <t>BONNY LIGHT</t>
  </si>
  <si>
    <t>QUA IBOE LIGHT</t>
  </si>
  <si>
    <t>BONNY</t>
  </si>
  <si>
    <t>QUA IBOE</t>
  </si>
  <si>
    <t>OMSP-INDIA</t>
  </si>
  <si>
    <t>PERTAMINA RU IV CILACAP</t>
  </si>
  <si>
    <t>ROTTERDAM</t>
  </si>
  <si>
    <t>SALDANHA BAY</t>
  </si>
  <si>
    <t>INDIA</t>
  </si>
  <si>
    <t>INDONESIA</t>
  </si>
  <si>
    <t>NETHERLANDS</t>
  </si>
  <si>
    <t>SOUTH AFRICA</t>
  </si>
  <si>
    <t>KIMOLOS</t>
  </si>
  <si>
    <t>AMORE MIO II</t>
  </si>
  <si>
    <t>ALTEREGO II</t>
  </si>
  <si>
    <t>GSTL/123/2014/JUL-3/B-46/2</t>
  </si>
  <si>
    <t>GSTL/130/2014/JUL-10/B-48/4A</t>
  </si>
  <si>
    <t>GSTL/133/2014/JUL-13/B-49/5</t>
  </si>
  <si>
    <t>TRIESTE</t>
  </si>
  <si>
    <t>PERTAMINA RU V BALIKPAPAN</t>
  </si>
  <si>
    <t>ITALY</t>
  </si>
  <si>
    <t>TURKEY</t>
  </si>
  <si>
    <t>011201402300047</t>
  </si>
  <si>
    <t>UNITED BANK FOR AFRICA</t>
  </si>
  <si>
    <t xml:space="preserve">COMPLIANT INSPECTION DURING THE MONTH OF AUGUST 2014 </t>
  </si>
  <si>
    <t>COMPREHENSIVE INSPECTION REPORT FOR THE MONTH OF AUGUST 2014</t>
  </si>
  <si>
    <t xml:space="preserve">NON-COMPLIANT INSPECTION REPORT FOR THE MONTH OF AUGUST 2014 </t>
  </si>
  <si>
    <t>TRIATHLON</t>
  </si>
  <si>
    <t>CAP FELIX</t>
  </si>
  <si>
    <t>CAPE BALDER</t>
  </si>
  <si>
    <t>TI TOPAZ</t>
  </si>
  <si>
    <t>MONTE TOLEDO</t>
  </si>
  <si>
    <t>DELTA TOLMI</t>
  </si>
  <si>
    <t>MAJESTIC</t>
  </si>
  <si>
    <t>ICE TRANSPORTER</t>
  </si>
  <si>
    <t>ATHENIAN VICTORY</t>
  </si>
  <si>
    <t>SERENEA</t>
  </si>
  <si>
    <t>MARBAT</t>
  </si>
  <si>
    <t>CHRYSSI</t>
  </si>
  <si>
    <t>TAJIMARE</t>
  </si>
  <si>
    <t>CAP GEORGES</t>
  </si>
  <si>
    <t>ASTIPALAIA</t>
  </si>
  <si>
    <t>MARINA</t>
  </si>
  <si>
    <t>PRINCIMAR INTEGRITY</t>
  </si>
  <si>
    <t>GSTL/140/2014/AUG-1/B-52/1</t>
  </si>
  <si>
    <t>GSTL/141/2014/AUG-2/Q-85/1</t>
  </si>
  <si>
    <t>GSTL/142/2014/AUG-3/B-53/2A</t>
  </si>
  <si>
    <t>GSTL/142/2014/AUG-3/B-53/2B</t>
  </si>
  <si>
    <t>GSTL/142/2014/AUG-3/B-53/2C</t>
  </si>
  <si>
    <t>GSTL/142/2014/AUG-3/B-53/2D</t>
  </si>
  <si>
    <t>GSTL/143/2014/AUG-4/Q-86/2</t>
  </si>
  <si>
    <t>GSTL/144/2014/AUG-5/Q-87/3</t>
  </si>
  <si>
    <t>GSTL/145/2014/AUG-6/B-54/3</t>
  </si>
  <si>
    <t>GSTL/146/2014/AUG-7/Q-88/4</t>
  </si>
  <si>
    <t>GSTL/147/2014/AUG-8/Q-89/5</t>
  </si>
  <si>
    <t>GSTL/148/2014/AUG-9/B-55/4</t>
  </si>
  <si>
    <t>GSTL/149/2014/AUG-10/Q-90/6</t>
  </si>
  <si>
    <t>GSTL/150/2014/AUG-11/B-56/5A</t>
  </si>
  <si>
    <t>GSTL/150/2014/AUG-11/B-56/5B</t>
  </si>
  <si>
    <t>GSTL/151/2014/AUG-12/Q-91/7</t>
  </si>
  <si>
    <t>GSTL/152/2014/AUG-13/Q-92/8</t>
  </si>
  <si>
    <t>GSTL/153/2014/AUG-14/Q-93/9</t>
  </si>
  <si>
    <t>GSTL/154/2014/AUG-15/Q-94/10</t>
  </si>
  <si>
    <t>GSTL/155/2014/AUG-16/B-57/6</t>
  </si>
  <si>
    <t>GSTL/156/2014/AUG-17/Q-95/11A</t>
  </si>
  <si>
    <t>GSTL/156/2014/AUG-17/Q-95/11B</t>
  </si>
  <si>
    <t>GSTL/157/2014/AUG-18/B-58/7A</t>
  </si>
  <si>
    <t>GSTL/157/2014/AUG-18/B-58/7B</t>
  </si>
  <si>
    <t>GSTL/157/2014/AUG-18/B-58/7C</t>
  </si>
  <si>
    <t>GSTL/157/2014/AUG-18/B-58/7D</t>
  </si>
  <si>
    <t>GSTL/158/2014/AUG-19/Q-96/12A</t>
  </si>
  <si>
    <t>GSTL/158/2014/AUG-19/Q-96/12B</t>
  </si>
  <si>
    <t>GSTL/158/2014/AUG-19/Q-96/12C</t>
  </si>
  <si>
    <t>GSTL/158/2014/AUG-19/Q-96/12D</t>
  </si>
  <si>
    <t>GSTL/158/2014/AUG-19/Q-96/12E</t>
  </si>
  <si>
    <t>GSTL/159/2014/AUG-20/B-59/8A</t>
  </si>
  <si>
    <t>GSTL/159/2014/AUG-20/B-59/8B</t>
  </si>
  <si>
    <t>GSTL/159/2014/AUG-20/B-59/8C</t>
  </si>
  <si>
    <t>GSTL/160/2014/AUG-21/Q-97/13A</t>
  </si>
  <si>
    <t>GSTL/160/2014/AUG-21/Q-97/13B</t>
  </si>
  <si>
    <t>WILHEMSHAVEN</t>
  </si>
  <si>
    <t xml:space="preserve">ROTTERDAM </t>
  </si>
  <si>
    <t>HUELVA</t>
  </si>
  <si>
    <t>TETNEY</t>
  </si>
  <si>
    <t>RELIANCE TERMINAL, SIKKA PORT</t>
  </si>
  <si>
    <t xml:space="preserve">IMMINGHAM </t>
  </si>
  <si>
    <t>GERMANY</t>
  </si>
  <si>
    <t>SPAIN</t>
  </si>
  <si>
    <t>ENGLAND</t>
  </si>
  <si>
    <t>UNITED KINGDOM</t>
  </si>
  <si>
    <t>G008201416</t>
  </si>
  <si>
    <t>G008201417</t>
  </si>
  <si>
    <t>G008201418</t>
  </si>
  <si>
    <t>G008201419</t>
  </si>
  <si>
    <t>G008201420</t>
  </si>
  <si>
    <t>G008201421</t>
  </si>
  <si>
    <t>G008201422</t>
  </si>
  <si>
    <t>G008201423</t>
  </si>
  <si>
    <t>G008201424</t>
  </si>
  <si>
    <t>G008201425</t>
  </si>
  <si>
    <t>G008201426</t>
  </si>
  <si>
    <t>G008201427</t>
  </si>
  <si>
    <t>G008201428</t>
  </si>
  <si>
    <t>G008201429</t>
  </si>
  <si>
    <t>G008201430</t>
  </si>
  <si>
    <t>G008201431</t>
  </si>
  <si>
    <t>G008201432</t>
  </si>
  <si>
    <t>G008201433</t>
  </si>
  <si>
    <t>G008201434</t>
  </si>
  <si>
    <t>011201402300062</t>
  </si>
  <si>
    <t>011201402300063</t>
  </si>
  <si>
    <t>076201401360032</t>
  </si>
  <si>
    <t>ST041607104C4/13</t>
  </si>
  <si>
    <t>ST041607101C30/8</t>
  </si>
  <si>
    <t>ST041607104C12/5</t>
  </si>
  <si>
    <t>ST041607104C48/303</t>
  </si>
  <si>
    <t>ST041607101C7/88</t>
  </si>
  <si>
    <t>068201400010290</t>
  </si>
  <si>
    <t>ST041607104C77/1</t>
  </si>
  <si>
    <t>ST041607104C48/305</t>
  </si>
  <si>
    <t>ST041607104C5/12</t>
  </si>
  <si>
    <t>ST041607101C7/83</t>
  </si>
  <si>
    <t>ST041607104C38/85</t>
  </si>
  <si>
    <t>ST041607101C7/92D</t>
  </si>
  <si>
    <t>ST041607101C7/92B</t>
  </si>
  <si>
    <t>ST041607101C7/92C</t>
  </si>
  <si>
    <t>ST041607101C7/92A</t>
  </si>
  <si>
    <t>ST041607104C48/306</t>
  </si>
  <si>
    <t>ST041607101C48/304B</t>
  </si>
  <si>
    <t>ST041607101C48/304C</t>
  </si>
  <si>
    <t>ST041607101C48/304A</t>
  </si>
  <si>
    <t>ST041607104C48/308</t>
  </si>
  <si>
    <t>0000630</t>
  </si>
  <si>
    <t>MARINA M</t>
  </si>
  <si>
    <t>PATROCLUS</t>
  </si>
  <si>
    <t>SUEZ GEORGE</t>
  </si>
  <si>
    <t>SEA QUEEN</t>
  </si>
  <si>
    <t>GSTL/103/2014/JUN-1/B-38/1</t>
  </si>
  <si>
    <t>GSTL/108/2014/JUN-6/B-40/3A</t>
  </si>
  <si>
    <t>GSTL/117/2014/JUN-15/B-43/6</t>
  </si>
  <si>
    <t>WILHELMSHAVEN</t>
  </si>
  <si>
    <t>CAP LIMBOH</t>
  </si>
  <si>
    <t>CAMEROUN</t>
  </si>
  <si>
    <t>G008201401</t>
  </si>
  <si>
    <t>G008201402</t>
  </si>
  <si>
    <t>G008201413</t>
  </si>
  <si>
    <t>G008201403</t>
  </si>
  <si>
    <t>011201402300032</t>
  </si>
  <si>
    <t>011201402300042</t>
  </si>
  <si>
    <t>068201400010211</t>
  </si>
  <si>
    <t>011201402300044</t>
  </si>
  <si>
    <t>0083440</t>
  </si>
  <si>
    <t>0004352</t>
  </si>
  <si>
    <t>GSTL/111/2014/JUN-9/B-41/4A/B</t>
  </si>
  <si>
    <t>EAGLE VANCOUVER</t>
  </si>
  <si>
    <t>ASTRA</t>
  </si>
  <si>
    <t>EAGLE SAN ANTONIO</t>
  </si>
  <si>
    <t>BOSTON</t>
  </si>
  <si>
    <t>LEONID LOZA</t>
  </si>
  <si>
    <t>GSTL/061/2014/APR-2/Q-37/1</t>
  </si>
  <si>
    <t>GSTL/066/2014/APR-7/Q-40/4</t>
  </si>
  <si>
    <t>GSTL/071/2014/APR-12/Q-43/7</t>
  </si>
  <si>
    <t>GSTL/072/2014/APR-13/Q-44/8</t>
  </si>
  <si>
    <t>GSTL/080/2014/APR-21/Q-48/12</t>
  </si>
  <si>
    <t>GSTL/081/2014/APR-22/Q-49/13</t>
  </si>
  <si>
    <t>SIKKA PORTS</t>
  </si>
  <si>
    <t>COTONOU</t>
  </si>
  <si>
    <t>FOS</t>
  </si>
  <si>
    <t>BENIN REPUBLIC</t>
  </si>
  <si>
    <t>FRANCE</t>
  </si>
  <si>
    <t>G008201407</t>
  </si>
  <si>
    <t>G008201408</t>
  </si>
  <si>
    <t>G008201409</t>
  </si>
  <si>
    <t>G008201410</t>
  </si>
  <si>
    <t>G008201411</t>
  </si>
  <si>
    <t>G008201412</t>
  </si>
  <si>
    <t>068201400010197</t>
  </si>
  <si>
    <t>068201400010198</t>
  </si>
  <si>
    <t>068201400010200</t>
  </si>
  <si>
    <t>068201400010201</t>
  </si>
  <si>
    <t>068201400010202</t>
  </si>
  <si>
    <t>068201400010203</t>
  </si>
  <si>
    <t>0011214</t>
  </si>
  <si>
    <t>0011215</t>
  </si>
  <si>
    <t>0011216</t>
  </si>
  <si>
    <t>0011217</t>
  </si>
  <si>
    <t>0011218</t>
  </si>
  <si>
    <t>0011219</t>
  </si>
  <si>
    <t>TAIPAN</t>
  </si>
  <si>
    <t>GSTL/042/2014/MAR-2/B-14/1A/B</t>
  </si>
  <si>
    <t>IZMIT/TUTUNCIFLIK</t>
  </si>
  <si>
    <t>G008201406</t>
  </si>
  <si>
    <t>068201400010051</t>
  </si>
  <si>
    <t>0004514</t>
  </si>
  <si>
    <t>SKS SINNI</t>
  </si>
  <si>
    <t>GSTL112/2014/JUN-10/B-42/5B</t>
  </si>
  <si>
    <t>AUGUSTA</t>
  </si>
  <si>
    <t>USA</t>
  </si>
  <si>
    <t>G008201414</t>
  </si>
  <si>
    <t>ST040305101C7/85</t>
  </si>
  <si>
    <t>G008201404</t>
  </si>
  <si>
    <t>G008201405</t>
  </si>
  <si>
    <t>G008201415</t>
  </si>
  <si>
    <t>011201402300049</t>
  </si>
  <si>
    <t>ST040306101C7/86</t>
  </si>
  <si>
    <t>0083437</t>
  </si>
  <si>
    <t>GSTL/156/2014/AUG-17/Q-95/11A/B</t>
  </si>
  <si>
    <t>GSTL/158/2014/AUG-19/Q-96/12A-E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</si>
</sst>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#,##0.0000"/>
    <numFmt numFmtId="167" formatCode="#,##0.0"/>
    <numFmt numFmtId="168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43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5" fontId="3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165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6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5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4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5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5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5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0" fontId="9" fillId="0" borderId="2" xfId="0" applyNumberFormat="1" applyFont="1" applyFill="1" applyBorder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5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5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left" vertical="top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5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7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5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5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4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5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2" xfId="0" applyFont="1" applyFill="1" applyBorder="1" applyAlignment="1">
      <alignment horizontal="left"/>
    </xf>
    <xf numFmtId="0" fontId="15" fillId="2" borderId="12" xfId="0" applyFont="1" applyFill="1" applyBorder="1" applyAlignment="1">
      <alignment horizontal="left"/>
    </xf>
    <xf numFmtId="0" fontId="14" fillId="0" borderId="12" xfId="0" applyFont="1" applyFill="1" applyBorder="1"/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5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4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5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4" fillId="2" borderId="8" xfId="0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/>
    </xf>
    <xf numFmtId="164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4" fillId="0" borderId="13" xfId="0" applyFont="1" applyFill="1" applyBorder="1" applyAlignment="1">
      <alignment horizontal="left" vertical="center"/>
    </xf>
    <xf numFmtId="14" fontId="16" fillId="2" borderId="2" xfId="0" applyNumberFormat="1" applyFont="1" applyFill="1" applyBorder="1" applyAlignment="1">
      <alignment horizontal="left" wrapText="1"/>
    </xf>
    <xf numFmtId="0" fontId="14" fillId="2" borderId="2" xfId="0" quotePrefix="1" applyFont="1" applyFill="1" applyBorder="1" applyAlignment="1">
      <alignment horizontal="left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top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49" fontId="14" fillId="0" borderId="2" xfId="0" applyNumberFormat="1" applyFont="1" applyFill="1" applyBorder="1" applyAlignment="1">
      <alignment horizontal="left"/>
    </xf>
    <xf numFmtId="0" fontId="10" fillId="2" borderId="11" xfId="0" applyFont="1" applyFill="1" applyBorder="1" applyAlignment="1">
      <alignment horizontal="left" vertical="top"/>
    </xf>
    <xf numFmtId="0" fontId="10" fillId="2" borderId="14" xfId="0" applyFont="1" applyFill="1" applyBorder="1" applyAlignment="1">
      <alignment horizontal="left" vertical="top"/>
    </xf>
    <xf numFmtId="0" fontId="10" fillId="2" borderId="14" xfId="0" applyFont="1" applyFill="1" applyBorder="1" applyAlignment="1">
      <alignment horizontal="left" vertical="top" wrapText="1"/>
    </xf>
    <xf numFmtId="14" fontId="10" fillId="2" borderId="14" xfId="0" applyNumberFormat="1" applyFont="1" applyFill="1" applyBorder="1" applyAlignment="1">
      <alignment horizontal="left" vertical="top" wrapText="1"/>
    </xf>
    <xf numFmtId="49" fontId="13" fillId="2" borderId="14" xfId="0" applyNumberFormat="1" applyFont="1" applyFill="1" applyBorder="1" applyAlignment="1">
      <alignment horizontal="left" vertical="top" wrapText="1"/>
    </xf>
    <xf numFmtId="0" fontId="10" fillId="2" borderId="14" xfId="0" applyNumberFormat="1" applyFont="1" applyFill="1" applyBorder="1" applyAlignment="1">
      <alignment horizontal="left" vertical="top" wrapText="1"/>
    </xf>
    <xf numFmtId="3" fontId="10" fillId="2" borderId="14" xfId="0" applyNumberFormat="1" applyFont="1" applyFill="1" applyBorder="1" applyAlignment="1">
      <alignment horizontal="left" vertical="top" wrapText="1"/>
    </xf>
    <xf numFmtId="4" fontId="10" fillId="2" borderId="14" xfId="0" applyNumberFormat="1" applyFont="1" applyFill="1" applyBorder="1" applyAlignment="1">
      <alignment horizontal="left" vertical="top" wrapText="1"/>
    </xf>
    <xf numFmtId="165" fontId="10" fillId="2" borderId="14" xfId="0" applyNumberFormat="1" applyFont="1" applyFill="1" applyBorder="1" applyAlignment="1">
      <alignment horizontal="left" vertical="top" wrapText="1"/>
    </xf>
    <xf numFmtId="0" fontId="10" fillId="2" borderId="15" xfId="0" applyFont="1" applyFill="1" applyBorder="1" applyAlignment="1">
      <alignment horizontal="left" vertical="top" wrapText="1"/>
    </xf>
    <xf numFmtId="14" fontId="9" fillId="2" borderId="2" xfId="0" applyNumberFormat="1" applyFont="1" applyFill="1" applyBorder="1" applyAlignment="1">
      <alignment horizontal="left"/>
    </xf>
    <xf numFmtId="164" fontId="9" fillId="2" borderId="2" xfId="1" applyNumberFormat="1" applyFont="1" applyFill="1" applyBorder="1" applyAlignment="1">
      <alignment horizontal="left" wrapText="1"/>
    </xf>
    <xf numFmtId="0" fontId="9" fillId="2" borderId="8" xfId="0" applyFont="1" applyFill="1" applyBorder="1" applyAlignment="1">
      <alignment horizontal="left" wrapText="1"/>
    </xf>
    <xf numFmtId="0" fontId="11" fillId="2" borderId="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0" fontId="9" fillId="2" borderId="9" xfId="0" applyNumberFormat="1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wrapText="1"/>
    </xf>
    <xf numFmtId="14" fontId="9" fillId="2" borderId="9" xfId="0" applyNumberFormat="1" applyFont="1" applyFill="1" applyBorder="1" applyAlignment="1">
      <alignment horizontal="left" wrapText="1"/>
    </xf>
    <xf numFmtId="0" fontId="9" fillId="0" borderId="9" xfId="0" applyNumberFormat="1" applyFont="1" applyBorder="1" applyAlignment="1">
      <alignment horizontal="left"/>
    </xf>
    <xf numFmtId="0" fontId="9" fillId="2" borderId="9" xfId="1" applyNumberFormat="1" applyFont="1" applyFill="1" applyBorder="1" applyAlignment="1">
      <alignment horizontal="left" wrapText="1"/>
    </xf>
    <xf numFmtId="3" fontId="9" fillId="2" borderId="9" xfId="1" applyNumberFormat="1" applyFont="1" applyFill="1" applyBorder="1" applyAlignment="1">
      <alignment horizontal="left"/>
    </xf>
    <xf numFmtId="4" fontId="9" fillId="2" borderId="9" xfId="0" applyNumberFormat="1" applyFont="1" applyFill="1" applyBorder="1" applyAlignment="1">
      <alignment horizontal="left"/>
    </xf>
    <xf numFmtId="165" fontId="9" fillId="2" borderId="9" xfId="0" applyNumberFormat="1" applyFont="1" applyFill="1" applyBorder="1" applyAlignment="1">
      <alignment horizontal="left"/>
    </xf>
    <xf numFmtId="14" fontId="11" fillId="2" borderId="9" xfId="1" applyNumberFormat="1" applyFont="1" applyFill="1" applyBorder="1" applyAlignment="1">
      <alignment horizontal="left"/>
    </xf>
    <xf numFmtId="49" fontId="9" fillId="2" borderId="9" xfId="0" applyNumberFormat="1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49" fontId="9" fillId="2" borderId="3" xfId="0" applyNumberFormat="1" applyFont="1" applyFill="1" applyBorder="1" applyAlignment="1">
      <alignment horizontal="left"/>
    </xf>
    <xf numFmtId="0" fontId="15" fillId="2" borderId="11" xfId="0" applyFont="1" applyFill="1" applyBorder="1" applyAlignment="1">
      <alignment horizontal="left" vertical="top"/>
    </xf>
    <xf numFmtId="0" fontId="15" fillId="2" borderId="14" xfId="0" applyFont="1" applyFill="1" applyBorder="1" applyAlignment="1">
      <alignment horizontal="left" vertical="top"/>
    </xf>
    <xf numFmtId="0" fontId="15" fillId="2" borderId="14" xfId="0" applyFont="1" applyFill="1" applyBorder="1" applyAlignment="1">
      <alignment horizontal="left" vertical="top" wrapText="1"/>
    </xf>
    <xf numFmtId="14" fontId="15" fillId="2" borderId="14" xfId="0" applyNumberFormat="1" applyFont="1" applyFill="1" applyBorder="1" applyAlignment="1">
      <alignment horizontal="left" vertical="top" wrapText="1"/>
    </xf>
    <xf numFmtId="49" fontId="18" fillId="2" borderId="14" xfId="0" applyNumberFormat="1" applyFont="1" applyFill="1" applyBorder="1" applyAlignment="1">
      <alignment horizontal="left" vertical="top" wrapText="1"/>
    </xf>
    <xf numFmtId="0" fontId="15" fillId="2" borderId="14" xfId="0" applyNumberFormat="1" applyFont="1" applyFill="1" applyBorder="1" applyAlignment="1">
      <alignment horizontal="left" vertical="top"/>
    </xf>
    <xf numFmtId="3" fontId="15" fillId="2" borderId="14" xfId="0" applyNumberFormat="1" applyFont="1" applyFill="1" applyBorder="1" applyAlignment="1">
      <alignment horizontal="left" vertical="top" wrapText="1"/>
    </xf>
    <xf numFmtId="4" fontId="15" fillId="2" borderId="14" xfId="0" applyNumberFormat="1" applyFont="1" applyFill="1" applyBorder="1" applyAlignment="1">
      <alignment horizontal="left" vertical="top" wrapText="1"/>
    </xf>
    <xf numFmtId="165" fontId="15" fillId="2" borderId="14" xfId="0" applyNumberFormat="1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top" wrapText="1"/>
    </xf>
    <xf numFmtId="3" fontId="14" fillId="2" borderId="2" xfId="0" applyNumberFormat="1" applyFont="1" applyFill="1" applyBorder="1" applyAlignment="1">
      <alignment horizontal="left" wrapText="1"/>
    </xf>
    <xf numFmtId="166" fontId="14" fillId="2" borderId="2" xfId="0" applyNumberFormat="1" applyFont="1" applyFill="1" applyBorder="1" applyAlignment="1">
      <alignment horizontal="left" wrapText="1"/>
    </xf>
    <xf numFmtId="0" fontId="14" fillId="2" borderId="7" xfId="0" applyFont="1" applyFill="1" applyBorder="1" applyAlignment="1">
      <alignment horizontal="left"/>
    </xf>
    <xf numFmtId="168" fontId="14" fillId="2" borderId="2" xfId="0" applyNumberFormat="1" applyFont="1" applyFill="1" applyBorder="1" applyAlignment="1">
      <alignment horizontal="left"/>
    </xf>
    <xf numFmtId="0" fontId="9" fillId="2" borderId="9" xfId="0" quotePrefix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14" fontId="9" fillId="2" borderId="9" xfId="0" applyNumberFormat="1" applyFont="1" applyFill="1" applyBorder="1" applyAlignment="1">
      <alignment horizontal="left"/>
    </xf>
    <xf numFmtId="0" fontId="15" fillId="2" borderId="14" xfId="0" applyNumberFormat="1" applyFont="1" applyFill="1" applyBorder="1" applyAlignment="1">
      <alignment horizontal="left" vertical="top" wrapText="1"/>
    </xf>
    <xf numFmtId="0" fontId="15" fillId="2" borderId="18" xfId="0" applyFont="1" applyFill="1" applyBorder="1" applyAlignment="1">
      <alignment horizontal="left" vertical="top" wrapText="1"/>
    </xf>
    <xf numFmtId="14" fontId="15" fillId="2" borderId="17" xfId="0" applyNumberFormat="1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/>
    </xf>
    <xf numFmtId="0" fontId="9" fillId="2" borderId="1" xfId="0" quotePrefix="1" applyFont="1" applyFill="1" applyBorder="1" applyAlignment="1">
      <alignment horizontal="left"/>
    </xf>
    <xf numFmtId="168" fontId="14" fillId="0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 wrapText="1"/>
    </xf>
    <xf numFmtId="14" fontId="14" fillId="0" borderId="2" xfId="0" applyNumberFormat="1" applyFont="1" applyFill="1" applyBorder="1" applyAlignment="1">
      <alignment horizontal="left" wrapText="1"/>
    </xf>
    <xf numFmtId="3" fontId="14" fillId="0" borderId="2" xfId="0" applyNumberFormat="1" applyFont="1" applyFill="1" applyBorder="1" applyAlignment="1">
      <alignment horizontal="left" wrapText="1"/>
    </xf>
    <xf numFmtId="166" fontId="14" fillId="0" borderId="2" xfId="0" applyNumberFormat="1" applyFont="1" applyFill="1" applyBorder="1" applyAlignment="1">
      <alignment horizontal="left" wrapText="1"/>
    </xf>
    <xf numFmtId="165" fontId="14" fillId="0" borderId="2" xfId="0" applyNumberFormat="1" applyFont="1" applyFill="1" applyBorder="1" applyAlignment="1">
      <alignment horizontal="left"/>
    </xf>
    <xf numFmtId="0" fontId="14" fillId="0" borderId="2" xfId="0" quotePrefix="1" applyFont="1" applyFill="1" applyBorder="1" applyAlignment="1">
      <alignment horizontal="left"/>
    </xf>
    <xf numFmtId="14" fontId="14" fillId="0" borderId="3" xfId="0" applyNumberFormat="1" applyFont="1" applyFill="1" applyBorder="1" applyAlignment="1">
      <alignment horizontal="left"/>
    </xf>
    <xf numFmtId="0" fontId="14" fillId="0" borderId="0" xfId="0" applyFont="1" applyFill="1" applyBorder="1" applyAlignment="1"/>
    <xf numFmtId="0" fontId="14" fillId="0" borderId="0" xfId="0" applyFont="1" applyFill="1" applyAlignment="1"/>
    <xf numFmtId="0" fontId="16" fillId="0" borderId="2" xfId="0" applyFont="1" applyFill="1" applyBorder="1" applyAlignment="1">
      <alignment horizontal="left"/>
    </xf>
    <xf numFmtId="0" fontId="16" fillId="2" borderId="2" xfId="0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9" fillId="2" borderId="19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4" fillId="2" borderId="14" xfId="0" quotePrefix="1" applyFont="1" applyFill="1" applyBorder="1" applyAlignment="1">
      <alignment horizontal="left" vertical="center"/>
    </xf>
    <xf numFmtId="0" fontId="14" fillId="2" borderId="1" xfId="0" quotePrefix="1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 wrapText="1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abSelected="1" topLeftCell="O26" zoomScale="40" zoomScaleNormal="40" zoomScaleSheetLayoutView="10" workbookViewId="0">
      <selection activeCell="S38" sqref="S38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70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255" t="s">
        <v>0</v>
      </c>
      <c r="B29" s="256" t="s">
        <v>1</v>
      </c>
      <c r="C29" s="257" t="s">
        <v>2</v>
      </c>
      <c r="D29" s="258" t="s">
        <v>3</v>
      </c>
      <c r="E29" s="259" t="s">
        <v>4</v>
      </c>
      <c r="F29" s="257" t="s">
        <v>5</v>
      </c>
      <c r="G29" s="260" t="s">
        <v>6</v>
      </c>
      <c r="H29" s="257" t="s">
        <v>7</v>
      </c>
      <c r="I29" s="257" t="s">
        <v>8</v>
      </c>
      <c r="J29" s="258" t="s">
        <v>9</v>
      </c>
      <c r="K29" s="256" t="s">
        <v>10</v>
      </c>
      <c r="L29" s="256" t="s">
        <v>11</v>
      </c>
      <c r="M29" s="257" t="s">
        <v>12</v>
      </c>
      <c r="N29" s="257" t="s">
        <v>13</v>
      </c>
      <c r="O29" s="261" t="s">
        <v>14</v>
      </c>
      <c r="P29" s="262" t="s">
        <v>26</v>
      </c>
      <c r="Q29" s="262" t="s">
        <v>31</v>
      </c>
      <c r="R29" s="262" t="s">
        <v>15</v>
      </c>
      <c r="S29" s="263" t="s">
        <v>16</v>
      </c>
      <c r="T29" s="258" t="s">
        <v>17</v>
      </c>
      <c r="U29" s="257" t="s">
        <v>18</v>
      </c>
      <c r="V29" s="262" t="s">
        <v>19</v>
      </c>
      <c r="W29" s="263" t="s">
        <v>20</v>
      </c>
      <c r="X29" s="262" t="s">
        <v>21</v>
      </c>
      <c r="Y29" s="262" t="s">
        <v>22</v>
      </c>
      <c r="Z29" s="257" t="s">
        <v>24</v>
      </c>
      <c r="AA29" s="264" t="s">
        <v>23</v>
      </c>
    </row>
    <row r="30" spans="1:27" s="44" customFormat="1" ht="90.75" customHeight="1" x14ac:dyDescent="0.45">
      <c r="A30" s="267">
        <v>1</v>
      </c>
      <c r="B30" s="268" t="s">
        <v>89</v>
      </c>
      <c r="C30" s="269" t="s">
        <v>32</v>
      </c>
      <c r="D30" s="298" t="s">
        <v>32</v>
      </c>
      <c r="E30" s="296" t="s">
        <v>154</v>
      </c>
      <c r="F30" s="269" t="s">
        <v>33</v>
      </c>
      <c r="G30" s="270" t="s">
        <v>38</v>
      </c>
      <c r="H30" s="271" t="s">
        <v>45</v>
      </c>
      <c r="I30" s="271">
        <v>27090000</v>
      </c>
      <c r="J30" s="272">
        <v>41852</v>
      </c>
      <c r="K30" s="269" t="s">
        <v>72</v>
      </c>
      <c r="L30" s="273" t="s">
        <v>47</v>
      </c>
      <c r="M30" s="271" t="s">
        <v>131</v>
      </c>
      <c r="N30" s="274" t="s">
        <v>125</v>
      </c>
      <c r="O30" s="275">
        <v>953512</v>
      </c>
      <c r="P30" s="276">
        <f t="shared" ref="P30:P31" si="0">O30*S30</f>
        <v>99880382</v>
      </c>
      <c r="Q30" s="276">
        <f t="shared" ref="Q30:Q31" si="1">P30*W30</f>
        <v>15554371888.859999</v>
      </c>
      <c r="R30" s="276" t="s">
        <v>25</v>
      </c>
      <c r="S30" s="277">
        <v>104.75</v>
      </c>
      <c r="T30" s="278">
        <f t="shared" ref="T30:T31" si="2">J30+90</f>
        <v>41942</v>
      </c>
      <c r="U30" s="279" t="s">
        <v>35</v>
      </c>
      <c r="V30" s="276">
        <f t="shared" ref="V30:V31" si="3">P30*0.12%</f>
        <v>119856.45839999999</v>
      </c>
      <c r="W30" s="277">
        <v>155.72999999999999</v>
      </c>
      <c r="X30" s="276">
        <f t="shared" ref="X30:X31" si="4">V30*W30</f>
        <v>18665246.266631998</v>
      </c>
      <c r="Y30" s="276" t="s">
        <v>35</v>
      </c>
      <c r="Z30" s="269" t="s">
        <v>35</v>
      </c>
      <c r="AA30" s="280" t="s">
        <v>35</v>
      </c>
    </row>
    <row r="31" spans="1:27" s="85" customFormat="1" ht="90.75" customHeight="1" x14ac:dyDescent="0.45">
      <c r="A31" s="253">
        <v>2</v>
      </c>
      <c r="B31" s="71" t="s">
        <v>90</v>
      </c>
      <c r="C31" s="297" t="s">
        <v>32</v>
      </c>
      <c r="D31" s="265" t="s">
        <v>32</v>
      </c>
      <c r="E31" s="297" t="s">
        <v>35</v>
      </c>
      <c r="F31" s="297" t="s">
        <v>35</v>
      </c>
      <c r="G31" s="72" t="s">
        <v>39</v>
      </c>
      <c r="H31" s="73" t="s">
        <v>46</v>
      </c>
      <c r="I31" s="73">
        <v>27090000</v>
      </c>
      <c r="J31" s="74">
        <v>41853</v>
      </c>
      <c r="K31" s="75" t="s">
        <v>73</v>
      </c>
      <c r="L31" s="76" t="s">
        <v>48</v>
      </c>
      <c r="M31" s="73" t="s">
        <v>54</v>
      </c>
      <c r="N31" s="77" t="s">
        <v>50</v>
      </c>
      <c r="O31" s="78">
        <v>950443</v>
      </c>
      <c r="P31" s="79">
        <f t="shared" si="0"/>
        <v>99068475.662</v>
      </c>
      <c r="Q31" s="79">
        <f t="shared" si="1"/>
        <v>15427933714.84326</v>
      </c>
      <c r="R31" s="79" t="s">
        <v>25</v>
      </c>
      <c r="S31" s="80">
        <v>104.23399999999999</v>
      </c>
      <c r="T31" s="81">
        <f t="shared" si="2"/>
        <v>41943</v>
      </c>
      <c r="U31" s="82" t="s">
        <v>35</v>
      </c>
      <c r="V31" s="79">
        <f t="shared" si="3"/>
        <v>118882.17079439999</v>
      </c>
      <c r="W31" s="80">
        <v>155.72999999999999</v>
      </c>
      <c r="X31" s="79">
        <f t="shared" si="4"/>
        <v>18513520.457811911</v>
      </c>
      <c r="Y31" s="79" t="s">
        <v>35</v>
      </c>
      <c r="Z31" s="84" t="s">
        <v>35</v>
      </c>
      <c r="AA31" s="83" t="s">
        <v>35</v>
      </c>
    </row>
    <row r="32" spans="1:27" s="85" customFormat="1" ht="90.75" customHeight="1" x14ac:dyDescent="0.45">
      <c r="A32" s="253">
        <v>3</v>
      </c>
      <c r="B32" s="71" t="s">
        <v>91</v>
      </c>
      <c r="C32" s="297" t="s">
        <v>32</v>
      </c>
      <c r="D32" s="265" t="s">
        <v>32</v>
      </c>
      <c r="E32" s="303" t="s">
        <v>155</v>
      </c>
      <c r="F32" s="297" t="s">
        <v>33</v>
      </c>
      <c r="G32" s="72" t="s">
        <v>38</v>
      </c>
      <c r="H32" s="73" t="s">
        <v>45</v>
      </c>
      <c r="I32" s="73">
        <v>27090000</v>
      </c>
      <c r="J32" s="74">
        <v>41854</v>
      </c>
      <c r="K32" s="75" t="s">
        <v>74</v>
      </c>
      <c r="L32" s="76" t="s">
        <v>47</v>
      </c>
      <c r="M32" s="73" t="s">
        <v>53</v>
      </c>
      <c r="N32" s="77" t="s">
        <v>49</v>
      </c>
      <c r="O32" s="78">
        <v>595310</v>
      </c>
      <c r="P32" s="79">
        <f t="shared" ref="P32:P51" si="5">O32*S32</f>
        <v>61857471.480000004</v>
      </c>
      <c r="Q32" s="79">
        <f t="shared" ref="Q32:Q51" si="6">P32*W32</f>
        <v>9633064033.5804005</v>
      </c>
      <c r="R32" s="79" t="s">
        <v>25</v>
      </c>
      <c r="S32" s="80">
        <v>103.908</v>
      </c>
      <c r="T32" s="81">
        <f t="shared" ref="T32:T51" si="7">J32+90</f>
        <v>41944</v>
      </c>
      <c r="U32" s="82" t="s">
        <v>35</v>
      </c>
      <c r="V32" s="79">
        <f t="shared" ref="V32:V51" si="8">P32*0.12%</f>
        <v>74228.965775999997</v>
      </c>
      <c r="W32" s="80">
        <v>155.72999999999999</v>
      </c>
      <c r="X32" s="79">
        <f t="shared" ref="X32:X51" si="9">V32*W32</f>
        <v>11559676.840296479</v>
      </c>
      <c r="Y32" s="79" t="s">
        <v>35</v>
      </c>
      <c r="Z32" s="84" t="s">
        <v>35</v>
      </c>
      <c r="AA32" s="83" t="s">
        <v>35</v>
      </c>
    </row>
    <row r="33" spans="1:27" s="85" customFormat="1" ht="90.75" customHeight="1" x14ac:dyDescent="0.45">
      <c r="A33" s="253">
        <v>4</v>
      </c>
      <c r="B33" s="71" t="s">
        <v>92</v>
      </c>
      <c r="C33" s="297" t="s">
        <v>32</v>
      </c>
      <c r="D33" s="265" t="s">
        <v>32</v>
      </c>
      <c r="E33" s="297" t="s">
        <v>35</v>
      </c>
      <c r="F33" s="297" t="s">
        <v>35</v>
      </c>
      <c r="G33" s="72" t="s">
        <v>40</v>
      </c>
      <c r="H33" s="73" t="s">
        <v>45</v>
      </c>
      <c r="I33" s="73">
        <v>27090000</v>
      </c>
      <c r="J33" s="74">
        <v>41854</v>
      </c>
      <c r="K33" s="75" t="s">
        <v>74</v>
      </c>
      <c r="L33" s="76" t="s">
        <v>47</v>
      </c>
      <c r="M33" s="73" t="s">
        <v>53</v>
      </c>
      <c r="N33" s="77" t="s">
        <v>49</v>
      </c>
      <c r="O33" s="78">
        <v>130000</v>
      </c>
      <c r="P33" s="79">
        <f t="shared" ref="P33" si="10">O33*S33</f>
        <v>13508040</v>
      </c>
      <c r="Q33" s="79">
        <f t="shared" ref="Q33" si="11">P33*W33</f>
        <v>2103607069.1999998</v>
      </c>
      <c r="R33" s="79" t="s">
        <v>25</v>
      </c>
      <c r="S33" s="80">
        <v>103.908</v>
      </c>
      <c r="T33" s="81">
        <f t="shared" ref="T33" si="12">J33+90</f>
        <v>41944</v>
      </c>
      <c r="U33" s="82" t="s">
        <v>35</v>
      </c>
      <c r="V33" s="79">
        <f t="shared" ref="V33" si="13">P33*0.12%</f>
        <v>16209.647999999999</v>
      </c>
      <c r="W33" s="80">
        <v>155.72999999999999</v>
      </c>
      <c r="X33" s="79">
        <f t="shared" ref="X33" si="14">V33*W33</f>
        <v>2524328.4830399998</v>
      </c>
      <c r="Y33" s="79" t="s">
        <v>35</v>
      </c>
      <c r="Z33" s="84" t="s">
        <v>35</v>
      </c>
      <c r="AA33" s="83" t="s">
        <v>35</v>
      </c>
    </row>
    <row r="34" spans="1:27" s="85" customFormat="1" ht="90.75" customHeight="1" x14ac:dyDescent="0.45">
      <c r="A34" s="253">
        <v>5</v>
      </c>
      <c r="B34" s="71" t="s">
        <v>93</v>
      </c>
      <c r="C34" s="297" t="s">
        <v>32</v>
      </c>
      <c r="D34" s="265" t="s">
        <v>32</v>
      </c>
      <c r="E34" s="303" t="s">
        <v>156</v>
      </c>
      <c r="F34" s="297" t="s">
        <v>36</v>
      </c>
      <c r="G34" s="72" t="s">
        <v>41</v>
      </c>
      <c r="H34" s="73" t="s">
        <v>45</v>
      </c>
      <c r="I34" s="73">
        <v>27090000</v>
      </c>
      <c r="J34" s="74">
        <v>41854</v>
      </c>
      <c r="K34" s="75" t="s">
        <v>74</v>
      </c>
      <c r="L34" s="76" t="s">
        <v>47</v>
      </c>
      <c r="M34" s="73" t="s">
        <v>53</v>
      </c>
      <c r="N34" s="77" t="s">
        <v>49</v>
      </c>
      <c r="O34" s="78">
        <v>114600</v>
      </c>
      <c r="P34" s="79">
        <f t="shared" si="5"/>
        <v>11907856.800000001</v>
      </c>
      <c r="Q34" s="79">
        <f t="shared" si="6"/>
        <v>1854410539.464</v>
      </c>
      <c r="R34" s="79" t="s">
        <v>25</v>
      </c>
      <c r="S34" s="80">
        <v>103.908</v>
      </c>
      <c r="T34" s="81">
        <f t="shared" si="7"/>
        <v>41944</v>
      </c>
      <c r="U34" s="82" t="s">
        <v>36</v>
      </c>
      <c r="V34" s="79">
        <f t="shared" si="8"/>
        <v>14289.428159999999</v>
      </c>
      <c r="W34" s="80">
        <v>155.72999999999999</v>
      </c>
      <c r="X34" s="79">
        <f t="shared" si="9"/>
        <v>2225292.6473567998</v>
      </c>
      <c r="Y34" s="79">
        <v>2248678.91</v>
      </c>
      <c r="Z34" s="84" t="s">
        <v>177</v>
      </c>
      <c r="AA34" s="241">
        <v>41845</v>
      </c>
    </row>
    <row r="35" spans="1:27" s="85" customFormat="1" ht="90.75" customHeight="1" x14ac:dyDescent="0.45">
      <c r="A35" s="253">
        <v>6</v>
      </c>
      <c r="B35" s="71" t="s">
        <v>94</v>
      </c>
      <c r="C35" s="297" t="s">
        <v>32</v>
      </c>
      <c r="D35" s="265" t="s">
        <v>32</v>
      </c>
      <c r="E35" s="297" t="s">
        <v>35</v>
      </c>
      <c r="F35" s="297" t="s">
        <v>35</v>
      </c>
      <c r="G35" s="72" t="s">
        <v>42</v>
      </c>
      <c r="H35" s="73" t="s">
        <v>45</v>
      </c>
      <c r="I35" s="73">
        <v>27090000</v>
      </c>
      <c r="J35" s="74">
        <v>41854</v>
      </c>
      <c r="K35" s="75" t="s">
        <v>74</v>
      </c>
      <c r="L35" s="76" t="s">
        <v>47</v>
      </c>
      <c r="M35" s="73" t="s">
        <v>53</v>
      </c>
      <c r="N35" s="77" t="s">
        <v>49</v>
      </c>
      <c r="O35" s="78">
        <v>125000</v>
      </c>
      <c r="P35" s="79">
        <f t="shared" si="5"/>
        <v>12988500</v>
      </c>
      <c r="Q35" s="79">
        <f t="shared" si="6"/>
        <v>2022699104.9999998</v>
      </c>
      <c r="R35" s="79" t="s">
        <v>25</v>
      </c>
      <c r="S35" s="80">
        <v>103.908</v>
      </c>
      <c r="T35" s="81">
        <f t="shared" si="7"/>
        <v>41944</v>
      </c>
      <c r="U35" s="82" t="s">
        <v>35</v>
      </c>
      <c r="V35" s="79">
        <f t="shared" si="8"/>
        <v>15586.199999999999</v>
      </c>
      <c r="W35" s="80">
        <v>155.72999999999999</v>
      </c>
      <c r="X35" s="79">
        <f t="shared" si="9"/>
        <v>2427238.9259999995</v>
      </c>
      <c r="Y35" s="79" t="s">
        <v>35</v>
      </c>
      <c r="Z35" s="84" t="s">
        <v>35</v>
      </c>
      <c r="AA35" s="83" t="s">
        <v>35</v>
      </c>
    </row>
    <row r="36" spans="1:27" s="85" customFormat="1" ht="90.75" customHeight="1" x14ac:dyDescent="0.45">
      <c r="A36" s="253">
        <v>7</v>
      </c>
      <c r="B36" s="71" t="s">
        <v>95</v>
      </c>
      <c r="C36" s="297" t="s">
        <v>32</v>
      </c>
      <c r="D36" s="265" t="s">
        <v>32</v>
      </c>
      <c r="E36" s="297" t="s">
        <v>35</v>
      </c>
      <c r="F36" s="297" t="s">
        <v>35</v>
      </c>
      <c r="G36" s="72" t="s">
        <v>43</v>
      </c>
      <c r="H36" s="73" t="s">
        <v>46</v>
      </c>
      <c r="I36" s="73">
        <v>27090000</v>
      </c>
      <c r="J36" s="74">
        <v>41855</v>
      </c>
      <c r="K36" s="75" t="s">
        <v>75</v>
      </c>
      <c r="L36" s="76" t="s">
        <v>48</v>
      </c>
      <c r="M36" s="73" t="s">
        <v>55</v>
      </c>
      <c r="N36" s="77" t="s">
        <v>126</v>
      </c>
      <c r="O36" s="78">
        <v>951994</v>
      </c>
      <c r="P36" s="79">
        <f t="shared" si="5"/>
        <v>99019751.922000006</v>
      </c>
      <c r="Q36" s="79">
        <f t="shared" si="6"/>
        <v>15420345966.813061</v>
      </c>
      <c r="R36" s="79" t="s">
        <v>25</v>
      </c>
      <c r="S36" s="80">
        <v>104.01300000000001</v>
      </c>
      <c r="T36" s="81">
        <f t="shared" si="7"/>
        <v>41945</v>
      </c>
      <c r="U36" s="82" t="s">
        <v>35</v>
      </c>
      <c r="V36" s="79">
        <f t="shared" si="8"/>
        <v>118823.70230639999</v>
      </c>
      <c r="W36" s="80">
        <v>155.72999999999999</v>
      </c>
      <c r="X36" s="79">
        <f t="shared" si="9"/>
        <v>18504415.16017567</v>
      </c>
      <c r="Y36" s="79" t="s">
        <v>35</v>
      </c>
      <c r="Z36" s="84" t="s">
        <v>35</v>
      </c>
      <c r="AA36" s="83" t="s">
        <v>35</v>
      </c>
    </row>
    <row r="37" spans="1:27" s="85" customFormat="1" ht="90.75" customHeight="1" x14ac:dyDescent="0.45">
      <c r="A37" s="253">
        <v>8</v>
      </c>
      <c r="B37" s="71" t="s">
        <v>96</v>
      </c>
      <c r="C37" s="302" t="s">
        <v>135</v>
      </c>
      <c r="D37" s="265">
        <v>41890</v>
      </c>
      <c r="E37" s="297" t="s">
        <v>157</v>
      </c>
      <c r="F37" s="297" t="s">
        <v>34</v>
      </c>
      <c r="G37" s="72" t="s">
        <v>39</v>
      </c>
      <c r="H37" s="73" t="s">
        <v>46</v>
      </c>
      <c r="I37" s="73">
        <v>27090000</v>
      </c>
      <c r="J37" s="74">
        <v>41858</v>
      </c>
      <c r="K37" s="75" t="s">
        <v>76</v>
      </c>
      <c r="L37" s="76" t="s">
        <v>48</v>
      </c>
      <c r="M37" s="73" t="s">
        <v>132</v>
      </c>
      <c r="N37" s="77" t="s">
        <v>127</v>
      </c>
      <c r="O37" s="78">
        <v>949905</v>
      </c>
      <c r="P37" s="79">
        <f t="shared" si="5"/>
        <v>98804368.575000003</v>
      </c>
      <c r="Q37" s="79">
        <f t="shared" si="6"/>
        <v>15386804318.18475</v>
      </c>
      <c r="R37" s="79" t="s">
        <v>25</v>
      </c>
      <c r="S37" s="80">
        <v>104.015</v>
      </c>
      <c r="T37" s="81">
        <f t="shared" si="7"/>
        <v>41948</v>
      </c>
      <c r="U37" s="82" t="s">
        <v>35</v>
      </c>
      <c r="V37" s="79">
        <f t="shared" si="8"/>
        <v>118565.24228999999</v>
      </c>
      <c r="W37" s="80">
        <v>155.72999999999999</v>
      </c>
      <c r="X37" s="79">
        <f t="shared" si="9"/>
        <v>18464165.181821696</v>
      </c>
      <c r="Y37" s="79" t="s">
        <v>35</v>
      </c>
      <c r="Z37" s="84" t="s">
        <v>35</v>
      </c>
      <c r="AA37" s="83" t="s">
        <v>35</v>
      </c>
    </row>
    <row r="38" spans="1:27" s="85" customFormat="1" ht="90.75" customHeight="1" x14ac:dyDescent="0.45">
      <c r="A38" s="253">
        <v>9</v>
      </c>
      <c r="B38" s="71" t="s">
        <v>97</v>
      </c>
      <c r="C38" s="302" t="s">
        <v>136</v>
      </c>
      <c r="D38" s="265">
        <v>41890</v>
      </c>
      <c r="E38" s="297" t="s">
        <v>158</v>
      </c>
      <c r="F38" s="297" t="s">
        <v>34</v>
      </c>
      <c r="G38" s="72" t="s">
        <v>39</v>
      </c>
      <c r="H38" s="73" t="s">
        <v>45</v>
      </c>
      <c r="I38" s="73">
        <v>27090000</v>
      </c>
      <c r="J38" s="74">
        <v>41859</v>
      </c>
      <c r="K38" s="75" t="s">
        <v>75</v>
      </c>
      <c r="L38" s="76" t="s">
        <v>47</v>
      </c>
      <c r="M38" s="73" t="s">
        <v>55</v>
      </c>
      <c r="N38" s="77" t="s">
        <v>126</v>
      </c>
      <c r="O38" s="78">
        <v>949206</v>
      </c>
      <c r="P38" s="79">
        <f t="shared" si="5"/>
        <v>98872144.577999994</v>
      </c>
      <c r="Q38" s="79">
        <f t="shared" si="6"/>
        <v>15397359075.131939</v>
      </c>
      <c r="R38" s="79" t="s">
        <v>25</v>
      </c>
      <c r="S38" s="80">
        <v>104.163</v>
      </c>
      <c r="T38" s="81">
        <f t="shared" si="7"/>
        <v>41949</v>
      </c>
      <c r="U38" s="82" t="s">
        <v>35</v>
      </c>
      <c r="V38" s="79">
        <f t="shared" si="8"/>
        <v>118646.57349359998</v>
      </c>
      <c r="W38" s="80">
        <v>155.72999999999999</v>
      </c>
      <c r="X38" s="79">
        <f t="shared" si="9"/>
        <v>18476830.890158322</v>
      </c>
      <c r="Y38" s="79" t="s">
        <v>35</v>
      </c>
      <c r="Z38" s="84" t="s">
        <v>35</v>
      </c>
      <c r="AA38" s="83" t="s">
        <v>35</v>
      </c>
    </row>
    <row r="39" spans="1:27" s="85" customFormat="1" ht="90.75" customHeight="1" x14ac:dyDescent="0.45">
      <c r="A39" s="253">
        <v>10</v>
      </c>
      <c r="B39" s="71" t="s">
        <v>98</v>
      </c>
      <c r="C39" s="302" t="s">
        <v>137</v>
      </c>
      <c r="D39" s="265">
        <v>41890</v>
      </c>
      <c r="E39" s="297" t="s">
        <v>159</v>
      </c>
      <c r="F39" s="297" t="s">
        <v>34</v>
      </c>
      <c r="G39" s="72" t="s">
        <v>39</v>
      </c>
      <c r="H39" s="73" t="s">
        <v>46</v>
      </c>
      <c r="I39" s="73">
        <v>27090000</v>
      </c>
      <c r="J39" s="74">
        <v>41860</v>
      </c>
      <c r="K39" s="75" t="s">
        <v>77</v>
      </c>
      <c r="L39" s="76" t="s">
        <v>48</v>
      </c>
      <c r="M39" s="73" t="s">
        <v>55</v>
      </c>
      <c r="N39" s="77" t="s">
        <v>126</v>
      </c>
      <c r="O39" s="78">
        <v>950217</v>
      </c>
      <c r="P39" s="79">
        <f t="shared" si="5"/>
        <v>98971752.068999991</v>
      </c>
      <c r="Q39" s="79">
        <f t="shared" si="6"/>
        <v>15412870949.705368</v>
      </c>
      <c r="R39" s="79" t="s">
        <v>25</v>
      </c>
      <c r="S39" s="80">
        <v>104.157</v>
      </c>
      <c r="T39" s="81">
        <f t="shared" si="7"/>
        <v>41950</v>
      </c>
      <c r="U39" s="82" t="s">
        <v>35</v>
      </c>
      <c r="V39" s="79">
        <f t="shared" si="8"/>
        <v>118766.10248279998</v>
      </c>
      <c r="W39" s="80">
        <v>155.72999999999999</v>
      </c>
      <c r="X39" s="79">
        <f t="shared" si="9"/>
        <v>18495445.139646441</v>
      </c>
      <c r="Y39" s="79" t="s">
        <v>35</v>
      </c>
      <c r="Z39" s="84" t="s">
        <v>35</v>
      </c>
      <c r="AA39" s="83" t="s">
        <v>35</v>
      </c>
    </row>
    <row r="40" spans="1:27" s="85" customFormat="1" ht="90.75" customHeight="1" x14ac:dyDescent="0.45">
      <c r="A40" s="253">
        <v>11</v>
      </c>
      <c r="B40" s="71" t="s">
        <v>99</v>
      </c>
      <c r="C40" s="302" t="s">
        <v>138</v>
      </c>
      <c r="D40" s="265">
        <v>41890</v>
      </c>
      <c r="E40" s="297" t="s">
        <v>160</v>
      </c>
      <c r="F40" s="297" t="s">
        <v>34</v>
      </c>
      <c r="G40" s="72" t="s">
        <v>39</v>
      </c>
      <c r="H40" s="73" t="s">
        <v>46</v>
      </c>
      <c r="I40" s="73">
        <v>27090000</v>
      </c>
      <c r="J40" s="74">
        <v>41862</v>
      </c>
      <c r="K40" s="75" t="s">
        <v>78</v>
      </c>
      <c r="L40" s="76" t="s">
        <v>48</v>
      </c>
      <c r="M40" s="73" t="s">
        <v>133</v>
      </c>
      <c r="N40" s="77" t="s">
        <v>128</v>
      </c>
      <c r="O40" s="78">
        <v>934692</v>
      </c>
      <c r="P40" s="79">
        <f t="shared" ref="P40:P50" si="15">O40*S40</f>
        <v>96757446.456</v>
      </c>
      <c r="Q40" s="79">
        <f t="shared" ref="Q40:Q50" si="16">P40*W40</f>
        <v>15068037136.592878</v>
      </c>
      <c r="R40" s="79" t="s">
        <v>25</v>
      </c>
      <c r="S40" s="80">
        <v>103.518</v>
      </c>
      <c r="T40" s="81">
        <f t="shared" ref="T40:T50" si="17">J40+90</f>
        <v>41952</v>
      </c>
      <c r="U40" s="82" t="s">
        <v>35</v>
      </c>
      <c r="V40" s="79">
        <f t="shared" ref="V40:V50" si="18">P40*0.12%</f>
        <v>116108.93574719998</v>
      </c>
      <c r="W40" s="80">
        <v>155.72999999999999</v>
      </c>
      <c r="X40" s="79">
        <f t="shared" ref="X40:X50" si="19">V40*W40</f>
        <v>18081644.563911453</v>
      </c>
      <c r="Y40" s="79" t="s">
        <v>35</v>
      </c>
      <c r="Z40" s="84" t="s">
        <v>35</v>
      </c>
      <c r="AA40" s="83" t="s">
        <v>35</v>
      </c>
    </row>
    <row r="41" spans="1:27" s="85" customFormat="1" ht="90.75" customHeight="1" x14ac:dyDescent="0.45">
      <c r="A41" s="253">
        <v>12</v>
      </c>
      <c r="B41" s="71" t="s">
        <v>100</v>
      </c>
      <c r="C41" s="302" t="s">
        <v>139</v>
      </c>
      <c r="D41" s="265">
        <v>41890</v>
      </c>
      <c r="E41" s="297" t="s">
        <v>161</v>
      </c>
      <c r="F41" s="297" t="s">
        <v>34</v>
      </c>
      <c r="G41" s="72" t="s">
        <v>39</v>
      </c>
      <c r="H41" s="73" t="s">
        <v>45</v>
      </c>
      <c r="I41" s="73">
        <v>27090000</v>
      </c>
      <c r="J41" s="74">
        <v>41863</v>
      </c>
      <c r="K41" s="75" t="s">
        <v>79</v>
      </c>
      <c r="L41" s="76" t="s">
        <v>47</v>
      </c>
      <c r="M41" s="73" t="s">
        <v>65</v>
      </c>
      <c r="N41" s="77" t="s">
        <v>63</v>
      </c>
      <c r="O41" s="78">
        <v>948650</v>
      </c>
      <c r="P41" s="79">
        <f t="shared" si="15"/>
        <v>97657825.600000009</v>
      </c>
      <c r="Q41" s="79">
        <f t="shared" si="16"/>
        <v>15208253180.688</v>
      </c>
      <c r="R41" s="79" t="s">
        <v>25</v>
      </c>
      <c r="S41" s="80">
        <v>102.944</v>
      </c>
      <c r="T41" s="81">
        <f t="shared" si="17"/>
        <v>41953</v>
      </c>
      <c r="U41" s="82" t="s">
        <v>35</v>
      </c>
      <c r="V41" s="79">
        <f t="shared" si="18"/>
        <v>117189.39072</v>
      </c>
      <c r="W41" s="80">
        <v>155.72999999999999</v>
      </c>
      <c r="X41" s="79">
        <f t="shared" si="19"/>
        <v>18249903.816825598</v>
      </c>
      <c r="Y41" s="79" t="s">
        <v>35</v>
      </c>
      <c r="Z41" s="84" t="s">
        <v>35</v>
      </c>
      <c r="AA41" s="241" t="s">
        <v>35</v>
      </c>
    </row>
    <row r="42" spans="1:27" s="85" customFormat="1" ht="90.75" customHeight="1" x14ac:dyDescent="0.45">
      <c r="A42" s="253">
        <v>13</v>
      </c>
      <c r="B42" s="71" t="s">
        <v>101</v>
      </c>
      <c r="C42" s="297" t="s">
        <v>32</v>
      </c>
      <c r="D42" s="265" t="s">
        <v>32</v>
      </c>
      <c r="E42" s="297" t="s">
        <v>35</v>
      </c>
      <c r="F42" s="297" t="s">
        <v>35</v>
      </c>
      <c r="G42" s="72" t="s">
        <v>43</v>
      </c>
      <c r="H42" s="73" t="s">
        <v>46</v>
      </c>
      <c r="I42" s="73">
        <v>27090000</v>
      </c>
      <c r="J42" s="74">
        <v>41865</v>
      </c>
      <c r="K42" s="75" t="s">
        <v>80</v>
      </c>
      <c r="L42" s="76" t="s">
        <v>48</v>
      </c>
      <c r="M42" s="73" t="s">
        <v>53</v>
      </c>
      <c r="N42" s="77" t="s">
        <v>49</v>
      </c>
      <c r="O42" s="78">
        <v>950341</v>
      </c>
      <c r="P42" s="79">
        <f t="shared" si="15"/>
        <v>96782727.439999998</v>
      </c>
      <c r="Q42" s="79">
        <f t="shared" si="16"/>
        <v>15071974144.231199</v>
      </c>
      <c r="R42" s="79" t="s">
        <v>25</v>
      </c>
      <c r="S42" s="80">
        <v>101.84</v>
      </c>
      <c r="T42" s="81">
        <f t="shared" si="17"/>
        <v>41955</v>
      </c>
      <c r="U42" s="82" t="s">
        <v>35</v>
      </c>
      <c r="V42" s="79">
        <f t="shared" si="18"/>
        <v>116139.27292799999</v>
      </c>
      <c r="W42" s="80">
        <v>155.72999999999999</v>
      </c>
      <c r="X42" s="79">
        <f t="shared" si="19"/>
        <v>18086368.973077439</v>
      </c>
      <c r="Y42" s="79" t="s">
        <v>35</v>
      </c>
      <c r="Z42" s="84" t="s">
        <v>35</v>
      </c>
      <c r="AA42" s="83" t="s">
        <v>35</v>
      </c>
    </row>
    <row r="43" spans="1:27" s="85" customFormat="1" ht="90.75" customHeight="1" x14ac:dyDescent="0.45">
      <c r="A43" s="321">
        <v>14</v>
      </c>
      <c r="B43" s="71" t="s">
        <v>102</v>
      </c>
      <c r="C43" s="297" t="s">
        <v>32</v>
      </c>
      <c r="D43" s="265" t="s">
        <v>32</v>
      </c>
      <c r="E43" s="316" t="s">
        <v>162</v>
      </c>
      <c r="F43" s="297" t="s">
        <v>37</v>
      </c>
      <c r="G43" s="72" t="s">
        <v>44</v>
      </c>
      <c r="H43" s="73" t="s">
        <v>45</v>
      </c>
      <c r="I43" s="73">
        <v>27090000</v>
      </c>
      <c r="J43" s="74">
        <v>41867</v>
      </c>
      <c r="K43" s="75" t="s">
        <v>81</v>
      </c>
      <c r="L43" s="76" t="s">
        <v>47</v>
      </c>
      <c r="M43" s="73" t="s">
        <v>55</v>
      </c>
      <c r="N43" s="77" t="s">
        <v>126</v>
      </c>
      <c r="O43" s="78">
        <v>660000</v>
      </c>
      <c r="P43" s="79">
        <f t="shared" si="15"/>
        <v>66376199.999999993</v>
      </c>
      <c r="Q43" s="79">
        <f t="shared" si="16"/>
        <v>10336765625.999998</v>
      </c>
      <c r="R43" s="79" t="s">
        <v>25</v>
      </c>
      <c r="S43" s="80">
        <v>100.57</v>
      </c>
      <c r="T43" s="81">
        <f t="shared" si="17"/>
        <v>41957</v>
      </c>
      <c r="U43" s="82" t="s">
        <v>35</v>
      </c>
      <c r="V43" s="79">
        <f t="shared" si="18"/>
        <v>79651.439999999988</v>
      </c>
      <c r="W43" s="80">
        <v>155.72999999999999</v>
      </c>
      <c r="X43" s="79">
        <f t="shared" si="19"/>
        <v>12404118.751199998</v>
      </c>
      <c r="Y43" s="79" t="s">
        <v>35</v>
      </c>
      <c r="Z43" s="84" t="s">
        <v>35</v>
      </c>
      <c r="AA43" s="83" t="s">
        <v>35</v>
      </c>
    </row>
    <row r="44" spans="1:27" s="85" customFormat="1" ht="90.75" customHeight="1" x14ac:dyDescent="0.45">
      <c r="A44" s="322"/>
      <c r="B44" s="71" t="s">
        <v>103</v>
      </c>
      <c r="C44" s="297" t="s">
        <v>32</v>
      </c>
      <c r="D44" s="265" t="s">
        <v>32</v>
      </c>
      <c r="E44" s="317"/>
      <c r="F44" s="297" t="s">
        <v>37</v>
      </c>
      <c r="G44" s="72" t="s">
        <v>44</v>
      </c>
      <c r="H44" s="73" t="s">
        <v>45</v>
      </c>
      <c r="I44" s="73">
        <v>27090000</v>
      </c>
      <c r="J44" s="74">
        <v>41867</v>
      </c>
      <c r="K44" s="75" t="s">
        <v>81</v>
      </c>
      <c r="L44" s="76" t="s">
        <v>47</v>
      </c>
      <c r="M44" s="73" t="s">
        <v>55</v>
      </c>
      <c r="N44" s="77" t="s">
        <v>126</v>
      </c>
      <c r="O44" s="78">
        <v>339310</v>
      </c>
      <c r="P44" s="79">
        <f t="shared" si="15"/>
        <v>34124406.699999996</v>
      </c>
      <c r="Q44" s="79">
        <f t="shared" si="16"/>
        <v>5314193855.3909988</v>
      </c>
      <c r="R44" s="79" t="s">
        <v>25</v>
      </c>
      <c r="S44" s="80">
        <v>100.57</v>
      </c>
      <c r="T44" s="81">
        <f t="shared" si="17"/>
        <v>41957</v>
      </c>
      <c r="U44" s="82" t="s">
        <v>35</v>
      </c>
      <c r="V44" s="79">
        <f t="shared" si="18"/>
        <v>40949.288039999992</v>
      </c>
      <c r="W44" s="80">
        <v>155.72999999999999</v>
      </c>
      <c r="X44" s="79">
        <f t="shared" si="19"/>
        <v>6377032.6264691986</v>
      </c>
      <c r="Y44" s="79" t="s">
        <v>35</v>
      </c>
      <c r="Z44" s="84" t="s">
        <v>35</v>
      </c>
      <c r="AA44" s="83" t="s">
        <v>35</v>
      </c>
    </row>
    <row r="45" spans="1:27" s="85" customFormat="1" ht="90.75" customHeight="1" x14ac:dyDescent="0.45">
      <c r="A45" s="253">
        <v>15</v>
      </c>
      <c r="B45" s="71" t="s">
        <v>104</v>
      </c>
      <c r="C45" s="297" t="s">
        <v>32</v>
      </c>
      <c r="D45" s="265" t="s">
        <v>32</v>
      </c>
      <c r="E45" s="297" t="s">
        <v>35</v>
      </c>
      <c r="F45" s="297" t="s">
        <v>35</v>
      </c>
      <c r="G45" s="72" t="s">
        <v>43</v>
      </c>
      <c r="H45" s="73" t="s">
        <v>46</v>
      </c>
      <c r="I45" s="73">
        <v>27090000</v>
      </c>
      <c r="J45" s="74">
        <v>41867</v>
      </c>
      <c r="K45" s="75" t="s">
        <v>80</v>
      </c>
      <c r="L45" s="76" t="s">
        <v>48</v>
      </c>
      <c r="M45" s="73" t="s">
        <v>53</v>
      </c>
      <c r="N45" s="77" t="s">
        <v>49</v>
      </c>
      <c r="O45" s="78">
        <v>950102</v>
      </c>
      <c r="P45" s="79">
        <f t="shared" si="15"/>
        <v>95551758.140000001</v>
      </c>
      <c r="Q45" s="79">
        <f t="shared" si="16"/>
        <v>14880275295.142199</v>
      </c>
      <c r="R45" s="79" t="s">
        <v>25</v>
      </c>
      <c r="S45" s="80">
        <v>100.57</v>
      </c>
      <c r="T45" s="81">
        <f t="shared" si="17"/>
        <v>41957</v>
      </c>
      <c r="U45" s="82" t="s">
        <v>35</v>
      </c>
      <c r="V45" s="79">
        <f t="shared" si="18"/>
        <v>114662.10976799999</v>
      </c>
      <c r="W45" s="80">
        <v>155.72999999999999</v>
      </c>
      <c r="X45" s="79">
        <f t="shared" si="19"/>
        <v>17856330.354170639</v>
      </c>
      <c r="Y45" s="79" t="s">
        <v>35</v>
      </c>
      <c r="Z45" s="84" t="s">
        <v>35</v>
      </c>
      <c r="AA45" s="83" t="s">
        <v>35</v>
      </c>
    </row>
    <row r="46" spans="1:27" s="85" customFormat="1" ht="90.75" customHeight="1" x14ac:dyDescent="0.45">
      <c r="A46" s="253">
        <v>16</v>
      </c>
      <c r="B46" s="71" t="s">
        <v>105</v>
      </c>
      <c r="C46" s="302" t="s">
        <v>140</v>
      </c>
      <c r="D46" s="265">
        <v>41890</v>
      </c>
      <c r="E46" s="297" t="s">
        <v>163</v>
      </c>
      <c r="F46" s="297" t="s">
        <v>34</v>
      </c>
      <c r="G46" s="72" t="s">
        <v>39</v>
      </c>
      <c r="H46" s="73" t="s">
        <v>46</v>
      </c>
      <c r="I46" s="73">
        <v>27090000</v>
      </c>
      <c r="J46" s="74">
        <v>41870</v>
      </c>
      <c r="K46" s="75" t="s">
        <v>82</v>
      </c>
      <c r="L46" s="76" t="s">
        <v>48</v>
      </c>
      <c r="M46" s="73" t="s">
        <v>53</v>
      </c>
      <c r="N46" s="77" t="s">
        <v>49</v>
      </c>
      <c r="O46" s="78">
        <v>949835</v>
      </c>
      <c r="P46" s="79">
        <f t="shared" si="15"/>
        <v>95238055.780000001</v>
      </c>
      <c r="Q46" s="79">
        <f t="shared" si="16"/>
        <v>14831422426.6194</v>
      </c>
      <c r="R46" s="79" t="s">
        <v>25</v>
      </c>
      <c r="S46" s="80">
        <v>100.268</v>
      </c>
      <c r="T46" s="81">
        <f t="shared" si="17"/>
        <v>41960</v>
      </c>
      <c r="U46" s="82" t="s">
        <v>35</v>
      </c>
      <c r="V46" s="79">
        <f t="shared" si="18"/>
        <v>114285.66693599999</v>
      </c>
      <c r="W46" s="80">
        <v>155.72999999999999</v>
      </c>
      <c r="X46" s="79">
        <f t="shared" si="19"/>
        <v>17797706.911943279</v>
      </c>
      <c r="Y46" s="79" t="s">
        <v>35</v>
      </c>
      <c r="Z46" s="84" t="s">
        <v>35</v>
      </c>
      <c r="AA46" s="83" t="s">
        <v>35</v>
      </c>
    </row>
    <row r="47" spans="1:27" s="85" customFormat="1" ht="90.75" customHeight="1" x14ac:dyDescent="0.45">
      <c r="A47" s="253">
        <v>17</v>
      </c>
      <c r="B47" s="71" t="s">
        <v>106</v>
      </c>
      <c r="C47" s="302" t="s">
        <v>141</v>
      </c>
      <c r="D47" s="265">
        <v>41890</v>
      </c>
      <c r="E47" s="297" t="s">
        <v>164</v>
      </c>
      <c r="F47" s="297" t="s">
        <v>34</v>
      </c>
      <c r="G47" s="72" t="s">
        <v>39</v>
      </c>
      <c r="H47" s="73" t="s">
        <v>46</v>
      </c>
      <c r="I47" s="73">
        <v>27090000</v>
      </c>
      <c r="J47" s="74">
        <v>41872</v>
      </c>
      <c r="K47" s="75" t="s">
        <v>82</v>
      </c>
      <c r="L47" s="76" t="s">
        <v>48</v>
      </c>
      <c r="M47" s="73" t="s">
        <v>53</v>
      </c>
      <c r="N47" s="77" t="s">
        <v>49</v>
      </c>
      <c r="O47" s="78">
        <v>950145</v>
      </c>
      <c r="P47" s="79">
        <f t="shared" si="15"/>
        <v>96036856.019999996</v>
      </c>
      <c r="Q47" s="79">
        <f t="shared" si="16"/>
        <v>14955819587.994598</v>
      </c>
      <c r="R47" s="79" t="s">
        <v>25</v>
      </c>
      <c r="S47" s="80">
        <v>101.07599999999999</v>
      </c>
      <c r="T47" s="81">
        <f t="shared" si="17"/>
        <v>41962</v>
      </c>
      <c r="U47" s="82" t="s">
        <v>35</v>
      </c>
      <c r="V47" s="79">
        <f t="shared" si="18"/>
        <v>115244.22722399999</v>
      </c>
      <c r="W47" s="80">
        <v>155.72999999999999</v>
      </c>
      <c r="X47" s="79">
        <f t="shared" si="19"/>
        <v>17946983.505593516</v>
      </c>
      <c r="Y47" s="79" t="s">
        <v>35</v>
      </c>
      <c r="Z47" s="84" t="s">
        <v>35</v>
      </c>
      <c r="AA47" s="83" t="s">
        <v>35</v>
      </c>
    </row>
    <row r="48" spans="1:27" s="85" customFormat="1" ht="90.75" customHeight="1" x14ac:dyDescent="0.45">
      <c r="A48" s="253">
        <v>18</v>
      </c>
      <c r="B48" s="71" t="s">
        <v>107</v>
      </c>
      <c r="C48" s="302" t="s">
        <v>142</v>
      </c>
      <c r="D48" s="265">
        <v>41890</v>
      </c>
      <c r="E48" s="297" t="s">
        <v>165</v>
      </c>
      <c r="F48" s="297" t="s">
        <v>34</v>
      </c>
      <c r="G48" s="72" t="s">
        <v>39</v>
      </c>
      <c r="H48" s="73" t="s">
        <v>46</v>
      </c>
      <c r="I48" s="73">
        <v>27090000</v>
      </c>
      <c r="J48" s="74">
        <v>41875</v>
      </c>
      <c r="K48" s="75" t="s">
        <v>83</v>
      </c>
      <c r="L48" s="76" t="s">
        <v>48</v>
      </c>
      <c r="M48" s="73" t="s">
        <v>53</v>
      </c>
      <c r="N48" s="77" t="s">
        <v>129</v>
      </c>
      <c r="O48" s="78">
        <v>950010</v>
      </c>
      <c r="P48" s="79">
        <f t="shared" si="15"/>
        <v>96570891.525000006</v>
      </c>
      <c r="Q48" s="79">
        <f t="shared" si="16"/>
        <v>15038984937.18825</v>
      </c>
      <c r="R48" s="79" t="s">
        <v>25</v>
      </c>
      <c r="S48" s="80">
        <v>101.6525</v>
      </c>
      <c r="T48" s="81">
        <f t="shared" si="17"/>
        <v>41965</v>
      </c>
      <c r="U48" s="82" t="s">
        <v>35</v>
      </c>
      <c r="V48" s="79">
        <f t="shared" si="18"/>
        <v>115885.06982999999</v>
      </c>
      <c r="W48" s="80">
        <v>155.72999999999999</v>
      </c>
      <c r="X48" s="79">
        <f t="shared" si="19"/>
        <v>18046781.924625896</v>
      </c>
      <c r="Y48" s="79" t="s">
        <v>35</v>
      </c>
      <c r="Z48" s="84" t="s">
        <v>35</v>
      </c>
      <c r="AA48" s="83" t="s">
        <v>35</v>
      </c>
    </row>
    <row r="49" spans="1:27" s="85" customFormat="1" ht="90.75" customHeight="1" x14ac:dyDescent="0.45">
      <c r="A49" s="253">
        <v>19</v>
      </c>
      <c r="B49" s="71" t="s">
        <v>108</v>
      </c>
      <c r="C49" s="302" t="s">
        <v>143</v>
      </c>
      <c r="D49" s="265">
        <v>41890</v>
      </c>
      <c r="E49" s="297" t="s">
        <v>166</v>
      </c>
      <c r="F49" s="297" t="s">
        <v>34</v>
      </c>
      <c r="G49" s="72" t="s">
        <v>39</v>
      </c>
      <c r="H49" s="73" t="s">
        <v>45</v>
      </c>
      <c r="I49" s="73">
        <v>27090000</v>
      </c>
      <c r="J49" s="74">
        <v>41875</v>
      </c>
      <c r="K49" s="75" t="s">
        <v>84</v>
      </c>
      <c r="L49" s="76" t="s">
        <v>47</v>
      </c>
      <c r="M49" s="73" t="s">
        <v>53</v>
      </c>
      <c r="N49" s="77" t="s">
        <v>49</v>
      </c>
      <c r="O49" s="78">
        <v>906204</v>
      </c>
      <c r="P49" s="79">
        <f t="shared" si="15"/>
        <v>92117902.109999999</v>
      </c>
      <c r="Q49" s="79">
        <f t="shared" si="16"/>
        <v>14345520895.5903</v>
      </c>
      <c r="R49" s="79" t="s">
        <v>25</v>
      </c>
      <c r="S49" s="80">
        <v>101.6525</v>
      </c>
      <c r="T49" s="81">
        <f t="shared" si="17"/>
        <v>41965</v>
      </c>
      <c r="U49" s="82" t="s">
        <v>35</v>
      </c>
      <c r="V49" s="79">
        <f t="shared" si="18"/>
        <v>110541.48253199999</v>
      </c>
      <c r="W49" s="80">
        <v>155.72999999999999</v>
      </c>
      <c r="X49" s="79">
        <f t="shared" si="19"/>
        <v>17214625.074708357</v>
      </c>
      <c r="Y49" s="79" t="s">
        <v>35</v>
      </c>
      <c r="Z49" s="84" t="s">
        <v>35</v>
      </c>
      <c r="AA49" s="83" t="s">
        <v>35</v>
      </c>
    </row>
    <row r="50" spans="1:27" s="85" customFormat="1" ht="90.75" customHeight="1" x14ac:dyDescent="0.45">
      <c r="A50" s="321">
        <v>20</v>
      </c>
      <c r="B50" s="71" t="s">
        <v>109</v>
      </c>
      <c r="C50" s="324" t="s">
        <v>144</v>
      </c>
      <c r="D50" s="265">
        <v>41890</v>
      </c>
      <c r="E50" s="318" t="s">
        <v>167</v>
      </c>
      <c r="F50" s="297" t="s">
        <v>34</v>
      </c>
      <c r="G50" s="72" t="s">
        <v>39</v>
      </c>
      <c r="H50" s="73" t="s">
        <v>46</v>
      </c>
      <c r="I50" s="73">
        <v>27090000</v>
      </c>
      <c r="J50" s="74">
        <v>41878</v>
      </c>
      <c r="K50" s="75" t="s">
        <v>85</v>
      </c>
      <c r="L50" s="76" t="s">
        <v>48</v>
      </c>
      <c r="M50" s="73" t="s">
        <v>54</v>
      </c>
      <c r="N50" s="77" t="s">
        <v>64</v>
      </c>
      <c r="O50" s="78">
        <v>400000</v>
      </c>
      <c r="P50" s="79">
        <f t="shared" si="15"/>
        <v>40738000</v>
      </c>
      <c r="Q50" s="79">
        <f t="shared" si="16"/>
        <v>6344128740</v>
      </c>
      <c r="R50" s="79" t="s">
        <v>25</v>
      </c>
      <c r="S50" s="80">
        <v>101.845</v>
      </c>
      <c r="T50" s="81">
        <f t="shared" si="17"/>
        <v>41968</v>
      </c>
      <c r="U50" s="82" t="s">
        <v>35</v>
      </c>
      <c r="V50" s="79">
        <f t="shared" si="18"/>
        <v>48885.599999999999</v>
      </c>
      <c r="W50" s="80">
        <v>155.72999999999999</v>
      </c>
      <c r="X50" s="79">
        <f t="shared" si="19"/>
        <v>7612954.487999999</v>
      </c>
      <c r="Y50" s="79" t="s">
        <v>35</v>
      </c>
      <c r="Z50" s="84" t="s">
        <v>35</v>
      </c>
      <c r="AA50" s="83" t="s">
        <v>35</v>
      </c>
    </row>
    <row r="51" spans="1:27" s="85" customFormat="1" ht="90.75" customHeight="1" x14ac:dyDescent="0.45">
      <c r="A51" s="322"/>
      <c r="B51" s="71" t="s">
        <v>110</v>
      </c>
      <c r="C51" s="325"/>
      <c r="D51" s="265">
        <v>41890</v>
      </c>
      <c r="E51" s="320"/>
      <c r="F51" s="297" t="s">
        <v>34</v>
      </c>
      <c r="G51" s="72" t="s">
        <v>39</v>
      </c>
      <c r="H51" s="73" t="s">
        <v>46</v>
      </c>
      <c r="I51" s="73">
        <v>27090000</v>
      </c>
      <c r="J51" s="74">
        <v>41878</v>
      </c>
      <c r="K51" s="75" t="s">
        <v>85</v>
      </c>
      <c r="L51" s="76" t="s">
        <v>48</v>
      </c>
      <c r="M51" s="73" t="s">
        <v>54</v>
      </c>
      <c r="N51" s="77" t="s">
        <v>64</v>
      </c>
      <c r="O51" s="78">
        <v>550143</v>
      </c>
      <c r="P51" s="79">
        <f t="shared" si="5"/>
        <v>56029313.835000001</v>
      </c>
      <c r="Q51" s="79">
        <f t="shared" si="6"/>
        <v>8725445043.5245495</v>
      </c>
      <c r="R51" s="79" t="s">
        <v>25</v>
      </c>
      <c r="S51" s="80">
        <v>101.845</v>
      </c>
      <c r="T51" s="81">
        <f t="shared" si="7"/>
        <v>41968</v>
      </c>
      <c r="U51" s="82" t="s">
        <v>35</v>
      </c>
      <c r="V51" s="79">
        <f t="shared" si="8"/>
        <v>67235.176601999992</v>
      </c>
      <c r="W51" s="80">
        <v>155.72999999999999</v>
      </c>
      <c r="X51" s="79">
        <f t="shared" si="9"/>
        <v>10470534.052229458</v>
      </c>
      <c r="Y51" s="79" t="s">
        <v>35</v>
      </c>
      <c r="Z51" s="84" t="s">
        <v>35</v>
      </c>
      <c r="AA51" s="241" t="s">
        <v>35</v>
      </c>
    </row>
    <row r="52" spans="1:27" s="85" customFormat="1" ht="90.75" customHeight="1" x14ac:dyDescent="0.45">
      <c r="A52" s="253">
        <v>21</v>
      </c>
      <c r="B52" s="71" t="s">
        <v>111</v>
      </c>
      <c r="C52" s="302" t="s">
        <v>145</v>
      </c>
      <c r="D52" s="265">
        <v>41890</v>
      </c>
      <c r="E52" s="297" t="s">
        <v>168</v>
      </c>
      <c r="F52" s="297" t="s">
        <v>34</v>
      </c>
      <c r="G52" s="72" t="s">
        <v>39</v>
      </c>
      <c r="H52" s="73" t="s">
        <v>45</v>
      </c>
      <c r="I52" s="73">
        <v>27090000</v>
      </c>
      <c r="J52" s="74">
        <v>41878</v>
      </c>
      <c r="K52" s="75" t="s">
        <v>84</v>
      </c>
      <c r="L52" s="76" t="s">
        <v>47</v>
      </c>
      <c r="M52" s="73" t="s">
        <v>53</v>
      </c>
      <c r="N52" s="77" t="s">
        <v>49</v>
      </c>
      <c r="O52" s="78">
        <v>14325</v>
      </c>
      <c r="P52" s="79">
        <f t="shared" ref="P52:P65" si="20">O52*S52</f>
        <v>1458929.625</v>
      </c>
      <c r="Q52" s="79">
        <f t="shared" ref="Q52:Q65" si="21">P52*W52</f>
        <v>227199110.50125</v>
      </c>
      <c r="R52" s="79" t="s">
        <v>25</v>
      </c>
      <c r="S52" s="80">
        <v>101.845</v>
      </c>
      <c r="T52" s="81">
        <f t="shared" ref="T52:T65" si="22">J52+90</f>
        <v>41968</v>
      </c>
      <c r="U52" s="82" t="s">
        <v>35</v>
      </c>
      <c r="V52" s="79">
        <f t="shared" ref="V52:V65" si="23">P52*0.12%</f>
        <v>1750.7155499999999</v>
      </c>
      <c r="W52" s="80">
        <v>155.72999999999999</v>
      </c>
      <c r="X52" s="79">
        <f t="shared" ref="X52:X65" si="24">V52*W52</f>
        <v>272638.93260149995</v>
      </c>
      <c r="Y52" s="79" t="s">
        <v>35</v>
      </c>
      <c r="Z52" s="84" t="s">
        <v>35</v>
      </c>
      <c r="AA52" s="241" t="s">
        <v>35</v>
      </c>
    </row>
    <row r="53" spans="1:27" s="85" customFormat="1" ht="90.75" customHeight="1" x14ac:dyDescent="0.45">
      <c r="A53" s="253">
        <v>22</v>
      </c>
      <c r="B53" s="71" t="s">
        <v>112</v>
      </c>
      <c r="C53" s="302" t="s">
        <v>146</v>
      </c>
      <c r="D53" s="265">
        <v>41890</v>
      </c>
      <c r="E53" s="297" t="s">
        <v>169</v>
      </c>
      <c r="F53" s="297" t="s">
        <v>34</v>
      </c>
      <c r="G53" s="72" t="s">
        <v>39</v>
      </c>
      <c r="H53" s="73" t="s">
        <v>45</v>
      </c>
      <c r="I53" s="73">
        <v>27090000</v>
      </c>
      <c r="J53" s="74">
        <v>41878</v>
      </c>
      <c r="K53" s="75" t="s">
        <v>84</v>
      </c>
      <c r="L53" s="76" t="s">
        <v>47</v>
      </c>
      <c r="M53" s="73" t="s">
        <v>53</v>
      </c>
      <c r="N53" s="77" t="s">
        <v>49</v>
      </c>
      <c r="O53" s="78">
        <v>95500</v>
      </c>
      <c r="P53" s="79">
        <f t="shared" si="20"/>
        <v>9726197.5</v>
      </c>
      <c r="Q53" s="79">
        <f t="shared" si="21"/>
        <v>1514660736.675</v>
      </c>
      <c r="R53" s="79" t="s">
        <v>25</v>
      </c>
      <c r="S53" s="80">
        <v>101.845</v>
      </c>
      <c r="T53" s="81">
        <f t="shared" si="22"/>
        <v>41968</v>
      </c>
      <c r="U53" s="82" t="s">
        <v>35</v>
      </c>
      <c r="V53" s="79">
        <f t="shared" si="23"/>
        <v>11671.436999999998</v>
      </c>
      <c r="W53" s="80">
        <v>155.72999999999999</v>
      </c>
      <c r="X53" s="79">
        <f t="shared" si="24"/>
        <v>1817592.8840099997</v>
      </c>
      <c r="Y53" s="79" t="s">
        <v>35</v>
      </c>
      <c r="Z53" s="84" t="s">
        <v>35</v>
      </c>
      <c r="AA53" s="241" t="s">
        <v>35</v>
      </c>
    </row>
    <row r="54" spans="1:27" s="85" customFormat="1" ht="90.75" customHeight="1" x14ac:dyDescent="0.45">
      <c r="A54" s="253">
        <v>23</v>
      </c>
      <c r="B54" s="71" t="s">
        <v>113</v>
      </c>
      <c r="C54" s="302" t="s">
        <v>147</v>
      </c>
      <c r="D54" s="265">
        <v>41890</v>
      </c>
      <c r="E54" s="297" t="s">
        <v>170</v>
      </c>
      <c r="F54" s="297" t="s">
        <v>34</v>
      </c>
      <c r="G54" s="72" t="s">
        <v>39</v>
      </c>
      <c r="H54" s="73" t="s">
        <v>45</v>
      </c>
      <c r="I54" s="73">
        <v>27090000</v>
      </c>
      <c r="J54" s="74">
        <v>41878</v>
      </c>
      <c r="K54" s="75" t="s">
        <v>84</v>
      </c>
      <c r="L54" s="76" t="s">
        <v>47</v>
      </c>
      <c r="M54" s="73" t="s">
        <v>53</v>
      </c>
      <c r="N54" s="77" t="s">
        <v>49</v>
      </c>
      <c r="O54" s="78">
        <v>183360</v>
      </c>
      <c r="P54" s="79">
        <f t="shared" si="20"/>
        <v>18674299.199999999</v>
      </c>
      <c r="Q54" s="79">
        <f t="shared" si="21"/>
        <v>2908148614.4159999</v>
      </c>
      <c r="R54" s="79" t="s">
        <v>25</v>
      </c>
      <c r="S54" s="80">
        <v>101.845</v>
      </c>
      <c r="T54" s="81">
        <f t="shared" si="22"/>
        <v>41968</v>
      </c>
      <c r="U54" s="82" t="s">
        <v>35</v>
      </c>
      <c r="V54" s="79">
        <f t="shared" si="23"/>
        <v>22409.159039999999</v>
      </c>
      <c r="W54" s="80">
        <v>155.72999999999999</v>
      </c>
      <c r="X54" s="79">
        <f t="shared" si="24"/>
        <v>3489778.3372991998</v>
      </c>
      <c r="Y54" s="79" t="s">
        <v>35</v>
      </c>
      <c r="Z54" s="84" t="s">
        <v>35</v>
      </c>
      <c r="AA54" s="241" t="s">
        <v>35</v>
      </c>
    </row>
    <row r="55" spans="1:27" s="85" customFormat="1" ht="90.75" customHeight="1" x14ac:dyDescent="0.45">
      <c r="A55" s="253">
        <v>24</v>
      </c>
      <c r="B55" s="71" t="s">
        <v>114</v>
      </c>
      <c r="C55" s="302" t="s">
        <v>148</v>
      </c>
      <c r="D55" s="265">
        <v>41890</v>
      </c>
      <c r="E55" s="297" t="s">
        <v>171</v>
      </c>
      <c r="F55" s="297" t="s">
        <v>34</v>
      </c>
      <c r="G55" s="72" t="s">
        <v>39</v>
      </c>
      <c r="H55" s="73" t="s">
        <v>45</v>
      </c>
      <c r="I55" s="73">
        <v>27090000</v>
      </c>
      <c r="J55" s="74">
        <v>41878</v>
      </c>
      <c r="K55" s="75" t="s">
        <v>84</v>
      </c>
      <c r="L55" s="76" t="s">
        <v>47</v>
      </c>
      <c r="M55" s="73" t="s">
        <v>53</v>
      </c>
      <c r="N55" s="77" t="s">
        <v>49</v>
      </c>
      <c r="O55" s="78">
        <v>614565</v>
      </c>
      <c r="P55" s="79">
        <f t="shared" si="20"/>
        <v>62590372.424999997</v>
      </c>
      <c r="Q55" s="79">
        <f t="shared" si="21"/>
        <v>9747198697.7452488</v>
      </c>
      <c r="R55" s="79" t="s">
        <v>25</v>
      </c>
      <c r="S55" s="80">
        <v>101.845</v>
      </c>
      <c r="T55" s="81">
        <f t="shared" si="22"/>
        <v>41968</v>
      </c>
      <c r="U55" s="82" t="s">
        <v>35</v>
      </c>
      <c r="V55" s="79">
        <f t="shared" si="23"/>
        <v>75108.446909999984</v>
      </c>
      <c r="W55" s="80">
        <v>155.72999999999999</v>
      </c>
      <c r="X55" s="79">
        <f t="shared" si="24"/>
        <v>11696638.437294297</v>
      </c>
      <c r="Y55" s="79" t="s">
        <v>35</v>
      </c>
      <c r="Z55" s="84" t="s">
        <v>35</v>
      </c>
      <c r="AA55" s="241" t="s">
        <v>35</v>
      </c>
    </row>
    <row r="56" spans="1:27" s="85" customFormat="1" ht="90.75" customHeight="1" x14ac:dyDescent="0.45">
      <c r="A56" s="321">
        <v>25</v>
      </c>
      <c r="B56" s="71" t="s">
        <v>115</v>
      </c>
      <c r="C56" s="324" t="s">
        <v>149</v>
      </c>
      <c r="D56" s="265">
        <v>41890</v>
      </c>
      <c r="E56" s="318" t="s">
        <v>172</v>
      </c>
      <c r="F56" s="297" t="s">
        <v>34</v>
      </c>
      <c r="G56" s="72" t="s">
        <v>39</v>
      </c>
      <c r="H56" s="73" t="s">
        <v>46</v>
      </c>
      <c r="I56" s="73">
        <v>27090000</v>
      </c>
      <c r="J56" s="74">
        <v>41881</v>
      </c>
      <c r="K56" s="75" t="s">
        <v>86</v>
      </c>
      <c r="L56" s="76" t="s">
        <v>48</v>
      </c>
      <c r="M56" s="73" t="s">
        <v>53</v>
      </c>
      <c r="N56" s="77" t="s">
        <v>129</v>
      </c>
      <c r="O56" s="78">
        <v>200000</v>
      </c>
      <c r="P56" s="79">
        <f t="shared" si="20"/>
        <v>20405000</v>
      </c>
      <c r="Q56" s="79">
        <f t="shared" si="21"/>
        <v>3177670650</v>
      </c>
      <c r="R56" s="79" t="s">
        <v>25</v>
      </c>
      <c r="S56" s="80">
        <v>102.02500000000001</v>
      </c>
      <c r="T56" s="81">
        <f t="shared" si="22"/>
        <v>41971</v>
      </c>
      <c r="U56" s="82" t="s">
        <v>35</v>
      </c>
      <c r="V56" s="79">
        <f t="shared" si="23"/>
        <v>24485.999999999996</v>
      </c>
      <c r="W56" s="80">
        <v>155.72999999999999</v>
      </c>
      <c r="X56" s="79">
        <f t="shared" si="24"/>
        <v>3813204.7799999993</v>
      </c>
      <c r="Y56" s="79" t="s">
        <v>35</v>
      </c>
      <c r="Z56" s="84" t="s">
        <v>35</v>
      </c>
      <c r="AA56" s="241" t="s">
        <v>35</v>
      </c>
    </row>
    <row r="57" spans="1:27" s="85" customFormat="1" ht="90.75" customHeight="1" x14ac:dyDescent="0.45">
      <c r="A57" s="323"/>
      <c r="B57" s="71" t="s">
        <v>116</v>
      </c>
      <c r="C57" s="326"/>
      <c r="D57" s="265">
        <v>41890</v>
      </c>
      <c r="E57" s="319"/>
      <c r="F57" s="297" t="s">
        <v>34</v>
      </c>
      <c r="G57" s="72" t="s">
        <v>39</v>
      </c>
      <c r="H57" s="73" t="s">
        <v>46</v>
      </c>
      <c r="I57" s="73">
        <v>27090000</v>
      </c>
      <c r="J57" s="74">
        <v>41881</v>
      </c>
      <c r="K57" s="75" t="s">
        <v>86</v>
      </c>
      <c r="L57" s="76" t="s">
        <v>48</v>
      </c>
      <c r="M57" s="73" t="s">
        <v>53</v>
      </c>
      <c r="N57" s="77" t="s">
        <v>129</v>
      </c>
      <c r="O57" s="78">
        <v>200000</v>
      </c>
      <c r="P57" s="79">
        <f t="shared" si="20"/>
        <v>20405000</v>
      </c>
      <c r="Q57" s="79">
        <f t="shared" si="21"/>
        <v>3177670650</v>
      </c>
      <c r="R57" s="79" t="s">
        <v>25</v>
      </c>
      <c r="S57" s="80">
        <v>102.02500000000001</v>
      </c>
      <c r="T57" s="81">
        <f t="shared" si="22"/>
        <v>41971</v>
      </c>
      <c r="U57" s="82" t="s">
        <v>35</v>
      </c>
      <c r="V57" s="79">
        <f t="shared" si="23"/>
        <v>24485.999999999996</v>
      </c>
      <c r="W57" s="80">
        <v>155.72999999999999</v>
      </c>
      <c r="X57" s="79">
        <f t="shared" si="24"/>
        <v>3813204.7799999993</v>
      </c>
      <c r="Y57" s="79" t="s">
        <v>35</v>
      </c>
      <c r="Z57" s="84" t="s">
        <v>35</v>
      </c>
      <c r="AA57" s="241" t="s">
        <v>35</v>
      </c>
    </row>
    <row r="58" spans="1:27" s="85" customFormat="1" ht="90.75" customHeight="1" x14ac:dyDescent="0.45">
      <c r="A58" s="323"/>
      <c r="B58" s="71" t="s">
        <v>117</v>
      </c>
      <c r="C58" s="326"/>
      <c r="D58" s="265">
        <v>41890</v>
      </c>
      <c r="E58" s="319"/>
      <c r="F58" s="297" t="s">
        <v>34</v>
      </c>
      <c r="G58" s="72" t="s">
        <v>39</v>
      </c>
      <c r="H58" s="73" t="s">
        <v>46</v>
      </c>
      <c r="I58" s="73">
        <v>27090000</v>
      </c>
      <c r="J58" s="74">
        <v>41881</v>
      </c>
      <c r="K58" s="75" t="s">
        <v>86</v>
      </c>
      <c r="L58" s="76" t="s">
        <v>48</v>
      </c>
      <c r="M58" s="73" t="s">
        <v>53</v>
      </c>
      <c r="N58" s="77" t="s">
        <v>129</v>
      </c>
      <c r="O58" s="78">
        <v>200000</v>
      </c>
      <c r="P58" s="79">
        <f t="shared" si="20"/>
        <v>20405000</v>
      </c>
      <c r="Q58" s="79">
        <f t="shared" si="21"/>
        <v>3177670650</v>
      </c>
      <c r="R58" s="79" t="s">
        <v>25</v>
      </c>
      <c r="S58" s="80">
        <v>102.02500000000001</v>
      </c>
      <c r="T58" s="81">
        <f t="shared" si="22"/>
        <v>41971</v>
      </c>
      <c r="U58" s="82" t="s">
        <v>35</v>
      </c>
      <c r="V58" s="79">
        <f t="shared" si="23"/>
        <v>24485.999999999996</v>
      </c>
      <c r="W58" s="80">
        <v>155.72999999999999</v>
      </c>
      <c r="X58" s="79">
        <f t="shared" si="24"/>
        <v>3813204.7799999993</v>
      </c>
      <c r="Y58" s="79" t="s">
        <v>35</v>
      </c>
      <c r="Z58" s="84" t="s">
        <v>35</v>
      </c>
      <c r="AA58" s="241" t="s">
        <v>35</v>
      </c>
    </row>
    <row r="59" spans="1:27" s="85" customFormat="1" ht="90.75" customHeight="1" x14ac:dyDescent="0.45">
      <c r="A59" s="323"/>
      <c r="B59" s="71" t="s">
        <v>118</v>
      </c>
      <c r="C59" s="326"/>
      <c r="D59" s="265">
        <v>41890</v>
      </c>
      <c r="E59" s="319"/>
      <c r="F59" s="297" t="s">
        <v>34</v>
      </c>
      <c r="G59" s="72" t="s">
        <v>39</v>
      </c>
      <c r="H59" s="73" t="s">
        <v>46</v>
      </c>
      <c r="I59" s="73">
        <v>27090000</v>
      </c>
      <c r="J59" s="74">
        <v>41881</v>
      </c>
      <c r="K59" s="75" t="s">
        <v>86</v>
      </c>
      <c r="L59" s="76" t="s">
        <v>48</v>
      </c>
      <c r="M59" s="73" t="s">
        <v>53</v>
      </c>
      <c r="N59" s="77" t="s">
        <v>129</v>
      </c>
      <c r="O59" s="78">
        <v>200000</v>
      </c>
      <c r="P59" s="79">
        <f t="shared" si="20"/>
        <v>20405000</v>
      </c>
      <c r="Q59" s="79">
        <f t="shared" si="21"/>
        <v>3177670650</v>
      </c>
      <c r="R59" s="79" t="s">
        <v>25</v>
      </c>
      <c r="S59" s="80">
        <v>102.02500000000001</v>
      </c>
      <c r="T59" s="81">
        <f t="shared" si="22"/>
        <v>41971</v>
      </c>
      <c r="U59" s="82" t="s">
        <v>35</v>
      </c>
      <c r="V59" s="79">
        <f t="shared" si="23"/>
        <v>24485.999999999996</v>
      </c>
      <c r="W59" s="80">
        <v>155.72999999999999</v>
      </c>
      <c r="X59" s="79">
        <f t="shared" si="24"/>
        <v>3813204.7799999993</v>
      </c>
      <c r="Y59" s="79" t="s">
        <v>35</v>
      </c>
      <c r="Z59" s="84" t="s">
        <v>35</v>
      </c>
      <c r="AA59" s="241" t="s">
        <v>35</v>
      </c>
    </row>
    <row r="60" spans="1:27" s="85" customFormat="1" ht="90.75" customHeight="1" x14ac:dyDescent="0.45">
      <c r="A60" s="322"/>
      <c r="B60" s="71" t="s">
        <v>119</v>
      </c>
      <c r="C60" s="325"/>
      <c r="D60" s="265">
        <v>41890</v>
      </c>
      <c r="E60" s="320"/>
      <c r="F60" s="297" t="s">
        <v>34</v>
      </c>
      <c r="G60" s="72" t="s">
        <v>39</v>
      </c>
      <c r="H60" s="73" t="s">
        <v>46</v>
      </c>
      <c r="I60" s="73">
        <v>27090000</v>
      </c>
      <c r="J60" s="74">
        <v>41881</v>
      </c>
      <c r="K60" s="75" t="s">
        <v>86</v>
      </c>
      <c r="L60" s="76" t="s">
        <v>48</v>
      </c>
      <c r="M60" s="73" t="s">
        <v>53</v>
      </c>
      <c r="N60" s="77" t="s">
        <v>129</v>
      </c>
      <c r="O60" s="78">
        <v>149881</v>
      </c>
      <c r="P60" s="79">
        <f t="shared" si="20"/>
        <v>15291609.025</v>
      </c>
      <c r="Q60" s="79">
        <f t="shared" si="21"/>
        <v>2381362273.4632497</v>
      </c>
      <c r="R60" s="79" t="s">
        <v>25</v>
      </c>
      <c r="S60" s="80">
        <v>102.02500000000001</v>
      </c>
      <c r="T60" s="81">
        <f t="shared" si="22"/>
        <v>41971</v>
      </c>
      <c r="U60" s="82" t="s">
        <v>35</v>
      </c>
      <c r="V60" s="79">
        <f t="shared" si="23"/>
        <v>18349.930829999998</v>
      </c>
      <c r="W60" s="80">
        <v>155.72999999999999</v>
      </c>
      <c r="X60" s="79">
        <f t="shared" si="24"/>
        <v>2857634.7281558993</v>
      </c>
      <c r="Y60" s="79" t="s">
        <v>35</v>
      </c>
      <c r="Z60" s="84" t="s">
        <v>35</v>
      </c>
      <c r="AA60" s="83" t="s">
        <v>35</v>
      </c>
    </row>
    <row r="61" spans="1:27" s="85" customFormat="1" ht="90.75" customHeight="1" x14ac:dyDescent="0.45">
      <c r="A61" s="253">
        <v>26</v>
      </c>
      <c r="B61" s="71" t="s">
        <v>120</v>
      </c>
      <c r="C61" s="302" t="s">
        <v>150</v>
      </c>
      <c r="D61" s="265">
        <v>41890</v>
      </c>
      <c r="E61" s="297" t="s">
        <v>173</v>
      </c>
      <c r="F61" s="297" t="s">
        <v>34</v>
      </c>
      <c r="G61" s="72" t="s">
        <v>39</v>
      </c>
      <c r="H61" s="73" t="s">
        <v>45</v>
      </c>
      <c r="I61" s="73">
        <v>27090000</v>
      </c>
      <c r="J61" s="74">
        <v>41881</v>
      </c>
      <c r="K61" s="75" t="s">
        <v>87</v>
      </c>
      <c r="L61" s="76" t="s">
        <v>47</v>
      </c>
      <c r="M61" s="73" t="s">
        <v>56</v>
      </c>
      <c r="N61" s="77" t="s">
        <v>52</v>
      </c>
      <c r="O61" s="78">
        <v>229200</v>
      </c>
      <c r="P61" s="79">
        <f t="shared" si="20"/>
        <v>23384130</v>
      </c>
      <c r="Q61" s="79">
        <f t="shared" si="21"/>
        <v>3641610564.8999996</v>
      </c>
      <c r="R61" s="79" t="s">
        <v>25</v>
      </c>
      <c r="S61" s="80">
        <v>102.02500000000001</v>
      </c>
      <c r="T61" s="81">
        <f t="shared" si="22"/>
        <v>41971</v>
      </c>
      <c r="U61" s="82" t="s">
        <v>35</v>
      </c>
      <c r="V61" s="79">
        <f t="shared" si="23"/>
        <v>28060.955999999998</v>
      </c>
      <c r="W61" s="80">
        <v>155.72999999999999</v>
      </c>
      <c r="X61" s="79">
        <f t="shared" si="24"/>
        <v>4369932.6778799994</v>
      </c>
      <c r="Y61" s="79" t="s">
        <v>35</v>
      </c>
      <c r="Z61" s="84" t="s">
        <v>35</v>
      </c>
      <c r="AA61" s="83" t="s">
        <v>35</v>
      </c>
    </row>
    <row r="62" spans="1:27" s="85" customFormat="1" ht="90.75" customHeight="1" x14ac:dyDescent="0.45">
      <c r="A62" s="253">
        <v>27</v>
      </c>
      <c r="B62" s="71" t="s">
        <v>121</v>
      </c>
      <c r="C62" s="302" t="s">
        <v>151</v>
      </c>
      <c r="D62" s="265">
        <v>41890</v>
      </c>
      <c r="E62" s="297" t="s">
        <v>174</v>
      </c>
      <c r="F62" s="297" t="s">
        <v>34</v>
      </c>
      <c r="G62" s="72" t="s">
        <v>39</v>
      </c>
      <c r="H62" s="73" t="s">
        <v>45</v>
      </c>
      <c r="I62" s="73">
        <v>27090000</v>
      </c>
      <c r="J62" s="74">
        <v>41881</v>
      </c>
      <c r="K62" s="75" t="s">
        <v>87</v>
      </c>
      <c r="L62" s="76" t="s">
        <v>47</v>
      </c>
      <c r="M62" s="73" t="s">
        <v>56</v>
      </c>
      <c r="N62" s="77" t="s">
        <v>52</v>
      </c>
      <c r="O62" s="78">
        <v>238750</v>
      </c>
      <c r="P62" s="79">
        <f t="shared" si="20"/>
        <v>24358468.75</v>
      </c>
      <c r="Q62" s="79">
        <f t="shared" si="21"/>
        <v>3793344338.4374995</v>
      </c>
      <c r="R62" s="79" t="s">
        <v>25</v>
      </c>
      <c r="S62" s="80">
        <v>102.02500000000001</v>
      </c>
      <c r="T62" s="81">
        <f t="shared" si="22"/>
        <v>41971</v>
      </c>
      <c r="U62" s="82" t="s">
        <v>35</v>
      </c>
      <c r="V62" s="79">
        <f t="shared" si="23"/>
        <v>29230.162499999999</v>
      </c>
      <c r="W62" s="80">
        <v>155.72999999999999</v>
      </c>
      <c r="X62" s="79">
        <f t="shared" si="24"/>
        <v>4552013.2061249996</v>
      </c>
      <c r="Y62" s="79" t="s">
        <v>35</v>
      </c>
      <c r="Z62" s="84" t="s">
        <v>35</v>
      </c>
      <c r="AA62" s="83" t="s">
        <v>35</v>
      </c>
    </row>
    <row r="63" spans="1:27" s="85" customFormat="1" ht="90.75" customHeight="1" x14ac:dyDescent="0.45">
      <c r="A63" s="253">
        <v>28</v>
      </c>
      <c r="B63" s="71" t="s">
        <v>122</v>
      </c>
      <c r="C63" s="302" t="s">
        <v>152</v>
      </c>
      <c r="D63" s="265">
        <v>41890</v>
      </c>
      <c r="E63" s="297" t="s">
        <v>175</v>
      </c>
      <c r="F63" s="297" t="s">
        <v>34</v>
      </c>
      <c r="G63" s="72" t="s">
        <v>39</v>
      </c>
      <c r="H63" s="73" t="s">
        <v>45</v>
      </c>
      <c r="I63" s="73">
        <v>27090000</v>
      </c>
      <c r="J63" s="74">
        <v>41881</v>
      </c>
      <c r="K63" s="75" t="s">
        <v>87</v>
      </c>
      <c r="L63" s="76" t="s">
        <v>47</v>
      </c>
      <c r="M63" s="73" t="s">
        <v>56</v>
      </c>
      <c r="N63" s="77" t="s">
        <v>52</v>
      </c>
      <c r="O63" s="78">
        <v>439318</v>
      </c>
      <c r="P63" s="79">
        <f t="shared" si="20"/>
        <v>44821418.950000003</v>
      </c>
      <c r="Q63" s="79">
        <f t="shared" si="21"/>
        <v>6980039573.0834999</v>
      </c>
      <c r="R63" s="79" t="s">
        <v>25</v>
      </c>
      <c r="S63" s="80">
        <v>102.02500000000001</v>
      </c>
      <c r="T63" s="81">
        <f t="shared" si="22"/>
        <v>41971</v>
      </c>
      <c r="U63" s="82" t="s">
        <v>35</v>
      </c>
      <c r="V63" s="79">
        <f t="shared" si="23"/>
        <v>53785.702740000001</v>
      </c>
      <c r="W63" s="80">
        <v>155.72999999999999</v>
      </c>
      <c r="X63" s="79">
        <f t="shared" si="24"/>
        <v>8376047.4877001997</v>
      </c>
      <c r="Y63" s="79" t="s">
        <v>35</v>
      </c>
      <c r="Z63" s="84" t="s">
        <v>35</v>
      </c>
      <c r="AA63" s="83" t="s">
        <v>35</v>
      </c>
    </row>
    <row r="64" spans="1:27" s="85" customFormat="1" ht="90.75" customHeight="1" x14ac:dyDescent="0.45">
      <c r="A64" s="321">
        <v>29</v>
      </c>
      <c r="B64" s="71" t="s">
        <v>123</v>
      </c>
      <c r="C64" s="324" t="s">
        <v>153</v>
      </c>
      <c r="D64" s="265">
        <v>41890</v>
      </c>
      <c r="E64" s="318" t="s">
        <v>176</v>
      </c>
      <c r="F64" s="297" t="s">
        <v>34</v>
      </c>
      <c r="G64" s="72" t="s">
        <v>39</v>
      </c>
      <c r="H64" s="73" t="s">
        <v>46</v>
      </c>
      <c r="I64" s="73">
        <v>27090000</v>
      </c>
      <c r="J64" s="74">
        <v>41882</v>
      </c>
      <c r="K64" s="75" t="s">
        <v>88</v>
      </c>
      <c r="L64" s="76" t="s">
        <v>48</v>
      </c>
      <c r="M64" s="73" t="s">
        <v>55</v>
      </c>
      <c r="N64" s="77" t="s">
        <v>51</v>
      </c>
      <c r="O64" s="78">
        <v>475000</v>
      </c>
      <c r="P64" s="79">
        <f t="shared" si="20"/>
        <v>48379700</v>
      </c>
      <c r="Q64" s="79">
        <f t="shared" si="21"/>
        <v>7534170680.999999</v>
      </c>
      <c r="R64" s="79" t="s">
        <v>25</v>
      </c>
      <c r="S64" s="80">
        <v>101.852</v>
      </c>
      <c r="T64" s="81">
        <f t="shared" si="22"/>
        <v>41972</v>
      </c>
      <c r="U64" s="82" t="s">
        <v>35</v>
      </c>
      <c r="V64" s="79">
        <f t="shared" si="23"/>
        <v>58055.639999999992</v>
      </c>
      <c r="W64" s="80">
        <v>155.72999999999999</v>
      </c>
      <c r="X64" s="79">
        <f t="shared" si="24"/>
        <v>9041004.8171999976</v>
      </c>
      <c r="Y64" s="79" t="s">
        <v>35</v>
      </c>
      <c r="Z64" s="84" t="s">
        <v>35</v>
      </c>
      <c r="AA64" s="83" t="s">
        <v>35</v>
      </c>
    </row>
    <row r="65" spans="1:27" s="85" customFormat="1" ht="90.75" customHeight="1" x14ac:dyDescent="0.45">
      <c r="A65" s="322"/>
      <c r="B65" s="71" t="s">
        <v>124</v>
      </c>
      <c r="C65" s="325"/>
      <c r="D65" s="265">
        <v>41890</v>
      </c>
      <c r="E65" s="320"/>
      <c r="F65" s="297" t="s">
        <v>34</v>
      </c>
      <c r="G65" s="72" t="s">
        <v>39</v>
      </c>
      <c r="H65" s="73" t="s">
        <v>46</v>
      </c>
      <c r="I65" s="73">
        <v>27090000</v>
      </c>
      <c r="J65" s="74">
        <v>41882</v>
      </c>
      <c r="K65" s="75" t="s">
        <v>88</v>
      </c>
      <c r="L65" s="76" t="s">
        <v>48</v>
      </c>
      <c r="M65" s="73" t="s">
        <v>134</v>
      </c>
      <c r="N65" s="77" t="s">
        <v>130</v>
      </c>
      <c r="O65" s="78">
        <v>475053</v>
      </c>
      <c r="P65" s="79">
        <f t="shared" si="20"/>
        <v>48385098.156000003</v>
      </c>
      <c r="Q65" s="79">
        <f t="shared" si="21"/>
        <v>7535011335.8338804</v>
      </c>
      <c r="R65" s="79" t="s">
        <v>25</v>
      </c>
      <c r="S65" s="80">
        <v>101.852</v>
      </c>
      <c r="T65" s="81">
        <f t="shared" si="22"/>
        <v>41972</v>
      </c>
      <c r="U65" s="82" t="s">
        <v>35</v>
      </c>
      <c r="V65" s="79">
        <f t="shared" si="23"/>
        <v>58062.117787199997</v>
      </c>
      <c r="W65" s="80">
        <v>155.72999999999999</v>
      </c>
      <c r="X65" s="79">
        <f t="shared" si="24"/>
        <v>9042013.6030006558</v>
      </c>
      <c r="Y65" s="79" t="s">
        <v>35</v>
      </c>
      <c r="Z65" s="84" t="s">
        <v>35</v>
      </c>
      <c r="AA65" s="83" t="s">
        <v>35</v>
      </c>
    </row>
    <row r="66" spans="1:27" ht="48" customHeight="1" x14ac:dyDescent="0.45">
      <c r="A66" s="253"/>
      <c r="B66" s="71"/>
      <c r="C66" s="75"/>
      <c r="D66" s="265"/>
      <c r="E66" s="84"/>
      <c r="F66" s="75"/>
      <c r="G66" s="72"/>
      <c r="H66" s="73"/>
      <c r="I66" s="73"/>
      <c r="J66" s="86"/>
      <c r="K66" s="75"/>
      <c r="L66" s="87"/>
      <c r="M66" s="73"/>
      <c r="N66" s="77"/>
      <c r="O66" s="78"/>
      <c r="P66" s="79"/>
      <c r="Q66" s="79"/>
      <c r="R66" s="79"/>
      <c r="S66" s="80"/>
      <c r="T66" s="81"/>
      <c r="U66" s="82"/>
      <c r="V66" s="79"/>
      <c r="W66" s="80"/>
      <c r="X66" s="79"/>
      <c r="Y66" s="79"/>
      <c r="Z66" s="84"/>
      <c r="AA66" s="83"/>
    </row>
    <row r="67" spans="1:27" ht="48" customHeight="1" x14ac:dyDescent="0.45">
      <c r="A67" s="253"/>
      <c r="B67" s="73"/>
      <c r="C67" s="82"/>
      <c r="D67" s="265"/>
      <c r="E67" s="82"/>
      <c r="F67" s="82"/>
      <c r="G67" s="72"/>
      <c r="H67" s="73"/>
      <c r="I67" s="73"/>
      <c r="J67" s="74"/>
      <c r="K67" s="75"/>
      <c r="L67" s="75"/>
      <c r="M67" s="73"/>
      <c r="N67" s="266"/>
      <c r="O67" s="78"/>
      <c r="P67" s="79"/>
      <c r="Q67" s="79"/>
      <c r="R67" s="79"/>
      <c r="S67" s="80"/>
      <c r="T67" s="81"/>
      <c r="U67" s="75"/>
      <c r="V67" s="79"/>
      <c r="W67" s="80"/>
      <c r="X67" s="79"/>
      <c r="Y67" s="79"/>
      <c r="Z67" s="82"/>
      <c r="AA67" s="281"/>
    </row>
    <row r="68" spans="1:27" ht="53.25" customHeight="1" thickBot="1" x14ac:dyDescent="0.55000000000000004">
      <c r="A68" s="220"/>
      <c r="B68" s="221" t="s">
        <v>27</v>
      </c>
      <c r="C68" s="222"/>
      <c r="D68" s="223"/>
      <c r="E68" s="222"/>
      <c r="F68" s="222"/>
      <c r="G68" s="224"/>
      <c r="H68" s="221"/>
      <c r="I68" s="221"/>
      <c r="J68" s="225"/>
      <c r="K68" s="226"/>
      <c r="L68" s="226"/>
      <c r="M68" s="221"/>
      <c r="N68" s="227"/>
      <c r="O68" s="228">
        <f>SUM(O30:O65)</f>
        <v>19874571</v>
      </c>
      <c r="P68" s="229">
        <f>SUM(P30:P65)</f>
        <v>2037550350.3230002</v>
      </c>
      <c r="Q68" s="229">
        <f>SUM(Q30:Q65)</f>
        <v>317307716055.80078</v>
      </c>
      <c r="R68" s="229"/>
      <c r="S68" s="230"/>
      <c r="T68" s="231"/>
      <c r="U68" s="226"/>
      <c r="V68" s="229">
        <f>SUM(V30:V65)</f>
        <v>2445060.4203876001</v>
      </c>
      <c r="W68" s="230"/>
      <c r="X68" s="229">
        <f>SUM(X30:X65)</f>
        <v>380769259.26696086</v>
      </c>
      <c r="Y68" s="229">
        <f>SUM(Y30:Y65)</f>
        <v>2248678.91</v>
      </c>
      <c r="Z68" s="222"/>
      <c r="AA68" s="232"/>
    </row>
    <row r="69" spans="1:27" ht="15.75" customHeight="1" x14ac:dyDescent="0.2">
      <c r="A69" s="7"/>
      <c r="B69" s="8"/>
      <c r="C69" s="6"/>
      <c r="D69" s="17"/>
      <c r="E69" s="18"/>
      <c r="F69" s="6"/>
      <c r="G69" s="19"/>
      <c r="H69" s="6"/>
      <c r="I69" s="6"/>
      <c r="J69" s="20"/>
      <c r="K69" s="8"/>
      <c r="L69" s="8"/>
      <c r="M69" s="6"/>
      <c r="N69" s="6"/>
      <c r="O69" s="21"/>
      <c r="P69" s="22"/>
      <c r="Q69" s="22"/>
      <c r="R69" s="22"/>
      <c r="S69" s="27"/>
      <c r="V69" s="22"/>
      <c r="W69" s="27"/>
      <c r="X69" s="22"/>
      <c r="Y69" s="22"/>
      <c r="Z69" s="6"/>
      <c r="AA69" s="6"/>
    </row>
    <row r="70" spans="1:27" ht="15.75" customHeight="1" x14ac:dyDescent="0.2"/>
    <row r="71" spans="1:27" ht="15.75" customHeight="1" x14ac:dyDescent="0.2"/>
    <row r="80" spans="1:27" x14ac:dyDescent="0.2">
      <c r="N80" s="23"/>
      <c r="O80" s="24"/>
    </row>
  </sheetData>
  <mergeCells count="11">
    <mergeCell ref="E43:E44"/>
    <mergeCell ref="E56:E60"/>
    <mergeCell ref="E64:E65"/>
    <mergeCell ref="A43:A44"/>
    <mergeCell ref="A50:A51"/>
    <mergeCell ref="A56:A60"/>
    <mergeCell ref="A64:A65"/>
    <mergeCell ref="E50:E51"/>
    <mergeCell ref="C50:C51"/>
    <mergeCell ref="C56:C60"/>
    <mergeCell ref="C64:C65"/>
  </mergeCells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68" max="25" man="1"/>
  </rowBreaks>
  <colBreaks count="1" manualBreakCount="1">
    <brk id="14" max="42" man="1"/>
  </colBreaks>
  <ignoredErrors>
    <ignoredError sqref="E30:E65 Z34:Z3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3"/>
  <sheetViews>
    <sheetView topLeftCell="K5" zoomScale="30" zoomScaleNormal="30" zoomScaleSheetLayoutView="10" workbookViewId="0">
      <selection activeCell="P35" sqref="P35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88" customFormat="1" ht="42" customHeight="1" x14ac:dyDescent="0.6">
      <c r="B18" s="89"/>
      <c r="C18" s="90"/>
      <c r="D18" s="90"/>
      <c r="E18" s="91"/>
      <c r="F18" s="90"/>
      <c r="G18" s="90"/>
      <c r="H18" s="90"/>
      <c r="I18" s="90"/>
      <c r="J18" s="92"/>
      <c r="K18" s="90"/>
      <c r="L18" s="90"/>
      <c r="M18" s="90"/>
      <c r="N18" s="90"/>
      <c r="O18" s="93"/>
      <c r="P18" s="94"/>
      <c r="Q18" s="94"/>
      <c r="R18" s="94"/>
      <c r="S18" s="95"/>
      <c r="T18" s="96"/>
      <c r="U18" s="90"/>
      <c r="V18" s="94"/>
      <c r="W18" s="95"/>
      <c r="X18" s="94"/>
      <c r="Y18" s="94"/>
      <c r="Z18" s="90"/>
      <c r="AA18" s="90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</row>
    <row r="19" spans="1:69" s="98" customFormat="1" ht="27" customHeight="1" x14ac:dyDescent="0.6">
      <c r="A19" s="208"/>
      <c r="B19" s="149"/>
      <c r="C19" s="148"/>
      <c r="D19" s="150"/>
      <c r="E19" s="151"/>
      <c r="F19" s="148"/>
      <c r="G19" s="152"/>
      <c r="H19" s="153"/>
      <c r="I19" s="154"/>
      <c r="J19" s="155"/>
      <c r="K19" s="149"/>
      <c r="L19" s="156"/>
      <c r="M19" s="154"/>
      <c r="N19" s="157"/>
      <c r="O19" s="158"/>
      <c r="P19" s="159"/>
      <c r="Q19" s="160"/>
      <c r="R19" s="161"/>
      <c r="S19" s="162"/>
      <c r="T19" s="163"/>
      <c r="U19" s="148"/>
      <c r="V19" s="160"/>
      <c r="W19" s="164"/>
      <c r="X19" s="161"/>
      <c r="Y19" s="161"/>
      <c r="Z19" s="151"/>
      <c r="AA19" s="150"/>
      <c r="AB19" s="248"/>
    </row>
    <row r="20" spans="1:69" s="99" customFormat="1" ht="72" customHeight="1" x14ac:dyDescent="0.6">
      <c r="A20" s="209"/>
      <c r="B20" s="195" t="s">
        <v>69</v>
      </c>
      <c r="C20" s="117"/>
      <c r="D20" s="117"/>
      <c r="E20" s="196"/>
      <c r="F20" s="117"/>
      <c r="G20" s="117"/>
      <c r="H20" s="117"/>
      <c r="I20" s="117"/>
      <c r="J20" s="197"/>
      <c r="K20" s="117"/>
      <c r="L20" s="117"/>
      <c r="M20" s="117"/>
      <c r="N20" s="117"/>
      <c r="O20" s="198"/>
      <c r="P20" s="176"/>
      <c r="Q20" s="176"/>
      <c r="R20" s="176"/>
      <c r="S20" s="199"/>
      <c r="T20" s="167"/>
      <c r="U20" s="117"/>
      <c r="V20" s="176"/>
      <c r="W20" s="199"/>
      <c r="X20" s="176"/>
      <c r="Y20" s="176"/>
      <c r="Z20" s="117"/>
      <c r="AA20" s="117"/>
      <c r="AB20" s="106"/>
    </row>
    <row r="21" spans="1:69" s="116" customFormat="1" ht="72" customHeight="1" thickBot="1" x14ac:dyDescent="0.6">
      <c r="A21" s="207"/>
      <c r="B21" s="166"/>
      <c r="C21" s="165"/>
      <c r="D21" s="167"/>
      <c r="E21" s="168"/>
      <c r="F21" s="165"/>
      <c r="G21" s="169"/>
      <c r="H21" s="170"/>
      <c r="I21" s="171"/>
      <c r="J21" s="172"/>
      <c r="K21" s="166"/>
      <c r="L21" s="173"/>
      <c r="M21" s="171"/>
      <c r="N21" s="174"/>
      <c r="O21" s="175"/>
      <c r="P21" s="176"/>
      <c r="Q21" s="177"/>
      <c r="R21" s="178"/>
      <c r="S21" s="179"/>
      <c r="T21" s="180"/>
      <c r="U21" s="165"/>
      <c r="V21" s="177"/>
      <c r="W21" s="181"/>
      <c r="X21" s="178"/>
      <c r="Y21" s="178"/>
      <c r="Z21" s="168"/>
      <c r="AA21" s="167"/>
      <c r="AB21" s="249"/>
    </row>
    <row r="22" spans="1:69" s="90" customFormat="1" ht="72" customHeight="1" x14ac:dyDescent="0.55000000000000004">
      <c r="A22" s="111">
        <v>1</v>
      </c>
      <c r="B22" s="112">
        <v>2</v>
      </c>
      <c r="C22" s="112">
        <v>3</v>
      </c>
      <c r="D22" s="113">
        <v>4</v>
      </c>
      <c r="E22" s="112">
        <v>5</v>
      </c>
      <c r="F22" s="112">
        <v>6</v>
      </c>
      <c r="G22" s="114">
        <v>7</v>
      </c>
      <c r="H22" s="112">
        <v>8</v>
      </c>
      <c r="I22" s="112">
        <v>9</v>
      </c>
      <c r="J22" s="112">
        <v>10</v>
      </c>
      <c r="K22" s="112">
        <v>11</v>
      </c>
      <c r="L22" s="112">
        <v>12</v>
      </c>
      <c r="M22" s="112">
        <v>13</v>
      </c>
      <c r="N22" s="112">
        <v>14</v>
      </c>
      <c r="O22" s="112">
        <v>15</v>
      </c>
      <c r="P22" s="112">
        <v>16</v>
      </c>
      <c r="Q22" s="112">
        <v>17</v>
      </c>
      <c r="R22" s="112">
        <v>18</v>
      </c>
      <c r="S22" s="112">
        <v>19</v>
      </c>
      <c r="T22" s="112">
        <v>20</v>
      </c>
      <c r="U22" s="112">
        <v>21</v>
      </c>
      <c r="V22" s="112">
        <v>22</v>
      </c>
      <c r="W22" s="112">
        <v>23</v>
      </c>
      <c r="X22" s="112">
        <v>24</v>
      </c>
      <c r="Y22" s="112">
        <v>25</v>
      </c>
      <c r="Z22" s="112">
        <v>26</v>
      </c>
      <c r="AA22" s="115">
        <v>27</v>
      </c>
    </row>
    <row r="23" spans="1:69" s="90" customFormat="1" ht="72" customHeight="1" thickBot="1" x14ac:dyDescent="0.6">
      <c r="A23" s="282" t="s">
        <v>0</v>
      </c>
      <c r="B23" s="283" t="s">
        <v>1</v>
      </c>
      <c r="C23" s="284" t="s">
        <v>2</v>
      </c>
      <c r="D23" s="285" t="s">
        <v>3</v>
      </c>
      <c r="E23" s="286" t="s">
        <v>4</v>
      </c>
      <c r="F23" s="283" t="s">
        <v>5</v>
      </c>
      <c r="G23" s="287" t="s">
        <v>6</v>
      </c>
      <c r="H23" s="284" t="s">
        <v>7</v>
      </c>
      <c r="I23" s="284" t="s">
        <v>8</v>
      </c>
      <c r="J23" s="285" t="s">
        <v>9</v>
      </c>
      <c r="K23" s="283" t="s">
        <v>10</v>
      </c>
      <c r="L23" s="283" t="s">
        <v>11</v>
      </c>
      <c r="M23" s="284" t="s">
        <v>12</v>
      </c>
      <c r="N23" s="284" t="s">
        <v>13</v>
      </c>
      <c r="O23" s="288" t="s">
        <v>14</v>
      </c>
      <c r="P23" s="289" t="s">
        <v>28</v>
      </c>
      <c r="Q23" s="289" t="s">
        <v>30</v>
      </c>
      <c r="R23" s="289" t="s">
        <v>15</v>
      </c>
      <c r="S23" s="290" t="s">
        <v>16</v>
      </c>
      <c r="T23" s="285" t="s">
        <v>17</v>
      </c>
      <c r="U23" s="284" t="s">
        <v>18</v>
      </c>
      <c r="V23" s="289" t="s">
        <v>19</v>
      </c>
      <c r="W23" s="290" t="s">
        <v>29</v>
      </c>
      <c r="X23" s="289" t="s">
        <v>21</v>
      </c>
      <c r="Y23" s="289" t="s">
        <v>22</v>
      </c>
      <c r="Z23" s="284" t="s">
        <v>24</v>
      </c>
      <c r="AA23" s="291" t="s">
        <v>23</v>
      </c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</row>
    <row r="24" spans="1:69" s="90" customFormat="1" ht="72" customHeight="1" x14ac:dyDescent="0.55000000000000004">
      <c r="A24" s="201">
        <v>1</v>
      </c>
      <c r="B24" s="203" t="s">
        <v>234</v>
      </c>
      <c r="C24" s="210" t="s">
        <v>236</v>
      </c>
      <c r="D24" s="211">
        <v>41883</v>
      </c>
      <c r="E24" s="212" t="s">
        <v>237</v>
      </c>
      <c r="F24" s="202" t="s">
        <v>37</v>
      </c>
      <c r="G24" s="202" t="s">
        <v>44</v>
      </c>
      <c r="H24" s="202" t="s">
        <v>45</v>
      </c>
      <c r="I24" s="202">
        <v>27090000</v>
      </c>
      <c r="J24" s="204">
        <v>41703</v>
      </c>
      <c r="K24" s="203" t="s">
        <v>233</v>
      </c>
      <c r="L24" s="203" t="s">
        <v>47</v>
      </c>
      <c r="M24" s="202" t="s">
        <v>66</v>
      </c>
      <c r="N24" s="202" t="s">
        <v>235</v>
      </c>
      <c r="O24" s="205">
        <v>999179</v>
      </c>
      <c r="P24" s="213">
        <f>O24*S24</f>
        <v>109623724.9702</v>
      </c>
      <c r="Q24" s="206">
        <f>P24*W24</f>
        <v>17071702689.609245</v>
      </c>
      <c r="R24" s="206" t="s">
        <v>25</v>
      </c>
      <c r="S24" s="214">
        <v>109.71380000000001</v>
      </c>
      <c r="T24" s="204">
        <f>J24+90</f>
        <v>41793</v>
      </c>
      <c r="U24" s="215" t="s">
        <v>37</v>
      </c>
      <c r="V24" s="206">
        <f>P24*0.12%</f>
        <v>131548.46996423998</v>
      </c>
      <c r="W24" s="216">
        <v>155.72999999999999</v>
      </c>
      <c r="X24" s="217">
        <f>V24*W24</f>
        <v>20486043.22753109</v>
      </c>
      <c r="Y24" s="206">
        <v>20486043.23</v>
      </c>
      <c r="Z24" s="218" t="s">
        <v>238</v>
      </c>
      <c r="AA24" s="219">
        <v>41768</v>
      </c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</row>
    <row r="25" spans="1:69" s="90" customFormat="1" ht="72" customHeight="1" x14ac:dyDescent="0.55000000000000004">
      <c r="A25" s="294">
        <v>2</v>
      </c>
      <c r="B25" s="118" t="s">
        <v>204</v>
      </c>
      <c r="C25" s="129" t="s">
        <v>215</v>
      </c>
      <c r="D25" s="246">
        <v>41885</v>
      </c>
      <c r="E25" s="135" t="s">
        <v>221</v>
      </c>
      <c r="F25" s="119" t="s">
        <v>37</v>
      </c>
      <c r="G25" s="119" t="s">
        <v>43</v>
      </c>
      <c r="H25" s="119" t="s">
        <v>46</v>
      </c>
      <c r="I25" s="119">
        <v>27090000</v>
      </c>
      <c r="J25" s="120">
        <v>41730</v>
      </c>
      <c r="K25" s="118" t="s">
        <v>199</v>
      </c>
      <c r="L25" s="118" t="s">
        <v>48</v>
      </c>
      <c r="M25" s="119" t="s">
        <v>53</v>
      </c>
      <c r="N25" s="119" t="s">
        <v>210</v>
      </c>
      <c r="O25" s="292">
        <v>996080</v>
      </c>
      <c r="P25" s="133">
        <f>O25*S25</f>
        <v>109152239.344</v>
      </c>
      <c r="Q25" s="121">
        <f>P25*W25</f>
        <v>17169363452.988907</v>
      </c>
      <c r="R25" s="121" t="s">
        <v>25</v>
      </c>
      <c r="S25" s="293">
        <v>109.5818</v>
      </c>
      <c r="T25" s="120">
        <f>J25+90</f>
        <v>41820</v>
      </c>
      <c r="U25" s="254" t="s">
        <v>68</v>
      </c>
      <c r="V25" s="121">
        <f>P25*0.12%</f>
        <v>130982.68721279998</v>
      </c>
      <c r="W25" s="124">
        <v>157.29740000000001</v>
      </c>
      <c r="X25" s="122">
        <f>V25*W25</f>
        <v>20603236.143586684</v>
      </c>
      <c r="Y25" s="121">
        <v>20603236.140000001</v>
      </c>
      <c r="Z25" s="247" t="s">
        <v>227</v>
      </c>
      <c r="AA25" s="126">
        <v>41831</v>
      </c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</row>
    <row r="26" spans="1:69" s="90" customFormat="1" ht="74.25" customHeight="1" x14ac:dyDescent="0.55000000000000004">
      <c r="A26" s="294">
        <v>3</v>
      </c>
      <c r="B26" s="118" t="s">
        <v>205</v>
      </c>
      <c r="C26" s="129" t="s">
        <v>216</v>
      </c>
      <c r="D26" s="246">
        <v>41885</v>
      </c>
      <c r="E26" s="135" t="s">
        <v>222</v>
      </c>
      <c r="F26" s="119" t="s">
        <v>37</v>
      </c>
      <c r="G26" s="119" t="s">
        <v>43</v>
      </c>
      <c r="H26" s="119" t="s">
        <v>46</v>
      </c>
      <c r="I26" s="119">
        <v>27090000</v>
      </c>
      <c r="J26" s="120">
        <v>41737</v>
      </c>
      <c r="K26" s="118" t="s">
        <v>200</v>
      </c>
      <c r="L26" s="118" t="s">
        <v>48</v>
      </c>
      <c r="M26" s="119" t="s">
        <v>213</v>
      </c>
      <c r="N26" s="119" t="s">
        <v>211</v>
      </c>
      <c r="O26" s="292">
        <v>949786</v>
      </c>
      <c r="P26" s="133">
        <f t="shared" ref="P26:P29" si="0">O26*S26</f>
        <v>104076410.13680001</v>
      </c>
      <c r="Q26" s="121">
        <f t="shared" ref="Q26:Q27" si="1">P26*W26</f>
        <v>16370948715.852287</v>
      </c>
      <c r="R26" s="121" t="s">
        <v>25</v>
      </c>
      <c r="S26" s="293">
        <v>109.5788</v>
      </c>
      <c r="T26" s="120">
        <f t="shared" ref="T26:T57" si="2">J26+90</f>
        <v>41827</v>
      </c>
      <c r="U26" s="254" t="s">
        <v>68</v>
      </c>
      <c r="V26" s="121">
        <f t="shared" ref="V26:V57" si="3">P26*0.12%</f>
        <v>124891.69216415999</v>
      </c>
      <c r="W26" s="124">
        <v>157.29740000000001</v>
      </c>
      <c r="X26" s="122">
        <f t="shared" ref="X26:X57" si="4">V26*W26</f>
        <v>19645138.459022742</v>
      </c>
      <c r="Y26" s="121">
        <v>19645138.460000001</v>
      </c>
      <c r="Z26" s="247" t="s">
        <v>228</v>
      </c>
      <c r="AA26" s="126">
        <v>41831</v>
      </c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7"/>
      <c r="BO26" s="117"/>
      <c r="BP26" s="117"/>
      <c r="BQ26" s="117"/>
    </row>
    <row r="27" spans="1:69" s="90" customFormat="1" ht="74.25" customHeight="1" x14ac:dyDescent="0.55000000000000004">
      <c r="A27" s="294">
        <v>4</v>
      </c>
      <c r="B27" s="118" t="s">
        <v>206</v>
      </c>
      <c r="C27" s="129" t="s">
        <v>217</v>
      </c>
      <c r="D27" s="246">
        <v>41885</v>
      </c>
      <c r="E27" s="135" t="s">
        <v>223</v>
      </c>
      <c r="F27" s="119" t="s">
        <v>37</v>
      </c>
      <c r="G27" s="119" t="s">
        <v>43</v>
      </c>
      <c r="H27" s="119" t="s">
        <v>46</v>
      </c>
      <c r="I27" s="119">
        <v>27090000</v>
      </c>
      <c r="J27" s="120">
        <v>41745</v>
      </c>
      <c r="K27" s="118" t="s">
        <v>201</v>
      </c>
      <c r="L27" s="118" t="s">
        <v>48</v>
      </c>
      <c r="M27" s="119" t="s">
        <v>214</v>
      </c>
      <c r="N27" s="119" t="s">
        <v>212</v>
      </c>
      <c r="O27" s="292">
        <v>904411</v>
      </c>
      <c r="P27" s="133">
        <f t="shared" si="0"/>
        <v>99096132.387800008</v>
      </c>
      <c r="Q27" s="121">
        <f t="shared" si="1"/>
        <v>15587563974.656734</v>
      </c>
      <c r="R27" s="121" t="s">
        <v>25</v>
      </c>
      <c r="S27" s="293">
        <v>109.5698</v>
      </c>
      <c r="T27" s="120">
        <f t="shared" si="2"/>
        <v>41835</v>
      </c>
      <c r="U27" s="254" t="s">
        <v>68</v>
      </c>
      <c r="V27" s="121">
        <f t="shared" si="3"/>
        <v>118915.35886536</v>
      </c>
      <c r="W27" s="124">
        <v>157.29740000000001</v>
      </c>
      <c r="X27" s="122">
        <f t="shared" si="4"/>
        <v>18705076.769588079</v>
      </c>
      <c r="Y27" s="121">
        <v>18705076.77</v>
      </c>
      <c r="Z27" s="247" t="s">
        <v>229</v>
      </c>
      <c r="AA27" s="126">
        <v>41831</v>
      </c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</row>
    <row r="28" spans="1:69" s="90" customFormat="1" ht="72" customHeight="1" x14ac:dyDescent="0.55000000000000004">
      <c r="A28" s="294">
        <v>5</v>
      </c>
      <c r="B28" s="118" t="s">
        <v>207</v>
      </c>
      <c r="C28" s="129" t="s">
        <v>218</v>
      </c>
      <c r="D28" s="246">
        <v>41885</v>
      </c>
      <c r="E28" s="135" t="s">
        <v>224</v>
      </c>
      <c r="F28" s="119" t="s">
        <v>37</v>
      </c>
      <c r="G28" s="119" t="s">
        <v>43</v>
      </c>
      <c r="H28" s="119" t="s">
        <v>46</v>
      </c>
      <c r="I28" s="119">
        <v>27090000</v>
      </c>
      <c r="J28" s="120">
        <v>41748</v>
      </c>
      <c r="K28" s="118" t="s">
        <v>85</v>
      </c>
      <c r="L28" s="118" t="s">
        <v>48</v>
      </c>
      <c r="M28" s="119" t="s">
        <v>54</v>
      </c>
      <c r="N28" s="119" t="s">
        <v>50</v>
      </c>
      <c r="O28" s="292">
        <v>949977</v>
      </c>
      <c r="P28" s="133">
        <f t="shared" si="0"/>
        <v>104100189.6186</v>
      </c>
      <c r="Q28" s="121">
        <f t="shared" ref="Q28:Q56" si="5">P28*W28</f>
        <v>16374689166.512772</v>
      </c>
      <c r="R28" s="121" t="s">
        <v>25</v>
      </c>
      <c r="S28" s="293">
        <v>109.5818</v>
      </c>
      <c r="T28" s="120">
        <f t="shared" si="2"/>
        <v>41838</v>
      </c>
      <c r="U28" s="254" t="s">
        <v>68</v>
      </c>
      <c r="V28" s="121">
        <f t="shared" si="3"/>
        <v>124920.22754231999</v>
      </c>
      <c r="W28" s="124">
        <v>157.29740000000001</v>
      </c>
      <c r="X28" s="122">
        <f t="shared" si="4"/>
        <v>19649626.999815326</v>
      </c>
      <c r="Y28" s="121">
        <v>19649627</v>
      </c>
      <c r="Z28" s="247" t="s">
        <v>230</v>
      </c>
      <c r="AA28" s="126">
        <v>41831</v>
      </c>
    </row>
    <row r="29" spans="1:69" s="89" customFormat="1" ht="72" customHeight="1" x14ac:dyDescent="0.6">
      <c r="A29" s="294">
        <v>6</v>
      </c>
      <c r="B29" s="118" t="s">
        <v>208</v>
      </c>
      <c r="C29" s="129" t="s">
        <v>219</v>
      </c>
      <c r="D29" s="246">
        <v>41885</v>
      </c>
      <c r="E29" s="135" t="s">
        <v>225</v>
      </c>
      <c r="F29" s="119" t="s">
        <v>37</v>
      </c>
      <c r="G29" s="119" t="s">
        <v>43</v>
      </c>
      <c r="H29" s="119" t="s">
        <v>46</v>
      </c>
      <c r="I29" s="119">
        <v>27090000</v>
      </c>
      <c r="J29" s="120">
        <v>41757</v>
      </c>
      <c r="K29" s="118" t="s">
        <v>202</v>
      </c>
      <c r="L29" s="118" t="s">
        <v>48</v>
      </c>
      <c r="M29" s="119" t="s">
        <v>53</v>
      </c>
      <c r="N29" s="119" t="s">
        <v>49</v>
      </c>
      <c r="O29" s="292">
        <v>950071</v>
      </c>
      <c r="P29" s="133">
        <f t="shared" si="0"/>
        <v>104104789.8818</v>
      </c>
      <c r="Q29" s="121">
        <f t="shared" si="5"/>
        <v>16375412775.953447</v>
      </c>
      <c r="R29" s="121" t="s">
        <v>25</v>
      </c>
      <c r="S29" s="293">
        <v>109.5758</v>
      </c>
      <c r="T29" s="120">
        <f t="shared" si="2"/>
        <v>41847</v>
      </c>
      <c r="U29" s="119" t="s">
        <v>68</v>
      </c>
      <c r="V29" s="121">
        <f t="shared" si="3"/>
        <v>124925.74785815999</v>
      </c>
      <c r="W29" s="124">
        <v>157.29740000000001</v>
      </c>
      <c r="X29" s="122">
        <f t="shared" si="4"/>
        <v>19650495.331144135</v>
      </c>
      <c r="Y29" s="121">
        <v>19650495.329999998</v>
      </c>
      <c r="Z29" s="247" t="s">
        <v>231</v>
      </c>
      <c r="AA29" s="126">
        <v>41831</v>
      </c>
    </row>
    <row r="30" spans="1:69" s="89" customFormat="1" ht="72" customHeight="1" x14ac:dyDescent="0.6">
      <c r="A30" s="294">
        <v>7</v>
      </c>
      <c r="B30" s="118" t="s">
        <v>209</v>
      </c>
      <c r="C30" s="129" t="s">
        <v>220</v>
      </c>
      <c r="D30" s="246">
        <v>41885</v>
      </c>
      <c r="E30" s="135" t="s">
        <v>226</v>
      </c>
      <c r="F30" s="119" t="s">
        <v>37</v>
      </c>
      <c r="G30" s="119" t="s">
        <v>43</v>
      </c>
      <c r="H30" s="119" t="s">
        <v>46</v>
      </c>
      <c r="I30" s="119">
        <v>27090000</v>
      </c>
      <c r="J30" s="120">
        <v>41759</v>
      </c>
      <c r="K30" s="118" t="s">
        <v>203</v>
      </c>
      <c r="L30" s="118" t="s">
        <v>48</v>
      </c>
      <c r="M30" s="119" t="s">
        <v>56</v>
      </c>
      <c r="N30" s="119" t="s">
        <v>52</v>
      </c>
      <c r="O30" s="292">
        <v>949866</v>
      </c>
      <c r="P30" s="133">
        <f t="shared" ref="P30:P36" si="6">O30*S30</f>
        <v>104073778.04880001</v>
      </c>
      <c r="Q30" s="121">
        <f t="shared" ref="Q30:Q36" si="7">P30*W30</f>
        <v>16370534695.253315</v>
      </c>
      <c r="R30" s="121" t="s">
        <v>25</v>
      </c>
      <c r="S30" s="293">
        <v>109.5668</v>
      </c>
      <c r="T30" s="120">
        <f t="shared" ref="T30:T36" si="8">J30+90</f>
        <v>41849</v>
      </c>
      <c r="U30" s="119" t="s">
        <v>68</v>
      </c>
      <c r="V30" s="121">
        <f t="shared" ref="V30:V36" si="9">P30*0.12%</f>
        <v>124888.53365856</v>
      </c>
      <c r="W30" s="124">
        <v>157.29740000000001</v>
      </c>
      <c r="X30" s="122">
        <f t="shared" ref="X30:X36" si="10">V30*W30</f>
        <v>19644641.634303976</v>
      </c>
      <c r="Y30" s="121">
        <v>19644641.629999999</v>
      </c>
      <c r="Z30" s="247" t="s">
        <v>232</v>
      </c>
      <c r="AA30" s="126">
        <v>41831</v>
      </c>
    </row>
    <row r="31" spans="1:69" s="89" customFormat="1" ht="72" customHeight="1" x14ac:dyDescent="0.6">
      <c r="A31" s="294">
        <v>8</v>
      </c>
      <c r="B31" s="118" t="s">
        <v>182</v>
      </c>
      <c r="C31" s="129" t="s">
        <v>188</v>
      </c>
      <c r="D31" s="246">
        <v>41869</v>
      </c>
      <c r="E31" s="135" t="s">
        <v>192</v>
      </c>
      <c r="F31" s="119" t="s">
        <v>33</v>
      </c>
      <c r="G31" s="119" t="s">
        <v>38</v>
      </c>
      <c r="H31" s="119" t="s">
        <v>45</v>
      </c>
      <c r="I31" s="119">
        <v>27090000</v>
      </c>
      <c r="J31" s="120">
        <v>41793</v>
      </c>
      <c r="K31" s="118" t="s">
        <v>178</v>
      </c>
      <c r="L31" s="118" t="s">
        <v>47</v>
      </c>
      <c r="M31" s="119" t="s">
        <v>53</v>
      </c>
      <c r="N31" s="119" t="s">
        <v>49</v>
      </c>
      <c r="O31" s="292">
        <v>953838</v>
      </c>
      <c r="P31" s="133">
        <f>O31*S31</f>
        <v>108034362.62639999</v>
      </c>
      <c r="Q31" s="121">
        <f>P31*W31</f>
        <v>16770174272.126139</v>
      </c>
      <c r="R31" s="121" t="s">
        <v>25</v>
      </c>
      <c r="S31" s="293">
        <v>113.2628</v>
      </c>
      <c r="T31" s="120">
        <f>J31+90</f>
        <v>41883</v>
      </c>
      <c r="U31" s="119" t="s">
        <v>33</v>
      </c>
      <c r="V31" s="121">
        <f>P31*0.12%</f>
        <v>129641.23515167998</v>
      </c>
      <c r="W31" s="124">
        <v>155.23000149609868</v>
      </c>
      <c r="X31" s="122">
        <f>V31*W31</f>
        <v>20124209.126551364</v>
      </c>
      <c r="Y31" s="121">
        <v>20124201</v>
      </c>
      <c r="Z31" s="247" t="s">
        <v>196</v>
      </c>
      <c r="AA31" s="126">
        <v>41858</v>
      </c>
    </row>
    <row r="32" spans="1:69" s="89" customFormat="1" ht="72" customHeight="1" x14ac:dyDescent="0.6">
      <c r="A32" s="294">
        <v>9</v>
      </c>
      <c r="B32" s="118" t="s">
        <v>183</v>
      </c>
      <c r="C32" s="129" t="s">
        <v>189</v>
      </c>
      <c r="D32" s="246">
        <v>41869</v>
      </c>
      <c r="E32" s="135" t="s">
        <v>193</v>
      </c>
      <c r="F32" s="119" t="s">
        <v>33</v>
      </c>
      <c r="G32" s="119" t="s">
        <v>38</v>
      </c>
      <c r="H32" s="119" t="s">
        <v>45</v>
      </c>
      <c r="I32" s="119">
        <v>27090000</v>
      </c>
      <c r="J32" s="120">
        <v>41801</v>
      </c>
      <c r="K32" s="118" t="s">
        <v>179</v>
      </c>
      <c r="L32" s="118" t="s">
        <v>47</v>
      </c>
      <c r="M32" s="119" t="s">
        <v>131</v>
      </c>
      <c r="N32" s="119" t="s">
        <v>185</v>
      </c>
      <c r="O32" s="292">
        <v>500779</v>
      </c>
      <c r="P32" s="133">
        <f t="shared" ref="P32:P35" si="11">O32*S32</f>
        <v>56719631.721199997</v>
      </c>
      <c r="Q32" s="121">
        <f t="shared" ref="Q32:Q35" si="12">P32*W32</f>
        <v>8804588527.0119152</v>
      </c>
      <c r="R32" s="121" t="s">
        <v>25</v>
      </c>
      <c r="S32" s="293">
        <v>113.2628</v>
      </c>
      <c r="T32" s="120">
        <f t="shared" ref="T32:T35" si="13">J32+90</f>
        <v>41891</v>
      </c>
      <c r="U32" s="119" t="s">
        <v>33</v>
      </c>
      <c r="V32" s="121">
        <f t="shared" ref="V32:V35" si="14">P32*0.12%</f>
        <v>68063.558065439996</v>
      </c>
      <c r="W32" s="124">
        <v>155.23000167367164</v>
      </c>
      <c r="X32" s="122">
        <f t="shared" ref="X32:X35" si="15">V32*W32</f>
        <v>10565506.232414298</v>
      </c>
      <c r="Y32" s="121">
        <v>10565502</v>
      </c>
      <c r="Z32" s="247" t="s">
        <v>196</v>
      </c>
      <c r="AA32" s="126">
        <v>41858</v>
      </c>
    </row>
    <row r="33" spans="1:27" s="89" customFormat="1" ht="72" customHeight="1" x14ac:dyDescent="0.6">
      <c r="A33" s="294">
        <v>10</v>
      </c>
      <c r="B33" s="118" t="s">
        <v>198</v>
      </c>
      <c r="C33" s="129" t="s">
        <v>190</v>
      </c>
      <c r="D33" s="246">
        <v>41869</v>
      </c>
      <c r="E33" s="135" t="s">
        <v>194</v>
      </c>
      <c r="F33" s="119" t="s">
        <v>37</v>
      </c>
      <c r="G33" s="119" t="s">
        <v>44</v>
      </c>
      <c r="H33" s="119" t="s">
        <v>45</v>
      </c>
      <c r="I33" s="119">
        <v>27090000</v>
      </c>
      <c r="J33" s="120">
        <v>41806</v>
      </c>
      <c r="K33" s="118" t="s">
        <v>180</v>
      </c>
      <c r="L33" s="118" t="s">
        <v>47</v>
      </c>
      <c r="M33" s="119" t="s">
        <v>56</v>
      </c>
      <c r="N33" s="119" t="s">
        <v>52</v>
      </c>
      <c r="O33" s="292">
        <v>999591</v>
      </c>
      <c r="P33" s="133">
        <f t="shared" si="11"/>
        <v>113300341.1997</v>
      </c>
      <c r="Q33" s="121">
        <f t="shared" si="12"/>
        <v>17644262135.029278</v>
      </c>
      <c r="R33" s="121" t="s">
        <v>25</v>
      </c>
      <c r="S33" s="293">
        <v>113.3467</v>
      </c>
      <c r="T33" s="120">
        <f t="shared" si="13"/>
        <v>41896</v>
      </c>
      <c r="U33" s="119" t="s">
        <v>37</v>
      </c>
      <c r="V33" s="121">
        <f t="shared" si="14"/>
        <v>135960.40943963997</v>
      </c>
      <c r="W33" s="124">
        <v>155.72999999999999</v>
      </c>
      <c r="X33" s="122">
        <f t="shared" si="15"/>
        <v>21173114.562035132</v>
      </c>
      <c r="Y33" s="121">
        <v>21173114.559999999</v>
      </c>
      <c r="Z33" s="247" t="s">
        <v>197</v>
      </c>
      <c r="AA33" s="126">
        <v>41862</v>
      </c>
    </row>
    <row r="34" spans="1:27" s="89" customFormat="1" ht="72" customHeight="1" x14ac:dyDescent="0.6">
      <c r="A34" s="294">
        <v>11</v>
      </c>
      <c r="B34" s="118" t="s">
        <v>240</v>
      </c>
      <c r="C34" s="129" t="s">
        <v>243</v>
      </c>
      <c r="D34" s="246">
        <v>41890</v>
      </c>
      <c r="E34" s="135" t="s">
        <v>244</v>
      </c>
      <c r="F34" s="119" t="s">
        <v>34</v>
      </c>
      <c r="G34" s="119" t="s">
        <v>39</v>
      </c>
      <c r="H34" s="119" t="s">
        <v>45</v>
      </c>
      <c r="I34" s="119">
        <v>27090000</v>
      </c>
      <c r="J34" s="120">
        <v>41807</v>
      </c>
      <c r="K34" s="118" t="s">
        <v>239</v>
      </c>
      <c r="L34" s="118" t="s">
        <v>47</v>
      </c>
      <c r="M34" s="119" t="s">
        <v>242</v>
      </c>
      <c r="N34" s="119" t="s">
        <v>241</v>
      </c>
      <c r="O34" s="292">
        <v>968987</v>
      </c>
      <c r="P34" s="133">
        <f>O34*S34</f>
        <v>113106945.54900001</v>
      </c>
      <c r="Q34" s="121">
        <f>P34*W34</f>
        <v>17614144630.345772</v>
      </c>
      <c r="R34" s="121" t="s">
        <v>25</v>
      </c>
      <c r="S34" s="293">
        <v>116.727</v>
      </c>
      <c r="T34" s="120">
        <f>J34+90</f>
        <v>41897</v>
      </c>
      <c r="U34" s="119" t="s">
        <v>35</v>
      </c>
      <c r="V34" s="121">
        <f>P34*0.12%</f>
        <v>135728.33465880001</v>
      </c>
      <c r="W34" s="124">
        <v>155.72999999999999</v>
      </c>
      <c r="X34" s="122">
        <f>V34*W34</f>
        <v>21136973.556414925</v>
      </c>
      <c r="Y34" s="121" t="s">
        <v>35</v>
      </c>
      <c r="Z34" s="247" t="s">
        <v>35</v>
      </c>
      <c r="AA34" s="126" t="s">
        <v>35</v>
      </c>
    </row>
    <row r="35" spans="1:27" s="89" customFormat="1" ht="72" customHeight="1" x14ac:dyDescent="0.6">
      <c r="A35" s="294">
        <v>12</v>
      </c>
      <c r="B35" s="118" t="s">
        <v>184</v>
      </c>
      <c r="C35" s="129" t="s">
        <v>191</v>
      </c>
      <c r="D35" s="246">
        <v>41869</v>
      </c>
      <c r="E35" s="135" t="s">
        <v>195</v>
      </c>
      <c r="F35" s="119" t="s">
        <v>33</v>
      </c>
      <c r="G35" s="119" t="s">
        <v>38</v>
      </c>
      <c r="H35" s="119" t="s">
        <v>45</v>
      </c>
      <c r="I35" s="119">
        <v>27090000</v>
      </c>
      <c r="J35" s="120">
        <v>41813</v>
      </c>
      <c r="K35" s="118" t="s">
        <v>181</v>
      </c>
      <c r="L35" s="118" t="s">
        <v>47</v>
      </c>
      <c r="M35" s="119" t="s">
        <v>187</v>
      </c>
      <c r="N35" s="119" t="s">
        <v>186</v>
      </c>
      <c r="O35" s="292">
        <v>647501</v>
      </c>
      <c r="P35" s="133">
        <f t="shared" si="11"/>
        <v>73337776.262799993</v>
      </c>
      <c r="Q35" s="121">
        <f t="shared" si="12"/>
        <v>11384223031.027786</v>
      </c>
      <c r="R35" s="121" t="s">
        <v>25</v>
      </c>
      <c r="S35" s="293">
        <v>113.2628</v>
      </c>
      <c r="T35" s="120">
        <f t="shared" si="13"/>
        <v>41903</v>
      </c>
      <c r="U35" s="119" t="s">
        <v>33</v>
      </c>
      <c r="V35" s="121">
        <f t="shared" si="14"/>
        <v>88005.331515359983</v>
      </c>
      <c r="W35" s="124">
        <v>155.23000029661853</v>
      </c>
      <c r="X35" s="122">
        <f t="shared" si="15"/>
        <v>13661067.637233343</v>
      </c>
      <c r="Y35" s="121">
        <v>13661062</v>
      </c>
      <c r="Z35" s="247" t="s">
        <v>196</v>
      </c>
      <c r="AA35" s="126">
        <v>41858</v>
      </c>
    </row>
    <row r="36" spans="1:27" s="89" customFormat="1" ht="72" customHeight="1" x14ac:dyDescent="0.6">
      <c r="A36" s="294">
        <v>13</v>
      </c>
      <c r="B36" s="118" t="s">
        <v>60</v>
      </c>
      <c r="C36" s="129" t="s">
        <v>245</v>
      </c>
      <c r="D36" s="246">
        <v>41878</v>
      </c>
      <c r="E36" s="135" t="s">
        <v>67</v>
      </c>
      <c r="F36" s="119" t="s">
        <v>33</v>
      </c>
      <c r="G36" s="119" t="s">
        <v>38</v>
      </c>
      <c r="H36" s="119" t="s">
        <v>45</v>
      </c>
      <c r="I36" s="119">
        <v>27090000</v>
      </c>
      <c r="J36" s="120">
        <v>41823</v>
      </c>
      <c r="K36" s="118" t="s">
        <v>57</v>
      </c>
      <c r="L36" s="118" t="s">
        <v>47</v>
      </c>
      <c r="M36" s="119" t="s">
        <v>53</v>
      </c>
      <c r="N36" s="119" t="s">
        <v>49</v>
      </c>
      <c r="O36" s="292">
        <v>998636</v>
      </c>
      <c r="P36" s="133">
        <f t="shared" si="6"/>
        <v>106844964.41239999</v>
      </c>
      <c r="Q36" s="121">
        <f t="shared" si="7"/>
        <v>16585544157.180254</v>
      </c>
      <c r="R36" s="121" t="s">
        <v>25</v>
      </c>
      <c r="S36" s="293">
        <v>106.9909</v>
      </c>
      <c r="T36" s="120">
        <f t="shared" si="8"/>
        <v>41913</v>
      </c>
      <c r="U36" s="119" t="s">
        <v>33</v>
      </c>
      <c r="V36" s="121">
        <f t="shared" si="9"/>
        <v>128213.95729487998</v>
      </c>
      <c r="W36" s="124">
        <v>155.23000310209662</v>
      </c>
      <c r="X36" s="122">
        <f t="shared" si="10"/>
        <v>19902652.988616303</v>
      </c>
      <c r="Y36" s="121">
        <v>19902649</v>
      </c>
      <c r="Z36" s="247" t="s">
        <v>250</v>
      </c>
      <c r="AA36" s="126">
        <v>41873</v>
      </c>
    </row>
    <row r="37" spans="1:27" s="89" customFormat="1" ht="72" customHeight="1" x14ac:dyDescent="0.6">
      <c r="A37" s="294">
        <v>14</v>
      </c>
      <c r="B37" s="118" t="s">
        <v>61</v>
      </c>
      <c r="C37" s="129" t="s">
        <v>246</v>
      </c>
      <c r="D37" s="246">
        <v>41878</v>
      </c>
      <c r="E37" s="135" t="s">
        <v>248</v>
      </c>
      <c r="F37" s="119" t="s">
        <v>33</v>
      </c>
      <c r="G37" s="119" t="s">
        <v>38</v>
      </c>
      <c r="H37" s="119" t="s">
        <v>45</v>
      </c>
      <c r="I37" s="119">
        <v>27090000</v>
      </c>
      <c r="J37" s="120">
        <v>41837</v>
      </c>
      <c r="K37" s="118" t="s">
        <v>58</v>
      </c>
      <c r="L37" s="118" t="s">
        <v>47</v>
      </c>
      <c r="M37" s="119" t="s">
        <v>53</v>
      </c>
      <c r="N37" s="119" t="s">
        <v>49</v>
      </c>
      <c r="O37" s="292">
        <v>619785</v>
      </c>
      <c r="P37" s="133">
        <f t="shared" ref="P37:P49" si="16">O37*S37</f>
        <v>66311354.956500001</v>
      </c>
      <c r="Q37" s="121">
        <f t="shared" ref="Q37:Q49" si="17">P37*W37</f>
        <v>10293511333.1341</v>
      </c>
      <c r="R37" s="121" t="s">
        <v>25</v>
      </c>
      <c r="S37" s="293">
        <v>106.9909</v>
      </c>
      <c r="T37" s="120">
        <f t="shared" ref="T37:T49" si="18">J37+90</f>
        <v>41927</v>
      </c>
      <c r="U37" s="119" t="s">
        <v>33</v>
      </c>
      <c r="V37" s="121">
        <f t="shared" ref="V37:V49" si="19">P37*0.12%</f>
        <v>79573.625947799999</v>
      </c>
      <c r="W37" s="124">
        <v>155.22999552469716</v>
      </c>
      <c r="X37" s="122">
        <f t="shared" ref="X37:X49" si="20">V37*W37</f>
        <v>12352213.59976092</v>
      </c>
      <c r="Y37" s="121">
        <v>12352211</v>
      </c>
      <c r="Z37" s="247" t="s">
        <v>250</v>
      </c>
      <c r="AA37" s="126">
        <v>41873</v>
      </c>
    </row>
    <row r="38" spans="1:27" s="89" customFormat="1" ht="72" customHeight="1" x14ac:dyDescent="0.6">
      <c r="A38" s="294">
        <v>15</v>
      </c>
      <c r="B38" s="118" t="s">
        <v>62</v>
      </c>
      <c r="C38" s="129" t="s">
        <v>247</v>
      </c>
      <c r="D38" s="246">
        <v>41890</v>
      </c>
      <c r="E38" s="135" t="s">
        <v>249</v>
      </c>
      <c r="F38" s="119" t="s">
        <v>34</v>
      </c>
      <c r="G38" s="119" t="s">
        <v>39</v>
      </c>
      <c r="H38" s="119" t="s">
        <v>45</v>
      </c>
      <c r="I38" s="119">
        <v>27090000</v>
      </c>
      <c r="J38" s="120">
        <v>41841</v>
      </c>
      <c r="K38" s="118" t="s">
        <v>59</v>
      </c>
      <c r="L38" s="118" t="s">
        <v>47</v>
      </c>
      <c r="M38" s="119" t="s">
        <v>55</v>
      </c>
      <c r="N38" s="119" t="s">
        <v>51</v>
      </c>
      <c r="O38" s="292">
        <v>948168</v>
      </c>
      <c r="P38" s="133">
        <f t="shared" si="16"/>
        <v>102885709.68000001</v>
      </c>
      <c r="Q38" s="121">
        <f t="shared" si="17"/>
        <v>16022391568.4664</v>
      </c>
      <c r="R38" s="121" t="s">
        <v>25</v>
      </c>
      <c r="S38" s="293">
        <v>108.51</v>
      </c>
      <c r="T38" s="120">
        <f t="shared" si="18"/>
        <v>41931</v>
      </c>
      <c r="U38" s="119" t="s">
        <v>35</v>
      </c>
      <c r="V38" s="121">
        <f t="shared" si="19"/>
        <v>123462.851616</v>
      </c>
      <c r="W38" s="124">
        <v>155.72999999999999</v>
      </c>
      <c r="X38" s="122">
        <f t="shared" si="20"/>
        <v>19226869.88215968</v>
      </c>
      <c r="Y38" s="121" t="s">
        <v>35</v>
      </c>
      <c r="Z38" s="247" t="s">
        <v>35</v>
      </c>
      <c r="AA38" s="126" t="s">
        <v>35</v>
      </c>
    </row>
    <row r="39" spans="1:27" s="89" customFormat="1" ht="72" customHeight="1" x14ac:dyDescent="0.6">
      <c r="A39" s="294">
        <v>16</v>
      </c>
      <c r="B39" s="118" t="s">
        <v>96</v>
      </c>
      <c r="C39" s="127" t="s">
        <v>135</v>
      </c>
      <c r="D39" s="246">
        <v>41890</v>
      </c>
      <c r="E39" s="135" t="s">
        <v>157</v>
      </c>
      <c r="F39" s="119" t="s">
        <v>34</v>
      </c>
      <c r="G39" s="119" t="s">
        <v>39</v>
      </c>
      <c r="H39" s="119" t="s">
        <v>46</v>
      </c>
      <c r="I39" s="119">
        <v>27090000</v>
      </c>
      <c r="J39" s="120">
        <v>41858</v>
      </c>
      <c r="K39" s="118" t="s">
        <v>76</v>
      </c>
      <c r="L39" s="118" t="s">
        <v>48</v>
      </c>
      <c r="M39" s="119" t="s">
        <v>132</v>
      </c>
      <c r="N39" s="119" t="s">
        <v>127</v>
      </c>
      <c r="O39" s="292">
        <v>949905</v>
      </c>
      <c r="P39" s="133">
        <f t="shared" si="16"/>
        <v>98804368.575000003</v>
      </c>
      <c r="Q39" s="121">
        <f t="shared" si="17"/>
        <v>15386804318.18475</v>
      </c>
      <c r="R39" s="121" t="s">
        <v>25</v>
      </c>
      <c r="S39" s="293">
        <v>104.015</v>
      </c>
      <c r="T39" s="120">
        <f t="shared" si="18"/>
        <v>41948</v>
      </c>
      <c r="U39" s="119" t="s">
        <v>35</v>
      </c>
      <c r="V39" s="121">
        <f t="shared" si="19"/>
        <v>118565.24228999999</v>
      </c>
      <c r="W39" s="124">
        <v>155.72999999999999</v>
      </c>
      <c r="X39" s="122">
        <f t="shared" si="20"/>
        <v>18464165.181821696</v>
      </c>
      <c r="Y39" s="121" t="s">
        <v>35</v>
      </c>
      <c r="Z39" s="247" t="s">
        <v>35</v>
      </c>
      <c r="AA39" s="126" t="s">
        <v>35</v>
      </c>
    </row>
    <row r="40" spans="1:27" s="89" customFormat="1" ht="72" customHeight="1" x14ac:dyDescent="0.6">
      <c r="A40" s="294">
        <v>17</v>
      </c>
      <c r="B40" s="118" t="s">
        <v>97</v>
      </c>
      <c r="C40" s="127" t="s">
        <v>136</v>
      </c>
      <c r="D40" s="246">
        <v>41890</v>
      </c>
      <c r="E40" s="135" t="s">
        <v>158</v>
      </c>
      <c r="F40" s="119" t="s">
        <v>34</v>
      </c>
      <c r="G40" s="119" t="s">
        <v>39</v>
      </c>
      <c r="H40" s="119" t="s">
        <v>45</v>
      </c>
      <c r="I40" s="119">
        <v>27090000</v>
      </c>
      <c r="J40" s="120">
        <v>41859</v>
      </c>
      <c r="K40" s="118" t="s">
        <v>75</v>
      </c>
      <c r="L40" s="118" t="s">
        <v>47</v>
      </c>
      <c r="M40" s="119" t="s">
        <v>55</v>
      </c>
      <c r="N40" s="119" t="s">
        <v>126</v>
      </c>
      <c r="O40" s="292">
        <v>949206</v>
      </c>
      <c r="P40" s="133">
        <f t="shared" si="16"/>
        <v>98872144.577999994</v>
      </c>
      <c r="Q40" s="121">
        <f t="shared" si="17"/>
        <v>15397359075.131939</v>
      </c>
      <c r="R40" s="121" t="s">
        <v>25</v>
      </c>
      <c r="S40" s="293">
        <v>104.163</v>
      </c>
      <c r="T40" s="120">
        <f t="shared" si="18"/>
        <v>41949</v>
      </c>
      <c r="U40" s="119" t="s">
        <v>35</v>
      </c>
      <c r="V40" s="121">
        <f t="shared" si="19"/>
        <v>118646.57349359998</v>
      </c>
      <c r="W40" s="124">
        <v>155.72999999999999</v>
      </c>
      <c r="X40" s="122">
        <f t="shared" si="20"/>
        <v>18476830.890158322</v>
      </c>
      <c r="Y40" s="121" t="s">
        <v>35</v>
      </c>
      <c r="Z40" s="247" t="s">
        <v>35</v>
      </c>
      <c r="AA40" s="126" t="s">
        <v>35</v>
      </c>
    </row>
    <row r="41" spans="1:27" s="89" customFormat="1" ht="72" customHeight="1" x14ac:dyDescent="0.6">
      <c r="A41" s="294">
        <v>18</v>
      </c>
      <c r="B41" s="118" t="s">
        <v>98</v>
      </c>
      <c r="C41" s="127" t="s">
        <v>137</v>
      </c>
      <c r="D41" s="246">
        <v>41890</v>
      </c>
      <c r="E41" s="135" t="s">
        <v>159</v>
      </c>
      <c r="F41" s="119" t="s">
        <v>34</v>
      </c>
      <c r="G41" s="119" t="s">
        <v>39</v>
      </c>
      <c r="H41" s="119" t="s">
        <v>46</v>
      </c>
      <c r="I41" s="119">
        <v>27090000</v>
      </c>
      <c r="J41" s="120">
        <v>41860</v>
      </c>
      <c r="K41" s="118" t="s">
        <v>77</v>
      </c>
      <c r="L41" s="118" t="s">
        <v>48</v>
      </c>
      <c r="M41" s="119" t="s">
        <v>55</v>
      </c>
      <c r="N41" s="119" t="s">
        <v>126</v>
      </c>
      <c r="O41" s="292">
        <v>950217</v>
      </c>
      <c r="P41" s="133">
        <f t="shared" si="16"/>
        <v>98971752.068999991</v>
      </c>
      <c r="Q41" s="121">
        <f t="shared" si="17"/>
        <v>15412870949.705368</v>
      </c>
      <c r="R41" s="121" t="s">
        <v>25</v>
      </c>
      <c r="S41" s="293">
        <v>104.157</v>
      </c>
      <c r="T41" s="120">
        <f t="shared" si="18"/>
        <v>41950</v>
      </c>
      <c r="U41" s="119" t="s">
        <v>35</v>
      </c>
      <c r="V41" s="121">
        <f t="shared" si="19"/>
        <v>118766.10248279998</v>
      </c>
      <c r="W41" s="124">
        <v>155.72999999999999</v>
      </c>
      <c r="X41" s="122">
        <f t="shared" si="20"/>
        <v>18495445.139646441</v>
      </c>
      <c r="Y41" s="121" t="s">
        <v>35</v>
      </c>
      <c r="Z41" s="247" t="s">
        <v>35</v>
      </c>
      <c r="AA41" s="126" t="s">
        <v>35</v>
      </c>
    </row>
    <row r="42" spans="1:27" s="89" customFormat="1" ht="72" customHeight="1" x14ac:dyDescent="0.6">
      <c r="A42" s="294">
        <v>19</v>
      </c>
      <c r="B42" s="118" t="s">
        <v>99</v>
      </c>
      <c r="C42" s="127" t="s">
        <v>138</v>
      </c>
      <c r="D42" s="246">
        <v>41890</v>
      </c>
      <c r="E42" s="135" t="s">
        <v>160</v>
      </c>
      <c r="F42" s="119" t="s">
        <v>34</v>
      </c>
      <c r="G42" s="119" t="s">
        <v>39</v>
      </c>
      <c r="H42" s="119" t="s">
        <v>46</v>
      </c>
      <c r="I42" s="119">
        <v>27090000</v>
      </c>
      <c r="J42" s="120">
        <v>41862</v>
      </c>
      <c r="K42" s="118" t="s">
        <v>78</v>
      </c>
      <c r="L42" s="118" t="s">
        <v>48</v>
      </c>
      <c r="M42" s="119" t="s">
        <v>133</v>
      </c>
      <c r="N42" s="119" t="s">
        <v>128</v>
      </c>
      <c r="O42" s="292">
        <v>934692</v>
      </c>
      <c r="P42" s="133">
        <f t="shared" si="16"/>
        <v>96757446.456</v>
      </c>
      <c r="Q42" s="121">
        <f t="shared" si="17"/>
        <v>15068037136.592878</v>
      </c>
      <c r="R42" s="121" t="s">
        <v>25</v>
      </c>
      <c r="S42" s="293">
        <v>103.518</v>
      </c>
      <c r="T42" s="120">
        <f t="shared" si="18"/>
        <v>41952</v>
      </c>
      <c r="U42" s="119" t="s">
        <v>35</v>
      </c>
      <c r="V42" s="121">
        <f t="shared" si="19"/>
        <v>116108.93574719998</v>
      </c>
      <c r="W42" s="124">
        <v>155.72999999999999</v>
      </c>
      <c r="X42" s="122">
        <f t="shared" si="20"/>
        <v>18081644.563911453</v>
      </c>
      <c r="Y42" s="121" t="s">
        <v>35</v>
      </c>
      <c r="Z42" s="247" t="s">
        <v>35</v>
      </c>
      <c r="AA42" s="126" t="s">
        <v>35</v>
      </c>
    </row>
    <row r="43" spans="1:27" s="89" customFormat="1" ht="72" customHeight="1" x14ac:dyDescent="0.6">
      <c r="A43" s="294">
        <v>20</v>
      </c>
      <c r="B43" s="118" t="s">
        <v>100</v>
      </c>
      <c r="C43" s="127" t="s">
        <v>139</v>
      </c>
      <c r="D43" s="246">
        <v>41890</v>
      </c>
      <c r="E43" s="135" t="s">
        <v>161</v>
      </c>
      <c r="F43" s="119" t="s">
        <v>34</v>
      </c>
      <c r="G43" s="119" t="s">
        <v>39</v>
      </c>
      <c r="H43" s="119" t="s">
        <v>45</v>
      </c>
      <c r="I43" s="119">
        <v>27090000</v>
      </c>
      <c r="J43" s="120">
        <v>41863</v>
      </c>
      <c r="K43" s="118" t="s">
        <v>79</v>
      </c>
      <c r="L43" s="118" t="s">
        <v>47</v>
      </c>
      <c r="M43" s="119" t="s">
        <v>65</v>
      </c>
      <c r="N43" s="119" t="s">
        <v>63</v>
      </c>
      <c r="O43" s="292">
        <v>948650</v>
      </c>
      <c r="P43" s="133">
        <f t="shared" si="16"/>
        <v>97657825.600000009</v>
      </c>
      <c r="Q43" s="121">
        <f t="shared" si="17"/>
        <v>15208253180.688</v>
      </c>
      <c r="R43" s="121" t="s">
        <v>25</v>
      </c>
      <c r="S43" s="293">
        <v>102.944</v>
      </c>
      <c r="T43" s="120">
        <f t="shared" si="18"/>
        <v>41953</v>
      </c>
      <c r="U43" s="119" t="s">
        <v>35</v>
      </c>
      <c r="V43" s="121">
        <f t="shared" si="19"/>
        <v>117189.39072</v>
      </c>
      <c r="W43" s="124">
        <v>155.72999999999999</v>
      </c>
      <c r="X43" s="122">
        <f t="shared" si="20"/>
        <v>18249903.816825598</v>
      </c>
      <c r="Y43" s="121" t="s">
        <v>35</v>
      </c>
      <c r="Z43" s="247" t="s">
        <v>35</v>
      </c>
      <c r="AA43" s="126" t="s">
        <v>35</v>
      </c>
    </row>
    <row r="44" spans="1:27" s="89" customFormat="1" ht="72" customHeight="1" x14ac:dyDescent="0.6">
      <c r="A44" s="294">
        <v>21</v>
      </c>
      <c r="B44" s="118" t="s">
        <v>105</v>
      </c>
      <c r="C44" s="127" t="s">
        <v>140</v>
      </c>
      <c r="D44" s="246">
        <v>41890</v>
      </c>
      <c r="E44" s="135" t="s">
        <v>163</v>
      </c>
      <c r="F44" s="119" t="s">
        <v>34</v>
      </c>
      <c r="G44" s="119" t="s">
        <v>39</v>
      </c>
      <c r="H44" s="119" t="s">
        <v>46</v>
      </c>
      <c r="I44" s="119">
        <v>27090000</v>
      </c>
      <c r="J44" s="120">
        <v>41870</v>
      </c>
      <c r="K44" s="118" t="s">
        <v>82</v>
      </c>
      <c r="L44" s="118" t="s">
        <v>48</v>
      </c>
      <c r="M44" s="119" t="s">
        <v>53</v>
      </c>
      <c r="N44" s="119" t="s">
        <v>49</v>
      </c>
      <c r="O44" s="292">
        <v>949835</v>
      </c>
      <c r="P44" s="133">
        <f t="shared" si="16"/>
        <v>95238055.780000001</v>
      </c>
      <c r="Q44" s="121">
        <f t="shared" si="17"/>
        <v>14831422426.6194</v>
      </c>
      <c r="R44" s="121" t="s">
        <v>25</v>
      </c>
      <c r="S44" s="293">
        <v>100.268</v>
      </c>
      <c r="T44" s="120">
        <f t="shared" si="18"/>
        <v>41960</v>
      </c>
      <c r="U44" s="119" t="s">
        <v>35</v>
      </c>
      <c r="V44" s="121">
        <f t="shared" si="19"/>
        <v>114285.66693599999</v>
      </c>
      <c r="W44" s="124">
        <v>155.72999999999999</v>
      </c>
      <c r="X44" s="122">
        <f t="shared" si="20"/>
        <v>17797706.911943279</v>
      </c>
      <c r="Y44" s="121" t="s">
        <v>35</v>
      </c>
      <c r="Z44" s="247" t="s">
        <v>35</v>
      </c>
      <c r="AA44" s="126" t="s">
        <v>35</v>
      </c>
    </row>
    <row r="45" spans="1:27" s="89" customFormat="1" ht="72" customHeight="1" x14ac:dyDescent="0.6">
      <c r="A45" s="294">
        <v>22</v>
      </c>
      <c r="B45" s="118" t="s">
        <v>106</v>
      </c>
      <c r="C45" s="127" t="s">
        <v>141</v>
      </c>
      <c r="D45" s="246">
        <v>41890</v>
      </c>
      <c r="E45" s="135" t="s">
        <v>164</v>
      </c>
      <c r="F45" s="119" t="s">
        <v>34</v>
      </c>
      <c r="G45" s="119" t="s">
        <v>39</v>
      </c>
      <c r="H45" s="119" t="s">
        <v>46</v>
      </c>
      <c r="I45" s="119">
        <v>27090000</v>
      </c>
      <c r="J45" s="120">
        <v>41872</v>
      </c>
      <c r="K45" s="118" t="s">
        <v>82</v>
      </c>
      <c r="L45" s="118" t="s">
        <v>48</v>
      </c>
      <c r="M45" s="119" t="s">
        <v>53</v>
      </c>
      <c r="N45" s="119" t="s">
        <v>49</v>
      </c>
      <c r="O45" s="292">
        <v>950145</v>
      </c>
      <c r="P45" s="133">
        <f t="shared" si="16"/>
        <v>96036856.019999996</v>
      </c>
      <c r="Q45" s="121">
        <f t="shared" si="17"/>
        <v>14955819587.994598</v>
      </c>
      <c r="R45" s="121" t="s">
        <v>25</v>
      </c>
      <c r="S45" s="293">
        <v>101.07599999999999</v>
      </c>
      <c r="T45" s="120">
        <f t="shared" si="18"/>
        <v>41962</v>
      </c>
      <c r="U45" s="119" t="s">
        <v>35</v>
      </c>
      <c r="V45" s="121">
        <f t="shared" si="19"/>
        <v>115244.22722399999</v>
      </c>
      <c r="W45" s="124">
        <v>155.72999999999999</v>
      </c>
      <c r="X45" s="122">
        <f t="shared" si="20"/>
        <v>17946983.505593516</v>
      </c>
      <c r="Y45" s="121" t="s">
        <v>35</v>
      </c>
      <c r="Z45" s="247" t="s">
        <v>35</v>
      </c>
      <c r="AA45" s="126" t="s">
        <v>35</v>
      </c>
    </row>
    <row r="46" spans="1:27" s="89" customFormat="1" ht="96.75" customHeight="1" x14ac:dyDescent="0.6">
      <c r="A46" s="294">
        <v>23</v>
      </c>
      <c r="B46" s="118" t="s">
        <v>107</v>
      </c>
      <c r="C46" s="127" t="s">
        <v>142</v>
      </c>
      <c r="D46" s="246">
        <v>41890</v>
      </c>
      <c r="E46" s="135" t="s">
        <v>165</v>
      </c>
      <c r="F46" s="119" t="s">
        <v>34</v>
      </c>
      <c r="G46" s="119" t="s">
        <v>39</v>
      </c>
      <c r="H46" s="119" t="s">
        <v>46</v>
      </c>
      <c r="I46" s="119">
        <v>27090000</v>
      </c>
      <c r="J46" s="120">
        <v>41875</v>
      </c>
      <c r="K46" s="118" t="s">
        <v>83</v>
      </c>
      <c r="L46" s="118" t="s">
        <v>48</v>
      </c>
      <c r="M46" s="119" t="s">
        <v>53</v>
      </c>
      <c r="N46" s="119" t="s">
        <v>129</v>
      </c>
      <c r="O46" s="292">
        <v>950010</v>
      </c>
      <c r="P46" s="133">
        <f t="shared" si="16"/>
        <v>96570891.525000006</v>
      </c>
      <c r="Q46" s="121">
        <f t="shared" si="17"/>
        <v>15038984937.18825</v>
      </c>
      <c r="R46" s="121" t="s">
        <v>25</v>
      </c>
      <c r="S46" s="293">
        <v>101.6525</v>
      </c>
      <c r="T46" s="120">
        <f t="shared" si="18"/>
        <v>41965</v>
      </c>
      <c r="U46" s="119" t="s">
        <v>35</v>
      </c>
      <c r="V46" s="121">
        <f t="shared" si="19"/>
        <v>115885.06982999999</v>
      </c>
      <c r="W46" s="124">
        <v>155.72999999999999</v>
      </c>
      <c r="X46" s="122">
        <f t="shared" si="20"/>
        <v>18046781.924625896</v>
      </c>
      <c r="Y46" s="121" t="s">
        <v>35</v>
      </c>
      <c r="Z46" s="247" t="s">
        <v>35</v>
      </c>
      <c r="AA46" s="126" t="s">
        <v>35</v>
      </c>
    </row>
    <row r="47" spans="1:27" s="89" customFormat="1" ht="72" customHeight="1" x14ac:dyDescent="0.6">
      <c r="A47" s="294">
        <v>24</v>
      </c>
      <c r="B47" s="118" t="s">
        <v>108</v>
      </c>
      <c r="C47" s="127" t="s">
        <v>143</v>
      </c>
      <c r="D47" s="246">
        <v>41890</v>
      </c>
      <c r="E47" s="135" t="s">
        <v>166</v>
      </c>
      <c r="F47" s="119" t="s">
        <v>34</v>
      </c>
      <c r="G47" s="119" t="s">
        <v>39</v>
      </c>
      <c r="H47" s="119" t="s">
        <v>45</v>
      </c>
      <c r="I47" s="119">
        <v>27090000</v>
      </c>
      <c r="J47" s="120">
        <v>41875</v>
      </c>
      <c r="K47" s="118" t="s">
        <v>84</v>
      </c>
      <c r="L47" s="118" t="s">
        <v>47</v>
      </c>
      <c r="M47" s="119" t="s">
        <v>53</v>
      </c>
      <c r="N47" s="119" t="s">
        <v>49</v>
      </c>
      <c r="O47" s="292">
        <v>906204</v>
      </c>
      <c r="P47" s="133">
        <f t="shared" si="16"/>
        <v>92117902.109999999</v>
      </c>
      <c r="Q47" s="121">
        <f t="shared" si="17"/>
        <v>14345520895.5903</v>
      </c>
      <c r="R47" s="121" t="s">
        <v>25</v>
      </c>
      <c r="S47" s="293">
        <v>101.6525</v>
      </c>
      <c r="T47" s="120">
        <f t="shared" si="18"/>
        <v>41965</v>
      </c>
      <c r="U47" s="119" t="s">
        <v>35</v>
      </c>
      <c r="V47" s="121">
        <f t="shared" si="19"/>
        <v>110541.48253199999</v>
      </c>
      <c r="W47" s="124">
        <v>155.72999999999999</v>
      </c>
      <c r="X47" s="122">
        <f t="shared" si="20"/>
        <v>17214625.074708357</v>
      </c>
      <c r="Y47" s="121" t="s">
        <v>35</v>
      </c>
      <c r="Z47" s="247" t="s">
        <v>35</v>
      </c>
      <c r="AA47" s="126" t="s">
        <v>35</v>
      </c>
    </row>
    <row r="48" spans="1:27" s="89" customFormat="1" ht="72" customHeight="1" x14ac:dyDescent="0.6">
      <c r="A48" s="294">
        <v>25</v>
      </c>
      <c r="B48" s="118" t="s">
        <v>251</v>
      </c>
      <c r="C48" s="127" t="s">
        <v>144</v>
      </c>
      <c r="D48" s="246">
        <v>41890</v>
      </c>
      <c r="E48" s="135" t="s">
        <v>167</v>
      </c>
      <c r="F48" s="119" t="s">
        <v>34</v>
      </c>
      <c r="G48" s="119" t="s">
        <v>39</v>
      </c>
      <c r="H48" s="119" t="s">
        <v>46</v>
      </c>
      <c r="I48" s="119">
        <v>27090000</v>
      </c>
      <c r="J48" s="120">
        <v>41878</v>
      </c>
      <c r="K48" s="118" t="s">
        <v>85</v>
      </c>
      <c r="L48" s="118" t="s">
        <v>48</v>
      </c>
      <c r="M48" s="119" t="s">
        <v>54</v>
      </c>
      <c r="N48" s="119" t="s">
        <v>64</v>
      </c>
      <c r="O48" s="292">
        <v>950143</v>
      </c>
      <c r="P48" s="133">
        <f t="shared" si="16"/>
        <v>96767313.834999993</v>
      </c>
      <c r="Q48" s="121">
        <f t="shared" si="17"/>
        <v>15069573783.524548</v>
      </c>
      <c r="R48" s="121" t="s">
        <v>25</v>
      </c>
      <c r="S48" s="293">
        <v>101.845</v>
      </c>
      <c r="T48" s="120">
        <f t="shared" si="18"/>
        <v>41968</v>
      </c>
      <c r="U48" s="119" t="s">
        <v>35</v>
      </c>
      <c r="V48" s="121">
        <f t="shared" si="19"/>
        <v>116120.77660199998</v>
      </c>
      <c r="W48" s="124">
        <v>155.72999999999999</v>
      </c>
      <c r="X48" s="122">
        <f t="shared" si="20"/>
        <v>18083488.540229455</v>
      </c>
      <c r="Y48" s="121" t="s">
        <v>35</v>
      </c>
      <c r="Z48" s="247" t="s">
        <v>35</v>
      </c>
      <c r="AA48" s="126" t="s">
        <v>35</v>
      </c>
    </row>
    <row r="49" spans="1:69" s="89" customFormat="1" ht="72" customHeight="1" x14ac:dyDescent="0.6">
      <c r="A49" s="294">
        <v>26</v>
      </c>
      <c r="B49" s="118" t="s">
        <v>111</v>
      </c>
      <c r="C49" s="127" t="s">
        <v>145</v>
      </c>
      <c r="D49" s="246">
        <v>41890</v>
      </c>
      <c r="E49" s="135" t="s">
        <v>168</v>
      </c>
      <c r="F49" s="119" t="s">
        <v>34</v>
      </c>
      <c r="G49" s="119" t="s">
        <v>39</v>
      </c>
      <c r="H49" s="119" t="s">
        <v>45</v>
      </c>
      <c r="I49" s="119">
        <v>27090000</v>
      </c>
      <c r="J49" s="120">
        <v>41878</v>
      </c>
      <c r="K49" s="118" t="s">
        <v>84</v>
      </c>
      <c r="L49" s="118" t="s">
        <v>47</v>
      </c>
      <c r="M49" s="119" t="s">
        <v>53</v>
      </c>
      <c r="N49" s="119" t="s">
        <v>49</v>
      </c>
      <c r="O49" s="292">
        <v>14325</v>
      </c>
      <c r="P49" s="133">
        <f t="shared" si="16"/>
        <v>1458929.625</v>
      </c>
      <c r="Q49" s="121">
        <f t="shared" si="17"/>
        <v>227199110.50125</v>
      </c>
      <c r="R49" s="121" t="s">
        <v>25</v>
      </c>
      <c r="S49" s="293">
        <v>101.845</v>
      </c>
      <c r="T49" s="120">
        <f t="shared" si="18"/>
        <v>41968</v>
      </c>
      <c r="U49" s="119" t="s">
        <v>35</v>
      </c>
      <c r="V49" s="121">
        <f t="shared" si="19"/>
        <v>1750.7155499999999</v>
      </c>
      <c r="W49" s="124">
        <v>155.72999999999999</v>
      </c>
      <c r="X49" s="122">
        <f t="shared" si="20"/>
        <v>272638.93260149995</v>
      </c>
      <c r="Y49" s="121" t="s">
        <v>35</v>
      </c>
      <c r="Z49" s="247" t="s">
        <v>35</v>
      </c>
      <c r="AA49" s="126" t="s">
        <v>35</v>
      </c>
    </row>
    <row r="50" spans="1:69" s="88" customFormat="1" ht="72" customHeight="1" x14ac:dyDescent="0.55000000000000004">
      <c r="A50" s="294">
        <v>27</v>
      </c>
      <c r="B50" s="118" t="s">
        <v>112</v>
      </c>
      <c r="C50" s="127" t="s">
        <v>146</v>
      </c>
      <c r="D50" s="295">
        <v>41890</v>
      </c>
      <c r="E50" s="118" t="s">
        <v>169</v>
      </c>
      <c r="F50" s="118" t="s">
        <v>34</v>
      </c>
      <c r="G50" s="119" t="s">
        <v>39</v>
      </c>
      <c r="H50" s="119" t="s">
        <v>45</v>
      </c>
      <c r="I50" s="119">
        <v>27090000</v>
      </c>
      <c r="J50" s="120">
        <v>41878</v>
      </c>
      <c r="K50" s="118" t="s">
        <v>84</v>
      </c>
      <c r="L50" s="118" t="s">
        <v>47</v>
      </c>
      <c r="M50" s="119" t="s">
        <v>53</v>
      </c>
      <c r="N50" s="119" t="s">
        <v>49</v>
      </c>
      <c r="O50" s="292">
        <v>95500</v>
      </c>
      <c r="P50" s="133">
        <f t="shared" ref="P50:P56" si="21">O50*S50</f>
        <v>9726197.5</v>
      </c>
      <c r="Q50" s="121">
        <f t="shared" si="5"/>
        <v>1514660736.675</v>
      </c>
      <c r="R50" s="121" t="s">
        <v>25</v>
      </c>
      <c r="S50" s="293">
        <v>101.845</v>
      </c>
      <c r="T50" s="120">
        <f t="shared" si="2"/>
        <v>41968</v>
      </c>
      <c r="U50" s="254" t="s">
        <v>35</v>
      </c>
      <c r="V50" s="121">
        <f t="shared" si="3"/>
        <v>11671.436999999998</v>
      </c>
      <c r="W50" s="124">
        <v>155.72999999999999</v>
      </c>
      <c r="X50" s="122">
        <f t="shared" si="4"/>
        <v>1817592.8840099997</v>
      </c>
      <c r="Y50" s="121" t="s">
        <v>35</v>
      </c>
      <c r="Z50" s="247" t="s">
        <v>35</v>
      </c>
      <c r="AA50" s="126" t="s">
        <v>35</v>
      </c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</row>
    <row r="51" spans="1:69" s="88" customFormat="1" ht="72" customHeight="1" x14ac:dyDescent="0.55000000000000004">
      <c r="A51" s="294">
        <v>28</v>
      </c>
      <c r="B51" s="118" t="s">
        <v>113</v>
      </c>
      <c r="C51" s="127" t="s">
        <v>147</v>
      </c>
      <c r="D51" s="295">
        <v>41890</v>
      </c>
      <c r="E51" s="118" t="s">
        <v>170</v>
      </c>
      <c r="F51" s="118" t="s">
        <v>34</v>
      </c>
      <c r="G51" s="119" t="s">
        <v>39</v>
      </c>
      <c r="H51" s="119" t="s">
        <v>45</v>
      </c>
      <c r="I51" s="119">
        <v>27090000</v>
      </c>
      <c r="J51" s="120">
        <v>41878</v>
      </c>
      <c r="K51" s="118" t="s">
        <v>84</v>
      </c>
      <c r="L51" s="118" t="s">
        <v>47</v>
      </c>
      <c r="M51" s="119" t="s">
        <v>53</v>
      </c>
      <c r="N51" s="119" t="s">
        <v>49</v>
      </c>
      <c r="O51" s="292">
        <v>183360</v>
      </c>
      <c r="P51" s="133">
        <f t="shared" ref="P51:P54" si="22">O51*S51</f>
        <v>18674299.199999999</v>
      </c>
      <c r="Q51" s="121">
        <f t="shared" ref="Q51:Q54" si="23">P51*W51</f>
        <v>2908148614.4159999</v>
      </c>
      <c r="R51" s="121" t="s">
        <v>25</v>
      </c>
      <c r="S51" s="293">
        <v>101.845</v>
      </c>
      <c r="T51" s="120">
        <f t="shared" ref="T51:T54" si="24">J51+90</f>
        <v>41968</v>
      </c>
      <c r="U51" s="254" t="s">
        <v>35</v>
      </c>
      <c r="V51" s="121">
        <f t="shared" ref="V51:V54" si="25">P51*0.12%</f>
        <v>22409.159039999999</v>
      </c>
      <c r="W51" s="124">
        <v>155.72999999999999</v>
      </c>
      <c r="X51" s="122">
        <f t="shared" ref="X51:X54" si="26">V51*W51</f>
        <v>3489778.3372991998</v>
      </c>
      <c r="Y51" s="121" t="s">
        <v>35</v>
      </c>
      <c r="Z51" s="247" t="s">
        <v>35</v>
      </c>
      <c r="AA51" s="126" t="s">
        <v>35</v>
      </c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</row>
    <row r="52" spans="1:69" s="88" customFormat="1" ht="72" customHeight="1" x14ac:dyDescent="0.55000000000000004">
      <c r="A52" s="294">
        <v>29</v>
      </c>
      <c r="B52" s="118" t="s">
        <v>114</v>
      </c>
      <c r="C52" s="127" t="s">
        <v>148</v>
      </c>
      <c r="D52" s="295">
        <v>41890</v>
      </c>
      <c r="E52" s="118" t="s">
        <v>171</v>
      </c>
      <c r="F52" s="118" t="s">
        <v>34</v>
      </c>
      <c r="G52" s="119" t="s">
        <v>39</v>
      </c>
      <c r="H52" s="119" t="s">
        <v>45</v>
      </c>
      <c r="I52" s="119">
        <v>27090000</v>
      </c>
      <c r="J52" s="120">
        <v>41878</v>
      </c>
      <c r="K52" s="118" t="s">
        <v>84</v>
      </c>
      <c r="L52" s="118" t="s">
        <v>47</v>
      </c>
      <c r="M52" s="119" t="s">
        <v>53</v>
      </c>
      <c r="N52" s="119" t="s">
        <v>49</v>
      </c>
      <c r="O52" s="292">
        <v>614565</v>
      </c>
      <c r="P52" s="133">
        <f t="shared" si="22"/>
        <v>62590372.424999997</v>
      </c>
      <c r="Q52" s="121">
        <f t="shared" si="23"/>
        <v>9747198697.7452488</v>
      </c>
      <c r="R52" s="121" t="s">
        <v>25</v>
      </c>
      <c r="S52" s="293">
        <v>101.845</v>
      </c>
      <c r="T52" s="120">
        <f t="shared" si="24"/>
        <v>41968</v>
      </c>
      <c r="U52" s="254" t="s">
        <v>35</v>
      </c>
      <c r="V52" s="121">
        <f t="shared" si="25"/>
        <v>75108.446909999984</v>
      </c>
      <c r="W52" s="124">
        <v>155.72999999999999</v>
      </c>
      <c r="X52" s="122">
        <f t="shared" si="26"/>
        <v>11696638.437294297</v>
      </c>
      <c r="Y52" s="121" t="s">
        <v>35</v>
      </c>
      <c r="Z52" s="247" t="s">
        <v>35</v>
      </c>
      <c r="AA52" s="126" t="s">
        <v>35</v>
      </c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</row>
    <row r="53" spans="1:69" s="313" customFormat="1" ht="87" customHeight="1" x14ac:dyDescent="0.55000000000000004">
      <c r="A53" s="294">
        <v>30</v>
      </c>
      <c r="B53" s="139" t="s">
        <v>252</v>
      </c>
      <c r="C53" s="314" t="s">
        <v>149</v>
      </c>
      <c r="D53" s="304">
        <v>41890</v>
      </c>
      <c r="E53" s="139" t="s">
        <v>172</v>
      </c>
      <c r="F53" s="139" t="s">
        <v>34</v>
      </c>
      <c r="G53" s="305" t="s">
        <v>39</v>
      </c>
      <c r="H53" s="305" t="s">
        <v>46</v>
      </c>
      <c r="I53" s="119">
        <v>27090000</v>
      </c>
      <c r="J53" s="306">
        <v>41881</v>
      </c>
      <c r="K53" s="139" t="s">
        <v>86</v>
      </c>
      <c r="L53" s="139" t="s">
        <v>48</v>
      </c>
      <c r="M53" s="305" t="s">
        <v>53</v>
      </c>
      <c r="N53" s="305" t="s">
        <v>129</v>
      </c>
      <c r="O53" s="307">
        <v>949881</v>
      </c>
      <c r="P53" s="133">
        <f t="shared" si="22"/>
        <v>96911609.025000006</v>
      </c>
      <c r="Q53" s="122">
        <f t="shared" si="23"/>
        <v>15092044873.463249</v>
      </c>
      <c r="R53" s="122" t="s">
        <v>25</v>
      </c>
      <c r="S53" s="308">
        <v>102.02500000000001</v>
      </c>
      <c r="T53" s="306">
        <f t="shared" si="24"/>
        <v>41971</v>
      </c>
      <c r="U53" s="254" t="s">
        <v>35</v>
      </c>
      <c r="V53" s="122">
        <f t="shared" si="25"/>
        <v>116293.93083</v>
      </c>
      <c r="W53" s="309">
        <v>155.72999999999999</v>
      </c>
      <c r="X53" s="122">
        <f t="shared" si="26"/>
        <v>18110453.848155897</v>
      </c>
      <c r="Y53" s="122" t="s">
        <v>35</v>
      </c>
      <c r="Z53" s="310" t="s">
        <v>35</v>
      </c>
      <c r="AA53" s="311" t="s">
        <v>35</v>
      </c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12"/>
      <c r="AY53" s="312"/>
      <c r="AZ53" s="312"/>
      <c r="BA53" s="312"/>
      <c r="BB53" s="312"/>
      <c r="BC53" s="312"/>
      <c r="BD53" s="312"/>
      <c r="BE53" s="312"/>
      <c r="BF53" s="312"/>
      <c r="BG53" s="312"/>
      <c r="BH53" s="312"/>
      <c r="BI53" s="312"/>
      <c r="BJ53" s="312"/>
      <c r="BK53" s="312"/>
      <c r="BL53" s="312"/>
      <c r="BM53" s="312"/>
      <c r="BN53" s="312"/>
      <c r="BO53" s="312"/>
      <c r="BP53" s="312"/>
      <c r="BQ53" s="312"/>
    </row>
    <row r="54" spans="1:69" s="90" customFormat="1" ht="72" customHeight="1" x14ac:dyDescent="0.55000000000000004">
      <c r="A54" s="294">
        <v>31</v>
      </c>
      <c r="B54" s="118" t="s">
        <v>120</v>
      </c>
      <c r="C54" s="127" t="s">
        <v>150</v>
      </c>
      <c r="D54" s="295">
        <v>41890</v>
      </c>
      <c r="E54" s="118" t="s">
        <v>173</v>
      </c>
      <c r="F54" s="118" t="s">
        <v>34</v>
      </c>
      <c r="G54" s="119" t="s">
        <v>39</v>
      </c>
      <c r="H54" s="119" t="s">
        <v>45</v>
      </c>
      <c r="I54" s="119">
        <v>27090000</v>
      </c>
      <c r="J54" s="120">
        <v>41881</v>
      </c>
      <c r="K54" s="118" t="s">
        <v>87</v>
      </c>
      <c r="L54" s="118" t="s">
        <v>47</v>
      </c>
      <c r="M54" s="119" t="s">
        <v>56</v>
      </c>
      <c r="N54" s="119" t="s">
        <v>52</v>
      </c>
      <c r="O54" s="292">
        <v>229200</v>
      </c>
      <c r="P54" s="133">
        <f t="shared" si="22"/>
        <v>23384130</v>
      </c>
      <c r="Q54" s="121">
        <f t="shared" si="23"/>
        <v>3641610564.8999996</v>
      </c>
      <c r="R54" s="121" t="s">
        <v>25</v>
      </c>
      <c r="S54" s="293">
        <v>102.02500000000001</v>
      </c>
      <c r="T54" s="120">
        <f t="shared" si="24"/>
        <v>41971</v>
      </c>
      <c r="U54" s="254" t="s">
        <v>35</v>
      </c>
      <c r="V54" s="121">
        <f t="shared" si="25"/>
        <v>28060.955999999998</v>
      </c>
      <c r="W54" s="124">
        <v>155.72999999999999</v>
      </c>
      <c r="X54" s="122">
        <f t="shared" si="26"/>
        <v>4369932.6778799994</v>
      </c>
      <c r="Y54" s="121" t="s">
        <v>35</v>
      </c>
      <c r="Z54" s="247" t="s">
        <v>35</v>
      </c>
      <c r="AA54" s="126" t="s">
        <v>35</v>
      </c>
    </row>
    <row r="55" spans="1:69" s="90" customFormat="1" ht="81.75" customHeight="1" x14ac:dyDescent="0.55000000000000004">
      <c r="A55" s="294">
        <v>32</v>
      </c>
      <c r="B55" s="118" t="s">
        <v>121</v>
      </c>
      <c r="C55" s="127" t="s">
        <v>151</v>
      </c>
      <c r="D55" s="295">
        <v>41890</v>
      </c>
      <c r="E55" s="118" t="s">
        <v>174</v>
      </c>
      <c r="F55" s="118" t="s">
        <v>34</v>
      </c>
      <c r="G55" s="119" t="s">
        <v>39</v>
      </c>
      <c r="H55" s="119" t="s">
        <v>45</v>
      </c>
      <c r="I55" s="119">
        <v>27090000</v>
      </c>
      <c r="J55" s="120">
        <v>41881</v>
      </c>
      <c r="K55" s="118" t="s">
        <v>87</v>
      </c>
      <c r="L55" s="118" t="s">
        <v>47</v>
      </c>
      <c r="M55" s="119" t="s">
        <v>56</v>
      </c>
      <c r="N55" s="119" t="s">
        <v>52</v>
      </c>
      <c r="O55" s="292">
        <v>238750</v>
      </c>
      <c r="P55" s="133">
        <f t="shared" si="21"/>
        <v>24358468.75</v>
      </c>
      <c r="Q55" s="121">
        <f t="shared" si="5"/>
        <v>3793344338.4374995</v>
      </c>
      <c r="R55" s="121" t="s">
        <v>25</v>
      </c>
      <c r="S55" s="293">
        <v>102.02500000000001</v>
      </c>
      <c r="T55" s="120">
        <f t="shared" si="2"/>
        <v>41971</v>
      </c>
      <c r="U55" s="254" t="s">
        <v>35</v>
      </c>
      <c r="V55" s="121">
        <f t="shared" si="3"/>
        <v>29230.162499999999</v>
      </c>
      <c r="W55" s="124">
        <v>155.72999999999999</v>
      </c>
      <c r="X55" s="122">
        <f t="shared" si="4"/>
        <v>4552013.2061249996</v>
      </c>
      <c r="Y55" s="121" t="s">
        <v>35</v>
      </c>
      <c r="Z55" s="247" t="s">
        <v>35</v>
      </c>
      <c r="AA55" s="126" t="s">
        <v>35</v>
      </c>
      <c r="AB55" s="136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</row>
    <row r="56" spans="1:69" s="90" customFormat="1" ht="84.75" customHeight="1" x14ac:dyDescent="0.55000000000000004">
      <c r="A56" s="294">
        <v>33</v>
      </c>
      <c r="B56" s="118" t="s">
        <v>122</v>
      </c>
      <c r="C56" s="127" t="s">
        <v>152</v>
      </c>
      <c r="D56" s="295">
        <v>41890</v>
      </c>
      <c r="E56" s="118" t="s">
        <v>175</v>
      </c>
      <c r="F56" s="118" t="s">
        <v>34</v>
      </c>
      <c r="G56" s="119" t="s">
        <v>39</v>
      </c>
      <c r="H56" s="119" t="s">
        <v>45</v>
      </c>
      <c r="I56" s="119">
        <v>27090000</v>
      </c>
      <c r="J56" s="120">
        <v>41881</v>
      </c>
      <c r="K56" s="118" t="s">
        <v>87</v>
      </c>
      <c r="L56" s="118" t="s">
        <v>47</v>
      </c>
      <c r="M56" s="119" t="s">
        <v>56</v>
      </c>
      <c r="N56" s="119" t="s">
        <v>52</v>
      </c>
      <c r="O56" s="292">
        <v>439318</v>
      </c>
      <c r="P56" s="133">
        <f t="shared" si="21"/>
        <v>44821418.950000003</v>
      </c>
      <c r="Q56" s="121">
        <f t="shared" si="5"/>
        <v>6980039573.0834999</v>
      </c>
      <c r="R56" s="121" t="s">
        <v>25</v>
      </c>
      <c r="S56" s="293">
        <v>102.02500000000001</v>
      </c>
      <c r="T56" s="120">
        <f t="shared" si="2"/>
        <v>41971</v>
      </c>
      <c r="U56" s="254" t="s">
        <v>35</v>
      </c>
      <c r="V56" s="121">
        <f t="shared" si="3"/>
        <v>53785.702740000001</v>
      </c>
      <c r="W56" s="124">
        <v>155.72999999999999</v>
      </c>
      <c r="X56" s="122">
        <f t="shared" si="4"/>
        <v>8376047.4877001997</v>
      </c>
      <c r="Y56" s="121" t="s">
        <v>35</v>
      </c>
      <c r="Z56" s="247" t="s">
        <v>35</v>
      </c>
      <c r="AA56" s="126" t="s">
        <v>35</v>
      </c>
      <c r="AB56" s="136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</row>
    <row r="57" spans="1:69" s="90" customFormat="1" ht="92.25" customHeight="1" x14ac:dyDescent="0.55000000000000004">
      <c r="A57" s="294">
        <v>34</v>
      </c>
      <c r="B57" s="127" t="s">
        <v>123</v>
      </c>
      <c r="C57" s="315" t="s">
        <v>153</v>
      </c>
      <c r="D57" s="295">
        <v>41890</v>
      </c>
      <c r="E57" s="118" t="s">
        <v>176</v>
      </c>
      <c r="F57" s="118" t="s">
        <v>34</v>
      </c>
      <c r="G57" s="128" t="s">
        <v>39</v>
      </c>
      <c r="H57" s="137" t="s">
        <v>46</v>
      </c>
      <c r="I57" s="119">
        <v>27090000</v>
      </c>
      <c r="J57" s="130">
        <v>41882</v>
      </c>
      <c r="K57" s="118" t="s">
        <v>88</v>
      </c>
      <c r="L57" s="131" t="s">
        <v>48</v>
      </c>
      <c r="M57" s="119" t="s">
        <v>55</v>
      </c>
      <c r="N57" s="137" t="s">
        <v>51</v>
      </c>
      <c r="O57" s="132">
        <v>950053</v>
      </c>
      <c r="P57" s="133">
        <f>O57*S57</f>
        <v>96764798.156000003</v>
      </c>
      <c r="Q57" s="121">
        <f t="shared" ref="Q57" si="27">P57*W57</f>
        <v>15069182016.833879</v>
      </c>
      <c r="R57" s="125" t="s">
        <v>25</v>
      </c>
      <c r="S57" s="124">
        <v>101.852</v>
      </c>
      <c r="T57" s="120">
        <f t="shared" si="2"/>
        <v>41972</v>
      </c>
      <c r="U57" s="254" t="s">
        <v>35</v>
      </c>
      <c r="V57" s="121">
        <f t="shared" si="3"/>
        <v>116117.7577872</v>
      </c>
      <c r="W57" s="124">
        <v>155.72999999999999</v>
      </c>
      <c r="X57" s="122">
        <f t="shared" si="4"/>
        <v>18083018.420200653</v>
      </c>
      <c r="Y57" s="121" t="s">
        <v>35</v>
      </c>
      <c r="Z57" s="247" t="s">
        <v>35</v>
      </c>
      <c r="AA57" s="126" t="s">
        <v>35</v>
      </c>
      <c r="AB57" s="136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</row>
    <row r="58" spans="1:69" ht="78.75" customHeight="1" x14ac:dyDescent="0.55000000000000004">
      <c r="A58" s="294"/>
      <c r="B58" s="119"/>
      <c r="C58" s="138"/>
      <c r="D58" s="123"/>
      <c r="E58" s="138"/>
      <c r="F58" s="138"/>
      <c r="G58" s="128"/>
      <c r="H58" s="119"/>
      <c r="I58" s="119"/>
      <c r="J58" s="120"/>
      <c r="K58" s="118"/>
      <c r="L58" s="118"/>
      <c r="M58" s="119"/>
      <c r="N58" s="183"/>
      <c r="O58" s="132"/>
      <c r="P58" s="133"/>
      <c r="Q58" s="121"/>
      <c r="R58" s="125"/>
      <c r="S58" s="124"/>
      <c r="T58" s="134"/>
      <c r="U58" s="254"/>
      <c r="V58" s="121"/>
      <c r="W58" s="124"/>
      <c r="X58" s="125"/>
      <c r="Y58" s="125"/>
      <c r="Z58" s="138"/>
      <c r="AA58" s="184"/>
    </row>
    <row r="59" spans="1:69" s="16" customFormat="1" ht="78.75" customHeight="1" thickBot="1" x14ac:dyDescent="0.65">
      <c r="A59" s="200"/>
      <c r="B59" s="140" t="s">
        <v>27</v>
      </c>
      <c r="C59" s="140"/>
      <c r="D59" s="141"/>
      <c r="E59" s="140"/>
      <c r="F59" s="140"/>
      <c r="G59" s="242"/>
      <c r="H59" s="140"/>
      <c r="I59" s="140"/>
      <c r="J59" s="141"/>
      <c r="K59" s="140"/>
      <c r="L59" s="140"/>
      <c r="M59" s="140"/>
      <c r="N59" s="243"/>
      <c r="O59" s="244">
        <f>SUM(O24:O57)</f>
        <v>26490614</v>
      </c>
      <c r="P59" s="145">
        <f>SUM(P24:P57)</f>
        <v>2821253130.9750004</v>
      </c>
      <c r="Q59" s="145">
        <f>SUM(Q24:Q57)</f>
        <v>440127129942.42383</v>
      </c>
      <c r="R59" s="145"/>
      <c r="S59" s="146"/>
      <c r="T59" s="141"/>
      <c r="U59" s="145"/>
      <c r="V59" s="145">
        <f>SUM(V24:V57)</f>
        <v>3385503.7571699992</v>
      </c>
      <c r="W59" s="146"/>
      <c r="X59" s="145">
        <f>SUM(X24:X57)</f>
        <v>528152555.93090886</v>
      </c>
      <c r="Y59" s="145">
        <f>SUM(Y24:Y57)</f>
        <v>236162998.12</v>
      </c>
      <c r="Z59" s="140"/>
      <c r="AA59" s="192"/>
    </row>
    <row r="60" spans="1:69" s="16" customFormat="1" ht="23.25" x14ac:dyDescent="0.35">
      <c r="A60" s="39"/>
      <c r="B60" s="37"/>
      <c r="C60" s="35"/>
      <c r="D60" s="36"/>
      <c r="E60" s="35"/>
      <c r="F60" s="35"/>
      <c r="G60" s="40"/>
      <c r="H60" s="35"/>
      <c r="I60" s="35"/>
      <c r="J60" s="36"/>
      <c r="K60" s="35"/>
      <c r="L60" s="35"/>
      <c r="M60" s="35"/>
      <c r="N60" s="41"/>
      <c r="O60" s="29"/>
      <c r="P60" s="30"/>
      <c r="Q60" s="30"/>
      <c r="R60" s="30"/>
      <c r="S60" s="38"/>
      <c r="T60" s="36"/>
      <c r="U60" s="30"/>
      <c r="V60" s="30"/>
      <c r="W60" s="38"/>
      <c r="X60" s="30"/>
      <c r="Y60" s="30"/>
      <c r="Z60" s="35"/>
      <c r="AA60" s="35"/>
    </row>
    <row r="61" spans="1:69" x14ac:dyDescent="0.2">
      <c r="A61" s="7"/>
      <c r="B61" s="8"/>
      <c r="C61" s="6"/>
      <c r="D61" s="17"/>
      <c r="E61" s="18"/>
      <c r="F61" s="6"/>
      <c r="G61" s="19"/>
      <c r="H61" s="6"/>
      <c r="I61" s="6"/>
      <c r="J61" s="20"/>
      <c r="K61" s="8"/>
      <c r="L61" s="8"/>
      <c r="M61" s="6"/>
      <c r="N61" s="6"/>
      <c r="O61" s="21"/>
      <c r="P61" s="22"/>
      <c r="Q61" s="22"/>
      <c r="R61" s="22"/>
      <c r="S61" s="27"/>
      <c r="V61" s="22"/>
      <c r="W61" s="27"/>
      <c r="X61" s="22"/>
      <c r="Y61" s="22"/>
      <c r="Z61" s="6"/>
      <c r="AA61" s="6"/>
    </row>
    <row r="73" spans="14:15" x14ac:dyDescent="0.2">
      <c r="N73" s="23"/>
      <c r="O73" s="24"/>
    </row>
  </sheetData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ignoredErrors>
    <ignoredError sqref="E58 Z35 F25:F30 Z24:Z30 E25:E30 E24 E35 E31:E33 Z31:Z33 E36:F38 Z36:Z3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topLeftCell="A10" zoomScale="37" zoomScaleNormal="37" zoomScaleSheetLayoutView="10" workbookViewId="0">
      <selection activeCell="Q44" sqref="Q44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88" customFormat="1" ht="160.5" customHeight="1" x14ac:dyDescent="0.6">
      <c r="B27" s="187" t="s">
        <v>71</v>
      </c>
      <c r="C27" s="90"/>
      <c r="D27" s="188"/>
      <c r="E27" s="91"/>
      <c r="F27" s="90"/>
      <c r="G27" s="189"/>
      <c r="H27" s="90"/>
      <c r="I27" s="90"/>
      <c r="J27" s="188"/>
      <c r="K27" s="90"/>
      <c r="L27" s="90"/>
      <c r="M27" s="90"/>
      <c r="N27" s="90"/>
      <c r="O27" s="93"/>
      <c r="P27" s="94"/>
      <c r="Q27" s="94"/>
      <c r="R27" s="94"/>
      <c r="S27" s="95"/>
      <c r="T27" s="96"/>
      <c r="U27" s="90"/>
      <c r="V27" s="94"/>
      <c r="W27" s="95"/>
      <c r="X27" s="94"/>
      <c r="Y27" s="94"/>
      <c r="Z27" s="90"/>
      <c r="AA27" s="90"/>
    </row>
    <row r="28" spans="1:27" s="98" customFormat="1" ht="160.5" customHeight="1" thickBot="1" x14ac:dyDescent="0.3">
      <c r="B28" s="99"/>
      <c r="C28" s="99"/>
      <c r="D28" s="100"/>
      <c r="E28" s="101"/>
      <c r="F28" s="99"/>
      <c r="G28" s="102"/>
      <c r="H28" s="103"/>
      <c r="I28" s="103"/>
      <c r="J28" s="104"/>
      <c r="K28" s="105"/>
      <c r="L28" s="106"/>
      <c r="M28" s="103"/>
      <c r="N28" s="106"/>
      <c r="O28" s="107"/>
      <c r="P28" s="108"/>
      <c r="Q28" s="108"/>
      <c r="R28" s="108"/>
      <c r="S28" s="109"/>
      <c r="T28" s="110"/>
      <c r="U28" s="99"/>
      <c r="V28" s="108"/>
      <c r="W28" s="109"/>
      <c r="X28" s="108"/>
      <c r="Y28" s="108"/>
      <c r="Z28" s="99"/>
      <c r="AA28" s="99"/>
    </row>
    <row r="29" spans="1:27" s="99" customFormat="1" ht="160.5" customHeight="1" x14ac:dyDescent="0.25">
      <c r="A29" s="111">
        <v>1</v>
      </c>
      <c r="B29" s="112">
        <v>2</v>
      </c>
      <c r="C29" s="112">
        <v>3</v>
      </c>
      <c r="D29" s="113">
        <v>4</v>
      </c>
      <c r="E29" s="112">
        <v>5</v>
      </c>
      <c r="F29" s="112">
        <v>6</v>
      </c>
      <c r="G29" s="114">
        <v>7</v>
      </c>
      <c r="H29" s="112">
        <v>8</v>
      </c>
      <c r="I29" s="245">
        <v>9</v>
      </c>
      <c r="J29" s="112">
        <v>10</v>
      </c>
      <c r="K29" s="112">
        <v>11</v>
      </c>
      <c r="L29" s="112">
        <v>12</v>
      </c>
      <c r="M29" s="112">
        <v>13</v>
      </c>
      <c r="N29" s="112">
        <v>14</v>
      </c>
      <c r="O29" s="112">
        <v>15</v>
      </c>
      <c r="P29" s="112">
        <v>16</v>
      </c>
      <c r="Q29" s="112">
        <v>17</v>
      </c>
      <c r="R29" s="112">
        <v>18</v>
      </c>
      <c r="S29" s="112">
        <v>19</v>
      </c>
      <c r="T29" s="112">
        <v>20</v>
      </c>
      <c r="U29" s="112">
        <v>21</v>
      </c>
      <c r="V29" s="112">
        <v>22</v>
      </c>
      <c r="W29" s="113">
        <v>23</v>
      </c>
      <c r="X29" s="112">
        <v>24</v>
      </c>
      <c r="Y29" s="112">
        <v>25</v>
      </c>
      <c r="Z29" s="112">
        <v>26</v>
      </c>
      <c r="AA29" s="115">
        <v>27</v>
      </c>
    </row>
    <row r="30" spans="1:27" s="116" customFormat="1" ht="160.5" customHeight="1" thickBot="1" x14ac:dyDescent="0.3">
      <c r="A30" s="282" t="s">
        <v>0</v>
      </c>
      <c r="B30" s="283" t="s">
        <v>1</v>
      </c>
      <c r="C30" s="284" t="s">
        <v>2</v>
      </c>
      <c r="D30" s="285" t="s">
        <v>3</v>
      </c>
      <c r="E30" s="286" t="s">
        <v>4</v>
      </c>
      <c r="F30" s="284" t="s">
        <v>5</v>
      </c>
      <c r="G30" s="299" t="s">
        <v>6</v>
      </c>
      <c r="H30" s="300" t="s">
        <v>7</v>
      </c>
      <c r="I30" s="284" t="s">
        <v>8</v>
      </c>
      <c r="J30" s="301" t="s">
        <v>9</v>
      </c>
      <c r="K30" s="283" t="s">
        <v>10</v>
      </c>
      <c r="L30" s="283" t="s">
        <v>11</v>
      </c>
      <c r="M30" s="284" t="s">
        <v>12</v>
      </c>
      <c r="N30" s="284" t="s">
        <v>13</v>
      </c>
      <c r="O30" s="288" t="s">
        <v>14</v>
      </c>
      <c r="P30" s="289" t="s">
        <v>26</v>
      </c>
      <c r="Q30" s="289" t="s">
        <v>31</v>
      </c>
      <c r="R30" s="289" t="s">
        <v>15</v>
      </c>
      <c r="S30" s="290" t="s">
        <v>16</v>
      </c>
      <c r="T30" s="285" t="s">
        <v>17</v>
      </c>
      <c r="U30" s="284" t="s">
        <v>18</v>
      </c>
      <c r="V30" s="289" t="s">
        <v>19</v>
      </c>
      <c r="W30" s="290" t="s">
        <v>20</v>
      </c>
      <c r="X30" s="289" t="s">
        <v>21</v>
      </c>
      <c r="Y30" s="289" t="s">
        <v>22</v>
      </c>
      <c r="Z30" s="284" t="s">
        <v>24</v>
      </c>
      <c r="AA30" s="291" t="s">
        <v>23</v>
      </c>
    </row>
    <row r="31" spans="1:27" s="90" customFormat="1" ht="160.5" customHeight="1" x14ac:dyDescent="0.55000000000000004">
      <c r="A31" s="233">
        <v>1</v>
      </c>
      <c r="B31" s="250" t="s">
        <v>89</v>
      </c>
      <c r="C31" s="203" t="s">
        <v>32</v>
      </c>
      <c r="D31" s="251" t="s">
        <v>32</v>
      </c>
      <c r="E31" s="218" t="s">
        <v>154</v>
      </c>
      <c r="F31" s="203" t="s">
        <v>33</v>
      </c>
      <c r="G31" s="252" t="s">
        <v>38</v>
      </c>
      <c r="H31" s="202" t="s">
        <v>45</v>
      </c>
      <c r="I31" s="202">
        <v>27090000</v>
      </c>
      <c r="J31" s="204">
        <v>41852</v>
      </c>
      <c r="K31" s="203" t="s">
        <v>72</v>
      </c>
      <c r="L31" s="234" t="s">
        <v>47</v>
      </c>
      <c r="M31" s="202" t="s">
        <v>131</v>
      </c>
      <c r="N31" s="235" t="s">
        <v>125</v>
      </c>
      <c r="O31" s="236">
        <v>953512</v>
      </c>
      <c r="P31" s="237">
        <f t="shared" ref="P31:P41" si="0">O31*S31</f>
        <v>99880382</v>
      </c>
      <c r="Q31" s="237">
        <f t="shared" ref="Q31:Q41" si="1">P31*W31</f>
        <v>15554371888.859999</v>
      </c>
      <c r="R31" s="237" t="s">
        <v>25</v>
      </c>
      <c r="S31" s="216">
        <v>104.75</v>
      </c>
      <c r="T31" s="238">
        <f t="shared" ref="T31:T41" si="2">J31+90</f>
        <v>41942</v>
      </c>
      <c r="U31" s="239" t="s">
        <v>35</v>
      </c>
      <c r="V31" s="237">
        <f t="shared" ref="V31:V41" si="3">P31*0.12%</f>
        <v>119856.45839999999</v>
      </c>
      <c r="W31" s="216">
        <v>155.72999999999999</v>
      </c>
      <c r="X31" s="237">
        <f>V31*W31</f>
        <v>18665246.266631998</v>
      </c>
      <c r="Y31" s="237" t="s">
        <v>35</v>
      </c>
      <c r="Z31" s="203" t="s">
        <v>35</v>
      </c>
      <c r="AA31" s="240" t="s">
        <v>35</v>
      </c>
    </row>
    <row r="32" spans="1:27" s="90" customFormat="1" ht="160.5" customHeight="1" x14ac:dyDescent="0.55000000000000004">
      <c r="A32" s="182">
        <v>2</v>
      </c>
      <c r="B32" s="127" t="s">
        <v>90</v>
      </c>
      <c r="C32" s="118" t="s">
        <v>32</v>
      </c>
      <c r="D32" s="123" t="s">
        <v>32</v>
      </c>
      <c r="E32" s="118" t="s">
        <v>35</v>
      </c>
      <c r="F32" s="118" t="s">
        <v>35</v>
      </c>
      <c r="G32" s="128" t="s">
        <v>39</v>
      </c>
      <c r="H32" s="119" t="s">
        <v>46</v>
      </c>
      <c r="I32" s="119">
        <v>27090000</v>
      </c>
      <c r="J32" s="120">
        <v>41853</v>
      </c>
      <c r="K32" s="118" t="s">
        <v>73</v>
      </c>
      <c r="L32" s="131" t="s">
        <v>48</v>
      </c>
      <c r="M32" s="119" t="s">
        <v>54</v>
      </c>
      <c r="N32" s="137" t="s">
        <v>50</v>
      </c>
      <c r="O32" s="132">
        <v>950443</v>
      </c>
      <c r="P32" s="125">
        <f t="shared" si="0"/>
        <v>99068475.662</v>
      </c>
      <c r="Q32" s="125">
        <f t="shared" si="1"/>
        <v>15427933714.84326</v>
      </c>
      <c r="R32" s="125" t="s">
        <v>25</v>
      </c>
      <c r="S32" s="124">
        <v>104.23399999999999</v>
      </c>
      <c r="T32" s="134">
        <f t="shared" si="2"/>
        <v>41943</v>
      </c>
      <c r="U32" s="138" t="s">
        <v>35</v>
      </c>
      <c r="V32" s="125">
        <f t="shared" si="3"/>
        <v>118882.17079439999</v>
      </c>
      <c r="W32" s="124">
        <v>155.72999999999999</v>
      </c>
      <c r="X32" s="125">
        <f t="shared" ref="X32:X41" si="4">V32*W32</f>
        <v>18513520.457811911</v>
      </c>
      <c r="Y32" s="125" t="s">
        <v>35</v>
      </c>
      <c r="Z32" s="118" t="s">
        <v>35</v>
      </c>
      <c r="AA32" s="190" t="s">
        <v>35</v>
      </c>
    </row>
    <row r="33" spans="1:27" s="90" customFormat="1" ht="160.5" customHeight="1" x14ac:dyDescent="0.55000000000000004">
      <c r="A33" s="182">
        <v>3</v>
      </c>
      <c r="B33" s="127" t="s">
        <v>91</v>
      </c>
      <c r="C33" s="118" t="s">
        <v>32</v>
      </c>
      <c r="D33" s="123" t="s">
        <v>32</v>
      </c>
      <c r="E33" s="247" t="s">
        <v>155</v>
      </c>
      <c r="F33" s="118" t="s">
        <v>33</v>
      </c>
      <c r="G33" s="128" t="s">
        <v>38</v>
      </c>
      <c r="H33" s="119" t="s">
        <v>45</v>
      </c>
      <c r="I33" s="119">
        <v>27090000</v>
      </c>
      <c r="J33" s="120">
        <v>41854</v>
      </c>
      <c r="K33" s="118" t="s">
        <v>74</v>
      </c>
      <c r="L33" s="131" t="s">
        <v>47</v>
      </c>
      <c r="M33" s="119" t="s">
        <v>53</v>
      </c>
      <c r="N33" s="137" t="s">
        <v>49</v>
      </c>
      <c r="O33" s="132">
        <v>595310</v>
      </c>
      <c r="P33" s="125">
        <f t="shared" si="0"/>
        <v>61857471.480000004</v>
      </c>
      <c r="Q33" s="125">
        <f t="shared" si="1"/>
        <v>9633064033.5804005</v>
      </c>
      <c r="R33" s="125" t="s">
        <v>25</v>
      </c>
      <c r="S33" s="124">
        <v>103.908</v>
      </c>
      <c r="T33" s="134">
        <f t="shared" si="2"/>
        <v>41944</v>
      </c>
      <c r="U33" s="138" t="s">
        <v>35</v>
      </c>
      <c r="V33" s="125">
        <f t="shared" si="3"/>
        <v>74228.965775999997</v>
      </c>
      <c r="W33" s="124">
        <v>155.72999999999999</v>
      </c>
      <c r="X33" s="125">
        <f t="shared" si="4"/>
        <v>11559676.840296479</v>
      </c>
      <c r="Y33" s="125" t="s">
        <v>35</v>
      </c>
      <c r="Z33" s="118" t="s">
        <v>35</v>
      </c>
      <c r="AA33" s="190" t="s">
        <v>35</v>
      </c>
    </row>
    <row r="34" spans="1:27" s="90" customFormat="1" ht="160.5" customHeight="1" x14ac:dyDescent="0.55000000000000004">
      <c r="A34" s="182">
        <v>4</v>
      </c>
      <c r="B34" s="127" t="s">
        <v>92</v>
      </c>
      <c r="C34" s="118" t="s">
        <v>32</v>
      </c>
      <c r="D34" s="123" t="s">
        <v>32</v>
      </c>
      <c r="E34" s="118" t="s">
        <v>35</v>
      </c>
      <c r="F34" s="118" t="s">
        <v>35</v>
      </c>
      <c r="G34" s="128" t="s">
        <v>40</v>
      </c>
      <c r="H34" s="119" t="s">
        <v>45</v>
      </c>
      <c r="I34" s="119">
        <v>27090000</v>
      </c>
      <c r="J34" s="120">
        <v>41854</v>
      </c>
      <c r="K34" s="118" t="s">
        <v>74</v>
      </c>
      <c r="L34" s="131" t="s">
        <v>47</v>
      </c>
      <c r="M34" s="119" t="s">
        <v>53</v>
      </c>
      <c r="N34" s="137" t="s">
        <v>49</v>
      </c>
      <c r="O34" s="132">
        <v>130000</v>
      </c>
      <c r="P34" s="125">
        <f t="shared" si="0"/>
        <v>13508040</v>
      </c>
      <c r="Q34" s="125">
        <f t="shared" si="1"/>
        <v>2103607069.1999998</v>
      </c>
      <c r="R34" s="125" t="s">
        <v>25</v>
      </c>
      <c r="S34" s="124">
        <v>103.908</v>
      </c>
      <c r="T34" s="134">
        <f t="shared" si="2"/>
        <v>41944</v>
      </c>
      <c r="U34" s="138" t="s">
        <v>35</v>
      </c>
      <c r="V34" s="125">
        <f t="shared" si="3"/>
        <v>16209.647999999999</v>
      </c>
      <c r="W34" s="124">
        <v>155.72999999999999</v>
      </c>
      <c r="X34" s="125">
        <f t="shared" si="4"/>
        <v>2524328.4830399998</v>
      </c>
      <c r="Y34" s="125" t="s">
        <v>35</v>
      </c>
      <c r="Z34" s="118" t="s">
        <v>35</v>
      </c>
      <c r="AA34" s="190" t="s">
        <v>35</v>
      </c>
    </row>
    <row r="35" spans="1:27" s="90" customFormat="1" ht="160.5" customHeight="1" x14ac:dyDescent="0.55000000000000004">
      <c r="A35" s="182">
        <v>5</v>
      </c>
      <c r="B35" s="127" t="s">
        <v>93</v>
      </c>
      <c r="C35" s="118" t="s">
        <v>32</v>
      </c>
      <c r="D35" s="123" t="s">
        <v>32</v>
      </c>
      <c r="E35" s="247" t="s">
        <v>156</v>
      </c>
      <c r="F35" s="118" t="s">
        <v>36</v>
      </c>
      <c r="G35" s="128" t="s">
        <v>41</v>
      </c>
      <c r="H35" s="119" t="s">
        <v>45</v>
      </c>
      <c r="I35" s="119">
        <v>27090000</v>
      </c>
      <c r="J35" s="120">
        <v>41854</v>
      </c>
      <c r="K35" s="118" t="s">
        <v>74</v>
      </c>
      <c r="L35" s="131" t="s">
        <v>47</v>
      </c>
      <c r="M35" s="119" t="s">
        <v>53</v>
      </c>
      <c r="N35" s="137" t="s">
        <v>49</v>
      </c>
      <c r="O35" s="132">
        <v>114600</v>
      </c>
      <c r="P35" s="125">
        <f t="shared" si="0"/>
        <v>11907856.800000001</v>
      </c>
      <c r="Q35" s="125">
        <f t="shared" si="1"/>
        <v>1854410539.464</v>
      </c>
      <c r="R35" s="125" t="s">
        <v>25</v>
      </c>
      <c r="S35" s="124">
        <v>103.908</v>
      </c>
      <c r="T35" s="134">
        <f t="shared" si="2"/>
        <v>41944</v>
      </c>
      <c r="U35" s="138" t="s">
        <v>36</v>
      </c>
      <c r="V35" s="125">
        <f t="shared" si="3"/>
        <v>14289.428159999999</v>
      </c>
      <c r="W35" s="124">
        <v>155.72999999999999</v>
      </c>
      <c r="X35" s="125">
        <f t="shared" si="4"/>
        <v>2225292.6473567998</v>
      </c>
      <c r="Y35" s="125">
        <v>2248678.91</v>
      </c>
      <c r="Z35" s="118" t="s">
        <v>177</v>
      </c>
      <c r="AA35" s="190">
        <v>41845</v>
      </c>
    </row>
    <row r="36" spans="1:27" s="90" customFormat="1" ht="160.5" customHeight="1" x14ac:dyDescent="0.55000000000000004">
      <c r="A36" s="182">
        <v>6</v>
      </c>
      <c r="B36" s="127" t="s">
        <v>94</v>
      </c>
      <c r="C36" s="127" t="s">
        <v>32</v>
      </c>
      <c r="D36" s="123" t="s">
        <v>32</v>
      </c>
      <c r="E36" s="118" t="s">
        <v>35</v>
      </c>
      <c r="F36" s="118" t="s">
        <v>35</v>
      </c>
      <c r="G36" s="128" t="s">
        <v>42</v>
      </c>
      <c r="H36" s="119" t="s">
        <v>45</v>
      </c>
      <c r="I36" s="119">
        <v>27090000</v>
      </c>
      <c r="J36" s="120">
        <v>41854</v>
      </c>
      <c r="K36" s="118" t="s">
        <v>74</v>
      </c>
      <c r="L36" s="131" t="s">
        <v>47</v>
      </c>
      <c r="M36" s="119" t="s">
        <v>53</v>
      </c>
      <c r="N36" s="137" t="s">
        <v>49</v>
      </c>
      <c r="O36" s="132">
        <v>125000</v>
      </c>
      <c r="P36" s="125">
        <f t="shared" si="0"/>
        <v>12988500</v>
      </c>
      <c r="Q36" s="125">
        <f t="shared" si="1"/>
        <v>2022699104.9999998</v>
      </c>
      <c r="R36" s="125" t="s">
        <v>25</v>
      </c>
      <c r="S36" s="124">
        <v>103.908</v>
      </c>
      <c r="T36" s="134">
        <f t="shared" si="2"/>
        <v>41944</v>
      </c>
      <c r="U36" s="138" t="s">
        <v>35</v>
      </c>
      <c r="V36" s="125">
        <f t="shared" si="3"/>
        <v>15586.199999999999</v>
      </c>
      <c r="W36" s="124">
        <v>155.72999999999999</v>
      </c>
      <c r="X36" s="125">
        <f t="shared" si="4"/>
        <v>2427238.9259999995</v>
      </c>
      <c r="Y36" s="125" t="s">
        <v>35</v>
      </c>
      <c r="Z36" s="118" t="s">
        <v>35</v>
      </c>
      <c r="AA36" s="190" t="s">
        <v>35</v>
      </c>
    </row>
    <row r="37" spans="1:27" s="90" customFormat="1" ht="160.5" customHeight="1" x14ac:dyDescent="0.55000000000000004">
      <c r="A37" s="182">
        <v>7</v>
      </c>
      <c r="B37" s="127" t="s">
        <v>95</v>
      </c>
      <c r="C37" s="127" t="s">
        <v>32</v>
      </c>
      <c r="D37" s="123" t="s">
        <v>32</v>
      </c>
      <c r="E37" s="118" t="s">
        <v>35</v>
      </c>
      <c r="F37" s="118" t="s">
        <v>35</v>
      </c>
      <c r="G37" s="128" t="s">
        <v>43</v>
      </c>
      <c r="H37" s="119" t="s">
        <v>46</v>
      </c>
      <c r="I37" s="119">
        <v>27090000</v>
      </c>
      <c r="J37" s="120">
        <v>41855</v>
      </c>
      <c r="K37" s="118" t="s">
        <v>75</v>
      </c>
      <c r="L37" s="131" t="s">
        <v>48</v>
      </c>
      <c r="M37" s="119" t="s">
        <v>55</v>
      </c>
      <c r="N37" s="137" t="s">
        <v>126</v>
      </c>
      <c r="O37" s="132">
        <v>951994</v>
      </c>
      <c r="P37" s="125">
        <f t="shared" si="0"/>
        <v>99019751.922000006</v>
      </c>
      <c r="Q37" s="125">
        <f t="shared" si="1"/>
        <v>15420345966.813061</v>
      </c>
      <c r="R37" s="125" t="s">
        <v>25</v>
      </c>
      <c r="S37" s="124">
        <v>104.01300000000001</v>
      </c>
      <c r="T37" s="134">
        <f t="shared" si="2"/>
        <v>41945</v>
      </c>
      <c r="U37" s="138" t="s">
        <v>35</v>
      </c>
      <c r="V37" s="125">
        <f t="shared" si="3"/>
        <v>118823.70230639999</v>
      </c>
      <c r="W37" s="124">
        <v>155.72999999999999</v>
      </c>
      <c r="X37" s="125">
        <f t="shared" si="4"/>
        <v>18504415.16017567</v>
      </c>
      <c r="Y37" s="125" t="s">
        <v>35</v>
      </c>
      <c r="Z37" s="118" t="s">
        <v>35</v>
      </c>
      <c r="AA37" s="190" t="s">
        <v>35</v>
      </c>
    </row>
    <row r="38" spans="1:27" s="90" customFormat="1" ht="160.5" customHeight="1" x14ac:dyDescent="0.55000000000000004">
      <c r="A38" s="182">
        <v>8</v>
      </c>
      <c r="B38" s="127" t="s">
        <v>101</v>
      </c>
      <c r="C38" s="127" t="s">
        <v>32</v>
      </c>
      <c r="D38" s="123" t="s">
        <v>32</v>
      </c>
      <c r="E38" s="118" t="s">
        <v>35</v>
      </c>
      <c r="F38" s="118" t="s">
        <v>35</v>
      </c>
      <c r="G38" s="128" t="s">
        <v>43</v>
      </c>
      <c r="H38" s="119" t="s">
        <v>46</v>
      </c>
      <c r="I38" s="119">
        <v>27090000</v>
      </c>
      <c r="J38" s="120">
        <v>41865</v>
      </c>
      <c r="K38" s="118" t="s">
        <v>80</v>
      </c>
      <c r="L38" s="131" t="s">
        <v>48</v>
      </c>
      <c r="M38" s="119" t="s">
        <v>53</v>
      </c>
      <c r="N38" s="137" t="s">
        <v>49</v>
      </c>
      <c r="O38" s="132">
        <v>950341</v>
      </c>
      <c r="P38" s="125">
        <f t="shared" si="0"/>
        <v>96782727.439999998</v>
      </c>
      <c r="Q38" s="125">
        <f t="shared" si="1"/>
        <v>15071974144.231199</v>
      </c>
      <c r="R38" s="125" t="s">
        <v>25</v>
      </c>
      <c r="S38" s="124">
        <v>101.84</v>
      </c>
      <c r="T38" s="134">
        <f t="shared" si="2"/>
        <v>41955</v>
      </c>
      <c r="U38" s="138" t="s">
        <v>35</v>
      </c>
      <c r="V38" s="125">
        <f t="shared" si="3"/>
        <v>116139.27292799999</v>
      </c>
      <c r="W38" s="124">
        <v>155.72999999999999</v>
      </c>
      <c r="X38" s="125">
        <f t="shared" si="4"/>
        <v>18086368.973077439</v>
      </c>
      <c r="Y38" s="125" t="s">
        <v>35</v>
      </c>
      <c r="Z38" s="118" t="s">
        <v>35</v>
      </c>
      <c r="AA38" s="190" t="s">
        <v>35</v>
      </c>
    </row>
    <row r="39" spans="1:27" s="90" customFormat="1" ht="160.5" customHeight="1" x14ac:dyDescent="0.55000000000000004">
      <c r="A39" s="329">
        <v>9</v>
      </c>
      <c r="B39" s="127" t="s">
        <v>102</v>
      </c>
      <c r="C39" s="127" t="s">
        <v>32</v>
      </c>
      <c r="D39" s="123" t="s">
        <v>32</v>
      </c>
      <c r="E39" s="327" t="s">
        <v>162</v>
      </c>
      <c r="F39" s="118" t="s">
        <v>37</v>
      </c>
      <c r="G39" s="128" t="s">
        <v>44</v>
      </c>
      <c r="H39" s="119" t="s">
        <v>45</v>
      </c>
      <c r="I39" s="119">
        <v>27090000</v>
      </c>
      <c r="J39" s="120">
        <v>41867</v>
      </c>
      <c r="K39" s="118" t="s">
        <v>81</v>
      </c>
      <c r="L39" s="131" t="s">
        <v>47</v>
      </c>
      <c r="M39" s="119" t="s">
        <v>55</v>
      </c>
      <c r="N39" s="137" t="s">
        <v>126</v>
      </c>
      <c r="O39" s="132">
        <v>660000</v>
      </c>
      <c r="P39" s="125">
        <f t="shared" si="0"/>
        <v>66376199.999999993</v>
      </c>
      <c r="Q39" s="125">
        <f t="shared" si="1"/>
        <v>10336765625.999998</v>
      </c>
      <c r="R39" s="125" t="s">
        <v>25</v>
      </c>
      <c r="S39" s="124">
        <v>100.57</v>
      </c>
      <c r="T39" s="134">
        <f t="shared" si="2"/>
        <v>41957</v>
      </c>
      <c r="U39" s="138" t="s">
        <v>35</v>
      </c>
      <c r="V39" s="125">
        <f t="shared" si="3"/>
        <v>79651.439999999988</v>
      </c>
      <c r="W39" s="124">
        <v>155.72999999999999</v>
      </c>
      <c r="X39" s="125">
        <f t="shared" si="4"/>
        <v>12404118.751199998</v>
      </c>
      <c r="Y39" s="125" t="s">
        <v>35</v>
      </c>
      <c r="Z39" s="118" t="s">
        <v>35</v>
      </c>
      <c r="AA39" s="126" t="s">
        <v>35</v>
      </c>
    </row>
    <row r="40" spans="1:27" s="90" customFormat="1" ht="160.5" customHeight="1" x14ac:dyDescent="0.55000000000000004">
      <c r="A40" s="330"/>
      <c r="B40" s="127" t="s">
        <v>103</v>
      </c>
      <c r="C40" s="127" t="s">
        <v>32</v>
      </c>
      <c r="D40" s="123" t="s">
        <v>32</v>
      </c>
      <c r="E40" s="328"/>
      <c r="F40" s="118" t="s">
        <v>37</v>
      </c>
      <c r="G40" s="128" t="s">
        <v>44</v>
      </c>
      <c r="H40" s="119" t="s">
        <v>45</v>
      </c>
      <c r="I40" s="119">
        <v>27090000</v>
      </c>
      <c r="J40" s="120">
        <v>41867</v>
      </c>
      <c r="K40" s="118" t="s">
        <v>81</v>
      </c>
      <c r="L40" s="131" t="s">
        <v>47</v>
      </c>
      <c r="M40" s="119" t="s">
        <v>55</v>
      </c>
      <c r="N40" s="137" t="s">
        <v>126</v>
      </c>
      <c r="O40" s="132">
        <v>339310</v>
      </c>
      <c r="P40" s="125">
        <f t="shared" si="0"/>
        <v>34124406.699999996</v>
      </c>
      <c r="Q40" s="125">
        <f t="shared" si="1"/>
        <v>5314193855.3909988</v>
      </c>
      <c r="R40" s="125" t="s">
        <v>25</v>
      </c>
      <c r="S40" s="124">
        <v>100.57</v>
      </c>
      <c r="T40" s="134">
        <f t="shared" si="2"/>
        <v>41957</v>
      </c>
      <c r="U40" s="138" t="s">
        <v>35</v>
      </c>
      <c r="V40" s="125">
        <f t="shared" si="3"/>
        <v>40949.288039999992</v>
      </c>
      <c r="W40" s="124">
        <v>155.72999999999999</v>
      </c>
      <c r="X40" s="125">
        <f t="shared" si="4"/>
        <v>6377032.6264691986</v>
      </c>
      <c r="Y40" s="125" t="s">
        <v>35</v>
      </c>
      <c r="Z40" s="118" t="s">
        <v>35</v>
      </c>
      <c r="AA40" s="190" t="s">
        <v>35</v>
      </c>
    </row>
    <row r="41" spans="1:27" s="90" customFormat="1" ht="160.5" customHeight="1" x14ac:dyDescent="0.55000000000000004">
      <c r="A41" s="182">
        <v>10</v>
      </c>
      <c r="B41" s="127" t="s">
        <v>104</v>
      </c>
      <c r="C41" s="118" t="s">
        <v>32</v>
      </c>
      <c r="D41" s="123" t="s">
        <v>32</v>
      </c>
      <c r="E41" s="118" t="s">
        <v>35</v>
      </c>
      <c r="F41" s="118" t="s">
        <v>35</v>
      </c>
      <c r="G41" s="128" t="s">
        <v>43</v>
      </c>
      <c r="H41" s="119" t="s">
        <v>46</v>
      </c>
      <c r="I41" s="119">
        <v>27090000</v>
      </c>
      <c r="J41" s="120">
        <v>41867</v>
      </c>
      <c r="K41" s="118" t="s">
        <v>80</v>
      </c>
      <c r="L41" s="131" t="s">
        <v>48</v>
      </c>
      <c r="M41" s="119" t="s">
        <v>53</v>
      </c>
      <c r="N41" s="137" t="s">
        <v>49</v>
      </c>
      <c r="O41" s="132">
        <v>950102</v>
      </c>
      <c r="P41" s="125">
        <f t="shared" si="0"/>
        <v>95551758.140000001</v>
      </c>
      <c r="Q41" s="125">
        <f t="shared" si="1"/>
        <v>14880275295.142199</v>
      </c>
      <c r="R41" s="125" t="s">
        <v>25</v>
      </c>
      <c r="S41" s="124">
        <v>100.57</v>
      </c>
      <c r="T41" s="134">
        <f t="shared" si="2"/>
        <v>41957</v>
      </c>
      <c r="U41" s="138" t="s">
        <v>35</v>
      </c>
      <c r="V41" s="125">
        <f t="shared" si="3"/>
        <v>114662.10976799999</v>
      </c>
      <c r="W41" s="124">
        <v>155.72999999999999</v>
      </c>
      <c r="X41" s="125">
        <f t="shared" si="4"/>
        <v>17856330.354170639</v>
      </c>
      <c r="Y41" s="125" t="s">
        <v>35</v>
      </c>
      <c r="Z41" s="118" t="s">
        <v>35</v>
      </c>
      <c r="AA41" s="190" t="s">
        <v>35</v>
      </c>
    </row>
    <row r="42" spans="1:27" s="90" customFormat="1" ht="160.5" customHeight="1" x14ac:dyDescent="0.55000000000000004">
      <c r="A42" s="182"/>
      <c r="B42" s="127"/>
      <c r="C42" s="127"/>
      <c r="D42" s="123"/>
      <c r="E42" s="118"/>
      <c r="F42" s="118"/>
      <c r="G42" s="128"/>
      <c r="H42" s="119"/>
      <c r="I42" s="119"/>
      <c r="J42" s="120"/>
      <c r="K42" s="118"/>
      <c r="L42" s="131"/>
      <c r="M42" s="119"/>
      <c r="N42" s="137"/>
      <c r="O42" s="132"/>
      <c r="P42" s="125"/>
      <c r="Q42" s="125"/>
      <c r="R42" s="125"/>
      <c r="S42" s="124"/>
      <c r="T42" s="134"/>
      <c r="U42" s="138"/>
      <c r="V42" s="125"/>
      <c r="W42" s="124"/>
      <c r="X42" s="125"/>
      <c r="Y42" s="125"/>
      <c r="Z42" s="118"/>
      <c r="AA42" s="190"/>
    </row>
    <row r="43" spans="1:27" ht="54" customHeight="1" thickBot="1" x14ac:dyDescent="0.65">
      <c r="A43" s="191"/>
      <c r="B43" s="143" t="s">
        <v>27</v>
      </c>
      <c r="C43" s="140"/>
      <c r="D43" s="141"/>
      <c r="E43" s="140"/>
      <c r="F43" s="140"/>
      <c r="G43" s="142"/>
      <c r="H43" s="143"/>
      <c r="I43" s="143"/>
      <c r="J43" s="185"/>
      <c r="K43" s="140"/>
      <c r="L43" s="193"/>
      <c r="M43" s="143"/>
      <c r="N43" s="144"/>
      <c r="O43" s="186">
        <f>SUM(O31:O41)</f>
        <v>6720612</v>
      </c>
      <c r="P43" s="145">
        <f>SUM(P31:P41)</f>
        <v>691065570.14400005</v>
      </c>
      <c r="Q43" s="145">
        <f>SUM(Q31:Q41)</f>
        <v>107619641238.5251</v>
      </c>
      <c r="R43" s="145"/>
      <c r="S43" s="146"/>
      <c r="T43" s="147"/>
      <c r="U43" s="194"/>
      <c r="V43" s="145">
        <f>SUM(V31:V41)</f>
        <v>829278.68417279993</v>
      </c>
      <c r="W43" s="146"/>
      <c r="X43" s="145">
        <f>SUM(X31:X41)</f>
        <v>129143569.48623012</v>
      </c>
      <c r="Y43" s="145">
        <f>SUM(Y31:Y41)</f>
        <v>2248678.91</v>
      </c>
      <c r="Z43" s="140"/>
      <c r="AA43" s="192"/>
    </row>
    <row r="44" spans="1:27" x14ac:dyDescent="0.2">
      <c r="A44" s="8"/>
      <c r="B44" s="8"/>
      <c r="C44" s="6"/>
      <c r="D44" s="17"/>
      <c r="E44" s="18"/>
      <c r="F44" s="6"/>
      <c r="G44" s="19"/>
      <c r="H44" s="6"/>
      <c r="I44" s="6"/>
      <c r="J44" s="20"/>
      <c r="K44" s="8"/>
      <c r="L44" s="8"/>
      <c r="M44" s="6"/>
      <c r="N44" s="6"/>
      <c r="O44" s="21"/>
      <c r="P44" s="22"/>
      <c r="Q44" s="22"/>
      <c r="R44" s="22"/>
      <c r="S44" s="27"/>
      <c r="V44" s="22"/>
      <c r="W44" s="27"/>
      <c r="X44" s="22"/>
      <c r="Y44" s="22"/>
      <c r="Z44" s="6"/>
      <c r="AA44" s="6"/>
    </row>
    <row r="47" spans="1:27" ht="23.25" x14ac:dyDescent="0.35">
      <c r="O47" s="29"/>
      <c r="P47" s="30"/>
      <c r="Q47" s="30"/>
    </row>
    <row r="48" spans="1:27" x14ac:dyDescent="0.2">
      <c r="O48" s="24"/>
      <c r="P48" s="31"/>
      <c r="Q48" s="31"/>
    </row>
    <row r="49" spans="1:27" x14ac:dyDescent="0.2">
      <c r="O49" s="24"/>
      <c r="P49" s="24"/>
      <c r="Q49" s="24"/>
    </row>
    <row r="55" spans="1:27" s="16" customFormat="1" ht="15.75" customHeight="1" x14ac:dyDescent="0.2">
      <c r="A55" s="5"/>
      <c r="B55" s="5"/>
      <c r="C55" s="5"/>
      <c r="D55" s="14"/>
      <c r="E55" s="12"/>
      <c r="F55" s="5"/>
      <c r="G55" s="13"/>
      <c r="H55" s="5"/>
      <c r="I55" s="5"/>
      <c r="J55" s="14"/>
      <c r="K55" s="5"/>
      <c r="L55" s="5"/>
      <c r="M55" s="5"/>
      <c r="N55" s="5"/>
      <c r="O55" s="15"/>
      <c r="S55" s="26"/>
      <c r="T55" s="17"/>
      <c r="U55" s="5"/>
      <c r="W55" s="26"/>
      <c r="Z55" s="5"/>
      <c r="AA55" s="5"/>
    </row>
    <row r="56" spans="1:27" x14ac:dyDescent="0.2">
      <c r="N56" s="23"/>
      <c r="O56" s="24"/>
    </row>
  </sheetData>
  <mergeCells count="2">
    <mergeCell ref="E39:E40"/>
    <mergeCell ref="A39:A40"/>
  </mergeCells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AUGUST 2014</vt:lpstr>
      <vt:lpstr>CID AUGUST 2014 </vt:lpstr>
      <vt:lpstr>NCI AUGUST 2014</vt:lpstr>
      <vt:lpstr>'CID AUGUST 2014 '!Print_Area</vt:lpstr>
      <vt:lpstr>'CIR AUGUST 2014'!Print_Area</vt:lpstr>
      <vt:lpstr>'NCI AUGUST 2014'!Print_Area</vt:lpstr>
      <vt:lpstr>'CID AUGUST 2014 '!Print_Titles</vt:lpstr>
      <vt:lpstr>'CIR AUGUST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2013-11-05T10:21:15Z</cp:lastPrinted>
  <dcterms:created xsi:type="dcterms:W3CDTF">2012-08-07T13:29:00Z</dcterms:created>
  <dcterms:modified xsi:type="dcterms:W3CDTF">2014-09-08T14:57:59Z</dcterms:modified>
</cp:coreProperties>
</file>