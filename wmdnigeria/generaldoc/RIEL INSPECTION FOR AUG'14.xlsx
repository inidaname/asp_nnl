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COMPREHENSIVE (AUG'14)" sheetId="2" r:id="rId1"/>
    <sheet name="COMPLIANT (AUG'14)" sheetId="1" r:id="rId2"/>
    <sheet name="NON-COMPLIANT (AUG'14)" sheetId="4" r:id="rId3"/>
  </sheets>
  <calcPr calcId="125725"/>
</workbook>
</file>

<file path=xl/calcChain.xml><?xml version="1.0" encoding="utf-8"?>
<calcChain xmlns="http://schemas.openxmlformats.org/spreadsheetml/2006/main">
  <c r="P19" i="4"/>
  <c r="T18"/>
  <c r="Q18"/>
  <c r="V18" s="1"/>
  <c r="X18" s="1"/>
  <c r="Y19"/>
  <c r="T17"/>
  <c r="Q17"/>
  <c r="V17" s="1"/>
  <c r="X17" s="1"/>
  <c r="T16"/>
  <c r="Q16"/>
  <c r="V16" s="1"/>
  <c r="X16" s="1"/>
  <c r="T15"/>
  <c r="Q15"/>
  <c r="V15" s="1"/>
  <c r="X15" s="1"/>
  <c r="T14"/>
  <c r="Q14"/>
  <c r="V14" s="1"/>
  <c r="X14" s="1"/>
  <c r="T13"/>
  <c r="Q13"/>
  <c r="V13" s="1"/>
  <c r="X13" s="1"/>
  <c r="T12"/>
  <c r="Q12"/>
  <c r="V12" s="1"/>
  <c r="X12" s="1"/>
  <c r="T11"/>
  <c r="Q11"/>
  <c r="V11" s="1"/>
  <c r="X11" s="1"/>
  <c r="T10"/>
  <c r="Q10"/>
  <c r="V10" s="1"/>
  <c r="X10" s="1"/>
  <c r="T9"/>
  <c r="Q9"/>
  <c r="V9" s="1"/>
  <c r="X9" s="1"/>
  <c r="T8"/>
  <c r="Q8"/>
  <c r="V8" s="1"/>
  <c r="X8" s="1"/>
  <c r="T7"/>
  <c r="Q7"/>
  <c r="V7" s="1"/>
  <c r="X7" s="1"/>
  <c r="T6"/>
  <c r="Q6"/>
  <c r="V6" s="1"/>
  <c r="X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T5"/>
  <c r="Q5"/>
  <c r="P25" i="2"/>
  <c r="T24"/>
  <c r="Q24"/>
  <c r="V24" s="1"/>
  <c r="X24" s="1"/>
  <c r="T23"/>
  <c r="Q23"/>
  <c r="V23" s="1"/>
  <c r="X23" s="1"/>
  <c r="Y23" s="1"/>
  <c r="T22"/>
  <c r="Q22"/>
  <c r="V22" s="1"/>
  <c r="X22" s="1"/>
  <c r="Y22" s="1"/>
  <c r="T21"/>
  <c r="Q21"/>
  <c r="V21" s="1"/>
  <c r="X21" s="1"/>
  <c r="T20"/>
  <c r="Q20"/>
  <c r="V20" s="1"/>
  <c r="X20" s="1"/>
  <c r="Y20" s="1"/>
  <c r="T19"/>
  <c r="Q19"/>
  <c r="V19" s="1"/>
  <c r="X19" s="1"/>
  <c r="T18"/>
  <c r="Q18"/>
  <c r="V18" s="1"/>
  <c r="X18" s="1"/>
  <c r="T17"/>
  <c r="Q17"/>
  <c r="V17" s="1"/>
  <c r="X17" s="1"/>
  <c r="T16"/>
  <c r="Q16"/>
  <c r="V16" s="1"/>
  <c r="X16" s="1"/>
  <c r="T15"/>
  <c r="Q15"/>
  <c r="V15" s="1"/>
  <c r="X15" s="1"/>
  <c r="T14"/>
  <c r="Q14"/>
  <c r="V14" s="1"/>
  <c r="X14" s="1"/>
  <c r="T13"/>
  <c r="Q13"/>
  <c r="V13" s="1"/>
  <c r="X13" s="1"/>
  <c r="T12"/>
  <c r="Q12"/>
  <c r="V12" s="1"/>
  <c r="X12" s="1"/>
  <c r="T11"/>
  <c r="Q11"/>
  <c r="V11" s="1"/>
  <c r="X11" s="1"/>
  <c r="T10"/>
  <c r="Q10"/>
  <c r="V10" s="1"/>
  <c r="X10" s="1"/>
  <c r="Y10" s="1"/>
  <c r="T9"/>
  <c r="Q9"/>
  <c r="V9" s="1"/>
  <c r="X9" s="1"/>
  <c r="Y9" s="1"/>
  <c r="T8"/>
  <c r="Q8"/>
  <c r="V8" s="1"/>
  <c r="X8" s="1"/>
  <c r="Y8" s="1"/>
  <c r="Y25" s="1"/>
  <c r="T7"/>
  <c r="Q7"/>
  <c r="V7" s="1"/>
  <c r="X7" s="1"/>
  <c r="T6"/>
  <c r="Q6"/>
  <c r="V6" s="1"/>
  <c r="X6" s="1"/>
  <c r="T5"/>
  <c r="Q5"/>
  <c r="V5" s="1"/>
  <c r="X5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P27" i="1"/>
  <c r="T26"/>
  <c r="Q26"/>
  <c r="V26" s="1"/>
  <c r="X26" s="1"/>
  <c r="Y26" s="1"/>
  <c r="T25"/>
  <c r="Q25"/>
  <c r="V25" s="1"/>
  <c r="X25" s="1"/>
  <c r="Y25" s="1"/>
  <c r="T24"/>
  <c r="Q24"/>
  <c r="V24" s="1"/>
  <c r="X24" s="1"/>
  <c r="Y24" s="1"/>
  <c r="T23"/>
  <c r="Q23"/>
  <c r="V23" s="1"/>
  <c r="X23" s="1"/>
  <c r="Y23" s="1"/>
  <c r="T22"/>
  <c r="Q22"/>
  <c r="V22" s="1"/>
  <c r="X22" s="1"/>
  <c r="Y22" s="1"/>
  <c r="T21"/>
  <c r="Q21"/>
  <c r="V21" s="1"/>
  <c r="X21" s="1"/>
  <c r="Y21" s="1"/>
  <c r="Y27" s="1"/>
  <c r="T20"/>
  <c r="Q20"/>
  <c r="V20" s="1"/>
  <c r="X20" s="1"/>
  <c r="Q19" i="4" l="1"/>
  <c r="V5"/>
  <c r="Q25" i="2"/>
  <c r="T19" i="1"/>
  <c r="Q19"/>
  <c r="V19" s="1"/>
  <c r="X19" s="1"/>
  <c r="T18"/>
  <c r="Q18"/>
  <c r="V18" s="1"/>
  <c r="X18" s="1"/>
  <c r="T17"/>
  <c r="Q17"/>
  <c r="V17" s="1"/>
  <c r="X17" s="1"/>
  <c r="T16"/>
  <c r="Q16"/>
  <c r="V16" s="1"/>
  <c r="X16" s="1"/>
  <c r="T15"/>
  <c r="Q15"/>
  <c r="V15" s="1"/>
  <c r="X15" s="1"/>
  <c r="T14"/>
  <c r="Q14"/>
  <c r="V14" s="1"/>
  <c r="X14" s="1"/>
  <c r="T13"/>
  <c r="Q13"/>
  <c r="V13" s="1"/>
  <c r="X13" s="1"/>
  <c r="V19" i="4" l="1"/>
  <c r="X5"/>
  <c r="X19" s="1"/>
  <c r="V25" i="2"/>
  <c r="X25"/>
  <c r="T12" i="1"/>
  <c r="Q12"/>
  <c r="V12" s="1"/>
  <c r="X12" s="1"/>
  <c r="T11" l="1"/>
  <c r="Q11"/>
  <c r="V11" s="1"/>
  <c r="X11" s="1"/>
  <c r="T10"/>
  <c r="Q10"/>
  <c r="V10" s="1"/>
  <c r="X10" s="1"/>
  <c r="T9" l="1"/>
  <c r="Q9"/>
  <c r="V9" s="1"/>
  <c r="X9" s="1"/>
  <c r="T8"/>
  <c r="Q8"/>
  <c r="V8" s="1"/>
  <c r="X8" s="1"/>
  <c r="T7" l="1"/>
  <c r="Q7"/>
  <c r="V7" s="1"/>
  <c r="X7" s="1"/>
  <c r="T6"/>
  <c r="Q6"/>
  <c r="V6" s="1"/>
  <c r="X6" s="1"/>
  <c r="T5"/>
  <c r="Q5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V5" l="1"/>
  <c r="Q27"/>
  <c r="X5" l="1"/>
  <c r="X27" s="1"/>
  <c r="V27"/>
</calcChain>
</file>

<file path=xl/sharedStrings.xml><?xml version="1.0" encoding="utf-8"?>
<sst xmlns="http://schemas.openxmlformats.org/spreadsheetml/2006/main" count="746" uniqueCount="207">
  <si>
    <t>ROBINSON INTERNATIONAL ENERGY LIMITED</t>
  </si>
  <si>
    <t>S/N</t>
  </si>
  <si>
    <t>REF NO</t>
  </si>
  <si>
    <t>CCI NO.</t>
  </si>
  <si>
    <t>CCI DATE</t>
  </si>
  <si>
    <t>NXP NO</t>
  </si>
  <si>
    <t>NXP ISSUING BANK</t>
  </si>
  <si>
    <t>EXPORTER NAME</t>
  </si>
  <si>
    <t>CRUDE OIL TYPE</t>
  </si>
  <si>
    <t>HS CODE</t>
  </si>
  <si>
    <t>BILL OF LADING DATE</t>
  </si>
  <si>
    <t>VESSEL</t>
  </si>
  <si>
    <t>TERMINAL</t>
  </si>
  <si>
    <t>DESTINATION</t>
  </si>
  <si>
    <t>POINT OF EXIT</t>
  </si>
  <si>
    <t>QUANTITY IN BARREL</t>
  </si>
  <si>
    <t>FOB Value ($)</t>
  </si>
  <si>
    <t>FOB CURRENCY (CCY)</t>
  </si>
  <si>
    <t>PRICE PER BARREL</t>
  </si>
  <si>
    <t>REPATRIATION DUE DATE</t>
  </si>
  <si>
    <t>DESIGNATED BANK</t>
  </si>
  <si>
    <t>NESS FEE PAYABLE  ($)</t>
  </si>
  <si>
    <t>EXCHANGE RATE APPLIED BY PIA</t>
  </si>
  <si>
    <t>NESS FEE PAYABLE (NAIRA)</t>
  </si>
  <si>
    <t>NESS FEE PAID (NAIRA)</t>
  </si>
  <si>
    <t>RECEIPT DATE</t>
  </si>
  <si>
    <t>RECEIPT NO</t>
  </si>
  <si>
    <t>C182</t>
  </si>
  <si>
    <t>UBA</t>
  </si>
  <si>
    <t>BRASS</t>
  </si>
  <si>
    <t>INDIA</t>
  </si>
  <si>
    <t>NIGERIAN AGIP</t>
  </si>
  <si>
    <t>PORTUGAL</t>
  </si>
  <si>
    <t>SINES</t>
  </si>
  <si>
    <t>CITI BANK OF NIG</t>
  </si>
  <si>
    <t>BRASS BLEND CRUDE OIL</t>
  </si>
  <si>
    <t>TOLEDO SPIRIT</t>
  </si>
  <si>
    <t>BRASS 467</t>
  </si>
  <si>
    <t>FLEVES</t>
  </si>
  <si>
    <t>OMSP, INDIA</t>
  </si>
  <si>
    <t>BRASS 456</t>
  </si>
  <si>
    <t>AGIP BRASS 069</t>
  </si>
  <si>
    <t>201400010224</t>
  </si>
  <si>
    <t>AGIP BRASS 071</t>
  </si>
  <si>
    <t>201400010165</t>
  </si>
  <si>
    <t>NXP originally advised as NXP no: 201400010148 in our April, 2014 Monthly Report but has been cancelled by Citibank Nig. Ltd as NXP no: 201400010165</t>
  </si>
  <si>
    <t>COMPLIANT INSPECTION REPORT FOR THE PERIOD OF AUGUST 2014</t>
  </si>
  <si>
    <t>EBOK 021</t>
  </si>
  <si>
    <t>ORIENTAL EBOK 021</t>
  </si>
  <si>
    <t>201400010512</t>
  </si>
  <si>
    <t>STANBIC IBTC</t>
  </si>
  <si>
    <t>ORIENTAL ENERGY</t>
  </si>
  <si>
    <t>EBOK BLEND CRUDE OIL</t>
  </si>
  <si>
    <t>RIDGEBURY CAPTAIN DROGIN</t>
  </si>
  <si>
    <t>EBOK</t>
  </si>
  <si>
    <t>UNITED KINGDOM</t>
  </si>
  <si>
    <t>TETNEY</t>
  </si>
  <si>
    <t>STANDARD CHARTERED</t>
  </si>
  <si>
    <t>BRASS 485</t>
  </si>
  <si>
    <t>MIDWESTERN BRASS 041</t>
  </si>
  <si>
    <t>201402050235</t>
  </si>
  <si>
    <t>GUARANTY TRUST BANK</t>
  </si>
  <si>
    <t>MIDWESTERN OIL</t>
  </si>
  <si>
    <t>EUROVISION</t>
  </si>
  <si>
    <t>GERMANY</t>
  </si>
  <si>
    <t>BRUNSBUETTEL, GERMANY FOR ORDERS</t>
  </si>
  <si>
    <t>GTB</t>
  </si>
  <si>
    <t>Issued with 1(One) CCI for these 2(Two) split inspections</t>
  </si>
  <si>
    <t>BRASS 486</t>
  </si>
  <si>
    <t>NETHERLSNDS</t>
  </si>
  <si>
    <t>ROTTERDAM</t>
  </si>
  <si>
    <t>20140205023 5</t>
  </si>
  <si>
    <t>BRASS 497</t>
  </si>
  <si>
    <t>PHILLIPS BRASS 046</t>
  </si>
  <si>
    <t>201400010223</t>
  </si>
  <si>
    <t xml:space="preserve">PHILLPS OIL </t>
  </si>
  <si>
    <t>SEAVOYAGER</t>
  </si>
  <si>
    <t>ITALY</t>
  </si>
  <si>
    <t>TRIESTE</t>
  </si>
  <si>
    <t>BRASS 498</t>
  </si>
  <si>
    <t>PHILLIPS BRASS 047</t>
  </si>
  <si>
    <t>00201400010224</t>
  </si>
  <si>
    <t>QUILIANO (ITALY) FOR ORDERS</t>
  </si>
  <si>
    <t>BRASS 500</t>
  </si>
  <si>
    <t>MIDWESTERN BRASS 042</t>
  </si>
  <si>
    <t>201402050293</t>
  </si>
  <si>
    <t>MIDWESTERN OIL &amp; GAS</t>
  </si>
  <si>
    <t>BRASS 488</t>
  </si>
  <si>
    <t>AGIP BRASS 074</t>
  </si>
  <si>
    <t>201400010234</t>
  </si>
  <si>
    <t>EXPLORER</t>
  </si>
  <si>
    <t>BRAZIL</t>
  </si>
  <si>
    <t>ONE OR MORE SAFE PORTS, BRAZIL</t>
  </si>
  <si>
    <t>BRASS 495</t>
  </si>
  <si>
    <t>ENERGY BRASS 040</t>
  </si>
  <si>
    <t>201400010263</t>
  </si>
  <si>
    <t>AGIP ENERGY</t>
  </si>
  <si>
    <t>BRASS 496</t>
  </si>
  <si>
    <t>AGIP BRASS 075</t>
  </si>
  <si>
    <t>201400010264</t>
  </si>
  <si>
    <t>BRASS 454</t>
  </si>
  <si>
    <t>PHILLIPS BRASS 043</t>
  </si>
  <si>
    <t>201400010084</t>
  </si>
  <si>
    <t>PHILLIPS OIL</t>
  </si>
  <si>
    <t>NXP originally advised as NXP no: 201400010088 in our March, 2014 Monthly Report but has been cancelled by Citibank Nig. Ltd as NXP no: 201400010084</t>
  </si>
  <si>
    <t>BRASS 515</t>
  </si>
  <si>
    <t>PLATFORM BRASS 110</t>
  </si>
  <si>
    <t>201401010078</t>
  </si>
  <si>
    <t>SKYE BANK</t>
  </si>
  <si>
    <t>PLATFORM PETROLEUM</t>
  </si>
  <si>
    <t>ALMI VOYAGER</t>
  </si>
  <si>
    <t>WILHELMSHAVEN</t>
  </si>
  <si>
    <t>BRASS 516</t>
  </si>
  <si>
    <t>PLATFORM BRASS 111</t>
  </si>
  <si>
    <t>201401010079</t>
  </si>
  <si>
    <t>BRASS 517</t>
  </si>
  <si>
    <t>PLATFORM BRASS 112</t>
  </si>
  <si>
    <t>201409030007</t>
  </si>
  <si>
    <t>STERLING BANK</t>
  </si>
  <si>
    <t>BRASS 434</t>
  </si>
  <si>
    <t>AGIP BRASS 066</t>
  </si>
  <si>
    <t>201400010003</t>
  </si>
  <si>
    <t>PRINCIMAR LOYALTY</t>
  </si>
  <si>
    <t>SOUTH AFRICA</t>
  </si>
  <si>
    <t>DURBAN FOR ORDERS</t>
  </si>
  <si>
    <t>YOHO 106</t>
  </si>
  <si>
    <t>NNPC YOHO 063</t>
  </si>
  <si>
    <t>40306109C48/301</t>
  </si>
  <si>
    <t>CENTRAL BANK</t>
  </si>
  <si>
    <t>NNPC</t>
  </si>
  <si>
    <t>YOHO BLEND CRUDE OIL</t>
  </si>
  <si>
    <t>AEGEAN DIGNITY</t>
  </si>
  <si>
    <t>YOHO</t>
  </si>
  <si>
    <t>FRANCE</t>
  </si>
  <si>
    <t>LAVERA</t>
  </si>
  <si>
    <t>OKONO 077</t>
  </si>
  <si>
    <t>NNPC OKONO 063</t>
  </si>
  <si>
    <t>40306115C38/81</t>
  </si>
  <si>
    <t>OKONO BLEND CRUDE OIL</t>
  </si>
  <si>
    <t>KAROLOS</t>
  </si>
  <si>
    <t>OKONO</t>
  </si>
  <si>
    <t>AUSTRALIA</t>
  </si>
  <si>
    <t>OMSP(S) AUSTRALIA</t>
  </si>
  <si>
    <t>BRASS 523</t>
  </si>
  <si>
    <t>NNPC BRASS 168</t>
  </si>
  <si>
    <t>41607105C38/82</t>
  </si>
  <si>
    <t>SOUNION</t>
  </si>
  <si>
    <t>YOHO 107</t>
  </si>
  <si>
    <t>NNPC YOHO 064</t>
  </si>
  <si>
    <t>41607109C48/308</t>
  </si>
  <si>
    <t>SHENLONG SPIRIT</t>
  </si>
  <si>
    <t>FINNART UK FOR ORDERS</t>
  </si>
  <si>
    <t>BRASS 532</t>
  </si>
  <si>
    <t>NNPC BRASS 169</t>
  </si>
  <si>
    <t>41607105C38/84A</t>
  </si>
  <si>
    <t>NIPPON PRINCESS</t>
  </si>
  <si>
    <t>GHANA</t>
  </si>
  <si>
    <t>ABOADZE</t>
  </si>
  <si>
    <t>BRASS 533</t>
  </si>
  <si>
    <t>NNPC BRASS 170</t>
  </si>
  <si>
    <t>41607105C38/84B</t>
  </si>
  <si>
    <t>CITI BANK</t>
  </si>
  <si>
    <t>ADDAX PETROLEUM</t>
  </si>
  <si>
    <t>ANTAN BLEND CRUDE OIL</t>
  </si>
  <si>
    <t>ANTAN</t>
  </si>
  <si>
    <t>NETHERLANDS</t>
  </si>
  <si>
    <t>ZENITH BANK</t>
  </si>
  <si>
    <t>CAMEROON</t>
  </si>
  <si>
    <t>CAP LIMBOH</t>
  </si>
  <si>
    <t>OYO BLEND CRUDE OIL</t>
  </si>
  <si>
    <t>OYO</t>
  </si>
  <si>
    <t>NOT YET ISSUED</t>
  </si>
  <si>
    <t>ROTTERDAM FOR ORDERS</t>
  </si>
  <si>
    <t>ALLIED ENERGY</t>
  </si>
  <si>
    <t>CHINA</t>
  </si>
  <si>
    <t>LE HAVRE</t>
  </si>
  <si>
    <t>SKS SALUDA</t>
  </si>
  <si>
    <t>BRASS 520</t>
  </si>
  <si>
    <t>201400010285</t>
  </si>
  <si>
    <t>RATNA SHRADHA</t>
  </si>
  <si>
    <t>BRASS 521</t>
  </si>
  <si>
    <t>201401010080</t>
  </si>
  <si>
    <t>BRASS 522</t>
  </si>
  <si>
    <t>AWAITING 01</t>
  </si>
  <si>
    <t>EBOK 022</t>
  </si>
  <si>
    <t>201400010541</t>
  </si>
  <si>
    <t>SOPHIE SCHULTE</t>
  </si>
  <si>
    <t>BRASS 524</t>
  </si>
  <si>
    <t>ARION</t>
  </si>
  <si>
    <t>ONE OR MORE SAFE PORT(S), CHINA</t>
  </si>
  <si>
    <t>BRASS 525</t>
  </si>
  <si>
    <t>PRINCIMAR TRUTH</t>
  </si>
  <si>
    <t>BRASS 526</t>
  </si>
  <si>
    <t>BRASS 527</t>
  </si>
  <si>
    <t>BRASS 528</t>
  </si>
  <si>
    <t>BRASS 529</t>
  </si>
  <si>
    <t>BRASS 530</t>
  </si>
  <si>
    <t>BRASS 531</t>
  </si>
  <si>
    <t>AWAITING 02</t>
  </si>
  <si>
    <t xml:space="preserve">MIDWESTERN OIL </t>
  </si>
  <si>
    <t>OYO 014</t>
  </si>
  <si>
    <t>201400010309</t>
  </si>
  <si>
    <t>BRASS 534</t>
  </si>
  <si>
    <t>AWAITING 03</t>
  </si>
  <si>
    <t>NON-COMPLIANT INSPECTION REPORT FOR THE PERIOD OF AUGUST 2014</t>
  </si>
  <si>
    <t>COMPREHENSIVE INSPECTION REPORT FOR THE PERIOD OF AUGUST 2014</t>
  </si>
  <si>
    <t>REMARK</t>
  </si>
</sst>
</file>

<file path=xl/styles.xml><?xml version="1.0" encoding="utf-8"?>
<styleSheet xmlns="http://schemas.openxmlformats.org/spreadsheetml/2006/main">
  <numFmts count="6">
    <numFmt numFmtId="43" formatCode="_(* #,##0.00_);_(* \(#,##0.00\);_(* &quot;-&quot;??_);_(@_)"/>
    <numFmt numFmtId="164" formatCode="0.0000"/>
    <numFmt numFmtId="165" formatCode="0000000"/>
    <numFmt numFmtId="166" formatCode="00000000000000"/>
    <numFmt numFmtId="167" formatCode="0.00000"/>
    <numFmt numFmtId="168" formatCode="_(* #,##0_);_(* \(#,##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name val="Calibri"/>
      <family val="2"/>
      <scheme val="minor"/>
    </font>
    <font>
      <b/>
      <sz val="6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164" fontId="0" fillId="0" borderId="0" xfId="0" applyNumberFormat="1" applyAlignment="1">
      <alignment horizontal="center"/>
    </xf>
    <xf numFmtId="0" fontId="3" fillId="0" borderId="0" xfId="0" applyFont="1"/>
    <xf numFmtId="0" fontId="6" fillId="0" borderId="5" xfId="0" applyNumberFormat="1" applyFont="1" applyFill="1" applyBorder="1" applyAlignment="1">
      <alignment horizontal="center"/>
    </xf>
    <xf numFmtId="164" fontId="6" fillId="0" borderId="5" xfId="0" applyNumberFormat="1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 wrapText="1"/>
    </xf>
    <xf numFmtId="1" fontId="6" fillId="0" borderId="6" xfId="0" applyNumberFormat="1" applyFont="1" applyFill="1" applyBorder="1" applyAlignment="1">
      <alignment horizontal="center" wrapText="1"/>
    </xf>
    <xf numFmtId="0" fontId="6" fillId="0" borderId="6" xfId="0" applyFont="1" applyFill="1" applyBorder="1" applyAlignment="1">
      <alignment horizontal="center" vertical="center" wrapText="1"/>
    </xf>
    <xf numFmtId="1" fontId="6" fillId="0" borderId="8" xfId="0" applyNumberFormat="1" applyFont="1" applyFill="1" applyBorder="1" applyAlignment="1">
      <alignment horizontal="center" wrapText="1"/>
    </xf>
    <xf numFmtId="0" fontId="6" fillId="0" borderId="8" xfId="0" applyFont="1" applyFill="1" applyBorder="1" applyAlignment="1">
      <alignment horizontal="center" wrapText="1"/>
    </xf>
    <xf numFmtId="0" fontId="6" fillId="0" borderId="8" xfId="0" applyFont="1" applyFill="1" applyBorder="1" applyAlignment="1">
      <alignment horizontal="center" vertical="center" wrapText="1"/>
    </xf>
    <xf numFmtId="0" fontId="7" fillId="0" borderId="2" xfId="2" applyFont="1" applyFill="1" applyBorder="1" applyAlignment="1">
      <alignment horizontal="center" vertical="center" wrapText="1"/>
    </xf>
    <xf numFmtId="0" fontId="7" fillId="0" borderId="3" xfId="2" applyFont="1" applyFill="1" applyBorder="1" applyAlignment="1">
      <alignment horizontal="center" vertical="center" wrapText="1"/>
    </xf>
    <xf numFmtId="49" fontId="7" fillId="0" borderId="3" xfId="2" applyNumberFormat="1" applyFont="1" applyFill="1" applyBorder="1" applyAlignment="1">
      <alignment horizontal="center" vertical="center"/>
    </xf>
    <xf numFmtId="49" fontId="7" fillId="0" borderId="3" xfId="2" applyNumberFormat="1" applyFont="1" applyFill="1" applyBorder="1" applyAlignment="1">
      <alignment horizontal="center" vertical="center" wrapText="1"/>
    </xf>
    <xf numFmtId="164" fontId="7" fillId="0" borderId="3" xfId="2" applyNumberFormat="1" applyFont="1" applyFill="1" applyBorder="1" applyAlignment="1">
      <alignment horizontal="center" vertical="center" wrapText="1"/>
    </xf>
    <xf numFmtId="0" fontId="7" fillId="0" borderId="4" xfId="2" applyFont="1" applyFill="1" applyBorder="1" applyAlignment="1">
      <alignment horizontal="center" vertical="center" wrapText="1"/>
    </xf>
    <xf numFmtId="0" fontId="6" fillId="0" borderId="6" xfId="0" applyFont="1" applyFill="1" applyBorder="1"/>
    <xf numFmtId="0" fontId="6" fillId="0" borderId="6" xfId="0" applyFont="1" applyFill="1" applyBorder="1" applyAlignment="1">
      <alignment horizontal="center"/>
    </xf>
    <xf numFmtId="14" fontId="6" fillId="0" borderId="6" xfId="0" applyNumberFormat="1" applyFont="1" applyFill="1" applyBorder="1" applyAlignment="1">
      <alignment horizontal="center" vertical="center" wrapText="1"/>
    </xf>
    <xf numFmtId="14" fontId="6" fillId="0" borderId="6" xfId="0" applyNumberFormat="1" applyFont="1" applyFill="1" applyBorder="1" applyAlignment="1">
      <alignment horizontal="center" wrapText="1"/>
    </xf>
    <xf numFmtId="49" fontId="6" fillId="0" borderId="5" xfId="0" applyNumberFormat="1" applyFont="1" applyFill="1" applyBorder="1" applyAlignment="1">
      <alignment horizontal="center" wrapText="1"/>
    </xf>
    <xf numFmtId="164" fontId="6" fillId="0" borderId="6" xfId="0" applyNumberFormat="1" applyFont="1" applyFill="1" applyBorder="1" applyAlignment="1">
      <alignment horizontal="center" wrapText="1"/>
    </xf>
    <xf numFmtId="14" fontId="6" fillId="0" borderId="5" xfId="0" applyNumberFormat="1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vertical="center" wrapText="1"/>
    </xf>
    <xf numFmtId="3" fontId="6" fillId="0" borderId="6" xfId="0" applyNumberFormat="1" applyFont="1" applyFill="1" applyBorder="1"/>
    <xf numFmtId="4" fontId="6" fillId="0" borderId="8" xfId="0" applyNumberFormat="1" applyFont="1" applyFill="1" applyBorder="1" applyAlignment="1">
      <alignment horizontal="right"/>
    </xf>
    <xf numFmtId="4" fontId="6" fillId="0" borderId="6" xfId="0" applyNumberFormat="1" applyFont="1" applyFill="1" applyBorder="1" applyAlignment="1">
      <alignment horizontal="center"/>
    </xf>
    <xf numFmtId="14" fontId="6" fillId="0" borderId="6" xfId="0" applyNumberFormat="1" applyFont="1" applyFill="1" applyBorder="1" applyAlignment="1">
      <alignment horizontal="center"/>
    </xf>
    <xf numFmtId="4" fontId="6" fillId="0" borderId="8" xfId="0" applyNumberFormat="1" applyFont="1" applyFill="1" applyBorder="1"/>
    <xf numFmtId="2" fontId="6" fillId="0" borderId="8" xfId="0" applyNumberFormat="1" applyFont="1" applyFill="1" applyBorder="1"/>
    <xf numFmtId="43" fontId="6" fillId="0" borderId="8" xfId="1" applyFont="1" applyFill="1" applyBorder="1"/>
    <xf numFmtId="0" fontId="6" fillId="0" borderId="10" xfId="0" applyFont="1" applyFill="1" applyBorder="1" applyAlignment="1">
      <alignment horizontal="center" wrapText="1"/>
    </xf>
    <xf numFmtId="0" fontId="6" fillId="0" borderId="8" xfId="0" applyFont="1" applyFill="1" applyBorder="1"/>
    <xf numFmtId="14" fontId="6" fillId="0" borderId="8" xfId="0" applyNumberFormat="1" applyFont="1" applyFill="1" applyBorder="1" applyAlignment="1">
      <alignment horizontal="center" vertical="center" wrapText="1"/>
    </xf>
    <xf numFmtId="14" fontId="6" fillId="0" borderId="8" xfId="0" applyNumberFormat="1" applyFont="1" applyFill="1" applyBorder="1" applyAlignment="1">
      <alignment horizontal="center" wrapText="1"/>
    </xf>
    <xf numFmtId="164" fontId="6" fillId="0" borderId="8" xfId="0" applyNumberFormat="1" applyFont="1" applyFill="1" applyBorder="1" applyAlignment="1">
      <alignment horizontal="center" wrapText="1"/>
    </xf>
    <xf numFmtId="14" fontId="6" fillId="0" borderId="9" xfId="0" applyNumberFormat="1" applyFont="1" applyFill="1" applyBorder="1" applyAlignment="1">
      <alignment horizontal="center" wrapText="1"/>
    </xf>
    <xf numFmtId="0" fontId="6" fillId="0" borderId="9" xfId="0" applyFont="1" applyFill="1" applyBorder="1" applyAlignment="1">
      <alignment horizontal="center" wrapText="1"/>
    </xf>
    <xf numFmtId="0" fontId="6" fillId="0" borderId="11" xfId="0" applyFont="1" applyFill="1" applyBorder="1" applyAlignment="1">
      <alignment horizontal="center" wrapText="1"/>
    </xf>
    <xf numFmtId="49" fontId="6" fillId="0" borderId="6" xfId="0" applyNumberFormat="1" applyFont="1" applyFill="1" applyBorder="1" applyAlignment="1">
      <alignment horizontal="center" wrapText="1"/>
    </xf>
    <xf numFmtId="0" fontId="8" fillId="0" borderId="0" xfId="0" applyFont="1" applyFill="1"/>
    <xf numFmtId="0" fontId="8" fillId="0" borderId="0" xfId="0" applyFont="1" applyFill="1" applyAlignment="1">
      <alignment horizontal="center"/>
    </xf>
    <xf numFmtId="0" fontId="8" fillId="0" borderId="0" xfId="0" applyFont="1" applyFill="1" applyAlignment="1">
      <alignment horizontal="left"/>
    </xf>
    <xf numFmtId="0" fontId="8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 wrapText="1"/>
    </xf>
    <xf numFmtId="168" fontId="7" fillId="0" borderId="7" xfId="1" applyNumberFormat="1" applyFont="1" applyFill="1" applyBorder="1"/>
    <xf numFmtId="43" fontId="7" fillId="0" borderId="7" xfId="1" applyFont="1" applyFill="1" applyBorder="1"/>
    <xf numFmtId="164" fontId="8" fillId="0" borderId="0" xfId="0" applyNumberFormat="1" applyFont="1" applyFill="1" applyAlignment="1">
      <alignment horizontal="center"/>
    </xf>
    <xf numFmtId="3" fontId="6" fillId="0" borderId="6" xfId="0" applyNumberFormat="1" applyFont="1" applyFill="1" applyBorder="1" applyAlignment="1" applyProtection="1">
      <protection locked="0"/>
    </xf>
    <xf numFmtId="4" fontId="6" fillId="0" borderId="6" xfId="0" applyNumberFormat="1" applyFont="1" applyFill="1" applyBorder="1" applyAlignment="1">
      <alignment horizontal="right"/>
    </xf>
    <xf numFmtId="4" fontId="6" fillId="0" borderId="6" xfId="0" applyNumberFormat="1" applyFont="1" applyFill="1" applyBorder="1"/>
    <xf numFmtId="43" fontId="6" fillId="0" borderId="6" xfId="1" applyFont="1" applyFill="1" applyBorder="1"/>
    <xf numFmtId="165" fontId="6" fillId="0" borderId="6" xfId="0" applyNumberFormat="1" applyFont="1" applyFill="1" applyBorder="1" applyAlignment="1">
      <alignment horizontal="center"/>
    </xf>
    <xf numFmtId="3" fontId="6" fillId="0" borderId="5" xfId="0" applyNumberFormat="1" applyFont="1" applyFill="1" applyBorder="1"/>
    <xf numFmtId="164" fontId="6" fillId="0" borderId="6" xfId="4" applyNumberFormat="1" applyFont="1" applyFill="1" applyBorder="1" applyAlignment="1">
      <alignment horizontal="center"/>
    </xf>
    <xf numFmtId="3" fontId="6" fillId="0" borderId="6" xfId="0" applyNumberFormat="1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vertical="center" wrapText="1"/>
    </xf>
    <xf numFmtId="167" fontId="6" fillId="0" borderId="6" xfId="4" applyNumberFormat="1" applyFont="1" applyFill="1" applyBorder="1" applyAlignment="1">
      <alignment horizontal="center"/>
    </xf>
    <xf numFmtId="3" fontId="7" fillId="0" borderId="7" xfId="0" applyNumberFormat="1" applyFont="1" applyFill="1" applyBorder="1"/>
    <xf numFmtId="0" fontId="7" fillId="0" borderId="0" xfId="0" applyFont="1" applyFill="1"/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center"/>
    </xf>
    <xf numFmtId="2" fontId="7" fillId="0" borderId="7" xfId="1" applyNumberFormat="1" applyFont="1" applyFill="1" applyBorder="1"/>
    <xf numFmtId="165" fontId="6" fillId="0" borderId="5" xfId="0" applyNumberFormat="1" applyFont="1" applyFill="1" applyBorder="1" applyAlignment="1">
      <alignment horizontal="center"/>
    </xf>
    <xf numFmtId="0" fontId="8" fillId="0" borderId="6" xfId="0" applyFont="1" applyFill="1" applyBorder="1"/>
    <xf numFmtId="0" fontId="6" fillId="0" borderId="5" xfId="0" applyFont="1" applyFill="1" applyBorder="1"/>
    <xf numFmtId="164" fontId="6" fillId="0" borderId="5" xfId="0" applyNumberFormat="1" applyFont="1" applyFill="1" applyBorder="1" applyAlignment="1">
      <alignment horizontal="center" wrapText="1"/>
    </xf>
    <xf numFmtId="3" fontId="6" fillId="0" borderId="5" xfId="0" applyNumberFormat="1" applyFont="1" applyFill="1" applyBorder="1" applyAlignment="1" applyProtection="1">
      <protection locked="0"/>
    </xf>
    <xf numFmtId="4" fontId="6" fillId="0" borderId="5" xfId="0" applyNumberFormat="1" applyFont="1" applyFill="1" applyBorder="1" applyAlignment="1">
      <alignment horizontal="right"/>
    </xf>
    <xf numFmtId="4" fontId="6" fillId="0" borderId="5" xfId="0" applyNumberFormat="1" applyFont="1" applyFill="1" applyBorder="1" applyAlignment="1">
      <alignment horizontal="center"/>
    </xf>
    <xf numFmtId="0" fontId="6" fillId="0" borderId="5" xfId="4" applyNumberFormat="1" applyFont="1" applyFill="1" applyBorder="1" applyAlignment="1">
      <alignment horizontal="center"/>
    </xf>
    <xf numFmtId="14" fontId="6" fillId="0" borderId="5" xfId="0" applyNumberFormat="1" applyFont="1" applyFill="1" applyBorder="1" applyAlignment="1">
      <alignment horizontal="center"/>
    </xf>
    <xf numFmtId="4" fontId="6" fillId="0" borderId="5" xfId="0" applyNumberFormat="1" applyFont="1" applyFill="1" applyBorder="1"/>
    <xf numFmtId="0" fontId="6" fillId="0" borderId="5" xfId="0" applyFont="1" applyFill="1" applyBorder="1" applyAlignment="1">
      <alignment horizontal="center"/>
    </xf>
    <xf numFmtId="43" fontId="6" fillId="0" borderId="5" xfId="1" applyFont="1" applyFill="1" applyBorder="1"/>
    <xf numFmtId="0" fontId="8" fillId="0" borderId="5" xfId="0" applyFont="1" applyFill="1" applyBorder="1"/>
    <xf numFmtId="0" fontId="9" fillId="0" borderId="0" xfId="0" applyFont="1" applyFill="1"/>
    <xf numFmtId="0" fontId="10" fillId="0" borderId="0" xfId="0" applyFont="1" applyFill="1"/>
    <xf numFmtId="0" fontId="6" fillId="0" borderId="6" xfId="0" applyFont="1" applyFill="1" applyBorder="1" applyAlignment="1">
      <alignment horizontal="center" vertical="center" wrapText="1"/>
    </xf>
  </cellXfs>
  <cellStyles count="13">
    <cellStyle name="Check Cell" xfId="2" builtinId="23"/>
    <cellStyle name="Comma" xfId="1" builtinId="3"/>
    <cellStyle name="Comma 11" xfId="3"/>
    <cellStyle name="Comma 13" xfId="6"/>
    <cellStyle name="Comma 14" xfId="7"/>
    <cellStyle name="Comma 15" xfId="8"/>
    <cellStyle name="Comma 2" xfId="4"/>
    <cellStyle name="Comma 2 2" xfId="9"/>
    <cellStyle name="Comma 2 3" xfId="5"/>
    <cellStyle name="Comma 6" xfId="10"/>
    <cellStyle name="Comma 7" xfId="11"/>
    <cellStyle name="Comma 8" xfId="12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</xdr:row>
      <xdr:rowOff>38099</xdr:rowOff>
    </xdr:from>
    <xdr:to>
      <xdr:col>3</xdr:col>
      <xdr:colOff>466725</xdr:colOff>
      <xdr:row>2</xdr:row>
      <xdr:rowOff>142875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38200" y="228599"/>
          <a:ext cx="428625" cy="3048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</xdr:row>
      <xdr:rowOff>38100</xdr:rowOff>
    </xdr:from>
    <xdr:to>
      <xdr:col>3</xdr:col>
      <xdr:colOff>495300</xdr:colOff>
      <xdr:row>2</xdr:row>
      <xdr:rowOff>190501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38200" y="228600"/>
          <a:ext cx="457200" cy="3524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</xdr:row>
      <xdr:rowOff>38099</xdr:rowOff>
    </xdr:from>
    <xdr:to>
      <xdr:col>3</xdr:col>
      <xdr:colOff>466725</xdr:colOff>
      <xdr:row>2</xdr:row>
      <xdr:rowOff>142875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66775" y="228599"/>
          <a:ext cx="428625" cy="3048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A39"/>
  <sheetViews>
    <sheetView tabSelected="1" workbookViewId="0">
      <selection activeCell="F35" sqref="F35"/>
    </sheetView>
  </sheetViews>
  <sheetFormatPr defaultRowHeight="15"/>
  <cols>
    <col min="1" max="1" width="3.85546875" customWidth="1"/>
    <col min="2" max="2" width="3.42578125" customWidth="1"/>
    <col min="3" max="3" width="5.140625" style="1" customWidth="1"/>
    <col min="4" max="4" width="7.140625" style="1" customWidth="1"/>
    <col min="5" max="5" width="5.5703125" style="1" customWidth="1"/>
    <col min="6" max="6" width="11" style="1" customWidth="1"/>
    <col min="7" max="7" width="8.42578125" style="1" customWidth="1"/>
    <col min="8" max="8" width="9" style="1" customWidth="1"/>
    <col min="9" max="9" width="9.42578125" style="1" customWidth="1"/>
    <col min="10" max="10" width="6" customWidth="1"/>
    <col min="11" max="11" width="6" style="2" customWidth="1"/>
    <col min="12" max="12" width="7.7109375" style="1" customWidth="1"/>
    <col min="13" max="13" width="5.7109375" style="1" customWidth="1"/>
    <col min="14" max="14" width="7.5703125" style="4" customWidth="1"/>
    <col min="15" max="15" width="12.85546875" style="5" customWidth="1"/>
    <col min="16" max="16" width="8.7109375" customWidth="1"/>
    <col min="17" max="17" width="12.28515625" customWidth="1"/>
    <col min="18" max="18" width="5.85546875" customWidth="1"/>
    <col min="19" max="19" width="6.85546875" style="6" customWidth="1"/>
    <col min="20" max="20" width="6.28515625" style="2" customWidth="1"/>
    <col min="21" max="21" width="7.7109375" style="1" customWidth="1"/>
    <col min="22" max="22" width="9.85546875" customWidth="1"/>
    <col min="23" max="23" width="6" customWidth="1"/>
    <col min="24" max="24" width="13" customWidth="1"/>
    <col min="25" max="25" width="11.140625" customWidth="1"/>
    <col min="26" max="27" width="6" customWidth="1"/>
    <col min="28" max="28" width="11.5703125" customWidth="1"/>
  </cols>
  <sheetData>
    <row r="2" spans="2:27" ht="15.75">
      <c r="L2" s="3" t="s">
        <v>0</v>
      </c>
    </row>
    <row r="3" spans="2:27" ht="23.25" customHeight="1" thickBot="1">
      <c r="L3" s="3" t="s">
        <v>205</v>
      </c>
      <c r="P3" s="7"/>
    </row>
    <row r="4" spans="2:27" s="1" customFormat="1" ht="52.5" customHeight="1" thickBot="1">
      <c r="B4" s="16" t="s">
        <v>1</v>
      </c>
      <c r="C4" s="17" t="s">
        <v>2</v>
      </c>
      <c r="D4" s="17" t="s">
        <v>3</v>
      </c>
      <c r="E4" s="17" t="s">
        <v>4</v>
      </c>
      <c r="F4" s="18" t="s">
        <v>5</v>
      </c>
      <c r="G4" s="19" t="s">
        <v>6</v>
      </c>
      <c r="H4" s="17" t="s">
        <v>7</v>
      </c>
      <c r="I4" s="17" t="s">
        <v>8</v>
      </c>
      <c r="J4" s="17" t="s">
        <v>9</v>
      </c>
      <c r="K4" s="17" t="s">
        <v>10</v>
      </c>
      <c r="L4" s="17" t="s">
        <v>11</v>
      </c>
      <c r="M4" s="17" t="s">
        <v>12</v>
      </c>
      <c r="N4" s="17" t="s">
        <v>13</v>
      </c>
      <c r="O4" s="17" t="s">
        <v>14</v>
      </c>
      <c r="P4" s="17" t="s">
        <v>15</v>
      </c>
      <c r="Q4" s="17" t="s">
        <v>16</v>
      </c>
      <c r="R4" s="17" t="s">
        <v>17</v>
      </c>
      <c r="S4" s="20" t="s">
        <v>18</v>
      </c>
      <c r="T4" s="17" t="s">
        <v>19</v>
      </c>
      <c r="U4" s="17" t="s">
        <v>20</v>
      </c>
      <c r="V4" s="17" t="s">
        <v>21</v>
      </c>
      <c r="W4" s="17" t="s">
        <v>22</v>
      </c>
      <c r="X4" s="17" t="s">
        <v>23</v>
      </c>
      <c r="Y4" s="17" t="s">
        <v>24</v>
      </c>
      <c r="Z4" s="17" t="s">
        <v>25</v>
      </c>
      <c r="AA4" s="21" t="s">
        <v>26</v>
      </c>
    </row>
    <row r="5" spans="2:27" ht="20.25" customHeight="1">
      <c r="B5" s="22">
        <v>1</v>
      </c>
      <c r="C5" s="10" t="s">
        <v>177</v>
      </c>
      <c r="D5" s="24" t="s">
        <v>171</v>
      </c>
      <c r="E5" s="25"/>
      <c r="F5" s="26" t="s">
        <v>178</v>
      </c>
      <c r="G5" s="10" t="s">
        <v>57</v>
      </c>
      <c r="H5" s="10" t="s">
        <v>75</v>
      </c>
      <c r="I5" s="10" t="s">
        <v>35</v>
      </c>
      <c r="J5" s="27">
        <v>801.22</v>
      </c>
      <c r="K5" s="28">
        <v>41854</v>
      </c>
      <c r="L5" s="29" t="s">
        <v>179</v>
      </c>
      <c r="M5" s="29" t="s">
        <v>29</v>
      </c>
      <c r="N5" s="10" t="s">
        <v>167</v>
      </c>
      <c r="O5" s="30" t="s">
        <v>168</v>
      </c>
      <c r="P5" s="31">
        <v>627201</v>
      </c>
      <c r="Q5" s="32">
        <f t="shared" ref="Q5:Q24" si="0">SUM(P5*S5)</f>
        <v>64732160.807999998</v>
      </c>
      <c r="R5" s="33" t="s">
        <v>27</v>
      </c>
      <c r="S5" s="9">
        <v>103.208</v>
      </c>
      <c r="T5" s="34">
        <f t="shared" ref="T5:T24" si="1">SUM(K5)+89</f>
        <v>41943</v>
      </c>
      <c r="U5" s="10" t="s">
        <v>28</v>
      </c>
      <c r="V5" s="35">
        <f t="shared" ref="V5:V24" si="2">SUM(Q5*0.12%)</f>
        <v>77678.592969599995</v>
      </c>
      <c r="W5" s="23">
        <v>155.72999999999999</v>
      </c>
      <c r="X5" s="32">
        <f t="shared" ref="X5:X8" si="3">SUM(V5*W5)</f>
        <v>12096887.283155806</v>
      </c>
      <c r="Y5" s="36">
        <v>0</v>
      </c>
      <c r="Z5" s="23"/>
      <c r="AA5" s="23"/>
    </row>
    <row r="6" spans="2:27" ht="20.25" customHeight="1">
      <c r="B6" s="22">
        <f t="shared" ref="B6:B24" si="4">B5+1</f>
        <v>2</v>
      </c>
      <c r="C6" s="10" t="s">
        <v>180</v>
      </c>
      <c r="D6" s="24" t="s">
        <v>171</v>
      </c>
      <c r="E6" s="25"/>
      <c r="F6" s="26" t="s">
        <v>181</v>
      </c>
      <c r="G6" s="10" t="s">
        <v>108</v>
      </c>
      <c r="H6" s="10" t="s">
        <v>109</v>
      </c>
      <c r="I6" s="10" t="s">
        <v>35</v>
      </c>
      <c r="J6" s="27">
        <v>801.22</v>
      </c>
      <c r="K6" s="28">
        <v>41854</v>
      </c>
      <c r="L6" s="29" t="s">
        <v>179</v>
      </c>
      <c r="M6" s="29" t="s">
        <v>29</v>
      </c>
      <c r="N6" s="10" t="s">
        <v>167</v>
      </c>
      <c r="O6" s="30" t="s">
        <v>168</v>
      </c>
      <c r="P6" s="31">
        <v>42000</v>
      </c>
      <c r="Q6" s="32">
        <f t="shared" si="0"/>
        <v>4263714</v>
      </c>
      <c r="R6" s="33" t="s">
        <v>27</v>
      </c>
      <c r="S6" s="9">
        <v>101.517</v>
      </c>
      <c r="T6" s="34">
        <f t="shared" si="1"/>
        <v>41943</v>
      </c>
      <c r="U6" s="10" t="s">
        <v>108</v>
      </c>
      <c r="V6" s="35">
        <f t="shared" si="2"/>
        <v>5116.4567999999999</v>
      </c>
      <c r="W6" s="23">
        <v>155.72999999999999</v>
      </c>
      <c r="X6" s="32">
        <f t="shared" si="3"/>
        <v>796785.81746399996</v>
      </c>
      <c r="Y6" s="36">
        <v>0</v>
      </c>
      <c r="Z6" s="23"/>
      <c r="AA6" s="23"/>
    </row>
    <row r="7" spans="2:27" ht="20.25" customHeight="1">
      <c r="B7" s="22">
        <f t="shared" si="4"/>
        <v>3</v>
      </c>
      <c r="C7" s="10" t="s">
        <v>182</v>
      </c>
      <c r="D7" s="24" t="s">
        <v>171</v>
      </c>
      <c r="E7" s="25"/>
      <c r="F7" s="26" t="s">
        <v>183</v>
      </c>
      <c r="G7" s="10" t="s">
        <v>61</v>
      </c>
      <c r="H7" s="10" t="s">
        <v>62</v>
      </c>
      <c r="I7" s="10" t="s">
        <v>35</v>
      </c>
      <c r="J7" s="27">
        <v>801.22</v>
      </c>
      <c r="K7" s="28">
        <v>41854</v>
      </c>
      <c r="L7" s="29" t="s">
        <v>179</v>
      </c>
      <c r="M7" s="29" t="s">
        <v>29</v>
      </c>
      <c r="N7" s="10" t="s">
        <v>167</v>
      </c>
      <c r="O7" s="30" t="s">
        <v>168</v>
      </c>
      <c r="P7" s="31">
        <v>38000</v>
      </c>
      <c r="Q7" s="32">
        <f t="shared" si="0"/>
        <v>3921904</v>
      </c>
      <c r="R7" s="33" t="s">
        <v>27</v>
      </c>
      <c r="S7" s="9">
        <v>103.208</v>
      </c>
      <c r="T7" s="34">
        <f t="shared" si="1"/>
        <v>41943</v>
      </c>
      <c r="U7" s="10" t="s">
        <v>66</v>
      </c>
      <c r="V7" s="35">
        <f t="shared" si="2"/>
        <v>4706.2847999999994</v>
      </c>
      <c r="W7" s="23">
        <v>155.72999999999999</v>
      </c>
      <c r="X7" s="32">
        <f t="shared" si="3"/>
        <v>732909.73190399981</v>
      </c>
      <c r="Y7" s="36">
        <v>0</v>
      </c>
      <c r="Z7" s="23"/>
      <c r="AA7" s="23"/>
    </row>
    <row r="8" spans="2:27" ht="20.25" customHeight="1">
      <c r="B8" s="22">
        <f t="shared" si="4"/>
        <v>4</v>
      </c>
      <c r="C8" s="10" t="s">
        <v>125</v>
      </c>
      <c r="D8" s="25" t="s">
        <v>126</v>
      </c>
      <c r="E8" s="25">
        <v>41882</v>
      </c>
      <c r="F8" s="26" t="s">
        <v>127</v>
      </c>
      <c r="G8" s="10" t="s">
        <v>128</v>
      </c>
      <c r="H8" s="10" t="s">
        <v>129</v>
      </c>
      <c r="I8" s="10" t="s">
        <v>130</v>
      </c>
      <c r="J8" s="27">
        <v>801.22</v>
      </c>
      <c r="K8" s="28">
        <v>41857</v>
      </c>
      <c r="L8" s="29" t="s">
        <v>131</v>
      </c>
      <c r="M8" s="29" t="s">
        <v>132</v>
      </c>
      <c r="N8" s="10" t="s">
        <v>133</v>
      </c>
      <c r="O8" s="12" t="s">
        <v>134</v>
      </c>
      <c r="P8" s="31">
        <v>950202</v>
      </c>
      <c r="Q8" s="32">
        <f t="shared" si="0"/>
        <v>98874219.311999992</v>
      </c>
      <c r="R8" s="33" t="s">
        <v>27</v>
      </c>
      <c r="S8" s="9">
        <v>104.056</v>
      </c>
      <c r="T8" s="34">
        <f t="shared" si="1"/>
        <v>41946</v>
      </c>
      <c r="U8" s="10" t="s">
        <v>128</v>
      </c>
      <c r="V8" s="35">
        <f t="shared" si="2"/>
        <v>118649.06317439998</v>
      </c>
      <c r="W8" s="23">
        <v>155.72999999999999</v>
      </c>
      <c r="X8" s="32">
        <f t="shared" si="3"/>
        <v>18477218.608149309</v>
      </c>
      <c r="Y8" s="37">
        <f t="shared" ref="Y8:Y10" si="5">X8</f>
        <v>18477218.608149309</v>
      </c>
      <c r="Z8" s="23"/>
      <c r="AA8" s="23"/>
    </row>
    <row r="9" spans="2:27" ht="20.25" customHeight="1">
      <c r="B9" s="22">
        <f t="shared" si="4"/>
        <v>5</v>
      </c>
      <c r="C9" s="10" t="s">
        <v>135</v>
      </c>
      <c r="D9" s="25" t="s">
        <v>136</v>
      </c>
      <c r="E9" s="25">
        <v>41882</v>
      </c>
      <c r="F9" s="26" t="s">
        <v>137</v>
      </c>
      <c r="G9" s="10" t="s">
        <v>128</v>
      </c>
      <c r="H9" s="10" t="s">
        <v>129</v>
      </c>
      <c r="I9" s="10" t="s">
        <v>138</v>
      </c>
      <c r="J9" s="27">
        <v>801.22</v>
      </c>
      <c r="K9" s="28">
        <v>41861</v>
      </c>
      <c r="L9" s="29" t="s">
        <v>139</v>
      </c>
      <c r="M9" s="29" t="s">
        <v>140</v>
      </c>
      <c r="N9" s="10" t="s">
        <v>141</v>
      </c>
      <c r="O9" s="12" t="s">
        <v>142</v>
      </c>
      <c r="P9" s="31">
        <v>899711</v>
      </c>
      <c r="Q9" s="32">
        <f t="shared" si="0"/>
        <v>93354013.359999999</v>
      </c>
      <c r="R9" s="33" t="s">
        <v>27</v>
      </c>
      <c r="S9" s="9">
        <v>103.76</v>
      </c>
      <c r="T9" s="34">
        <f t="shared" si="1"/>
        <v>41950</v>
      </c>
      <c r="U9" s="10" t="s">
        <v>128</v>
      </c>
      <c r="V9" s="35">
        <f t="shared" si="2"/>
        <v>112024.81603199999</v>
      </c>
      <c r="W9" s="23">
        <v>155.72999999999999</v>
      </c>
      <c r="X9" s="32">
        <f t="shared" ref="X9:X24" si="6">SUM(V9*W9)</f>
        <v>17445624.600663356</v>
      </c>
      <c r="Y9" s="37">
        <f t="shared" si="5"/>
        <v>17445624.600663356</v>
      </c>
      <c r="Z9" s="23"/>
      <c r="AA9" s="23"/>
    </row>
    <row r="10" spans="2:27" ht="20.25" customHeight="1">
      <c r="B10" s="22">
        <f t="shared" si="4"/>
        <v>6</v>
      </c>
      <c r="C10" s="10" t="s">
        <v>143</v>
      </c>
      <c r="D10" s="25" t="s">
        <v>144</v>
      </c>
      <c r="E10" s="25">
        <v>41882</v>
      </c>
      <c r="F10" s="26" t="s">
        <v>145</v>
      </c>
      <c r="G10" s="10" t="s">
        <v>128</v>
      </c>
      <c r="H10" s="10" t="s">
        <v>129</v>
      </c>
      <c r="I10" s="10" t="s">
        <v>35</v>
      </c>
      <c r="J10" s="27">
        <v>801.22</v>
      </c>
      <c r="K10" s="28">
        <v>41864</v>
      </c>
      <c r="L10" s="29" t="s">
        <v>146</v>
      </c>
      <c r="M10" s="29" t="s">
        <v>29</v>
      </c>
      <c r="N10" s="10" t="s">
        <v>123</v>
      </c>
      <c r="O10" s="12" t="s">
        <v>124</v>
      </c>
      <c r="P10" s="31">
        <v>949173</v>
      </c>
      <c r="Q10" s="32">
        <f t="shared" si="0"/>
        <v>96523300.715999991</v>
      </c>
      <c r="R10" s="33" t="s">
        <v>27</v>
      </c>
      <c r="S10" s="9">
        <v>101.69199999999999</v>
      </c>
      <c r="T10" s="34">
        <f t="shared" si="1"/>
        <v>41953</v>
      </c>
      <c r="U10" s="10" t="s">
        <v>128</v>
      </c>
      <c r="V10" s="35">
        <f t="shared" si="2"/>
        <v>115827.96085919999</v>
      </c>
      <c r="W10" s="23">
        <v>155.72999999999999</v>
      </c>
      <c r="X10" s="32">
        <f t="shared" si="6"/>
        <v>18037888.344603214</v>
      </c>
      <c r="Y10" s="37">
        <f t="shared" si="5"/>
        <v>18037888.344603214</v>
      </c>
      <c r="Z10" s="23"/>
      <c r="AA10" s="23"/>
    </row>
    <row r="11" spans="2:27" ht="20.25" customHeight="1">
      <c r="B11" s="22">
        <f t="shared" si="4"/>
        <v>7</v>
      </c>
      <c r="C11" s="10" t="s">
        <v>184</v>
      </c>
      <c r="D11" s="24" t="s">
        <v>171</v>
      </c>
      <c r="E11" s="25"/>
      <c r="F11" s="26" t="s">
        <v>185</v>
      </c>
      <c r="G11" s="10" t="s">
        <v>50</v>
      </c>
      <c r="H11" s="10" t="s">
        <v>51</v>
      </c>
      <c r="I11" s="10" t="s">
        <v>52</v>
      </c>
      <c r="J11" s="27">
        <v>801.22</v>
      </c>
      <c r="K11" s="28">
        <v>41867</v>
      </c>
      <c r="L11" s="29" t="s">
        <v>186</v>
      </c>
      <c r="M11" s="29" t="s">
        <v>54</v>
      </c>
      <c r="N11" s="10" t="s">
        <v>55</v>
      </c>
      <c r="O11" s="12" t="s">
        <v>56</v>
      </c>
      <c r="P11" s="31">
        <v>701101</v>
      </c>
      <c r="Q11" s="32">
        <f t="shared" si="0"/>
        <v>66076665.946999997</v>
      </c>
      <c r="R11" s="33" t="s">
        <v>27</v>
      </c>
      <c r="S11" s="9">
        <v>94.247</v>
      </c>
      <c r="T11" s="34">
        <f t="shared" si="1"/>
        <v>41956</v>
      </c>
      <c r="U11" s="10" t="s">
        <v>57</v>
      </c>
      <c r="V11" s="35">
        <f t="shared" si="2"/>
        <v>79291.999136399987</v>
      </c>
      <c r="W11" s="23">
        <v>155.72999999999999</v>
      </c>
      <c r="X11" s="32">
        <f t="shared" si="6"/>
        <v>12348143.025511568</v>
      </c>
      <c r="Y11" s="36">
        <v>0</v>
      </c>
      <c r="Z11" s="23"/>
      <c r="AA11" s="23"/>
    </row>
    <row r="12" spans="2:27" ht="20.25" customHeight="1">
      <c r="B12" s="22">
        <f t="shared" si="4"/>
        <v>8</v>
      </c>
      <c r="C12" s="10" t="s">
        <v>187</v>
      </c>
      <c r="D12" s="24" t="s">
        <v>171</v>
      </c>
      <c r="E12" s="25"/>
      <c r="F12" s="11">
        <v>201400020014</v>
      </c>
      <c r="G12" s="10" t="s">
        <v>34</v>
      </c>
      <c r="H12" s="10" t="s">
        <v>162</v>
      </c>
      <c r="I12" s="10" t="s">
        <v>163</v>
      </c>
      <c r="J12" s="27">
        <v>801.22</v>
      </c>
      <c r="K12" s="28">
        <v>41869</v>
      </c>
      <c r="L12" s="29" t="s">
        <v>188</v>
      </c>
      <c r="M12" s="38" t="s">
        <v>164</v>
      </c>
      <c r="N12" s="10" t="s">
        <v>174</v>
      </c>
      <c r="O12" s="12" t="s">
        <v>189</v>
      </c>
      <c r="P12" s="31">
        <v>948196</v>
      </c>
      <c r="Q12" s="32">
        <f t="shared" si="0"/>
        <v>92825543.812000006</v>
      </c>
      <c r="R12" s="33" t="s">
        <v>27</v>
      </c>
      <c r="S12" s="61">
        <v>97.897000000000006</v>
      </c>
      <c r="T12" s="34">
        <f t="shared" si="1"/>
        <v>41958</v>
      </c>
      <c r="U12" s="10" t="s">
        <v>161</v>
      </c>
      <c r="V12" s="35">
        <f t="shared" si="2"/>
        <v>111390.6525744</v>
      </c>
      <c r="W12" s="23">
        <v>155.72999999999999</v>
      </c>
      <c r="X12" s="32">
        <f t="shared" si="6"/>
        <v>17346866.325411309</v>
      </c>
      <c r="Y12" s="36">
        <v>0</v>
      </c>
      <c r="Z12" s="23"/>
      <c r="AA12" s="23"/>
    </row>
    <row r="13" spans="2:27" ht="20.25" customHeight="1">
      <c r="B13" s="22">
        <f t="shared" si="4"/>
        <v>9</v>
      </c>
      <c r="C13" s="10" t="s">
        <v>190</v>
      </c>
      <c r="D13" s="24" t="s">
        <v>171</v>
      </c>
      <c r="E13" s="25"/>
      <c r="F13" s="11">
        <v>201400010342</v>
      </c>
      <c r="G13" s="10" t="s">
        <v>34</v>
      </c>
      <c r="H13" s="10" t="s">
        <v>96</v>
      </c>
      <c r="I13" s="10" t="s">
        <v>35</v>
      </c>
      <c r="J13" s="27">
        <v>801.22</v>
      </c>
      <c r="K13" s="28">
        <v>41873</v>
      </c>
      <c r="L13" s="29" t="s">
        <v>191</v>
      </c>
      <c r="M13" s="38" t="s">
        <v>29</v>
      </c>
      <c r="N13" s="10" t="s">
        <v>165</v>
      </c>
      <c r="O13" s="12" t="s">
        <v>172</v>
      </c>
      <c r="P13" s="31">
        <v>80000</v>
      </c>
      <c r="Q13" s="32">
        <f t="shared" si="0"/>
        <v>8049888</v>
      </c>
      <c r="R13" s="33" t="s">
        <v>27</v>
      </c>
      <c r="S13" s="61">
        <v>100.6236</v>
      </c>
      <c r="T13" s="34">
        <f t="shared" si="1"/>
        <v>41962</v>
      </c>
      <c r="U13" s="10" t="s">
        <v>28</v>
      </c>
      <c r="V13" s="35">
        <f t="shared" si="2"/>
        <v>9659.8655999999992</v>
      </c>
      <c r="W13" s="23">
        <v>155.72999999999999</v>
      </c>
      <c r="X13" s="32">
        <f t="shared" si="6"/>
        <v>1504330.8698879997</v>
      </c>
      <c r="Y13" s="36">
        <v>0</v>
      </c>
      <c r="Z13" s="23"/>
      <c r="AA13" s="23"/>
    </row>
    <row r="14" spans="2:27" ht="20.25" customHeight="1">
      <c r="B14" s="22">
        <f t="shared" si="4"/>
        <v>10</v>
      </c>
      <c r="C14" s="10" t="s">
        <v>192</v>
      </c>
      <c r="D14" s="24" t="s">
        <v>171</v>
      </c>
      <c r="E14" s="25"/>
      <c r="F14" s="11">
        <v>201400010343</v>
      </c>
      <c r="G14" s="10" t="s">
        <v>34</v>
      </c>
      <c r="H14" s="10" t="s">
        <v>31</v>
      </c>
      <c r="I14" s="10" t="s">
        <v>35</v>
      </c>
      <c r="J14" s="27">
        <v>801.22</v>
      </c>
      <c r="K14" s="28">
        <v>41873</v>
      </c>
      <c r="L14" s="29" t="s">
        <v>191</v>
      </c>
      <c r="M14" s="38" t="s">
        <v>29</v>
      </c>
      <c r="N14" s="10" t="s">
        <v>165</v>
      </c>
      <c r="O14" s="12" t="s">
        <v>172</v>
      </c>
      <c r="P14" s="31">
        <v>130000</v>
      </c>
      <c r="Q14" s="32">
        <f t="shared" si="0"/>
        <v>13081068</v>
      </c>
      <c r="R14" s="33" t="s">
        <v>27</v>
      </c>
      <c r="S14" s="61">
        <v>100.6236</v>
      </c>
      <c r="T14" s="34">
        <f t="shared" si="1"/>
        <v>41962</v>
      </c>
      <c r="U14" s="10" t="s">
        <v>28</v>
      </c>
      <c r="V14" s="35">
        <f t="shared" si="2"/>
        <v>15697.281599999998</v>
      </c>
      <c r="W14" s="23">
        <v>155.72999999999999</v>
      </c>
      <c r="X14" s="32">
        <f t="shared" si="6"/>
        <v>2444537.6635679994</v>
      </c>
      <c r="Y14" s="36">
        <v>0</v>
      </c>
      <c r="Z14" s="23"/>
      <c r="AA14" s="23"/>
    </row>
    <row r="15" spans="2:27" ht="20.25" customHeight="1">
      <c r="B15" s="22">
        <f t="shared" si="4"/>
        <v>11</v>
      </c>
      <c r="C15" s="10" t="s">
        <v>193</v>
      </c>
      <c r="D15" s="24" t="s">
        <v>171</v>
      </c>
      <c r="E15" s="25"/>
      <c r="F15" s="11">
        <v>201400010344</v>
      </c>
      <c r="G15" s="10" t="s">
        <v>34</v>
      </c>
      <c r="H15" s="10" t="s">
        <v>31</v>
      </c>
      <c r="I15" s="10" t="s">
        <v>35</v>
      </c>
      <c r="J15" s="27">
        <v>801.22</v>
      </c>
      <c r="K15" s="28">
        <v>41873</v>
      </c>
      <c r="L15" s="29" t="s">
        <v>191</v>
      </c>
      <c r="M15" s="38" t="s">
        <v>29</v>
      </c>
      <c r="N15" s="10" t="s">
        <v>165</v>
      </c>
      <c r="O15" s="12" t="s">
        <v>172</v>
      </c>
      <c r="P15" s="31">
        <v>461917</v>
      </c>
      <c r="Q15" s="32">
        <f t="shared" si="0"/>
        <v>46479751.441199996</v>
      </c>
      <c r="R15" s="33" t="s">
        <v>27</v>
      </c>
      <c r="S15" s="61">
        <v>100.6236</v>
      </c>
      <c r="T15" s="34">
        <f t="shared" si="1"/>
        <v>41962</v>
      </c>
      <c r="U15" s="10" t="s">
        <v>28</v>
      </c>
      <c r="V15" s="35">
        <f t="shared" si="2"/>
        <v>55775.701729439992</v>
      </c>
      <c r="W15" s="23">
        <v>155.72999999999999</v>
      </c>
      <c r="X15" s="32">
        <f t="shared" si="6"/>
        <v>8685950.0303256903</v>
      </c>
      <c r="Y15" s="36">
        <v>0</v>
      </c>
      <c r="Z15" s="23"/>
      <c r="AA15" s="23"/>
    </row>
    <row r="16" spans="2:27" ht="20.25" customHeight="1">
      <c r="B16" s="22">
        <f t="shared" si="4"/>
        <v>12</v>
      </c>
      <c r="C16" s="10" t="s">
        <v>194</v>
      </c>
      <c r="D16" s="24" t="s">
        <v>171</v>
      </c>
      <c r="E16" s="25"/>
      <c r="F16" s="11">
        <v>201401010081</v>
      </c>
      <c r="G16" s="10" t="s">
        <v>108</v>
      </c>
      <c r="H16" s="10" t="s">
        <v>109</v>
      </c>
      <c r="I16" s="10" t="s">
        <v>35</v>
      </c>
      <c r="J16" s="27">
        <v>801.22</v>
      </c>
      <c r="K16" s="28">
        <v>41873</v>
      </c>
      <c r="L16" s="29" t="s">
        <v>191</v>
      </c>
      <c r="M16" s="38" t="s">
        <v>29</v>
      </c>
      <c r="N16" s="10" t="s">
        <v>165</v>
      </c>
      <c r="O16" s="12" t="s">
        <v>172</v>
      </c>
      <c r="P16" s="31">
        <v>34000</v>
      </c>
      <c r="Q16" s="32">
        <f t="shared" si="0"/>
        <v>3451578</v>
      </c>
      <c r="R16" s="33" t="s">
        <v>27</v>
      </c>
      <c r="S16" s="9">
        <v>101.517</v>
      </c>
      <c r="T16" s="34">
        <f t="shared" si="1"/>
        <v>41962</v>
      </c>
      <c r="U16" s="10" t="s">
        <v>108</v>
      </c>
      <c r="V16" s="35">
        <f t="shared" si="2"/>
        <v>4141.8935999999994</v>
      </c>
      <c r="W16" s="23">
        <v>155.72999999999999</v>
      </c>
      <c r="X16" s="32">
        <f t="shared" si="6"/>
        <v>645017.0903279999</v>
      </c>
      <c r="Y16" s="36">
        <v>0</v>
      </c>
      <c r="Z16" s="23"/>
      <c r="AA16" s="23"/>
    </row>
    <row r="17" spans="2:27" ht="20.25" customHeight="1">
      <c r="B17" s="22">
        <f t="shared" si="4"/>
        <v>13</v>
      </c>
      <c r="C17" s="10" t="s">
        <v>195</v>
      </c>
      <c r="D17" s="24" t="s">
        <v>171</v>
      </c>
      <c r="E17" s="25"/>
      <c r="F17" s="11">
        <v>201401010082</v>
      </c>
      <c r="G17" s="10" t="s">
        <v>108</v>
      </c>
      <c r="H17" s="10" t="s">
        <v>109</v>
      </c>
      <c r="I17" s="10" t="s">
        <v>35</v>
      </c>
      <c r="J17" s="27">
        <v>801.22</v>
      </c>
      <c r="K17" s="28">
        <v>41873</v>
      </c>
      <c r="L17" s="29" t="s">
        <v>191</v>
      </c>
      <c r="M17" s="38" t="s">
        <v>29</v>
      </c>
      <c r="N17" s="10" t="s">
        <v>165</v>
      </c>
      <c r="O17" s="12" t="s">
        <v>172</v>
      </c>
      <c r="P17" s="31">
        <v>19000</v>
      </c>
      <c r="Q17" s="32">
        <f t="shared" si="0"/>
        <v>1928823</v>
      </c>
      <c r="R17" s="33" t="s">
        <v>27</v>
      </c>
      <c r="S17" s="9">
        <v>101.517</v>
      </c>
      <c r="T17" s="34">
        <f t="shared" si="1"/>
        <v>41962</v>
      </c>
      <c r="U17" s="12" t="s">
        <v>108</v>
      </c>
      <c r="V17" s="35">
        <f t="shared" si="2"/>
        <v>2314.5875999999998</v>
      </c>
      <c r="W17" s="23">
        <v>155.72999999999999</v>
      </c>
      <c r="X17" s="32">
        <f t="shared" si="6"/>
        <v>360450.72694799997</v>
      </c>
      <c r="Y17" s="36">
        <v>0</v>
      </c>
      <c r="Z17" s="23"/>
      <c r="AA17" s="23"/>
    </row>
    <row r="18" spans="2:27" ht="20.25" customHeight="1">
      <c r="B18" s="22">
        <f t="shared" si="4"/>
        <v>14</v>
      </c>
      <c r="C18" s="10" t="s">
        <v>196</v>
      </c>
      <c r="D18" s="24" t="s">
        <v>171</v>
      </c>
      <c r="E18" s="25"/>
      <c r="F18" s="11">
        <v>20149030008</v>
      </c>
      <c r="G18" s="10" t="s">
        <v>118</v>
      </c>
      <c r="H18" s="10" t="s">
        <v>109</v>
      </c>
      <c r="I18" s="10" t="s">
        <v>35</v>
      </c>
      <c r="J18" s="27">
        <v>801.22</v>
      </c>
      <c r="K18" s="28">
        <v>41873</v>
      </c>
      <c r="L18" s="29" t="s">
        <v>191</v>
      </c>
      <c r="M18" s="38" t="s">
        <v>29</v>
      </c>
      <c r="N18" s="10" t="s">
        <v>165</v>
      </c>
      <c r="O18" s="12" t="s">
        <v>172</v>
      </c>
      <c r="P18" s="31">
        <v>65000</v>
      </c>
      <c r="Q18" s="32">
        <f t="shared" si="0"/>
        <v>6598605</v>
      </c>
      <c r="R18" s="33" t="s">
        <v>27</v>
      </c>
      <c r="S18" s="9">
        <v>101.517</v>
      </c>
      <c r="T18" s="34">
        <f t="shared" si="1"/>
        <v>41962</v>
      </c>
      <c r="U18" s="10" t="s">
        <v>108</v>
      </c>
      <c r="V18" s="35">
        <f t="shared" si="2"/>
        <v>7918.3259999999991</v>
      </c>
      <c r="W18" s="23">
        <v>155.72999999999999</v>
      </c>
      <c r="X18" s="32">
        <f t="shared" si="6"/>
        <v>1233120.9079799997</v>
      </c>
      <c r="Y18" s="36">
        <v>0</v>
      </c>
      <c r="Z18" s="23"/>
      <c r="AA18" s="23"/>
    </row>
    <row r="19" spans="2:27" ht="20.25" customHeight="1">
      <c r="B19" s="39">
        <f t="shared" si="4"/>
        <v>15</v>
      </c>
      <c r="C19" s="10" t="s">
        <v>197</v>
      </c>
      <c r="D19" s="40" t="s">
        <v>171</v>
      </c>
      <c r="E19" s="41"/>
      <c r="F19" s="13" t="s">
        <v>198</v>
      </c>
      <c r="G19" s="14" t="s">
        <v>61</v>
      </c>
      <c r="H19" s="14" t="s">
        <v>199</v>
      </c>
      <c r="I19" s="14" t="s">
        <v>35</v>
      </c>
      <c r="J19" s="42">
        <v>801.22</v>
      </c>
      <c r="K19" s="43">
        <v>41873</v>
      </c>
      <c r="L19" s="44" t="s">
        <v>191</v>
      </c>
      <c r="M19" s="45" t="s">
        <v>29</v>
      </c>
      <c r="N19" s="14" t="s">
        <v>165</v>
      </c>
      <c r="O19" s="15" t="s">
        <v>172</v>
      </c>
      <c r="P19" s="31">
        <v>202000</v>
      </c>
      <c r="Q19" s="32">
        <f t="shared" si="0"/>
        <v>20325967.199999999</v>
      </c>
      <c r="R19" s="33" t="s">
        <v>27</v>
      </c>
      <c r="S19" s="61">
        <v>100.6236</v>
      </c>
      <c r="T19" s="34">
        <f t="shared" si="1"/>
        <v>41962</v>
      </c>
      <c r="U19" s="10" t="s">
        <v>66</v>
      </c>
      <c r="V19" s="35">
        <f t="shared" si="2"/>
        <v>24391.160639999998</v>
      </c>
      <c r="W19" s="23">
        <v>155.72999999999999</v>
      </c>
      <c r="X19" s="32">
        <f t="shared" si="6"/>
        <v>3798435.4464671994</v>
      </c>
      <c r="Y19" s="36">
        <v>0</v>
      </c>
      <c r="Z19" s="23"/>
      <c r="AA19" s="23"/>
    </row>
    <row r="20" spans="2:27" ht="20.25" customHeight="1">
      <c r="B20" s="22">
        <f t="shared" si="4"/>
        <v>16</v>
      </c>
      <c r="C20" s="10" t="s">
        <v>147</v>
      </c>
      <c r="D20" s="25" t="s">
        <v>148</v>
      </c>
      <c r="E20" s="25">
        <v>41882</v>
      </c>
      <c r="F20" s="11" t="s">
        <v>149</v>
      </c>
      <c r="G20" s="10" t="s">
        <v>128</v>
      </c>
      <c r="H20" s="10" t="s">
        <v>129</v>
      </c>
      <c r="I20" s="10" t="s">
        <v>130</v>
      </c>
      <c r="J20" s="27">
        <v>801.22</v>
      </c>
      <c r="K20" s="25">
        <v>41874</v>
      </c>
      <c r="L20" s="10" t="s">
        <v>150</v>
      </c>
      <c r="M20" s="10" t="s">
        <v>132</v>
      </c>
      <c r="N20" s="10" t="s">
        <v>55</v>
      </c>
      <c r="O20" s="12" t="s">
        <v>151</v>
      </c>
      <c r="P20" s="31">
        <v>950274</v>
      </c>
      <c r="Q20" s="32">
        <f t="shared" si="0"/>
        <v>96485690.480399996</v>
      </c>
      <c r="R20" s="33" t="s">
        <v>27</v>
      </c>
      <c r="S20" s="61">
        <v>101.5346</v>
      </c>
      <c r="T20" s="34">
        <f t="shared" si="1"/>
        <v>41963</v>
      </c>
      <c r="U20" s="10" t="s">
        <v>128</v>
      </c>
      <c r="V20" s="35">
        <f t="shared" si="2"/>
        <v>115782.82857647998</v>
      </c>
      <c r="W20" s="23">
        <v>155.72999999999999</v>
      </c>
      <c r="X20" s="32">
        <f t="shared" si="6"/>
        <v>18030859.894215226</v>
      </c>
      <c r="Y20" s="37">
        <f t="shared" ref="Y20" si="7">X20</f>
        <v>18030859.894215226</v>
      </c>
      <c r="Z20" s="23"/>
      <c r="AA20" s="23"/>
    </row>
    <row r="21" spans="2:27" ht="20.25" customHeight="1">
      <c r="B21" s="22">
        <f t="shared" si="4"/>
        <v>17</v>
      </c>
      <c r="C21" s="10" t="s">
        <v>200</v>
      </c>
      <c r="D21" s="24" t="s">
        <v>171</v>
      </c>
      <c r="E21" s="25"/>
      <c r="F21" s="46" t="s">
        <v>201</v>
      </c>
      <c r="G21" s="10" t="s">
        <v>166</v>
      </c>
      <c r="H21" s="10" t="s">
        <v>173</v>
      </c>
      <c r="I21" s="10" t="s">
        <v>169</v>
      </c>
      <c r="J21" s="27">
        <v>801.22</v>
      </c>
      <c r="K21" s="25">
        <v>41879</v>
      </c>
      <c r="L21" s="10" t="s">
        <v>176</v>
      </c>
      <c r="M21" s="10" t="s">
        <v>170</v>
      </c>
      <c r="N21" s="10" t="s">
        <v>133</v>
      </c>
      <c r="O21" s="12" t="s">
        <v>175</v>
      </c>
      <c r="P21" s="31">
        <v>254852</v>
      </c>
      <c r="Q21" s="32">
        <f t="shared" si="0"/>
        <v>25705392.128000002</v>
      </c>
      <c r="R21" s="33" t="s">
        <v>27</v>
      </c>
      <c r="S21" s="61">
        <v>100.864</v>
      </c>
      <c r="T21" s="34">
        <f t="shared" si="1"/>
        <v>41968</v>
      </c>
      <c r="U21" s="12" t="s">
        <v>166</v>
      </c>
      <c r="V21" s="35">
        <f t="shared" si="2"/>
        <v>30846.4705536</v>
      </c>
      <c r="W21" s="23">
        <v>155.72999999999999</v>
      </c>
      <c r="X21" s="32">
        <f t="shared" si="6"/>
        <v>4803720.8593121273</v>
      </c>
      <c r="Y21" s="36">
        <v>0</v>
      </c>
      <c r="Z21" s="23"/>
      <c r="AA21" s="23"/>
    </row>
    <row r="22" spans="2:27" ht="20.25" customHeight="1">
      <c r="B22" s="22">
        <f t="shared" si="4"/>
        <v>18</v>
      </c>
      <c r="C22" s="10" t="s">
        <v>152</v>
      </c>
      <c r="D22" s="25" t="s">
        <v>153</v>
      </c>
      <c r="E22" s="25">
        <v>41882</v>
      </c>
      <c r="F22" s="46" t="s">
        <v>154</v>
      </c>
      <c r="G22" s="10" t="s">
        <v>128</v>
      </c>
      <c r="H22" s="10" t="s">
        <v>129</v>
      </c>
      <c r="I22" s="10" t="s">
        <v>35</v>
      </c>
      <c r="J22" s="27">
        <v>801.22</v>
      </c>
      <c r="K22" s="25">
        <v>41882</v>
      </c>
      <c r="L22" s="10" t="s">
        <v>155</v>
      </c>
      <c r="M22" s="10" t="s">
        <v>29</v>
      </c>
      <c r="N22" s="10" t="s">
        <v>156</v>
      </c>
      <c r="O22" s="12" t="s">
        <v>157</v>
      </c>
      <c r="P22" s="31">
        <v>24000</v>
      </c>
      <c r="Q22" s="32">
        <f t="shared" si="0"/>
        <v>2427648</v>
      </c>
      <c r="R22" s="33" t="s">
        <v>27</v>
      </c>
      <c r="S22" s="61">
        <v>101.152</v>
      </c>
      <c r="T22" s="34">
        <f t="shared" si="1"/>
        <v>41971</v>
      </c>
      <c r="U22" s="12" t="s">
        <v>128</v>
      </c>
      <c r="V22" s="35">
        <f t="shared" si="2"/>
        <v>2913.1775999999995</v>
      </c>
      <c r="W22" s="23">
        <v>155.72999999999999</v>
      </c>
      <c r="X22" s="32">
        <f t="shared" si="6"/>
        <v>453669.14764799993</v>
      </c>
      <c r="Y22" s="37">
        <f t="shared" ref="Y22:Y23" si="8">X22</f>
        <v>453669.14764799993</v>
      </c>
      <c r="Z22" s="23"/>
      <c r="AA22" s="23"/>
    </row>
    <row r="23" spans="2:27" ht="20.25" customHeight="1">
      <c r="B23" s="22">
        <f t="shared" si="4"/>
        <v>19</v>
      </c>
      <c r="C23" s="10" t="s">
        <v>158</v>
      </c>
      <c r="D23" s="25" t="s">
        <v>159</v>
      </c>
      <c r="E23" s="25">
        <v>41882</v>
      </c>
      <c r="F23" s="46" t="s">
        <v>160</v>
      </c>
      <c r="G23" s="10" t="s">
        <v>128</v>
      </c>
      <c r="H23" s="10" t="s">
        <v>129</v>
      </c>
      <c r="I23" s="10" t="s">
        <v>35</v>
      </c>
      <c r="J23" s="27">
        <v>801.22</v>
      </c>
      <c r="K23" s="25">
        <v>41882</v>
      </c>
      <c r="L23" s="10" t="s">
        <v>155</v>
      </c>
      <c r="M23" s="10" t="s">
        <v>29</v>
      </c>
      <c r="N23" s="10" t="s">
        <v>156</v>
      </c>
      <c r="O23" s="12" t="s">
        <v>157</v>
      </c>
      <c r="P23" s="31">
        <v>276000</v>
      </c>
      <c r="Q23" s="32">
        <f t="shared" si="0"/>
        <v>27917952</v>
      </c>
      <c r="R23" s="33" t="s">
        <v>27</v>
      </c>
      <c r="S23" s="61">
        <v>101.152</v>
      </c>
      <c r="T23" s="34">
        <f t="shared" si="1"/>
        <v>41971</v>
      </c>
      <c r="U23" s="12" t="s">
        <v>128</v>
      </c>
      <c r="V23" s="35">
        <f t="shared" si="2"/>
        <v>33501.542399999998</v>
      </c>
      <c r="W23" s="23">
        <v>155.72999999999999</v>
      </c>
      <c r="X23" s="32">
        <f t="shared" si="6"/>
        <v>5217195.1979519995</v>
      </c>
      <c r="Y23" s="37">
        <f t="shared" si="8"/>
        <v>5217195.1979519995</v>
      </c>
      <c r="Z23" s="23"/>
      <c r="AA23" s="23"/>
    </row>
    <row r="24" spans="2:27" ht="20.25" customHeight="1" thickBot="1">
      <c r="B24" s="22">
        <f t="shared" si="4"/>
        <v>20</v>
      </c>
      <c r="C24" s="10" t="s">
        <v>202</v>
      </c>
      <c r="D24" s="24" t="s">
        <v>171</v>
      </c>
      <c r="E24" s="25"/>
      <c r="F24" s="11" t="s">
        <v>203</v>
      </c>
      <c r="G24" s="10" t="s">
        <v>128</v>
      </c>
      <c r="H24" s="10" t="s">
        <v>129</v>
      </c>
      <c r="I24" s="10" t="s">
        <v>35</v>
      </c>
      <c r="J24" s="27">
        <v>801.22</v>
      </c>
      <c r="K24" s="25">
        <v>41882</v>
      </c>
      <c r="L24" s="10" t="s">
        <v>155</v>
      </c>
      <c r="M24" s="10" t="s">
        <v>29</v>
      </c>
      <c r="N24" s="10" t="s">
        <v>156</v>
      </c>
      <c r="O24" s="12" t="s">
        <v>157</v>
      </c>
      <c r="P24" s="31">
        <v>99471</v>
      </c>
      <c r="Q24" s="32">
        <f t="shared" si="0"/>
        <v>10061690.592</v>
      </c>
      <c r="R24" s="33" t="s">
        <v>27</v>
      </c>
      <c r="S24" s="61">
        <v>101.152</v>
      </c>
      <c r="T24" s="34">
        <f t="shared" si="1"/>
        <v>41971</v>
      </c>
      <c r="U24" s="12" t="s">
        <v>128</v>
      </c>
      <c r="V24" s="35">
        <f t="shared" si="2"/>
        <v>12074.0287104</v>
      </c>
      <c r="W24" s="23">
        <v>155.72999999999999</v>
      </c>
      <c r="X24" s="32">
        <f t="shared" si="6"/>
        <v>1880288.4910705918</v>
      </c>
      <c r="Y24" s="36">
        <v>0</v>
      </c>
      <c r="Z24" s="23"/>
      <c r="AA24" s="23"/>
    </row>
    <row r="25" spans="2:27" ht="15.75" thickBot="1">
      <c r="B25" s="47"/>
      <c r="C25" s="48"/>
      <c r="D25" s="48"/>
      <c r="E25" s="48"/>
      <c r="F25" s="48"/>
      <c r="G25" s="48"/>
      <c r="H25" s="48"/>
      <c r="I25" s="48"/>
      <c r="J25" s="47"/>
      <c r="K25" s="49"/>
      <c r="L25" s="48"/>
      <c r="M25" s="48"/>
      <c r="N25" s="50"/>
      <c r="O25" s="51"/>
      <c r="P25" s="52">
        <f>SUM(P5:P24)</f>
        <v>7752098</v>
      </c>
      <c r="Q25" s="53">
        <f>SUM(Q5:Q24)</f>
        <v>783085575.7966001</v>
      </c>
      <c r="R25" s="47"/>
      <c r="S25" s="54"/>
      <c r="T25" s="49"/>
      <c r="U25" s="48"/>
      <c r="V25" s="53">
        <f>SUM(V5:V24)</f>
        <v>939702.69095592003</v>
      </c>
      <c r="W25" s="47"/>
      <c r="X25" s="53">
        <f>SUM(X5:X24)</f>
        <v>146339900.06256539</v>
      </c>
      <c r="Y25" s="53">
        <f>SUM(Y5:Y24)</f>
        <v>77662455.793231115</v>
      </c>
      <c r="Z25" s="47"/>
      <c r="AA25" s="47"/>
    </row>
    <row r="36" spans="3:3">
      <c r="C36" s="84"/>
    </row>
    <row r="37" spans="3:3">
      <c r="C37" s="84"/>
    </row>
    <row r="38" spans="3:3">
      <c r="C38" s="85"/>
    </row>
    <row r="39" spans="3:3">
      <c r="C39" s="84"/>
    </row>
  </sheetData>
  <pageMargins left="0" right="0" top="0" bottom="0" header="0.31496062992125984" footer="0"/>
  <pageSetup paperSize="8" orientation="landscape" r:id="rId1"/>
  <ignoredErrors>
    <ignoredError sqref="F5:F24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2:AB27"/>
  <sheetViews>
    <sheetView workbookViewId="0">
      <selection activeCell="F45" sqref="F45"/>
    </sheetView>
  </sheetViews>
  <sheetFormatPr defaultRowHeight="15"/>
  <cols>
    <col min="1" max="2" width="4.140625" customWidth="1"/>
    <col min="3" max="3" width="6.28515625" customWidth="1"/>
    <col min="4" max="4" width="8.28515625" style="1" customWidth="1"/>
    <col min="5" max="5" width="5.7109375" style="1" customWidth="1"/>
    <col min="6" max="6" width="10.28515625" style="1" customWidth="1"/>
    <col min="7" max="7" width="8.7109375" style="1" customWidth="1"/>
    <col min="8" max="8" width="8.140625" style="1" customWidth="1"/>
    <col min="9" max="9" width="9.28515625" style="1" customWidth="1"/>
    <col min="10" max="10" width="5.85546875" customWidth="1"/>
    <col min="11" max="11" width="5.7109375" style="2" customWidth="1"/>
    <col min="12" max="12" width="8.28515625" style="1" customWidth="1"/>
    <col min="13" max="13" width="5.28515625" style="2" customWidth="1"/>
    <col min="14" max="14" width="7.140625" style="4" customWidth="1"/>
    <col min="15" max="15" width="10.28515625" style="5" customWidth="1"/>
    <col min="16" max="16" width="8" customWidth="1"/>
    <col min="17" max="17" width="12.28515625" customWidth="1"/>
    <col min="18" max="18" width="5" customWidth="1"/>
    <col min="19" max="19" width="6" style="6" customWidth="1"/>
    <col min="20" max="20" width="5.5703125" style="2" customWidth="1"/>
    <col min="21" max="21" width="7.85546875" style="1" customWidth="1"/>
    <col min="22" max="22" width="9.140625" customWidth="1"/>
    <col min="23" max="23" width="5" customWidth="1"/>
    <col min="24" max="24" width="12.140625" customWidth="1"/>
    <col min="25" max="25" width="11.5703125" customWidth="1"/>
    <col min="26" max="26" width="5.85546875" customWidth="1"/>
    <col min="27" max="27" width="6.28515625" customWidth="1"/>
  </cols>
  <sheetData>
    <row r="2" spans="2:28" ht="15.75">
      <c r="L2" s="3" t="s">
        <v>0</v>
      </c>
    </row>
    <row r="3" spans="2:28" ht="23.25" customHeight="1" thickBot="1">
      <c r="L3" s="3" t="s">
        <v>46</v>
      </c>
      <c r="P3" s="7"/>
    </row>
    <row r="4" spans="2:28" s="1" customFormat="1" ht="54" customHeight="1" thickBot="1">
      <c r="B4" s="16" t="s">
        <v>1</v>
      </c>
      <c r="C4" s="17" t="s">
        <v>2</v>
      </c>
      <c r="D4" s="17" t="s">
        <v>3</v>
      </c>
      <c r="E4" s="17" t="s">
        <v>4</v>
      </c>
      <c r="F4" s="18" t="s">
        <v>5</v>
      </c>
      <c r="G4" s="19" t="s">
        <v>6</v>
      </c>
      <c r="H4" s="17" t="s">
        <v>7</v>
      </c>
      <c r="I4" s="17" t="s">
        <v>8</v>
      </c>
      <c r="J4" s="17" t="s">
        <v>9</v>
      </c>
      <c r="K4" s="17" t="s">
        <v>10</v>
      </c>
      <c r="L4" s="17" t="s">
        <v>11</v>
      </c>
      <c r="M4" s="17" t="s">
        <v>12</v>
      </c>
      <c r="N4" s="17" t="s">
        <v>13</v>
      </c>
      <c r="O4" s="17" t="s">
        <v>14</v>
      </c>
      <c r="P4" s="17" t="s">
        <v>15</v>
      </c>
      <c r="Q4" s="17" t="s">
        <v>16</v>
      </c>
      <c r="R4" s="17" t="s">
        <v>17</v>
      </c>
      <c r="S4" s="20" t="s">
        <v>18</v>
      </c>
      <c r="T4" s="17" t="s">
        <v>19</v>
      </c>
      <c r="U4" s="17" t="s">
        <v>20</v>
      </c>
      <c r="V4" s="17" t="s">
        <v>21</v>
      </c>
      <c r="W4" s="17" t="s">
        <v>22</v>
      </c>
      <c r="X4" s="17" t="s">
        <v>23</v>
      </c>
      <c r="Y4" s="17" t="s">
        <v>24</v>
      </c>
      <c r="Z4" s="17" t="s">
        <v>25</v>
      </c>
      <c r="AA4" s="17" t="s">
        <v>26</v>
      </c>
      <c r="AB4" s="21" t="s">
        <v>206</v>
      </c>
    </row>
    <row r="5" spans="2:28" ht="18.75" customHeight="1">
      <c r="B5" s="73">
        <v>1</v>
      </c>
      <c r="C5" s="29" t="s">
        <v>40</v>
      </c>
      <c r="D5" s="63" t="s">
        <v>41</v>
      </c>
      <c r="E5" s="28">
        <v>41863</v>
      </c>
      <c r="F5" s="26" t="s">
        <v>42</v>
      </c>
      <c r="G5" s="29" t="s">
        <v>34</v>
      </c>
      <c r="H5" s="29" t="s">
        <v>31</v>
      </c>
      <c r="I5" s="29" t="s">
        <v>35</v>
      </c>
      <c r="J5" s="74">
        <v>801.22</v>
      </c>
      <c r="K5" s="28">
        <v>41729</v>
      </c>
      <c r="L5" s="29" t="s">
        <v>38</v>
      </c>
      <c r="M5" s="29" t="s">
        <v>29</v>
      </c>
      <c r="N5" s="29" t="s">
        <v>30</v>
      </c>
      <c r="O5" s="63" t="s">
        <v>39</v>
      </c>
      <c r="P5" s="75">
        <v>125030</v>
      </c>
      <c r="Q5" s="76">
        <f t="shared" ref="Q5:Q6" si="0">SUM(P5*S5)</f>
        <v>13716878.761</v>
      </c>
      <c r="R5" s="77" t="s">
        <v>27</v>
      </c>
      <c r="S5" s="78">
        <v>109.70869999999999</v>
      </c>
      <c r="T5" s="79">
        <f t="shared" ref="T5:T6" si="1">SUM(K5)+89</f>
        <v>41818</v>
      </c>
      <c r="U5" s="29" t="s">
        <v>28</v>
      </c>
      <c r="V5" s="80">
        <f t="shared" ref="V5:V6" si="2">SUM(Q5*0.12%)</f>
        <v>16460.254513199998</v>
      </c>
      <c r="W5" s="81">
        <v>155.74</v>
      </c>
      <c r="X5" s="76">
        <f t="shared" ref="X5:X26" si="3">SUM(V5*W5)</f>
        <v>2563520.0378857679</v>
      </c>
      <c r="Y5" s="82">
        <v>2547059.09</v>
      </c>
      <c r="Z5" s="79">
        <v>41817</v>
      </c>
      <c r="AA5" s="71">
        <v>11208</v>
      </c>
      <c r="AB5" s="83"/>
    </row>
    <row r="6" spans="2:28" ht="96.75" customHeight="1">
      <c r="B6" s="22">
        <f t="shared" ref="B6:B26" si="4">B5+1</f>
        <v>2</v>
      </c>
      <c r="C6" s="10" t="s">
        <v>37</v>
      </c>
      <c r="D6" s="10" t="s">
        <v>43</v>
      </c>
      <c r="E6" s="28">
        <v>41863</v>
      </c>
      <c r="F6" s="26" t="s">
        <v>44</v>
      </c>
      <c r="G6" s="10" t="s">
        <v>34</v>
      </c>
      <c r="H6" s="10" t="s">
        <v>31</v>
      </c>
      <c r="I6" s="10" t="s">
        <v>35</v>
      </c>
      <c r="J6" s="27">
        <v>801.22</v>
      </c>
      <c r="K6" s="25">
        <v>41747</v>
      </c>
      <c r="L6" s="10" t="s">
        <v>36</v>
      </c>
      <c r="M6" s="10" t="s">
        <v>29</v>
      </c>
      <c r="N6" s="10" t="s">
        <v>32</v>
      </c>
      <c r="O6" s="10" t="s">
        <v>33</v>
      </c>
      <c r="P6" s="55">
        <v>345399</v>
      </c>
      <c r="Q6" s="56">
        <f t="shared" si="0"/>
        <v>37898283.5568</v>
      </c>
      <c r="R6" s="33" t="s">
        <v>27</v>
      </c>
      <c r="S6" s="8">
        <v>109.72320000000001</v>
      </c>
      <c r="T6" s="34">
        <f t="shared" si="1"/>
        <v>41836</v>
      </c>
      <c r="U6" s="10" t="s">
        <v>28</v>
      </c>
      <c r="V6" s="57">
        <f t="shared" si="2"/>
        <v>45477.940268159997</v>
      </c>
      <c r="W6" s="23">
        <v>155.72999999999999</v>
      </c>
      <c r="X6" s="56">
        <f t="shared" si="3"/>
        <v>7082279.637960556</v>
      </c>
      <c r="Y6" s="58">
        <v>7036801.6600000001</v>
      </c>
      <c r="Z6" s="34">
        <v>41838</v>
      </c>
      <c r="AA6" s="59">
        <v>11232</v>
      </c>
      <c r="AB6" s="10" t="s">
        <v>45</v>
      </c>
    </row>
    <row r="7" spans="2:28" ht="21.75" customHeight="1">
      <c r="B7" s="22">
        <f t="shared" si="4"/>
        <v>3</v>
      </c>
      <c r="C7" s="10" t="s">
        <v>47</v>
      </c>
      <c r="D7" s="25" t="s">
        <v>48</v>
      </c>
      <c r="E7" s="34">
        <v>41864</v>
      </c>
      <c r="F7" s="26" t="s">
        <v>49</v>
      </c>
      <c r="G7" s="10" t="s">
        <v>50</v>
      </c>
      <c r="H7" s="10" t="s">
        <v>51</v>
      </c>
      <c r="I7" s="10" t="s">
        <v>52</v>
      </c>
      <c r="J7" s="27">
        <v>801.22</v>
      </c>
      <c r="K7" s="28">
        <v>41841</v>
      </c>
      <c r="L7" s="29" t="s">
        <v>53</v>
      </c>
      <c r="M7" s="29" t="s">
        <v>54</v>
      </c>
      <c r="N7" s="10" t="s">
        <v>55</v>
      </c>
      <c r="O7" s="12" t="s">
        <v>56</v>
      </c>
      <c r="P7" s="60">
        <v>799844</v>
      </c>
      <c r="Q7" s="56">
        <f t="shared" ref="Q7:Q19" si="5">SUM(P7*S7)</f>
        <v>81660073.179999992</v>
      </c>
      <c r="R7" s="33" t="s">
        <v>27</v>
      </c>
      <c r="S7" s="61">
        <v>102.095</v>
      </c>
      <c r="T7" s="34">
        <f t="shared" ref="T7" si="6">SUM(K7)+89</f>
        <v>41930</v>
      </c>
      <c r="U7" s="12" t="s">
        <v>57</v>
      </c>
      <c r="V7" s="57">
        <f t="shared" ref="V7:V9" si="7">SUM(Q7*0.12%)</f>
        <v>97992.087815999985</v>
      </c>
      <c r="W7" s="23">
        <v>155.72999999999999</v>
      </c>
      <c r="X7" s="56">
        <f t="shared" si="3"/>
        <v>15260307.835585676</v>
      </c>
      <c r="Y7" s="58">
        <v>15260308.18</v>
      </c>
      <c r="Z7" s="34">
        <v>41858</v>
      </c>
      <c r="AA7" s="59">
        <v>2174</v>
      </c>
      <c r="AB7" s="72"/>
    </row>
    <row r="8" spans="2:28" ht="24.75">
      <c r="B8" s="22">
        <f t="shared" si="4"/>
        <v>4</v>
      </c>
      <c r="C8" s="10" t="s">
        <v>58</v>
      </c>
      <c r="D8" s="62" t="s">
        <v>59</v>
      </c>
      <c r="E8" s="28">
        <v>41869</v>
      </c>
      <c r="F8" s="26" t="s">
        <v>60</v>
      </c>
      <c r="G8" s="10" t="s">
        <v>61</v>
      </c>
      <c r="H8" s="10" t="s">
        <v>62</v>
      </c>
      <c r="I8" s="10" t="s">
        <v>35</v>
      </c>
      <c r="J8" s="27">
        <v>801.22</v>
      </c>
      <c r="K8" s="28">
        <v>41776</v>
      </c>
      <c r="L8" s="10" t="s">
        <v>63</v>
      </c>
      <c r="M8" s="10" t="s">
        <v>29</v>
      </c>
      <c r="N8" s="10" t="s">
        <v>64</v>
      </c>
      <c r="O8" s="12" t="s">
        <v>65</v>
      </c>
      <c r="P8" s="31">
        <v>177000</v>
      </c>
      <c r="Q8" s="56">
        <f t="shared" si="5"/>
        <v>19727358</v>
      </c>
      <c r="R8" s="33" t="s">
        <v>27</v>
      </c>
      <c r="S8" s="61">
        <v>111.45399999999999</v>
      </c>
      <c r="T8" s="34">
        <f t="shared" ref="T8:T9" si="8">SUM(K8)+89</f>
        <v>41865</v>
      </c>
      <c r="U8" s="10" t="s">
        <v>66</v>
      </c>
      <c r="V8" s="57">
        <f t="shared" si="7"/>
        <v>23672.829599999997</v>
      </c>
      <c r="W8" s="23">
        <v>155.72999999999999</v>
      </c>
      <c r="X8" s="56">
        <f t="shared" si="3"/>
        <v>3686569.7536079995</v>
      </c>
      <c r="Y8" s="58">
        <v>3686569.76</v>
      </c>
      <c r="Z8" s="34">
        <v>41863</v>
      </c>
      <c r="AA8" s="59">
        <v>28284</v>
      </c>
      <c r="AB8" s="86" t="s">
        <v>67</v>
      </c>
    </row>
    <row r="9" spans="2:28" ht="20.25" customHeight="1">
      <c r="B9" s="22">
        <f t="shared" si="4"/>
        <v>5</v>
      </c>
      <c r="C9" s="10" t="s">
        <v>68</v>
      </c>
      <c r="D9" s="62" t="s">
        <v>59</v>
      </c>
      <c r="E9" s="28">
        <v>41869</v>
      </c>
      <c r="F9" s="26" t="s">
        <v>71</v>
      </c>
      <c r="G9" s="10" t="s">
        <v>61</v>
      </c>
      <c r="H9" s="10" t="s">
        <v>62</v>
      </c>
      <c r="I9" s="10" t="s">
        <v>35</v>
      </c>
      <c r="J9" s="27">
        <v>801.22</v>
      </c>
      <c r="K9" s="28">
        <v>41776</v>
      </c>
      <c r="L9" s="10" t="s">
        <v>63</v>
      </c>
      <c r="M9" s="10" t="s">
        <v>29</v>
      </c>
      <c r="N9" s="10" t="s">
        <v>69</v>
      </c>
      <c r="O9" s="12" t="s">
        <v>70</v>
      </c>
      <c r="P9" s="31">
        <v>59000</v>
      </c>
      <c r="Q9" s="56">
        <f t="shared" si="5"/>
        <v>6575786</v>
      </c>
      <c r="R9" s="33" t="s">
        <v>27</v>
      </c>
      <c r="S9" s="61">
        <v>111.45399999999999</v>
      </c>
      <c r="T9" s="34">
        <f t="shared" si="8"/>
        <v>41865</v>
      </c>
      <c r="U9" s="10" t="s">
        <v>66</v>
      </c>
      <c r="V9" s="57">
        <f t="shared" si="7"/>
        <v>7890.9431999999997</v>
      </c>
      <c r="W9" s="23">
        <v>155.72999999999999</v>
      </c>
      <c r="X9" s="56">
        <f t="shared" si="3"/>
        <v>1228856.5845359999</v>
      </c>
      <c r="Y9" s="58">
        <v>1228856.58</v>
      </c>
      <c r="Z9" s="34">
        <v>41863</v>
      </c>
      <c r="AA9" s="59">
        <v>28284</v>
      </c>
      <c r="AB9" s="86"/>
    </row>
    <row r="10" spans="2:28" ht="19.5" customHeight="1">
      <c r="B10" s="22">
        <f t="shared" si="4"/>
        <v>6</v>
      </c>
      <c r="C10" s="10" t="s">
        <v>72</v>
      </c>
      <c r="D10" s="10" t="s">
        <v>73</v>
      </c>
      <c r="E10" s="25">
        <v>41869</v>
      </c>
      <c r="F10" s="26" t="s">
        <v>74</v>
      </c>
      <c r="G10" s="10" t="s">
        <v>57</v>
      </c>
      <c r="H10" s="10" t="s">
        <v>75</v>
      </c>
      <c r="I10" s="10" t="s">
        <v>35</v>
      </c>
      <c r="J10" s="27">
        <v>801.22</v>
      </c>
      <c r="K10" s="28">
        <v>41812</v>
      </c>
      <c r="L10" s="29" t="s">
        <v>76</v>
      </c>
      <c r="M10" s="29" t="s">
        <v>29</v>
      </c>
      <c r="N10" s="10" t="s">
        <v>77</v>
      </c>
      <c r="O10" s="12" t="s">
        <v>78</v>
      </c>
      <c r="P10" s="60">
        <v>208000</v>
      </c>
      <c r="Q10" s="56">
        <f t="shared" si="5"/>
        <v>23904400</v>
      </c>
      <c r="R10" s="33" t="s">
        <v>27</v>
      </c>
      <c r="S10" s="61">
        <v>114.925</v>
      </c>
      <c r="T10" s="34">
        <f t="shared" ref="T10:T11" si="9">SUM(K10)+89</f>
        <v>41901</v>
      </c>
      <c r="U10" s="12" t="s">
        <v>28</v>
      </c>
      <c r="V10" s="35">
        <f t="shared" ref="V10:V11" si="10">SUM(Q10*0.12%)</f>
        <v>28685.279999999999</v>
      </c>
      <c r="W10" s="23">
        <v>155.72999999999999</v>
      </c>
      <c r="X10" s="56">
        <f t="shared" si="3"/>
        <v>4467158.6543999994</v>
      </c>
      <c r="Y10" s="58">
        <v>4674266.38</v>
      </c>
      <c r="Z10" s="34">
        <v>41865</v>
      </c>
      <c r="AA10" s="59">
        <v>8867</v>
      </c>
      <c r="AB10" s="72"/>
    </row>
    <row r="11" spans="2:28" ht="25.5" customHeight="1">
      <c r="B11" s="22">
        <f t="shared" si="4"/>
        <v>7</v>
      </c>
      <c r="C11" s="10" t="s">
        <v>79</v>
      </c>
      <c r="D11" s="10" t="s">
        <v>80</v>
      </c>
      <c r="E11" s="25">
        <v>41869</v>
      </c>
      <c r="F11" s="26" t="s">
        <v>81</v>
      </c>
      <c r="G11" s="10" t="s">
        <v>57</v>
      </c>
      <c r="H11" s="10" t="s">
        <v>75</v>
      </c>
      <c r="I11" s="10" t="s">
        <v>35</v>
      </c>
      <c r="J11" s="27">
        <v>801.22</v>
      </c>
      <c r="K11" s="28">
        <v>41812</v>
      </c>
      <c r="L11" s="29" t="s">
        <v>76</v>
      </c>
      <c r="M11" s="29" t="s">
        <v>29</v>
      </c>
      <c r="N11" s="10" t="s">
        <v>77</v>
      </c>
      <c r="O11" s="12" t="s">
        <v>82</v>
      </c>
      <c r="P11" s="60">
        <v>124000</v>
      </c>
      <c r="Q11" s="56">
        <f t="shared" si="5"/>
        <v>14250700</v>
      </c>
      <c r="R11" s="33" t="s">
        <v>27</v>
      </c>
      <c r="S11" s="61">
        <v>114.925</v>
      </c>
      <c r="T11" s="34">
        <f t="shared" si="9"/>
        <v>41901</v>
      </c>
      <c r="U11" s="12" t="s">
        <v>28</v>
      </c>
      <c r="V11" s="35">
        <f t="shared" si="10"/>
        <v>17100.84</v>
      </c>
      <c r="W11" s="23">
        <v>155.72999999999999</v>
      </c>
      <c r="X11" s="56">
        <f t="shared" si="3"/>
        <v>2663113.8131999997</v>
      </c>
      <c r="Y11" s="58">
        <v>2786581.87</v>
      </c>
      <c r="Z11" s="34">
        <v>41865</v>
      </c>
      <c r="AA11" s="59">
        <v>8867</v>
      </c>
      <c r="AB11" s="72"/>
    </row>
    <row r="12" spans="2:28" ht="25.5" customHeight="1">
      <c r="B12" s="22">
        <f t="shared" si="4"/>
        <v>8</v>
      </c>
      <c r="C12" s="10" t="s">
        <v>83</v>
      </c>
      <c r="D12" s="62" t="s">
        <v>84</v>
      </c>
      <c r="E12" s="41">
        <v>41876</v>
      </c>
      <c r="F12" s="26" t="s">
        <v>85</v>
      </c>
      <c r="G12" s="10" t="s">
        <v>61</v>
      </c>
      <c r="H12" s="10" t="s">
        <v>86</v>
      </c>
      <c r="I12" s="10" t="s">
        <v>35</v>
      </c>
      <c r="J12" s="27">
        <v>801.22</v>
      </c>
      <c r="K12" s="28">
        <v>41812</v>
      </c>
      <c r="L12" s="29" t="s">
        <v>76</v>
      </c>
      <c r="M12" s="29" t="s">
        <v>29</v>
      </c>
      <c r="N12" s="10" t="s">
        <v>77</v>
      </c>
      <c r="O12" s="12" t="s">
        <v>82</v>
      </c>
      <c r="P12" s="60">
        <v>326000</v>
      </c>
      <c r="Q12" s="56">
        <f t="shared" si="5"/>
        <v>37059354</v>
      </c>
      <c r="R12" s="33" t="s">
        <v>27</v>
      </c>
      <c r="S12" s="61">
        <v>113.679</v>
      </c>
      <c r="T12" s="34">
        <f t="shared" ref="T12" si="11">SUM(K12)+89</f>
        <v>41901</v>
      </c>
      <c r="U12" s="12" t="s">
        <v>66</v>
      </c>
      <c r="V12" s="35">
        <f t="shared" ref="V12" si="12">SUM(Q12*0.12%)</f>
        <v>44471.224799999996</v>
      </c>
      <c r="W12" s="23">
        <v>155.72999999999999</v>
      </c>
      <c r="X12" s="56">
        <f t="shared" si="3"/>
        <v>6925503.8381039994</v>
      </c>
      <c r="Y12" s="58">
        <v>6925503.8399999999</v>
      </c>
      <c r="Z12" s="34">
        <v>41872</v>
      </c>
      <c r="AA12" s="59">
        <v>28292</v>
      </c>
      <c r="AB12" s="72"/>
    </row>
    <row r="13" spans="2:28" ht="25.5" customHeight="1">
      <c r="B13" s="22">
        <f t="shared" si="4"/>
        <v>9</v>
      </c>
      <c r="C13" s="10" t="s">
        <v>87</v>
      </c>
      <c r="D13" s="12" t="s">
        <v>88</v>
      </c>
      <c r="E13" s="25">
        <v>41876</v>
      </c>
      <c r="F13" s="26" t="s">
        <v>89</v>
      </c>
      <c r="G13" s="10" t="s">
        <v>34</v>
      </c>
      <c r="H13" s="10" t="s">
        <v>31</v>
      </c>
      <c r="I13" s="10" t="s">
        <v>35</v>
      </c>
      <c r="J13" s="27">
        <v>801.22</v>
      </c>
      <c r="K13" s="28">
        <v>41793</v>
      </c>
      <c r="L13" s="29" t="s">
        <v>90</v>
      </c>
      <c r="M13" s="29" t="s">
        <v>29</v>
      </c>
      <c r="N13" s="10" t="s">
        <v>91</v>
      </c>
      <c r="O13" s="12" t="s">
        <v>92</v>
      </c>
      <c r="P13" s="60">
        <v>149638</v>
      </c>
      <c r="Q13" s="56">
        <f t="shared" si="5"/>
        <v>16966854.267999999</v>
      </c>
      <c r="R13" s="33" t="s">
        <v>27</v>
      </c>
      <c r="S13" s="9">
        <v>113.386</v>
      </c>
      <c r="T13" s="34">
        <f t="shared" ref="T13:T15" si="13">SUM(K13)+89</f>
        <v>41882</v>
      </c>
      <c r="U13" s="10" t="s">
        <v>28</v>
      </c>
      <c r="V13" s="35">
        <f t="shared" ref="V13:V20" si="14">SUM(Q13*0.12%)</f>
        <v>20360.225121599997</v>
      </c>
      <c r="W13" s="23">
        <v>155.72999999999999</v>
      </c>
      <c r="X13" s="56">
        <f t="shared" si="3"/>
        <v>3170697.8581867674</v>
      </c>
      <c r="Y13" s="58">
        <v>3150338.38</v>
      </c>
      <c r="Z13" s="34">
        <v>41873</v>
      </c>
      <c r="AA13" s="59">
        <v>11240</v>
      </c>
      <c r="AB13" s="72"/>
    </row>
    <row r="14" spans="2:28" ht="19.5" customHeight="1">
      <c r="B14" s="22">
        <f t="shared" si="4"/>
        <v>10</v>
      </c>
      <c r="C14" s="10" t="s">
        <v>93</v>
      </c>
      <c r="D14" s="12" t="s">
        <v>94</v>
      </c>
      <c r="E14" s="34">
        <v>41876</v>
      </c>
      <c r="F14" s="26" t="s">
        <v>95</v>
      </c>
      <c r="G14" s="10" t="s">
        <v>34</v>
      </c>
      <c r="H14" s="29" t="s">
        <v>96</v>
      </c>
      <c r="I14" s="10" t="s">
        <v>35</v>
      </c>
      <c r="J14" s="27">
        <v>801.22</v>
      </c>
      <c r="K14" s="28">
        <v>41812</v>
      </c>
      <c r="L14" s="29" t="s">
        <v>76</v>
      </c>
      <c r="M14" s="29" t="s">
        <v>29</v>
      </c>
      <c r="N14" s="10" t="s">
        <v>77</v>
      </c>
      <c r="O14" s="12" t="s">
        <v>78</v>
      </c>
      <c r="P14" s="60">
        <v>80000</v>
      </c>
      <c r="Q14" s="56">
        <f t="shared" si="5"/>
        <v>9096720</v>
      </c>
      <c r="R14" s="33" t="s">
        <v>27</v>
      </c>
      <c r="S14" s="61">
        <v>113.709</v>
      </c>
      <c r="T14" s="34">
        <f t="shared" si="13"/>
        <v>41901</v>
      </c>
      <c r="U14" s="12" t="s">
        <v>28</v>
      </c>
      <c r="V14" s="35">
        <f t="shared" si="14"/>
        <v>10916.063999999998</v>
      </c>
      <c r="W14" s="23">
        <v>155.72999999999999</v>
      </c>
      <c r="X14" s="56">
        <f t="shared" si="3"/>
        <v>1699958.6467199996</v>
      </c>
      <c r="Y14" s="58">
        <v>1689041.96</v>
      </c>
      <c r="Z14" s="34">
        <v>41873</v>
      </c>
      <c r="AA14" s="59">
        <v>11242</v>
      </c>
      <c r="AB14" s="72"/>
    </row>
    <row r="15" spans="2:28" ht="21.75" customHeight="1">
      <c r="B15" s="22">
        <f t="shared" si="4"/>
        <v>11</v>
      </c>
      <c r="C15" s="10" t="s">
        <v>97</v>
      </c>
      <c r="D15" s="12" t="s">
        <v>98</v>
      </c>
      <c r="E15" s="25">
        <v>41876</v>
      </c>
      <c r="F15" s="26" t="s">
        <v>99</v>
      </c>
      <c r="G15" s="10" t="s">
        <v>34</v>
      </c>
      <c r="H15" s="29" t="s">
        <v>31</v>
      </c>
      <c r="I15" s="10" t="s">
        <v>35</v>
      </c>
      <c r="J15" s="27">
        <v>801.22</v>
      </c>
      <c r="K15" s="28">
        <v>41812</v>
      </c>
      <c r="L15" s="29" t="s">
        <v>76</v>
      </c>
      <c r="M15" s="29" t="s">
        <v>29</v>
      </c>
      <c r="N15" s="10" t="s">
        <v>77</v>
      </c>
      <c r="O15" s="12" t="s">
        <v>78</v>
      </c>
      <c r="P15" s="60">
        <v>242344</v>
      </c>
      <c r="Q15" s="56">
        <f t="shared" si="5"/>
        <v>27462349.376800001</v>
      </c>
      <c r="R15" s="33" t="s">
        <v>27</v>
      </c>
      <c r="S15" s="64">
        <v>113.3197</v>
      </c>
      <c r="T15" s="34">
        <f t="shared" si="13"/>
        <v>41901</v>
      </c>
      <c r="U15" s="12" t="s">
        <v>28</v>
      </c>
      <c r="V15" s="35">
        <f t="shared" si="14"/>
        <v>32954.819252159999</v>
      </c>
      <c r="W15" s="23">
        <v>155.72999999999999</v>
      </c>
      <c r="X15" s="56">
        <f t="shared" si="3"/>
        <v>5132054.0021388764</v>
      </c>
      <c r="Y15" s="58">
        <v>5099099.29</v>
      </c>
      <c r="Z15" s="34">
        <v>41873</v>
      </c>
      <c r="AA15" s="59">
        <v>11241</v>
      </c>
      <c r="AB15" s="72"/>
    </row>
    <row r="16" spans="2:28" ht="93.75" customHeight="1">
      <c r="B16" s="22">
        <f t="shared" si="4"/>
        <v>12</v>
      </c>
      <c r="C16" s="10" t="s">
        <v>100</v>
      </c>
      <c r="D16" s="10" t="s">
        <v>101</v>
      </c>
      <c r="E16" s="28">
        <v>41879</v>
      </c>
      <c r="F16" s="46" t="s">
        <v>102</v>
      </c>
      <c r="G16" s="10" t="s">
        <v>57</v>
      </c>
      <c r="H16" s="10" t="s">
        <v>103</v>
      </c>
      <c r="I16" s="10" t="s">
        <v>35</v>
      </c>
      <c r="J16" s="27">
        <v>801.22</v>
      </c>
      <c r="K16" s="25">
        <v>41729</v>
      </c>
      <c r="L16" s="10" t="s">
        <v>38</v>
      </c>
      <c r="M16" s="10" t="s">
        <v>29</v>
      </c>
      <c r="N16" s="10" t="s">
        <v>30</v>
      </c>
      <c r="O16" s="10" t="s">
        <v>39</v>
      </c>
      <c r="P16" s="31">
        <v>355000</v>
      </c>
      <c r="Q16" s="56">
        <f t="shared" si="5"/>
        <v>37800045</v>
      </c>
      <c r="R16" s="33" t="s">
        <v>27</v>
      </c>
      <c r="S16" s="61">
        <v>106.479</v>
      </c>
      <c r="T16" s="34">
        <f t="shared" ref="T16" si="15">SUM(K16)+89</f>
        <v>41818</v>
      </c>
      <c r="U16" s="10" t="s">
        <v>28</v>
      </c>
      <c r="V16" s="57">
        <f t="shared" si="14"/>
        <v>45360.053999999996</v>
      </c>
      <c r="W16" s="23">
        <v>155.74</v>
      </c>
      <c r="X16" s="56">
        <f t="shared" si="3"/>
        <v>7064374.8099600002</v>
      </c>
      <c r="Y16" s="58">
        <v>7286180.9400000004</v>
      </c>
      <c r="Z16" s="34">
        <v>41787</v>
      </c>
      <c r="AA16" s="59">
        <v>7715</v>
      </c>
      <c r="AB16" s="10" t="s">
        <v>104</v>
      </c>
    </row>
    <row r="17" spans="2:28" ht="21.75" customHeight="1">
      <c r="B17" s="22">
        <f t="shared" si="4"/>
        <v>13</v>
      </c>
      <c r="C17" s="10" t="s">
        <v>105</v>
      </c>
      <c r="D17" s="10" t="s">
        <v>106</v>
      </c>
      <c r="E17" s="25">
        <v>41879</v>
      </c>
      <c r="F17" s="26" t="s">
        <v>107</v>
      </c>
      <c r="G17" s="10" t="s">
        <v>108</v>
      </c>
      <c r="H17" s="10" t="s">
        <v>109</v>
      </c>
      <c r="I17" s="10" t="s">
        <v>35</v>
      </c>
      <c r="J17" s="27">
        <v>801.22</v>
      </c>
      <c r="K17" s="28">
        <v>41844</v>
      </c>
      <c r="L17" s="29" t="s">
        <v>110</v>
      </c>
      <c r="M17" s="29" t="s">
        <v>29</v>
      </c>
      <c r="N17" s="10" t="s">
        <v>64</v>
      </c>
      <c r="O17" s="12" t="s">
        <v>111</v>
      </c>
      <c r="P17" s="60">
        <v>47000</v>
      </c>
      <c r="Q17" s="56">
        <f t="shared" si="5"/>
        <v>5070219</v>
      </c>
      <c r="R17" s="33" t="s">
        <v>27</v>
      </c>
      <c r="S17" s="61">
        <v>107.877</v>
      </c>
      <c r="T17" s="34">
        <f t="shared" ref="T17:T19" si="16">SUM(K17)+89</f>
        <v>41933</v>
      </c>
      <c r="U17" s="10" t="s">
        <v>108</v>
      </c>
      <c r="V17" s="57">
        <f t="shared" si="14"/>
        <v>6084.2627999999995</v>
      </c>
      <c r="W17" s="23">
        <v>155.72999999999999</v>
      </c>
      <c r="X17" s="56">
        <f t="shared" si="3"/>
        <v>947502.2458439999</v>
      </c>
      <c r="Y17" s="58">
        <v>947502.25</v>
      </c>
      <c r="Z17" s="34">
        <v>41877</v>
      </c>
      <c r="AA17" s="59">
        <v>4418</v>
      </c>
      <c r="AB17" s="72"/>
    </row>
    <row r="18" spans="2:28" ht="21.75" customHeight="1">
      <c r="B18" s="22">
        <f t="shared" si="4"/>
        <v>14</v>
      </c>
      <c r="C18" s="10" t="s">
        <v>112</v>
      </c>
      <c r="D18" s="10" t="s">
        <v>113</v>
      </c>
      <c r="E18" s="25">
        <v>41879</v>
      </c>
      <c r="F18" s="26" t="s">
        <v>114</v>
      </c>
      <c r="G18" s="10" t="s">
        <v>108</v>
      </c>
      <c r="H18" s="10" t="s">
        <v>109</v>
      </c>
      <c r="I18" s="10" t="s">
        <v>35</v>
      </c>
      <c r="J18" s="27">
        <v>801.22</v>
      </c>
      <c r="K18" s="28">
        <v>41844</v>
      </c>
      <c r="L18" s="29" t="s">
        <v>110</v>
      </c>
      <c r="M18" s="29" t="s">
        <v>29</v>
      </c>
      <c r="N18" s="10" t="s">
        <v>64</v>
      </c>
      <c r="O18" s="12" t="s">
        <v>111</v>
      </c>
      <c r="P18" s="60">
        <v>40000</v>
      </c>
      <c r="Q18" s="56">
        <f t="shared" si="5"/>
        <v>4315080</v>
      </c>
      <c r="R18" s="33" t="s">
        <v>27</v>
      </c>
      <c r="S18" s="61">
        <v>107.877</v>
      </c>
      <c r="T18" s="34">
        <f t="shared" si="16"/>
        <v>41933</v>
      </c>
      <c r="U18" s="10" t="s">
        <v>108</v>
      </c>
      <c r="V18" s="57">
        <f t="shared" si="14"/>
        <v>5178.0959999999995</v>
      </c>
      <c r="W18" s="23">
        <v>155.72999999999999</v>
      </c>
      <c r="X18" s="56">
        <f t="shared" si="3"/>
        <v>806384.89007999992</v>
      </c>
      <c r="Y18" s="58">
        <v>806384.89</v>
      </c>
      <c r="Z18" s="34">
        <v>41877</v>
      </c>
      <c r="AA18" s="59">
        <v>4419</v>
      </c>
      <c r="AB18" s="72"/>
    </row>
    <row r="19" spans="2:28" ht="21.75" customHeight="1">
      <c r="B19" s="22">
        <f t="shared" si="4"/>
        <v>15</v>
      </c>
      <c r="C19" s="10" t="s">
        <v>115</v>
      </c>
      <c r="D19" s="10" t="s">
        <v>116</v>
      </c>
      <c r="E19" s="25">
        <v>41879</v>
      </c>
      <c r="F19" s="26" t="s">
        <v>117</v>
      </c>
      <c r="G19" s="10" t="s">
        <v>118</v>
      </c>
      <c r="H19" s="10" t="s">
        <v>109</v>
      </c>
      <c r="I19" s="10" t="s">
        <v>35</v>
      </c>
      <c r="J19" s="27">
        <v>801.22</v>
      </c>
      <c r="K19" s="28">
        <v>41844</v>
      </c>
      <c r="L19" s="29" t="s">
        <v>110</v>
      </c>
      <c r="M19" s="29" t="s">
        <v>29</v>
      </c>
      <c r="N19" s="10" t="s">
        <v>64</v>
      </c>
      <c r="O19" s="12" t="s">
        <v>111</v>
      </c>
      <c r="P19" s="60">
        <v>54000</v>
      </c>
      <c r="Q19" s="56">
        <f t="shared" si="5"/>
        <v>5825358</v>
      </c>
      <c r="R19" s="33" t="s">
        <v>27</v>
      </c>
      <c r="S19" s="61">
        <v>107.877</v>
      </c>
      <c r="T19" s="34">
        <f t="shared" si="16"/>
        <v>41933</v>
      </c>
      <c r="U19" s="10" t="s">
        <v>108</v>
      </c>
      <c r="V19" s="57">
        <f t="shared" si="14"/>
        <v>6990.4295999999995</v>
      </c>
      <c r="W19" s="23">
        <v>155.72999999999999</v>
      </c>
      <c r="X19" s="56">
        <f t="shared" si="3"/>
        <v>1088619.6016079998</v>
      </c>
      <c r="Y19" s="58">
        <v>1088619.6000000001</v>
      </c>
      <c r="Z19" s="34">
        <v>41877</v>
      </c>
      <c r="AA19" s="59">
        <v>4420</v>
      </c>
      <c r="AB19" s="72"/>
    </row>
    <row r="20" spans="2:28" ht="20.25" customHeight="1">
      <c r="B20" s="22">
        <f t="shared" si="4"/>
        <v>16</v>
      </c>
      <c r="C20" s="10" t="s">
        <v>119</v>
      </c>
      <c r="D20" s="12" t="s">
        <v>120</v>
      </c>
      <c r="E20" s="28">
        <v>41880</v>
      </c>
      <c r="F20" s="46" t="s">
        <v>121</v>
      </c>
      <c r="G20" s="10" t="s">
        <v>34</v>
      </c>
      <c r="H20" s="10" t="s">
        <v>31</v>
      </c>
      <c r="I20" s="10" t="s">
        <v>35</v>
      </c>
      <c r="J20" s="27">
        <v>801.22</v>
      </c>
      <c r="K20" s="25">
        <v>41655</v>
      </c>
      <c r="L20" s="10" t="s">
        <v>122</v>
      </c>
      <c r="M20" s="10" t="s">
        <v>29</v>
      </c>
      <c r="N20" s="10" t="s">
        <v>123</v>
      </c>
      <c r="O20" s="12" t="s">
        <v>124</v>
      </c>
      <c r="P20" s="31">
        <v>120284</v>
      </c>
      <c r="Q20" s="56">
        <f t="shared" ref="Q20" si="17">SUM(P20*S20)</f>
        <v>13193711.392000001</v>
      </c>
      <c r="R20" s="33" t="s">
        <v>27</v>
      </c>
      <c r="S20" s="9">
        <v>109.688</v>
      </c>
      <c r="T20" s="34">
        <f t="shared" ref="T20" si="18">SUM(K20)+89</f>
        <v>41744</v>
      </c>
      <c r="U20" s="10" t="s">
        <v>28</v>
      </c>
      <c r="V20" s="57">
        <f t="shared" si="14"/>
        <v>15832.4536704</v>
      </c>
      <c r="W20" s="23">
        <v>155.75</v>
      </c>
      <c r="X20" s="56">
        <f t="shared" si="3"/>
        <v>2465904.6591647998</v>
      </c>
      <c r="Y20" s="58">
        <v>2449596.66</v>
      </c>
      <c r="Z20" s="34">
        <v>41719</v>
      </c>
      <c r="AA20" s="59">
        <v>9345</v>
      </c>
      <c r="AB20" s="72"/>
    </row>
    <row r="21" spans="2:28" ht="20.25" customHeight="1">
      <c r="B21" s="22">
        <f t="shared" si="4"/>
        <v>17</v>
      </c>
      <c r="C21" s="10" t="s">
        <v>125</v>
      </c>
      <c r="D21" s="25" t="s">
        <v>126</v>
      </c>
      <c r="E21" s="25">
        <v>41882</v>
      </c>
      <c r="F21" s="26" t="s">
        <v>127</v>
      </c>
      <c r="G21" s="10" t="s">
        <v>128</v>
      </c>
      <c r="H21" s="10" t="s">
        <v>129</v>
      </c>
      <c r="I21" s="10" t="s">
        <v>130</v>
      </c>
      <c r="J21" s="27">
        <v>801.22</v>
      </c>
      <c r="K21" s="28">
        <v>41857</v>
      </c>
      <c r="L21" s="29" t="s">
        <v>131</v>
      </c>
      <c r="M21" s="29" t="s">
        <v>132</v>
      </c>
      <c r="N21" s="10" t="s">
        <v>133</v>
      </c>
      <c r="O21" s="12" t="s">
        <v>134</v>
      </c>
      <c r="P21" s="31">
        <v>950202</v>
      </c>
      <c r="Q21" s="32">
        <f t="shared" ref="Q21:Q26" si="19">SUM(P21*S21)</f>
        <v>98874219.311999992</v>
      </c>
      <c r="R21" s="33" t="s">
        <v>27</v>
      </c>
      <c r="S21" s="9">
        <v>104.056</v>
      </c>
      <c r="T21" s="34">
        <f t="shared" ref="T21:T26" si="20">SUM(K21)+89</f>
        <v>41946</v>
      </c>
      <c r="U21" s="10" t="s">
        <v>128</v>
      </c>
      <c r="V21" s="35">
        <f t="shared" ref="V21:V26" si="21">SUM(Q21*0.12%)</f>
        <v>118649.06317439998</v>
      </c>
      <c r="W21" s="23">
        <v>155.72999999999999</v>
      </c>
      <c r="X21" s="32">
        <f t="shared" si="3"/>
        <v>18477218.608149309</v>
      </c>
      <c r="Y21" s="37">
        <f t="shared" ref="Y21:Y26" si="22">X21</f>
        <v>18477218.608149309</v>
      </c>
      <c r="Z21" s="23"/>
      <c r="AA21" s="23"/>
      <c r="AB21" s="72"/>
    </row>
    <row r="22" spans="2:28" ht="20.25" customHeight="1">
      <c r="B22" s="22">
        <f t="shared" si="4"/>
        <v>18</v>
      </c>
      <c r="C22" s="10" t="s">
        <v>135</v>
      </c>
      <c r="D22" s="25" t="s">
        <v>136</v>
      </c>
      <c r="E22" s="25">
        <v>41882</v>
      </c>
      <c r="F22" s="26" t="s">
        <v>137</v>
      </c>
      <c r="G22" s="10" t="s">
        <v>128</v>
      </c>
      <c r="H22" s="10" t="s">
        <v>129</v>
      </c>
      <c r="I22" s="10" t="s">
        <v>138</v>
      </c>
      <c r="J22" s="27">
        <v>801.22</v>
      </c>
      <c r="K22" s="28">
        <v>41861</v>
      </c>
      <c r="L22" s="29" t="s">
        <v>139</v>
      </c>
      <c r="M22" s="29" t="s">
        <v>140</v>
      </c>
      <c r="N22" s="10" t="s">
        <v>141</v>
      </c>
      <c r="O22" s="12" t="s">
        <v>142</v>
      </c>
      <c r="P22" s="31">
        <v>899711</v>
      </c>
      <c r="Q22" s="32">
        <f t="shared" si="19"/>
        <v>93354013.359999999</v>
      </c>
      <c r="R22" s="33" t="s">
        <v>27</v>
      </c>
      <c r="S22" s="9">
        <v>103.76</v>
      </c>
      <c r="T22" s="34">
        <f t="shared" si="20"/>
        <v>41950</v>
      </c>
      <c r="U22" s="10" t="s">
        <v>128</v>
      </c>
      <c r="V22" s="35">
        <f t="shared" si="21"/>
        <v>112024.81603199999</v>
      </c>
      <c r="W22" s="23">
        <v>155.72999999999999</v>
      </c>
      <c r="X22" s="32">
        <f t="shared" si="3"/>
        <v>17445624.600663356</v>
      </c>
      <c r="Y22" s="37">
        <f t="shared" si="22"/>
        <v>17445624.600663356</v>
      </c>
      <c r="Z22" s="23"/>
      <c r="AA22" s="23"/>
      <c r="AB22" s="72"/>
    </row>
    <row r="23" spans="2:28" ht="20.25" customHeight="1">
      <c r="B23" s="22">
        <f t="shared" si="4"/>
        <v>19</v>
      </c>
      <c r="C23" s="10" t="s">
        <v>143</v>
      </c>
      <c r="D23" s="25" t="s">
        <v>144</v>
      </c>
      <c r="E23" s="25">
        <v>41882</v>
      </c>
      <c r="F23" s="26" t="s">
        <v>145</v>
      </c>
      <c r="G23" s="10" t="s">
        <v>128</v>
      </c>
      <c r="H23" s="10" t="s">
        <v>129</v>
      </c>
      <c r="I23" s="10" t="s">
        <v>35</v>
      </c>
      <c r="J23" s="27">
        <v>801.22</v>
      </c>
      <c r="K23" s="28">
        <v>41864</v>
      </c>
      <c r="L23" s="29" t="s">
        <v>146</v>
      </c>
      <c r="M23" s="29" t="s">
        <v>29</v>
      </c>
      <c r="N23" s="10" t="s">
        <v>123</v>
      </c>
      <c r="O23" s="12" t="s">
        <v>124</v>
      </c>
      <c r="P23" s="31">
        <v>949173</v>
      </c>
      <c r="Q23" s="32">
        <f t="shared" si="19"/>
        <v>96523300.715999991</v>
      </c>
      <c r="R23" s="33" t="s">
        <v>27</v>
      </c>
      <c r="S23" s="9">
        <v>101.69199999999999</v>
      </c>
      <c r="T23" s="34">
        <f t="shared" si="20"/>
        <v>41953</v>
      </c>
      <c r="U23" s="10" t="s">
        <v>128</v>
      </c>
      <c r="V23" s="35">
        <f t="shared" si="21"/>
        <v>115827.96085919999</v>
      </c>
      <c r="W23" s="23">
        <v>155.72999999999999</v>
      </c>
      <c r="X23" s="32">
        <f t="shared" si="3"/>
        <v>18037888.344603214</v>
      </c>
      <c r="Y23" s="37">
        <f t="shared" si="22"/>
        <v>18037888.344603214</v>
      </c>
      <c r="Z23" s="23"/>
      <c r="AA23" s="23"/>
      <c r="AB23" s="72"/>
    </row>
    <row r="24" spans="2:28" ht="20.25" customHeight="1">
      <c r="B24" s="22">
        <f t="shared" si="4"/>
        <v>20</v>
      </c>
      <c r="C24" s="10" t="s">
        <v>147</v>
      </c>
      <c r="D24" s="25" t="s">
        <v>148</v>
      </c>
      <c r="E24" s="25">
        <v>41882</v>
      </c>
      <c r="F24" s="11" t="s">
        <v>149</v>
      </c>
      <c r="G24" s="10" t="s">
        <v>128</v>
      </c>
      <c r="H24" s="10" t="s">
        <v>129</v>
      </c>
      <c r="I24" s="10" t="s">
        <v>130</v>
      </c>
      <c r="J24" s="27">
        <v>801.22</v>
      </c>
      <c r="K24" s="25">
        <v>41874</v>
      </c>
      <c r="L24" s="10" t="s">
        <v>150</v>
      </c>
      <c r="M24" s="10" t="s">
        <v>132</v>
      </c>
      <c r="N24" s="10" t="s">
        <v>55</v>
      </c>
      <c r="O24" s="12" t="s">
        <v>151</v>
      </c>
      <c r="P24" s="31">
        <v>950274</v>
      </c>
      <c r="Q24" s="32">
        <f t="shared" si="19"/>
        <v>96485690.480399996</v>
      </c>
      <c r="R24" s="33" t="s">
        <v>27</v>
      </c>
      <c r="S24" s="61">
        <v>101.5346</v>
      </c>
      <c r="T24" s="34">
        <f t="shared" si="20"/>
        <v>41963</v>
      </c>
      <c r="U24" s="10" t="s">
        <v>128</v>
      </c>
      <c r="V24" s="35">
        <f t="shared" si="21"/>
        <v>115782.82857647998</v>
      </c>
      <c r="W24" s="23">
        <v>155.72999999999999</v>
      </c>
      <c r="X24" s="32">
        <f t="shared" si="3"/>
        <v>18030859.894215226</v>
      </c>
      <c r="Y24" s="37">
        <f t="shared" si="22"/>
        <v>18030859.894215226</v>
      </c>
      <c r="Z24" s="23"/>
      <c r="AA24" s="23"/>
      <c r="AB24" s="72"/>
    </row>
    <row r="25" spans="2:28" ht="20.25" customHeight="1">
      <c r="B25" s="22">
        <f t="shared" si="4"/>
        <v>21</v>
      </c>
      <c r="C25" s="10" t="s">
        <v>152</v>
      </c>
      <c r="D25" s="25" t="s">
        <v>153</v>
      </c>
      <c r="E25" s="25">
        <v>41882</v>
      </c>
      <c r="F25" s="46" t="s">
        <v>154</v>
      </c>
      <c r="G25" s="10" t="s">
        <v>128</v>
      </c>
      <c r="H25" s="10" t="s">
        <v>129</v>
      </c>
      <c r="I25" s="10" t="s">
        <v>35</v>
      </c>
      <c r="J25" s="27">
        <v>801.22</v>
      </c>
      <c r="K25" s="25">
        <v>41882</v>
      </c>
      <c r="L25" s="10" t="s">
        <v>155</v>
      </c>
      <c r="M25" s="10" t="s">
        <v>29</v>
      </c>
      <c r="N25" s="10" t="s">
        <v>156</v>
      </c>
      <c r="O25" s="12" t="s">
        <v>157</v>
      </c>
      <c r="P25" s="31">
        <v>24000</v>
      </c>
      <c r="Q25" s="32">
        <f t="shared" si="19"/>
        <v>2427648</v>
      </c>
      <c r="R25" s="33" t="s">
        <v>27</v>
      </c>
      <c r="S25" s="61">
        <v>101.152</v>
      </c>
      <c r="T25" s="34">
        <f t="shared" si="20"/>
        <v>41971</v>
      </c>
      <c r="U25" s="12" t="s">
        <v>128</v>
      </c>
      <c r="V25" s="35">
        <f t="shared" si="21"/>
        <v>2913.1775999999995</v>
      </c>
      <c r="W25" s="23">
        <v>155.72999999999999</v>
      </c>
      <c r="X25" s="32">
        <f t="shared" si="3"/>
        <v>453669.14764799993</v>
      </c>
      <c r="Y25" s="37">
        <f t="shared" si="22"/>
        <v>453669.14764799993</v>
      </c>
      <c r="Z25" s="23"/>
      <c r="AA25" s="23"/>
      <c r="AB25" s="72"/>
    </row>
    <row r="26" spans="2:28" ht="20.25" customHeight="1" thickBot="1">
      <c r="B26" s="22">
        <f t="shared" si="4"/>
        <v>22</v>
      </c>
      <c r="C26" s="10" t="s">
        <v>158</v>
      </c>
      <c r="D26" s="25" t="s">
        <v>159</v>
      </c>
      <c r="E26" s="25">
        <v>41882</v>
      </c>
      <c r="F26" s="46" t="s">
        <v>160</v>
      </c>
      <c r="G26" s="10" t="s">
        <v>128</v>
      </c>
      <c r="H26" s="10" t="s">
        <v>129</v>
      </c>
      <c r="I26" s="10" t="s">
        <v>35</v>
      </c>
      <c r="J26" s="27">
        <v>801.22</v>
      </c>
      <c r="K26" s="25">
        <v>41882</v>
      </c>
      <c r="L26" s="10" t="s">
        <v>155</v>
      </c>
      <c r="M26" s="10" t="s">
        <v>29</v>
      </c>
      <c r="N26" s="10" t="s">
        <v>156</v>
      </c>
      <c r="O26" s="12" t="s">
        <v>157</v>
      </c>
      <c r="P26" s="31">
        <v>276000</v>
      </c>
      <c r="Q26" s="32">
        <f t="shared" si="19"/>
        <v>27917952</v>
      </c>
      <c r="R26" s="33" t="s">
        <v>27</v>
      </c>
      <c r="S26" s="61">
        <v>101.152</v>
      </c>
      <c r="T26" s="34">
        <f t="shared" si="20"/>
        <v>41971</v>
      </c>
      <c r="U26" s="12" t="s">
        <v>128</v>
      </c>
      <c r="V26" s="35">
        <f t="shared" si="21"/>
        <v>33501.542399999998</v>
      </c>
      <c r="W26" s="23">
        <v>155.72999999999999</v>
      </c>
      <c r="X26" s="32">
        <f t="shared" si="3"/>
        <v>5217195.1979519995</v>
      </c>
      <c r="Y26" s="37">
        <f t="shared" si="22"/>
        <v>5217195.1979519995</v>
      </c>
      <c r="Z26" s="23"/>
      <c r="AA26" s="23"/>
      <c r="AB26" s="72"/>
    </row>
    <row r="27" spans="2:28" ht="15.75" thickBot="1">
      <c r="B27" s="47"/>
      <c r="C27" s="47"/>
      <c r="D27" s="48"/>
      <c r="E27" s="48"/>
      <c r="F27" s="48"/>
      <c r="G27" s="48"/>
      <c r="H27" s="48"/>
      <c r="I27" s="48"/>
      <c r="J27" s="47"/>
      <c r="K27" s="49"/>
      <c r="L27" s="48"/>
      <c r="M27" s="49"/>
      <c r="N27" s="50"/>
      <c r="O27" s="51"/>
      <c r="P27" s="65">
        <f>SUM(P5:P26)</f>
        <v>7301899</v>
      </c>
      <c r="Q27" s="53">
        <f>SUM(Q5:Q26)</f>
        <v>770105994.40299988</v>
      </c>
      <c r="R27" s="66"/>
      <c r="S27" s="67"/>
      <c r="T27" s="68"/>
      <c r="U27" s="69"/>
      <c r="V27" s="53">
        <f>SUM(V5:V26)</f>
        <v>924127.19328360015</v>
      </c>
      <c r="W27" s="66"/>
      <c r="X27" s="53">
        <f t="shared" ref="X27:Y27" si="23">SUM(X5:X26)</f>
        <v>143915262.66221356</v>
      </c>
      <c r="Y27" s="53">
        <f t="shared" si="23"/>
        <v>144325167.12323111</v>
      </c>
      <c r="Z27" s="47"/>
      <c r="AA27" s="47"/>
      <c r="AB27" s="47"/>
    </row>
  </sheetData>
  <mergeCells count="1">
    <mergeCell ref="AB8:AB9"/>
  </mergeCells>
  <pageMargins left="0" right="0" top="0" bottom="0" header="0.31496062992125984" footer="0"/>
  <pageSetup paperSize="8" orientation="landscape" r:id="rId1"/>
  <ignoredErrors>
    <ignoredError sqref="F5:F7 F8 F10:F12 F13:F20" numberStoredAsText="1"/>
    <ignoredError sqref="Q20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2:AA42"/>
  <sheetViews>
    <sheetView workbookViewId="0">
      <selection activeCell="H3" sqref="H3"/>
    </sheetView>
  </sheetViews>
  <sheetFormatPr defaultRowHeight="15"/>
  <cols>
    <col min="1" max="1" width="3.85546875" customWidth="1"/>
    <col min="2" max="2" width="3.42578125" customWidth="1"/>
    <col min="3" max="3" width="5.140625" style="1" customWidth="1"/>
    <col min="4" max="4" width="7.140625" style="1" customWidth="1"/>
    <col min="5" max="5" width="5.5703125" style="1" customWidth="1"/>
    <col min="6" max="6" width="11" style="1" customWidth="1"/>
    <col min="7" max="7" width="8.42578125" style="1" customWidth="1"/>
    <col min="8" max="8" width="9" style="1" customWidth="1"/>
    <col min="9" max="9" width="9.5703125" style="1" customWidth="1"/>
    <col min="10" max="10" width="6" customWidth="1"/>
    <col min="11" max="11" width="6" style="2" customWidth="1"/>
    <col min="12" max="12" width="7.7109375" style="1" customWidth="1"/>
    <col min="13" max="13" width="5.7109375" style="1" customWidth="1"/>
    <col min="14" max="14" width="7.5703125" style="4" customWidth="1"/>
    <col min="15" max="15" width="12.85546875" style="5" customWidth="1"/>
    <col min="16" max="16" width="8.7109375" customWidth="1"/>
    <col min="17" max="17" width="12.28515625" customWidth="1"/>
    <col min="18" max="18" width="5.85546875" customWidth="1"/>
    <col min="19" max="19" width="6.85546875" style="6" customWidth="1"/>
    <col min="20" max="20" width="6.28515625" style="2" customWidth="1"/>
    <col min="21" max="21" width="7.7109375" style="1" customWidth="1"/>
    <col min="22" max="22" width="9.85546875" customWidth="1"/>
    <col min="23" max="23" width="6" customWidth="1"/>
    <col min="24" max="24" width="13" customWidth="1"/>
    <col min="25" max="25" width="11.140625" customWidth="1"/>
    <col min="26" max="27" width="7.42578125" customWidth="1"/>
    <col min="28" max="28" width="11.5703125" customWidth="1"/>
  </cols>
  <sheetData>
    <row r="2" spans="2:27" ht="15.75">
      <c r="L2" s="3" t="s">
        <v>0</v>
      </c>
    </row>
    <row r="3" spans="2:27" ht="23.25" customHeight="1" thickBot="1">
      <c r="L3" s="3" t="s">
        <v>204</v>
      </c>
      <c r="P3" s="7"/>
    </row>
    <row r="4" spans="2:27" s="1" customFormat="1" ht="42.6" customHeight="1" thickBot="1">
      <c r="B4" s="16" t="s">
        <v>1</v>
      </c>
      <c r="C4" s="17" t="s">
        <v>2</v>
      </c>
      <c r="D4" s="17" t="s">
        <v>3</v>
      </c>
      <c r="E4" s="17" t="s">
        <v>4</v>
      </c>
      <c r="F4" s="18" t="s">
        <v>5</v>
      </c>
      <c r="G4" s="19" t="s">
        <v>6</v>
      </c>
      <c r="H4" s="17" t="s">
        <v>7</v>
      </c>
      <c r="I4" s="17" t="s">
        <v>8</v>
      </c>
      <c r="J4" s="17" t="s">
        <v>9</v>
      </c>
      <c r="K4" s="17" t="s">
        <v>10</v>
      </c>
      <c r="L4" s="17" t="s">
        <v>11</v>
      </c>
      <c r="M4" s="17" t="s">
        <v>12</v>
      </c>
      <c r="N4" s="17" t="s">
        <v>13</v>
      </c>
      <c r="O4" s="17" t="s">
        <v>14</v>
      </c>
      <c r="P4" s="17" t="s">
        <v>15</v>
      </c>
      <c r="Q4" s="17" t="s">
        <v>16</v>
      </c>
      <c r="R4" s="17" t="s">
        <v>17</v>
      </c>
      <c r="S4" s="20" t="s">
        <v>18</v>
      </c>
      <c r="T4" s="17" t="s">
        <v>19</v>
      </c>
      <c r="U4" s="17" t="s">
        <v>20</v>
      </c>
      <c r="V4" s="17" t="s">
        <v>21</v>
      </c>
      <c r="W4" s="17" t="s">
        <v>22</v>
      </c>
      <c r="X4" s="17" t="s">
        <v>23</v>
      </c>
      <c r="Y4" s="17" t="s">
        <v>24</v>
      </c>
      <c r="Z4" s="17" t="s">
        <v>25</v>
      </c>
      <c r="AA4" s="21" t="s">
        <v>26</v>
      </c>
    </row>
    <row r="5" spans="2:27" ht="20.25" customHeight="1">
      <c r="B5" s="22">
        <v>1</v>
      </c>
      <c r="C5" s="10" t="s">
        <v>177</v>
      </c>
      <c r="D5" s="24" t="s">
        <v>171</v>
      </c>
      <c r="E5" s="25"/>
      <c r="F5" s="26" t="s">
        <v>178</v>
      </c>
      <c r="G5" s="10" t="s">
        <v>57</v>
      </c>
      <c r="H5" s="10" t="s">
        <v>75</v>
      </c>
      <c r="I5" s="10" t="s">
        <v>35</v>
      </c>
      <c r="J5" s="27">
        <v>801.22</v>
      </c>
      <c r="K5" s="28">
        <v>41854</v>
      </c>
      <c r="L5" s="29" t="s">
        <v>179</v>
      </c>
      <c r="M5" s="29" t="s">
        <v>29</v>
      </c>
      <c r="N5" s="10" t="s">
        <v>167</v>
      </c>
      <c r="O5" s="30" t="s">
        <v>168</v>
      </c>
      <c r="P5" s="31">
        <v>627201</v>
      </c>
      <c r="Q5" s="32">
        <f t="shared" ref="Q5:Q18" si="0">SUM(P5*S5)</f>
        <v>64732160.807999998</v>
      </c>
      <c r="R5" s="33" t="s">
        <v>27</v>
      </c>
      <c r="S5" s="9">
        <v>103.208</v>
      </c>
      <c r="T5" s="34">
        <f t="shared" ref="T5:T18" si="1">SUM(K5)+89</f>
        <v>41943</v>
      </c>
      <c r="U5" s="10" t="s">
        <v>28</v>
      </c>
      <c r="V5" s="35">
        <f t="shared" ref="V5:V18" si="2">SUM(Q5*0.12%)</f>
        <v>77678.592969599995</v>
      </c>
      <c r="W5" s="23">
        <v>155.72999999999999</v>
      </c>
      <c r="X5" s="32">
        <f t="shared" ref="X5:X7" si="3">SUM(V5*W5)</f>
        <v>12096887.283155806</v>
      </c>
      <c r="Y5" s="36">
        <v>0</v>
      </c>
      <c r="Z5" s="23"/>
      <c r="AA5" s="23"/>
    </row>
    <row r="6" spans="2:27" ht="20.25" customHeight="1">
      <c r="B6" s="22">
        <f t="shared" ref="B6:B18" si="4">B5+1</f>
        <v>2</v>
      </c>
      <c r="C6" s="10" t="s">
        <v>180</v>
      </c>
      <c r="D6" s="24" t="s">
        <v>171</v>
      </c>
      <c r="E6" s="25"/>
      <c r="F6" s="26" t="s">
        <v>181</v>
      </c>
      <c r="G6" s="10" t="s">
        <v>108</v>
      </c>
      <c r="H6" s="10" t="s">
        <v>109</v>
      </c>
      <c r="I6" s="10" t="s">
        <v>35</v>
      </c>
      <c r="J6" s="27">
        <v>801.22</v>
      </c>
      <c r="K6" s="28">
        <v>41854</v>
      </c>
      <c r="L6" s="29" t="s">
        <v>179</v>
      </c>
      <c r="M6" s="29" t="s">
        <v>29</v>
      </c>
      <c r="N6" s="10" t="s">
        <v>167</v>
      </c>
      <c r="O6" s="30" t="s">
        <v>168</v>
      </c>
      <c r="P6" s="31">
        <v>42000</v>
      </c>
      <c r="Q6" s="32">
        <f t="shared" si="0"/>
        <v>4263714</v>
      </c>
      <c r="R6" s="33" t="s">
        <v>27</v>
      </c>
      <c r="S6" s="9">
        <v>101.517</v>
      </c>
      <c r="T6" s="34">
        <f t="shared" si="1"/>
        <v>41943</v>
      </c>
      <c r="U6" s="10" t="s">
        <v>108</v>
      </c>
      <c r="V6" s="35">
        <f t="shared" si="2"/>
        <v>5116.4567999999999</v>
      </c>
      <c r="W6" s="23">
        <v>155.72999999999999</v>
      </c>
      <c r="X6" s="32">
        <f t="shared" si="3"/>
        <v>796785.81746399996</v>
      </c>
      <c r="Y6" s="36">
        <v>0</v>
      </c>
      <c r="Z6" s="23"/>
      <c r="AA6" s="23"/>
    </row>
    <row r="7" spans="2:27" ht="20.25" customHeight="1">
      <c r="B7" s="22">
        <f t="shared" si="4"/>
        <v>3</v>
      </c>
      <c r="C7" s="10" t="s">
        <v>182</v>
      </c>
      <c r="D7" s="24" t="s">
        <v>171</v>
      </c>
      <c r="E7" s="25"/>
      <c r="F7" s="26" t="s">
        <v>183</v>
      </c>
      <c r="G7" s="10" t="s">
        <v>61</v>
      </c>
      <c r="H7" s="10" t="s">
        <v>62</v>
      </c>
      <c r="I7" s="10" t="s">
        <v>35</v>
      </c>
      <c r="J7" s="27">
        <v>801.22</v>
      </c>
      <c r="K7" s="28">
        <v>41854</v>
      </c>
      <c r="L7" s="29" t="s">
        <v>179</v>
      </c>
      <c r="M7" s="29" t="s">
        <v>29</v>
      </c>
      <c r="N7" s="10" t="s">
        <v>167</v>
      </c>
      <c r="O7" s="30" t="s">
        <v>168</v>
      </c>
      <c r="P7" s="31">
        <v>38000</v>
      </c>
      <c r="Q7" s="32">
        <f t="shared" si="0"/>
        <v>3921904</v>
      </c>
      <c r="R7" s="33" t="s">
        <v>27</v>
      </c>
      <c r="S7" s="9">
        <v>103.208</v>
      </c>
      <c r="T7" s="34">
        <f t="shared" si="1"/>
        <v>41943</v>
      </c>
      <c r="U7" s="10" t="s">
        <v>66</v>
      </c>
      <c r="V7" s="35">
        <f t="shared" si="2"/>
        <v>4706.2847999999994</v>
      </c>
      <c r="W7" s="23">
        <v>155.72999999999999</v>
      </c>
      <c r="X7" s="32">
        <f t="shared" si="3"/>
        <v>732909.73190399981</v>
      </c>
      <c r="Y7" s="36">
        <v>0</v>
      </c>
      <c r="Z7" s="23"/>
      <c r="AA7" s="23"/>
    </row>
    <row r="8" spans="2:27" ht="20.25" customHeight="1">
      <c r="B8" s="22">
        <f t="shared" si="4"/>
        <v>4</v>
      </c>
      <c r="C8" s="10" t="s">
        <v>184</v>
      </c>
      <c r="D8" s="24" t="s">
        <v>171</v>
      </c>
      <c r="E8" s="25"/>
      <c r="F8" s="26" t="s">
        <v>185</v>
      </c>
      <c r="G8" s="10" t="s">
        <v>50</v>
      </c>
      <c r="H8" s="10" t="s">
        <v>51</v>
      </c>
      <c r="I8" s="10" t="s">
        <v>52</v>
      </c>
      <c r="J8" s="27">
        <v>801.22</v>
      </c>
      <c r="K8" s="28">
        <v>41867</v>
      </c>
      <c r="L8" s="29" t="s">
        <v>186</v>
      </c>
      <c r="M8" s="29" t="s">
        <v>54</v>
      </c>
      <c r="N8" s="10" t="s">
        <v>55</v>
      </c>
      <c r="O8" s="12" t="s">
        <v>56</v>
      </c>
      <c r="P8" s="31">
        <v>701101</v>
      </c>
      <c r="Q8" s="32">
        <f t="shared" si="0"/>
        <v>66076665.946999997</v>
      </c>
      <c r="R8" s="33" t="s">
        <v>27</v>
      </c>
      <c r="S8" s="9">
        <v>94.247</v>
      </c>
      <c r="T8" s="34">
        <f t="shared" si="1"/>
        <v>41956</v>
      </c>
      <c r="U8" s="10" t="s">
        <v>57</v>
      </c>
      <c r="V8" s="35">
        <f t="shared" si="2"/>
        <v>79291.999136399987</v>
      </c>
      <c r="W8" s="23">
        <v>155.72999999999999</v>
      </c>
      <c r="X8" s="32">
        <f t="shared" ref="X8:X18" si="5">SUM(V8*W8)</f>
        <v>12348143.025511568</v>
      </c>
      <c r="Y8" s="36">
        <v>0</v>
      </c>
      <c r="Z8" s="23"/>
      <c r="AA8" s="23"/>
    </row>
    <row r="9" spans="2:27" ht="20.25" customHeight="1">
      <c r="B9" s="22">
        <f t="shared" si="4"/>
        <v>5</v>
      </c>
      <c r="C9" s="10" t="s">
        <v>187</v>
      </c>
      <c r="D9" s="24" t="s">
        <v>171</v>
      </c>
      <c r="E9" s="25"/>
      <c r="F9" s="11">
        <v>201400020014</v>
      </c>
      <c r="G9" s="10" t="s">
        <v>34</v>
      </c>
      <c r="H9" s="10" t="s">
        <v>162</v>
      </c>
      <c r="I9" s="10" t="s">
        <v>163</v>
      </c>
      <c r="J9" s="27">
        <v>801.22</v>
      </c>
      <c r="K9" s="28">
        <v>41869</v>
      </c>
      <c r="L9" s="29" t="s">
        <v>188</v>
      </c>
      <c r="M9" s="38" t="s">
        <v>164</v>
      </c>
      <c r="N9" s="10" t="s">
        <v>174</v>
      </c>
      <c r="O9" s="12" t="s">
        <v>189</v>
      </c>
      <c r="P9" s="31">
        <v>948196</v>
      </c>
      <c r="Q9" s="32">
        <f t="shared" si="0"/>
        <v>92825543.812000006</v>
      </c>
      <c r="R9" s="33" t="s">
        <v>27</v>
      </c>
      <c r="S9" s="61">
        <v>97.897000000000006</v>
      </c>
      <c r="T9" s="34">
        <f t="shared" si="1"/>
        <v>41958</v>
      </c>
      <c r="U9" s="10" t="s">
        <v>161</v>
      </c>
      <c r="V9" s="35">
        <f t="shared" si="2"/>
        <v>111390.6525744</v>
      </c>
      <c r="W9" s="23">
        <v>155.72999999999999</v>
      </c>
      <c r="X9" s="32">
        <f t="shared" si="5"/>
        <v>17346866.325411309</v>
      </c>
      <c r="Y9" s="36">
        <v>0</v>
      </c>
      <c r="Z9" s="23"/>
      <c r="AA9" s="23"/>
    </row>
    <row r="10" spans="2:27" ht="20.25" customHeight="1">
      <c r="B10" s="22">
        <f t="shared" si="4"/>
        <v>6</v>
      </c>
      <c r="C10" s="10" t="s">
        <v>190</v>
      </c>
      <c r="D10" s="24" t="s">
        <v>171</v>
      </c>
      <c r="E10" s="25"/>
      <c r="F10" s="11">
        <v>201400010342</v>
      </c>
      <c r="G10" s="10" t="s">
        <v>34</v>
      </c>
      <c r="H10" s="10" t="s">
        <v>96</v>
      </c>
      <c r="I10" s="10" t="s">
        <v>35</v>
      </c>
      <c r="J10" s="27">
        <v>801.22</v>
      </c>
      <c r="K10" s="28">
        <v>41873</v>
      </c>
      <c r="L10" s="29" t="s">
        <v>191</v>
      </c>
      <c r="M10" s="38" t="s">
        <v>29</v>
      </c>
      <c r="N10" s="10" t="s">
        <v>165</v>
      </c>
      <c r="O10" s="12" t="s">
        <v>172</v>
      </c>
      <c r="P10" s="31">
        <v>80000</v>
      </c>
      <c r="Q10" s="32">
        <f t="shared" si="0"/>
        <v>8049888</v>
      </c>
      <c r="R10" s="33" t="s">
        <v>27</v>
      </c>
      <c r="S10" s="61">
        <v>100.6236</v>
      </c>
      <c r="T10" s="34">
        <f t="shared" si="1"/>
        <v>41962</v>
      </c>
      <c r="U10" s="10" t="s">
        <v>28</v>
      </c>
      <c r="V10" s="35">
        <f t="shared" si="2"/>
        <v>9659.8655999999992</v>
      </c>
      <c r="W10" s="23">
        <v>155.72999999999999</v>
      </c>
      <c r="X10" s="32">
        <f t="shared" si="5"/>
        <v>1504330.8698879997</v>
      </c>
      <c r="Y10" s="36">
        <v>0</v>
      </c>
      <c r="Z10" s="23"/>
      <c r="AA10" s="23"/>
    </row>
    <row r="11" spans="2:27" ht="20.25" customHeight="1">
      <c r="B11" s="22">
        <f t="shared" si="4"/>
        <v>7</v>
      </c>
      <c r="C11" s="10" t="s">
        <v>192</v>
      </c>
      <c r="D11" s="24" t="s">
        <v>171</v>
      </c>
      <c r="E11" s="25"/>
      <c r="F11" s="11">
        <v>201400010343</v>
      </c>
      <c r="G11" s="10" t="s">
        <v>34</v>
      </c>
      <c r="H11" s="10" t="s">
        <v>31</v>
      </c>
      <c r="I11" s="10" t="s">
        <v>35</v>
      </c>
      <c r="J11" s="27">
        <v>801.22</v>
      </c>
      <c r="K11" s="28">
        <v>41873</v>
      </c>
      <c r="L11" s="29" t="s">
        <v>191</v>
      </c>
      <c r="M11" s="38" t="s">
        <v>29</v>
      </c>
      <c r="N11" s="10" t="s">
        <v>165</v>
      </c>
      <c r="O11" s="12" t="s">
        <v>172</v>
      </c>
      <c r="P11" s="31">
        <v>130000</v>
      </c>
      <c r="Q11" s="32">
        <f t="shared" si="0"/>
        <v>13081068</v>
      </c>
      <c r="R11" s="33" t="s">
        <v>27</v>
      </c>
      <c r="S11" s="61">
        <v>100.6236</v>
      </c>
      <c r="T11" s="34">
        <f t="shared" si="1"/>
        <v>41962</v>
      </c>
      <c r="U11" s="10" t="s">
        <v>28</v>
      </c>
      <c r="V11" s="35">
        <f t="shared" si="2"/>
        <v>15697.281599999998</v>
      </c>
      <c r="W11" s="23">
        <v>155.72999999999999</v>
      </c>
      <c r="X11" s="32">
        <f t="shared" si="5"/>
        <v>2444537.6635679994</v>
      </c>
      <c r="Y11" s="36">
        <v>0</v>
      </c>
      <c r="Z11" s="23"/>
      <c r="AA11" s="23"/>
    </row>
    <row r="12" spans="2:27" ht="20.25" customHeight="1">
      <c r="B12" s="22">
        <f t="shared" si="4"/>
        <v>8</v>
      </c>
      <c r="C12" s="10" t="s">
        <v>193</v>
      </c>
      <c r="D12" s="24" t="s">
        <v>171</v>
      </c>
      <c r="E12" s="25"/>
      <c r="F12" s="11">
        <v>201400010344</v>
      </c>
      <c r="G12" s="10" t="s">
        <v>34</v>
      </c>
      <c r="H12" s="10" t="s">
        <v>31</v>
      </c>
      <c r="I12" s="10" t="s">
        <v>35</v>
      </c>
      <c r="J12" s="27">
        <v>801.22</v>
      </c>
      <c r="K12" s="28">
        <v>41873</v>
      </c>
      <c r="L12" s="29" t="s">
        <v>191</v>
      </c>
      <c r="M12" s="38" t="s">
        <v>29</v>
      </c>
      <c r="N12" s="10" t="s">
        <v>165</v>
      </c>
      <c r="O12" s="12" t="s">
        <v>172</v>
      </c>
      <c r="P12" s="31">
        <v>461917</v>
      </c>
      <c r="Q12" s="32">
        <f t="shared" si="0"/>
        <v>46479751.441199996</v>
      </c>
      <c r="R12" s="33" t="s">
        <v>27</v>
      </c>
      <c r="S12" s="61">
        <v>100.6236</v>
      </c>
      <c r="T12" s="34">
        <f t="shared" si="1"/>
        <v>41962</v>
      </c>
      <c r="U12" s="10" t="s">
        <v>28</v>
      </c>
      <c r="V12" s="35">
        <f t="shared" si="2"/>
        <v>55775.701729439992</v>
      </c>
      <c r="W12" s="23">
        <v>155.72999999999999</v>
      </c>
      <c r="X12" s="32">
        <f t="shared" si="5"/>
        <v>8685950.0303256903</v>
      </c>
      <c r="Y12" s="36">
        <v>0</v>
      </c>
      <c r="Z12" s="23"/>
      <c r="AA12" s="23"/>
    </row>
    <row r="13" spans="2:27" ht="20.25" customHeight="1">
      <c r="B13" s="22">
        <f t="shared" si="4"/>
        <v>9</v>
      </c>
      <c r="C13" s="10" t="s">
        <v>194</v>
      </c>
      <c r="D13" s="24" t="s">
        <v>171</v>
      </c>
      <c r="E13" s="25"/>
      <c r="F13" s="11">
        <v>201401010081</v>
      </c>
      <c r="G13" s="10" t="s">
        <v>108</v>
      </c>
      <c r="H13" s="10" t="s">
        <v>109</v>
      </c>
      <c r="I13" s="10" t="s">
        <v>35</v>
      </c>
      <c r="J13" s="27">
        <v>801.22</v>
      </c>
      <c r="K13" s="28">
        <v>41873</v>
      </c>
      <c r="L13" s="29" t="s">
        <v>191</v>
      </c>
      <c r="M13" s="38" t="s">
        <v>29</v>
      </c>
      <c r="N13" s="10" t="s">
        <v>165</v>
      </c>
      <c r="O13" s="12" t="s">
        <v>172</v>
      </c>
      <c r="P13" s="31">
        <v>34000</v>
      </c>
      <c r="Q13" s="32">
        <f t="shared" si="0"/>
        <v>3451578</v>
      </c>
      <c r="R13" s="33" t="s">
        <v>27</v>
      </c>
      <c r="S13" s="9">
        <v>101.517</v>
      </c>
      <c r="T13" s="34">
        <f t="shared" si="1"/>
        <v>41962</v>
      </c>
      <c r="U13" s="10" t="s">
        <v>108</v>
      </c>
      <c r="V13" s="35">
        <f t="shared" si="2"/>
        <v>4141.8935999999994</v>
      </c>
      <c r="W13" s="23">
        <v>155.72999999999999</v>
      </c>
      <c r="X13" s="32">
        <f t="shared" si="5"/>
        <v>645017.0903279999</v>
      </c>
      <c r="Y13" s="36">
        <v>0</v>
      </c>
      <c r="Z13" s="23"/>
      <c r="AA13" s="23"/>
    </row>
    <row r="14" spans="2:27" ht="20.25" customHeight="1">
      <c r="B14" s="22">
        <f t="shared" si="4"/>
        <v>10</v>
      </c>
      <c r="C14" s="10" t="s">
        <v>195</v>
      </c>
      <c r="D14" s="24" t="s">
        <v>171</v>
      </c>
      <c r="E14" s="25"/>
      <c r="F14" s="11">
        <v>201401010082</v>
      </c>
      <c r="G14" s="10" t="s">
        <v>108</v>
      </c>
      <c r="H14" s="10" t="s">
        <v>109</v>
      </c>
      <c r="I14" s="10" t="s">
        <v>35</v>
      </c>
      <c r="J14" s="27">
        <v>801.22</v>
      </c>
      <c r="K14" s="28">
        <v>41873</v>
      </c>
      <c r="L14" s="29" t="s">
        <v>191</v>
      </c>
      <c r="M14" s="38" t="s">
        <v>29</v>
      </c>
      <c r="N14" s="10" t="s">
        <v>165</v>
      </c>
      <c r="O14" s="12" t="s">
        <v>172</v>
      </c>
      <c r="P14" s="31">
        <v>19000</v>
      </c>
      <c r="Q14" s="32">
        <f t="shared" si="0"/>
        <v>1928823</v>
      </c>
      <c r="R14" s="33" t="s">
        <v>27</v>
      </c>
      <c r="S14" s="9">
        <v>101.517</v>
      </c>
      <c r="T14" s="34">
        <f t="shared" si="1"/>
        <v>41962</v>
      </c>
      <c r="U14" s="12" t="s">
        <v>108</v>
      </c>
      <c r="V14" s="35">
        <f t="shared" si="2"/>
        <v>2314.5875999999998</v>
      </c>
      <c r="W14" s="23">
        <v>155.72999999999999</v>
      </c>
      <c r="X14" s="32">
        <f t="shared" si="5"/>
        <v>360450.72694799997</v>
      </c>
      <c r="Y14" s="36">
        <v>0</v>
      </c>
      <c r="Z14" s="23"/>
      <c r="AA14" s="23"/>
    </row>
    <row r="15" spans="2:27" ht="20.25" customHeight="1">
      <c r="B15" s="22">
        <f t="shared" si="4"/>
        <v>11</v>
      </c>
      <c r="C15" s="10" t="s">
        <v>196</v>
      </c>
      <c r="D15" s="24" t="s">
        <v>171</v>
      </c>
      <c r="E15" s="25"/>
      <c r="F15" s="11">
        <v>20149030008</v>
      </c>
      <c r="G15" s="10" t="s">
        <v>118</v>
      </c>
      <c r="H15" s="10" t="s">
        <v>109</v>
      </c>
      <c r="I15" s="10" t="s">
        <v>35</v>
      </c>
      <c r="J15" s="27">
        <v>801.22</v>
      </c>
      <c r="K15" s="28">
        <v>41873</v>
      </c>
      <c r="L15" s="29" t="s">
        <v>191</v>
      </c>
      <c r="M15" s="38" t="s">
        <v>29</v>
      </c>
      <c r="N15" s="10" t="s">
        <v>165</v>
      </c>
      <c r="O15" s="12" t="s">
        <v>172</v>
      </c>
      <c r="P15" s="31">
        <v>65000</v>
      </c>
      <c r="Q15" s="32">
        <f t="shared" si="0"/>
        <v>6598605</v>
      </c>
      <c r="R15" s="33" t="s">
        <v>27</v>
      </c>
      <c r="S15" s="9">
        <v>101.517</v>
      </c>
      <c r="T15" s="34">
        <f t="shared" si="1"/>
        <v>41962</v>
      </c>
      <c r="U15" s="10" t="s">
        <v>108</v>
      </c>
      <c r="V15" s="35">
        <f t="shared" si="2"/>
        <v>7918.3259999999991</v>
      </c>
      <c r="W15" s="23">
        <v>155.72999999999999</v>
      </c>
      <c r="X15" s="32">
        <f t="shared" si="5"/>
        <v>1233120.9079799997</v>
      </c>
      <c r="Y15" s="36">
        <v>0</v>
      </c>
      <c r="Z15" s="23"/>
      <c r="AA15" s="23"/>
    </row>
    <row r="16" spans="2:27" ht="20.25" customHeight="1">
      <c r="B16" s="22">
        <f t="shared" si="4"/>
        <v>12</v>
      </c>
      <c r="C16" s="10" t="s">
        <v>197</v>
      </c>
      <c r="D16" s="40" t="s">
        <v>171</v>
      </c>
      <c r="E16" s="41"/>
      <c r="F16" s="13" t="s">
        <v>198</v>
      </c>
      <c r="G16" s="14" t="s">
        <v>61</v>
      </c>
      <c r="H16" s="14" t="s">
        <v>199</v>
      </c>
      <c r="I16" s="14" t="s">
        <v>35</v>
      </c>
      <c r="J16" s="42">
        <v>801.22</v>
      </c>
      <c r="K16" s="43">
        <v>41873</v>
      </c>
      <c r="L16" s="44" t="s">
        <v>191</v>
      </c>
      <c r="M16" s="45" t="s">
        <v>29</v>
      </c>
      <c r="N16" s="14" t="s">
        <v>165</v>
      </c>
      <c r="O16" s="15" t="s">
        <v>172</v>
      </c>
      <c r="P16" s="31">
        <v>202000</v>
      </c>
      <c r="Q16" s="32">
        <f t="shared" si="0"/>
        <v>20325967.199999999</v>
      </c>
      <c r="R16" s="33" t="s">
        <v>27</v>
      </c>
      <c r="S16" s="61">
        <v>100.6236</v>
      </c>
      <c r="T16" s="34">
        <f t="shared" si="1"/>
        <v>41962</v>
      </c>
      <c r="U16" s="10" t="s">
        <v>66</v>
      </c>
      <c r="V16" s="35">
        <f t="shared" si="2"/>
        <v>24391.160639999998</v>
      </c>
      <c r="W16" s="23">
        <v>155.72999999999999</v>
      </c>
      <c r="X16" s="32">
        <f t="shared" si="5"/>
        <v>3798435.4464671994</v>
      </c>
      <c r="Y16" s="36">
        <v>0</v>
      </c>
      <c r="Z16" s="23"/>
      <c r="AA16" s="23"/>
    </row>
    <row r="17" spans="2:27" ht="20.25" customHeight="1">
      <c r="B17" s="22">
        <f t="shared" si="4"/>
        <v>13</v>
      </c>
      <c r="C17" s="10" t="s">
        <v>200</v>
      </c>
      <c r="D17" s="24" t="s">
        <v>171</v>
      </c>
      <c r="E17" s="25"/>
      <c r="F17" s="46" t="s">
        <v>201</v>
      </c>
      <c r="G17" s="10" t="s">
        <v>166</v>
      </c>
      <c r="H17" s="10" t="s">
        <v>173</v>
      </c>
      <c r="I17" s="10" t="s">
        <v>169</v>
      </c>
      <c r="J17" s="27">
        <v>801.22</v>
      </c>
      <c r="K17" s="25">
        <v>41879</v>
      </c>
      <c r="L17" s="10" t="s">
        <v>176</v>
      </c>
      <c r="M17" s="10" t="s">
        <v>170</v>
      </c>
      <c r="N17" s="10" t="s">
        <v>133</v>
      </c>
      <c r="O17" s="12" t="s">
        <v>175</v>
      </c>
      <c r="P17" s="31">
        <v>254852</v>
      </c>
      <c r="Q17" s="32">
        <f t="shared" si="0"/>
        <v>25705392.128000002</v>
      </c>
      <c r="R17" s="33" t="s">
        <v>27</v>
      </c>
      <c r="S17" s="61">
        <v>100.864</v>
      </c>
      <c r="T17" s="34">
        <f t="shared" si="1"/>
        <v>41968</v>
      </c>
      <c r="U17" s="12" t="s">
        <v>166</v>
      </c>
      <c r="V17" s="35">
        <f t="shared" si="2"/>
        <v>30846.4705536</v>
      </c>
      <c r="W17" s="23">
        <v>155.72999999999999</v>
      </c>
      <c r="X17" s="32">
        <f t="shared" si="5"/>
        <v>4803720.8593121273</v>
      </c>
      <c r="Y17" s="36">
        <v>0</v>
      </c>
      <c r="Z17" s="23"/>
      <c r="AA17" s="23"/>
    </row>
    <row r="18" spans="2:27" ht="20.25" customHeight="1" thickBot="1">
      <c r="B18" s="22">
        <f t="shared" si="4"/>
        <v>14</v>
      </c>
      <c r="C18" s="10" t="s">
        <v>202</v>
      </c>
      <c r="D18" s="24" t="s">
        <v>171</v>
      </c>
      <c r="E18" s="25"/>
      <c r="F18" s="11" t="s">
        <v>203</v>
      </c>
      <c r="G18" s="10" t="s">
        <v>128</v>
      </c>
      <c r="H18" s="10" t="s">
        <v>129</v>
      </c>
      <c r="I18" s="10" t="s">
        <v>35</v>
      </c>
      <c r="J18" s="27">
        <v>801.22</v>
      </c>
      <c r="K18" s="25">
        <v>41882</v>
      </c>
      <c r="L18" s="10" t="s">
        <v>155</v>
      </c>
      <c r="M18" s="10" t="s">
        <v>29</v>
      </c>
      <c r="N18" s="10" t="s">
        <v>156</v>
      </c>
      <c r="O18" s="12" t="s">
        <v>157</v>
      </c>
      <c r="P18" s="31">
        <v>99471</v>
      </c>
      <c r="Q18" s="32">
        <f t="shared" si="0"/>
        <v>10061690.592</v>
      </c>
      <c r="R18" s="33" t="s">
        <v>27</v>
      </c>
      <c r="S18" s="61">
        <v>101.152</v>
      </c>
      <c r="T18" s="34">
        <f t="shared" si="1"/>
        <v>41971</v>
      </c>
      <c r="U18" s="12" t="s">
        <v>128</v>
      </c>
      <c r="V18" s="35">
        <f t="shared" si="2"/>
        <v>12074.0287104</v>
      </c>
      <c r="W18" s="23">
        <v>155.72999999999999</v>
      </c>
      <c r="X18" s="32">
        <f t="shared" si="5"/>
        <v>1880288.4910705918</v>
      </c>
      <c r="Y18" s="36">
        <v>0</v>
      </c>
      <c r="Z18" s="23"/>
      <c r="AA18" s="23"/>
    </row>
    <row r="19" spans="2:27" ht="15.75" thickBot="1">
      <c r="B19" s="47"/>
      <c r="C19" s="48"/>
      <c r="D19" s="48"/>
      <c r="E19" s="48"/>
      <c r="F19" s="48"/>
      <c r="G19" s="48"/>
      <c r="H19" s="48"/>
      <c r="I19" s="48"/>
      <c r="J19" s="47"/>
      <c r="K19" s="49"/>
      <c r="L19" s="48"/>
      <c r="M19" s="48"/>
      <c r="N19" s="50"/>
      <c r="O19" s="51"/>
      <c r="P19" s="52">
        <f>SUM(P5:P18)</f>
        <v>3702738</v>
      </c>
      <c r="Q19" s="53">
        <f>SUM(Q5:Q18)</f>
        <v>367502751.92820001</v>
      </c>
      <c r="R19" s="47"/>
      <c r="S19" s="54"/>
      <c r="T19" s="49"/>
      <c r="U19" s="48"/>
      <c r="V19" s="53">
        <f>SUM(V5:V18)</f>
        <v>441003.30231384002</v>
      </c>
      <c r="W19" s="47"/>
      <c r="X19" s="53">
        <f>SUM(X5:X18)</f>
        <v>68677444.269334286</v>
      </c>
      <c r="Y19" s="70">
        <f>SUM(Y5:Y18)</f>
        <v>0</v>
      </c>
      <c r="Z19" s="47"/>
      <c r="AA19" s="47"/>
    </row>
    <row r="38" spans="3:3">
      <c r="C38" s="84"/>
    </row>
    <row r="39" spans="3:3">
      <c r="C39" s="84"/>
    </row>
    <row r="40" spans="3:3">
      <c r="C40" s="85"/>
    </row>
    <row r="41" spans="3:3">
      <c r="C41" s="84"/>
    </row>
    <row r="42" spans="3:3">
      <c r="C42" s="84"/>
    </row>
  </sheetData>
  <pageMargins left="0" right="0" top="0" bottom="0" header="0.31496062992125984" footer="0"/>
  <pageSetup paperSize="8" orientation="landscape" r:id="rId1"/>
  <ignoredErrors>
    <ignoredError sqref="F5:F18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COMPREHENSIVE (AUG'14)</vt:lpstr>
      <vt:lpstr>COMPLIANT (AUG'14)</vt:lpstr>
      <vt:lpstr>NON-COMPLIANT (AUG'14)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2014-09-08T10:24:01Z</cp:lastPrinted>
  <dcterms:created xsi:type="dcterms:W3CDTF">2014-08-12T09:23:55Z</dcterms:created>
  <dcterms:modified xsi:type="dcterms:W3CDTF">2014-09-11T07:45:36Z</dcterms:modified>
</cp:coreProperties>
</file>