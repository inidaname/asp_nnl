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30" windowWidth="19335" windowHeight="7080"/>
  </bookViews>
  <sheets>
    <sheet name="COMPREHENSIVE (JAN'15)" sheetId="3" r:id="rId1"/>
    <sheet name="COMPLIANT (JAN'15)" sheetId="2" r:id="rId2"/>
    <sheet name="NON-COMPLIANT (JAN'15)" sheetId="5" r:id="rId3"/>
  </sheets>
  <calcPr calcId="125725"/>
</workbook>
</file>

<file path=xl/calcChain.xml><?xml version="1.0" encoding="utf-8"?>
<calcChain xmlns="http://schemas.openxmlformats.org/spreadsheetml/2006/main">
  <c r="T12" i="2"/>
  <c r="Q12"/>
  <c r="V12" s="1"/>
  <c r="X12" s="1"/>
  <c r="T11"/>
  <c r="Q11"/>
  <c r="V11" s="1"/>
  <c r="X11" s="1"/>
  <c r="B7" i="5"/>
  <c r="B8" s="1"/>
  <c r="B9" s="1"/>
  <c r="B10" s="1"/>
  <c r="B11" s="1"/>
  <c r="B12" s="1"/>
  <c r="B13" s="1"/>
  <c r="B6"/>
  <c r="P14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V5" s="1"/>
  <c r="X5" s="1"/>
  <c r="P23" i="3"/>
  <c r="T22"/>
  <c r="Q22"/>
  <c r="V22" s="1"/>
  <c r="X22" s="1"/>
  <c r="T21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Y15" s="1"/>
  <c r="T14"/>
  <c r="Q14"/>
  <c r="V14" s="1"/>
  <c r="X14" s="1"/>
  <c r="Y14" s="1"/>
  <c r="T13"/>
  <c r="Q13"/>
  <c r="V13" s="1"/>
  <c r="X13" s="1"/>
  <c r="Y13" s="1"/>
  <c r="T12"/>
  <c r="Q12"/>
  <c r="V12" s="1"/>
  <c r="X12" s="1"/>
  <c r="Y12" s="1"/>
  <c r="T11"/>
  <c r="Q11"/>
  <c r="V11" s="1"/>
  <c r="X11" s="1"/>
  <c r="Y11" s="1"/>
  <c r="T10"/>
  <c r="Q10"/>
  <c r="V10" s="1"/>
  <c r="X10" s="1"/>
  <c r="Y10" s="1"/>
  <c r="T9"/>
  <c r="Q9"/>
  <c r="V9" s="1"/>
  <c r="X9" s="1"/>
  <c r="T8"/>
  <c r="Q8"/>
  <c r="V8" s="1"/>
  <c r="X8" s="1"/>
  <c r="Y8" s="1"/>
  <c r="T7"/>
  <c r="Q7"/>
  <c r="V7" s="1"/>
  <c r="X7" s="1"/>
  <c r="T6"/>
  <c r="Q6"/>
  <c r="V6" s="1"/>
  <c r="X6" s="1"/>
  <c r="Y6" s="1"/>
  <c r="T5"/>
  <c r="Q5"/>
  <c r="V5" s="1"/>
  <c r="X5" s="1"/>
  <c r="Y5" s="1"/>
  <c r="Y23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P22" i="2"/>
  <c r="T21"/>
  <c r="Q21"/>
  <c r="V21" s="1"/>
  <c r="X21" s="1"/>
  <c r="Y21" s="1"/>
  <c r="T20"/>
  <c r="Q20"/>
  <c r="V20" s="1"/>
  <c r="X20" s="1"/>
  <c r="Y20" s="1"/>
  <c r="T19"/>
  <c r="Q19"/>
  <c r="V19" s="1"/>
  <c r="X19" s="1"/>
  <c r="Y19" s="1"/>
  <c r="T18"/>
  <c r="Q18"/>
  <c r="V18" s="1"/>
  <c r="X18" s="1"/>
  <c r="Y18" s="1"/>
  <c r="T17"/>
  <c r="Q17"/>
  <c r="V17" s="1"/>
  <c r="X17" s="1"/>
  <c r="Y17" s="1"/>
  <c r="T16"/>
  <c r="Q16"/>
  <c r="V16" s="1"/>
  <c r="X16" s="1"/>
  <c r="Y16" s="1"/>
  <c r="T15"/>
  <c r="Q15"/>
  <c r="V15" s="1"/>
  <c r="X15" s="1"/>
  <c r="Y15" s="1"/>
  <c r="T14"/>
  <c r="Q14"/>
  <c r="V14" s="1"/>
  <c r="X14" s="1"/>
  <c r="Y14" s="1"/>
  <c r="T13"/>
  <c r="Q13"/>
  <c r="V13" s="1"/>
  <c r="X13" s="1"/>
  <c r="Y13" s="1"/>
  <c r="Y22" s="1"/>
  <c r="T10"/>
  <c r="Q10"/>
  <c r="V10" s="1"/>
  <c r="X10" s="1"/>
  <c r="T9"/>
  <c r="Q9"/>
  <c r="V9" s="1"/>
  <c r="X9" s="1"/>
  <c r="Q14" i="5" l="1"/>
  <c r="Q23" i="3"/>
  <c r="T8" i="2"/>
  <c r="Q8"/>
  <c r="V8" s="1"/>
  <c r="X8" s="1"/>
  <c r="T7"/>
  <c r="Q7"/>
  <c r="V7" s="1"/>
  <c r="X7" s="1"/>
  <c r="T6"/>
  <c r="Q6"/>
  <c r="V6" s="1"/>
  <c r="X6" s="1"/>
  <c r="B6"/>
  <c r="B7" s="1"/>
  <c r="B8" s="1"/>
  <c r="B9" s="1"/>
  <c r="B10" s="1"/>
  <c r="B11" s="1"/>
  <c r="B12" s="1"/>
  <c r="B13" s="1"/>
  <c r="B14" s="1"/>
  <c r="B15" s="1"/>
  <c r="B16" s="1"/>
  <c r="B17" l="1"/>
  <c r="B18" s="1"/>
  <c r="B19" s="1"/>
  <c r="B20" s="1"/>
  <c r="B21" s="1"/>
  <c r="V14" i="5"/>
  <c r="V23" i="3"/>
  <c r="X23"/>
  <c r="T5" i="2"/>
  <c r="Q5"/>
  <c r="V5" l="1"/>
  <c r="Q22"/>
  <c r="X14" i="5"/>
  <c r="Y14"/>
  <c r="X5" i="2" l="1"/>
  <c r="X22" s="1"/>
  <c r="V22"/>
</calcChain>
</file>

<file path=xl/sharedStrings.xml><?xml version="1.0" encoding="utf-8"?>
<sst xmlns="http://schemas.openxmlformats.org/spreadsheetml/2006/main" count="617" uniqueCount="164">
  <si>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</si>
  <si>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</si>
  <si>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</si>
  <si>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</si>
  <si>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</si>
  <si>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</si>
  <si>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</si>
  <si>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</si>
  <si>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</si>
  <si>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</si>
  <si>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</si>
  <si>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</si>
  <si>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</si>
  <si>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</si>
  <si>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</si>
  <si>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</si>
  <si>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</si>
  <si>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</si>
  <si>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</si>
  <si>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</si>
  <si>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</si>
  <si>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</si>
  <si>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</si>
  <si>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</si>
  <si>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</si>
  <si>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</si>
  <si>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CITI BANK</t>
  </si>
  <si>
    <t>ADDAX PETROLEUM</t>
  </si>
  <si>
    <t>ANTAN BLEND CRUDE OIL</t>
  </si>
  <si>
    <t>ANTAN</t>
  </si>
  <si>
    <t>C182</t>
  </si>
  <si>
    <t>CHINA</t>
  </si>
  <si>
    <t>CITI BANK OF NIG</t>
  </si>
  <si>
    <t>ONE OR MORE SAFE PORT(S), CHINA</t>
  </si>
  <si>
    <t>201400020017</t>
  </si>
  <si>
    <t>TI TOPAZ</t>
  </si>
  <si>
    <t>ANTAN 116</t>
  </si>
  <si>
    <t>ADDAX ANTAN 039</t>
  </si>
  <si>
    <t>COMPLIANT INSPECTION REPORT FOR THE PERIOD OF JANUARY 2015</t>
  </si>
  <si>
    <t>BRASS 578</t>
  </si>
  <si>
    <t>PLATFORM BRASS 124</t>
  </si>
  <si>
    <t>201401010093</t>
  </si>
  <si>
    <t>SKYE BANK</t>
  </si>
  <si>
    <t>PLATFORM PETROLEUM</t>
  </si>
  <si>
    <t>BRASS BLEND CRUDE OIL</t>
  </si>
  <si>
    <t>BLANK</t>
  </si>
  <si>
    <t>BRASS</t>
  </si>
  <si>
    <t>SOUTH AFRICA</t>
  </si>
  <si>
    <t>DURBAN FOR ORDERS</t>
  </si>
  <si>
    <t>BRASS 579</t>
  </si>
  <si>
    <t>PLATFORM BRASS 125</t>
  </si>
  <si>
    <t>201401010094</t>
  </si>
  <si>
    <t>BRASS 580</t>
  </si>
  <si>
    <t>PLATFORM BRASS 126</t>
  </si>
  <si>
    <t>20149030011</t>
  </si>
  <si>
    <t>STERLING BANK</t>
  </si>
  <si>
    <t>BRASS 564</t>
  </si>
  <si>
    <t>MIDWESTERN BRASS 047</t>
  </si>
  <si>
    <t>201402050582</t>
  </si>
  <si>
    <t>GUARANTY TRUST BANK</t>
  </si>
  <si>
    <t>MIDWESTERN OIL</t>
  </si>
  <si>
    <t>GENMAR GEORGE T</t>
  </si>
  <si>
    <t>GERMANY</t>
  </si>
  <si>
    <t>BRUNSBUTTEL GERMANY FOR ORDERS</t>
  </si>
  <si>
    <t>GTB</t>
  </si>
  <si>
    <t>BRASS 581</t>
  </si>
  <si>
    <t>MIDWESTERN BRASS 048</t>
  </si>
  <si>
    <t>201402050652</t>
  </si>
  <si>
    <t>OKONO 082</t>
  </si>
  <si>
    <t>NNPC OKONO 067</t>
  </si>
  <si>
    <t>41414115C38/97</t>
  </si>
  <si>
    <t>CENTRAL BANK</t>
  </si>
  <si>
    <t>NNPC</t>
  </si>
  <si>
    <t>OKONO BLEND CRUDE OIL</t>
  </si>
  <si>
    <t>RIDGEBURY MARY SELENA</t>
  </si>
  <si>
    <t>OKONO</t>
  </si>
  <si>
    <t>SPAIN</t>
  </si>
  <si>
    <t>ALGECIRAS</t>
  </si>
  <si>
    <t>BRASS 597</t>
  </si>
  <si>
    <t>NNPC BRASS 200</t>
  </si>
  <si>
    <t>40715C38/99</t>
  </si>
  <si>
    <t>EVRIDIKI</t>
  </si>
  <si>
    <t>SENEGAL</t>
  </si>
  <si>
    <t>DAKAR</t>
  </si>
  <si>
    <t>YOHO 115</t>
  </si>
  <si>
    <t>NNPC YOHO 068</t>
  </si>
  <si>
    <t>1414109C48/341</t>
  </si>
  <si>
    <t>YOHO BLEND CRUDE OIL</t>
  </si>
  <si>
    <t>NORDIC APOLLO</t>
  </si>
  <si>
    <t>YOHO</t>
  </si>
  <si>
    <t>NETHERLANDS</t>
  </si>
  <si>
    <t>ROTTERDAM</t>
  </si>
  <si>
    <t>BRASS 599</t>
  </si>
  <si>
    <t>NNPC BRASS 201</t>
  </si>
  <si>
    <t>40715C7/98A</t>
  </si>
  <si>
    <t>AMOUREUX</t>
  </si>
  <si>
    <t>USA</t>
  </si>
  <si>
    <t>PORTLAND, MAINE</t>
  </si>
  <si>
    <t>BRASS 600</t>
  </si>
  <si>
    <t>NNPC BRASS 202</t>
  </si>
  <si>
    <t>40715C7/98B</t>
  </si>
  <si>
    <t>BRASS 601</t>
  </si>
  <si>
    <t>NNPC BRASS 203</t>
  </si>
  <si>
    <t>40715C7/98C</t>
  </si>
  <si>
    <t>BRASS 602</t>
  </si>
  <si>
    <t>NNPC BRASS 204</t>
  </si>
  <si>
    <t>40715C7/98D</t>
  </si>
  <si>
    <t>YOHO 116</t>
  </si>
  <si>
    <t>1414109C48/ 341</t>
  </si>
  <si>
    <t>BRASS 603</t>
  </si>
  <si>
    <t>NNPC BRASS 205</t>
  </si>
  <si>
    <t>40715C55/58</t>
  </si>
  <si>
    <t>JIAOLONG SPIRIT</t>
  </si>
  <si>
    <t>MOBIL PRODUCING</t>
  </si>
  <si>
    <t>UBA</t>
  </si>
  <si>
    <t>PHILLIPS OIL</t>
  </si>
  <si>
    <t>NOT YET ISSUED</t>
  </si>
  <si>
    <t>UNITED KINGDOM</t>
  </si>
  <si>
    <t>NIPPON PRINCESS</t>
  </si>
  <si>
    <t>NORDIC BREEZE</t>
  </si>
  <si>
    <t>STANBIC IBTC</t>
  </si>
  <si>
    <t>EBOK BLEND CRUDE OIL</t>
  </si>
  <si>
    <t>EBOK</t>
  </si>
  <si>
    <t>STANDARD CHARTERED</t>
  </si>
  <si>
    <t>SKS SPEY</t>
  </si>
  <si>
    <t>TETNEY</t>
  </si>
  <si>
    <t>ORIENTAL ENERGY</t>
  </si>
  <si>
    <t>SPAIN FOR ORDERS</t>
  </si>
  <si>
    <t>EBOK 029</t>
  </si>
  <si>
    <t xml:space="preserve">YET RECEIVED A </t>
  </si>
  <si>
    <t>BRASS 598</t>
  </si>
  <si>
    <t>201500010004</t>
  </si>
  <si>
    <t>ANTAN 122</t>
  </si>
  <si>
    <t>201500020003</t>
  </si>
  <si>
    <t>BRASS 604</t>
  </si>
  <si>
    <t>201500020001</t>
  </si>
  <si>
    <t>PETALIDI</t>
  </si>
  <si>
    <t>FINNART, UK FOR ORDERS DISCHARGE AGAINST ASHNA ON FINNART BERTH</t>
  </si>
  <si>
    <t>BRASS 605</t>
  </si>
  <si>
    <t>201501010002</t>
  </si>
  <si>
    <t>BRASS 606</t>
  </si>
  <si>
    <t>201501010003</t>
  </si>
  <si>
    <t>BRASS 607</t>
  </si>
  <si>
    <t>201509030001</t>
  </si>
  <si>
    <t>EBOK 030</t>
  </si>
  <si>
    <t xml:space="preserve">YET RECEIVED B </t>
  </si>
  <si>
    <t>UMLMA</t>
  </si>
  <si>
    <t>YOHO 117</t>
  </si>
  <si>
    <t xml:space="preserve">YET RECEIVED C </t>
  </si>
  <si>
    <t xml:space="preserve">FINNART, UK </t>
  </si>
  <si>
    <t>COMPREHENSIVE INSPECTION REPORT FOR THE PERIOD OF JANUARY 2015</t>
  </si>
  <si>
    <t>NON-COMPLIANT INSPECTION REPORT FOR THE PERIOD OF JANUARY 2015</t>
  </si>
  <si>
    <t>REMARK</t>
  </si>
  <si>
    <t>ANTAN 110</t>
  </si>
  <si>
    <t>ADDAX ANTAN 038</t>
  </si>
  <si>
    <t>201400020015</t>
  </si>
  <si>
    <t>MARAN CASSIOPEIA</t>
  </si>
  <si>
    <t>BRASS 540</t>
  </si>
  <si>
    <t>ADDAX BRASS 013</t>
  </si>
  <si>
    <t>EVGENIA I</t>
  </si>
  <si>
    <t>ROTTERDAM THE NETHERLANDS FOR ORDERS</t>
  </si>
  <si>
    <t>COLLECTION BANK</t>
  </si>
  <si>
    <t>Shared 1(One) CCI with another Inspection on Ref no:YOHO 116 on 18/01/15</t>
  </si>
  <si>
    <t>Shared 1(One) CCI with another Inspection on Ref no:YOHO 115 on 11/01/15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</si>
</sst>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0.0000"/>
    <numFmt numFmtId="165" formatCode="0000000"/>
    <numFmt numFmtId="166" formatCode="0000000000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5" fillId="0" borderId="6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164" fontId="6" fillId="0" borderId="5" xfId="0" applyNumberFormat="1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14" fontId="6" fillId="0" borderId="6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0" fontId="7" fillId="0" borderId="2" xfId="2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center" vertical="center" wrapText="1"/>
    </xf>
    <xf numFmtId="49" fontId="7" fillId="0" borderId="3" xfId="2" applyNumberFormat="1" applyFont="1" applyFill="1" applyBorder="1" applyAlignment="1">
      <alignment horizontal="center" vertical="center"/>
    </xf>
    <xf numFmtId="49" fontId="7" fillId="0" borderId="3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0" fontId="7" fillId="0" borderId="11" xfId="2" applyFont="1" applyFill="1" applyBorder="1" applyAlignment="1">
      <alignment horizontal="center" vertical="center" wrapText="1"/>
    </xf>
    <xf numFmtId="0" fontId="6" fillId="0" borderId="5" xfId="0" applyFont="1" applyFill="1" applyBorder="1"/>
    <xf numFmtId="0" fontId="6" fillId="0" borderId="5" xfId="0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/>
    </xf>
    <xf numFmtId="49" fontId="6" fillId="0" borderId="5" xfId="0" applyNumberFormat="1" applyFont="1" applyFill="1" applyBorder="1" applyAlignment="1">
      <alignment horizontal="center" wrapText="1"/>
    </xf>
    <xf numFmtId="164" fontId="6" fillId="0" borderId="5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 wrapText="1"/>
    </xf>
    <xf numFmtId="3" fontId="6" fillId="0" borderId="5" xfId="0" applyNumberFormat="1" applyFont="1" applyFill="1" applyBorder="1"/>
    <xf numFmtId="4" fontId="6" fillId="0" borderId="5" xfId="0" applyNumberFormat="1" applyFont="1" applyFill="1" applyBorder="1" applyAlignment="1">
      <alignment horizontal="right"/>
    </xf>
    <xf numFmtId="4" fontId="6" fillId="0" borderId="5" xfId="0" applyNumberFormat="1" applyFont="1" applyFill="1" applyBorder="1" applyAlignment="1">
      <alignment horizontal="center"/>
    </xf>
    <xf numFmtId="4" fontId="6" fillId="0" borderId="5" xfId="0" applyNumberFormat="1" applyFont="1" applyFill="1" applyBorder="1"/>
    <xf numFmtId="2" fontId="6" fillId="0" borderId="5" xfId="0" applyNumberFormat="1" applyFont="1" applyFill="1" applyBorder="1" applyAlignment="1">
      <alignment horizontal="center"/>
    </xf>
    <xf numFmtId="43" fontId="6" fillId="0" borderId="10" xfId="1" applyFont="1" applyFill="1" applyBorder="1"/>
    <xf numFmtId="0" fontId="8" fillId="0" borderId="5" xfId="0" applyFont="1" applyFill="1" applyBorder="1"/>
    <xf numFmtId="0" fontId="6" fillId="0" borderId="6" xfId="0" applyFont="1" applyFill="1" applyBorder="1"/>
    <xf numFmtId="0" fontId="6" fillId="0" borderId="6" xfId="0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/>
    </xf>
    <xf numFmtId="164" fontId="6" fillId="0" borderId="6" xfId="0" applyNumberFormat="1" applyFont="1" applyFill="1" applyBorder="1" applyAlignment="1">
      <alignment horizontal="center" wrapText="1"/>
    </xf>
    <xf numFmtId="4" fontId="6" fillId="0" borderId="6" xfId="0" applyNumberFormat="1" applyFont="1" applyFill="1" applyBorder="1" applyAlignment="1">
      <alignment horizontal="right"/>
    </xf>
    <xf numFmtId="4" fontId="6" fillId="0" borderId="6" xfId="0" applyNumberFormat="1" applyFont="1" applyFill="1" applyBorder="1" applyAlignment="1">
      <alignment horizontal="center"/>
    </xf>
    <xf numFmtId="4" fontId="6" fillId="0" borderId="6" xfId="0" applyNumberFormat="1" applyFont="1" applyFill="1" applyBorder="1"/>
    <xf numFmtId="2" fontId="6" fillId="0" borderId="6" xfId="0" applyNumberFormat="1" applyFont="1" applyFill="1" applyBorder="1" applyAlignment="1">
      <alignment horizontal="center"/>
    </xf>
    <xf numFmtId="43" fontId="6" fillId="0" borderId="7" xfId="1" applyFont="1" applyFill="1" applyBorder="1"/>
    <xf numFmtId="0" fontId="8" fillId="0" borderId="6" xfId="0" applyFont="1" applyFill="1" applyBorder="1"/>
    <xf numFmtId="14" fontId="6" fillId="0" borderId="6" xfId="0" applyNumberFormat="1" applyFont="1" applyFill="1" applyBorder="1" applyAlignment="1">
      <alignment horizontal="center" vertical="center" wrapText="1"/>
    </xf>
    <xf numFmtId="2" fontId="6" fillId="0" borderId="7" xfId="0" applyNumberFormat="1" applyFont="1" applyFill="1" applyBorder="1"/>
    <xf numFmtId="0" fontId="6" fillId="0" borderId="6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wrapText="1"/>
    </xf>
    <xf numFmtId="164" fontId="6" fillId="0" borderId="6" xfId="4" applyNumberFormat="1" applyFont="1" applyFill="1" applyBorder="1" applyAlignment="1">
      <alignment horizontal="center"/>
    </xf>
    <xf numFmtId="0" fontId="8" fillId="0" borderId="0" xfId="0" applyFont="1" applyFill="1"/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3" fontId="7" fillId="0" borderId="8" xfId="0" applyNumberFormat="1" applyFont="1" applyFill="1" applyBorder="1"/>
    <xf numFmtId="43" fontId="7" fillId="0" borderId="8" xfId="1" applyFont="1" applyFill="1" applyBorder="1"/>
    <xf numFmtId="164" fontId="8" fillId="0" borderId="0" xfId="0" applyNumberFormat="1" applyFont="1" applyFill="1" applyAlignment="1">
      <alignment horizontal="center"/>
    </xf>
    <xf numFmtId="0" fontId="7" fillId="0" borderId="4" xfId="2" applyFont="1" applyFill="1" applyBorder="1" applyAlignment="1">
      <alignment horizontal="center" vertical="center" wrapText="1"/>
    </xf>
    <xf numFmtId="2" fontId="7" fillId="0" borderId="8" xfId="1" applyNumberFormat="1" applyFont="1" applyFill="1" applyBorder="1"/>
    <xf numFmtId="164" fontId="6" fillId="0" borderId="5" xfId="4" applyNumberFormat="1" applyFont="1" applyFill="1" applyBorder="1" applyAlignment="1">
      <alignment horizontal="center"/>
    </xf>
    <xf numFmtId="165" fontId="6" fillId="0" borderId="5" xfId="0" applyNumberFormat="1" applyFont="1" applyFill="1" applyBorder="1" applyAlignment="1">
      <alignment horizontal="center"/>
    </xf>
    <xf numFmtId="165" fontId="6" fillId="0" borderId="6" xfId="0" applyNumberFormat="1" applyFont="1" applyFill="1" applyBorder="1" applyAlignment="1">
      <alignment horizontal="center"/>
    </xf>
    <xf numFmtId="3" fontId="6" fillId="0" borderId="6" xfId="0" applyNumberFormat="1" applyFont="1" applyFill="1" applyBorder="1" applyAlignment="1">
      <alignment horizontal="center" wrapText="1"/>
    </xf>
    <xf numFmtId="4" fontId="6" fillId="0" borderId="7" xfId="0" applyNumberFormat="1" applyFont="1" applyFill="1" applyBorder="1" applyAlignment="1">
      <alignment horizontal="right"/>
    </xf>
    <xf numFmtId="0" fontId="7" fillId="0" borderId="0" xfId="0" applyFont="1" applyFill="1"/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center"/>
    </xf>
    <xf numFmtId="164" fontId="5" fillId="0" borderId="6" xfId="0" applyNumberFormat="1" applyFont="1" applyFill="1" applyBorder="1" applyAlignment="1">
      <alignment horizontal="center" wrapText="1"/>
    </xf>
    <xf numFmtId="4" fontId="5" fillId="0" borderId="7" xfId="0" applyNumberFormat="1" applyFont="1" applyFill="1" applyBorder="1" applyAlignment="1">
      <alignment horizontal="right"/>
    </xf>
    <xf numFmtId="4" fontId="5" fillId="0" borderId="6" xfId="0" applyNumberFormat="1" applyFont="1" applyFill="1" applyBorder="1" applyAlignment="1">
      <alignment horizontal="center"/>
    </xf>
    <xf numFmtId="4" fontId="5" fillId="0" borderId="7" xfId="0" applyNumberFormat="1" applyFont="1" applyFill="1" applyBorder="1"/>
    <xf numFmtId="0" fontId="0" fillId="0" borderId="0" xfId="0" applyFill="1"/>
    <xf numFmtId="0" fontId="5" fillId="0" borderId="6" xfId="0" applyFont="1" applyFill="1" applyBorder="1" applyAlignment="1">
      <alignment horizontal="center"/>
    </xf>
    <xf numFmtId="14" fontId="5" fillId="0" borderId="6" xfId="0" applyNumberFormat="1" applyFont="1" applyFill="1" applyBorder="1" applyAlignment="1">
      <alignment horizontal="center" wrapText="1"/>
    </xf>
    <xf numFmtId="49" fontId="5" fillId="0" borderId="6" xfId="0" applyNumberFormat="1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14" fontId="5" fillId="0" borderId="5" xfId="0" applyNumberFormat="1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 vertical="center" wrapText="1"/>
    </xf>
    <xf numFmtId="3" fontId="5" fillId="0" borderId="5" xfId="0" applyNumberFormat="1" applyFont="1" applyFill="1" applyBorder="1"/>
    <xf numFmtId="14" fontId="5" fillId="0" borderId="6" xfId="0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43" fontId="5" fillId="0" borderId="7" xfId="1" applyFont="1" applyFill="1" applyBorder="1"/>
    <xf numFmtId="165" fontId="5" fillId="0" borderId="6" xfId="0" applyNumberFormat="1" applyFont="1" applyFill="1" applyBorder="1" applyAlignment="1">
      <alignment horizontal="center"/>
    </xf>
    <xf numFmtId="0" fontId="0" fillId="0" borderId="6" xfId="0" applyFill="1" applyBorder="1"/>
    <xf numFmtId="1" fontId="6" fillId="0" borderId="6" xfId="0" applyNumberFormat="1" applyFont="1" applyFill="1" applyBorder="1" applyAlignment="1">
      <alignment horizontal="center" wrapText="1"/>
    </xf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190499</xdr:rowOff>
    </xdr:from>
    <xdr:to>
      <xdr:col>4</xdr:col>
      <xdr:colOff>38100</xdr:colOff>
      <xdr:row>2</xdr:row>
      <xdr:rowOff>85725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04900" y="190499"/>
          <a:ext cx="419100" cy="2857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38100</xdr:rowOff>
    </xdr:from>
    <xdr:to>
      <xdr:col>3</xdr:col>
      <xdr:colOff>495300</xdr:colOff>
      <xdr:row>2</xdr:row>
      <xdr:rowOff>133351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04900" y="228600"/>
          <a:ext cx="457200" cy="295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190499</xdr:rowOff>
    </xdr:from>
    <xdr:to>
      <xdr:col>4</xdr:col>
      <xdr:colOff>38100</xdr:colOff>
      <xdr:row>2</xdr:row>
      <xdr:rowOff>85725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190499"/>
          <a:ext cx="419100" cy="2857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B23"/>
  <sheetViews>
    <sheetView tabSelected="1" topLeftCell="F2" workbookViewId="0">
      <selection activeCell="AB15" sqref="AB15"/>
    </sheetView>
  </sheetViews>
  <sheetFormatPr defaultRowHeight="15"/>
  <cols>
    <col min="1" max="1" width="3.140625" customWidth="1"/>
    <col min="2" max="2" width="2.42578125" customWidth="1"/>
    <col min="3" max="3" width="5" style="4" customWidth="1"/>
    <col min="4" max="4" width="7.140625" style="4" customWidth="1"/>
    <col min="5" max="5" width="5.5703125" style="4" customWidth="1"/>
    <col min="6" max="6" width="10.5703125" style="4" customWidth="1"/>
    <col min="7" max="7" width="8.28515625" style="4" customWidth="1"/>
    <col min="8" max="8" width="8.140625" style="4" customWidth="1"/>
    <col min="9" max="9" width="8.7109375" style="4" customWidth="1"/>
    <col min="10" max="10" width="5.7109375" customWidth="1"/>
    <col min="11" max="11" width="6.140625" style="1" customWidth="1"/>
    <col min="12" max="12" width="10.42578125" style="4" customWidth="1"/>
    <col min="13" max="13" width="4.85546875" style="4" customWidth="1"/>
    <col min="14" max="14" width="7.140625" style="6" customWidth="1"/>
    <col min="15" max="15" width="12.42578125" style="7" customWidth="1"/>
    <col min="16" max="16" width="7.140625" customWidth="1"/>
    <col min="17" max="17" width="11.85546875" customWidth="1"/>
    <col min="18" max="18" width="6.140625" customWidth="1"/>
    <col min="19" max="19" width="6" style="8" customWidth="1"/>
    <col min="20" max="20" width="6.42578125" style="1" customWidth="1"/>
    <col min="21" max="21" width="8.28515625" style="4" customWidth="1"/>
    <col min="22" max="22" width="9.7109375" customWidth="1"/>
    <col min="23" max="23" width="5.140625" customWidth="1"/>
    <col min="24" max="25" width="11.42578125" customWidth="1"/>
    <col min="26" max="27" width="5.28515625" customWidth="1"/>
    <col min="28" max="28" width="10.5703125" customWidth="1"/>
  </cols>
  <sheetData>
    <row r="2" spans="2:28" ht="15.75">
      <c r="L2" s="5" t="s">
        <v>0</v>
      </c>
    </row>
    <row r="3" spans="2:28" ht="15.75" customHeight="1" thickBot="1">
      <c r="L3" s="5" t="s">
        <v>150</v>
      </c>
      <c r="P3" s="2"/>
    </row>
    <row r="4" spans="2:28" s="4" customFormat="1" ht="52.5" customHeight="1" thickBot="1">
      <c r="B4" s="15" t="s">
        <v>1</v>
      </c>
      <c r="C4" s="16" t="s">
        <v>2</v>
      </c>
      <c r="D4" s="16" t="s">
        <v>3</v>
      </c>
      <c r="E4" s="16" t="s">
        <v>4</v>
      </c>
      <c r="F4" s="17" t="s">
        <v>5</v>
      </c>
      <c r="G4" s="18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9" t="s">
        <v>18</v>
      </c>
      <c r="T4" s="16" t="s">
        <v>19</v>
      </c>
      <c r="U4" s="16" t="s">
        <v>161</v>
      </c>
      <c r="V4" s="16" t="s">
        <v>20</v>
      </c>
      <c r="W4" s="16" t="s">
        <v>21</v>
      </c>
      <c r="X4" s="16" t="s">
        <v>22</v>
      </c>
      <c r="Y4" s="16" t="s">
        <v>23</v>
      </c>
      <c r="Z4" s="16" t="s">
        <v>24</v>
      </c>
      <c r="AA4" s="16" t="s">
        <v>25</v>
      </c>
      <c r="AB4" s="20" t="s">
        <v>152</v>
      </c>
    </row>
    <row r="5" spans="2:28" ht="21" customHeight="1">
      <c r="B5" s="21">
        <v>1</v>
      </c>
      <c r="C5" s="11" t="s">
        <v>68</v>
      </c>
      <c r="D5" s="10" t="s">
        <v>69</v>
      </c>
      <c r="E5" s="23">
        <v>42034</v>
      </c>
      <c r="F5" s="24" t="s">
        <v>70</v>
      </c>
      <c r="G5" s="11" t="s">
        <v>71</v>
      </c>
      <c r="H5" s="11" t="s">
        <v>72</v>
      </c>
      <c r="I5" s="11" t="s">
        <v>73</v>
      </c>
      <c r="J5" s="25">
        <v>801.22</v>
      </c>
      <c r="K5" s="10">
        <v>42007</v>
      </c>
      <c r="L5" s="11" t="s">
        <v>74</v>
      </c>
      <c r="M5" s="11" t="s">
        <v>75</v>
      </c>
      <c r="N5" s="11" t="s">
        <v>76</v>
      </c>
      <c r="O5" s="26" t="s">
        <v>77</v>
      </c>
      <c r="P5" s="27">
        <v>899901</v>
      </c>
      <c r="Q5" s="28">
        <f t="shared" ref="Q5:Q22" si="0">SUM(P5*S5)</f>
        <v>48713440.931999996</v>
      </c>
      <c r="R5" s="29" t="s">
        <v>30</v>
      </c>
      <c r="S5" s="9">
        <v>54.131999999999998</v>
      </c>
      <c r="T5" s="23">
        <f t="shared" ref="T5:T11" si="1">SUM(K5)+89</f>
        <v>42096</v>
      </c>
      <c r="U5" s="11" t="s">
        <v>71</v>
      </c>
      <c r="V5" s="30">
        <f t="shared" ref="V5:V20" si="2">SUM(Q5*0.12%)</f>
        <v>58456.129118399993</v>
      </c>
      <c r="W5" s="31">
        <v>168</v>
      </c>
      <c r="X5" s="28">
        <f t="shared" ref="X5:X22" si="3">SUM(V5*W5)</f>
        <v>9820629.691891199</v>
      </c>
      <c r="Y5" s="32">
        <f t="shared" ref="Y5:Y15" si="4">X5</f>
        <v>9820629.691891199</v>
      </c>
      <c r="Z5" s="22"/>
      <c r="AA5" s="22"/>
      <c r="AB5" s="33"/>
    </row>
    <row r="6" spans="2:28" ht="21" customHeight="1">
      <c r="B6" s="34">
        <f t="shared" ref="B6:B11" si="5">B5+1</f>
        <v>2</v>
      </c>
      <c r="C6" s="13" t="s">
        <v>78</v>
      </c>
      <c r="D6" s="12" t="s">
        <v>79</v>
      </c>
      <c r="E6" s="36">
        <v>42034</v>
      </c>
      <c r="F6" s="24" t="s">
        <v>80</v>
      </c>
      <c r="G6" s="13" t="s">
        <v>71</v>
      </c>
      <c r="H6" s="13" t="s">
        <v>72</v>
      </c>
      <c r="I6" s="13" t="s">
        <v>44</v>
      </c>
      <c r="J6" s="37">
        <v>801.22</v>
      </c>
      <c r="K6" s="10">
        <v>42010</v>
      </c>
      <c r="L6" s="11" t="s">
        <v>81</v>
      </c>
      <c r="M6" s="11" t="s">
        <v>46</v>
      </c>
      <c r="N6" s="13" t="s">
        <v>82</v>
      </c>
      <c r="O6" s="26" t="s">
        <v>83</v>
      </c>
      <c r="P6" s="27">
        <v>949665</v>
      </c>
      <c r="Q6" s="38">
        <f t="shared" si="0"/>
        <v>47475652.68</v>
      </c>
      <c r="R6" s="39" t="s">
        <v>30</v>
      </c>
      <c r="S6" s="9">
        <v>49.991999999999997</v>
      </c>
      <c r="T6" s="36">
        <f t="shared" si="1"/>
        <v>42099</v>
      </c>
      <c r="U6" s="13" t="s">
        <v>71</v>
      </c>
      <c r="V6" s="40">
        <f t="shared" si="2"/>
        <v>56970.783215999996</v>
      </c>
      <c r="W6" s="41">
        <v>168</v>
      </c>
      <c r="X6" s="38">
        <f t="shared" si="3"/>
        <v>9571091.5802879985</v>
      </c>
      <c r="Y6" s="42">
        <f t="shared" si="4"/>
        <v>9571091.5802879985</v>
      </c>
      <c r="Z6" s="35"/>
      <c r="AA6" s="35"/>
      <c r="AB6" s="43"/>
    </row>
    <row r="7" spans="2:28" ht="21" customHeight="1">
      <c r="B7" s="34">
        <f t="shared" si="5"/>
        <v>3</v>
      </c>
      <c r="C7" s="13" t="s">
        <v>128</v>
      </c>
      <c r="D7" s="44" t="s">
        <v>116</v>
      </c>
      <c r="E7" s="12"/>
      <c r="F7" s="24" t="s">
        <v>129</v>
      </c>
      <c r="G7" s="13" t="s">
        <v>120</v>
      </c>
      <c r="H7" s="13" t="s">
        <v>126</v>
      </c>
      <c r="I7" s="13" t="s">
        <v>121</v>
      </c>
      <c r="J7" s="37">
        <v>801.22</v>
      </c>
      <c r="K7" s="10">
        <v>42014</v>
      </c>
      <c r="L7" s="11" t="s">
        <v>118</v>
      </c>
      <c r="M7" s="11" t="s">
        <v>122</v>
      </c>
      <c r="N7" s="13" t="s">
        <v>90</v>
      </c>
      <c r="O7" s="26" t="s">
        <v>91</v>
      </c>
      <c r="P7" s="27">
        <v>627415</v>
      </c>
      <c r="Q7" s="38">
        <f t="shared" si="0"/>
        <v>27146364.805000003</v>
      </c>
      <c r="R7" s="39" t="s">
        <v>30</v>
      </c>
      <c r="S7" s="9">
        <v>43.267000000000003</v>
      </c>
      <c r="T7" s="36">
        <f t="shared" si="1"/>
        <v>42103</v>
      </c>
      <c r="U7" s="13" t="s">
        <v>123</v>
      </c>
      <c r="V7" s="40">
        <f t="shared" si="2"/>
        <v>32575.637766</v>
      </c>
      <c r="W7" s="41">
        <v>168</v>
      </c>
      <c r="X7" s="38">
        <f t="shared" si="3"/>
        <v>5472707.144688</v>
      </c>
      <c r="Y7" s="45">
        <v>0</v>
      </c>
      <c r="Z7" s="35"/>
      <c r="AA7" s="35"/>
      <c r="AB7" s="43"/>
    </row>
    <row r="8" spans="2:28" ht="47.25" customHeight="1">
      <c r="B8" s="34">
        <f t="shared" si="5"/>
        <v>4</v>
      </c>
      <c r="C8" s="13" t="s">
        <v>84</v>
      </c>
      <c r="D8" s="12" t="s">
        <v>85</v>
      </c>
      <c r="E8" s="36">
        <v>42034</v>
      </c>
      <c r="F8" s="24" t="s">
        <v>86</v>
      </c>
      <c r="G8" s="13" t="s">
        <v>71</v>
      </c>
      <c r="H8" s="13" t="s">
        <v>72</v>
      </c>
      <c r="I8" s="13" t="s">
        <v>87</v>
      </c>
      <c r="J8" s="37">
        <v>801.22</v>
      </c>
      <c r="K8" s="10">
        <v>42015</v>
      </c>
      <c r="L8" s="11" t="s">
        <v>88</v>
      </c>
      <c r="M8" s="11" t="s">
        <v>89</v>
      </c>
      <c r="N8" s="13" t="s">
        <v>90</v>
      </c>
      <c r="O8" s="11" t="s">
        <v>91</v>
      </c>
      <c r="P8" s="27">
        <v>613871</v>
      </c>
      <c r="Q8" s="38">
        <f t="shared" si="0"/>
        <v>29166852.822999999</v>
      </c>
      <c r="R8" s="39" t="s">
        <v>30</v>
      </c>
      <c r="S8" s="9">
        <v>47.512999999999998</v>
      </c>
      <c r="T8" s="36">
        <f t="shared" si="1"/>
        <v>42104</v>
      </c>
      <c r="U8" s="13" t="s">
        <v>71</v>
      </c>
      <c r="V8" s="40">
        <f t="shared" si="2"/>
        <v>35000.223387599995</v>
      </c>
      <c r="W8" s="41">
        <v>168</v>
      </c>
      <c r="X8" s="38">
        <f t="shared" si="3"/>
        <v>5880037.5291167991</v>
      </c>
      <c r="Y8" s="42">
        <f t="shared" si="4"/>
        <v>5880037.5291167991</v>
      </c>
      <c r="Z8" s="35"/>
      <c r="AA8" s="35"/>
      <c r="AB8" s="13" t="s">
        <v>162</v>
      </c>
    </row>
    <row r="9" spans="2:28" ht="21" customHeight="1">
      <c r="B9" s="34">
        <f t="shared" si="5"/>
        <v>5</v>
      </c>
      <c r="C9" s="13" t="s">
        <v>130</v>
      </c>
      <c r="D9" s="44" t="s">
        <v>116</v>
      </c>
      <c r="E9" s="12"/>
      <c r="F9" s="24" t="s">
        <v>131</v>
      </c>
      <c r="G9" s="13" t="s">
        <v>123</v>
      </c>
      <c r="H9" s="13" t="s">
        <v>115</v>
      </c>
      <c r="I9" s="13" t="s">
        <v>44</v>
      </c>
      <c r="J9" s="37">
        <v>801.22</v>
      </c>
      <c r="K9" s="10">
        <v>42018</v>
      </c>
      <c r="L9" s="11" t="s">
        <v>95</v>
      </c>
      <c r="M9" s="11" t="s">
        <v>46</v>
      </c>
      <c r="N9" s="13" t="s">
        <v>96</v>
      </c>
      <c r="O9" s="26" t="s">
        <v>97</v>
      </c>
      <c r="P9" s="27">
        <v>761011</v>
      </c>
      <c r="Q9" s="38">
        <f t="shared" si="0"/>
        <v>35243180.420999996</v>
      </c>
      <c r="R9" s="39" t="s">
        <v>30</v>
      </c>
      <c r="S9" s="9">
        <v>46.311</v>
      </c>
      <c r="T9" s="36">
        <f t="shared" si="1"/>
        <v>42107</v>
      </c>
      <c r="U9" s="46" t="s">
        <v>114</v>
      </c>
      <c r="V9" s="40">
        <f t="shared" si="2"/>
        <v>42291.816505199989</v>
      </c>
      <c r="W9" s="41">
        <v>168</v>
      </c>
      <c r="X9" s="38">
        <f t="shared" si="3"/>
        <v>7105025.1728735985</v>
      </c>
      <c r="Y9" s="45">
        <v>0</v>
      </c>
      <c r="Z9" s="35"/>
      <c r="AA9" s="35"/>
      <c r="AB9" s="43"/>
    </row>
    <row r="10" spans="2:28" ht="21" customHeight="1">
      <c r="B10" s="34">
        <f t="shared" si="5"/>
        <v>6</v>
      </c>
      <c r="C10" s="13" t="s">
        <v>92</v>
      </c>
      <c r="D10" s="12" t="s">
        <v>93</v>
      </c>
      <c r="E10" s="36">
        <v>42034</v>
      </c>
      <c r="F10" s="24" t="s">
        <v>94</v>
      </c>
      <c r="G10" s="13" t="s">
        <v>71</v>
      </c>
      <c r="H10" s="13" t="s">
        <v>72</v>
      </c>
      <c r="I10" s="13" t="s">
        <v>44</v>
      </c>
      <c r="J10" s="37">
        <v>801.22</v>
      </c>
      <c r="K10" s="10">
        <v>42018</v>
      </c>
      <c r="L10" s="11" t="s">
        <v>95</v>
      </c>
      <c r="M10" s="11" t="s">
        <v>46</v>
      </c>
      <c r="N10" s="13" t="s">
        <v>96</v>
      </c>
      <c r="O10" s="46" t="s">
        <v>97</v>
      </c>
      <c r="P10" s="27">
        <v>10000</v>
      </c>
      <c r="Q10" s="38">
        <f t="shared" si="0"/>
        <v>463110</v>
      </c>
      <c r="R10" s="39" t="s">
        <v>30</v>
      </c>
      <c r="S10" s="9">
        <v>46.311</v>
      </c>
      <c r="T10" s="36">
        <f t="shared" si="1"/>
        <v>42107</v>
      </c>
      <c r="U10" s="13" t="s">
        <v>71</v>
      </c>
      <c r="V10" s="40">
        <f t="shared" si="2"/>
        <v>555.73199999999997</v>
      </c>
      <c r="W10" s="41">
        <v>168</v>
      </c>
      <c r="X10" s="38">
        <f t="shared" si="3"/>
        <v>93362.975999999995</v>
      </c>
      <c r="Y10" s="42">
        <f t="shared" si="4"/>
        <v>93362.975999999995</v>
      </c>
      <c r="Z10" s="35"/>
      <c r="AA10" s="35"/>
      <c r="AB10" s="43"/>
    </row>
    <row r="11" spans="2:28" ht="21" customHeight="1">
      <c r="B11" s="34">
        <f t="shared" si="5"/>
        <v>7</v>
      </c>
      <c r="C11" s="13" t="s">
        <v>98</v>
      </c>
      <c r="D11" s="12" t="s">
        <v>99</v>
      </c>
      <c r="E11" s="36">
        <v>42034</v>
      </c>
      <c r="F11" s="24" t="s">
        <v>100</v>
      </c>
      <c r="G11" s="13" t="s">
        <v>71</v>
      </c>
      <c r="H11" s="13" t="s">
        <v>72</v>
      </c>
      <c r="I11" s="13" t="s">
        <v>44</v>
      </c>
      <c r="J11" s="37">
        <v>801.22</v>
      </c>
      <c r="K11" s="10">
        <v>42018</v>
      </c>
      <c r="L11" s="11" t="s">
        <v>95</v>
      </c>
      <c r="M11" s="11" t="s">
        <v>46</v>
      </c>
      <c r="N11" s="13" t="s">
        <v>96</v>
      </c>
      <c r="O11" s="46" t="s">
        <v>97</v>
      </c>
      <c r="P11" s="27">
        <v>40000</v>
      </c>
      <c r="Q11" s="38">
        <f t="shared" si="0"/>
        <v>1852440</v>
      </c>
      <c r="R11" s="39" t="s">
        <v>30</v>
      </c>
      <c r="S11" s="9">
        <v>46.311</v>
      </c>
      <c r="T11" s="36">
        <f t="shared" si="1"/>
        <v>42107</v>
      </c>
      <c r="U11" s="13" t="s">
        <v>71</v>
      </c>
      <c r="V11" s="40">
        <f t="shared" si="2"/>
        <v>2222.9279999999999</v>
      </c>
      <c r="W11" s="41">
        <v>168</v>
      </c>
      <c r="X11" s="38">
        <f t="shared" si="3"/>
        <v>373451.90399999998</v>
      </c>
      <c r="Y11" s="42">
        <f t="shared" si="4"/>
        <v>373451.90399999998</v>
      </c>
      <c r="Z11" s="35"/>
      <c r="AA11" s="35"/>
      <c r="AB11" s="43"/>
    </row>
    <row r="12" spans="2:28" ht="21" customHeight="1">
      <c r="B12" s="34">
        <f t="shared" ref="B12:B22" si="6">B11+1</f>
        <v>8</v>
      </c>
      <c r="C12" s="13" t="s">
        <v>101</v>
      </c>
      <c r="D12" s="12" t="s">
        <v>102</v>
      </c>
      <c r="E12" s="36">
        <v>42034</v>
      </c>
      <c r="F12" s="24" t="s">
        <v>103</v>
      </c>
      <c r="G12" s="13" t="s">
        <v>71</v>
      </c>
      <c r="H12" s="13" t="s">
        <v>72</v>
      </c>
      <c r="I12" s="13" t="s">
        <v>44</v>
      </c>
      <c r="J12" s="37">
        <v>801.22</v>
      </c>
      <c r="K12" s="10">
        <v>42018</v>
      </c>
      <c r="L12" s="11" t="s">
        <v>95</v>
      </c>
      <c r="M12" s="11" t="s">
        <v>46</v>
      </c>
      <c r="N12" s="13" t="s">
        <v>96</v>
      </c>
      <c r="O12" s="46" t="s">
        <v>97</v>
      </c>
      <c r="P12" s="27">
        <v>50000</v>
      </c>
      <c r="Q12" s="38">
        <f t="shared" si="0"/>
        <v>2315550</v>
      </c>
      <c r="R12" s="39" t="s">
        <v>30</v>
      </c>
      <c r="S12" s="9">
        <v>46.311</v>
      </c>
      <c r="T12" s="36">
        <f t="shared" ref="T12:T22" si="7">SUM(K12)+89</f>
        <v>42107</v>
      </c>
      <c r="U12" s="13" t="s">
        <v>71</v>
      </c>
      <c r="V12" s="40">
        <f t="shared" si="2"/>
        <v>2778.66</v>
      </c>
      <c r="W12" s="41">
        <v>168</v>
      </c>
      <c r="X12" s="38">
        <f t="shared" si="3"/>
        <v>466814.88</v>
      </c>
      <c r="Y12" s="42">
        <f t="shared" si="4"/>
        <v>466814.88</v>
      </c>
      <c r="Z12" s="35"/>
      <c r="AA12" s="35"/>
      <c r="AB12" s="43"/>
    </row>
    <row r="13" spans="2:28" ht="21" customHeight="1">
      <c r="B13" s="34">
        <f t="shared" si="6"/>
        <v>9</v>
      </c>
      <c r="C13" s="13" t="s">
        <v>104</v>
      </c>
      <c r="D13" s="12" t="s">
        <v>105</v>
      </c>
      <c r="E13" s="36">
        <v>42034</v>
      </c>
      <c r="F13" s="24" t="s">
        <v>106</v>
      </c>
      <c r="G13" s="13" t="s">
        <v>71</v>
      </c>
      <c r="H13" s="13" t="s">
        <v>72</v>
      </c>
      <c r="I13" s="13" t="s">
        <v>44</v>
      </c>
      <c r="J13" s="37">
        <v>801.22</v>
      </c>
      <c r="K13" s="10">
        <v>42018</v>
      </c>
      <c r="L13" s="11" t="s">
        <v>95</v>
      </c>
      <c r="M13" s="11" t="s">
        <v>46</v>
      </c>
      <c r="N13" s="13" t="s">
        <v>96</v>
      </c>
      <c r="O13" s="46" t="s">
        <v>97</v>
      </c>
      <c r="P13" s="27">
        <v>100000</v>
      </c>
      <c r="Q13" s="38">
        <f t="shared" si="0"/>
        <v>4631100</v>
      </c>
      <c r="R13" s="39" t="s">
        <v>30</v>
      </c>
      <c r="S13" s="9">
        <v>46.311</v>
      </c>
      <c r="T13" s="36">
        <f t="shared" si="7"/>
        <v>42107</v>
      </c>
      <c r="U13" s="13" t="s">
        <v>71</v>
      </c>
      <c r="V13" s="40">
        <f t="shared" si="2"/>
        <v>5557.32</v>
      </c>
      <c r="W13" s="41">
        <v>168</v>
      </c>
      <c r="X13" s="38">
        <f t="shared" si="3"/>
        <v>933629.76</v>
      </c>
      <c r="Y13" s="42">
        <f t="shared" si="4"/>
        <v>933629.76</v>
      </c>
      <c r="Z13" s="35"/>
      <c r="AA13" s="35"/>
      <c r="AB13" s="43"/>
    </row>
    <row r="14" spans="2:28" ht="45.75" customHeight="1">
      <c r="B14" s="34">
        <f t="shared" si="6"/>
        <v>10</v>
      </c>
      <c r="C14" s="13" t="s">
        <v>107</v>
      </c>
      <c r="D14" s="12" t="s">
        <v>85</v>
      </c>
      <c r="E14" s="36">
        <v>42034</v>
      </c>
      <c r="F14" s="24" t="s">
        <v>108</v>
      </c>
      <c r="G14" s="13" t="s">
        <v>71</v>
      </c>
      <c r="H14" s="13" t="s">
        <v>72</v>
      </c>
      <c r="I14" s="13" t="s">
        <v>87</v>
      </c>
      <c r="J14" s="37">
        <v>801.22</v>
      </c>
      <c r="K14" s="10">
        <v>42022</v>
      </c>
      <c r="L14" s="11" t="s">
        <v>88</v>
      </c>
      <c r="M14" s="11" t="s">
        <v>89</v>
      </c>
      <c r="N14" s="13" t="s">
        <v>90</v>
      </c>
      <c r="O14" s="11" t="s">
        <v>91</v>
      </c>
      <c r="P14" s="27">
        <v>382888</v>
      </c>
      <c r="Q14" s="38">
        <f t="shared" si="0"/>
        <v>18282902</v>
      </c>
      <c r="R14" s="39" t="s">
        <v>30</v>
      </c>
      <c r="S14" s="9">
        <v>47.75</v>
      </c>
      <c r="T14" s="36">
        <f t="shared" si="7"/>
        <v>42111</v>
      </c>
      <c r="U14" s="13" t="s">
        <v>71</v>
      </c>
      <c r="V14" s="40">
        <f t="shared" si="2"/>
        <v>21939.482399999997</v>
      </c>
      <c r="W14" s="41">
        <v>168</v>
      </c>
      <c r="X14" s="38">
        <f t="shared" si="3"/>
        <v>3685833.0431999997</v>
      </c>
      <c r="Y14" s="42">
        <f t="shared" si="4"/>
        <v>3685833.0431999997</v>
      </c>
      <c r="Z14" s="35"/>
      <c r="AA14" s="35"/>
      <c r="AB14" s="13" t="s">
        <v>163</v>
      </c>
    </row>
    <row r="15" spans="2:28" ht="21" customHeight="1">
      <c r="B15" s="34">
        <f t="shared" si="6"/>
        <v>11</v>
      </c>
      <c r="C15" s="13" t="s">
        <v>109</v>
      </c>
      <c r="D15" s="12" t="s">
        <v>110</v>
      </c>
      <c r="E15" s="36">
        <v>42034</v>
      </c>
      <c r="F15" s="24" t="s">
        <v>111</v>
      </c>
      <c r="G15" s="13" t="s">
        <v>71</v>
      </c>
      <c r="H15" s="13" t="s">
        <v>72</v>
      </c>
      <c r="I15" s="13" t="s">
        <v>44</v>
      </c>
      <c r="J15" s="37">
        <v>801.22</v>
      </c>
      <c r="K15" s="10">
        <v>42024</v>
      </c>
      <c r="L15" s="11" t="s">
        <v>112</v>
      </c>
      <c r="M15" s="47" t="s">
        <v>46</v>
      </c>
      <c r="N15" s="13" t="s">
        <v>47</v>
      </c>
      <c r="O15" s="46" t="s">
        <v>48</v>
      </c>
      <c r="P15" s="27">
        <v>949641</v>
      </c>
      <c r="Q15" s="38">
        <f t="shared" si="0"/>
        <v>44307400.136999995</v>
      </c>
      <c r="R15" s="39" t="s">
        <v>30</v>
      </c>
      <c r="S15" s="9">
        <v>46.656999999999996</v>
      </c>
      <c r="T15" s="36">
        <f t="shared" si="7"/>
        <v>42113</v>
      </c>
      <c r="U15" s="13" t="s">
        <v>71</v>
      </c>
      <c r="V15" s="40">
        <f t="shared" si="2"/>
        <v>53168.88016439999</v>
      </c>
      <c r="W15" s="41">
        <v>168</v>
      </c>
      <c r="X15" s="38">
        <f t="shared" si="3"/>
        <v>8932371.8676191978</v>
      </c>
      <c r="Y15" s="42">
        <f t="shared" si="4"/>
        <v>8932371.8676191978</v>
      </c>
      <c r="Z15" s="35"/>
      <c r="AA15" s="35"/>
      <c r="AB15" s="43"/>
    </row>
    <row r="16" spans="2:28" ht="21" customHeight="1">
      <c r="B16" s="34">
        <f t="shared" si="6"/>
        <v>12</v>
      </c>
      <c r="C16" s="13" t="s">
        <v>132</v>
      </c>
      <c r="D16" s="44" t="s">
        <v>116</v>
      </c>
      <c r="E16" s="12"/>
      <c r="F16" s="14" t="s">
        <v>133</v>
      </c>
      <c r="G16" s="13" t="s">
        <v>32</v>
      </c>
      <c r="H16" s="13" t="s">
        <v>27</v>
      </c>
      <c r="I16" s="13" t="s">
        <v>28</v>
      </c>
      <c r="J16" s="37">
        <v>801.22</v>
      </c>
      <c r="K16" s="10">
        <v>42028</v>
      </c>
      <c r="L16" s="11" t="s">
        <v>124</v>
      </c>
      <c r="M16" s="11" t="s">
        <v>29</v>
      </c>
      <c r="N16" s="13" t="s">
        <v>76</v>
      </c>
      <c r="O16" s="46" t="s">
        <v>127</v>
      </c>
      <c r="P16" s="27">
        <v>949085</v>
      </c>
      <c r="Q16" s="38">
        <f t="shared" si="0"/>
        <v>43565848.754999995</v>
      </c>
      <c r="R16" s="39" t="s">
        <v>30</v>
      </c>
      <c r="S16" s="9">
        <v>45.902999999999999</v>
      </c>
      <c r="T16" s="36">
        <f t="shared" si="7"/>
        <v>42117</v>
      </c>
      <c r="U16" s="13" t="s">
        <v>26</v>
      </c>
      <c r="V16" s="40">
        <f t="shared" si="2"/>
        <v>52279.018505999993</v>
      </c>
      <c r="W16" s="41">
        <v>168</v>
      </c>
      <c r="X16" s="38">
        <f t="shared" si="3"/>
        <v>8782875.1090079993</v>
      </c>
      <c r="Y16" s="45">
        <v>0</v>
      </c>
      <c r="Z16" s="35"/>
      <c r="AA16" s="35"/>
      <c r="AB16" s="43"/>
    </row>
    <row r="17" spans="2:28" ht="41.25">
      <c r="B17" s="34">
        <f t="shared" si="6"/>
        <v>13</v>
      </c>
      <c r="C17" s="13" t="s">
        <v>134</v>
      </c>
      <c r="D17" s="44" t="s">
        <v>116</v>
      </c>
      <c r="E17" s="12"/>
      <c r="F17" s="14" t="s">
        <v>135</v>
      </c>
      <c r="G17" s="13" t="s">
        <v>32</v>
      </c>
      <c r="H17" s="13" t="s">
        <v>27</v>
      </c>
      <c r="I17" s="13" t="s">
        <v>44</v>
      </c>
      <c r="J17" s="37">
        <v>801.22</v>
      </c>
      <c r="K17" s="10">
        <v>42028</v>
      </c>
      <c r="L17" s="11" t="s">
        <v>136</v>
      </c>
      <c r="M17" s="11" t="s">
        <v>46</v>
      </c>
      <c r="N17" s="13" t="s">
        <v>117</v>
      </c>
      <c r="O17" s="46" t="s">
        <v>137</v>
      </c>
      <c r="P17" s="27">
        <v>93586</v>
      </c>
      <c r="Q17" s="38">
        <f t="shared" si="0"/>
        <v>4343607.0180000002</v>
      </c>
      <c r="R17" s="39" t="s">
        <v>30</v>
      </c>
      <c r="S17" s="9">
        <v>46.412999999999997</v>
      </c>
      <c r="T17" s="36">
        <f t="shared" si="7"/>
        <v>42117</v>
      </c>
      <c r="U17" s="13" t="s">
        <v>26</v>
      </c>
      <c r="V17" s="40">
        <f t="shared" si="2"/>
        <v>5212.3284216000002</v>
      </c>
      <c r="W17" s="41">
        <v>168</v>
      </c>
      <c r="X17" s="38">
        <f t="shared" si="3"/>
        <v>875671.17482880002</v>
      </c>
      <c r="Y17" s="45">
        <v>0</v>
      </c>
      <c r="Z17" s="35"/>
      <c r="AA17" s="35"/>
      <c r="AB17" s="43"/>
    </row>
    <row r="18" spans="2:28" ht="41.25">
      <c r="B18" s="34">
        <f t="shared" si="6"/>
        <v>14</v>
      </c>
      <c r="C18" s="13" t="s">
        <v>138</v>
      </c>
      <c r="D18" s="44" t="s">
        <v>116</v>
      </c>
      <c r="E18" s="12"/>
      <c r="F18" s="24" t="s">
        <v>139</v>
      </c>
      <c r="G18" s="13" t="s">
        <v>42</v>
      </c>
      <c r="H18" s="13" t="s">
        <v>43</v>
      </c>
      <c r="I18" s="13" t="s">
        <v>44</v>
      </c>
      <c r="J18" s="37">
        <v>801.22</v>
      </c>
      <c r="K18" s="10">
        <v>42028</v>
      </c>
      <c r="L18" s="11" t="s">
        <v>136</v>
      </c>
      <c r="M18" s="11" t="s">
        <v>46</v>
      </c>
      <c r="N18" s="13" t="s">
        <v>117</v>
      </c>
      <c r="O18" s="46" t="s">
        <v>137</v>
      </c>
      <c r="P18" s="27">
        <v>45000</v>
      </c>
      <c r="Q18" s="38">
        <f t="shared" si="0"/>
        <v>2088584.9999999998</v>
      </c>
      <c r="R18" s="39" t="s">
        <v>30</v>
      </c>
      <c r="S18" s="9">
        <v>46.412999999999997</v>
      </c>
      <c r="T18" s="36">
        <f t="shared" si="7"/>
        <v>42117</v>
      </c>
      <c r="U18" s="13" t="s">
        <v>42</v>
      </c>
      <c r="V18" s="40">
        <f t="shared" si="2"/>
        <v>2506.3019999999997</v>
      </c>
      <c r="W18" s="41">
        <v>168</v>
      </c>
      <c r="X18" s="38">
        <f t="shared" si="3"/>
        <v>421058.73599999992</v>
      </c>
      <c r="Y18" s="45">
        <v>0</v>
      </c>
      <c r="Z18" s="35"/>
      <c r="AA18" s="35"/>
      <c r="AB18" s="43"/>
    </row>
    <row r="19" spans="2:28" ht="41.25">
      <c r="B19" s="34">
        <f t="shared" si="6"/>
        <v>15</v>
      </c>
      <c r="C19" s="13" t="s">
        <v>140</v>
      </c>
      <c r="D19" s="44" t="s">
        <v>116</v>
      </c>
      <c r="E19" s="12"/>
      <c r="F19" s="24" t="s">
        <v>141</v>
      </c>
      <c r="G19" s="13" t="s">
        <v>42</v>
      </c>
      <c r="H19" s="13" t="s">
        <v>43</v>
      </c>
      <c r="I19" s="13" t="s">
        <v>44</v>
      </c>
      <c r="J19" s="37">
        <v>801.22</v>
      </c>
      <c r="K19" s="10">
        <v>42028</v>
      </c>
      <c r="L19" s="11" t="s">
        <v>136</v>
      </c>
      <c r="M19" s="11" t="s">
        <v>46</v>
      </c>
      <c r="N19" s="13" t="s">
        <v>117</v>
      </c>
      <c r="O19" s="46" t="s">
        <v>137</v>
      </c>
      <c r="P19" s="27">
        <v>43000</v>
      </c>
      <c r="Q19" s="38">
        <f t="shared" si="0"/>
        <v>1995758.9999999998</v>
      </c>
      <c r="R19" s="39" t="s">
        <v>30</v>
      </c>
      <c r="S19" s="9">
        <v>46.412999999999997</v>
      </c>
      <c r="T19" s="36">
        <f t="shared" si="7"/>
        <v>42117</v>
      </c>
      <c r="U19" s="13" t="s">
        <v>42</v>
      </c>
      <c r="V19" s="40">
        <f t="shared" si="2"/>
        <v>2394.9107999999997</v>
      </c>
      <c r="W19" s="41">
        <v>168</v>
      </c>
      <c r="X19" s="38">
        <f t="shared" si="3"/>
        <v>402345.01439999993</v>
      </c>
      <c r="Y19" s="45">
        <v>0</v>
      </c>
      <c r="Z19" s="35"/>
      <c r="AA19" s="35"/>
      <c r="AB19" s="43"/>
    </row>
    <row r="20" spans="2:28" ht="41.25">
      <c r="B20" s="34">
        <f t="shared" si="6"/>
        <v>16</v>
      </c>
      <c r="C20" s="13" t="s">
        <v>142</v>
      </c>
      <c r="D20" s="44" t="s">
        <v>116</v>
      </c>
      <c r="E20" s="12"/>
      <c r="F20" s="24" t="s">
        <v>143</v>
      </c>
      <c r="G20" s="13" t="s">
        <v>55</v>
      </c>
      <c r="H20" s="13" t="s">
        <v>43</v>
      </c>
      <c r="I20" s="13" t="s">
        <v>44</v>
      </c>
      <c r="J20" s="37">
        <v>801.22</v>
      </c>
      <c r="K20" s="10">
        <v>42028</v>
      </c>
      <c r="L20" s="11" t="s">
        <v>136</v>
      </c>
      <c r="M20" s="11" t="s">
        <v>46</v>
      </c>
      <c r="N20" s="13" t="s">
        <v>117</v>
      </c>
      <c r="O20" s="46" t="s">
        <v>137</v>
      </c>
      <c r="P20" s="27">
        <v>80000</v>
      </c>
      <c r="Q20" s="38">
        <f t="shared" si="0"/>
        <v>3713039.9999999995</v>
      </c>
      <c r="R20" s="39" t="s">
        <v>30</v>
      </c>
      <c r="S20" s="9">
        <v>46.412999999999997</v>
      </c>
      <c r="T20" s="36">
        <f t="shared" si="7"/>
        <v>42117</v>
      </c>
      <c r="U20" s="13" t="s">
        <v>42</v>
      </c>
      <c r="V20" s="40">
        <f t="shared" si="2"/>
        <v>4455.6479999999992</v>
      </c>
      <c r="W20" s="41">
        <v>168</v>
      </c>
      <c r="X20" s="38">
        <f t="shared" si="3"/>
        <v>748548.86399999983</v>
      </c>
      <c r="Y20" s="45">
        <v>0</v>
      </c>
      <c r="Z20" s="35"/>
      <c r="AA20" s="35"/>
      <c r="AB20" s="43"/>
    </row>
    <row r="21" spans="2:28" ht="19.5" customHeight="1">
      <c r="B21" s="34">
        <f t="shared" si="6"/>
        <v>17</v>
      </c>
      <c r="C21" s="13" t="s">
        <v>144</v>
      </c>
      <c r="D21" s="44" t="s">
        <v>116</v>
      </c>
      <c r="E21" s="12"/>
      <c r="F21" s="24" t="s">
        <v>145</v>
      </c>
      <c r="G21" s="13" t="s">
        <v>120</v>
      </c>
      <c r="H21" s="13" t="s">
        <v>126</v>
      </c>
      <c r="I21" s="13" t="s">
        <v>121</v>
      </c>
      <c r="J21" s="37">
        <v>801.22</v>
      </c>
      <c r="K21" s="10">
        <v>42030</v>
      </c>
      <c r="L21" s="11" t="s">
        <v>146</v>
      </c>
      <c r="M21" s="11" t="s">
        <v>122</v>
      </c>
      <c r="N21" s="13" t="s">
        <v>117</v>
      </c>
      <c r="O21" s="46" t="s">
        <v>125</v>
      </c>
      <c r="P21" s="27">
        <v>629001</v>
      </c>
      <c r="Q21" s="38">
        <f t="shared" si="0"/>
        <v>26693544.438000001</v>
      </c>
      <c r="R21" s="39" t="s">
        <v>30</v>
      </c>
      <c r="S21" s="48">
        <v>42.438000000000002</v>
      </c>
      <c r="T21" s="36">
        <f t="shared" si="7"/>
        <v>42119</v>
      </c>
      <c r="U21" s="13" t="s">
        <v>123</v>
      </c>
      <c r="V21" s="40">
        <f t="shared" ref="V21:V22" si="8">SUM(Q21*0.12%)</f>
        <v>32032.253325599999</v>
      </c>
      <c r="W21" s="41">
        <v>168</v>
      </c>
      <c r="X21" s="38">
        <f t="shared" si="3"/>
        <v>5381418.5587007999</v>
      </c>
      <c r="Y21" s="45">
        <v>0</v>
      </c>
      <c r="Z21" s="35"/>
      <c r="AA21" s="35"/>
      <c r="AB21" s="43"/>
    </row>
    <row r="22" spans="2:28" ht="21.75" customHeight="1" thickBot="1">
      <c r="B22" s="34">
        <f t="shared" si="6"/>
        <v>18</v>
      </c>
      <c r="C22" s="13" t="s">
        <v>147</v>
      </c>
      <c r="D22" s="44" t="s">
        <v>116</v>
      </c>
      <c r="E22" s="12"/>
      <c r="F22" s="24" t="s">
        <v>148</v>
      </c>
      <c r="G22" s="13" t="s">
        <v>123</v>
      </c>
      <c r="H22" s="13" t="s">
        <v>113</v>
      </c>
      <c r="I22" s="13" t="s">
        <v>87</v>
      </c>
      <c r="J22" s="37">
        <v>801.22</v>
      </c>
      <c r="K22" s="10">
        <v>42031</v>
      </c>
      <c r="L22" s="11" t="s">
        <v>119</v>
      </c>
      <c r="M22" s="11" t="s">
        <v>89</v>
      </c>
      <c r="N22" s="13" t="s">
        <v>117</v>
      </c>
      <c r="O22" s="46" t="s">
        <v>149</v>
      </c>
      <c r="P22" s="27">
        <v>950710</v>
      </c>
      <c r="Q22" s="38">
        <f t="shared" si="0"/>
        <v>45173936.359999999</v>
      </c>
      <c r="R22" s="39" t="s">
        <v>30</v>
      </c>
      <c r="S22" s="9">
        <v>47.515999999999998</v>
      </c>
      <c r="T22" s="36">
        <f t="shared" si="7"/>
        <v>42120</v>
      </c>
      <c r="U22" s="13" t="s">
        <v>114</v>
      </c>
      <c r="V22" s="40">
        <f t="shared" si="8"/>
        <v>54208.723631999994</v>
      </c>
      <c r="W22" s="41">
        <v>168</v>
      </c>
      <c r="X22" s="38">
        <f t="shared" si="3"/>
        <v>9107065.5701759998</v>
      </c>
      <c r="Y22" s="45">
        <v>0</v>
      </c>
      <c r="Z22" s="35"/>
      <c r="AA22" s="35"/>
      <c r="AB22" s="43"/>
    </row>
    <row r="23" spans="2:28" ht="15.75" thickBot="1">
      <c r="B23" s="49"/>
      <c r="C23" s="50"/>
      <c r="D23" s="50"/>
      <c r="E23" s="50"/>
      <c r="F23" s="50"/>
      <c r="G23" s="50"/>
      <c r="H23" s="50"/>
      <c r="I23" s="50"/>
      <c r="J23" s="49"/>
      <c r="K23" s="51"/>
      <c r="L23" s="50"/>
      <c r="M23" s="50"/>
      <c r="N23" s="52"/>
      <c r="O23" s="53"/>
      <c r="P23" s="54">
        <f>SUM(P5:P22)</f>
        <v>8174774</v>
      </c>
      <c r="Q23" s="55">
        <f>SUM(Q5:Q22)</f>
        <v>387172314.36900002</v>
      </c>
      <c r="R23" s="49"/>
      <c r="S23" s="56"/>
      <c r="T23" s="51"/>
      <c r="U23" s="50"/>
      <c r="V23" s="55">
        <f>SUM(V5:V22)</f>
        <v>464606.77724279993</v>
      </c>
      <c r="W23" s="49"/>
      <c r="X23" s="55">
        <f>SUM(X5:X22)</f>
        <v>78053938.576790392</v>
      </c>
      <c r="Y23" s="55">
        <f>SUM(Y5:Y22)</f>
        <v>39757223.232115194</v>
      </c>
      <c r="Z23" s="49"/>
      <c r="AA23" s="49"/>
      <c r="AB23" s="49"/>
    </row>
  </sheetData>
  <pageMargins left="0" right="0" top="0" bottom="0" header="0.31496062992125984" footer="0"/>
  <pageSetup paperSize="8" orientation="landscape" r:id="rId1"/>
  <ignoredErrors>
    <ignoredError sqref="F9:F22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B22"/>
  <sheetViews>
    <sheetView topLeftCell="F10" workbookViewId="0">
      <selection activeCell="AB21" sqref="AB21"/>
    </sheetView>
  </sheetViews>
  <sheetFormatPr defaultRowHeight="15"/>
  <cols>
    <col min="1" max="1" width="4" customWidth="1"/>
    <col min="2" max="2" width="4.140625" customWidth="1"/>
    <col min="3" max="3" width="4.85546875" customWidth="1"/>
    <col min="4" max="4" width="8.140625" style="4" customWidth="1"/>
    <col min="5" max="5" width="5.5703125" style="4" customWidth="1"/>
    <col min="6" max="6" width="9.85546875" style="4" customWidth="1"/>
    <col min="7" max="7" width="7.85546875" style="4" customWidth="1"/>
    <col min="8" max="8" width="9" style="4" customWidth="1"/>
    <col min="9" max="9" width="9.42578125" style="4" customWidth="1"/>
    <col min="10" max="10" width="6.140625" customWidth="1"/>
    <col min="11" max="11" width="6.42578125" style="1" customWidth="1"/>
    <col min="12" max="12" width="7.42578125" style="4" customWidth="1"/>
    <col min="13" max="13" width="5.5703125" style="1" customWidth="1"/>
    <col min="14" max="14" width="7.140625" style="6" customWidth="1"/>
    <col min="15" max="15" width="9.85546875" style="7" customWidth="1"/>
    <col min="16" max="16" width="7.85546875" customWidth="1"/>
    <col min="17" max="17" width="12.85546875" customWidth="1"/>
    <col min="18" max="18" width="5.85546875" customWidth="1"/>
    <col min="19" max="19" width="6.42578125" style="8" customWidth="1"/>
    <col min="20" max="20" width="6.85546875" style="1" customWidth="1"/>
    <col min="21" max="21" width="7.28515625" style="4" customWidth="1"/>
    <col min="22" max="22" width="9.5703125" customWidth="1"/>
    <col min="23" max="23" width="5.42578125" customWidth="1"/>
    <col min="24" max="25" width="11.42578125" customWidth="1"/>
    <col min="26" max="26" width="5.7109375" customWidth="1"/>
    <col min="27" max="27" width="6" customWidth="1"/>
  </cols>
  <sheetData>
    <row r="2" spans="2:28" ht="15.75">
      <c r="L2" s="5" t="s">
        <v>0</v>
      </c>
    </row>
    <row r="3" spans="2:28" ht="17.25" customHeight="1" thickBot="1">
      <c r="L3" s="5" t="s">
        <v>38</v>
      </c>
      <c r="P3" s="2"/>
    </row>
    <row r="4" spans="2:28" s="4" customFormat="1" ht="51.75" customHeight="1" thickBot="1">
      <c r="B4" s="15" t="s">
        <v>1</v>
      </c>
      <c r="C4" s="16" t="s">
        <v>2</v>
      </c>
      <c r="D4" s="16" t="s">
        <v>3</v>
      </c>
      <c r="E4" s="16" t="s">
        <v>4</v>
      </c>
      <c r="F4" s="17" t="s">
        <v>5</v>
      </c>
      <c r="G4" s="18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9" t="s">
        <v>18</v>
      </c>
      <c r="T4" s="16" t="s">
        <v>19</v>
      </c>
      <c r="U4" s="16" t="s">
        <v>161</v>
      </c>
      <c r="V4" s="16" t="s">
        <v>20</v>
      </c>
      <c r="W4" s="16" t="s">
        <v>21</v>
      </c>
      <c r="X4" s="16" t="s">
        <v>22</v>
      </c>
      <c r="Y4" s="16" t="s">
        <v>23</v>
      </c>
      <c r="Z4" s="16" t="s">
        <v>24</v>
      </c>
      <c r="AA4" s="16" t="s">
        <v>25</v>
      </c>
      <c r="AB4" s="20" t="s">
        <v>152</v>
      </c>
    </row>
    <row r="5" spans="2:28" ht="24" customHeight="1">
      <c r="B5" s="21">
        <v>1</v>
      </c>
      <c r="C5" s="11" t="s">
        <v>36</v>
      </c>
      <c r="D5" s="10" t="s">
        <v>37</v>
      </c>
      <c r="E5" s="10">
        <v>42031</v>
      </c>
      <c r="F5" s="24" t="s">
        <v>34</v>
      </c>
      <c r="G5" s="11" t="s">
        <v>32</v>
      </c>
      <c r="H5" s="11" t="s">
        <v>27</v>
      </c>
      <c r="I5" s="11" t="s">
        <v>28</v>
      </c>
      <c r="J5" s="25">
        <v>801.22</v>
      </c>
      <c r="K5" s="10">
        <v>41943</v>
      </c>
      <c r="L5" s="11" t="s">
        <v>35</v>
      </c>
      <c r="M5" s="11" t="s">
        <v>29</v>
      </c>
      <c r="N5" s="11" t="s">
        <v>31</v>
      </c>
      <c r="O5" s="26" t="s">
        <v>33</v>
      </c>
      <c r="P5" s="27">
        <v>905784</v>
      </c>
      <c r="Q5" s="28">
        <f t="shared" ref="Q5" si="0">SUM(P5*S5)</f>
        <v>73855815.791999996</v>
      </c>
      <c r="R5" s="29" t="s">
        <v>30</v>
      </c>
      <c r="S5" s="59">
        <v>81.537999999999997</v>
      </c>
      <c r="T5" s="23">
        <f t="shared" ref="T5" si="1">SUM(K5)+89</f>
        <v>42032</v>
      </c>
      <c r="U5" s="26" t="s">
        <v>26</v>
      </c>
      <c r="V5" s="30">
        <f t="shared" ref="V5" si="2">SUM(Q5*0.12%)</f>
        <v>88626.978950399993</v>
      </c>
      <c r="W5" s="22">
        <v>155.76</v>
      </c>
      <c r="X5" s="28">
        <f t="shared" ref="X5:X21" si="3">SUM(V5*W5)</f>
        <v>13804538.241314301</v>
      </c>
      <c r="Y5" s="32">
        <v>13804538.4</v>
      </c>
      <c r="Z5" s="23">
        <v>42020</v>
      </c>
      <c r="AA5" s="60">
        <v>1881</v>
      </c>
      <c r="AB5" s="33"/>
    </row>
    <row r="6" spans="2:28" ht="21.75" customHeight="1">
      <c r="B6" s="34">
        <f t="shared" ref="B6:B21" si="4">B5+1</f>
        <v>2</v>
      </c>
      <c r="C6" s="13" t="s">
        <v>39</v>
      </c>
      <c r="D6" s="13" t="s">
        <v>40</v>
      </c>
      <c r="E6" s="12">
        <v>42034</v>
      </c>
      <c r="F6" s="24" t="s">
        <v>41</v>
      </c>
      <c r="G6" s="13" t="s">
        <v>42</v>
      </c>
      <c r="H6" s="13" t="s">
        <v>43</v>
      </c>
      <c r="I6" s="13" t="s">
        <v>44</v>
      </c>
      <c r="J6" s="37">
        <v>801.22</v>
      </c>
      <c r="K6" s="10">
        <v>41971</v>
      </c>
      <c r="L6" s="11" t="s">
        <v>45</v>
      </c>
      <c r="M6" s="11" t="s">
        <v>46</v>
      </c>
      <c r="N6" s="13" t="s">
        <v>47</v>
      </c>
      <c r="O6" s="46" t="s">
        <v>48</v>
      </c>
      <c r="P6" s="27">
        <v>65000</v>
      </c>
      <c r="Q6" s="38">
        <f t="shared" ref="Q6:Q21" si="5">SUM(P6*S6)</f>
        <v>5116085</v>
      </c>
      <c r="R6" s="39" t="s">
        <v>30</v>
      </c>
      <c r="S6" s="9">
        <v>78.709000000000003</v>
      </c>
      <c r="T6" s="36">
        <f t="shared" ref="T6:T8" si="6">SUM(K6)+89</f>
        <v>42060</v>
      </c>
      <c r="U6" s="13" t="s">
        <v>42</v>
      </c>
      <c r="V6" s="40">
        <f t="shared" ref="V6:V21" si="7">SUM(Q6*0.12%)</f>
        <v>6139.3019999999997</v>
      </c>
      <c r="W6" s="41">
        <v>165</v>
      </c>
      <c r="X6" s="38">
        <f t="shared" si="3"/>
        <v>1012984.83</v>
      </c>
      <c r="Y6" s="42">
        <v>1012984.83</v>
      </c>
      <c r="Z6" s="36">
        <v>42032</v>
      </c>
      <c r="AA6" s="61">
        <v>4443</v>
      </c>
      <c r="AB6" s="43"/>
    </row>
    <row r="7" spans="2:28" ht="21.75" customHeight="1">
      <c r="B7" s="34">
        <f t="shared" si="4"/>
        <v>3</v>
      </c>
      <c r="C7" s="13" t="s">
        <v>49</v>
      </c>
      <c r="D7" s="13" t="s">
        <v>50</v>
      </c>
      <c r="E7" s="12">
        <v>42034</v>
      </c>
      <c r="F7" s="24" t="s">
        <v>51</v>
      </c>
      <c r="G7" s="13" t="s">
        <v>42</v>
      </c>
      <c r="H7" s="13" t="s">
        <v>43</v>
      </c>
      <c r="I7" s="13" t="s">
        <v>44</v>
      </c>
      <c r="J7" s="37">
        <v>801.22</v>
      </c>
      <c r="K7" s="10">
        <v>41971</v>
      </c>
      <c r="L7" s="11" t="s">
        <v>45</v>
      </c>
      <c r="M7" s="11" t="s">
        <v>46</v>
      </c>
      <c r="N7" s="13" t="s">
        <v>47</v>
      </c>
      <c r="O7" s="46" t="s">
        <v>48</v>
      </c>
      <c r="P7" s="27">
        <v>61000</v>
      </c>
      <c r="Q7" s="38">
        <f t="shared" si="5"/>
        <v>4801249</v>
      </c>
      <c r="R7" s="39" t="s">
        <v>30</v>
      </c>
      <c r="S7" s="9">
        <v>78.709000000000003</v>
      </c>
      <c r="T7" s="36">
        <f t="shared" si="6"/>
        <v>42060</v>
      </c>
      <c r="U7" s="13" t="s">
        <v>42</v>
      </c>
      <c r="V7" s="40">
        <f t="shared" si="7"/>
        <v>5761.4987999999994</v>
      </c>
      <c r="W7" s="41">
        <v>165</v>
      </c>
      <c r="X7" s="38">
        <f t="shared" si="3"/>
        <v>950647.30199999991</v>
      </c>
      <c r="Y7" s="42">
        <v>950647.3</v>
      </c>
      <c r="Z7" s="36">
        <v>42032</v>
      </c>
      <c r="AA7" s="61">
        <v>4444</v>
      </c>
      <c r="AB7" s="43"/>
    </row>
    <row r="8" spans="2:28" ht="21.75" customHeight="1">
      <c r="B8" s="34">
        <f t="shared" si="4"/>
        <v>4</v>
      </c>
      <c r="C8" s="13" t="s">
        <v>52</v>
      </c>
      <c r="D8" s="13" t="s">
        <v>53</v>
      </c>
      <c r="E8" s="12">
        <v>42034</v>
      </c>
      <c r="F8" s="24" t="s">
        <v>54</v>
      </c>
      <c r="G8" s="13" t="s">
        <v>55</v>
      </c>
      <c r="H8" s="13" t="s">
        <v>43</v>
      </c>
      <c r="I8" s="13" t="s">
        <v>44</v>
      </c>
      <c r="J8" s="37">
        <v>801.22</v>
      </c>
      <c r="K8" s="10">
        <v>41971</v>
      </c>
      <c r="L8" s="11" t="s">
        <v>45</v>
      </c>
      <c r="M8" s="11" t="s">
        <v>46</v>
      </c>
      <c r="N8" s="13" t="s">
        <v>47</v>
      </c>
      <c r="O8" s="46" t="s">
        <v>48</v>
      </c>
      <c r="P8" s="27">
        <v>45000</v>
      </c>
      <c r="Q8" s="38">
        <f t="shared" si="5"/>
        <v>3541905</v>
      </c>
      <c r="R8" s="39" t="s">
        <v>30</v>
      </c>
      <c r="S8" s="9">
        <v>78.709000000000003</v>
      </c>
      <c r="T8" s="36">
        <f t="shared" si="6"/>
        <v>42060</v>
      </c>
      <c r="U8" s="13" t="s">
        <v>42</v>
      </c>
      <c r="V8" s="40">
        <f t="shared" si="7"/>
        <v>4250.2860000000001</v>
      </c>
      <c r="W8" s="41">
        <v>165</v>
      </c>
      <c r="X8" s="38">
        <f t="shared" si="3"/>
        <v>701297.19000000006</v>
      </c>
      <c r="Y8" s="42">
        <v>701297.19</v>
      </c>
      <c r="Z8" s="36">
        <v>42032</v>
      </c>
      <c r="AA8" s="61">
        <v>4445</v>
      </c>
      <c r="AB8" s="43"/>
    </row>
    <row r="9" spans="2:28" ht="31.5" customHeight="1">
      <c r="B9" s="34">
        <f t="shared" si="4"/>
        <v>5</v>
      </c>
      <c r="C9" s="13" t="s">
        <v>56</v>
      </c>
      <c r="D9" s="62" t="s">
        <v>57</v>
      </c>
      <c r="E9" s="12">
        <v>42034</v>
      </c>
      <c r="F9" s="24" t="s">
        <v>58</v>
      </c>
      <c r="G9" s="13" t="s">
        <v>59</v>
      </c>
      <c r="H9" s="13" t="s">
        <v>60</v>
      </c>
      <c r="I9" s="13" t="s">
        <v>44</v>
      </c>
      <c r="J9" s="37">
        <v>801.22</v>
      </c>
      <c r="K9" s="10">
        <v>41941</v>
      </c>
      <c r="L9" s="11" t="s">
        <v>61</v>
      </c>
      <c r="M9" s="11" t="s">
        <v>46</v>
      </c>
      <c r="N9" s="13" t="s">
        <v>62</v>
      </c>
      <c r="O9" s="46" t="s">
        <v>63</v>
      </c>
      <c r="P9" s="27">
        <v>58000</v>
      </c>
      <c r="Q9" s="63">
        <f t="shared" si="5"/>
        <v>5049248</v>
      </c>
      <c r="R9" s="39" t="s">
        <v>30</v>
      </c>
      <c r="S9" s="9">
        <v>87.055999999999997</v>
      </c>
      <c r="T9" s="36">
        <f t="shared" ref="T9:T10" si="8">SUM(K9)+89</f>
        <v>42030</v>
      </c>
      <c r="U9" s="13" t="s">
        <v>64</v>
      </c>
      <c r="V9" s="40">
        <f t="shared" si="7"/>
        <v>6059.0975999999991</v>
      </c>
      <c r="W9" s="35">
        <v>155.76</v>
      </c>
      <c r="X9" s="38">
        <f t="shared" si="3"/>
        <v>943765.04217599984</v>
      </c>
      <c r="Y9" s="42">
        <v>943765.04</v>
      </c>
      <c r="Z9" s="36">
        <v>42034</v>
      </c>
      <c r="AA9" s="61">
        <v>29122</v>
      </c>
      <c r="AB9" s="43"/>
    </row>
    <row r="10" spans="2:28" ht="31.5" customHeight="1">
      <c r="B10" s="34">
        <f t="shared" si="4"/>
        <v>6</v>
      </c>
      <c r="C10" s="13" t="s">
        <v>65</v>
      </c>
      <c r="D10" s="62" t="s">
        <v>66</v>
      </c>
      <c r="E10" s="12">
        <v>42034</v>
      </c>
      <c r="F10" s="24" t="s">
        <v>67</v>
      </c>
      <c r="G10" s="13" t="s">
        <v>59</v>
      </c>
      <c r="H10" s="13" t="s">
        <v>60</v>
      </c>
      <c r="I10" s="13" t="s">
        <v>44</v>
      </c>
      <c r="J10" s="37">
        <v>801.22</v>
      </c>
      <c r="K10" s="10">
        <v>41971</v>
      </c>
      <c r="L10" s="11" t="s">
        <v>45</v>
      </c>
      <c r="M10" s="11" t="s">
        <v>46</v>
      </c>
      <c r="N10" s="13" t="s">
        <v>47</v>
      </c>
      <c r="O10" s="46" t="s">
        <v>48</v>
      </c>
      <c r="P10" s="27">
        <v>169000</v>
      </c>
      <c r="Q10" s="38">
        <f t="shared" si="5"/>
        <v>13335621.000000002</v>
      </c>
      <c r="R10" s="39" t="s">
        <v>30</v>
      </c>
      <c r="S10" s="9">
        <v>78.909000000000006</v>
      </c>
      <c r="T10" s="36">
        <f t="shared" si="8"/>
        <v>42060</v>
      </c>
      <c r="U10" s="46" t="s">
        <v>64</v>
      </c>
      <c r="V10" s="40">
        <f t="shared" si="7"/>
        <v>16002.745200000001</v>
      </c>
      <c r="W10" s="41">
        <v>165</v>
      </c>
      <c r="X10" s="38">
        <f t="shared" si="3"/>
        <v>2640452.9580000001</v>
      </c>
      <c r="Y10" s="42">
        <v>2640452.96</v>
      </c>
      <c r="Z10" s="36">
        <v>42034</v>
      </c>
      <c r="AA10" s="61">
        <v>29123</v>
      </c>
      <c r="AB10" s="43"/>
    </row>
    <row r="11" spans="2:28" s="72" customFormat="1" ht="29.25" customHeight="1">
      <c r="B11" s="34">
        <f t="shared" si="4"/>
        <v>7</v>
      </c>
      <c r="C11" s="76" t="s">
        <v>153</v>
      </c>
      <c r="D11" s="74" t="s">
        <v>154</v>
      </c>
      <c r="E11" s="74">
        <v>42034</v>
      </c>
      <c r="F11" s="75" t="s">
        <v>155</v>
      </c>
      <c r="G11" s="76" t="s">
        <v>32</v>
      </c>
      <c r="H11" s="76" t="s">
        <v>27</v>
      </c>
      <c r="I11" s="76" t="s">
        <v>28</v>
      </c>
      <c r="J11" s="68">
        <v>801.22</v>
      </c>
      <c r="K11" s="77">
        <v>41884</v>
      </c>
      <c r="L11" s="78" t="s">
        <v>156</v>
      </c>
      <c r="M11" s="78" t="s">
        <v>29</v>
      </c>
      <c r="N11" s="76" t="s">
        <v>76</v>
      </c>
      <c r="O11" s="79" t="s">
        <v>127</v>
      </c>
      <c r="P11" s="80">
        <v>949286</v>
      </c>
      <c r="Q11" s="69">
        <f>SUM(P11*S11)</f>
        <v>92941744.401999995</v>
      </c>
      <c r="R11" s="70" t="s">
        <v>30</v>
      </c>
      <c r="S11" s="9">
        <v>97.906999999999996</v>
      </c>
      <c r="T11" s="81">
        <f>SUM(K11)+89</f>
        <v>41973</v>
      </c>
      <c r="U11" s="82" t="s">
        <v>26</v>
      </c>
      <c r="V11" s="71">
        <f>SUM(Q11*0.12%)</f>
        <v>111530.09328239999</v>
      </c>
      <c r="W11" s="73">
        <v>155.75</v>
      </c>
      <c r="X11" s="69">
        <f>SUM(V11*W11)</f>
        <v>17370812.028733797</v>
      </c>
      <c r="Y11" s="83">
        <v>17370811.52</v>
      </c>
      <c r="Z11" s="81">
        <v>41967</v>
      </c>
      <c r="AA11" s="84">
        <v>1791</v>
      </c>
      <c r="AB11" s="85"/>
    </row>
    <row r="12" spans="2:28" s="72" customFormat="1" ht="33">
      <c r="B12" s="34">
        <f t="shared" si="4"/>
        <v>8</v>
      </c>
      <c r="C12" s="76" t="s">
        <v>157</v>
      </c>
      <c r="D12" s="74" t="s">
        <v>158</v>
      </c>
      <c r="E12" s="74">
        <v>42034</v>
      </c>
      <c r="F12" s="86">
        <v>201400020016</v>
      </c>
      <c r="G12" s="76" t="s">
        <v>32</v>
      </c>
      <c r="H12" s="76" t="s">
        <v>27</v>
      </c>
      <c r="I12" s="76" t="s">
        <v>44</v>
      </c>
      <c r="J12" s="68">
        <v>801.22</v>
      </c>
      <c r="K12" s="77">
        <v>41904</v>
      </c>
      <c r="L12" s="78" t="s">
        <v>159</v>
      </c>
      <c r="M12" s="78" t="s">
        <v>46</v>
      </c>
      <c r="N12" s="76" t="s">
        <v>90</v>
      </c>
      <c r="O12" s="82" t="s">
        <v>160</v>
      </c>
      <c r="P12" s="80">
        <v>110000</v>
      </c>
      <c r="Q12" s="69">
        <f>SUM(P12*S12)</f>
        <v>10464630</v>
      </c>
      <c r="R12" s="70" t="s">
        <v>30</v>
      </c>
      <c r="S12" s="9">
        <v>95.132999999999996</v>
      </c>
      <c r="T12" s="81">
        <f>SUM(K12)+89</f>
        <v>41993</v>
      </c>
      <c r="U12" s="82" t="s">
        <v>26</v>
      </c>
      <c r="V12" s="71">
        <f>SUM(Q12*0.12%)</f>
        <v>12557.555999999999</v>
      </c>
      <c r="W12" s="73">
        <v>155.75</v>
      </c>
      <c r="X12" s="69">
        <f>SUM(V12*W12)</f>
        <v>1955839.3469999998</v>
      </c>
      <c r="Y12" s="83">
        <v>1955839.97</v>
      </c>
      <c r="Z12" s="81">
        <v>41967</v>
      </c>
      <c r="AA12" s="84">
        <v>1792</v>
      </c>
      <c r="AB12" s="85"/>
    </row>
    <row r="13" spans="2:28" ht="30.75" customHeight="1">
      <c r="B13" s="34">
        <f t="shared" si="4"/>
        <v>9</v>
      </c>
      <c r="C13" s="13" t="s">
        <v>68</v>
      </c>
      <c r="D13" s="12" t="s">
        <v>69</v>
      </c>
      <c r="E13" s="36">
        <v>42034</v>
      </c>
      <c r="F13" s="24" t="s">
        <v>70</v>
      </c>
      <c r="G13" s="13" t="s">
        <v>71</v>
      </c>
      <c r="H13" s="13" t="s">
        <v>72</v>
      </c>
      <c r="I13" s="13" t="s">
        <v>73</v>
      </c>
      <c r="J13" s="37">
        <v>801.22</v>
      </c>
      <c r="K13" s="10">
        <v>42007</v>
      </c>
      <c r="L13" s="11" t="s">
        <v>74</v>
      </c>
      <c r="M13" s="11" t="s">
        <v>75</v>
      </c>
      <c r="N13" s="13" t="s">
        <v>76</v>
      </c>
      <c r="O13" s="26" t="s">
        <v>77</v>
      </c>
      <c r="P13" s="27">
        <v>899901</v>
      </c>
      <c r="Q13" s="38">
        <f t="shared" si="5"/>
        <v>48713440.931999996</v>
      </c>
      <c r="R13" s="39" t="s">
        <v>30</v>
      </c>
      <c r="S13" s="9">
        <v>54.131999999999998</v>
      </c>
      <c r="T13" s="36">
        <f t="shared" ref="T13:T21" si="9">SUM(K13)+89</f>
        <v>42096</v>
      </c>
      <c r="U13" s="13" t="s">
        <v>71</v>
      </c>
      <c r="V13" s="40">
        <f t="shared" si="7"/>
        <v>58456.129118399993</v>
      </c>
      <c r="W13" s="41">
        <v>168</v>
      </c>
      <c r="X13" s="38">
        <f t="shared" si="3"/>
        <v>9820629.691891199</v>
      </c>
      <c r="Y13" s="42">
        <f t="shared" ref="Y13:Y21" si="10">X13</f>
        <v>9820629.691891199</v>
      </c>
      <c r="Z13" s="35"/>
      <c r="AA13" s="35"/>
      <c r="AB13" s="43"/>
    </row>
    <row r="14" spans="2:28" ht="21" customHeight="1">
      <c r="B14" s="34">
        <f t="shared" si="4"/>
        <v>10</v>
      </c>
      <c r="C14" s="13" t="s">
        <v>78</v>
      </c>
      <c r="D14" s="12" t="s">
        <v>79</v>
      </c>
      <c r="E14" s="36">
        <v>42034</v>
      </c>
      <c r="F14" s="24" t="s">
        <v>80</v>
      </c>
      <c r="G14" s="13" t="s">
        <v>71</v>
      </c>
      <c r="H14" s="13" t="s">
        <v>72</v>
      </c>
      <c r="I14" s="13" t="s">
        <v>44</v>
      </c>
      <c r="J14" s="37">
        <v>801.22</v>
      </c>
      <c r="K14" s="10">
        <v>42010</v>
      </c>
      <c r="L14" s="11" t="s">
        <v>81</v>
      </c>
      <c r="M14" s="11" t="s">
        <v>46</v>
      </c>
      <c r="N14" s="13" t="s">
        <v>82</v>
      </c>
      <c r="O14" s="26" t="s">
        <v>83</v>
      </c>
      <c r="P14" s="27">
        <v>949665</v>
      </c>
      <c r="Q14" s="38">
        <f t="shared" si="5"/>
        <v>47475652.68</v>
      </c>
      <c r="R14" s="39" t="s">
        <v>30</v>
      </c>
      <c r="S14" s="9">
        <v>49.991999999999997</v>
      </c>
      <c r="T14" s="36">
        <f t="shared" si="9"/>
        <v>42099</v>
      </c>
      <c r="U14" s="13" t="s">
        <v>71</v>
      </c>
      <c r="V14" s="40">
        <f t="shared" si="7"/>
        <v>56970.783215999996</v>
      </c>
      <c r="W14" s="41">
        <v>168</v>
      </c>
      <c r="X14" s="38">
        <f t="shared" si="3"/>
        <v>9571091.5802879985</v>
      </c>
      <c r="Y14" s="42">
        <f t="shared" si="10"/>
        <v>9571091.5802879985</v>
      </c>
      <c r="Z14" s="35"/>
      <c r="AA14" s="35"/>
      <c r="AB14" s="43"/>
    </row>
    <row r="15" spans="2:28" ht="53.25" customHeight="1">
      <c r="B15" s="34">
        <f t="shared" si="4"/>
        <v>11</v>
      </c>
      <c r="C15" s="13" t="s">
        <v>84</v>
      </c>
      <c r="D15" s="12" t="s">
        <v>85</v>
      </c>
      <c r="E15" s="36">
        <v>42034</v>
      </c>
      <c r="F15" s="24" t="s">
        <v>86</v>
      </c>
      <c r="G15" s="13" t="s">
        <v>71</v>
      </c>
      <c r="H15" s="13" t="s">
        <v>72</v>
      </c>
      <c r="I15" s="13" t="s">
        <v>87</v>
      </c>
      <c r="J15" s="37">
        <v>801.22</v>
      </c>
      <c r="K15" s="10">
        <v>42015</v>
      </c>
      <c r="L15" s="11" t="s">
        <v>88</v>
      </c>
      <c r="M15" s="11" t="s">
        <v>89</v>
      </c>
      <c r="N15" s="13" t="s">
        <v>90</v>
      </c>
      <c r="O15" s="11" t="s">
        <v>91</v>
      </c>
      <c r="P15" s="27">
        <v>613871</v>
      </c>
      <c r="Q15" s="38">
        <f t="shared" si="5"/>
        <v>29166852.822999999</v>
      </c>
      <c r="R15" s="39" t="s">
        <v>30</v>
      </c>
      <c r="S15" s="9">
        <v>47.512999999999998</v>
      </c>
      <c r="T15" s="36">
        <f t="shared" si="9"/>
        <v>42104</v>
      </c>
      <c r="U15" s="13" t="s">
        <v>71</v>
      </c>
      <c r="V15" s="40">
        <f t="shared" si="7"/>
        <v>35000.223387599995</v>
      </c>
      <c r="W15" s="41">
        <v>168</v>
      </c>
      <c r="X15" s="38">
        <f t="shared" si="3"/>
        <v>5880037.5291167991</v>
      </c>
      <c r="Y15" s="42">
        <f t="shared" si="10"/>
        <v>5880037.5291167991</v>
      </c>
      <c r="Z15" s="35"/>
      <c r="AA15" s="35"/>
      <c r="AB15" s="13" t="s">
        <v>162</v>
      </c>
    </row>
    <row r="16" spans="2:28" ht="21" customHeight="1">
      <c r="B16" s="34">
        <f t="shared" si="4"/>
        <v>12</v>
      </c>
      <c r="C16" s="13" t="s">
        <v>92</v>
      </c>
      <c r="D16" s="12" t="s">
        <v>93</v>
      </c>
      <c r="E16" s="36">
        <v>42034</v>
      </c>
      <c r="F16" s="24" t="s">
        <v>94</v>
      </c>
      <c r="G16" s="13" t="s">
        <v>71</v>
      </c>
      <c r="H16" s="13" t="s">
        <v>72</v>
      </c>
      <c r="I16" s="13" t="s">
        <v>44</v>
      </c>
      <c r="J16" s="37">
        <v>801.22</v>
      </c>
      <c r="K16" s="10">
        <v>42018</v>
      </c>
      <c r="L16" s="11" t="s">
        <v>95</v>
      </c>
      <c r="M16" s="11" t="s">
        <v>46</v>
      </c>
      <c r="N16" s="13" t="s">
        <v>96</v>
      </c>
      <c r="O16" s="46" t="s">
        <v>97</v>
      </c>
      <c r="P16" s="27">
        <v>10000</v>
      </c>
      <c r="Q16" s="38">
        <f t="shared" si="5"/>
        <v>463110</v>
      </c>
      <c r="R16" s="39" t="s">
        <v>30</v>
      </c>
      <c r="S16" s="9">
        <v>46.311</v>
      </c>
      <c r="T16" s="36">
        <f t="shared" si="9"/>
        <v>42107</v>
      </c>
      <c r="U16" s="13" t="s">
        <v>71</v>
      </c>
      <c r="V16" s="40">
        <f t="shared" si="7"/>
        <v>555.73199999999997</v>
      </c>
      <c r="W16" s="41">
        <v>168</v>
      </c>
      <c r="X16" s="38">
        <f t="shared" si="3"/>
        <v>93362.975999999995</v>
      </c>
      <c r="Y16" s="42">
        <f t="shared" si="10"/>
        <v>93362.975999999995</v>
      </c>
      <c r="Z16" s="35"/>
      <c r="AA16" s="35"/>
      <c r="AB16" s="43"/>
    </row>
    <row r="17" spans="2:28" ht="21" customHeight="1">
      <c r="B17" s="34">
        <f t="shared" si="4"/>
        <v>13</v>
      </c>
      <c r="C17" s="13" t="s">
        <v>98</v>
      </c>
      <c r="D17" s="12" t="s">
        <v>99</v>
      </c>
      <c r="E17" s="36">
        <v>42034</v>
      </c>
      <c r="F17" s="24" t="s">
        <v>100</v>
      </c>
      <c r="G17" s="13" t="s">
        <v>71</v>
      </c>
      <c r="H17" s="13" t="s">
        <v>72</v>
      </c>
      <c r="I17" s="13" t="s">
        <v>44</v>
      </c>
      <c r="J17" s="37">
        <v>801.22</v>
      </c>
      <c r="K17" s="10">
        <v>42018</v>
      </c>
      <c r="L17" s="11" t="s">
        <v>95</v>
      </c>
      <c r="M17" s="11" t="s">
        <v>46</v>
      </c>
      <c r="N17" s="13" t="s">
        <v>96</v>
      </c>
      <c r="O17" s="46" t="s">
        <v>97</v>
      </c>
      <c r="P17" s="27">
        <v>40000</v>
      </c>
      <c r="Q17" s="38">
        <f t="shared" si="5"/>
        <v>1852440</v>
      </c>
      <c r="R17" s="39" t="s">
        <v>30</v>
      </c>
      <c r="S17" s="9">
        <v>46.311</v>
      </c>
      <c r="T17" s="36">
        <f t="shared" si="9"/>
        <v>42107</v>
      </c>
      <c r="U17" s="13" t="s">
        <v>71</v>
      </c>
      <c r="V17" s="40">
        <f t="shared" si="7"/>
        <v>2222.9279999999999</v>
      </c>
      <c r="W17" s="41">
        <v>168</v>
      </c>
      <c r="X17" s="38">
        <f t="shared" si="3"/>
        <v>373451.90399999998</v>
      </c>
      <c r="Y17" s="42">
        <f t="shared" si="10"/>
        <v>373451.90399999998</v>
      </c>
      <c r="Z17" s="35"/>
      <c r="AA17" s="35"/>
      <c r="AB17" s="43"/>
    </row>
    <row r="18" spans="2:28" ht="21" customHeight="1">
      <c r="B18" s="34">
        <f t="shared" si="4"/>
        <v>14</v>
      </c>
      <c r="C18" s="13" t="s">
        <v>101</v>
      </c>
      <c r="D18" s="12" t="s">
        <v>102</v>
      </c>
      <c r="E18" s="36">
        <v>42034</v>
      </c>
      <c r="F18" s="24" t="s">
        <v>103</v>
      </c>
      <c r="G18" s="13" t="s">
        <v>71</v>
      </c>
      <c r="H18" s="13" t="s">
        <v>72</v>
      </c>
      <c r="I18" s="13" t="s">
        <v>44</v>
      </c>
      <c r="J18" s="37">
        <v>801.22</v>
      </c>
      <c r="K18" s="10">
        <v>42018</v>
      </c>
      <c r="L18" s="11" t="s">
        <v>95</v>
      </c>
      <c r="M18" s="11" t="s">
        <v>46</v>
      </c>
      <c r="N18" s="13" t="s">
        <v>96</v>
      </c>
      <c r="O18" s="46" t="s">
        <v>97</v>
      </c>
      <c r="P18" s="27">
        <v>50000</v>
      </c>
      <c r="Q18" s="38">
        <f t="shared" si="5"/>
        <v>2315550</v>
      </c>
      <c r="R18" s="39" t="s">
        <v>30</v>
      </c>
      <c r="S18" s="9">
        <v>46.311</v>
      </c>
      <c r="T18" s="36">
        <f t="shared" si="9"/>
        <v>42107</v>
      </c>
      <c r="U18" s="13" t="s">
        <v>71</v>
      </c>
      <c r="V18" s="40">
        <f t="shared" si="7"/>
        <v>2778.66</v>
      </c>
      <c r="W18" s="41">
        <v>168</v>
      </c>
      <c r="X18" s="38">
        <f t="shared" si="3"/>
        <v>466814.88</v>
      </c>
      <c r="Y18" s="42">
        <f t="shared" si="10"/>
        <v>466814.88</v>
      </c>
      <c r="Z18" s="35"/>
      <c r="AA18" s="35"/>
      <c r="AB18" s="43"/>
    </row>
    <row r="19" spans="2:28" ht="21" customHeight="1">
      <c r="B19" s="34">
        <f t="shared" si="4"/>
        <v>15</v>
      </c>
      <c r="C19" s="13" t="s">
        <v>104</v>
      </c>
      <c r="D19" s="12" t="s">
        <v>105</v>
      </c>
      <c r="E19" s="36">
        <v>42034</v>
      </c>
      <c r="F19" s="24" t="s">
        <v>106</v>
      </c>
      <c r="G19" s="13" t="s">
        <v>71</v>
      </c>
      <c r="H19" s="13" t="s">
        <v>72</v>
      </c>
      <c r="I19" s="13" t="s">
        <v>44</v>
      </c>
      <c r="J19" s="37">
        <v>801.22</v>
      </c>
      <c r="K19" s="10">
        <v>42018</v>
      </c>
      <c r="L19" s="11" t="s">
        <v>95</v>
      </c>
      <c r="M19" s="11" t="s">
        <v>46</v>
      </c>
      <c r="N19" s="13" t="s">
        <v>96</v>
      </c>
      <c r="O19" s="46" t="s">
        <v>97</v>
      </c>
      <c r="P19" s="27">
        <v>100000</v>
      </c>
      <c r="Q19" s="38">
        <f t="shared" si="5"/>
        <v>4631100</v>
      </c>
      <c r="R19" s="39" t="s">
        <v>30</v>
      </c>
      <c r="S19" s="9">
        <v>46.311</v>
      </c>
      <c r="T19" s="36">
        <f t="shared" si="9"/>
        <v>42107</v>
      </c>
      <c r="U19" s="13" t="s">
        <v>71</v>
      </c>
      <c r="V19" s="40">
        <f t="shared" si="7"/>
        <v>5557.32</v>
      </c>
      <c r="W19" s="41">
        <v>168</v>
      </c>
      <c r="X19" s="38">
        <f t="shared" si="3"/>
        <v>933629.76</v>
      </c>
      <c r="Y19" s="42">
        <f t="shared" si="10"/>
        <v>933629.76</v>
      </c>
      <c r="Z19" s="35"/>
      <c r="AA19" s="35"/>
      <c r="AB19" s="43"/>
    </row>
    <row r="20" spans="2:28" ht="53.25" customHeight="1">
      <c r="B20" s="34">
        <f t="shared" si="4"/>
        <v>16</v>
      </c>
      <c r="C20" s="13" t="s">
        <v>107</v>
      </c>
      <c r="D20" s="12" t="s">
        <v>85</v>
      </c>
      <c r="E20" s="36">
        <v>42034</v>
      </c>
      <c r="F20" s="24" t="s">
        <v>108</v>
      </c>
      <c r="G20" s="13" t="s">
        <v>71</v>
      </c>
      <c r="H20" s="13" t="s">
        <v>72</v>
      </c>
      <c r="I20" s="13" t="s">
        <v>87</v>
      </c>
      <c r="J20" s="37">
        <v>801.22</v>
      </c>
      <c r="K20" s="10">
        <v>42022</v>
      </c>
      <c r="L20" s="11" t="s">
        <v>88</v>
      </c>
      <c r="M20" s="11" t="s">
        <v>89</v>
      </c>
      <c r="N20" s="13" t="s">
        <v>90</v>
      </c>
      <c r="O20" s="11" t="s">
        <v>91</v>
      </c>
      <c r="P20" s="27">
        <v>382888</v>
      </c>
      <c r="Q20" s="38">
        <f t="shared" si="5"/>
        <v>18282902</v>
      </c>
      <c r="R20" s="39" t="s">
        <v>30</v>
      </c>
      <c r="S20" s="9">
        <v>47.75</v>
      </c>
      <c r="T20" s="36">
        <f t="shared" si="9"/>
        <v>42111</v>
      </c>
      <c r="U20" s="13" t="s">
        <v>71</v>
      </c>
      <c r="V20" s="40">
        <f t="shared" si="7"/>
        <v>21939.482399999997</v>
      </c>
      <c r="W20" s="41">
        <v>168</v>
      </c>
      <c r="X20" s="38">
        <f t="shared" si="3"/>
        <v>3685833.0431999997</v>
      </c>
      <c r="Y20" s="42">
        <f t="shared" si="10"/>
        <v>3685833.0431999997</v>
      </c>
      <c r="Z20" s="35"/>
      <c r="AA20" s="35"/>
      <c r="AB20" s="13" t="s">
        <v>163</v>
      </c>
    </row>
    <row r="21" spans="2:28" ht="21" customHeight="1" thickBot="1">
      <c r="B21" s="34">
        <f t="shared" si="4"/>
        <v>17</v>
      </c>
      <c r="C21" s="13" t="s">
        <v>109</v>
      </c>
      <c r="D21" s="12" t="s">
        <v>110</v>
      </c>
      <c r="E21" s="36">
        <v>42034</v>
      </c>
      <c r="F21" s="24" t="s">
        <v>111</v>
      </c>
      <c r="G21" s="13" t="s">
        <v>71</v>
      </c>
      <c r="H21" s="13" t="s">
        <v>72</v>
      </c>
      <c r="I21" s="13" t="s">
        <v>44</v>
      </c>
      <c r="J21" s="37">
        <v>801.22</v>
      </c>
      <c r="K21" s="10">
        <v>42024</v>
      </c>
      <c r="L21" s="11" t="s">
        <v>112</v>
      </c>
      <c r="M21" s="47" t="s">
        <v>46</v>
      </c>
      <c r="N21" s="13" t="s">
        <v>47</v>
      </c>
      <c r="O21" s="46" t="s">
        <v>48</v>
      </c>
      <c r="P21" s="27">
        <v>949641</v>
      </c>
      <c r="Q21" s="38">
        <f t="shared" si="5"/>
        <v>44307400.136999995</v>
      </c>
      <c r="R21" s="39" t="s">
        <v>30</v>
      </c>
      <c r="S21" s="9">
        <v>46.656999999999996</v>
      </c>
      <c r="T21" s="36">
        <f t="shared" si="9"/>
        <v>42113</v>
      </c>
      <c r="U21" s="13" t="s">
        <v>71</v>
      </c>
      <c r="V21" s="40">
        <f t="shared" si="7"/>
        <v>53168.88016439999</v>
      </c>
      <c r="W21" s="41">
        <v>168</v>
      </c>
      <c r="X21" s="38">
        <f t="shared" si="3"/>
        <v>8932371.8676191978</v>
      </c>
      <c r="Y21" s="42">
        <f t="shared" si="10"/>
        <v>8932371.8676191978</v>
      </c>
      <c r="Z21" s="35"/>
      <c r="AA21" s="35"/>
      <c r="AB21" s="43"/>
    </row>
    <row r="22" spans="2:28" ht="15.75" thickBot="1">
      <c r="B22" s="49"/>
      <c r="C22" s="49"/>
      <c r="D22" s="50"/>
      <c r="E22" s="50"/>
      <c r="F22" s="50"/>
      <c r="G22" s="50"/>
      <c r="H22" s="50"/>
      <c r="I22" s="50"/>
      <c r="J22" s="49"/>
      <c r="K22" s="51"/>
      <c r="L22" s="50"/>
      <c r="M22" s="51"/>
      <c r="N22" s="52"/>
      <c r="O22" s="53"/>
      <c r="P22" s="54">
        <f>SUM(P5:P21)</f>
        <v>6359036</v>
      </c>
      <c r="Q22" s="55">
        <f>SUM(Q5:Q21)</f>
        <v>406314746.76600003</v>
      </c>
      <c r="R22" s="64"/>
      <c r="S22" s="65"/>
      <c r="T22" s="66"/>
      <c r="U22" s="67"/>
      <c r="V22" s="55">
        <f>SUM(V5:V21)</f>
        <v>487577.69611919997</v>
      </c>
      <c r="W22" s="64"/>
      <c r="X22" s="55">
        <f t="shared" ref="X22:Y22" si="11">SUM(X5:X21)</f>
        <v>79137560.171339303</v>
      </c>
      <c r="Y22" s="55">
        <f t="shared" si="11"/>
        <v>79137560.442115203</v>
      </c>
      <c r="Z22" s="49"/>
      <c r="AA22" s="49"/>
      <c r="AB22" s="49"/>
    </row>
  </sheetData>
  <pageMargins left="0" right="0" top="0" bottom="0" header="0.31496062992125984" footer="0"/>
  <pageSetup paperSize="8" orientation="landscape" r:id="rId1"/>
  <ignoredErrors>
    <ignoredError sqref="F5 F6:F11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14"/>
  <sheetViews>
    <sheetView workbookViewId="0">
      <selection activeCell="A38" sqref="A38:XFD49"/>
    </sheetView>
  </sheetViews>
  <sheetFormatPr defaultRowHeight="15"/>
  <cols>
    <col min="1" max="1" width="3.140625" customWidth="1"/>
    <col min="2" max="2" width="2.42578125" customWidth="1"/>
    <col min="3" max="3" width="5" style="4" customWidth="1"/>
    <col min="4" max="4" width="7.140625" style="4" customWidth="1"/>
    <col min="5" max="5" width="5.5703125" style="4" customWidth="1"/>
    <col min="6" max="6" width="10.5703125" style="4" customWidth="1"/>
    <col min="7" max="7" width="8.28515625" style="4" customWidth="1"/>
    <col min="8" max="8" width="8.140625" style="4" customWidth="1"/>
    <col min="9" max="9" width="8.7109375" style="4" customWidth="1"/>
    <col min="10" max="10" width="5.7109375" customWidth="1"/>
    <col min="11" max="11" width="6.140625" style="1" customWidth="1"/>
    <col min="12" max="12" width="10.42578125" style="4" customWidth="1"/>
    <col min="13" max="13" width="4.85546875" style="4" customWidth="1"/>
    <col min="14" max="14" width="7.140625" style="6" customWidth="1"/>
    <col min="15" max="15" width="12.42578125" style="7" customWidth="1"/>
    <col min="16" max="16" width="9.28515625" customWidth="1"/>
    <col min="17" max="17" width="15.5703125" customWidth="1"/>
    <col min="18" max="18" width="6.140625" customWidth="1"/>
    <col min="19" max="19" width="7" style="8" customWidth="1"/>
    <col min="20" max="20" width="6.42578125" style="1" customWidth="1"/>
    <col min="21" max="21" width="8.28515625" style="4" customWidth="1"/>
    <col min="22" max="22" width="9.7109375" customWidth="1"/>
    <col min="23" max="23" width="9.5703125" customWidth="1"/>
    <col min="24" max="25" width="11.42578125" customWidth="1"/>
    <col min="26" max="26" width="6.42578125" customWidth="1"/>
    <col min="27" max="27" width="5.28515625" customWidth="1"/>
  </cols>
  <sheetData>
    <row r="2" spans="2:27" ht="15.75">
      <c r="L2" s="5" t="s">
        <v>0</v>
      </c>
    </row>
    <row r="3" spans="2:27" ht="15.75" customHeight="1" thickBot="1">
      <c r="L3" s="5" t="s">
        <v>151</v>
      </c>
      <c r="P3" s="2"/>
    </row>
    <row r="4" spans="2:27" s="4" customFormat="1" ht="42.6" customHeight="1" thickBot="1">
      <c r="B4" s="15" t="s">
        <v>1</v>
      </c>
      <c r="C4" s="16" t="s">
        <v>2</v>
      </c>
      <c r="D4" s="16" t="s">
        <v>3</v>
      </c>
      <c r="E4" s="16" t="s">
        <v>4</v>
      </c>
      <c r="F4" s="17" t="s">
        <v>5</v>
      </c>
      <c r="G4" s="18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9" t="s">
        <v>18</v>
      </c>
      <c r="T4" s="16" t="s">
        <v>19</v>
      </c>
      <c r="U4" s="16" t="s">
        <v>161</v>
      </c>
      <c r="V4" s="16" t="s">
        <v>20</v>
      </c>
      <c r="W4" s="16" t="s">
        <v>21</v>
      </c>
      <c r="X4" s="16" t="s">
        <v>22</v>
      </c>
      <c r="Y4" s="16" t="s">
        <v>23</v>
      </c>
      <c r="Z4" s="16" t="s">
        <v>24</v>
      </c>
      <c r="AA4" s="57" t="s">
        <v>25</v>
      </c>
    </row>
    <row r="5" spans="2:27" ht="21" customHeight="1">
      <c r="B5" s="34">
        <v>1</v>
      </c>
      <c r="C5" s="13" t="s">
        <v>128</v>
      </c>
      <c r="D5" s="44" t="s">
        <v>116</v>
      </c>
      <c r="E5" s="12"/>
      <c r="F5" s="24" t="s">
        <v>129</v>
      </c>
      <c r="G5" s="13" t="s">
        <v>120</v>
      </c>
      <c r="H5" s="13" t="s">
        <v>126</v>
      </c>
      <c r="I5" s="13" t="s">
        <v>121</v>
      </c>
      <c r="J5" s="37">
        <v>801.22</v>
      </c>
      <c r="K5" s="10">
        <v>42014</v>
      </c>
      <c r="L5" s="11" t="s">
        <v>118</v>
      </c>
      <c r="M5" s="11" t="s">
        <v>122</v>
      </c>
      <c r="N5" s="13" t="s">
        <v>90</v>
      </c>
      <c r="O5" s="26" t="s">
        <v>91</v>
      </c>
      <c r="P5" s="27">
        <v>627415</v>
      </c>
      <c r="Q5" s="38">
        <f t="shared" ref="Q5:Q13" si="0">SUM(P5*S5)</f>
        <v>27146364.805000003</v>
      </c>
      <c r="R5" s="39" t="s">
        <v>30</v>
      </c>
      <c r="S5" s="9">
        <v>43.267000000000003</v>
      </c>
      <c r="T5" s="36">
        <f t="shared" ref="T5:T6" si="1">SUM(K5)+89</f>
        <v>42103</v>
      </c>
      <c r="U5" s="13" t="s">
        <v>123</v>
      </c>
      <c r="V5" s="40">
        <f t="shared" ref="V5:V13" si="2">SUM(Q5*0.12%)</f>
        <v>32575.637766</v>
      </c>
      <c r="W5" s="41">
        <v>168</v>
      </c>
      <c r="X5" s="38">
        <f t="shared" ref="X5:X13" si="3">SUM(V5*W5)</f>
        <v>5472707.144688</v>
      </c>
      <c r="Y5" s="45">
        <v>0</v>
      </c>
      <c r="Z5" s="35"/>
      <c r="AA5" s="35"/>
    </row>
    <row r="6" spans="2:27" ht="21" customHeight="1">
      <c r="B6" s="3">
        <f t="shared" ref="B6:B13" si="4">B5+1</f>
        <v>2</v>
      </c>
      <c r="C6" s="13" t="s">
        <v>130</v>
      </c>
      <c r="D6" s="44" t="s">
        <v>116</v>
      </c>
      <c r="E6" s="12"/>
      <c r="F6" s="24" t="s">
        <v>131</v>
      </c>
      <c r="G6" s="13" t="s">
        <v>123</v>
      </c>
      <c r="H6" s="13" t="s">
        <v>115</v>
      </c>
      <c r="I6" s="13" t="s">
        <v>44</v>
      </c>
      <c r="J6" s="37">
        <v>801.22</v>
      </c>
      <c r="K6" s="10">
        <v>42018</v>
      </c>
      <c r="L6" s="11" t="s">
        <v>95</v>
      </c>
      <c r="M6" s="11" t="s">
        <v>46</v>
      </c>
      <c r="N6" s="13" t="s">
        <v>96</v>
      </c>
      <c r="O6" s="26" t="s">
        <v>97</v>
      </c>
      <c r="P6" s="27">
        <v>761011</v>
      </c>
      <c r="Q6" s="38">
        <f t="shared" si="0"/>
        <v>35243180.420999996</v>
      </c>
      <c r="R6" s="39" t="s">
        <v>30</v>
      </c>
      <c r="S6" s="9">
        <v>46.311</v>
      </c>
      <c r="T6" s="36">
        <f t="shared" si="1"/>
        <v>42107</v>
      </c>
      <c r="U6" s="46" t="s">
        <v>114</v>
      </c>
      <c r="V6" s="40">
        <f t="shared" si="2"/>
        <v>42291.816505199989</v>
      </c>
      <c r="W6" s="41">
        <v>168</v>
      </c>
      <c r="X6" s="38">
        <f t="shared" si="3"/>
        <v>7105025.1728735985</v>
      </c>
      <c r="Y6" s="45">
        <v>0</v>
      </c>
      <c r="Z6" s="35"/>
      <c r="AA6" s="35"/>
    </row>
    <row r="7" spans="2:27" ht="21" customHeight="1">
      <c r="B7" s="3">
        <f t="shared" si="4"/>
        <v>3</v>
      </c>
      <c r="C7" s="13" t="s">
        <v>132</v>
      </c>
      <c r="D7" s="44" t="s">
        <v>116</v>
      </c>
      <c r="E7" s="12"/>
      <c r="F7" s="14" t="s">
        <v>133</v>
      </c>
      <c r="G7" s="13" t="s">
        <v>32</v>
      </c>
      <c r="H7" s="13" t="s">
        <v>27</v>
      </c>
      <c r="I7" s="13" t="s">
        <v>28</v>
      </c>
      <c r="J7" s="37">
        <v>801.22</v>
      </c>
      <c r="K7" s="10">
        <v>42028</v>
      </c>
      <c r="L7" s="11" t="s">
        <v>124</v>
      </c>
      <c r="M7" s="11" t="s">
        <v>29</v>
      </c>
      <c r="N7" s="13" t="s">
        <v>76</v>
      </c>
      <c r="O7" s="46" t="s">
        <v>127</v>
      </c>
      <c r="P7" s="27">
        <v>949085</v>
      </c>
      <c r="Q7" s="38">
        <f t="shared" si="0"/>
        <v>43565848.754999995</v>
      </c>
      <c r="R7" s="39" t="s">
        <v>30</v>
      </c>
      <c r="S7" s="9">
        <v>45.902999999999999</v>
      </c>
      <c r="T7" s="36">
        <f t="shared" ref="T7:T13" si="5">SUM(K7)+89</f>
        <v>42117</v>
      </c>
      <c r="U7" s="13" t="s">
        <v>26</v>
      </c>
      <c r="V7" s="40">
        <f t="shared" si="2"/>
        <v>52279.018505999993</v>
      </c>
      <c r="W7" s="41">
        <v>168</v>
      </c>
      <c r="X7" s="38">
        <f t="shared" si="3"/>
        <v>8782875.1090079993</v>
      </c>
      <c r="Y7" s="45">
        <v>0</v>
      </c>
      <c r="Z7" s="35"/>
      <c r="AA7" s="35"/>
    </row>
    <row r="8" spans="2:27" ht="41.25">
      <c r="B8" s="3">
        <f t="shared" si="4"/>
        <v>4</v>
      </c>
      <c r="C8" s="13" t="s">
        <v>134</v>
      </c>
      <c r="D8" s="44" t="s">
        <v>116</v>
      </c>
      <c r="E8" s="12"/>
      <c r="F8" s="14" t="s">
        <v>135</v>
      </c>
      <c r="G8" s="13" t="s">
        <v>32</v>
      </c>
      <c r="H8" s="13" t="s">
        <v>27</v>
      </c>
      <c r="I8" s="13" t="s">
        <v>44</v>
      </c>
      <c r="J8" s="37">
        <v>801.22</v>
      </c>
      <c r="K8" s="10">
        <v>42028</v>
      </c>
      <c r="L8" s="11" t="s">
        <v>136</v>
      </c>
      <c r="M8" s="11" t="s">
        <v>46</v>
      </c>
      <c r="N8" s="13" t="s">
        <v>117</v>
      </c>
      <c r="O8" s="46" t="s">
        <v>137</v>
      </c>
      <c r="P8" s="27">
        <v>93586</v>
      </c>
      <c r="Q8" s="38">
        <f t="shared" si="0"/>
        <v>4343607.0180000002</v>
      </c>
      <c r="R8" s="39" t="s">
        <v>30</v>
      </c>
      <c r="S8" s="9">
        <v>46.412999999999997</v>
      </c>
      <c r="T8" s="36">
        <f t="shared" si="5"/>
        <v>42117</v>
      </c>
      <c r="U8" s="13" t="s">
        <v>26</v>
      </c>
      <c r="V8" s="40">
        <f t="shared" si="2"/>
        <v>5212.3284216000002</v>
      </c>
      <c r="W8" s="41">
        <v>168</v>
      </c>
      <c r="X8" s="38">
        <f t="shared" si="3"/>
        <v>875671.17482880002</v>
      </c>
      <c r="Y8" s="45">
        <v>0</v>
      </c>
      <c r="Z8" s="35"/>
      <c r="AA8" s="35"/>
    </row>
    <row r="9" spans="2:27" ht="41.25">
      <c r="B9" s="3">
        <f t="shared" si="4"/>
        <v>5</v>
      </c>
      <c r="C9" s="13" t="s">
        <v>138</v>
      </c>
      <c r="D9" s="44" t="s">
        <v>116</v>
      </c>
      <c r="E9" s="12"/>
      <c r="F9" s="24" t="s">
        <v>139</v>
      </c>
      <c r="G9" s="13" t="s">
        <v>42</v>
      </c>
      <c r="H9" s="13" t="s">
        <v>43</v>
      </c>
      <c r="I9" s="13" t="s">
        <v>44</v>
      </c>
      <c r="J9" s="37">
        <v>801.22</v>
      </c>
      <c r="K9" s="10">
        <v>42028</v>
      </c>
      <c r="L9" s="11" t="s">
        <v>136</v>
      </c>
      <c r="M9" s="11" t="s">
        <v>46</v>
      </c>
      <c r="N9" s="13" t="s">
        <v>117</v>
      </c>
      <c r="O9" s="46" t="s">
        <v>137</v>
      </c>
      <c r="P9" s="27">
        <v>45000</v>
      </c>
      <c r="Q9" s="38">
        <f t="shared" si="0"/>
        <v>2088584.9999999998</v>
      </c>
      <c r="R9" s="39" t="s">
        <v>30</v>
      </c>
      <c r="S9" s="9">
        <v>46.412999999999997</v>
      </c>
      <c r="T9" s="36">
        <f t="shared" si="5"/>
        <v>42117</v>
      </c>
      <c r="U9" s="13" t="s">
        <v>42</v>
      </c>
      <c r="V9" s="40">
        <f t="shared" si="2"/>
        <v>2506.3019999999997</v>
      </c>
      <c r="W9" s="41">
        <v>168</v>
      </c>
      <c r="X9" s="38">
        <f t="shared" si="3"/>
        <v>421058.73599999992</v>
      </c>
      <c r="Y9" s="45">
        <v>0</v>
      </c>
      <c r="Z9" s="35"/>
      <c r="AA9" s="35"/>
    </row>
    <row r="10" spans="2:27" ht="41.25">
      <c r="B10" s="3">
        <f t="shared" si="4"/>
        <v>6</v>
      </c>
      <c r="C10" s="13" t="s">
        <v>140</v>
      </c>
      <c r="D10" s="44" t="s">
        <v>116</v>
      </c>
      <c r="E10" s="12"/>
      <c r="F10" s="24" t="s">
        <v>141</v>
      </c>
      <c r="G10" s="13" t="s">
        <v>42</v>
      </c>
      <c r="H10" s="13" t="s">
        <v>43</v>
      </c>
      <c r="I10" s="13" t="s">
        <v>44</v>
      </c>
      <c r="J10" s="37">
        <v>801.22</v>
      </c>
      <c r="K10" s="10">
        <v>42028</v>
      </c>
      <c r="L10" s="11" t="s">
        <v>136</v>
      </c>
      <c r="M10" s="11" t="s">
        <v>46</v>
      </c>
      <c r="N10" s="13" t="s">
        <v>117</v>
      </c>
      <c r="O10" s="46" t="s">
        <v>137</v>
      </c>
      <c r="P10" s="27">
        <v>43000</v>
      </c>
      <c r="Q10" s="38">
        <f t="shared" si="0"/>
        <v>1995758.9999999998</v>
      </c>
      <c r="R10" s="39" t="s">
        <v>30</v>
      </c>
      <c r="S10" s="9">
        <v>46.412999999999997</v>
      </c>
      <c r="T10" s="36">
        <f t="shared" si="5"/>
        <v>42117</v>
      </c>
      <c r="U10" s="13" t="s">
        <v>42</v>
      </c>
      <c r="V10" s="40">
        <f t="shared" si="2"/>
        <v>2394.9107999999997</v>
      </c>
      <c r="W10" s="41">
        <v>168</v>
      </c>
      <c r="X10" s="38">
        <f t="shared" si="3"/>
        <v>402345.01439999993</v>
      </c>
      <c r="Y10" s="45">
        <v>0</v>
      </c>
      <c r="Z10" s="35"/>
      <c r="AA10" s="35"/>
    </row>
    <row r="11" spans="2:27" ht="41.25">
      <c r="B11" s="3">
        <f t="shared" si="4"/>
        <v>7</v>
      </c>
      <c r="C11" s="13" t="s">
        <v>142</v>
      </c>
      <c r="D11" s="44" t="s">
        <v>116</v>
      </c>
      <c r="E11" s="12"/>
      <c r="F11" s="24" t="s">
        <v>143</v>
      </c>
      <c r="G11" s="13" t="s">
        <v>55</v>
      </c>
      <c r="H11" s="13" t="s">
        <v>43</v>
      </c>
      <c r="I11" s="13" t="s">
        <v>44</v>
      </c>
      <c r="J11" s="37">
        <v>801.22</v>
      </c>
      <c r="K11" s="10">
        <v>42028</v>
      </c>
      <c r="L11" s="11" t="s">
        <v>136</v>
      </c>
      <c r="M11" s="11" t="s">
        <v>46</v>
      </c>
      <c r="N11" s="13" t="s">
        <v>117</v>
      </c>
      <c r="O11" s="46" t="s">
        <v>137</v>
      </c>
      <c r="P11" s="27">
        <v>80000</v>
      </c>
      <c r="Q11" s="38">
        <f t="shared" si="0"/>
        <v>3713039.9999999995</v>
      </c>
      <c r="R11" s="39" t="s">
        <v>30</v>
      </c>
      <c r="S11" s="9">
        <v>46.412999999999997</v>
      </c>
      <c r="T11" s="36">
        <f t="shared" si="5"/>
        <v>42117</v>
      </c>
      <c r="U11" s="13" t="s">
        <v>42</v>
      </c>
      <c r="V11" s="40">
        <f t="shared" si="2"/>
        <v>4455.6479999999992</v>
      </c>
      <c r="W11" s="41">
        <v>168</v>
      </c>
      <c r="X11" s="38">
        <f t="shared" si="3"/>
        <v>748548.86399999983</v>
      </c>
      <c r="Y11" s="45">
        <v>0</v>
      </c>
      <c r="Z11" s="35"/>
      <c r="AA11" s="35"/>
    </row>
    <row r="12" spans="2:27" ht="19.5" customHeight="1">
      <c r="B12" s="3">
        <f t="shared" si="4"/>
        <v>8</v>
      </c>
      <c r="C12" s="13" t="s">
        <v>144</v>
      </c>
      <c r="D12" s="44" t="s">
        <v>116</v>
      </c>
      <c r="E12" s="12"/>
      <c r="F12" s="24" t="s">
        <v>145</v>
      </c>
      <c r="G12" s="13" t="s">
        <v>120</v>
      </c>
      <c r="H12" s="13" t="s">
        <v>126</v>
      </c>
      <c r="I12" s="13" t="s">
        <v>121</v>
      </c>
      <c r="J12" s="37">
        <v>801.22</v>
      </c>
      <c r="K12" s="10">
        <v>42030</v>
      </c>
      <c r="L12" s="11" t="s">
        <v>146</v>
      </c>
      <c r="M12" s="11" t="s">
        <v>122</v>
      </c>
      <c r="N12" s="13" t="s">
        <v>117</v>
      </c>
      <c r="O12" s="46" t="s">
        <v>125</v>
      </c>
      <c r="P12" s="27">
        <v>629001</v>
      </c>
      <c r="Q12" s="38">
        <f t="shared" si="0"/>
        <v>26693544.438000001</v>
      </c>
      <c r="R12" s="39" t="s">
        <v>30</v>
      </c>
      <c r="S12" s="48">
        <v>42.438000000000002</v>
      </c>
      <c r="T12" s="36">
        <f t="shared" si="5"/>
        <v>42119</v>
      </c>
      <c r="U12" s="13" t="s">
        <v>123</v>
      </c>
      <c r="V12" s="40">
        <f t="shared" si="2"/>
        <v>32032.253325599999</v>
      </c>
      <c r="W12" s="41">
        <v>168</v>
      </c>
      <c r="X12" s="38">
        <f t="shared" si="3"/>
        <v>5381418.5587007999</v>
      </c>
      <c r="Y12" s="45">
        <v>0</v>
      </c>
      <c r="Z12" s="35"/>
      <c r="AA12" s="35"/>
    </row>
    <row r="13" spans="2:27" ht="21.75" customHeight="1" thickBot="1">
      <c r="B13" s="3">
        <f t="shared" si="4"/>
        <v>9</v>
      </c>
      <c r="C13" s="13" t="s">
        <v>147</v>
      </c>
      <c r="D13" s="44" t="s">
        <v>116</v>
      </c>
      <c r="E13" s="12"/>
      <c r="F13" s="24" t="s">
        <v>148</v>
      </c>
      <c r="G13" s="13" t="s">
        <v>123</v>
      </c>
      <c r="H13" s="13" t="s">
        <v>113</v>
      </c>
      <c r="I13" s="13" t="s">
        <v>87</v>
      </c>
      <c r="J13" s="37">
        <v>801.22</v>
      </c>
      <c r="K13" s="10">
        <v>42031</v>
      </c>
      <c r="L13" s="11" t="s">
        <v>119</v>
      </c>
      <c r="M13" s="11" t="s">
        <v>89</v>
      </c>
      <c r="N13" s="13" t="s">
        <v>117</v>
      </c>
      <c r="O13" s="46" t="s">
        <v>149</v>
      </c>
      <c r="P13" s="27">
        <v>950710</v>
      </c>
      <c r="Q13" s="38">
        <f t="shared" si="0"/>
        <v>45173936.359999999</v>
      </c>
      <c r="R13" s="39" t="s">
        <v>30</v>
      </c>
      <c r="S13" s="9">
        <v>47.515999999999998</v>
      </c>
      <c r="T13" s="36">
        <f t="shared" si="5"/>
        <v>42120</v>
      </c>
      <c r="U13" s="13" t="s">
        <v>114</v>
      </c>
      <c r="V13" s="40">
        <f t="shared" si="2"/>
        <v>54208.723631999994</v>
      </c>
      <c r="W13" s="41">
        <v>168</v>
      </c>
      <c r="X13" s="38">
        <f t="shared" si="3"/>
        <v>9107065.5701759998</v>
      </c>
      <c r="Y13" s="45">
        <v>0</v>
      </c>
      <c r="Z13" s="35"/>
      <c r="AA13" s="35"/>
    </row>
    <row r="14" spans="2:27" ht="15.75" thickBot="1">
      <c r="B14" s="49"/>
      <c r="C14" s="50"/>
      <c r="D14" s="50"/>
      <c r="E14" s="50"/>
      <c r="F14" s="50"/>
      <c r="G14" s="50"/>
      <c r="H14" s="50"/>
      <c r="I14" s="50"/>
      <c r="J14" s="49"/>
      <c r="K14" s="51"/>
      <c r="L14" s="50"/>
      <c r="M14" s="50"/>
      <c r="N14" s="52"/>
      <c r="O14" s="53"/>
      <c r="P14" s="54">
        <f>SUM(P5:P13)</f>
        <v>4178808</v>
      </c>
      <c r="Q14" s="55">
        <f>SUM(Q5:Q13)</f>
        <v>189963865.79699999</v>
      </c>
      <c r="R14" s="49"/>
      <c r="S14" s="56"/>
      <c r="T14" s="51"/>
      <c r="U14" s="50"/>
      <c r="V14" s="55">
        <f>SUM(V5:V13)</f>
        <v>227956.63895639998</v>
      </c>
      <c r="W14" s="49"/>
      <c r="X14" s="55">
        <f>SUM(X5:X13)</f>
        <v>38296715.344675198</v>
      </c>
      <c r="Y14" s="58">
        <f>SUM(Y5:Y13)</f>
        <v>0</v>
      </c>
      <c r="Z14" s="49"/>
      <c r="AA14" s="49"/>
    </row>
  </sheetData>
  <pageMargins left="0" right="0" top="0" bottom="0" header="0.31496062992125984" footer="0"/>
  <pageSetup paperSize="8" orientation="landscape" r:id="rId1"/>
  <ignoredErrors>
    <ignoredError sqref="F6:F1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(JAN'15)</vt:lpstr>
      <vt:lpstr>COMPLIANT (JAN'15)</vt:lpstr>
      <vt:lpstr>NON-COMPLIANT (JAN'15)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2015-02-06T09:19:05Z</cp:lastPrinted>
  <dcterms:created xsi:type="dcterms:W3CDTF">2013-10-09T11:18:50Z</dcterms:created>
  <dcterms:modified xsi:type="dcterms:W3CDTF">2015-02-10T11:59:05Z</dcterms:modified>
</cp:coreProperties>
</file>