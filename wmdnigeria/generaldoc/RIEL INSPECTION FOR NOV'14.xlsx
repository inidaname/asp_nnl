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COMPREHENSIVE (NOV'14)" sheetId="2" r:id="rId1"/>
    <sheet name="COMPLIANT (NOV'14)" sheetId="1" r:id="rId2"/>
    <sheet name="NON-COMPLIANT (NOV'14)" sheetId="4" r:id="rId3"/>
  </sheets>
  <calcPr calcId="125725"/>
</workbook>
</file>

<file path=xl/calcChain.xml><?xml version="1.0" encoding="utf-8"?>
<calcChain xmlns="http://schemas.openxmlformats.org/spreadsheetml/2006/main">
  <c r="B6" i="4"/>
  <c r="P18"/>
  <c r="T17"/>
  <c r="Q17"/>
  <c r="V17" s="1"/>
  <c r="X17" s="1"/>
  <c r="T16"/>
  <c r="Q16"/>
  <c r="V16" s="1"/>
  <c r="X16" s="1"/>
  <c r="T15"/>
  <c r="Q15"/>
  <c r="V15" s="1"/>
  <c r="X15" s="1"/>
  <c r="T14"/>
  <c r="Q14"/>
  <c r="V14" s="1"/>
  <c r="X14" s="1"/>
  <c r="T13"/>
  <c r="Q13"/>
  <c r="V13" s="1"/>
  <c r="X13" s="1"/>
  <c r="T12"/>
  <c r="Q12"/>
  <c r="V12" s="1"/>
  <c r="X12" s="1"/>
  <c r="T11"/>
  <c r="Q11"/>
  <c r="V11" s="1"/>
  <c r="X11" s="1"/>
  <c r="Y18"/>
  <c r="T10"/>
  <c r="Q10"/>
  <c r="V10" s="1"/>
  <c r="X10" s="1"/>
  <c r="T9"/>
  <c r="Q9"/>
  <c r="V9" s="1"/>
  <c r="X9" s="1"/>
  <c r="T8"/>
  <c r="Q8"/>
  <c r="V8" s="1"/>
  <c r="X8" s="1"/>
  <c r="T7"/>
  <c r="Q7"/>
  <c r="V7" s="1"/>
  <c r="X7" s="1"/>
  <c r="T6"/>
  <c r="Q6"/>
  <c r="V6" s="1"/>
  <c r="X6" s="1"/>
  <c r="B7"/>
  <c r="B8" s="1"/>
  <c r="B9" s="1"/>
  <c r="B10" s="1"/>
  <c r="B11" s="1"/>
  <c r="B12" s="1"/>
  <c r="B13" s="1"/>
  <c r="B14" s="1"/>
  <c r="B15" s="1"/>
  <c r="B16" s="1"/>
  <c r="B17" s="1"/>
  <c r="T5"/>
  <c r="Q5"/>
  <c r="Q18" s="1"/>
  <c r="P18" i="1"/>
  <c r="T17"/>
  <c r="Q17"/>
  <c r="V17" s="1"/>
  <c r="X17" s="1"/>
  <c r="Y17" s="1"/>
  <c r="T16"/>
  <c r="Q16"/>
  <c r="V16" s="1"/>
  <c r="X16" s="1"/>
  <c r="Y16" s="1"/>
  <c r="T15"/>
  <c r="Q15"/>
  <c r="V15" s="1"/>
  <c r="X15" s="1"/>
  <c r="Y15" s="1"/>
  <c r="T14"/>
  <c r="Q14"/>
  <c r="V14" s="1"/>
  <c r="X14" s="1"/>
  <c r="Y14" s="1"/>
  <c r="T13"/>
  <c r="Q13"/>
  <c r="V13" s="1"/>
  <c r="X13" s="1"/>
  <c r="Y13" s="1"/>
  <c r="T12"/>
  <c r="Q12"/>
  <c r="V12" s="1"/>
  <c r="X12" s="1"/>
  <c r="Y12" s="1"/>
  <c r="Y18" s="1"/>
  <c r="P24" i="2"/>
  <c r="T23"/>
  <c r="Q23"/>
  <c r="V23" s="1"/>
  <c r="X23" s="1"/>
  <c r="T22"/>
  <c r="Q22"/>
  <c r="V22" s="1"/>
  <c r="X22" s="1"/>
  <c r="T21"/>
  <c r="Q21"/>
  <c r="V21" s="1"/>
  <c r="X21" s="1"/>
  <c r="T20"/>
  <c r="Q20"/>
  <c r="V20" s="1"/>
  <c r="X20" s="1"/>
  <c r="T19"/>
  <c r="Q19"/>
  <c r="V19" s="1"/>
  <c r="X19" s="1"/>
  <c r="T18"/>
  <c r="Q18"/>
  <c r="V18" s="1"/>
  <c r="X18" s="1"/>
  <c r="T17"/>
  <c r="Q17"/>
  <c r="V17" s="1"/>
  <c r="X17" s="1"/>
  <c r="T16"/>
  <c r="Q16"/>
  <c r="V16" s="1"/>
  <c r="X16" s="1"/>
  <c r="Y16" s="1"/>
  <c r="T15"/>
  <c r="Q15"/>
  <c r="V15" s="1"/>
  <c r="X15" s="1"/>
  <c r="Y15" s="1"/>
  <c r="T14"/>
  <c r="Q14"/>
  <c r="V14" s="1"/>
  <c r="X14" s="1"/>
  <c r="T13"/>
  <c r="Q13"/>
  <c r="V13" s="1"/>
  <c r="X13" s="1"/>
  <c r="T12"/>
  <c r="Q12"/>
  <c r="V12" s="1"/>
  <c r="X12" s="1"/>
  <c r="T11"/>
  <c r="Q11"/>
  <c r="V11" s="1"/>
  <c r="X11" s="1"/>
  <c r="Y11" s="1"/>
  <c r="T10"/>
  <c r="Q10"/>
  <c r="V10" s="1"/>
  <c r="X10" s="1"/>
  <c r="Y10" s="1"/>
  <c r="T9"/>
  <c r="Q9"/>
  <c r="V9" s="1"/>
  <c r="X9" s="1"/>
  <c r="T8"/>
  <c r="Q8"/>
  <c r="V8" s="1"/>
  <c r="X8" s="1"/>
  <c r="T7"/>
  <c r="Q7"/>
  <c r="V7" s="1"/>
  <c r="X7" s="1"/>
  <c r="Y7" s="1"/>
  <c r="T6"/>
  <c r="Q6"/>
  <c r="V6" s="1"/>
  <c r="X6" s="1"/>
  <c r="Y6" s="1"/>
  <c r="Y24" s="1"/>
  <c r="T5"/>
  <c r="Q5"/>
  <c r="V5" s="1"/>
  <c r="X5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T11" i="1"/>
  <c r="Q11"/>
  <c r="V11" s="1"/>
  <c r="X11" s="1"/>
  <c r="V5" i="4" l="1"/>
  <c r="Q24" i="2"/>
  <c r="T10" i="1"/>
  <c r="Q10"/>
  <c r="V10" s="1"/>
  <c r="X10" s="1"/>
  <c r="X5" i="4" l="1"/>
  <c r="X18" s="1"/>
  <c r="V18"/>
  <c r="V24" i="2"/>
  <c r="X24"/>
  <c r="T9" i="1"/>
  <c r="Q9"/>
  <c r="V9" s="1"/>
  <c r="X9" s="1"/>
  <c r="T8"/>
  <c r="Q8"/>
  <c r="V8" s="1"/>
  <c r="X8" s="1"/>
  <c r="T7"/>
  <c r="Q7"/>
  <c r="V7" s="1"/>
  <c r="X7" s="1"/>
  <c r="T6"/>
  <c r="Q6"/>
  <c r="V6" s="1"/>
  <c r="X6" s="1"/>
  <c r="B6"/>
  <c r="B7" s="1"/>
  <c r="B8" s="1"/>
  <c r="B9" s="1"/>
  <c r="B10" s="1"/>
  <c r="B11" s="1"/>
  <c r="B12" s="1"/>
  <c r="B13" s="1"/>
  <c r="B14" s="1"/>
  <c r="B15" s="1"/>
  <c r="B16" s="1"/>
  <c r="B17" s="1"/>
  <c r="T5" l="1"/>
  <c r="Q5"/>
  <c r="V5" l="1"/>
  <c r="Q18"/>
  <c r="X5" l="1"/>
  <c r="X18" s="1"/>
  <c r="V18"/>
</calcChain>
</file>

<file path=xl/sharedStrings.xml><?xml version="1.0" encoding="utf-8"?>
<sst xmlns="http://schemas.openxmlformats.org/spreadsheetml/2006/main" count="624" uniqueCount="161">
  <si>
    <t>ROBINSON INTERNATIONAL ENERGY LIMITED</t>
  </si>
  <si>
    <t>S/N</t>
  </si>
  <si>
    <t>REF NO</t>
  </si>
  <si>
    <t>CCI NO.</t>
  </si>
  <si>
    <t>CCI DATE</t>
  </si>
  <si>
    <t>NXP NO</t>
  </si>
  <si>
    <t>NXP ISSUING BANK</t>
  </si>
  <si>
    <t>EXPORTER NAME</t>
  </si>
  <si>
    <t>CRUDE OIL TYPE</t>
  </si>
  <si>
    <t>HS CODE</t>
  </si>
  <si>
    <t>BILL OF LADING DATE</t>
  </si>
  <si>
    <t>VESSEL</t>
  </si>
  <si>
    <t>TERMINAL</t>
  </si>
  <si>
    <t>DESTINATION</t>
  </si>
  <si>
    <t>POINT OF EXIT</t>
  </si>
  <si>
    <t>QUANTITY IN BARREL</t>
  </si>
  <si>
    <t>FOB Value ($)</t>
  </si>
  <si>
    <t>FOB CURRENCY (CCY)</t>
  </si>
  <si>
    <t>PRICE PER BARREL</t>
  </si>
  <si>
    <t>REPATRIATION DUE DATE</t>
  </si>
  <si>
    <t>DESIGNATED BANK</t>
  </si>
  <si>
    <t>NESS FEE PAYABLE  ($)</t>
  </si>
  <si>
    <t>EXCHANGE RATE APPLIED BY PIA</t>
  </si>
  <si>
    <t>NESS FEE PAYABLE (NAIRA)</t>
  </si>
  <si>
    <t>NESS FEE PAID (NAIRA)</t>
  </si>
  <si>
    <t>RECEIPT DATE</t>
  </si>
  <si>
    <t>RECEIPT NO</t>
  </si>
  <si>
    <t>C182</t>
  </si>
  <si>
    <t>UNITED KINGDOM</t>
  </si>
  <si>
    <t>BELMAR</t>
  </si>
  <si>
    <t>STANBIC IBTC</t>
  </si>
  <si>
    <t>EBOK BLEND CRUDE OIL</t>
  </si>
  <si>
    <t>EBOK</t>
  </si>
  <si>
    <t>STANDARD CHARTERED</t>
  </si>
  <si>
    <t>TETNEY</t>
  </si>
  <si>
    <t>ORIENTAL ENERGY</t>
  </si>
  <si>
    <t>EBOK 024</t>
  </si>
  <si>
    <t>ORIENTAL EBOK 024</t>
  </si>
  <si>
    <t>201400010696</t>
  </si>
  <si>
    <t>COMPLIANT INSPECTION REPORT FOR THE PERIOD OF NOVEMBER 2014</t>
  </si>
  <si>
    <t>BRASS 556</t>
  </si>
  <si>
    <t>PLATFORM BRASS 120</t>
  </si>
  <si>
    <t>201401010089</t>
  </si>
  <si>
    <t>SKYE BANK</t>
  </si>
  <si>
    <t>PLATFORM PETROLEUM</t>
  </si>
  <si>
    <t>BRASS BLEND CRUDE OIL</t>
  </si>
  <si>
    <t>STENA SUEDE</t>
  </si>
  <si>
    <t>BRASS</t>
  </si>
  <si>
    <t>GERMANY</t>
  </si>
  <si>
    <t>WILHELMSHAVEN</t>
  </si>
  <si>
    <t>BRASS 557</t>
  </si>
  <si>
    <t>PLATFORM BRASS 121</t>
  </si>
  <si>
    <t>201401010090</t>
  </si>
  <si>
    <t>BRASS 558</t>
  </si>
  <si>
    <t>PLATFORM BRASS 122</t>
  </si>
  <si>
    <t>201490300010</t>
  </si>
  <si>
    <t>STERLING BANK</t>
  </si>
  <si>
    <t>BRASS 563</t>
  </si>
  <si>
    <t>PLATFORM BRASS 123</t>
  </si>
  <si>
    <t>201401010091</t>
  </si>
  <si>
    <t>GENMAR GEORGE T</t>
  </si>
  <si>
    <t>BRUNSBUTTEL GERMANY FOR ORDERS</t>
  </si>
  <si>
    <t>BRASS 518</t>
  </si>
  <si>
    <t>MIDWESTERN BRASS 043</t>
  </si>
  <si>
    <t>201402050373</t>
  </si>
  <si>
    <t>GUARANTY TRUST BANK</t>
  </si>
  <si>
    <t>MIDWESTERN OIL &amp; GAS</t>
  </si>
  <si>
    <t>ALMI VOYAGER</t>
  </si>
  <si>
    <t>GTB</t>
  </si>
  <si>
    <t>BRASS 546</t>
  </si>
  <si>
    <t>MIDWESTERN BRASS 046</t>
  </si>
  <si>
    <t>201402050493</t>
  </si>
  <si>
    <t xml:space="preserve">MIDWESTERN OIL </t>
  </si>
  <si>
    <t>EVGENIA I</t>
  </si>
  <si>
    <t>NETHERLANDS</t>
  </si>
  <si>
    <t>ROTTERDAM THE NETHERLANDS FOR ORDERS</t>
  </si>
  <si>
    <t>ANTAN BLEND CRUDE OIL</t>
  </si>
  <si>
    <t>ANTAN</t>
  </si>
  <si>
    <t>SOUTH AFRICA</t>
  </si>
  <si>
    <t>MOBIL PRODUCING</t>
  </si>
  <si>
    <t>YOHO BLEND CRUDE OIL</t>
  </si>
  <si>
    <t>YOHO</t>
  </si>
  <si>
    <t>USA</t>
  </si>
  <si>
    <t>UBA</t>
  </si>
  <si>
    <t>NNPC</t>
  </si>
  <si>
    <t>OKONO BLEND CRUDE OIL</t>
  </si>
  <si>
    <t>OKONO</t>
  </si>
  <si>
    <t>AGIP ENERGY</t>
  </si>
  <si>
    <t>ROTTERDAM</t>
  </si>
  <si>
    <t>NIGERIAN AGIP</t>
  </si>
  <si>
    <t>CAMEROON</t>
  </si>
  <si>
    <t>CAP LIMBOH</t>
  </si>
  <si>
    <t>PHILLIPS OIL</t>
  </si>
  <si>
    <t>BRAZIL</t>
  </si>
  <si>
    <t>ONE OR MORE SAFE PORTS, BRAZIL</t>
  </si>
  <si>
    <t>NOT YET ISSUED</t>
  </si>
  <si>
    <t>GHANA</t>
  </si>
  <si>
    <t>MIDWESTERN OIL</t>
  </si>
  <si>
    <t>NIPPON PRINCESS</t>
  </si>
  <si>
    <t>SESTREA</t>
  </si>
  <si>
    <t>ABOADZE</t>
  </si>
  <si>
    <t>DURBAN FOR ORDERS</t>
  </si>
  <si>
    <t>DENMARK</t>
  </si>
  <si>
    <t>CITI BANK OF NIG</t>
  </si>
  <si>
    <t>BLANK</t>
  </si>
  <si>
    <t>TEMA</t>
  </si>
  <si>
    <t>ALMI EXPLORER</t>
  </si>
  <si>
    <t>BLUE SKY</t>
  </si>
  <si>
    <t>INTENTION KALUNDBORG</t>
  </si>
  <si>
    <t>CENTRAL BANK</t>
  </si>
  <si>
    <t>PORTLAND, MAINE</t>
  </si>
  <si>
    <t>FINNART UK FOR ORDERS</t>
  </si>
  <si>
    <t>OKONO 080</t>
  </si>
  <si>
    <t>201400010495</t>
  </si>
  <si>
    <t>BRASS 569</t>
  </si>
  <si>
    <t>NNPC BRASS 188</t>
  </si>
  <si>
    <t>43010105C38/92B</t>
  </si>
  <si>
    <t>BRASS 570</t>
  </si>
  <si>
    <t>NNPC BRASS 189</t>
  </si>
  <si>
    <t>43010105C38/92C</t>
  </si>
  <si>
    <t>EBOK 025</t>
  </si>
  <si>
    <t>AWAITING 001</t>
  </si>
  <si>
    <t>MESAIEED</t>
  </si>
  <si>
    <t>EBOK 026</t>
  </si>
  <si>
    <t>AWAITING 002</t>
  </si>
  <si>
    <t>BRASS 571</t>
  </si>
  <si>
    <t>NNPC BRASS 190</t>
  </si>
  <si>
    <t>43010105C38/92A</t>
  </si>
  <si>
    <t>BRASS 572</t>
  </si>
  <si>
    <t>NNPC BRASS 191</t>
  </si>
  <si>
    <t>43010105C38/92D</t>
  </si>
  <si>
    <t>YOHO 112</t>
  </si>
  <si>
    <t>AWAITING 003</t>
  </si>
  <si>
    <t>BRASS 573</t>
  </si>
  <si>
    <t>201400010410</t>
  </si>
  <si>
    <t>VALUE</t>
  </si>
  <si>
    <t>BRASS 574</t>
  </si>
  <si>
    <t>AWAITING 04</t>
  </si>
  <si>
    <t>ANTAN 117</t>
  </si>
  <si>
    <t>NNPC ANTAN 058</t>
  </si>
  <si>
    <t>43010111C66/5A</t>
  </si>
  <si>
    <t>ANTAN 118</t>
  </si>
  <si>
    <t>NNPC ANTAN 059</t>
  </si>
  <si>
    <t>43010111C66/5B</t>
  </si>
  <si>
    <t>BRASS 575</t>
  </si>
  <si>
    <t>AWAITING 005</t>
  </si>
  <si>
    <t>SPORADES</t>
  </si>
  <si>
    <t>BRASS 576</t>
  </si>
  <si>
    <t>201400010538</t>
  </si>
  <si>
    <t>BRASS 577</t>
  </si>
  <si>
    <t>201400010539</t>
  </si>
  <si>
    <t>BRASS 578</t>
  </si>
  <si>
    <t>201401010093</t>
  </si>
  <si>
    <t>BRASS 579</t>
  </si>
  <si>
    <t>201401010094</t>
  </si>
  <si>
    <t>BRASS 580</t>
  </si>
  <si>
    <t>20149030011</t>
  </si>
  <si>
    <t>BRASS 581</t>
  </si>
  <si>
    <t>AWAITING 006</t>
  </si>
  <si>
    <t>COMPREHENSIVE INSPECTION REPORT FOR THE PERIOD OF NOVEMBER 2014</t>
  </si>
  <si>
    <t>NON-COMPLIANT INSPECTION REPORT FOR THE PERIOD OF NOVEMBER 2014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</si>
</sst>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0.0000"/>
    <numFmt numFmtId="165" formatCode="0000000"/>
    <numFmt numFmtId="166" formatCode="00000000000000"/>
    <numFmt numFmtId="167" formatCode="_(* #,##0_);_(* \(#,##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 wrapText="1"/>
    </xf>
    <xf numFmtId="164" fontId="0" fillId="0" borderId="0" xfId="0" applyNumberFormat="1" applyAlignment="1">
      <alignment horizontal="center"/>
    </xf>
    <xf numFmtId="164" fontId="5" fillId="0" borderId="5" xfId="0" applyNumberFormat="1" applyFont="1" applyFill="1" applyBorder="1" applyAlignment="1">
      <alignment horizontal="center"/>
    </xf>
    <xf numFmtId="14" fontId="5" fillId="0" borderId="6" xfId="0" applyNumberFormat="1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wrapText="1"/>
    </xf>
    <xf numFmtId="49" fontId="5" fillId="0" borderId="6" xfId="0" applyNumberFormat="1" applyFont="1" applyFill="1" applyBorder="1" applyAlignment="1">
      <alignment horizontal="center" wrapText="1"/>
    </xf>
    <xf numFmtId="0" fontId="6" fillId="0" borderId="0" xfId="0" applyFont="1" applyFill="1"/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6" fillId="0" borderId="0" xfId="0" applyFont="1" applyFill="1" applyAlignment="1">
      <alignment horizontal="center" wrapText="1"/>
    </xf>
    <xf numFmtId="0" fontId="5" fillId="0" borderId="0" xfId="0" applyFont="1" applyFill="1" applyAlignment="1">
      <alignment horizontal="center" wrapText="1"/>
    </xf>
    <xf numFmtId="164" fontId="6" fillId="0" borderId="0" xfId="0" applyNumberFormat="1" applyFont="1" applyFill="1" applyAlignment="1">
      <alignment horizontal="center"/>
    </xf>
    <xf numFmtId="0" fontId="8" fillId="0" borderId="0" xfId="0" applyFont="1" applyFill="1"/>
    <xf numFmtId="0" fontId="9" fillId="0" borderId="2" xfId="2" applyFont="1" applyFill="1" applyBorder="1" applyAlignment="1">
      <alignment horizontal="center" vertical="center" wrapText="1"/>
    </xf>
    <xf numFmtId="0" fontId="9" fillId="0" borderId="3" xfId="2" applyFont="1" applyFill="1" applyBorder="1" applyAlignment="1">
      <alignment horizontal="center" vertical="center" wrapText="1"/>
    </xf>
    <xf numFmtId="49" fontId="9" fillId="0" borderId="3" xfId="2" applyNumberFormat="1" applyFont="1" applyFill="1" applyBorder="1" applyAlignment="1">
      <alignment horizontal="center" vertical="center"/>
    </xf>
    <xf numFmtId="49" fontId="9" fillId="0" borderId="3" xfId="2" applyNumberFormat="1" applyFont="1" applyFill="1" applyBorder="1" applyAlignment="1">
      <alignment horizontal="center" vertical="center" wrapText="1"/>
    </xf>
    <xf numFmtId="164" fontId="9" fillId="0" borderId="3" xfId="2" applyNumberFormat="1" applyFont="1" applyFill="1" applyBorder="1" applyAlignment="1">
      <alignment horizontal="center" vertical="center" wrapText="1"/>
    </xf>
    <xf numFmtId="0" fontId="9" fillId="0" borderId="4" xfId="2" applyFont="1" applyFill="1" applyBorder="1" applyAlignment="1">
      <alignment horizontal="center" vertical="center" wrapText="1"/>
    </xf>
    <xf numFmtId="0" fontId="5" fillId="0" borderId="6" xfId="0" applyFont="1" applyFill="1" applyBorder="1"/>
    <xf numFmtId="0" fontId="5" fillId="0" borderId="6" xfId="0" applyFont="1" applyFill="1" applyBorder="1" applyAlignment="1">
      <alignment horizontal="center"/>
    </xf>
    <xf numFmtId="14" fontId="5" fillId="0" borderId="6" xfId="0" applyNumberFormat="1" applyFont="1" applyFill="1" applyBorder="1" applyAlignment="1">
      <alignment horizontal="center" vertical="center" wrapText="1"/>
    </xf>
    <xf numFmtId="49" fontId="5" fillId="0" borderId="5" xfId="0" applyNumberFormat="1" applyFont="1" applyFill="1" applyBorder="1" applyAlignment="1">
      <alignment horizontal="center" wrapText="1"/>
    </xf>
    <xf numFmtId="164" fontId="5" fillId="0" borderId="6" xfId="0" applyNumberFormat="1" applyFont="1" applyFill="1" applyBorder="1" applyAlignment="1">
      <alignment horizontal="center" wrapText="1"/>
    </xf>
    <xf numFmtId="14" fontId="5" fillId="0" borderId="5" xfId="0" applyNumberFormat="1" applyFont="1" applyFill="1" applyBorder="1" applyAlignment="1">
      <alignment horizontal="center" wrapText="1"/>
    </xf>
    <xf numFmtId="0" fontId="5" fillId="0" borderId="5" xfId="0" applyFont="1" applyFill="1" applyBorder="1" applyAlignment="1">
      <alignment horizontal="center" wrapText="1"/>
    </xf>
    <xf numFmtId="0" fontId="5" fillId="0" borderId="5" xfId="0" applyFont="1" applyFill="1" applyBorder="1" applyAlignment="1">
      <alignment horizontal="center" vertical="center" wrapText="1"/>
    </xf>
    <xf numFmtId="3" fontId="5" fillId="0" borderId="5" xfId="0" applyNumberFormat="1" applyFont="1" applyFill="1" applyBorder="1"/>
    <xf numFmtId="4" fontId="5" fillId="0" borderId="6" xfId="0" applyNumberFormat="1" applyFont="1" applyFill="1" applyBorder="1" applyAlignment="1">
      <alignment horizontal="right"/>
    </xf>
    <xf numFmtId="4" fontId="5" fillId="0" borderId="6" xfId="0" applyNumberFormat="1" applyFont="1" applyFill="1" applyBorder="1" applyAlignment="1">
      <alignment horizontal="center"/>
    </xf>
    <xf numFmtId="14" fontId="5" fillId="0" borderId="6" xfId="0" applyNumberFormat="1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 wrapText="1"/>
    </xf>
    <xf numFmtId="4" fontId="5" fillId="0" borderId="6" xfId="0" applyNumberFormat="1" applyFont="1" applyFill="1" applyBorder="1"/>
    <xf numFmtId="2" fontId="5" fillId="0" borderId="6" xfId="0" applyNumberFormat="1" applyFont="1" applyFill="1" applyBorder="1" applyAlignment="1">
      <alignment horizontal="center"/>
    </xf>
    <xf numFmtId="2" fontId="5" fillId="0" borderId="7" xfId="0" applyNumberFormat="1" applyFont="1" applyFill="1" applyBorder="1"/>
    <xf numFmtId="43" fontId="5" fillId="0" borderId="7" xfId="1" applyFont="1" applyFill="1" applyBorder="1"/>
    <xf numFmtId="0" fontId="5" fillId="0" borderId="8" xfId="0" applyFont="1" applyFill="1" applyBorder="1" applyAlignment="1">
      <alignment horizontal="center" wrapText="1"/>
    </xf>
    <xf numFmtId="164" fontId="5" fillId="0" borderId="6" xfId="4" applyNumberFormat="1" applyFont="1" applyFill="1" applyBorder="1" applyAlignment="1">
      <alignment horizontal="center"/>
    </xf>
    <xf numFmtId="167" fontId="9" fillId="0" borderId="9" xfId="0" applyNumberFormat="1" applyFont="1" applyFill="1" applyBorder="1"/>
    <xf numFmtId="43" fontId="9" fillId="0" borderId="9" xfId="0" applyNumberFormat="1" applyFont="1" applyFill="1" applyBorder="1"/>
    <xf numFmtId="0" fontId="5" fillId="0" borderId="0" xfId="0" applyFont="1" applyFill="1"/>
    <xf numFmtId="164" fontId="5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horizontal="center"/>
    </xf>
    <xf numFmtId="4" fontId="5" fillId="0" borderId="7" xfId="0" applyNumberFormat="1" applyFont="1" applyFill="1" applyBorder="1" applyAlignment="1">
      <alignment horizontal="right"/>
    </xf>
    <xf numFmtId="165" fontId="5" fillId="0" borderId="6" xfId="0" applyNumberFormat="1" applyFont="1" applyFill="1" applyBorder="1" applyAlignment="1">
      <alignment horizontal="center"/>
    </xf>
    <xf numFmtId="3" fontId="5" fillId="0" borderId="6" xfId="0" applyNumberFormat="1" applyFont="1" applyFill="1" applyBorder="1" applyAlignment="1">
      <alignment horizontal="center" wrapText="1"/>
    </xf>
    <xf numFmtId="43" fontId="5" fillId="0" borderId="6" xfId="1" applyFont="1" applyFill="1" applyBorder="1"/>
    <xf numFmtId="4" fontId="5" fillId="0" borderId="7" xfId="0" applyNumberFormat="1" applyFont="1" applyFill="1" applyBorder="1"/>
    <xf numFmtId="3" fontId="9" fillId="0" borderId="9" xfId="0" applyNumberFormat="1" applyFont="1" applyFill="1" applyBorder="1"/>
    <xf numFmtId="43" fontId="9" fillId="0" borderId="9" xfId="1" applyFont="1" applyFill="1" applyBorder="1"/>
    <xf numFmtId="0" fontId="9" fillId="0" borderId="0" xfId="0" applyFont="1" applyFill="1"/>
    <xf numFmtId="164" fontId="9" fillId="0" borderId="0" xfId="0" applyNumberFormat="1" applyFont="1" applyFill="1" applyAlignment="1">
      <alignment horizontal="center"/>
    </xf>
    <xf numFmtId="0" fontId="9" fillId="0" borderId="0" xfId="0" applyFont="1" applyFill="1" applyAlignment="1">
      <alignment horizontal="left"/>
    </xf>
    <xf numFmtId="0" fontId="9" fillId="0" borderId="0" xfId="0" applyFont="1" applyFill="1" applyAlignment="1">
      <alignment horizontal="center"/>
    </xf>
  </cellXfs>
  <cellStyles count="13">
    <cellStyle name="Check Cell" xfId="2" builtinId="23"/>
    <cellStyle name="Comma" xfId="1" builtinId="3"/>
    <cellStyle name="Comma 11" xfId="3"/>
    <cellStyle name="Comma 13" xfId="6"/>
    <cellStyle name="Comma 14" xfId="7"/>
    <cellStyle name="Comma 15" xfId="8"/>
    <cellStyle name="Comma 2" xfId="4"/>
    <cellStyle name="Comma 2 2" xfId="9"/>
    <cellStyle name="Comma 2 3" xfId="5"/>
    <cellStyle name="Comma 6" xfId="10"/>
    <cellStyle name="Comma 7" xfId="11"/>
    <cellStyle name="Comma 8" xfId="12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</xdr:row>
      <xdr:rowOff>38100</xdr:rowOff>
    </xdr:from>
    <xdr:to>
      <xdr:col>3</xdr:col>
      <xdr:colOff>476250</xdr:colOff>
      <xdr:row>2</xdr:row>
      <xdr:rowOff>171451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38200" y="228600"/>
          <a:ext cx="438150" cy="333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</xdr:row>
      <xdr:rowOff>38099</xdr:rowOff>
    </xdr:from>
    <xdr:to>
      <xdr:col>3</xdr:col>
      <xdr:colOff>495300</xdr:colOff>
      <xdr:row>2</xdr:row>
      <xdr:rowOff>161925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04900" y="228599"/>
          <a:ext cx="457200" cy="3238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</xdr:row>
      <xdr:rowOff>38100</xdr:rowOff>
    </xdr:from>
    <xdr:to>
      <xdr:col>3</xdr:col>
      <xdr:colOff>476250</xdr:colOff>
      <xdr:row>2</xdr:row>
      <xdr:rowOff>171451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42975" y="228600"/>
          <a:ext cx="438150" cy="333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A24"/>
  <sheetViews>
    <sheetView tabSelected="1" workbookViewId="0">
      <selection activeCell="A39" sqref="A39:XFD46"/>
    </sheetView>
  </sheetViews>
  <sheetFormatPr defaultRowHeight="15"/>
  <cols>
    <col min="1" max="1" width="3.85546875" customWidth="1"/>
    <col min="2" max="2" width="4.140625" customWidth="1"/>
    <col min="3" max="3" width="5.5703125" style="1" customWidth="1"/>
    <col min="4" max="4" width="8.85546875" style="1" customWidth="1"/>
    <col min="5" max="5" width="5.7109375" style="1" customWidth="1"/>
    <col min="6" max="6" width="10.28515625" style="1" customWidth="1"/>
    <col min="7" max="7" width="8" style="1" customWidth="1"/>
    <col min="8" max="8" width="9" style="1" customWidth="1"/>
    <col min="9" max="9" width="9.140625" style="1" customWidth="1"/>
    <col min="10" max="10" width="6.85546875" customWidth="1"/>
    <col min="11" max="11" width="6.5703125" style="2" customWidth="1"/>
    <col min="12" max="12" width="8" style="1" customWidth="1"/>
    <col min="13" max="13" width="5.42578125" style="1" customWidth="1"/>
    <col min="14" max="14" width="9.5703125" style="4" customWidth="1"/>
    <col min="15" max="15" width="9.7109375" style="5" customWidth="1"/>
    <col min="16" max="16" width="8.85546875" customWidth="1"/>
    <col min="17" max="17" width="11.7109375" customWidth="1"/>
    <col min="18" max="18" width="7.7109375" customWidth="1"/>
    <col min="19" max="19" width="6.7109375" style="6" customWidth="1"/>
    <col min="20" max="20" width="6" style="2" customWidth="1"/>
    <col min="21" max="21" width="10.28515625" style="1" customWidth="1"/>
    <col min="22" max="22" width="9.7109375" customWidth="1"/>
    <col min="23" max="23" width="6" customWidth="1"/>
    <col min="24" max="24" width="11.28515625" customWidth="1"/>
    <col min="25" max="25" width="11.5703125" customWidth="1"/>
    <col min="26" max="27" width="5.42578125" customWidth="1"/>
    <col min="28" max="28" width="11.5703125" customWidth="1"/>
  </cols>
  <sheetData>
    <row r="2" spans="2:27" ht="15.75">
      <c r="B2" s="11"/>
      <c r="C2" s="12"/>
      <c r="D2" s="12"/>
      <c r="E2" s="12"/>
      <c r="F2" s="12"/>
      <c r="G2" s="12"/>
      <c r="H2" s="12"/>
      <c r="I2" s="12"/>
      <c r="J2" s="11"/>
      <c r="K2" s="13"/>
      <c r="L2" s="14" t="s">
        <v>0</v>
      </c>
      <c r="M2" s="12"/>
      <c r="N2" s="15"/>
      <c r="O2" s="16"/>
      <c r="P2" s="11"/>
      <c r="Q2" s="11"/>
      <c r="R2" s="11"/>
      <c r="S2" s="17"/>
      <c r="T2" s="13"/>
      <c r="U2" s="12"/>
      <c r="V2" s="11"/>
      <c r="W2" s="11"/>
      <c r="X2" s="11"/>
      <c r="Y2" s="11"/>
      <c r="Z2" s="11"/>
      <c r="AA2" s="11"/>
    </row>
    <row r="3" spans="2:27" ht="23.25" customHeight="1" thickBot="1">
      <c r="B3" s="11"/>
      <c r="C3" s="12"/>
      <c r="D3" s="12"/>
      <c r="E3" s="12"/>
      <c r="F3" s="12"/>
      <c r="G3" s="12"/>
      <c r="H3" s="12"/>
      <c r="I3" s="12"/>
      <c r="J3" s="11"/>
      <c r="K3" s="13"/>
      <c r="L3" s="14" t="s">
        <v>159</v>
      </c>
      <c r="M3" s="12"/>
      <c r="N3" s="15"/>
      <c r="O3" s="16"/>
      <c r="P3" s="18"/>
      <c r="Q3" s="11"/>
      <c r="R3" s="11"/>
      <c r="S3" s="17"/>
      <c r="T3" s="13"/>
      <c r="U3" s="12"/>
      <c r="V3" s="11"/>
      <c r="W3" s="11"/>
      <c r="X3" s="11"/>
      <c r="Y3" s="11"/>
      <c r="Z3" s="11"/>
      <c r="AA3" s="11"/>
    </row>
    <row r="4" spans="2:27" s="1" customFormat="1" ht="54" customHeight="1" thickBot="1">
      <c r="B4" s="19" t="s">
        <v>1</v>
      </c>
      <c r="C4" s="20" t="s">
        <v>2</v>
      </c>
      <c r="D4" s="20" t="s">
        <v>3</v>
      </c>
      <c r="E4" s="20" t="s">
        <v>4</v>
      </c>
      <c r="F4" s="21" t="s">
        <v>5</v>
      </c>
      <c r="G4" s="22" t="s">
        <v>6</v>
      </c>
      <c r="H4" s="20" t="s">
        <v>7</v>
      </c>
      <c r="I4" s="20" t="s">
        <v>8</v>
      </c>
      <c r="J4" s="20" t="s">
        <v>9</v>
      </c>
      <c r="K4" s="20" t="s">
        <v>10</v>
      </c>
      <c r="L4" s="20" t="s">
        <v>11</v>
      </c>
      <c r="M4" s="20" t="s">
        <v>12</v>
      </c>
      <c r="N4" s="20" t="s">
        <v>13</v>
      </c>
      <c r="O4" s="20" t="s">
        <v>14</v>
      </c>
      <c r="P4" s="20" t="s">
        <v>15</v>
      </c>
      <c r="Q4" s="20" t="s">
        <v>16</v>
      </c>
      <c r="R4" s="20" t="s">
        <v>17</v>
      </c>
      <c r="S4" s="23" t="s">
        <v>18</v>
      </c>
      <c r="T4" s="20" t="s">
        <v>19</v>
      </c>
      <c r="U4" s="20" t="s">
        <v>20</v>
      </c>
      <c r="V4" s="20" t="s">
        <v>21</v>
      </c>
      <c r="W4" s="20" t="s">
        <v>22</v>
      </c>
      <c r="X4" s="20" t="s">
        <v>23</v>
      </c>
      <c r="Y4" s="20" t="s">
        <v>24</v>
      </c>
      <c r="Z4" s="20" t="s">
        <v>25</v>
      </c>
      <c r="AA4" s="24" t="s">
        <v>26</v>
      </c>
    </row>
    <row r="5" spans="2:27" ht="21.75" customHeight="1">
      <c r="B5" s="25">
        <v>1</v>
      </c>
      <c r="C5" s="9" t="s">
        <v>112</v>
      </c>
      <c r="D5" s="27" t="s">
        <v>95</v>
      </c>
      <c r="E5" s="8"/>
      <c r="F5" s="28" t="s">
        <v>113</v>
      </c>
      <c r="G5" s="9" t="s">
        <v>103</v>
      </c>
      <c r="H5" s="9" t="s">
        <v>87</v>
      </c>
      <c r="I5" s="9" t="s">
        <v>85</v>
      </c>
      <c r="J5" s="29">
        <v>801.22</v>
      </c>
      <c r="K5" s="30">
        <v>41945</v>
      </c>
      <c r="L5" s="31" t="s">
        <v>60</v>
      </c>
      <c r="M5" s="31" t="s">
        <v>86</v>
      </c>
      <c r="N5" s="9" t="s">
        <v>28</v>
      </c>
      <c r="O5" s="32" t="s">
        <v>111</v>
      </c>
      <c r="P5" s="33">
        <v>399989</v>
      </c>
      <c r="Q5" s="34">
        <f t="shared" ref="Q5:Q23" si="0">SUM(P5*S5)</f>
        <v>34112261.887000002</v>
      </c>
      <c r="R5" s="35" t="s">
        <v>27</v>
      </c>
      <c r="S5" s="7">
        <v>85.283000000000001</v>
      </c>
      <c r="T5" s="36">
        <f t="shared" ref="T5:T23" si="1">SUM(K5)+89</f>
        <v>42034</v>
      </c>
      <c r="U5" s="37" t="s">
        <v>83</v>
      </c>
      <c r="V5" s="38">
        <f t="shared" ref="V5:V23" si="2">SUM(Q5*0.12%)</f>
        <v>40934.714264399998</v>
      </c>
      <c r="W5" s="39">
        <v>165</v>
      </c>
      <c r="X5" s="34">
        <f t="shared" ref="X5:X19" si="3">SUM(V5*W5)</f>
        <v>6754227.8536259998</v>
      </c>
      <c r="Y5" s="40">
        <v>0</v>
      </c>
      <c r="Z5" s="26"/>
      <c r="AA5" s="26"/>
    </row>
    <row r="6" spans="2:27" ht="21.75" customHeight="1">
      <c r="B6" s="25">
        <f t="shared" ref="B6:B23" si="4">B5+1</f>
        <v>2</v>
      </c>
      <c r="C6" s="9" t="s">
        <v>114</v>
      </c>
      <c r="D6" s="8" t="s">
        <v>115</v>
      </c>
      <c r="E6" s="30">
        <v>41971</v>
      </c>
      <c r="F6" s="28" t="s">
        <v>116</v>
      </c>
      <c r="G6" s="9" t="s">
        <v>109</v>
      </c>
      <c r="H6" s="9" t="s">
        <v>84</v>
      </c>
      <c r="I6" s="9" t="s">
        <v>45</v>
      </c>
      <c r="J6" s="29">
        <v>801.22</v>
      </c>
      <c r="K6" s="30">
        <v>41945</v>
      </c>
      <c r="L6" s="31" t="s">
        <v>98</v>
      </c>
      <c r="M6" s="31" t="s">
        <v>47</v>
      </c>
      <c r="N6" s="9" t="s">
        <v>96</v>
      </c>
      <c r="O6" s="32" t="s">
        <v>105</v>
      </c>
      <c r="P6" s="33">
        <v>40000</v>
      </c>
      <c r="Q6" s="34">
        <f t="shared" si="0"/>
        <v>3369720</v>
      </c>
      <c r="R6" s="35" t="s">
        <v>27</v>
      </c>
      <c r="S6" s="7">
        <v>84.242999999999995</v>
      </c>
      <c r="T6" s="36">
        <f t="shared" si="1"/>
        <v>42034</v>
      </c>
      <c r="U6" s="9" t="s">
        <v>109</v>
      </c>
      <c r="V6" s="38">
        <f t="shared" si="2"/>
        <v>4043.6639999999998</v>
      </c>
      <c r="W6" s="39">
        <v>165</v>
      </c>
      <c r="X6" s="34">
        <f t="shared" si="3"/>
        <v>667204.55999999994</v>
      </c>
      <c r="Y6" s="41">
        <f t="shared" ref="Y6:Y7" si="5">X6</f>
        <v>667204.55999999994</v>
      </c>
      <c r="Z6" s="26"/>
      <c r="AA6" s="26"/>
    </row>
    <row r="7" spans="2:27" ht="21.75" customHeight="1">
      <c r="B7" s="25">
        <f t="shared" si="4"/>
        <v>3</v>
      </c>
      <c r="C7" s="9" t="s">
        <v>117</v>
      </c>
      <c r="D7" s="8" t="s">
        <v>118</v>
      </c>
      <c r="E7" s="30">
        <v>41971</v>
      </c>
      <c r="F7" s="28" t="s">
        <v>119</v>
      </c>
      <c r="G7" s="9" t="s">
        <v>109</v>
      </c>
      <c r="H7" s="9" t="s">
        <v>84</v>
      </c>
      <c r="I7" s="9" t="s">
        <v>45</v>
      </c>
      <c r="J7" s="29">
        <v>801.22</v>
      </c>
      <c r="K7" s="30">
        <v>41945</v>
      </c>
      <c r="L7" s="31" t="s">
        <v>98</v>
      </c>
      <c r="M7" s="31" t="s">
        <v>47</v>
      </c>
      <c r="N7" s="9" t="s">
        <v>96</v>
      </c>
      <c r="O7" s="32" t="s">
        <v>105</v>
      </c>
      <c r="P7" s="33">
        <v>259967</v>
      </c>
      <c r="Q7" s="34">
        <f t="shared" si="0"/>
        <v>21900399.980999999</v>
      </c>
      <c r="R7" s="35" t="s">
        <v>27</v>
      </c>
      <c r="S7" s="7">
        <v>84.242999999999995</v>
      </c>
      <c r="T7" s="36">
        <f t="shared" si="1"/>
        <v>42034</v>
      </c>
      <c r="U7" s="9" t="s">
        <v>109</v>
      </c>
      <c r="V7" s="38">
        <f t="shared" si="2"/>
        <v>26280.479977199997</v>
      </c>
      <c r="W7" s="39">
        <v>165</v>
      </c>
      <c r="X7" s="34">
        <f t="shared" si="3"/>
        <v>4336279.1962379999</v>
      </c>
      <c r="Y7" s="41">
        <f t="shared" si="5"/>
        <v>4336279.1962379999</v>
      </c>
      <c r="Z7" s="26"/>
      <c r="AA7" s="26"/>
    </row>
    <row r="8" spans="2:27" ht="21.75" customHeight="1">
      <c r="B8" s="25">
        <f t="shared" si="4"/>
        <v>4</v>
      </c>
      <c r="C8" s="9" t="s">
        <v>120</v>
      </c>
      <c r="D8" s="27" t="s">
        <v>95</v>
      </c>
      <c r="E8" s="8"/>
      <c r="F8" s="28" t="s">
        <v>121</v>
      </c>
      <c r="G8" s="9" t="s">
        <v>109</v>
      </c>
      <c r="H8" s="9" t="s">
        <v>84</v>
      </c>
      <c r="I8" s="9" t="s">
        <v>31</v>
      </c>
      <c r="J8" s="29">
        <v>801.22</v>
      </c>
      <c r="K8" s="30">
        <v>41951</v>
      </c>
      <c r="L8" s="31" t="s">
        <v>122</v>
      </c>
      <c r="M8" s="31" t="s">
        <v>32</v>
      </c>
      <c r="N8" s="9" t="s">
        <v>74</v>
      </c>
      <c r="O8" s="32" t="s">
        <v>88</v>
      </c>
      <c r="P8" s="33">
        <v>361426</v>
      </c>
      <c r="Q8" s="34">
        <f t="shared" si="0"/>
        <v>28427239.178000003</v>
      </c>
      <c r="R8" s="35" t="s">
        <v>27</v>
      </c>
      <c r="S8" s="7">
        <v>78.653000000000006</v>
      </c>
      <c r="T8" s="36">
        <f t="shared" si="1"/>
        <v>42040</v>
      </c>
      <c r="U8" s="9" t="s">
        <v>109</v>
      </c>
      <c r="V8" s="38">
        <f t="shared" si="2"/>
        <v>34112.6870136</v>
      </c>
      <c r="W8" s="39">
        <v>165</v>
      </c>
      <c r="X8" s="34">
        <f t="shared" si="3"/>
        <v>5628593.3572439998</v>
      </c>
      <c r="Y8" s="40">
        <v>0</v>
      </c>
      <c r="Z8" s="26"/>
      <c r="AA8" s="26"/>
    </row>
    <row r="9" spans="2:27" ht="21.75" customHeight="1">
      <c r="B9" s="25">
        <f t="shared" si="4"/>
        <v>5</v>
      </c>
      <c r="C9" s="9" t="s">
        <v>123</v>
      </c>
      <c r="D9" s="27" t="s">
        <v>95</v>
      </c>
      <c r="E9" s="8"/>
      <c r="F9" s="28" t="s">
        <v>124</v>
      </c>
      <c r="G9" s="9" t="s">
        <v>33</v>
      </c>
      <c r="H9" s="9" t="s">
        <v>79</v>
      </c>
      <c r="I9" s="9" t="s">
        <v>31</v>
      </c>
      <c r="J9" s="29">
        <v>801.22</v>
      </c>
      <c r="K9" s="30">
        <v>41951</v>
      </c>
      <c r="L9" s="31" t="s">
        <v>122</v>
      </c>
      <c r="M9" s="31" t="s">
        <v>32</v>
      </c>
      <c r="N9" s="9" t="s">
        <v>74</v>
      </c>
      <c r="O9" s="32" t="s">
        <v>88</v>
      </c>
      <c r="P9" s="33">
        <v>240737</v>
      </c>
      <c r="Q9" s="34">
        <f t="shared" si="0"/>
        <v>18934687.261</v>
      </c>
      <c r="R9" s="35" t="s">
        <v>27</v>
      </c>
      <c r="S9" s="7">
        <v>78.653000000000006</v>
      </c>
      <c r="T9" s="36">
        <f t="shared" si="1"/>
        <v>42040</v>
      </c>
      <c r="U9" s="37" t="s">
        <v>83</v>
      </c>
      <c r="V9" s="38">
        <f t="shared" si="2"/>
        <v>22721.624713199999</v>
      </c>
      <c r="W9" s="39">
        <v>165</v>
      </c>
      <c r="X9" s="34">
        <f t="shared" si="3"/>
        <v>3749068.0776779996</v>
      </c>
      <c r="Y9" s="40">
        <v>0</v>
      </c>
      <c r="Z9" s="26"/>
      <c r="AA9" s="26"/>
    </row>
    <row r="10" spans="2:27" ht="21.75" customHeight="1">
      <c r="B10" s="25">
        <f t="shared" si="4"/>
        <v>6</v>
      </c>
      <c r="C10" s="9" t="s">
        <v>125</v>
      </c>
      <c r="D10" s="8" t="s">
        <v>126</v>
      </c>
      <c r="E10" s="30">
        <v>41971</v>
      </c>
      <c r="F10" s="28" t="s">
        <v>127</v>
      </c>
      <c r="G10" s="9" t="s">
        <v>109</v>
      </c>
      <c r="H10" s="9" t="s">
        <v>84</v>
      </c>
      <c r="I10" s="9" t="s">
        <v>45</v>
      </c>
      <c r="J10" s="29">
        <v>801.22</v>
      </c>
      <c r="K10" s="30">
        <v>41952</v>
      </c>
      <c r="L10" s="31" t="s">
        <v>107</v>
      </c>
      <c r="M10" s="31" t="s">
        <v>47</v>
      </c>
      <c r="N10" s="9" t="s">
        <v>90</v>
      </c>
      <c r="O10" s="37" t="s">
        <v>91</v>
      </c>
      <c r="P10" s="33">
        <v>549998</v>
      </c>
      <c r="Q10" s="34">
        <f t="shared" si="0"/>
        <v>45372085.010000005</v>
      </c>
      <c r="R10" s="35" t="s">
        <v>27</v>
      </c>
      <c r="S10" s="7">
        <v>82.495000000000005</v>
      </c>
      <c r="T10" s="36">
        <f t="shared" si="1"/>
        <v>42041</v>
      </c>
      <c r="U10" s="9" t="s">
        <v>109</v>
      </c>
      <c r="V10" s="38">
        <f t="shared" si="2"/>
        <v>54446.502012000004</v>
      </c>
      <c r="W10" s="39">
        <v>165</v>
      </c>
      <c r="X10" s="34">
        <f t="shared" si="3"/>
        <v>8983672.8319800012</v>
      </c>
      <c r="Y10" s="41">
        <f t="shared" ref="Y10:Y11" si="6">X10</f>
        <v>8983672.8319800012</v>
      </c>
      <c r="Z10" s="26"/>
      <c r="AA10" s="26"/>
    </row>
    <row r="11" spans="2:27" ht="21.75" customHeight="1">
      <c r="B11" s="25">
        <f t="shared" si="4"/>
        <v>7</v>
      </c>
      <c r="C11" s="9" t="s">
        <v>128</v>
      </c>
      <c r="D11" s="8" t="s">
        <v>129</v>
      </c>
      <c r="E11" s="30">
        <v>41971</v>
      </c>
      <c r="F11" s="28" t="s">
        <v>130</v>
      </c>
      <c r="G11" s="9" t="s">
        <v>109</v>
      </c>
      <c r="H11" s="9" t="s">
        <v>84</v>
      </c>
      <c r="I11" s="9" t="s">
        <v>45</v>
      </c>
      <c r="J11" s="29">
        <v>801.22</v>
      </c>
      <c r="K11" s="30">
        <v>41952</v>
      </c>
      <c r="L11" s="31" t="s">
        <v>107</v>
      </c>
      <c r="M11" s="31" t="s">
        <v>47</v>
      </c>
      <c r="N11" s="9" t="s">
        <v>90</v>
      </c>
      <c r="O11" s="37" t="s">
        <v>91</v>
      </c>
      <c r="P11" s="33">
        <v>100000</v>
      </c>
      <c r="Q11" s="34">
        <f t="shared" si="0"/>
        <v>8249500</v>
      </c>
      <c r="R11" s="35" t="s">
        <v>27</v>
      </c>
      <c r="S11" s="7">
        <v>82.495000000000005</v>
      </c>
      <c r="T11" s="36">
        <f t="shared" si="1"/>
        <v>42041</v>
      </c>
      <c r="U11" s="9" t="s">
        <v>109</v>
      </c>
      <c r="V11" s="38">
        <f t="shared" si="2"/>
        <v>9899.4</v>
      </c>
      <c r="W11" s="39">
        <v>165</v>
      </c>
      <c r="X11" s="34">
        <f t="shared" si="3"/>
        <v>1633401</v>
      </c>
      <c r="Y11" s="41">
        <f t="shared" si="6"/>
        <v>1633401</v>
      </c>
      <c r="Z11" s="26"/>
      <c r="AA11" s="26"/>
    </row>
    <row r="12" spans="2:27" ht="24.75" customHeight="1">
      <c r="B12" s="25">
        <f t="shared" si="4"/>
        <v>8</v>
      </c>
      <c r="C12" s="9" t="s">
        <v>131</v>
      </c>
      <c r="D12" s="27" t="s">
        <v>95</v>
      </c>
      <c r="E12" s="8"/>
      <c r="F12" s="28" t="s">
        <v>132</v>
      </c>
      <c r="G12" s="9" t="s">
        <v>33</v>
      </c>
      <c r="H12" s="9" t="s">
        <v>79</v>
      </c>
      <c r="I12" s="9" t="s">
        <v>80</v>
      </c>
      <c r="J12" s="29">
        <v>801.22</v>
      </c>
      <c r="K12" s="30">
        <v>41953</v>
      </c>
      <c r="L12" s="31" t="s">
        <v>99</v>
      </c>
      <c r="M12" s="42" t="s">
        <v>81</v>
      </c>
      <c r="N12" s="9" t="s">
        <v>93</v>
      </c>
      <c r="O12" s="37" t="s">
        <v>94</v>
      </c>
      <c r="P12" s="33">
        <v>909781</v>
      </c>
      <c r="Q12" s="34">
        <f t="shared" si="0"/>
        <v>75521830.590999991</v>
      </c>
      <c r="R12" s="35" t="s">
        <v>27</v>
      </c>
      <c r="S12" s="43">
        <v>83.010999999999996</v>
      </c>
      <c r="T12" s="36">
        <f t="shared" si="1"/>
        <v>42042</v>
      </c>
      <c r="U12" s="9" t="s">
        <v>83</v>
      </c>
      <c r="V12" s="38">
        <f t="shared" si="2"/>
        <v>90626.196709199983</v>
      </c>
      <c r="W12" s="39">
        <v>165</v>
      </c>
      <c r="X12" s="34">
        <f t="shared" si="3"/>
        <v>14953322.457017997</v>
      </c>
      <c r="Y12" s="40">
        <v>0</v>
      </c>
      <c r="Z12" s="26"/>
      <c r="AA12" s="26"/>
    </row>
    <row r="13" spans="2:27" ht="21.75" customHeight="1">
      <c r="B13" s="25">
        <f t="shared" si="4"/>
        <v>9</v>
      </c>
      <c r="C13" s="9" t="s">
        <v>133</v>
      </c>
      <c r="D13" s="27" t="s">
        <v>95</v>
      </c>
      <c r="E13" s="8"/>
      <c r="F13" s="28" t="s">
        <v>134</v>
      </c>
      <c r="G13" s="9" t="s">
        <v>33</v>
      </c>
      <c r="H13" s="9" t="s">
        <v>92</v>
      </c>
      <c r="I13" s="9" t="s">
        <v>45</v>
      </c>
      <c r="J13" s="29">
        <v>801.22</v>
      </c>
      <c r="K13" s="30">
        <v>41956</v>
      </c>
      <c r="L13" s="31" t="s">
        <v>135</v>
      </c>
      <c r="M13" s="42" t="s">
        <v>47</v>
      </c>
      <c r="N13" s="9" t="s">
        <v>82</v>
      </c>
      <c r="O13" s="37" t="s">
        <v>110</v>
      </c>
      <c r="P13" s="33">
        <v>551867</v>
      </c>
      <c r="Q13" s="34">
        <f t="shared" si="0"/>
        <v>43329285.637999997</v>
      </c>
      <c r="R13" s="35" t="s">
        <v>27</v>
      </c>
      <c r="S13" s="43">
        <v>78.513999999999996</v>
      </c>
      <c r="T13" s="36">
        <f t="shared" si="1"/>
        <v>42045</v>
      </c>
      <c r="U13" s="9" t="s">
        <v>33</v>
      </c>
      <c r="V13" s="38">
        <f t="shared" si="2"/>
        <v>51995.142765599994</v>
      </c>
      <c r="W13" s="39">
        <v>165</v>
      </c>
      <c r="X13" s="34">
        <f t="shared" si="3"/>
        <v>8579198.5563239995</v>
      </c>
      <c r="Y13" s="40">
        <v>0</v>
      </c>
      <c r="Z13" s="26"/>
      <c r="AA13" s="26"/>
    </row>
    <row r="14" spans="2:27" ht="21.75" customHeight="1">
      <c r="B14" s="25">
        <f t="shared" si="4"/>
        <v>10</v>
      </c>
      <c r="C14" s="9" t="s">
        <v>136</v>
      </c>
      <c r="D14" s="27" t="s">
        <v>95</v>
      </c>
      <c r="E14" s="8"/>
      <c r="F14" s="28" t="s">
        <v>137</v>
      </c>
      <c r="G14" s="9" t="s">
        <v>109</v>
      </c>
      <c r="H14" s="9" t="s">
        <v>84</v>
      </c>
      <c r="I14" s="9" t="s">
        <v>45</v>
      </c>
      <c r="J14" s="29">
        <v>801.22</v>
      </c>
      <c r="K14" s="30">
        <v>41958</v>
      </c>
      <c r="L14" s="31" t="s">
        <v>98</v>
      </c>
      <c r="M14" s="42" t="s">
        <v>47</v>
      </c>
      <c r="N14" s="9" t="s">
        <v>96</v>
      </c>
      <c r="O14" s="37" t="s">
        <v>105</v>
      </c>
      <c r="P14" s="33">
        <v>599852</v>
      </c>
      <c r="Q14" s="34">
        <f t="shared" si="0"/>
        <v>46294777.804000005</v>
      </c>
      <c r="R14" s="35" t="s">
        <v>27</v>
      </c>
      <c r="S14" s="43">
        <v>77.177000000000007</v>
      </c>
      <c r="T14" s="36">
        <f t="shared" si="1"/>
        <v>42047</v>
      </c>
      <c r="U14" s="9" t="s">
        <v>109</v>
      </c>
      <c r="V14" s="38">
        <f t="shared" si="2"/>
        <v>55553.733364799999</v>
      </c>
      <c r="W14" s="39">
        <v>165</v>
      </c>
      <c r="X14" s="34">
        <f t="shared" si="3"/>
        <v>9166366.0051920004</v>
      </c>
      <c r="Y14" s="40">
        <v>0</v>
      </c>
      <c r="Z14" s="26"/>
      <c r="AA14" s="26"/>
    </row>
    <row r="15" spans="2:27" ht="21.75" customHeight="1">
      <c r="B15" s="25">
        <f t="shared" si="4"/>
        <v>11</v>
      </c>
      <c r="C15" s="9" t="s">
        <v>138</v>
      </c>
      <c r="D15" s="8" t="s">
        <v>139</v>
      </c>
      <c r="E15" s="30">
        <v>41971</v>
      </c>
      <c r="F15" s="10" t="s">
        <v>140</v>
      </c>
      <c r="G15" s="9" t="s">
        <v>109</v>
      </c>
      <c r="H15" s="9" t="s">
        <v>84</v>
      </c>
      <c r="I15" s="9" t="s">
        <v>76</v>
      </c>
      <c r="J15" s="29">
        <v>801.22</v>
      </c>
      <c r="K15" s="30">
        <v>41966</v>
      </c>
      <c r="L15" s="31" t="s">
        <v>106</v>
      </c>
      <c r="M15" s="31" t="s">
        <v>77</v>
      </c>
      <c r="N15" s="9" t="s">
        <v>102</v>
      </c>
      <c r="O15" s="37" t="s">
        <v>108</v>
      </c>
      <c r="P15" s="33">
        <v>400000</v>
      </c>
      <c r="Q15" s="34">
        <f t="shared" si="0"/>
        <v>31454000.000000004</v>
      </c>
      <c r="R15" s="35" t="s">
        <v>27</v>
      </c>
      <c r="S15" s="43">
        <v>78.635000000000005</v>
      </c>
      <c r="T15" s="36">
        <f t="shared" si="1"/>
        <v>42055</v>
      </c>
      <c r="U15" s="9" t="s">
        <v>109</v>
      </c>
      <c r="V15" s="38">
        <f t="shared" si="2"/>
        <v>37744.800000000003</v>
      </c>
      <c r="W15" s="39">
        <v>165</v>
      </c>
      <c r="X15" s="34">
        <f t="shared" si="3"/>
        <v>6227892.0000000009</v>
      </c>
      <c r="Y15" s="41">
        <f t="shared" ref="Y15:Y16" si="7">X15</f>
        <v>6227892.0000000009</v>
      </c>
      <c r="Z15" s="26"/>
      <c r="AA15" s="26"/>
    </row>
    <row r="16" spans="2:27" ht="21.75" customHeight="1">
      <c r="B16" s="25">
        <f t="shared" si="4"/>
        <v>12</v>
      </c>
      <c r="C16" s="9" t="s">
        <v>141</v>
      </c>
      <c r="D16" s="8" t="s">
        <v>142</v>
      </c>
      <c r="E16" s="30">
        <v>41971</v>
      </c>
      <c r="F16" s="10" t="s">
        <v>143</v>
      </c>
      <c r="G16" s="9" t="s">
        <v>109</v>
      </c>
      <c r="H16" s="9" t="s">
        <v>84</v>
      </c>
      <c r="I16" s="9" t="s">
        <v>76</v>
      </c>
      <c r="J16" s="29">
        <v>801.22</v>
      </c>
      <c r="K16" s="30">
        <v>41966</v>
      </c>
      <c r="L16" s="31" t="s">
        <v>106</v>
      </c>
      <c r="M16" s="31" t="s">
        <v>77</v>
      </c>
      <c r="N16" s="9" t="s">
        <v>102</v>
      </c>
      <c r="O16" s="37" t="s">
        <v>108</v>
      </c>
      <c r="P16" s="33">
        <v>547848</v>
      </c>
      <c r="Q16" s="34">
        <f t="shared" si="0"/>
        <v>43080027.480000004</v>
      </c>
      <c r="R16" s="35" t="s">
        <v>27</v>
      </c>
      <c r="S16" s="43">
        <v>78.635000000000005</v>
      </c>
      <c r="T16" s="36">
        <f t="shared" si="1"/>
        <v>42055</v>
      </c>
      <c r="U16" s="9" t="s">
        <v>109</v>
      </c>
      <c r="V16" s="38">
        <f t="shared" si="2"/>
        <v>51696.032976000002</v>
      </c>
      <c r="W16" s="39">
        <v>165</v>
      </c>
      <c r="X16" s="34">
        <f t="shared" si="3"/>
        <v>8529845.4410399999</v>
      </c>
      <c r="Y16" s="41">
        <f t="shared" si="7"/>
        <v>8529845.4410399999</v>
      </c>
      <c r="Z16" s="26"/>
      <c r="AA16" s="26"/>
    </row>
    <row r="17" spans="2:27" ht="21.75" customHeight="1">
      <c r="B17" s="25">
        <f t="shared" si="4"/>
        <v>13</v>
      </c>
      <c r="C17" s="9" t="s">
        <v>144</v>
      </c>
      <c r="D17" s="27" t="s">
        <v>95</v>
      </c>
      <c r="E17" s="8"/>
      <c r="F17" s="28" t="s">
        <v>145</v>
      </c>
      <c r="G17" s="9" t="s">
        <v>109</v>
      </c>
      <c r="H17" s="9" t="s">
        <v>84</v>
      </c>
      <c r="I17" s="9" t="s">
        <v>45</v>
      </c>
      <c r="J17" s="29">
        <v>801.22</v>
      </c>
      <c r="K17" s="30">
        <v>41966</v>
      </c>
      <c r="L17" s="31" t="s">
        <v>146</v>
      </c>
      <c r="M17" s="42" t="s">
        <v>47</v>
      </c>
      <c r="N17" s="9" t="s">
        <v>96</v>
      </c>
      <c r="O17" s="37" t="s">
        <v>100</v>
      </c>
      <c r="P17" s="33">
        <v>349722</v>
      </c>
      <c r="Q17" s="34">
        <f t="shared" si="0"/>
        <v>27619294.949999999</v>
      </c>
      <c r="R17" s="35" t="s">
        <v>27</v>
      </c>
      <c r="S17" s="7">
        <v>78.974999999999994</v>
      </c>
      <c r="T17" s="36">
        <f t="shared" si="1"/>
        <v>42055</v>
      </c>
      <c r="U17" s="9" t="s">
        <v>109</v>
      </c>
      <c r="V17" s="38">
        <f t="shared" si="2"/>
        <v>33143.153939999997</v>
      </c>
      <c r="W17" s="39">
        <v>165</v>
      </c>
      <c r="X17" s="34">
        <f t="shared" si="3"/>
        <v>5468620.4000999993</v>
      </c>
      <c r="Y17" s="40">
        <v>0</v>
      </c>
      <c r="Z17" s="26"/>
      <c r="AA17" s="26"/>
    </row>
    <row r="18" spans="2:27" ht="21.75" customHeight="1">
      <c r="B18" s="25">
        <f t="shared" si="4"/>
        <v>14</v>
      </c>
      <c r="C18" s="9" t="s">
        <v>147</v>
      </c>
      <c r="D18" s="27" t="s">
        <v>95</v>
      </c>
      <c r="E18" s="8"/>
      <c r="F18" s="28" t="s">
        <v>148</v>
      </c>
      <c r="G18" s="9" t="s">
        <v>103</v>
      </c>
      <c r="H18" s="9" t="s">
        <v>89</v>
      </c>
      <c r="I18" s="9" t="s">
        <v>45</v>
      </c>
      <c r="J18" s="29">
        <v>801.22</v>
      </c>
      <c r="K18" s="30">
        <v>41971</v>
      </c>
      <c r="L18" s="31" t="s">
        <v>104</v>
      </c>
      <c r="M18" s="31" t="s">
        <v>47</v>
      </c>
      <c r="N18" s="9" t="s">
        <v>78</v>
      </c>
      <c r="O18" s="37" t="s">
        <v>101</v>
      </c>
      <c r="P18" s="33">
        <v>571837</v>
      </c>
      <c r="Q18" s="34">
        <f t="shared" si="0"/>
        <v>41530233.962000005</v>
      </c>
      <c r="R18" s="35" t="s">
        <v>27</v>
      </c>
      <c r="S18" s="7">
        <v>72.626000000000005</v>
      </c>
      <c r="T18" s="36">
        <f t="shared" si="1"/>
        <v>42060</v>
      </c>
      <c r="U18" s="9" t="s">
        <v>83</v>
      </c>
      <c r="V18" s="38">
        <f t="shared" si="2"/>
        <v>49836.280754400002</v>
      </c>
      <c r="W18" s="39">
        <v>165</v>
      </c>
      <c r="X18" s="34">
        <f t="shared" si="3"/>
        <v>8222986.3244760009</v>
      </c>
      <c r="Y18" s="40">
        <v>0</v>
      </c>
      <c r="Z18" s="26"/>
      <c r="AA18" s="26"/>
    </row>
    <row r="19" spans="2:27" ht="21.75" customHeight="1">
      <c r="B19" s="25">
        <f t="shared" si="4"/>
        <v>15</v>
      </c>
      <c r="C19" s="9" t="s">
        <v>149</v>
      </c>
      <c r="D19" s="27" t="s">
        <v>95</v>
      </c>
      <c r="E19" s="8"/>
      <c r="F19" s="28" t="s">
        <v>150</v>
      </c>
      <c r="G19" s="9" t="s">
        <v>103</v>
      </c>
      <c r="H19" s="9" t="s">
        <v>87</v>
      </c>
      <c r="I19" s="9" t="s">
        <v>45</v>
      </c>
      <c r="J19" s="29">
        <v>801.22</v>
      </c>
      <c r="K19" s="30">
        <v>41971</v>
      </c>
      <c r="L19" s="31" t="s">
        <v>104</v>
      </c>
      <c r="M19" s="31" t="s">
        <v>47</v>
      </c>
      <c r="N19" s="9" t="s">
        <v>78</v>
      </c>
      <c r="O19" s="37" t="s">
        <v>101</v>
      </c>
      <c r="P19" s="33">
        <v>100000</v>
      </c>
      <c r="Q19" s="34">
        <f t="shared" si="0"/>
        <v>7262600.0000000009</v>
      </c>
      <c r="R19" s="35" t="s">
        <v>27</v>
      </c>
      <c r="S19" s="7">
        <v>72.626000000000005</v>
      </c>
      <c r="T19" s="36">
        <f t="shared" si="1"/>
        <v>42060</v>
      </c>
      <c r="U19" s="9" t="s">
        <v>83</v>
      </c>
      <c r="V19" s="38">
        <f t="shared" si="2"/>
        <v>8715.1200000000008</v>
      </c>
      <c r="W19" s="39">
        <v>165</v>
      </c>
      <c r="X19" s="34">
        <f t="shared" si="3"/>
        <v>1437994.8</v>
      </c>
      <c r="Y19" s="40">
        <v>0</v>
      </c>
      <c r="Z19" s="26"/>
      <c r="AA19" s="26"/>
    </row>
    <row r="20" spans="2:27" ht="21.75" customHeight="1">
      <c r="B20" s="25">
        <f t="shared" si="4"/>
        <v>16</v>
      </c>
      <c r="C20" s="9" t="s">
        <v>151</v>
      </c>
      <c r="D20" s="27" t="s">
        <v>95</v>
      </c>
      <c r="E20" s="8"/>
      <c r="F20" s="28" t="s">
        <v>152</v>
      </c>
      <c r="G20" s="9" t="s">
        <v>43</v>
      </c>
      <c r="H20" s="9" t="s">
        <v>44</v>
      </c>
      <c r="I20" s="9" t="s">
        <v>45</v>
      </c>
      <c r="J20" s="29">
        <v>801.22</v>
      </c>
      <c r="K20" s="30">
        <v>41971</v>
      </c>
      <c r="L20" s="31" t="s">
        <v>104</v>
      </c>
      <c r="M20" s="31" t="s">
        <v>47</v>
      </c>
      <c r="N20" s="9" t="s">
        <v>78</v>
      </c>
      <c r="O20" s="37" t="s">
        <v>101</v>
      </c>
      <c r="P20" s="33">
        <v>65000</v>
      </c>
      <c r="Q20" s="34">
        <f t="shared" si="0"/>
        <v>4720690</v>
      </c>
      <c r="R20" s="35" t="s">
        <v>27</v>
      </c>
      <c r="S20" s="7">
        <v>72.626000000000005</v>
      </c>
      <c r="T20" s="36">
        <f t="shared" si="1"/>
        <v>42060</v>
      </c>
      <c r="U20" s="9" t="s">
        <v>43</v>
      </c>
      <c r="V20" s="38">
        <f t="shared" si="2"/>
        <v>5664.8279999999995</v>
      </c>
      <c r="W20" s="39">
        <v>165</v>
      </c>
      <c r="X20" s="34">
        <f t="shared" ref="X20:X23" si="8">SUM(V20*W20)</f>
        <v>934696.61999999988</v>
      </c>
      <c r="Y20" s="40">
        <v>0</v>
      </c>
      <c r="Z20" s="26"/>
      <c r="AA20" s="26"/>
    </row>
    <row r="21" spans="2:27" ht="21.75" customHeight="1">
      <c r="B21" s="25">
        <f t="shared" si="4"/>
        <v>17</v>
      </c>
      <c r="C21" s="9" t="s">
        <v>153</v>
      </c>
      <c r="D21" s="27" t="s">
        <v>95</v>
      </c>
      <c r="E21" s="8"/>
      <c r="F21" s="28" t="s">
        <v>154</v>
      </c>
      <c r="G21" s="9" t="s">
        <v>43</v>
      </c>
      <c r="H21" s="9" t="s">
        <v>44</v>
      </c>
      <c r="I21" s="9" t="s">
        <v>45</v>
      </c>
      <c r="J21" s="29">
        <v>801.22</v>
      </c>
      <c r="K21" s="30">
        <v>41971</v>
      </c>
      <c r="L21" s="31" t="s">
        <v>104</v>
      </c>
      <c r="M21" s="31" t="s">
        <v>47</v>
      </c>
      <c r="N21" s="9" t="s">
        <v>78</v>
      </c>
      <c r="O21" s="37" t="s">
        <v>101</v>
      </c>
      <c r="P21" s="33">
        <v>61000</v>
      </c>
      <c r="Q21" s="34">
        <f t="shared" si="0"/>
        <v>4430186</v>
      </c>
      <c r="R21" s="35" t="s">
        <v>27</v>
      </c>
      <c r="S21" s="7">
        <v>72.626000000000005</v>
      </c>
      <c r="T21" s="36">
        <f t="shared" si="1"/>
        <v>42060</v>
      </c>
      <c r="U21" s="9" t="s">
        <v>43</v>
      </c>
      <c r="V21" s="38">
        <f t="shared" si="2"/>
        <v>5316.2231999999995</v>
      </c>
      <c r="W21" s="39">
        <v>165</v>
      </c>
      <c r="X21" s="34">
        <f t="shared" si="8"/>
        <v>877176.82799999986</v>
      </c>
      <c r="Y21" s="40">
        <v>0</v>
      </c>
      <c r="Z21" s="26"/>
      <c r="AA21" s="26"/>
    </row>
    <row r="22" spans="2:27" ht="21.75" customHeight="1">
      <c r="B22" s="25">
        <f t="shared" si="4"/>
        <v>18</v>
      </c>
      <c r="C22" s="9" t="s">
        <v>155</v>
      </c>
      <c r="D22" s="27" t="s">
        <v>95</v>
      </c>
      <c r="E22" s="8"/>
      <c r="F22" s="28" t="s">
        <v>156</v>
      </c>
      <c r="G22" s="9" t="s">
        <v>56</v>
      </c>
      <c r="H22" s="9" t="s">
        <v>44</v>
      </c>
      <c r="I22" s="9" t="s">
        <v>45</v>
      </c>
      <c r="J22" s="29">
        <v>801.22</v>
      </c>
      <c r="K22" s="30">
        <v>41971</v>
      </c>
      <c r="L22" s="31" t="s">
        <v>104</v>
      </c>
      <c r="M22" s="31" t="s">
        <v>47</v>
      </c>
      <c r="N22" s="9" t="s">
        <v>78</v>
      </c>
      <c r="O22" s="37" t="s">
        <v>101</v>
      </c>
      <c r="P22" s="33">
        <v>45000</v>
      </c>
      <c r="Q22" s="34">
        <f t="shared" si="0"/>
        <v>3268170</v>
      </c>
      <c r="R22" s="35" t="s">
        <v>27</v>
      </c>
      <c r="S22" s="7">
        <v>72.626000000000005</v>
      </c>
      <c r="T22" s="36">
        <f t="shared" si="1"/>
        <v>42060</v>
      </c>
      <c r="U22" s="9" t="s">
        <v>43</v>
      </c>
      <c r="V22" s="38">
        <f t="shared" si="2"/>
        <v>3921.8039999999996</v>
      </c>
      <c r="W22" s="39">
        <v>165</v>
      </c>
      <c r="X22" s="34">
        <f t="shared" si="8"/>
        <v>647097.65999999992</v>
      </c>
      <c r="Y22" s="40">
        <v>0</v>
      </c>
      <c r="Z22" s="26"/>
      <c r="AA22" s="26"/>
    </row>
    <row r="23" spans="2:27" ht="21.75" customHeight="1" thickBot="1">
      <c r="B23" s="25">
        <f t="shared" si="4"/>
        <v>19</v>
      </c>
      <c r="C23" s="9" t="s">
        <v>157</v>
      </c>
      <c r="D23" s="27" t="s">
        <v>95</v>
      </c>
      <c r="E23" s="8"/>
      <c r="F23" s="28" t="s">
        <v>158</v>
      </c>
      <c r="G23" s="9" t="s">
        <v>65</v>
      </c>
      <c r="H23" s="9" t="s">
        <v>97</v>
      </c>
      <c r="I23" s="9" t="s">
        <v>45</v>
      </c>
      <c r="J23" s="29">
        <v>801.22</v>
      </c>
      <c r="K23" s="30">
        <v>41971</v>
      </c>
      <c r="L23" s="31" t="s">
        <v>104</v>
      </c>
      <c r="M23" s="31" t="s">
        <v>47</v>
      </c>
      <c r="N23" s="9" t="s">
        <v>78</v>
      </c>
      <c r="O23" s="37" t="s">
        <v>101</v>
      </c>
      <c r="P23" s="33">
        <v>169000</v>
      </c>
      <c r="Q23" s="34">
        <f t="shared" si="0"/>
        <v>12273794</v>
      </c>
      <c r="R23" s="35" t="s">
        <v>27</v>
      </c>
      <c r="S23" s="7">
        <v>72.626000000000005</v>
      </c>
      <c r="T23" s="36">
        <f t="shared" si="1"/>
        <v>42060</v>
      </c>
      <c r="U23" s="37" t="s">
        <v>68</v>
      </c>
      <c r="V23" s="38">
        <f t="shared" si="2"/>
        <v>14728.552799999999</v>
      </c>
      <c r="W23" s="39">
        <v>165</v>
      </c>
      <c r="X23" s="34">
        <f t="shared" si="8"/>
        <v>2430211.2119999998</v>
      </c>
      <c r="Y23" s="40">
        <v>0</v>
      </c>
      <c r="Z23" s="26"/>
      <c r="AA23" s="26"/>
    </row>
    <row r="24" spans="2:27" ht="15.75" thickBot="1">
      <c r="B24" s="11"/>
      <c r="C24" s="12"/>
      <c r="D24" s="12"/>
      <c r="E24" s="12"/>
      <c r="F24" s="12"/>
      <c r="G24" s="12"/>
      <c r="H24" s="12"/>
      <c r="I24" s="12"/>
      <c r="J24" s="11"/>
      <c r="K24" s="13"/>
      <c r="L24" s="12"/>
      <c r="M24" s="12"/>
      <c r="N24" s="15"/>
      <c r="O24" s="16"/>
      <c r="P24" s="44">
        <f>SUM(P5:P23)</f>
        <v>6323024</v>
      </c>
      <c r="Q24" s="45">
        <f>SUM(Q5:Q23)</f>
        <v>501150783.74200004</v>
      </c>
      <c r="R24" s="46"/>
      <c r="S24" s="47"/>
      <c r="T24" s="48"/>
      <c r="U24" s="49"/>
      <c r="V24" s="45">
        <f>SUM(V5:V23)</f>
        <v>601380.94049039984</v>
      </c>
      <c r="W24" s="46"/>
      <c r="X24" s="45">
        <f>SUM(X5:X23)</f>
        <v>99227855.180915982</v>
      </c>
      <c r="Y24" s="45">
        <f>SUM(Y5:Y23)</f>
        <v>30378295.029257998</v>
      </c>
      <c r="Z24" s="11"/>
      <c r="AA24" s="11"/>
    </row>
  </sheetData>
  <pageMargins left="0" right="0" top="0" bottom="0" header="0.31496062992125984" footer="0"/>
  <pageSetup paperSize="8" orientation="landscape" r:id="rId1"/>
  <ignoredErrors>
    <ignoredError sqref="F5:F23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AA18"/>
  <sheetViews>
    <sheetView workbookViewId="0">
      <selection activeCell="A39" sqref="A39:XFD51"/>
    </sheetView>
  </sheetViews>
  <sheetFormatPr defaultRowHeight="15"/>
  <cols>
    <col min="1" max="1" width="4" customWidth="1"/>
    <col min="2" max="2" width="4.140625" customWidth="1"/>
    <col min="3" max="3" width="6.140625" customWidth="1"/>
    <col min="4" max="4" width="8.85546875" style="1" customWidth="1"/>
    <col min="5" max="5" width="5.140625" style="1" customWidth="1"/>
    <col min="6" max="6" width="11" style="1" customWidth="1"/>
    <col min="7" max="7" width="8.28515625" style="1" customWidth="1"/>
    <col min="8" max="8" width="9" style="1" customWidth="1"/>
    <col min="9" max="9" width="9.28515625" style="1" customWidth="1"/>
    <col min="10" max="10" width="6.28515625" customWidth="1"/>
    <col min="11" max="11" width="6" style="2" customWidth="1"/>
    <col min="12" max="12" width="7.5703125" style="1" customWidth="1"/>
    <col min="13" max="13" width="6.140625" style="2" customWidth="1"/>
    <col min="14" max="14" width="7.7109375" style="4" customWidth="1"/>
    <col min="15" max="15" width="12.42578125" style="5" customWidth="1"/>
    <col min="16" max="16" width="8" customWidth="1"/>
    <col min="17" max="17" width="11.7109375" customWidth="1"/>
    <col min="18" max="18" width="5.7109375" customWidth="1"/>
    <col min="19" max="19" width="6.28515625" style="6" customWidth="1"/>
    <col min="20" max="20" width="7" style="2" customWidth="1"/>
    <col min="21" max="21" width="8" style="1" customWidth="1"/>
    <col min="22" max="22" width="9.28515625" customWidth="1"/>
    <col min="23" max="23" width="6.140625" customWidth="1"/>
    <col min="24" max="25" width="11.42578125" customWidth="1"/>
    <col min="26" max="26" width="5.85546875" customWidth="1"/>
    <col min="27" max="27" width="6.140625" customWidth="1"/>
  </cols>
  <sheetData>
    <row r="2" spans="2:27" ht="15.75">
      <c r="B2" s="11"/>
      <c r="C2" s="11"/>
      <c r="D2" s="12"/>
      <c r="E2" s="12"/>
      <c r="F2" s="12"/>
      <c r="G2" s="12"/>
      <c r="H2" s="12"/>
      <c r="I2" s="12"/>
      <c r="J2" s="11"/>
      <c r="K2" s="13"/>
      <c r="L2" s="14" t="s">
        <v>0</v>
      </c>
      <c r="M2" s="13"/>
      <c r="N2" s="15"/>
      <c r="O2" s="16"/>
      <c r="P2" s="11"/>
      <c r="Q2" s="11"/>
      <c r="R2" s="11"/>
      <c r="S2" s="17"/>
      <c r="T2" s="13"/>
      <c r="U2" s="12"/>
      <c r="V2" s="11"/>
      <c r="W2" s="11"/>
      <c r="X2" s="11"/>
      <c r="Y2" s="11"/>
      <c r="Z2" s="11"/>
      <c r="AA2" s="11"/>
    </row>
    <row r="3" spans="2:27" ht="23.25" customHeight="1" thickBot="1">
      <c r="B3" s="11"/>
      <c r="C3" s="11"/>
      <c r="D3" s="12"/>
      <c r="E3" s="12"/>
      <c r="F3" s="12"/>
      <c r="G3" s="12"/>
      <c r="H3" s="12"/>
      <c r="I3" s="12"/>
      <c r="J3" s="11"/>
      <c r="K3" s="13"/>
      <c r="L3" s="14" t="s">
        <v>39</v>
      </c>
      <c r="M3" s="13"/>
      <c r="N3" s="15"/>
      <c r="O3" s="16"/>
      <c r="P3" s="18"/>
      <c r="Q3" s="11"/>
      <c r="R3" s="11"/>
      <c r="S3" s="17"/>
      <c r="T3" s="13"/>
      <c r="U3" s="12"/>
      <c r="V3" s="11"/>
      <c r="W3" s="11"/>
      <c r="X3" s="11"/>
      <c r="Y3" s="11"/>
      <c r="Z3" s="11"/>
      <c r="AA3" s="11"/>
    </row>
    <row r="4" spans="2:27" s="1" customFormat="1" ht="51" customHeight="1" thickBot="1">
      <c r="B4" s="19" t="s">
        <v>1</v>
      </c>
      <c r="C4" s="20" t="s">
        <v>2</v>
      </c>
      <c r="D4" s="20" t="s">
        <v>3</v>
      </c>
      <c r="E4" s="20" t="s">
        <v>4</v>
      </c>
      <c r="F4" s="21" t="s">
        <v>5</v>
      </c>
      <c r="G4" s="22" t="s">
        <v>6</v>
      </c>
      <c r="H4" s="20" t="s">
        <v>7</v>
      </c>
      <c r="I4" s="20" t="s">
        <v>8</v>
      </c>
      <c r="J4" s="20" t="s">
        <v>9</v>
      </c>
      <c r="K4" s="20" t="s">
        <v>10</v>
      </c>
      <c r="L4" s="20" t="s">
        <v>11</v>
      </c>
      <c r="M4" s="20" t="s">
        <v>12</v>
      </c>
      <c r="N4" s="20" t="s">
        <v>13</v>
      </c>
      <c r="O4" s="20" t="s">
        <v>14</v>
      </c>
      <c r="P4" s="20" t="s">
        <v>15</v>
      </c>
      <c r="Q4" s="20" t="s">
        <v>16</v>
      </c>
      <c r="R4" s="20" t="s">
        <v>17</v>
      </c>
      <c r="S4" s="23" t="s">
        <v>18</v>
      </c>
      <c r="T4" s="20" t="s">
        <v>19</v>
      </c>
      <c r="U4" s="20" t="s">
        <v>20</v>
      </c>
      <c r="V4" s="20" t="s">
        <v>21</v>
      </c>
      <c r="W4" s="20" t="s">
        <v>22</v>
      </c>
      <c r="X4" s="20" t="s">
        <v>23</v>
      </c>
      <c r="Y4" s="20" t="s">
        <v>24</v>
      </c>
      <c r="Z4" s="20" t="s">
        <v>25</v>
      </c>
      <c r="AA4" s="24" t="s">
        <v>26</v>
      </c>
    </row>
    <row r="5" spans="2:27" ht="24" customHeight="1">
      <c r="B5" s="25">
        <v>1</v>
      </c>
      <c r="C5" s="9" t="s">
        <v>36</v>
      </c>
      <c r="D5" s="27" t="s">
        <v>37</v>
      </c>
      <c r="E5" s="36">
        <v>41954</v>
      </c>
      <c r="F5" s="28" t="s">
        <v>38</v>
      </c>
      <c r="G5" s="9" t="s">
        <v>30</v>
      </c>
      <c r="H5" s="9" t="s">
        <v>35</v>
      </c>
      <c r="I5" s="9" t="s">
        <v>31</v>
      </c>
      <c r="J5" s="29">
        <v>801.22</v>
      </c>
      <c r="K5" s="30">
        <v>41932</v>
      </c>
      <c r="L5" s="31" t="s">
        <v>29</v>
      </c>
      <c r="M5" s="42" t="s">
        <v>32</v>
      </c>
      <c r="N5" s="9" t="s">
        <v>28</v>
      </c>
      <c r="O5" s="37" t="s">
        <v>34</v>
      </c>
      <c r="P5" s="33">
        <v>701303</v>
      </c>
      <c r="Q5" s="50">
        <f t="shared" ref="Q5" si="0">SUM(P5*S5)</f>
        <v>56249409.720999993</v>
      </c>
      <c r="R5" s="35" t="s">
        <v>27</v>
      </c>
      <c r="S5" s="43">
        <v>80.206999999999994</v>
      </c>
      <c r="T5" s="36">
        <f t="shared" ref="T5" si="1">SUM(K5)+89</f>
        <v>42021</v>
      </c>
      <c r="U5" s="9" t="s">
        <v>33</v>
      </c>
      <c r="V5" s="38">
        <f t="shared" ref="V5" si="2">SUM(Q5*0.12%)</f>
        <v>67499.291665199984</v>
      </c>
      <c r="W5" s="26">
        <v>155.76</v>
      </c>
      <c r="X5" s="34">
        <f t="shared" ref="X5" si="3">SUM(V5*W5)</f>
        <v>10513689.669771548</v>
      </c>
      <c r="Y5" s="41">
        <v>10516389.380000001</v>
      </c>
      <c r="Z5" s="36">
        <v>41950</v>
      </c>
      <c r="AA5" s="51">
        <v>3599</v>
      </c>
    </row>
    <row r="6" spans="2:27" ht="24" customHeight="1">
      <c r="B6" s="25">
        <f t="shared" ref="B6:B17" si="4">B5+1</f>
        <v>2</v>
      </c>
      <c r="C6" s="9" t="s">
        <v>40</v>
      </c>
      <c r="D6" s="9" t="s">
        <v>41</v>
      </c>
      <c r="E6" s="8">
        <v>41970</v>
      </c>
      <c r="F6" s="28" t="s">
        <v>42</v>
      </c>
      <c r="G6" s="9" t="s">
        <v>43</v>
      </c>
      <c r="H6" s="9" t="s">
        <v>44</v>
      </c>
      <c r="I6" s="9" t="s">
        <v>45</v>
      </c>
      <c r="J6" s="29">
        <v>801.22</v>
      </c>
      <c r="K6" s="30">
        <v>41921</v>
      </c>
      <c r="L6" s="31" t="s">
        <v>46</v>
      </c>
      <c r="M6" s="31" t="s">
        <v>47</v>
      </c>
      <c r="N6" s="9" t="s">
        <v>48</v>
      </c>
      <c r="O6" s="32" t="s">
        <v>49</v>
      </c>
      <c r="P6" s="33">
        <v>30000</v>
      </c>
      <c r="Q6" s="50">
        <f t="shared" ref="Q6:Q17" si="5">SUM(P6*S6)</f>
        <v>2605680</v>
      </c>
      <c r="R6" s="35" t="s">
        <v>27</v>
      </c>
      <c r="S6" s="7">
        <v>86.855999999999995</v>
      </c>
      <c r="T6" s="36">
        <f t="shared" ref="T6:T9" si="6">SUM(K6)+89</f>
        <v>42010</v>
      </c>
      <c r="U6" s="9" t="s">
        <v>43</v>
      </c>
      <c r="V6" s="38">
        <f t="shared" ref="V6:V9" si="7">SUM(Q6*0.12%)</f>
        <v>3126.8159999999998</v>
      </c>
      <c r="W6" s="26">
        <v>155.76</v>
      </c>
      <c r="X6" s="34">
        <f t="shared" ref="X6:X10" si="8">SUM(V6*W6)</f>
        <v>487032.86015999992</v>
      </c>
      <c r="Y6" s="41">
        <v>487038.86</v>
      </c>
      <c r="Z6" s="36">
        <v>41969</v>
      </c>
      <c r="AA6" s="51">
        <v>4435</v>
      </c>
    </row>
    <row r="7" spans="2:27" ht="24" customHeight="1">
      <c r="B7" s="25">
        <f t="shared" si="4"/>
        <v>3</v>
      </c>
      <c r="C7" s="9" t="s">
        <v>50</v>
      </c>
      <c r="D7" s="9" t="s">
        <v>51</v>
      </c>
      <c r="E7" s="8">
        <v>41970</v>
      </c>
      <c r="F7" s="28" t="s">
        <v>52</v>
      </c>
      <c r="G7" s="9" t="s">
        <v>43</v>
      </c>
      <c r="H7" s="9" t="s">
        <v>44</v>
      </c>
      <c r="I7" s="9" t="s">
        <v>45</v>
      </c>
      <c r="J7" s="29">
        <v>801.22</v>
      </c>
      <c r="K7" s="30">
        <v>41921</v>
      </c>
      <c r="L7" s="31" t="s">
        <v>46</v>
      </c>
      <c r="M7" s="31" t="s">
        <v>47</v>
      </c>
      <c r="N7" s="9" t="s">
        <v>48</v>
      </c>
      <c r="O7" s="32" t="s">
        <v>49</v>
      </c>
      <c r="P7" s="33">
        <v>54000</v>
      </c>
      <c r="Q7" s="50">
        <f t="shared" si="5"/>
        <v>4690224</v>
      </c>
      <c r="R7" s="35" t="s">
        <v>27</v>
      </c>
      <c r="S7" s="7">
        <v>86.855999999999995</v>
      </c>
      <c r="T7" s="36">
        <f t="shared" si="6"/>
        <v>42010</v>
      </c>
      <c r="U7" s="9" t="s">
        <v>43</v>
      </c>
      <c r="V7" s="38">
        <f t="shared" si="7"/>
        <v>5628.2687999999998</v>
      </c>
      <c r="W7" s="26">
        <v>155.76</v>
      </c>
      <c r="X7" s="34">
        <f t="shared" si="8"/>
        <v>876659.14828799991</v>
      </c>
      <c r="Y7" s="41">
        <v>876659.15</v>
      </c>
      <c r="Z7" s="36">
        <v>41969</v>
      </c>
      <c r="AA7" s="51">
        <v>4436</v>
      </c>
    </row>
    <row r="8" spans="2:27" ht="24" customHeight="1">
      <c r="B8" s="25">
        <f t="shared" si="4"/>
        <v>4</v>
      </c>
      <c r="C8" s="9" t="s">
        <v>53</v>
      </c>
      <c r="D8" s="9" t="s">
        <v>54</v>
      </c>
      <c r="E8" s="8">
        <v>41970</v>
      </c>
      <c r="F8" s="28" t="s">
        <v>55</v>
      </c>
      <c r="G8" s="9" t="s">
        <v>56</v>
      </c>
      <c r="H8" s="9" t="s">
        <v>44</v>
      </c>
      <c r="I8" s="9" t="s">
        <v>45</v>
      </c>
      <c r="J8" s="29">
        <v>801.22</v>
      </c>
      <c r="K8" s="30">
        <v>41921</v>
      </c>
      <c r="L8" s="31" t="s">
        <v>46</v>
      </c>
      <c r="M8" s="31" t="s">
        <v>47</v>
      </c>
      <c r="N8" s="9" t="s">
        <v>48</v>
      </c>
      <c r="O8" s="32" t="s">
        <v>49</v>
      </c>
      <c r="P8" s="33">
        <v>16000</v>
      </c>
      <c r="Q8" s="50">
        <f t="shared" si="5"/>
        <v>1389696</v>
      </c>
      <c r="R8" s="35" t="s">
        <v>27</v>
      </c>
      <c r="S8" s="7">
        <v>86.855999999999995</v>
      </c>
      <c r="T8" s="36">
        <f t="shared" si="6"/>
        <v>42010</v>
      </c>
      <c r="U8" s="9" t="s">
        <v>43</v>
      </c>
      <c r="V8" s="38">
        <f t="shared" si="7"/>
        <v>1667.6351999999999</v>
      </c>
      <c r="W8" s="26">
        <v>155.76</v>
      </c>
      <c r="X8" s="34">
        <f t="shared" si="8"/>
        <v>259750.85875199997</v>
      </c>
      <c r="Y8" s="41">
        <v>259750.86</v>
      </c>
      <c r="Z8" s="36">
        <v>41969</v>
      </c>
      <c r="AA8" s="51">
        <v>4437</v>
      </c>
    </row>
    <row r="9" spans="2:27" ht="24" customHeight="1">
      <c r="B9" s="25">
        <f t="shared" si="4"/>
        <v>5</v>
      </c>
      <c r="C9" s="9" t="s">
        <v>57</v>
      </c>
      <c r="D9" s="9" t="s">
        <v>58</v>
      </c>
      <c r="E9" s="8">
        <v>41970</v>
      </c>
      <c r="F9" s="28" t="s">
        <v>59</v>
      </c>
      <c r="G9" s="9" t="s">
        <v>43</v>
      </c>
      <c r="H9" s="9" t="s">
        <v>44</v>
      </c>
      <c r="I9" s="9" t="s">
        <v>45</v>
      </c>
      <c r="J9" s="29">
        <v>801.22</v>
      </c>
      <c r="K9" s="30">
        <v>41941</v>
      </c>
      <c r="L9" s="31" t="s">
        <v>60</v>
      </c>
      <c r="M9" s="31" t="s">
        <v>47</v>
      </c>
      <c r="N9" s="9" t="s">
        <v>48</v>
      </c>
      <c r="O9" s="37" t="s">
        <v>61</v>
      </c>
      <c r="P9" s="33">
        <v>12000</v>
      </c>
      <c r="Q9" s="50">
        <f t="shared" si="5"/>
        <v>1042271.9999999999</v>
      </c>
      <c r="R9" s="35" t="s">
        <v>27</v>
      </c>
      <c r="S9" s="7">
        <v>86.855999999999995</v>
      </c>
      <c r="T9" s="36">
        <f t="shared" si="6"/>
        <v>42030</v>
      </c>
      <c r="U9" s="9" t="s">
        <v>43</v>
      </c>
      <c r="V9" s="38">
        <f t="shared" si="7"/>
        <v>1250.7263999999998</v>
      </c>
      <c r="W9" s="26">
        <v>155.76</v>
      </c>
      <c r="X9" s="34">
        <f t="shared" si="8"/>
        <v>194813.14406399996</v>
      </c>
      <c r="Y9" s="41">
        <v>194813.14</v>
      </c>
      <c r="Z9" s="36">
        <v>41969</v>
      </c>
      <c r="AA9" s="51">
        <v>4438</v>
      </c>
    </row>
    <row r="10" spans="2:27" ht="21.75" customHeight="1">
      <c r="B10" s="25">
        <f t="shared" si="4"/>
        <v>6</v>
      </c>
      <c r="C10" s="9" t="s">
        <v>62</v>
      </c>
      <c r="D10" s="52" t="s">
        <v>63</v>
      </c>
      <c r="E10" s="8">
        <v>41971</v>
      </c>
      <c r="F10" s="28" t="s">
        <v>64</v>
      </c>
      <c r="G10" s="9" t="s">
        <v>65</v>
      </c>
      <c r="H10" s="9" t="s">
        <v>66</v>
      </c>
      <c r="I10" s="9" t="s">
        <v>45</v>
      </c>
      <c r="J10" s="29">
        <v>801.22</v>
      </c>
      <c r="K10" s="30">
        <v>41844</v>
      </c>
      <c r="L10" s="31" t="s">
        <v>67</v>
      </c>
      <c r="M10" s="31" t="s">
        <v>47</v>
      </c>
      <c r="N10" s="9" t="s">
        <v>48</v>
      </c>
      <c r="O10" s="37" t="s">
        <v>49</v>
      </c>
      <c r="P10" s="33">
        <v>209000</v>
      </c>
      <c r="Q10" s="34">
        <f t="shared" si="5"/>
        <v>22588093</v>
      </c>
      <c r="R10" s="35" t="s">
        <v>27</v>
      </c>
      <c r="S10" s="43">
        <v>108.077</v>
      </c>
      <c r="T10" s="36">
        <f t="shared" ref="T10:T11" si="9">SUM(K10)+89</f>
        <v>41933</v>
      </c>
      <c r="U10" s="9" t="s">
        <v>68</v>
      </c>
      <c r="V10" s="38">
        <f t="shared" ref="V10:V11" si="10">SUM(Q10*0.12%)</f>
        <v>27105.711599999999</v>
      </c>
      <c r="W10" s="26">
        <v>155.72999999999999</v>
      </c>
      <c r="X10" s="34">
        <f t="shared" si="8"/>
        <v>4221172.4674679991</v>
      </c>
      <c r="Y10" s="53">
        <v>4221172.47</v>
      </c>
      <c r="Z10" s="36">
        <v>41971</v>
      </c>
      <c r="AA10" s="51">
        <v>28975</v>
      </c>
    </row>
    <row r="11" spans="2:27" ht="26.25">
      <c r="B11" s="25">
        <f t="shared" si="4"/>
        <v>7</v>
      </c>
      <c r="C11" s="9" t="s">
        <v>69</v>
      </c>
      <c r="D11" s="52" t="s">
        <v>70</v>
      </c>
      <c r="E11" s="8">
        <v>41971</v>
      </c>
      <c r="F11" s="28" t="s">
        <v>71</v>
      </c>
      <c r="G11" s="9" t="s">
        <v>65</v>
      </c>
      <c r="H11" s="9" t="s">
        <v>72</v>
      </c>
      <c r="I11" s="9" t="s">
        <v>45</v>
      </c>
      <c r="J11" s="29">
        <v>801.22</v>
      </c>
      <c r="K11" s="30">
        <v>41904</v>
      </c>
      <c r="L11" s="31" t="s">
        <v>73</v>
      </c>
      <c r="M11" s="31" t="s">
        <v>47</v>
      </c>
      <c r="N11" s="9" t="s">
        <v>74</v>
      </c>
      <c r="O11" s="37" t="s">
        <v>75</v>
      </c>
      <c r="P11" s="33">
        <v>88000</v>
      </c>
      <c r="Q11" s="50">
        <f t="shared" si="5"/>
        <v>8500712</v>
      </c>
      <c r="R11" s="35" t="s">
        <v>27</v>
      </c>
      <c r="S11" s="7">
        <v>96.599000000000004</v>
      </c>
      <c r="T11" s="36">
        <f t="shared" si="9"/>
        <v>41993</v>
      </c>
      <c r="U11" s="37" t="s">
        <v>68</v>
      </c>
      <c r="V11" s="54">
        <f t="shared" si="10"/>
        <v>10200.854399999998</v>
      </c>
      <c r="W11" s="26">
        <v>155.75</v>
      </c>
      <c r="X11" s="50">
        <f t="shared" ref="X11" si="11">SUM(V11*W11)</f>
        <v>1588783.0727999997</v>
      </c>
      <c r="Y11" s="41">
        <v>1588783.07</v>
      </c>
      <c r="Z11" s="36">
        <v>41971</v>
      </c>
      <c r="AA11" s="51">
        <v>28976</v>
      </c>
    </row>
    <row r="12" spans="2:27" ht="21.75" customHeight="1">
      <c r="B12" s="25">
        <f t="shared" si="4"/>
        <v>8</v>
      </c>
      <c r="C12" s="9" t="s">
        <v>114</v>
      </c>
      <c r="D12" s="8" t="s">
        <v>115</v>
      </c>
      <c r="E12" s="30">
        <v>41971</v>
      </c>
      <c r="F12" s="28" t="s">
        <v>116</v>
      </c>
      <c r="G12" s="9" t="s">
        <v>109</v>
      </c>
      <c r="H12" s="9" t="s">
        <v>84</v>
      </c>
      <c r="I12" s="9" t="s">
        <v>45</v>
      </c>
      <c r="J12" s="29">
        <v>801.22</v>
      </c>
      <c r="K12" s="30">
        <v>41945</v>
      </c>
      <c r="L12" s="31" t="s">
        <v>98</v>
      </c>
      <c r="M12" s="31" t="s">
        <v>47</v>
      </c>
      <c r="N12" s="9" t="s">
        <v>96</v>
      </c>
      <c r="O12" s="32" t="s">
        <v>105</v>
      </c>
      <c r="P12" s="33">
        <v>40000</v>
      </c>
      <c r="Q12" s="34">
        <f t="shared" si="5"/>
        <v>3369720</v>
      </c>
      <c r="R12" s="35" t="s">
        <v>27</v>
      </c>
      <c r="S12" s="7">
        <v>84.242999999999995</v>
      </c>
      <c r="T12" s="36">
        <f t="shared" ref="T12:T17" si="12">SUM(K12)+89</f>
        <v>42034</v>
      </c>
      <c r="U12" s="9" t="s">
        <v>109</v>
      </c>
      <c r="V12" s="38">
        <f t="shared" ref="V12:V17" si="13">SUM(Q12*0.12%)</f>
        <v>4043.6639999999998</v>
      </c>
      <c r="W12" s="39">
        <v>165</v>
      </c>
      <c r="X12" s="34">
        <f t="shared" ref="X12:X17" si="14">SUM(V12*W12)</f>
        <v>667204.55999999994</v>
      </c>
      <c r="Y12" s="41">
        <f t="shared" ref="Y12:Y17" si="15">X12</f>
        <v>667204.55999999994</v>
      </c>
      <c r="Z12" s="26"/>
      <c r="AA12" s="26"/>
    </row>
    <row r="13" spans="2:27" ht="21.75" customHeight="1">
      <c r="B13" s="25">
        <f t="shared" si="4"/>
        <v>9</v>
      </c>
      <c r="C13" s="9" t="s">
        <v>117</v>
      </c>
      <c r="D13" s="8" t="s">
        <v>118</v>
      </c>
      <c r="E13" s="30">
        <v>41971</v>
      </c>
      <c r="F13" s="28" t="s">
        <v>119</v>
      </c>
      <c r="G13" s="9" t="s">
        <v>109</v>
      </c>
      <c r="H13" s="9" t="s">
        <v>84</v>
      </c>
      <c r="I13" s="9" t="s">
        <v>45</v>
      </c>
      <c r="J13" s="29">
        <v>801.22</v>
      </c>
      <c r="K13" s="30">
        <v>41945</v>
      </c>
      <c r="L13" s="31" t="s">
        <v>98</v>
      </c>
      <c r="M13" s="31" t="s">
        <v>47</v>
      </c>
      <c r="N13" s="9" t="s">
        <v>96</v>
      </c>
      <c r="O13" s="32" t="s">
        <v>105</v>
      </c>
      <c r="P13" s="33">
        <v>259967</v>
      </c>
      <c r="Q13" s="34">
        <f t="shared" si="5"/>
        <v>21900399.980999999</v>
      </c>
      <c r="R13" s="35" t="s">
        <v>27</v>
      </c>
      <c r="S13" s="7">
        <v>84.242999999999995</v>
      </c>
      <c r="T13" s="36">
        <f t="shared" si="12"/>
        <v>42034</v>
      </c>
      <c r="U13" s="9" t="s">
        <v>109</v>
      </c>
      <c r="V13" s="38">
        <f t="shared" si="13"/>
        <v>26280.479977199997</v>
      </c>
      <c r="W13" s="39">
        <v>165</v>
      </c>
      <c r="X13" s="34">
        <f t="shared" si="14"/>
        <v>4336279.1962379999</v>
      </c>
      <c r="Y13" s="41">
        <f t="shared" si="15"/>
        <v>4336279.1962379999</v>
      </c>
      <c r="Z13" s="26"/>
      <c r="AA13" s="26"/>
    </row>
    <row r="14" spans="2:27" ht="21.75" customHeight="1">
      <c r="B14" s="25">
        <f t="shared" si="4"/>
        <v>10</v>
      </c>
      <c r="C14" s="9" t="s">
        <v>125</v>
      </c>
      <c r="D14" s="8" t="s">
        <v>126</v>
      </c>
      <c r="E14" s="30">
        <v>41971</v>
      </c>
      <c r="F14" s="28" t="s">
        <v>127</v>
      </c>
      <c r="G14" s="9" t="s">
        <v>109</v>
      </c>
      <c r="H14" s="9" t="s">
        <v>84</v>
      </c>
      <c r="I14" s="9" t="s">
        <v>45</v>
      </c>
      <c r="J14" s="29">
        <v>801.22</v>
      </c>
      <c r="K14" s="30">
        <v>41952</v>
      </c>
      <c r="L14" s="31" t="s">
        <v>107</v>
      </c>
      <c r="M14" s="31" t="s">
        <v>47</v>
      </c>
      <c r="N14" s="9" t="s">
        <v>90</v>
      </c>
      <c r="O14" s="37" t="s">
        <v>91</v>
      </c>
      <c r="P14" s="33">
        <v>549998</v>
      </c>
      <c r="Q14" s="34">
        <f t="shared" si="5"/>
        <v>45372085.010000005</v>
      </c>
      <c r="R14" s="35" t="s">
        <v>27</v>
      </c>
      <c r="S14" s="7">
        <v>82.495000000000005</v>
      </c>
      <c r="T14" s="36">
        <f t="shared" si="12"/>
        <v>42041</v>
      </c>
      <c r="U14" s="9" t="s">
        <v>109</v>
      </c>
      <c r="V14" s="38">
        <f t="shared" si="13"/>
        <v>54446.502012000004</v>
      </c>
      <c r="W14" s="39">
        <v>165</v>
      </c>
      <c r="X14" s="34">
        <f t="shared" si="14"/>
        <v>8983672.8319800012</v>
      </c>
      <c r="Y14" s="41">
        <f t="shared" si="15"/>
        <v>8983672.8319800012</v>
      </c>
      <c r="Z14" s="26"/>
      <c r="AA14" s="26"/>
    </row>
    <row r="15" spans="2:27" ht="21.75" customHeight="1">
      <c r="B15" s="25">
        <f t="shared" si="4"/>
        <v>11</v>
      </c>
      <c r="C15" s="9" t="s">
        <v>128</v>
      </c>
      <c r="D15" s="8" t="s">
        <v>129</v>
      </c>
      <c r="E15" s="30">
        <v>41971</v>
      </c>
      <c r="F15" s="28" t="s">
        <v>130</v>
      </c>
      <c r="G15" s="9" t="s">
        <v>109</v>
      </c>
      <c r="H15" s="9" t="s">
        <v>84</v>
      </c>
      <c r="I15" s="9" t="s">
        <v>45</v>
      </c>
      <c r="J15" s="29">
        <v>801.22</v>
      </c>
      <c r="K15" s="30">
        <v>41952</v>
      </c>
      <c r="L15" s="31" t="s">
        <v>107</v>
      </c>
      <c r="M15" s="31" t="s">
        <v>47</v>
      </c>
      <c r="N15" s="9" t="s">
        <v>90</v>
      </c>
      <c r="O15" s="37" t="s">
        <v>91</v>
      </c>
      <c r="P15" s="33">
        <v>100000</v>
      </c>
      <c r="Q15" s="34">
        <f t="shared" si="5"/>
        <v>8249500</v>
      </c>
      <c r="R15" s="35" t="s">
        <v>27</v>
      </c>
      <c r="S15" s="7">
        <v>82.495000000000005</v>
      </c>
      <c r="T15" s="36">
        <f t="shared" si="12"/>
        <v>42041</v>
      </c>
      <c r="U15" s="9" t="s">
        <v>109</v>
      </c>
      <c r="V15" s="38">
        <f t="shared" si="13"/>
        <v>9899.4</v>
      </c>
      <c r="W15" s="39">
        <v>165</v>
      </c>
      <c r="X15" s="34">
        <f t="shared" si="14"/>
        <v>1633401</v>
      </c>
      <c r="Y15" s="41">
        <f t="shared" si="15"/>
        <v>1633401</v>
      </c>
      <c r="Z15" s="26"/>
      <c r="AA15" s="26"/>
    </row>
    <row r="16" spans="2:27" ht="21.75" customHeight="1">
      <c r="B16" s="25">
        <f t="shared" si="4"/>
        <v>12</v>
      </c>
      <c r="C16" s="9" t="s">
        <v>138</v>
      </c>
      <c r="D16" s="8" t="s">
        <v>139</v>
      </c>
      <c r="E16" s="30">
        <v>41971</v>
      </c>
      <c r="F16" s="10" t="s">
        <v>140</v>
      </c>
      <c r="G16" s="9" t="s">
        <v>109</v>
      </c>
      <c r="H16" s="9" t="s">
        <v>84</v>
      </c>
      <c r="I16" s="9" t="s">
        <v>76</v>
      </c>
      <c r="J16" s="29">
        <v>801.22</v>
      </c>
      <c r="K16" s="30">
        <v>41966</v>
      </c>
      <c r="L16" s="31" t="s">
        <v>106</v>
      </c>
      <c r="M16" s="31" t="s">
        <v>77</v>
      </c>
      <c r="N16" s="9" t="s">
        <v>102</v>
      </c>
      <c r="O16" s="37" t="s">
        <v>108</v>
      </c>
      <c r="P16" s="33">
        <v>400000</v>
      </c>
      <c r="Q16" s="34">
        <f t="shared" si="5"/>
        <v>31454000.000000004</v>
      </c>
      <c r="R16" s="35" t="s">
        <v>27</v>
      </c>
      <c r="S16" s="43">
        <v>78.635000000000005</v>
      </c>
      <c r="T16" s="36">
        <f t="shared" si="12"/>
        <v>42055</v>
      </c>
      <c r="U16" s="9" t="s">
        <v>109</v>
      </c>
      <c r="V16" s="38">
        <f t="shared" si="13"/>
        <v>37744.800000000003</v>
      </c>
      <c r="W16" s="39">
        <v>165</v>
      </c>
      <c r="X16" s="34">
        <f t="shared" si="14"/>
        <v>6227892.0000000009</v>
      </c>
      <c r="Y16" s="41">
        <f t="shared" si="15"/>
        <v>6227892.0000000009</v>
      </c>
      <c r="Z16" s="26"/>
      <c r="AA16" s="26"/>
    </row>
    <row r="17" spans="2:27" ht="21.75" customHeight="1" thickBot="1">
      <c r="B17" s="25">
        <f t="shared" si="4"/>
        <v>13</v>
      </c>
      <c r="C17" s="9" t="s">
        <v>141</v>
      </c>
      <c r="D17" s="8" t="s">
        <v>142</v>
      </c>
      <c r="E17" s="30">
        <v>41971</v>
      </c>
      <c r="F17" s="10" t="s">
        <v>143</v>
      </c>
      <c r="G17" s="9" t="s">
        <v>109</v>
      </c>
      <c r="H17" s="9" t="s">
        <v>84</v>
      </c>
      <c r="I17" s="9" t="s">
        <v>76</v>
      </c>
      <c r="J17" s="29">
        <v>801.22</v>
      </c>
      <c r="K17" s="30">
        <v>41966</v>
      </c>
      <c r="L17" s="31" t="s">
        <v>106</v>
      </c>
      <c r="M17" s="31" t="s">
        <v>77</v>
      </c>
      <c r="N17" s="9" t="s">
        <v>102</v>
      </c>
      <c r="O17" s="37" t="s">
        <v>108</v>
      </c>
      <c r="P17" s="33">
        <v>547848</v>
      </c>
      <c r="Q17" s="34">
        <f t="shared" si="5"/>
        <v>43080027.480000004</v>
      </c>
      <c r="R17" s="35" t="s">
        <v>27</v>
      </c>
      <c r="S17" s="43">
        <v>78.635000000000005</v>
      </c>
      <c r="T17" s="36">
        <f t="shared" si="12"/>
        <v>42055</v>
      </c>
      <c r="U17" s="9" t="s">
        <v>109</v>
      </c>
      <c r="V17" s="38">
        <f t="shared" si="13"/>
        <v>51696.032976000002</v>
      </c>
      <c r="W17" s="39">
        <v>165</v>
      </c>
      <c r="X17" s="34">
        <f t="shared" si="14"/>
        <v>8529845.4410399999</v>
      </c>
      <c r="Y17" s="41">
        <f t="shared" si="15"/>
        <v>8529845.4410399999</v>
      </c>
      <c r="Z17" s="26"/>
      <c r="AA17" s="26"/>
    </row>
    <row r="18" spans="2:27" ht="15.75" thickBot="1">
      <c r="B18" s="11"/>
      <c r="C18" s="11"/>
      <c r="D18" s="12"/>
      <c r="E18" s="12"/>
      <c r="F18" s="12"/>
      <c r="G18" s="12"/>
      <c r="H18" s="12"/>
      <c r="I18" s="12"/>
      <c r="J18" s="11"/>
      <c r="K18" s="13"/>
      <c r="L18" s="12"/>
      <c r="M18" s="13"/>
      <c r="N18" s="15"/>
      <c r="O18" s="16"/>
      <c r="P18" s="55">
        <f>SUM(P5:P17)</f>
        <v>3008116</v>
      </c>
      <c r="Q18" s="56">
        <f>SUM(Q5:Q17)</f>
        <v>250491819.19200003</v>
      </c>
      <c r="R18" s="57"/>
      <c r="S18" s="58"/>
      <c r="T18" s="59"/>
      <c r="U18" s="60"/>
      <c r="V18" s="56">
        <f>SUM(V5:V17)</f>
        <v>300590.18303040002</v>
      </c>
      <c r="W18" s="57"/>
      <c r="X18" s="56">
        <f t="shared" ref="X18:Y18" si="16">SUM(X5:X17)</f>
        <v>48520196.25056155</v>
      </c>
      <c r="Y18" s="56">
        <f t="shared" si="16"/>
        <v>48522901.959257998</v>
      </c>
      <c r="Z18" s="11"/>
      <c r="AA18" s="11"/>
    </row>
  </sheetData>
  <pageMargins left="0" right="0" top="0" bottom="0" header="0.31496062992125984" footer="0"/>
  <pageSetup paperSize="8" orientation="landscape" r:id="rId1"/>
  <ignoredErrors>
    <ignoredError sqref="F5 F6:F9 F10:F11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2:AA18"/>
  <sheetViews>
    <sheetView workbookViewId="0">
      <selection activeCell="A39" sqref="A39:XFD48"/>
    </sheetView>
  </sheetViews>
  <sheetFormatPr defaultRowHeight="15"/>
  <cols>
    <col min="1" max="1" width="3.85546875" customWidth="1"/>
    <col min="2" max="2" width="4.140625" customWidth="1"/>
    <col min="3" max="3" width="5.5703125" style="1" customWidth="1"/>
    <col min="4" max="4" width="8.85546875" style="1" customWidth="1"/>
    <col min="5" max="5" width="5.7109375" style="1" customWidth="1"/>
    <col min="6" max="6" width="10.28515625" style="1" customWidth="1"/>
    <col min="7" max="7" width="8" style="1" customWidth="1"/>
    <col min="8" max="8" width="9" style="1" customWidth="1"/>
    <col min="9" max="9" width="9.140625" style="1" customWidth="1"/>
    <col min="10" max="10" width="6.85546875" customWidth="1"/>
    <col min="11" max="11" width="6.5703125" style="2" customWidth="1"/>
    <col min="12" max="12" width="8" style="1" customWidth="1"/>
    <col min="13" max="13" width="5.42578125" style="1" customWidth="1"/>
    <col min="14" max="14" width="9.5703125" style="4" customWidth="1"/>
    <col min="15" max="15" width="9.7109375" style="5" customWidth="1"/>
    <col min="16" max="16" width="8.85546875" customWidth="1"/>
    <col min="17" max="17" width="11.7109375" customWidth="1"/>
    <col min="18" max="18" width="7.7109375" customWidth="1"/>
    <col min="19" max="19" width="6.7109375" style="6" customWidth="1"/>
    <col min="20" max="20" width="6" style="2" customWidth="1"/>
    <col min="21" max="21" width="10.28515625" style="1" customWidth="1"/>
    <col min="22" max="22" width="9.7109375" customWidth="1"/>
    <col min="23" max="23" width="6" customWidth="1"/>
    <col min="24" max="24" width="11.28515625" customWidth="1"/>
    <col min="25" max="25" width="11.5703125" customWidth="1"/>
    <col min="26" max="27" width="5.42578125" customWidth="1"/>
    <col min="28" max="28" width="11.5703125" customWidth="1"/>
  </cols>
  <sheetData>
    <row r="2" spans="2:27" ht="15.75">
      <c r="B2" s="11"/>
      <c r="C2" s="12"/>
      <c r="D2" s="12"/>
      <c r="E2" s="12"/>
      <c r="F2" s="12"/>
      <c r="G2" s="12"/>
      <c r="H2" s="12"/>
      <c r="I2" s="12"/>
      <c r="J2" s="11"/>
      <c r="K2" s="13"/>
      <c r="L2" s="14" t="s">
        <v>0</v>
      </c>
      <c r="M2" s="12"/>
      <c r="N2" s="15"/>
      <c r="O2" s="16"/>
      <c r="P2" s="11"/>
      <c r="Q2" s="11"/>
      <c r="R2" s="11"/>
      <c r="S2" s="17"/>
      <c r="T2" s="13"/>
      <c r="U2" s="12"/>
      <c r="V2" s="11"/>
      <c r="W2" s="11"/>
      <c r="X2" s="11"/>
      <c r="Y2" s="11"/>
      <c r="Z2" s="11"/>
      <c r="AA2" s="11"/>
    </row>
    <row r="3" spans="2:27" ht="23.25" customHeight="1" thickBot="1">
      <c r="B3" s="11"/>
      <c r="C3" s="12"/>
      <c r="D3" s="12"/>
      <c r="E3" s="12"/>
      <c r="F3" s="12"/>
      <c r="G3" s="12"/>
      <c r="H3" s="12"/>
      <c r="I3" s="12"/>
      <c r="J3" s="11"/>
      <c r="K3" s="13"/>
      <c r="L3" s="3" t="s">
        <v>160</v>
      </c>
      <c r="M3" s="12"/>
      <c r="N3" s="15"/>
      <c r="O3" s="16"/>
      <c r="P3" s="18"/>
      <c r="Q3" s="11"/>
      <c r="R3" s="11"/>
      <c r="S3" s="17"/>
      <c r="T3" s="13"/>
      <c r="U3" s="12"/>
      <c r="V3" s="11"/>
      <c r="W3" s="11"/>
      <c r="X3" s="11"/>
      <c r="Y3" s="11"/>
      <c r="Z3" s="11"/>
      <c r="AA3" s="11"/>
    </row>
    <row r="4" spans="2:27" s="1" customFormat="1" ht="54" customHeight="1" thickBot="1">
      <c r="B4" s="19" t="s">
        <v>1</v>
      </c>
      <c r="C4" s="20" t="s">
        <v>2</v>
      </c>
      <c r="D4" s="20" t="s">
        <v>3</v>
      </c>
      <c r="E4" s="20" t="s">
        <v>4</v>
      </c>
      <c r="F4" s="21" t="s">
        <v>5</v>
      </c>
      <c r="G4" s="22" t="s">
        <v>6</v>
      </c>
      <c r="H4" s="20" t="s">
        <v>7</v>
      </c>
      <c r="I4" s="20" t="s">
        <v>8</v>
      </c>
      <c r="J4" s="20" t="s">
        <v>9</v>
      </c>
      <c r="K4" s="20" t="s">
        <v>10</v>
      </c>
      <c r="L4" s="20" t="s">
        <v>11</v>
      </c>
      <c r="M4" s="20" t="s">
        <v>12</v>
      </c>
      <c r="N4" s="20" t="s">
        <v>13</v>
      </c>
      <c r="O4" s="20" t="s">
        <v>14</v>
      </c>
      <c r="P4" s="20" t="s">
        <v>15</v>
      </c>
      <c r="Q4" s="20" t="s">
        <v>16</v>
      </c>
      <c r="R4" s="20" t="s">
        <v>17</v>
      </c>
      <c r="S4" s="23" t="s">
        <v>18</v>
      </c>
      <c r="T4" s="20" t="s">
        <v>19</v>
      </c>
      <c r="U4" s="20" t="s">
        <v>20</v>
      </c>
      <c r="V4" s="20" t="s">
        <v>21</v>
      </c>
      <c r="W4" s="20" t="s">
        <v>22</v>
      </c>
      <c r="X4" s="20" t="s">
        <v>23</v>
      </c>
      <c r="Y4" s="20" t="s">
        <v>24</v>
      </c>
      <c r="Z4" s="20" t="s">
        <v>25</v>
      </c>
      <c r="AA4" s="24" t="s">
        <v>26</v>
      </c>
    </row>
    <row r="5" spans="2:27" ht="21.75" customHeight="1">
      <c r="B5" s="25">
        <v>1</v>
      </c>
      <c r="C5" s="9" t="s">
        <v>112</v>
      </c>
      <c r="D5" s="27" t="s">
        <v>95</v>
      </c>
      <c r="E5" s="8"/>
      <c r="F5" s="28" t="s">
        <v>113</v>
      </c>
      <c r="G5" s="9" t="s">
        <v>103</v>
      </c>
      <c r="H5" s="9" t="s">
        <v>87</v>
      </c>
      <c r="I5" s="9" t="s">
        <v>85</v>
      </c>
      <c r="J5" s="29">
        <v>801.22</v>
      </c>
      <c r="K5" s="30">
        <v>41945</v>
      </c>
      <c r="L5" s="31" t="s">
        <v>60</v>
      </c>
      <c r="M5" s="31" t="s">
        <v>86</v>
      </c>
      <c r="N5" s="9" t="s">
        <v>28</v>
      </c>
      <c r="O5" s="32" t="s">
        <v>111</v>
      </c>
      <c r="P5" s="33">
        <v>399989</v>
      </c>
      <c r="Q5" s="34">
        <f t="shared" ref="Q5:Q17" si="0">SUM(P5*S5)</f>
        <v>34112261.887000002</v>
      </c>
      <c r="R5" s="35" t="s">
        <v>27</v>
      </c>
      <c r="S5" s="7">
        <v>85.283000000000001</v>
      </c>
      <c r="T5" s="36">
        <f t="shared" ref="T5:T17" si="1">SUM(K5)+89</f>
        <v>42034</v>
      </c>
      <c r="U5" s="37" t="s">
        <v>83</v>
      </c>
      <c r="V5" s="38">
        <f t="shared" ref="V5:V17" si="2">SUM(Q5*0.12%)</f>
        <v>40934.714264399998</v>
      </c>
      <c r="W5" s="39">
        <v>165</v>
      </c>
      <c r="X5" s="34">
        <f t="shared" ref="X5:X13" si="3">SUM(V5*W5)</f>
        <v>6754227.8536259998</v>
      </c>
      <c r="Y5" s="40">
        <v>0</v>
      </c>
      <c r="Z5" s="26"/>
      <c r="AA5" s="26"/>
    </row>
    <row r="6" spans="2:27" ht="21.75" customHeight="1">
      <c r="B6" s="25">
        <f>B5+1</f>
        <v>2</v>
      </c>
      <c r="C6" s="9" t="s">
        <v>120</v>
      </c>
      <c r="D6" s="27" t="s">
        <v>95</v>
      </c>
      <c r="E6" s="8"/>
      <c r="F6" s="28" t="s">
        <v>121</v>
      </c>
      <c r="G6" s="9" t="s">
        <v>109</v>
      </c>
      <c r="H6" s="9" t="s">
        <v>84</v>
      </c>
      <c r="I6" s="9" t="s">
        <v>31</v>
      </c>
      <c r="J6" s="29">
        <v>801.22</v>
      </c>
      <c r="K6" s="30">
        <v>41951</v>
      </c>
      <c r="L6" s="31" t="s">
        <v>122</v>
      </c>
      <c r="M6" s="31" t="s">
        <v>32</v>
      </c>
      <c r="N6" s="9" t="s">
        <v>74</v>
      </c>
      <c r="O6" s="32" t="s">
        <v>88</v>
      </c>
      <c r="P6" s="33">
        <v>361426</v>
      </c>
      <c r="Q6" s="34">
        <f t="shared" si="0"/>
        <v>28427239.178000003</v>
      </c>
      <c r="R6" s="35" t="s">
        <v>27</v>
      </c>
      <c r="S6" s="7">
        <v>78.653000000000006</v>
      </c>
      <c r="T6" s="36">
        <f t="shared" si="1"/>
        <v>42040</v>
      </c>
      <c r="U6" s="9" t="s">
        <v>109</v>
      </c>
      <c r="V6" s="38">
        <f t="shared" si="2"/>
        <v>34112.6870136</v>
      </c>
      <c r="W6" s="39">
        <v>165</v>
      </c>
      <c r="X6" s="34">
        <f t="shared" si="3"/>
        <v>5628593.3572439998</v>
      </c>
      <c r="Y6" s="40">
        <v>0</v>
      </c>
      <c r="Z6" s="26"/>
      <c r="AA6" s="26"/>
    </row>
    <row r="7" spans="2:27" ht="21.75" customHeight="1">
      <c r="B7" s="25">
        <f t="shared" ref="B7:B17" si="4">B6+1</f>
        <v>3</v>
      </c>
      <c r="C7" s="9" t="s">
        <v>123</v>
      </c>
      <c r="D7" s="27" t="s">
        <v>95</v>
      </c>
      <c r="E7" s="8"/>
      <c r="F7" s="28" t="s">
        <v>124</v>
      </c>
      <c r="G7" s="9" t="s">
        <v>33</v>
      </c>
      <c r="H7" s="9" t="s">
        <v>79</v>
      </c>
      <c r="I7" s="9" t="s">
        <v>31</v>
      </c>
      <c r="J7" s="29">
        <v>801.22</v>
      </c>
      <c r="K7" s="30">
        <v>41951</v>
      </c>
      <c r="L7" s="31" t="s">
        <v>122</v>
      </c>
      <c r="M7" s="31" t="s">
        <v>32</v>
      </c>
      <c r="N7" s="9" t="s">
        <v>74</v>
      </c>
      <c r="O7" s="32" t="s">
        <v>88</v>
      </c>
      <c r="P7" s="33">
        <v>240737</v>
      </c>
      <c r="Q7" s="34">
        <f t="shared" si="0"/>
        <v>18934687.261</v>
      </c>
      <c r="R7" s="35" t="s">
        <v>27</v>
      </c>
      <c r="S7" s="7">
        <v>78.653000000000006</v>
      </c>
      <c r="T7" s="36">
        <f t="shared" si="1"/>
        <v>42040</v>
      </c>
      <c r="U7" s="37" t="s">
        <v>83</v>
      </c>
      <c r="V7" s="38">
        <f t="shared" si="2"/>
        <v>22721.624713199999</v>
      </c>
      <c r="W7" s="39">
        <v>165</v>
      </c>
      <c r="X7" s="34">
        <f t="shared" si="3"/>
        <v>3749068.0776779996</v>
      </c>
      <c r="Y7" s="40">
        <v>0</v>
      </c>
      <c r="Z7" s="26"/>
      <c r="AA7" s="26"/>
    </row>
    <row r="8" spans="2:27" ht="24.75" customHeight="1">
      <c r="B8" s="25">
        <f t="shared" si="4"/>
        <v>4</v>
      </c>
      <c r="C8" s="9" t="s">
        <v>131</v>
      </c>
      <c r="D8" s="27" t="s">
        <v>95</v>
      </c>
      <c r="E8" s="8"/>
      <c r="F8" s="28" t="s">
        <v>132</v>
      </c>
      <c r="G8" s="9" t="s">
        <v>33</v>
      </c>
      <c r="H8" s="9" t="s">
        <v>79</v>
      </c>
      <c r="I8" s="9" t="s">
        <v>80</v>
      </c>
      <c r="J8" s="29">
        <v>801.22</v>
      </c>
      <c r="K8" s="30">
        <v>41953</v>
      </c>
      <c r="L8" s="31" t="s">
        <v>99</v>
      </c>
      <c r="M8" s="42" t="s">
        <v>81</v>
      </c>
      <c r="N8" s="9" t="s">
        <v>93</v>
      </c>
      <c r="O8" s="37" t="s">
        <v>94</v>
      </c>
      <c r="P8" s="33">
        <v>909781</v>
      </c>
      <c r="Q8" s="34">
        <f t="shared" si="0"/>
        <v>75521830.590999991</v>
      </c>
      <c r="R8" s="35" t="s">
        <v>27</v>
      </c>
      <c r="S8" s="43">
        <v>83.010999999999996</v>
      </c>
      <c r="T8" s="36">
        <f t="shared" si="1"/>
        <v>42042</v>
      </c>
      <c r="U8" s="9" t="s">
        <v>83</v>
      </c>
      <c r="V8" s="38">
        <f t="shared" si="2"/>
        <v>90626.196709199983</v>
      </c>
      <c r="W8" s="39">
        <v>165</v>
      </c>
      <c r="X8" s="34">
        <f t="shared" si="3"/>
        <v>14953322.457017997</v>
      </c>
      <c r="Y8" s="40">
        <v>0</v>
      </c>
      <c r="Z8" s="26"/>
      <c r="AA8" s="26"/>
    </row>
    <row r="9" spans="2:27" ht="21.75" customHeight="1">
      <c r="B9" s="25">
        <f t="shared" si="4"/>
        <v>5</v>
      </c>
      <c r="C9" s="9" t="s">
        <v>133</v>
      </c>
      <c r="D9" s="27" t="s">
        <v>95</v>
      </c>
      <c r="E9" s="8"/>
      <c r="F9" s="28" t="s">
        <v>134</v>
      </c>
      <c r="G9" s="9" t="s">
        <v>33</v>
      </c>
      <c r="H9" s="9" t="s">
        <v>92</v>
      </c>
      <c r="I9" s="9" t="s">
        <v>45</v>
      </c>
      <c r="J9" s="29">
        <v>801.22</v>
      </c>
      <c r="K9" s="30">
        <v>41956</v>
      </c>
      <c r="L9" s="31" t="s">
        <v>135</v>
      </c>
      <c r="M9" s="42" t="s">
        <v>47</v>
      </c>
      <c r="N9" s="9" t="s">
        <v>82</v>
      </c>
      <c r="O9" s="37" t="s">
        <v>110</v>
      </c>
      <c r="P9" s="33">
        <v>551867</v>
      </c>
      <c r="Q9" s="34">
        <f t="shared" si="0"/>
        <v>43329285.637999997</v>
      </c>
      <c r="R9" s="35" t="s">
        <v>27</v>
      </c>
      <c r="S9" s="43">
        <v>78.513999999999996</v>
      </c>
      <c r="T9" s="36">
        <f t="shared" si="1"/>
        <v>42045</v>
      </c>
      <c r="U9" s="9" t="s">
        <v>33</v>
      </c>
      <c r="V9" s="38">
        <f t="shared" si="2"/>
        <v>51995.142765599994</v>
      </c>
      <c r="W9" s="39">
        <v>165</v>
      </c>
      <c r="X9" s="34">
        <f t="shared" si="3"/>
        <v>8579198.5563239995</v>
      </c>
      <c r="Y9" s="40">
        <v>0</v>
      </c>
      <c r="Z9" s="26"/>
      <c r="AA9" s="26"/>
    </row>
    <row r="10" spans="2:27" ht="21.75" customHeight="1">
      <c r="B10" s="25">
        <f t="shared" si="4"/>
        <v>6</v>
      </c>
      <c r="C10" s="9" t="s">
        <v>136</v>
      </c>
      <c r="D10" s="27" t="s">
        <v>95</v>
      </c>
      <c r="E10" s="8"/>
      <c r="F10" s="28" t="s">
        <v>137</v>
      </c>
      <c r="G10" s="9" t="s">
        <v>109</v>
      </c>
      <c r="H10" s="9" t="s">
        <v>84</v>
      </c>
      <c r="I10" s="9" t="s">
        <v>45</v>
      </c>
      <c r="J10" s="29">
        <v>801.22</v>
      </c>
      <c r="K10" s="30">
        <v>41958</v>
      </c>
      <c r="L10" s="31" t="s">
        <v>98</v>
      </c>
      <c r="M10" s="42" t="s">
        <v>47</v>
      </c>
      <c r="N10" s="9" t="s">
        <v>96</v>
      </c>
      <c r="O10" s="37" t="s">
        <v>105</v>
      </c>
      <c r="P10" s="33">
        <v>599852</v>
      </c>
      <c r="Q10" s="34">
        <f t="shared" si="0"/>
        <v>46294777.804000005</v>
      </c>
      <c r="R10" s="35" t="s">
        <v>27</v>
      </c>
      <c r="S10" s="43">
        <v>77.177000000000007</v>
      </c>
      <c r="T10" s="36">
        <f t="shared" si="1"/>
        <v>42047</v>
      </c>
      <c r="U10" s="9" t="s">
        <v>109</v>
      </c>
      <c r="V10" s="38">
        <f t="shared" si="2"/>
        <v>55553.733364799999</v>
      </c>
      <c r="W10" s="39">
        <v>165</v>
      </c>
      <c r="X10" s="34">
        <f t="shared" si="3"/>
        <v>9166366.0051920004</v>
      </c>
      <c r="Y10" s="40">
        <v>0</v>
      </c>
      <c r="Z10" s="26"/>
      <c r="AA10" s="26"/>
    </row>
    <row r="11" spans="2:27" ht="21.75" customHeight="1">
      <c r="B11" s="25">
        <f t="shared" si="4"/>
        <v>7</v>
      </c>
      <c r="C11" s="9" t="s">
        <v>144</v>
      </c>
      <c r="D11" s="27" t="s">
        <v>95</v>
      </c>
      <c r="E11" s="8"/>
      <c r="F11" s="28" t="s">
        <v>145</v>
      </c>
      <c r="G11" s="9" t="s">
        <v>109</v>
      </c>
      <c r="H11" s="9" t="s">
        <v>84</v>
      </c>
      <c r="I11" s="9" t="s">
        <v>45</v>
      </c>
      <c r="J11" s="29">
        <v>801.22</v>
      </c>
      <c r="K11" s="30">
        <v>41966</v>
      </c>
      <c r="L11" s="31" t="s">
        <v>146</v>
      </c>
      <c r="M11" s="42" t="s">
        <v>47</v>
      </c>
      <c r="N11" s="9" t="s">
        <v>96</v>
      </c>
      <c r="O11" s="37" t="s">
        <v>100</v>
      </c>
      <c r="P11" s="33">
        <v>349722</v>
      </c>
      <c r="Q11" s="34">
        <f t="shared" si="0"/>
        <v>27619294.949999999</v>
      </c>
      <c r="R11" s="35" t="s">
        <v>27</v>
      </c>
      <c r="S11" s="7">
        <v>78.974999999999994</v>
      </c>
      <c r="T11" s="36">
        <f t="shared" si="1"/>
        <v>42055</v>
      </c>
      <c r="U11" s="9" t="s">
        <v>109</v>
      </c>
      <c r="V11" s="38">
        <f t="shared" si="2"/>
        <v>33143.153939999997</v>
      </c>
      <c r="W11" s="39">
        <v>165</v>
      </c>
      <c r="X11" s="34">
        <f t="shared" si="3"/>
        <v>5468620.4000999993</v>
      </c>
      <c r="Y11" s="40">
        <v>0</v>
      </c>
      <c r="Z11" s="26"/>
      <c r="AA11" s="26"/>
    </row>
    <row r="12" spans="2:27" ht="21.75" customHeight="1">
      <c r="B12" s="25">
        <f t="shared" si="4"/>
        <v>8</v>
      </c>
      <c r="C12" s="9" t="s">
        <v>147</v>
      </c>
      <c r="D12" s="27" t="s">
        <v>95</v>
      </c>
      <c r="E12" s="8"/>
      <c r="F12" s="28" t="s">
        <v>148</v>
      </c>
      <c r="G12" s="9" t="s">
        <v>103</v>
      </c>
      <c r="H12" s="9" t="s">
        <v>89</v>
      </c>
      <c r="I12" s="9" t="s">
        <v>45</v>
      </c>
      <c r="J12" s="29">
        <v>801.22</v>
      </c>
      <c r="K12" s="30">
        <v>41971</v>
      </c>
      <c r="L12" s="31" t="s">
        <v>104</v>
      </c>
      <c r="M12" s="31" t="s">
        <v>47</v>
      </c>
      <c r="N12" s="9" t="s">
        <v>78</v>
      </c>
      <c r="O12" s="37" t="s">
        <v>101</v>
      </c>
      <c r="P12" s="33">
        <v>571837</v>
      </c>
      <c r="Q12" s="34">
        <f t="shared" si="0"/>
        <v>41530233.962000005</v>
      </c>
      <c r="R12" s="35" t="s">
        <v>27</v>
      </c>
      <c r="S12" s="7">
        <v>72.626000000000005</v>
      </c>
      <c r="T12" s="36">
        <f t="shared" si="1"/>
        <v>42060</v>
      </c>
      <c r="U12" s="9" t="s">
        <v>83</v>
      </c>
      <c r="V12" s="38">
        <f t="shared" si="2"/>
        <v>49836.280754400002</v>
      </c>
      <c r="W12" s="39">
        <v>165</v>
      </c>
      <c r="X12" s="34">
        <f t="shared" si="3"/>
        <v>8222986.3244760009</v>
      </c>
      <c r="Y12" s="40">
        <v>0</v>
      </c>
      <c r="Z12" s="26"/>
      <c r="AA12" s="26"/>
    </row>
    <row r="13" spans="2:27" ht="21.75" customHeight="1">
      <c r="B13" s="25">
        <f t="shared" si="4"/>
        <v>9</v>
      </c>
      <c r="C13" s="9" t="s">
        <v>149</v>
      </c>
      <c r="D13" s="27" t="s">
        <v>95</v>
      </c>
      <c r="E13" s="8"/>
      <c r="F13" s="28" t="s">
        <v>150</v>
      </c>
      <c r="G13" s="9" t="s">
        <v>103</v>
      </c>
      <c r="H13" s="9" t="s">
        <v>87</v>
      </c>
      <c r="I13" s="9" t="s">
        <v>45</v>
      </c>
      <c r="J13" s="29">
        <v>801.22</v>
      </c>
      <c r="K13" s="30">
        <v>41971</v>
      </c>
      <c r="L13" s="31" t="s">
        <v>104</v>
      </c>
      <c r="M13" s="31" t="s">
        <v>47</v>
      </c>
      <c r="N13" s="9" t="s">
        <v>78</v>
      </c>
      <c r="O13" s="37" t="s">
        <v>101</v>
      </c>
      <c r="P13" s="33">
        <v>100000</v>
      </c>
      <c r="Q13" s="34">
        <f t="shared" si="0"/>
        <v>7262600.0000000009</v>
      </c>
      <c r="R13" s="35" t="s">
        <v>27</v>
      </c>
      <c r="S13" s="7">
        <v>72.626000000000005</v>
      </c>
      <c r="T13" s="36">
        <f t="shared" si="1"/>
        <v>42060</v>
      </c>
      <c r="U13" s="9" t="s">
        <v>83</v>
      </c>
      <c r="V13" s="38">
        <f t="shared" si="2"/>
        <v>8715.1200000000008</v>
      </c>
      <c r="W13" s="39">
        <v>165</v>
      </c>
      <c r="X13" s="34">
        <f t="shared" si="3"/>
        <v>1437994.8</v>
      </c>
      <c r="Y13" s="40">
        <v>0</v>
      </c>
      <c r="Z13" s="26"/>
      <c r="AA13" s="26"/>
    </row>
    <row r="14" spans="2:27" ht="21.75" customHeight="1">
      <c r="B14" s="25">
        <f t="shared" si="4"/>
        <v>10</v>
      </c>
      <c r="C14" s="9" t="s">
        <v>151</v>
      </c>
      <c r="D14" s="27" t="s">
        <v>95</v>
      </c>
      <c r="E14" s="8"/>
      <c r="F14" s="28" t="s">
        <v>152</v>
      </c>
      <c r="G14" s="9" t="s">
        <v>43</v>
      </c>
      <c r="H14" s="9" t="s">
        <v>44</v>
      </c>
      <c r="I14" s="9" t="s">
        <v>45</v>
      </c>
      <c r="J14" s="29">
        <v>801.22</v>
      </c>
      <c r="K14" s="30">
        <v>41971</v>
      </c>
      <c r="L14" s="31" t="s">
        <v>104</v>
      </c>
      <c r="M14" s="31" t="s">
        <v>47</v>
      </c>
      <c r="N14" s="9" t="s">
        <v>78</v>
      </c>
      <c r="O14" s="37" t="s">
        <v>101</v>
      </c>
      <c r="P14" s="33">
        <v>65000</v>
      </c>
      <c r="Q14" s="34">
        <f t="shared" si="0"/>
        <v>4720690</v>
      </c>
      <c r="R14" s="35" t="s">
        <v>27</v>
      </c>
      <c r="S14" s="7">
        <v>72.626000000000005</v>
      </c>
      <c r="T14" s="36">
        <f t="shared" si="1"/>
        <v>42060</v>
      </c>
      <c r="U14" s="9" t="s">
        <v>43</v>
      </c>
      <c r="V14" s="38">
        <f t="shared" si="2"/>
        <v>5664.8279999999995</v>
      </c>
      <c r="W14" s="39">
        <v>165</v>
      </c>
      <c r="X14" s="34">
        <f t="shared" ref="X14:X17" si="5">SUM(V14*W14)</f>
        <v>934696.61999999988</v>
      </c>
      <c r="Y14" s="40">
        <v>0</v>
      </c>
      <c r="Z14" s="26"/>
      <c r="AA14" s="26"/>
    </row>
    <row r="15" spans="2:27" ht="21.75" customHeight="1">
      <c r="B15" s="25">
        <f t="shared" si="4"/>
        <v>11</v>
      </c>
      <c r="C15" s="9" t="s">
        <v>153</v>
      </c>
      <c r="D15" s="27" t="s">
        <v>95</v>
      </c>
      <c r="E15" s="8"/>
      <c r="F15" s="28" t="s">
        <v>154</v>
      </c>
      <c r="G15" s="9" t="s">
        <v>43</v>
      </c>
      <c r="H15" s="9" t="s">
        <v>44</v>
      </c>
      <c r="I15" s="9" t="s">
        <v>45</v>
      </c>
      <c r="J15" s="29">
        <v>801.22</v>
      </c>
      <c r="K15" s="30">
        <v>41971</v>
      </c>
      <c r="L15" s="31" t="s">
        <v>104</v>
      </c>
      <c r="M15" s="31" t="s">
        <v>47</v>
      </c>
      <c r="N15" s="9" t="s">
        <v>78</v>
      </c>
      <c r="O15" s="37" t="s">
        <v>101</v>
      </c>
      <c r="P15" s="33">
        <v>61000</v>
      </c>
      <c r="Q15" s="34">
        <f t="shared" si="0"/>
        <v>4430186</v>
      </c>
      <c r="R15" s="35" t="s">
        <v>27</v>
      </c>
      <c r="S15" s="7">
        <v>72.626000000000005</v>
      </c>
      <c r="T15" s="36">
        <f t="shared" si="1"/>
        <v>42060</v>
      </c>
      <c r="U15" s="9" t="s">
        <v>43</v>
      </c>
      <c r="V15" s="38">
        <f t="shared" si="2"/>
        <v>5316.2231999999995</v>
      </c>
      <c r="W15" s="39">
        <v>165</v>
      </c>
      <c r="X15" s="34">
        <f t="shared" si="5"/>
        <v>877176.82799999986</v>
      </c>
      <c r="Y15" s="40">
        <v>0</v>
      </c>
      <c r="Z15" s="26"/>
      <c r="AA15" s="26"/>
    </row>
    <row r="16" spans="2:27" ht="21.75" customHeight="1">
      <c r="B16" s="25">
        <f t="shared" si="4"/>
        <v>12</v>
      </c>
      <c r="C16" s="9" t="s">
        <v>155</v>
      </c>
      <c r="D16" s="27" t="s">
        <v>95</v>
      </c>
      <c r="E16" s="8"/>
      <c r="F16" s="28" t="s">
        <v>156</v>
      </c>
      <c r="G16" s="9" t="s">
        <v>56</v>
      </c>
      <c r="H16" s="9" t="s">
        <v>44</v>
      </c>
      <c r="I16" s="9" t="s">
        <v>45</v>
      </c>
      <c r="J16" s="29">
        <v>801.22</v>
      </c>
      <c r="K16" s="30">
        <v>41971</v>
      </c>
      <c r="L16" s="31" t="s">
        <v>104</v>
      </c>
      <c r="M16" s="31" t="s">
        <v>47</v>
      </c>
      <c r="N16" s="9" t="s">
        <v>78</v>
      </c>
      <c r="O16" s="37" t="s">
        <v>101</v>
      </c>
      <c r="P16" s="33">
        <v>45000</v>
      </c>
      <c r="Q16" s="34">
        <f t="shared" si="0"/>
        <v>3268170</v>
      </c>
      <c r="R16" s="35" t="s">
        <v>27</v>
      </c>
      <c r="S16" s="7">
        <v>72.626000000000005</v>
      </c>
      <c r="T16" s="36">
        <f t="shared" si="1"/>
        <v>42060</v>
      </c>
      <c r="U16" s="9" t="s">
        <v>43</v>
      </c>
      <c r="V16" s="38">
        <f t="shared" si="2"/>
        <v>3921.8039999999996</v>
      </c>
      <c r="W16" s="39">
        <v>165</v>
      </c>
      <c r="X16" s="34">
        <f t="shared" si="5"/>
        <v>647097.65999999992</v>
      </c>
      <c r="Y16" s="40">
        <v>0</v>
      </c>
      <c r="Z16" s="26"/>
      <c r="AA16" s="26"/>
    </row>
    <row r="17" spans="2:27" ht="21.75" customHeight="1" thickBot="1">
      <c r="B17" s="25">
        <f t="shared" si="4"/>
        <v>13</v>
      </c>
      <c r="C17" s="9" t="s">
        <v>157</v>
      </c>
      <c r="D17" s="27" t="s">
        <v>95</v>
      </c>
      <c r="E17" s="8"/>
      <c r="F17" s="28" t="s">
        <v>158</v>
      </c>
      <c r="G17" s="9" t="s">
        <v>65</v>
      </c>
      <c r="H17" s="9" t="s">
        <v>97</v>
      </c>
      <c r="I17" s="9" t="s">
        <v>45</v>
      </c>
      <c r="J17" s="29">
        <v>801.22</v>
      </c>
      <c r="K17" s="30">
        <v>41971</v>
      </c>
      <c r="L17" s="31" t="s">
        <v>104</v>
      </c>
      <c r="M17" s="31" t="s">
        <v>47</v>
      </c>
      <c r="N17" s="9" t="s">
        <v>78</v>
      </c>
      <c r="O17" s="37" t="s">
        <v>101</v>
      </c>
      <c r="P17" s="33">
        <v>169000</v>
      </c>
      <c r="Q17" s="34">
        <f t="shared" si="0"/>
        <v>12273794</v>
      </c>
      <c r="R17" s="35" t="s">
        <v>27</v>
      </c>
      <c r="S17" s="7">
        <v>72.626000000000005</v>
      </c>
      <c r="T17" s="36">
        <f t="shared" si="1"/>
        <v>42060</v>
      </c>
      <c r="U17" s="37" t="s">
        <v>68</v>
      </c>
      <c r="V17" s="38">
        <f t="shared" si="2"/>
        <v>14728.552799999999</v>
      </c>
      <c r="W17" s="39">
        <v>165</v>
      </c>
      <c r="X17" s="34">
        <f t="shared" si="5"/>
        <v>2430211.2119999998</v>
      </c>
      <c r="Y17" s="40">
        <v>0</v>
      </c>
      <c r="Z17" s="26"/>
      <c r="AA17" s="26"/>
    </row>
    <row r="18" spans="2:27" ht="15.75" thickBot="1">
      <c r="B18" s="11"/>
      <c r="C18" s="12"/>
      <c r="D18" s="12"/>
      <c r="E18" s="12"/>
      <c r="F18" s="12"/>
      <c r="G18" s="12"/>
      <c r="H18" s="12"/>
      <c r="I18" s="12"/>
      <c r="J18" s="11"/>
      <c r="K18" s="13"/>
      <c r="L18" s="12"/>
      <c r="M18" s="12"/>
      <c r="N18" s="15"/>
      <c r="O18" s="16"/>
      <c r="P18" s="44">
        <f>SUM(P5:P17)</f>
        <v>4425211</v>
      </c>
      <c r="Q18" s="45">
        <f>SUM(Q5:Q17)</f>
        <v>347725051.27100003</v>
      </c>
      <c r="R18" s="46"/>
      <c r="S18" s="47"/>
      <c r="T18" s="48"/>
      <c r="U18" s="49"/>
      <c r="V18" s="45">
        <f>SUM(V5:V17)</f>
        <v>417270.06152519997</v>
      </c>
      <c r="W18" s="46"/>
      <c r="X18" s="45">
        <f>SUM(X5:X17)</f>
        <v>68849560.151657999</v>
      </c>
      <c r="Y18" s="45">
        <f>SUM(Y5:Y17)</f>
        <v>0</v>
      </c>
      <c r="Z18" s="11"/>
      <c r="AA18" s="11"/>
    </row>
  </sheetData>
  <pageMargins left="0" right="0" top="0" bottom="0" header="0.31496062992125984" footer="0"/>
  <pageSetup paperSize="8" orientation="landscape" r:id="rId1"/>
  <ignoredErrors>
    <ignoredError sqref="F5:F17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COMPREHENSIVE (NOV'14)</vt:lpstr>
      <vt:lpstr>COMPLIANT (NOV'14)</vt:lpstr>
      <vt:lpstr>NON-COMPLIANT (NOV'14)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2014-12-08T13:23:20Z</cp:lastPrinted>
  <dcterms:created xsi:type="dcterms:W3CDTF">2014-11-11T09:43:02Z</dcterms:created>
  <dcterms:modified xsi:type="dcterms:W3CDTF">2014-12-10T08:55:50Z</dcterms:modified>
</cp:coreProperties>
</file>