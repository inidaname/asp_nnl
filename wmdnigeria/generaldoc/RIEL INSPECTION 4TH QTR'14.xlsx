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 tabRatio="719"/>
  </bookViews>
  <sheets>
    <sheet name="COMPREHENSIVE (4TH QTR'14)" sheetId="1" r:id="rId1"/>
    <sheet name="COMPLIANT (4TH QTR'14)" sheetId="2" r:id="rId2"/>
    <sheet name="NON-COMPLIANT (4TH QTR'14) " sheetId="4" r:id="rId3"/>
  </sheets>
  <calcPr calcId="125725"/>
</workbook>
</file>

<file path=xl/calcChain.xml><?xml version="1.0" encoding="utf-8"?>
<calcChain xmlns="http://schemas.openxmlformats.org/spreadsheetml/2006/main">
  <c r="B8" i="4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6"/>
  <c r="P35"/>
  <c r="T34"/>
  <c r="Q34"/>
  <c r="V34" s="1"/>
  <c r="X34" s="1"/>
  <c r="T33"/>
  <c r="Q33"/>
  <c r="V33" s="1"/>
  <c r="X33" s="1"/>
  <c r="T32"/>
  <c r="Q32"/>
  <c r="V32" s="1"/>
  <c r="X32" s="1"/>
  <c r="T31"/>
  <c r="Q31"/>
  <c r="V31" s="1"/>
  <c r="X31" s="1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7"/>
  <c r="P75" i="2"/>
  <c r="T74"/>
  <c r="Q74"/>
  <c r="V74" s="1"/>
  <c r="X74" s="1"/>
  <c r="Y74" s="1"/>
  <c r="T73"/>
  <c r="Q73"/>
  <c r="V73" s="1"/>
  <c r="X73" s="1"/>
  <c r="Y73" s="1"/>
  <c r="T72"/>
  <c r="Q72"/>
  <c r="V72" s="1"/>
  <c r="X72" s="1"/>
  <c r="Y72" s="1"/>
  <c r="T71"/>
  <c r="Q71"/>
  <c r="V71" s="1"/>
  <c r="X71" s="1"/>
  <c r="Y71" s="1"/>
  <c r="T70"/>
  <c r="Q70"/>
  <c r="V70" s="1"/>
  <c r="X70" s="1"/>
  <c r="Y70" s="1"/>
  <c r="T69"/>
  <c r="Q69"/>
  <c r="V69" s="1"/>
  <c r="X69" s="1"/>
  <c r="Y69" s="1"/>
  <c r="T68"/>
  <c r="Q68"/>
  <c r="V68" s="1"/>
  <c r="X68" s="1"/>
  <c r="Y68" s="1"/>
  <c r="T67"/>
  <c r="Q67"/>
  <c r="V67" s="1"/>
  <c r="X67" s="1"/>
  <c r="Y67" s="1"/>
  <c r="T66"/>
  <c r="Q66"/>
  <c r="V66" s="1"/>
  <c r="X66" s="1"/>
  <c r="Y66" s="1"/>
  <c r="T65"/>
  <c r="Q65"/>
  <c r="V65" s="1"/>
  <c r="X65" s="1"/>
  <c r="Y65" s="1"/>
  <c r="Q35" i="4" l="1"/>
  <c r="P67" i="1"/>
  <c r="V35" i="4" l="1"/>
  <c r="Y35"/>
  <c r="X35"/>
  <c r="T66" i="1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Q66"/>
  <c r="V66" s="1"/>
  <c r="X66" s="1"/>
  <c r="Q65"/>
  <c r="V65" s="1"/>
  <c r="X65" s="1"/>
  <c r="Y65" s="1"/>
  <c r="Q64"/>
  <c r="V64" s="1"/>
  <c r="X64" s="1"/>
  <c r="Y64" s="1"/>
  <c r="Q63"/>
  <c r="V63" s="1"/>
  <c r="X63" s="1"/>
  <c r="Y63" s="1"/>
  <c r="Q62"/>
  <c r="V62" s="1"/>
  <c r="X62" s="1"/>
  <c r="Y62" s="1"/>
  <c r="Q61"/>
  <c r="V61" s="1"/>
  <c r="X61" s="1"/>
  <c r="Y61" s="1"/>
  <c r="Q60"/>
  <c r="V60" s="1"/>
  <c r="X60" s="1"/>
  <c r="Q59"/>
  <c r="V59" s="1"/>
  <c r="X59" s="1"/>
  <c r="Q58"/>
  <c r="V58" s="1"/>
  <c r="X58" s="1"/>
  <c r="Q57"/>
  <c r="V57" s="1"/>
  <c r="X57" s="1"/>
  <c r="Q56"/>
  <c r="V56" s="1"/>
  <c r="X56" s="1"/>
  <c r="Q55"/>
  <c r="V55" s="1"/>
  <c r="X55" s="1"/>
  <c r="Q54"/>
  <c r="V54" s="1"/>
  <c r="X54" s="1"/>
  <c r="Q53"/>
  <c r="V53" s="1"/>
  <c r="X53" s="1"/>
  <c r="Q52"/>
  <c r="V52" s="1"/>
  <c r="X52" s="1"/>
  <c r="Y52" s="1"/>
  <c r="Q51"/>
  <c r="V51" s="1"/>
  <c r="X51" s="1"/>
  <c r="Y51" s="1"/>
  <c r="Q50"/>
  <c r="V50" s="1"/>
  <c r="X50" s="1"/>
  <c r="Q49"/>
  <c r="V49" s="1"/>
  <c r="X49" s="1"/>
  <c r="Q48"/>
  <c r="V48" s="1"/>
  <c r="X48" s="1"/>
  <c r="Q47"/>
  <c r="V47" s="1"/>
  <c r="X47" s="1"/>
  <c r="Y47" s="1"/>
  <c r="Q46"/>
  <c r="V46" s="1"/>
  <c r="X46" s="1"/>
  <c r="Y46" s="1"/>
  <c r="Q45"/>
  <c r="V45" s="1"/>
  <c r="X45" s="1"/>
  <c r="Y45" s="1"/>
  <c r="Q44"/>
  <c r="V44" s="1"/>
  <c r="X44" s="1"/>
  <c r="T64" i="2" l="1"/>
  <c r="Q64"/>
  <c r="V64" s="1"/>
  <c r="X64" s="1"/>
  <c r="T63"/>
  <c r="Q63"/>
  <c r="V63" s="1"/>
  <c r="X63" s="1"/>
  <c r="T62"/>
  <c r="Q62"/>
  <c r="V62" s="1"/>
  <c r="X62" s="1"/>
  <c r="T61"/>
  <c r="Q61"/>
  <c r="V61" s="1"/>
  <c r="X61" s="1"/>
  <c r="T60" l="1"/>
  <c r="Q60"/>
  <c r="V60" s="1"/>
  <c r="X60" s="1"/>
  <c r="Y60" s="1"/>
  <c r="T59"/>
  <c r="Q59"/>
  <c r="V59" s="1"/>
  <c r="X59" s="1"/>
  <c r="Y59" s="1"/>
  <c r="T58"/>
  <c r="Q58"/>
  <c r="V58" s="1"/>
  <c r="X58" s="1"/>
  <c r="Y58" s="1"/>
  <c r="T57"/>
  <c r="Q57"/>
  <c r="V57" s="1"/>
  <c r="X57" s="1"/>
  <c r="Y57" s="1"/>
  <c r="T56"/>
  <c r="Q56"/>
  <c r="V56" s="1"/>
  <c r="X56" s="1"/>
  <c r="Y56" s="1"/>
  <c r="T55"/>
  <c r="Q55"/>
  <c r="V55" s="1"/>
  <c r="X55" s="1"/>
  <c r="Y55" s="1"/>
  <c r="T43" i="1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Q43"/>
  <c r="V43" s="1"/>
  <c r="X43" s="1"/>
  <c r="Q42"/>
  <c r="V42" s="1"/>
  <c r="X42" s="1"/>
  <c r="Q41"/>
  <c r="V41" s="1"/>
  <c r="X41" s="1"/>
  <c r="Q40"/>
  <c r="V40" s="1"/>
  <c r="X40" s="1"/>
  <c r="Q39"/>
  <c r="V39" s="1"/>
  <c r="X39" s="1"/>
  <c r="Q38"/>
  <c r="V38" s="1"/>
  <c r="X38" s="1"/>
  <c r="Q37"/>
  <c r="V37" s="1"/>
  <c r="X37" s="1"/>
  <c r="Q36"/>
  <c r="V36" s="1"/>
  <c r="X36" s="1"/>
  <c r="Y36" s="1"/>
  <c r="Q35"/>
  <c r="V35" s="1"/>
  <c r="X35" s="1"/>
  <c r="Y35" s="1"/>
  <c r="Q34"/>
  <c r="V34" s="1"/>
  <c r="X34" s="1"/>
  <c r="Q33"/>
  <c r="V33" s="1"/>
  <c r="X33" s="1"/>
  <c r="Q32"/>
  <c r="V32" s="1"/>
  <c r="X32" s="1"/>
  <c r="Q31"/>
  <c r="V31" s="1"/>
  <c r="X31" s="1"/>
  <c r="Y31" s="1"/>
  <c r="Q30"/>
  <c r="V30" s="1"/>
  <c r="X30" s="1"/>
  <c r="Y30" s="1"/>
  <c r="Q29"/>
  <c r="V29" s="1"/>
  <c r="X29" s="1"/>
  <c r="Q28"/>
  <c r="V28" s="1"/>
  <c r="X28" s="1"/>
  <c r="Q27"/>
  <c r="V27" s="1"/>
  <c r="X27" s="1"/>
  <c r="Y27" s="1"/>
  <c r="Q26"/>
  <c r="V26" s="1"/>
  <c r="X26" s="1"/>
  <c r="Y26" s="1"/>
  <c r="Q25"/>
  <c r="V25" s="1"/>
  <c r="X25" s="1"/>
  <c r="T54" i="2" l="1"/>
  <c r="Q54"/>
  <c r="V54" s="1"/>
  <c r="X54" s="1"/>
  <c r="T53" l="1"/>
  <c r="Q53"/>
  <c r="V53" s="1"/>
  <c r="X53" s="1"/>
  <c r="T52" l="1"/>
  <c r="Q52"/>
  <c r="V52" s="1"/>
  <c r="X52" s="1"/>
  <c r="T51"/>
  <c r="Q51"/>
  <c r="V51" s="1"/>
  <c r="X51" s="1"/>
  <c r="T50"/>
  <c r="Q50"/>
  <c r="V50" s="1"/>
  <c r="X50" s="1"/>
  <c r="T49"/>
  <c r="Q49"/>
  <c r="V49" s="1"/>
  <c r="X49" s="1"/>
  <c r="T48" l="1"/>
  <c r="Q48"/>
  <c r="V48" s="1"/>
  <c r="X48" s="1"/>
  <c r="T47" l="1"/>
  <c r="Q47"/>
  <c r="V47" s="1"/>
  <c r="X47" s="1"/>
  <c r="Y47" s="1"/>
  <c r="T46"/>
  <c r="Q46"/>
  <c r="V46" s="1"/>
  <c r="X46" s="1"/>
  <c r="Y46" s="1"/>
  <c r="T45"/>
  <c r="Q45"/>
  <c r="V45" s="1"/>
  <c r="X45" s="1"/>
  <c r="Y45" s="1"/>
  <c r="T44"/>
  <c r="Q44"/>
  <c r="V44" s="1"/>
  <c r="X44" s="1"/>
  <c r="Y44" s="1"/>
  <c r="T43"/>
  <c r="Q43"/>
  <c r="V43" s="1"/>
  <c r="X43" s="1"/>
  <c r="Y43" s="1"/>
  <c r="T42"/>
  <c r="Q42"/>
  <c r="V42" s="1"/>
  <c r="X42" s="1"/>
  <c r="Y42" s="1"/>
  <c r="T41"/>
  <c r="Q41"/>
  <c r="V41" s="1"/>
  <c r="X41" s="1"/>
  <c r="Y41" s="1"/>
  <c r="T40"/>
  <c r="Q40"/>
  <c r="V40" s="1"/>
  <c r="X40" s="1"/>
  <c r="Y40" s="1"/>
  <c r="T39"/>
  <c r="Q39"/>
  <c r="V39" s="1"/>
  <c r="X39" s="1"/>
  <c r="Y39" s="1"/>
  <c r="B6" i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Q24"/>
  <c r="V24" s="1"/>
  <c r="X24" s="1"/>
  <c r="Q23"/>
  <c r="V23" s="1"/>
  <c r="X23" s="1"/>
  <c r="Y23" s="1"/>
  <c r="Q22"/>
  <c r="V22" s="1"/>
  <c r="X22" s="1"/>
  <c r="Y22" s="1"/>
  <c r="Q21"/>
  <c r="V21" s="1"/>
  <c r="X21" s="1"/>
  <c r="Y21" s="1"/>
  <c r="Q20"/>
  <c r="V20" s="1"/>
  <c r="X20" s="1"/>
  <c r="Q19"/>
  <c r="V19" s="1"/>
  <c r="X19" s="1"/>
  <c r="Q18"/>
  <c r="V18" s="1"/>
  <c r="X18" s="1"/>
  <c r="Q17"/>
  <c r="V17" s="1"/>
  <c r="X17" s="1"/>
  <c r="Q16"/>
  <c r="V16" s="1"/>
  <c r="X16" s="1"/>
  <c r="Q15"/>
  <c r="Q14"/>
  <c r="V14" s="1"/>
  <c r="X14" s="1"/>
  <c r="Y14" s="1"/>
  <c r="Q13"/>
  <c r="V13" s="1"/>
  <c r="X13" s="1"/>
  <c r="Q12"/>
  <c r="V12" s="1"/>
  <c r="X12" s="1"/>
  <c r="Y12" s="1"/>
  <c r="Q11"/>
  <c r="V11" s="1"/>
  <c r="X11" s="1"/>
  <c r="Y11" s="1"/>
  <c r="Q10"/>
  <c r="V10" s="1"/>
  <c r="X10" s="1"/>
  <c r="Y10" s="1"/>
  <c r="Q9"/>
  <c r="V9" s="1"/>
  <c r="X9" s="1"/>
  <c r="Y9" s="1"/>
  <c r="Q8"/>
  <c r="V8" s="1"/>
  <c r="X8" s="1"/>
  <c r="Q7"/>
  <c r="V7" s="1"/>
  <c r="X7" s="1"/>
  <c r="Q6"/>
  <c r="V6" s="1"/>
  <c r="X6" s="1"/>
  <c r="Q5"/>
  <c r="Q67" s="1"/>
  <c r="V5" l="1"/>
  <c r="V15"/>
  <c r="Q29" i="2"/>
  <c r="V67" i="1" l="1"/>
  <c r="X5"/>
  <c r="X15"/>
  <c r="T38" i="2"/>
  <c r="Q38"/>
  <c r="V38" s="1"/>
  <c r="X38" s="1"/>
  <c r="T6"/>
  <c r="Q37"/>
  <c r="V37" s="1"/>
  <c r="X37" s="1"/>
  <c r="Q36"/>
  <c r="T37"/>
  <c r="X67" i="1" l="1"/>
  <c r="Y5"/>
  <c r="Y67" s="1"/>
  <c r="T36" i="2"/>
  <c r="V36"/>
  <c r="X36" s="1"/>
  <c r="T35"/>
  <c r="Q35"/>
  <c r="V35" s="1"/>
  <c r="X35" s="1"/>
  <c r="T34"/>
  <c r="Q34"/>
  <c r="V34" s="1"/>
  <c r="X34" s="1"/>
  <c r="T33"/>
  <c r="Q33"/>
  <c r="V33" s="1"/>
  <c r="X33" s="1"/>
  <c r="T32"/>
  <c r="Q32"/>
  <c r="V32" s="1"/>
  <c r="X32" s="1"/>
  <c r="T31"/>
  <c r="Q31"/>
  <c r="V31" s="1"/>
  <c r="X31" s="1"/>
  <c r="T29" l="1"/>
  <c r="V29"/>
  <c r="X29" s="1"/>
  <c r="T28"/>
  <c r="Q28"/>
  <c r="V28" s="1"/>
  <c r="X28" s="1"/>
  <c r="T27" l="1"/>
  <c r="Q27"/>
  <c r="V27" s="1"/>
  <c r="X27" s="1"/>
  <c r="Y27" s="1"/>
  <c r="T26"/>
  <c r="Q26"/>
  <c r="V26" s="1"/>
  <c r="X26" s="1"/>
  <c r="Y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T20"/>
  <c r="Q20"/>
  <c r="V20" s="1"/>
  <c r="X20" s="1"/>
  <c r="Y20" s="1"/>
  <c r="T19"/>
  <c r="Q19"/>
  <c r="V19" s="1"/>
  <c r="X19" s="1"/>
  <c r="Y19" s="1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Y75" s="1"/>
  <c r="T12" l="1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30"/>
  <c r="Q30"/>
  <c r="V30" s="1"/>
  <c r="X30" s="1"/>
  <c r="Q6" l="1"/>
  <c r="V6" s="1"/>
  <c r="X6" s="1"/>
  <c r="T5" l="1"/>
  <c r="Q5"/>
  <c r="V5" l="1"/>
  <c r="Q75"/>
  <c r="X5" l="1"/>
  <c r="X75" s="1"/>
  <c r="V75"/>
  <c r="B6" l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</calcChain>
</file>

<file path=xl/comments1.xml><?xml version="1.0" encoding="utf-8"?>
<comments xmlns="http://schemas.openxmlformats.org/spreadsheetml/2006/main">
  <authors>
    <author>hp</author>
  </authors>
  <commentList>
    <comment ref="S61" authorId="0">
      <text>
        <r>
          <rPr>
            <sz val="9"/>
            <color indexed="81"/>
            <rFont val="Tahoma"/>
            <family val="2"/>
          </rPr>
          <t xml:space="preserve">MOBIL PRODUCING USED </t>
        </r>
        <r>
          <rPr>
            <sz val="8"/>
            <color indexed="81"/>
            <rFont val="Tahoma"/>
            <family val="2"/>
          </rPr>
          <t>6 DECIMAL PLACES INSTEAD OF 4 DECIMAL PLACES TO ARRIVED AT 98.082273 INSTEAD OF 98.0823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<sst xmlns="http://schemas.openxmlformats.org/spreadsheetml/2006/main" count="2024" uniqueCount="417">
  <si>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</si>
  <si>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</si>
  <si>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</si>
  <si>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</si>
  <si>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</si>
  <si>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</si>
  <si>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</si>
  <si>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</si>
  <si>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</si>
  <si>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</si>
  <si>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</si>
  <si>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</si>
  <si>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</si>
  <si>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</si>
  <si>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</si>
  <si>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</si>
  <si>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</si>
  <si>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</si>
  <si>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</si>
  <si>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</si>
  <si>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</si>
  <si>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</si>
  <si>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</si>
  <si>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</si>
  <si>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</si>
  <si>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</si>
  <si>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</si>
  <si>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CITI BANK</t>
  </si>
  <si>
    <t>ADDAX PETROLEUM</t>
  </si>
  <si>
    <t>ANTAN BLEND CRUDE OIL</t>
  </si>
  <si>
    <t>ANTAN</t>
  </si>
  <si>
    <t>SOUTH AFRICA</t>
  </si>
  <si>
    <t>C182</t>
  </si>
  <si>
    <t>MOBIL PRODUCING</t>
  </si>
  <si>
    <t>YOHO BLEND CRUDE OIL</t>
  </si>
  <si>
    <t>YOHO</t>
  </si>
  <si>
    <t>USA</t>
  </si>
  <si>
    <t>UBA</t>
  </si>
  <si>
    <t>SKYE BANK</t>
  </si>
  <si>
    <t>GERMANY</t>
  </si>
  <si>
    <t>WILHELMSHAVEN</t>
  </si>
  <si>
    <t>NNPC</t>
  </si>
  <si>
    <t>OKONO BLEND CRUDE OIL</t>
  </si>
  <si>
    <t>OKONO</t>
  </si>
  <si>
    <t>AGIP ENERGY</t>
  </si>
  <si>
    <t>BRASS</t>
  </si>
  <si>
    <t>NETHERLANDS</t>
  </si>
  <si>
    <t>ROTTERDAM</t>
  </si>
  <si>
    <t>ZENITH BANK</t>
  </si>
  <si>
    <t>NIGERIAN AGIP</t>
  </si>
  <si>
    <t>CAMEROON</t>
  </si>
  <si>
    <t>CAP LIMBOH</t>
  </si>
  <si>
    <t>OYO BLEND CRUDE OIL</t>
  </si>
  <si>
    <t>OYO</t>
  </si>
  <si>
    <t>ITALY</t>
  </si>
  <si>
    <t>SEAPACIS</t>
  </si>
  <si>
    <t>PHILLIPS OIL</t>
  </si>
  <si>
    <t>BRAZIL</t>
  </si>
  <si>
    <t>ONE OR MORE SAFE PORTS, BRAZIL</t>
  </si>
  <si>
    <t>INDIA</t>
  </si>
  <si>
    <t>SOUNION</t>
  </si>
  <si>
    <t>NOT YET ISSUED</t>
  </si>
  <si>
    <t>SPAIN</t>
  </si>
  <si>
    <t>ROTTERDAM FOR ORDERS</t>
  </si>
  <si>
    <t>GHANA</t>
  </si>
  <si>
    <t>FRANCE</t>
  </si>
  <si>
    <t>UNITED KINGDOM</t>
  </si>
  <si>
    <t>ALLIED ENERGY</t>
  </si>
  <si>
    <t xml:space="preserve">ROTTERDAM </t>
  </si>
  <si>
    <t>MIDWESTERN OIL</t>
  </si>
  <si>
    <t>ROMANTIC</t>
  </si>
  <si>
    <t>FINNART</t>
  </si>
  <si>
    <t>WILHELMSHAVEN FOR ORDERS</t>
  </si>
  <si>
    <t>NIPPON PRINCESS</t>
  </si>
  <si>
    <t>PLATFORM PETROLEUM</t>
  </si>
  <si>
    <t>MIDWESTERN OIL &amp; GAS</t>
  </si>
  <si>
    <t>SESTREA</t>
  </si>
  <si>
    <t>BELMAR</t>
  </si>
  <si>
    <t>CHINA</t>
  </si>
  <si>
    <t>ABOADZE</t>
  </si>
  <si>
    <t>HUELVA</t>
  </si>
  <si>
    <t>DURBAN FOR ORDERS</t>
  </si>
  <si>
    <t>LE HAVRE</t>
  </si>
  <si>
    <t>DENMARK</t>
  </si>
  <si>
    <t>CITI BANK OF NIG</t>
  </si>
  <si>
    <t>ASTRO PERSEUS</t>
  </si>
  <si>
    <t>BLANK</t>
  </si>
  <si>
    <t>GUARANTY TRUST BANK</t>
  </si>
  <si>
    <t>BRASS BLEND CRUDE OIL</t>
  </si>
  <si>
    <t>THAILAND</t>
  </si>
  <si>
    <t>GTB</t>
  </si>
  <si>
    <t>TEMA</t>
  </si>
  <si>
    <t>ALMI EXPLORER</t>
  </si>
  <si>
    <t>ALGECIRAS</t>
  </si>
  <si>
    <t>STANBIC IBTC</t>
  </si>
  <si>
    <t>NORDIC MISTRAL</t>
  </si>
  <si>
    <t>EBOK BLEND CRUDE OIL</t>
  </si>
  <si>
    <t>EBOK</t>
  </si>
  <si>
    <t>BLUE SKY</t>
  </si>
  <si>
    <t>GENOA</t>
  </si>
  <si>
    <t>STANDARD CHARTERED</t>
  </si>
  <si>
    <t>CAP JEAN</t>
  </si>
  <si>
    <t>EVGENIA I</t>
  </si>
  <si>
    <t>TETNEY</t>
  </si>
  <si>
    <t>SKS SALUDA</t>
  </si>
  <si>
    <t>VILAMOURA</t>
  </si>
  <si>
    <t>INTENTION KALUNDBORG</t>
  </si>
  <si>
    <t>STERLING BANK</t>
  </si>
  <si>
    <t>CENTRAL BANK</t>
  </si>
  <si>
    <t>ORIENTAL ENERGY</t>
  </si>
  <si>
    <t>PRINCIMAR LOYALTY</t>
  </si>
  <si>
    <t>ONE OR MORE SAFE PORT(S)</t>
  </si>
  <si>
    <t>PORTLAND, MAINE</t>
  </si>
  <si>
    <t>DELTA TOLMI</t>
  </si>
  <si>
    <t>Issued with 1(One) CCI for these 2(Two) split inspections</t>
  </si>
  <si>
    <t xml:space="preserve">PHILLPS OIL </t>
  </si>
  <si>
    <t>201400010312</t>
  </si>
  <si>
    <t>201400010313</t>
  </si>
  <si>
    <t>201400010314</t>
  </si>
  <si>
    <t>201400010252</t>
  </si>
  <si>
    <t>RIDGEBURY CAPTAIN DROGIN</t>
  </si>
  <si>
    <t>DHT TARGET</t>
  </si>
  <si>
    <t>ALMI VOYAGER</t>
  </si>
  <si>
    <t>QUILIANO, ITALY FOR ORDERS</t>
  </si>
  <si>
    <t>BRASS 510</t>
  </si>
  <si>
    <t>BRASS 511</t>
  </si>
  <si>
    <t>BRASS 512</t>
  </si>
  <si>
    <t>BRASS 513</t>
  </si>
  <si>
    <t>BRASS 518</t>
  </si>
  <si>
    <t>BRASS 519</t>
  </si>
  <si>
    <t>YOHO 105</t>
  </si>
  <si>
    <t>201400010321</t>
  </si>
  <si>
    <t>00201400010312</t>
  </si>
  <si>
    <t>201400010285</t>
  </si>
  <si>
    <t>201400010309</t>
  </si>
  <si>
    <t xml:space="preserve">MIDWESTERN OIL </t>
  </si>
  <si>
    <t>RATNA SHRADHA</t>
  </si>
  <si>
    <t>ARION</t>
  </si>
  <si>
    <t>PRINCIMAR TRUTH</t>
  </si>
  <si>
    <t>ONE OR MORE SAFE PORT(S), CHINA</t>
  </si>
  <si>
    <t>FINNART UK FOR ORDERS</t>
  </si>
  <si>
    <t>BRASS 520</t>
  </si>
  <si>
    <t>BRASS 522</t>
  </si>
  <si>
    <t>BRASS 524</t>
  </si>
  <si>
    <t>BRASS 525</t>
  </si>
  <si>
    <t>BRASS 526</t>
  </si>
  <si>
    <t>BRASS 527</t>
  </si>
  <si>
    <t>BRASS 531</t>
  </si>
  <si>
    <t>OYO 014</t>
  </si>
  <si>
    <t>20149030009</t>
  </si>
  <si>
    <t>AEGEAN NAVIGATOR</t>
  </si>
  <si>
    <t>MONTE TOLEDO</t>
  </si>
  <si>
    <t>GEORGIOS</t>
  </si>
  <si>
    <t>FRONT ARIAKE</t>
  </si>
  <si>
    <t>MALAYSIA</t>
  </si>
  <si>
    <t>ROTTERDAM THE NETHERLANDS FOR ORDERS</t>
  </si>
  <si>
    <t>RELIANCE TERMINAL SIKKA PORT</t>
  </si>
  <si>
    <t>ANTAN 111</t>
  </si>
  <si>
    <t>ANTAN 112</t>
  </si>
  <si>
    <t>BRASS 535</t>
  </si>
  <si>
    <t>BRASS 536</t>
  </si>
  <si>
    <t>BRASS 541</t>
  </si>
  <si>
    <t>BRASS 542</t>
  </si>
  <si>
    <t>BRASS 543</t>
  </si>
  <si>
    <t>BRASS 544</t>
  </si>
  <si>
    <t>BRASS 545</t>
  </si>
  <si>
    <t>BRASS 546</t>
  </si>
  <si>
    <t>BRASS 547</t>
  </si>
  <si>
    <t>BRASS 548</t>
  </si>
  <si>
    <t>BRASS 549</t>
  </si>
  <si>
    <t>BRASS 550</t>
  </si>
  <si>
    <t>BRASS 551</t>
  </si>
  <si>
    <t>BRASS 552</t>
  </si>
  <si>
    <t>BRASS 553</t>
  </si>
  <si>
    <t>BRASS 554</t>
  </si>
  <si>
    <t>YOHO 108</t>
  </si>
  <si>
    <t>YOHO 109</t>
  </si>
  <si>
    <t>YOHO 110</t>
  </si>
  <si>
    <t>EBOK 023</t>
  </si>
  <si>
    <t>OKONO 078</t>
  </si>
  <si>
    <t>201400010612</t>
  </si>
  <si>
    <t>ADDAX ANTAN 037</t>
  </si>
  <si>
    <t>ORIENTAL EBOK 023</t>
  </si>
  <si>
    <t>MOBIL YOHO 042</t>
  </si>
  <si>
    <t>ENERGY BRASS 041</t>
  </si>
  <si>
    <t>AGIP BRASS 076</t>
  </si>
  <si>
    <t>AGIP BRASS 077</t>
  </si>
  <si>
    <t>AGIP BRASS 078</t>
  </si>
  <si>
    <t>AGIP BRASS 079</t>
  </si>
  <si>
    <t>AGIP BRASS 080</t>
  </si>
  <si>
    <t>42808105C13/64</t>
  </si>
  <si>
    <t>42808105C40/50</t>
  </si>
  <si>
    <t>42808111C18/20A</t>
  </si>
  <si>
    <t>42808111C18/20B</t>
  </si>
  <si>
    <t>42808115C40/49</t>
  </si>
  <si>
    <t>42808109C48/315</t>
  </si>
  <si>
    <t>42808105C38/88A</t>
  </si>
  <si>
    <t>42808105C38/88B</t>
  </si>
  <si>
    <t>42808105C38/88C</t>
  </si>
  <si>
    <t>42808105C38/88D</t>
  </si>
  <si>
    <t>42808105C38/88E</t>
  </si>
  <si>
    <t>NNPC BRASS 172</t>
  </si>
  <si>
    <t>NNPC BRASS 173</t>
  </si>
  <si>
    <t>NNPC ANTAN 054</t>
  </si>
  <si>
    <t>NNPC ANTAN 055</t>
  </si>
  <si>
    <t>NNPC OKONO 064</t>
  </si>
  <si>
    <t>NNPC YOHO 065</t>
  </si>
  <si>
    <t>NNPC BRASS 177</t>
  </si>
  <si>
    <t>NNPC BRASS 178</t>
  </si>
  <si>
    <t>NNPC BRASS 179</t>
  </si>
  <si>
    <t>NNPC BRASS 180</t>
  </si>
  <si>
    <t>NNPC BRASS 181</t>
  </si>
  <si>
    <t>ENERGY BRASS 042</t>
  </si>
  <si>
    <t>ALLIED OYO 012</t>
  </si>
  <si>
    <t>015541 &amp; 015546</t>
  </si>
  <si>
    <t>10-10-2014 &amp; 20-10-2014</t>
  </si>
  <si>
    <t>PLATFORM BRASS 117</t>
  </si>
  <si>
    <t>PLATFORM BRASS 118</t>
  </si>
  <si>
    <t>PLATFORM BRASS 119</t>
  </si>
  <si>
    <t>PHILLIPS BRASS 048</t>
  </si>
  <si>
    <t xml:space="preserve">PHILLIPS OIL </t>
  </si>
  <si>
    <t>PHILLIPS BRASS 049</t>
  </si>
  <si>
    <t>PHILLIPS BRASS 050</t>
  </si>
  <si>
    <t>201402050404</t>
  </si>
  <si>
    <t>MIDWESTERN BRASS 044</t>
  </si>
  <si>
    <t>MIDWESTERN BRASS 045</t>
  </si>
  <si>
    <t>201400010395</t>
  </si>
  <si>
    <t>NNPC ANTAN 056</t>
  </si>
  <si>
    <t>NNPC ANTAN 057</t>
  </si>
  <si>
    <t>NNPC YOHO 066</t>
  </si>
  <si>
    <t>NNPC BRASS 183</t>
  </si>
  <si>
    <t>NNPC OKONO 065</t>
  </si>
  <si>
    <t>NNPC BRASS 185</t>
  </si>
  <si>
    <t>NNPC BRASS 186</t>
  </si>
  <si>
    <t>NNPC BRASS 187</t>
  </si>
  <si>
    <t>42808105C13/67</t>
  </si>
  <si>
    <t>201401010089</t>
  </si>
  <si>
    <t>201401010090</t>
  </si>
  <si>
    <t>201490300010</t>
  </si>
  <si>
    <t>42808111C69/4A</t>
  </si>
  <si>
    <t>42808111C69/4B</t>
  </si>
  <si>
    <t>42808109C48/323</t>
  </si>
  <si>
    <t>42808105C40/62</t>
  </si>
  <si>
    <t>42808115C38/90</t>
  </si>
  <si>
    <t>201400010384</t>
  </si>
  <si>
    <t>201400010494</t>
  </si>
  <si>
    <t>201400010496</t>
  </si>
  <si>
    <t>201401010091</t>
  </si>
  <si>
    <t>YET RECEIVED 2</t>
  </si>
  <si>
    <t>YET RECEIVED 3</t>
  </si>
  <si>
    <t>42808101C57/9B</t>
  </si>
  <si>
    <t>42808101C57/9C</t>
  </si>
  <si>
    <t>42808101C57/9D</t>
  </si>
  <si>
    <t>201400020017</t>
  </si>
  <si>
    <t>STENA SUEDE</t>
  </si>
  <si>
    <t>HOUSTON</t>
  </si>
  <si>
    <t>LENI P</t>
  </si>
  <si>
    <t>NANTUCKET</t>
  </si>
  <si>
    <t>GENMAR GEORGE T</t>
  </si>
  <si>
    <t>TI TOPAZ</t>
  </si>
  <si>
    <t>ONE OR MORE SAFE PORT(S), BRAZIL</t>
  </si>
  <si>
    <t>SOUTH AFRICA FOR ORDERS</t>
  </si>
  <si>
    <t>BRUNSBUTTEL GERMANY FOR ORDERS</t>
  </si>
  <si>
    <t>BRASS 555</t>
  </si>
  <si>
    <t>BRASS 556</t>
  </si>
  <si>
    <t>BRASS 557</t>
  </si>
  <si>
    <t>BRASS 558</t>
  </si>
  <si>
    <t>BRASS 559</t>
  </si>
  <si>
    <t>BRASS 560</t>
  </si>
  <si>
    <t>BRASS 561</t>
  </si>
  <si>
    <t>BRASS 562</t>
  </si>
  <si>
    <t>BRASS 563</t>
  </si>
  <si>
    <t>BRASS 564</t>
  </si>
  <si>
    <t>BRASS 565</t>
  </si>
  <si>
    <t>BRASS 566</t>
  </si>
  <si>
    <t>BRASS 567</t>
  </si>
  <si>
    <t>BRASS 568</t>
  </si>
  <si>
    <t>ANTAN 114</t>
  </si>
  <si>
    <t>ANTAN 115</t>
  </si>
  <si>
    <t>ANTAN 116</t>
  </si>
  <si>
    <t>YOHO 111</t>
  </si>
  <si>
    <t>EBOK 024</t>
  </si>
  <si>
    <t>OKONO 079</t>
  </si>
  <si>
    <t>Issued with 1(One) CCI for these 4(Four) split inspections</t>
  </si>
  <si>
    <t>201400010696</t>
  </si>
  <si>
    <t>ORIENTAL EBOK 024</t>
  </si>
  <si>
    <t>PLATFORM BRASS 120</t>
  </si>
  <si>
    <t>PLATFORM BRASS 121</t>
  </si>
  <si>
    <t>PLATFORM BRASS 122</t>
  </si>
  <si>
    <t>PLATFORM BRASS 123</t>
  </si>
  <si>
    <t>201402050373</t>
  </si>
  <si>
    <t>MIDWESTERN BRASS 043</t>
  </si>
  <si>
    <t>201402050493</t>
  </si>
  <si>
    <t>MIDWESTERN BRASS 046</t>
  </si>
  <si>
    <t>NNPC BRASS 188</t>
  </si>
  <si>
    <t>NNPC BRASS 189</t>
  </si>
  <si>
    <t>NNPC BRASS 190</t>
  </si>
  <si>
    <t>NNPC BRASS 191</t>
  </si>
  <si>
    <t>NNPC ANTAN 058</t>
  </si>
  <si>
    <t>NNPC ANTAN 059</t>
  </si>
  <si>
    <t>201400010495</t>
  </si>
  <si>
    <t>43010105C38/92B</t>
  </si>
  <si>
    <t>43010105C38/92C</t>
  </si>
  <si>
    <t>AWAITING 001</t>
  </si>
  <si>
    <t>43010105C38/92A</t>
  </si>
  <si>
    <t>43010105C38/92D</t>
  </si>
  <si>
    <t>201400010410</t>
  </si>
  <si>
    <t>AWAITING 04</t>
  </si>
  <si>
    <t>43010111C66/5A</t>
  </si>
  <si>
    <t>43010111C66/5B</t>
  </si>
  <si>
    <t>AWAITING 005</t>
  </si>
  <si>
    <t>201400010538</t>
  </si>
  <si>
    <t>201400010539</t>
  </si>
  <si>
    <t>201401010093</t>
  </si>
  <si>
    <t>201401010094</t>
  </si>
  <si>
    <t>20149030011</t>
  </si>
  <si>
    <t>AWAITING 006</t>
  </si>
  <si>
    <t>MESAIEED</t>
  </si>
  <si>
    <t>VALUE</t>
  </si>
  <si>
    <t>SPORADES</t>
  </si>
  <si>
    <t>OKONO 080</t>
  </si>
  <si>
    <t>BRASS 569</t>
  </si>
  <si>
    <t>BRASS 570</t>
  </si>
  <si>
    <t>EBOK 025</t>
  </si>
  <si>
    <t>EBOK 026</t>
  </si>
  <si>
    <t>BRASS 571</t>
  </si>
  <si>
    <t>BRASS 572</t>
  </si>
  <si>
    <t>YOHO 112</t>
  </si>
  <si>
    <t>BRASS 573</t>
  </si>
  <si>
    <t>BRASS 574</t>
  </si>
  <si>
    <t>ANTAN 117</t>
  </si>
  <si>
    <t>ANTAN 118</t>
  </si>
  <si>
    <t>BRASS 575</t>
  </si>
  <si>
    <t>BRASS 576</t>
  </si>
  <si>
    <t>BRASS 577</t>
  </si>
  <si>
    <t>BRASS 578</t>
  </si>
  <si>
    <t>BRASS 579</t>
  </si>
  <si>
    <t>BRASS 580</t>
  </si>
  <si>
    <t>BRASS 581</t>
  </si>
  <si>
    <t>NNPC BRASS 182</t>
  </si>
  <si>
    <t>MOBIL YOHO 043</t>
  </si>
  <si>
    <t>AGIP BRASS 081</t>
  </si>
  <si>
    <t>AGIP BRASS 082</t>
  </si>
  <si>
    <t>ENERGY BRASS 043</t>
  </si>
  <si>
    <t>201400010487</t>
  </si>
  <si>
    <t>201400010488</t>
  </si>
  <si>
    <t>AWAITING 1</t>
  </si>
  <si>
    <t>43010109C48/334</t>
  </si>
  <si>
    <t>41414105C40/54</t>
  </si>
  <si>
    <t>201400010459</t>
  </si>
  <si>
    <t>201400010576</t>
  </si>
  <si>
    <t>AWAITING 2</t>
  </si>
  <si>
    <t>41414111C66/6A</t>
  </si>
  <si>
    <t>41414111C66/6B</t>
  </si>
  <si>
    <t>201400020020</t>
  </si>
  <si>
    <t>201400010591</t>
  </si>
  <si>
    <t>201400010592</t>
  </si>
  <si>
    <t>201401010095</t>
  </si>
  <si>
    <t>201401010096</t>
  </si>
  <si>
    <t>201490300012</t>
  </si>
  <si>
    <t>AWAITING 3</t>
  </si>
  <si>
    <t>AWAITING 0004</t>
  </si>
  <si>
    <t>41414105C13/68A</t>
  </si>
  <si>
    <t>41414105C13/68B</t>
  </si>
  <si>
    <t>41414105C13/68C</t>
  </si>
  <si>
    <t>41414105C13/68D</t>
  </si>
  <si>
    <t>41414105C13/68E</t>
  </si>
  <si>
    <t>YASA POLARIS</t>
  </si>
  <si>
    <t>RIDGEBURY MARY SELENA</t>
  </si>
  <si>
    <t>OLYMPIC LIGHT</t>
  </si>
  <si>
    <t>ALMI SKY</t>
  </si>
  <si>
    <t>ESTEEM BRILLIANCE</t>
  </si>
  <si>
    <t>SUEZ FUZEYYA</t>
  </si>
  <si>
    <t>UNITED HONOR</t>
  </si>
  <si>
    <t>CHRYSSI</t>
  </si>
  <si>
    <t>OMSP(S), INDIA</t>
  </si>
  <si>
    <t>FINNART, UK FOR ORDERS</t>
  </si>
  <si>
    <t>OMSP(S), THAILAND</t>
  </si>
  <si>
    <t>NNPC YOHO 067</t>
  </si>
  <si>
    <t>NNPC OKONO 066</t>
  </si>
  <si>
    <t>NNPC BRASS 194</t>
  </si>
  <si>
    <t>NNPC ANTAN 060</t>
  </si>
  <si>
    <t>NNPC ANTAN 061</t>
  </si>
  <si>
    <t>NNPC BRASS 195</t>
  </si>
  <si>
    <t>NNPC BRASS 196</t>
  </si>
  <si>
    <t>NNPC BRASS 197</t>
  </si>
  <si>
    <t>NNPC BRASS 198</t>
  </si>
  <si>
    <t>NNPC BRASS 199</t>
  </si>
  <si>
    <t>43010115C5/13</t>
  </si>
  <si>
    <t>EBOK 027</t>
  </si>
  <si>
    <t>EBOK 028</t>
  </si>
  <si>
    <t>YOHO 113</t>
  </si>
  <si>
    <t>YOHO 114</t>
  </si>
  <si>
    <t>BRASS 582</t>
  </si>
  <si>
    <t>OKONO 081</t>
  </si>
  <si>
    <t>BRASS 583</t>
  </si>
  <si>
    <t>BRASS 584</t>
  </si>
  <si>
    <t>BRASS 585</t>
  </si>
  <si>
    <t>BRASS 586</t>
  </si>
  <si>
    <t>BRASS 587</t>
  </si>
  <si>
    <t>BRASS 588</t>
  </si>
  <si>
    <t>BRASS 589</t>
  </si>
  <si>
    <t>BRASS 590</t>
  </si>
  <si>
    <t>BRASS 591</t>
  </si>
  <si>
    <t>BRASS 592</t>
  </si>
  <si>
    <t>BRASS 593</t>
  </si>
  <si>
    <t>BRASS 594</t>
  </si>
  <si>
    <t>BRASS 595</t>
  </si>
  <si>
    <t>BRASS 596</t>
  </si>
  <si>
    <t>ANTAN 119</t>
  </si>
  <si>
    <t>ANTAN 120</t>
  </si>
  <si>
    <t>ANTAN 121</t>
  </si>
  <si>
    <t>201400020021</t>
  </si>
  <si>
    <t>NON-COMPLIANT INSPECTION REPORT FOR THE PERIOD OF OCTOBER 2014 TO DECEMBER 2014</t>
  </si>
  <si>
    <t>COMPLIANT INSPECTION REPORT FOR THE PERIOD OF OCTOBER 2014 TO DECEMBER 2014</t>
  </si>
  <si>
    <t>COMPREHENSIVE INSPECTION REPORT FOR THE PERIOD OF OCTOBER 2014 TO DECEMBER 2014</t>
  </si>
  <si>
    <t>REMARK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</si>
</sst>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.0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4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49" fontId="9" fillId="0" borderId="3" xfId="2" applyNumberFormat="1" applyFont="1" applyFill="1" applyBorder="1" applyAlignment="1">
      <alignment horizontal="center" vertical="center"/>
    </xf>
    <xf numFmtId="49" fontId="9" fillId="0" borderId="3" xfId="2" applyNumberFormat="1" applyFont="1" applyFill="1" applyBorder="1" applyAlignment="1">
      <alignment horizontal="center" vertical="center" wrapText="1"/>
    </xf>
    <xf numFmtId="164" fontId="9" fillId="0" borderId="3" xfId="2" applyNumberFormat="1" applyFont="1" applyFill="1" applyBorder="1" applyAlignment="1">
      <alignment horizontal="center" vertical="center" wrapText="1"/>
    </xf>
    <xf numFmtId="0" fontId="9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7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3" fontId="6" fillId="0" borderId="7" xfId="1" applyFont="1" applyFill="1" applyBorder="1"/>
    <xf numFmtId="165" fontId="6" fillId="0" borderId="6" xfId="0" applyNumberFormat="1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wrapText="1"/>
    </xf>
    <xf numFmtId="164" fontId="6" fillId="0" borderId="6" xfId="4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9" fillId="0" borderId="8" xfId="0" applyNumberFormat="1" applyFont="1" applyFill="1" applyBorder="1"/>
    <xf numFmtId="43" fontId="9" fillId="0" borderId="8" xfId="1" applyFont="1" applyFill="1" applyBorder="1"/>
    <xf numFmtId="0" fontId="9" fillId="0" borderId="0" xfId="0" applyFont="1" applyFill="1"/>
    <xf numFmtId="164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1" fontId="6" fillId="0" borderId="6" xfId="0" applyNumberFormat="1" applyFont="1" applyFill="1" applyBorder="1" applyAlignment="1">
      <alignment horizontal="center" wrapText="1"/>
    </xf>
    <xf numFmtId="3" fontId="6" fillId="0" borderId="6" xfId="0" applyNumberFormat="1" applyFont="1" applyFill="1" applyBorder="1"/>
    <xf numFmtId="4" fontId="6" fillId="0" borderId="7" xfId="0" applyNumberFormat="1" applyFont="1" applyFill="1" applyBorder="1"/>
    <xf numFmtId="43" fontId="6" fillId="0" borderId="6" xfId="1" applyFont="1" applyFill="1" applyBorder="1"/>
    <xf numFmtId="3" fontId="6" fillId="0" borderId="7" xfId="0" applyNumberFormat="1" applyFont="1" applyFill="1" applyBorder="1" applyAlignment="1" applyProtection="1">
      <protection locked="0"/>
    </xf>
    <xf numFmtId="164" fontId="6" fillId="0" borderId="5" xfId="4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 applyAlignment="1">
      <alignment horizontal="center" wrapText="1"/>
    </xf>
    <xf numFmtId="0" fontId="6" fillId="0" borderId="6" xfId="4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167" fontId="6" fillId="0" borderId="5" xfId="0" applyNumberFormat="1" applyFont="1" applyFill="1" applyBorder="1" applyAlignment="1">
      <alignment horizontal="center"/>
    </xf>
    <xf numFmtId="0" fontId="6" fillId="0" borderId="5" xfId="0" applyFont="1" applyFill="1" applyBorder="1"/>
    <xf numFmtId="164" fontId="6" fillId="0" borderId="5" xfId="0" applyNumberFormat="1" applyFont="1" applyFill="1" applyBorder="1" applyAlignment="1">
      <alignment horizontal="center" wrapText="1"/>
    </xf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2" fontId="6" fillId="0" borderId="5" xfId="0" applyNumberFormat="1" applyFont="1" applyFill="1" applyBorder="1" applyAlignment="1">
      <alignment horizontal="center"/>
    </xf>
    <xf numFmtId="43" fontId="6" fillId="0" borderId="11" xfId="1" applyFont="1" applyFill="1" applyBorder="1"/>
    <xf numFmtId="0" fontId="6" fillId="0" borderId="5" xfId="0" applyFont="1" applyFill="1" applyBorder="1" applyAlignment="1">
      <alignment horizontal="center"/>
    </xf>
    <xf numFmtId="2" fontId="6" fillId="0" borderId="6" xfId="0" applyNumberFormat="1" applyFont="1" applyFill="1" applyBorder="1"/>
    <xf numFmtId="165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0" fontId="10" fillId="0" borderId="6" xfId="0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495300</xdr:colOff>
      <xdr:row>2</xdr:row>
      <xdr:rowOff>200025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28599"/>
          <a:ext cx="457200" cy="361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3</xdr:col>
      <xdr:colOff>523875</xdr:colOff>
      <xdr:row>2</xdr:row>
      <xdr:rowOff>190501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28600"/>
          <a:ext cx="485775" cy="35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495300</xdr:colOff>
      <xdr:row>2</xdr:row>
      <xdr:rowOff>200025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28599"/>
          <a:ext cx="457200" cy="361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67"/>
  <sheetViews>
    <sheetView tabSelected="1" workbookViewId="0">
      <selection activeCell="G79" sqref="G79"/>
    </sheetView>
  </sheetViews>
  <sheetFormatPr defaultRowHeight="15"/>
  <cols>
    <col min="1" max="1" width="4.140625" customWidth="1"/>
    <col min="2" max="2" width="2.85546875" customWidth="1"/>
    <col min="3" max="3" width="4.85546875" style="3" customWidth="1"/>
    <col min="4" max="4" width="7.5703125" style="3" customWidth="1"/>
    <col min="5" max="5" width="5.7109375" style="3" customWidth="1"/>
    <col min="6" max="6" width="10.85546875" style="3" customWidth="1"/>
    <col min="7" max="7" width="7.42578125" style="3" customWidth="1"/>
    <col min="8" max="8" width="8.140625" style="3" customWidth="1"/>
    <col min="9" max="9" width="9.28515625" style="3" customWidth="1"/>
    <col min="10" max="10" width="6" customWidth="1"/>
    <col min="11" max="11" width="6.42578125" style="1" customWidth="1"/>
    <col min="12" max="12" width="8.140625" style="3" customWidth="1"/>
    <col min="13" max="13" width="5.5703125" style="3" customWidth="1"/>
    <col min="14" max="14" width="7" style="5" customWidth="1"/>
    <col min="15" max="15" width="10.85546875" style="6" customWidth="1"/>
    <col min="16" max="16" width="8.5703125" customWidth="1"/>
    <col min="17" max="17" width="13.28515625" customWidth="1"/>
    <col min="18" max="18" width="5.42578125" customWidth="1"/>
    <col min="19" max="19" width="6.5703125" style="8" customWidth="1"/>
    <col min="20" max="20" width="7.42578125" style="1" customWidth="1"/>
    <col min="21" max="21" width="8" style="3" customWidth="1"/>
    <col min="22" max="22" width="10.28515625" customWidth="1"/>
    <col min="23" max="23" width="9.42578125" customWidth="1"/>
    <col min="24" max="24" width="13.28515625" customWidth="1"/>
    <col min="25" max="25" width="12" customWidth="1"/>
    <col min="26" max="26" width="6.42578125" customWidth="1"/>
    <col min="27" max="27" width="7" customWidth="1"/>
    <col min="28" max="28" width="11.5703125" customWidth="1"/>
  </cols>
  <sheetData>
    <row r="2" spans="2:27" ht="15.75">
      <c r="L2" s="4" t="s">
        <v>0</v>
      </c>
    </row>
    <row r="3" spans="2:27" ht="23.25" customHeight="1" thickBot="1">
      <c r="L3" s="4" t="s">
        <v>415</v>
      </c>
      <c r="P3" s="2"/>
    </row>
    <row r="4" spans="2:27" s="3" customFormat="1" ht="42.6" customHeight="1" thickBot="1">
      <c r="B4" s="14" t="s">
        <v>1</v>
      </c>
      <c r="C4" s="15" t="s">
        <v>2</v>
      </c>
      <c r="D4" s="15" t="s">
        <v>3</v>
      </c>
      <c r="E4" s="15" t="s">
        <v>4</v>
      </c>
      <c r="F4" s="16" t="s">
        <v>5</v>
      </c>
      <c r="G4" s="17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8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9" t="s">
        <v>26</v>
      </c>
    </row>
    <row r="5" spans="2:27" ht="24" customHeight="1">
      <c r="B5" s="20">
        <v>1</v>
      </c>
      <c r="C5" s="10" t="s">
        <v>263</v>
      </c>
      <c r="D5" s="9" t="s">
        <v>339</v>
      </c>
      <c r="E5" s="22">
        <v>41943</v>
      </c>
      <c r="F5" s="12" t="s">
        <v>235</v>
      </c>
      <c r="G5" s="10" t="s">
        <v>108</v>
      </c>
      <c r="H5" s="10" t="s">
        <v>41</v>
      </c>
      <c r="I5" s="10" t="s">
        <v>88</v>
      </c>
      <c r="J5" s="23">
        <v>801.22</v>
      </c>
      <c r="K5" s="22">
        <v>41921</v>
      </c>
      <c r="L5" s="24" t="s">
        <v>254</v>
      </c>
      <c r="M5" s="24" t="s">
        <v>45</v>
      </c>
      <c r="N5" s="10" t="s">
        <v>39</v>
      </c>
      <c r="O5" s="25" t="s">
        <v>40</v>
      </c>
      <c r="P5" s="26">
        <v>950120</v>
      </c>
      <c r="Q5" s="27">
        <f t="shared" ref="Q5:Q48" si="0">SUM(P5*S5)</f>
        <v>85633365.480000004</v>
      </c>
      <c r="R5" s="28" t="s">
        <v>32</v>
      </c>
      <c r="S5" s="7">
        <v>90.129000000000005</v>
      </c>
      <c r="T5" s="29">
        <f t="shared" ref="T5:T9" si="1">SUM(K5)+89</f>
        <v>42010</v>
      </c>
      <c r="U5" s="13" t="s">
        <v>108</v>
      </c>
      <c r="V5" s="30">
        <f t="shared" ref="V5:V21" si="2">SUM(Q5*0.12%)</f>
        <v>102760.03857599999</v>
      </c>
      <c r="W5" s="21">
        <v>155.76</v>
      </c>
      <c r="X5" s="31">
        <f t="shared" ref="X5:X39" si="3">SUM(V5*W5)</f>
        <v>16005903.608597757</v>
      </c>
      <c r="Y5" s="32">
        <f t="shared" ref="Y5" si="4">X5</f>
        <v>16005903.608597757</v>
      </c>
      <c r="Z5" s="21"/>
      <c r="AA5" s="21"/>
    </row>
    <row r="6" spans="2:27" ht="24" customHeight="1">
      <c r="B6" s="20">
        <f t="shared" ref="B6:B9" si="5">B5+1</f>
        <v>2</v>
      </c>
      <c r="C6" s="10" t="s">
        <v>264</v>
      </c>
      <c r="D6" s="10" t="s">
        <v>286</v>
      </c>
      <c r="E6" s="9">
        <v>41970</v>
      </c>
      <c r="F6" s="12" t="s">
        <v>236</v>
      </c>
      <c r="G6" s="10" t="s">
        <v>38</v>
      </c>
      <c r="H6" s="10" t="s">
        <v>74</v>
      </c>
      <c r="I6" s="10" t="s">
        <v>88</v>
      </c>
      <c r="J6" s="23">
        <v>801.22</v>
      </c>
      <c r="K6" s="22">
        <v>41921</v>
      </c>
      <c r="L6" s="24" t="s">
        <v>254</v>
      </c>
      <c r="M6" s="24" t="s">
        <v>45</v>
      </c>
      <c r="N6" s="10" t="s">
        <v>39</v>
      </c>
      <c r="O6" s="25" t="s">
        <v>40</v>
      </c>
      <c r="P6" s="26">
        <v>30000</v>
      </c>
      <c r="Q6" s="27">
        <f t="shared" si="0"/>
        <v>2605680</v>
      </c>
      <c r="R6" s="28" t="s">
        <v>32</v>
      </c>
      <c r="S6" s="7">
        <v>86.855999999999995</v>
      </c>
      <c r="T6" s="29">
        <f t="shared" si="1"/>
        <v>42010</v>
      </c>
      <c r="U6" s="10" t="s">
        <v>38</v>
      </c>
      <c r="V6" s="30">
        <f t="shared" si="2"/>
        <v>3126.8159999999998</v>
      </c>
      <c r="W6" s="21">
        <v>155.76</v>
      </c>
      <c r="X6" s="31">
        <f t="shared" si="3"/>
        <v>487032.86015999992</v>
      </c>
      <c r="Y6" s="32">
        <v>487038.86</v>
      </c>
      <c r="Z6" s="29">
        <v>41969</v>
      </c>
      <c r="AA6" s="33">
        <v>4435</v>
      </c>
    </row>
    <row r="7" spans="2:27" ht="24" customHeight="1">
      <c r="B7" s="20">
        <f t="shared" si="5"/>
        <v>3</v>
      </c>
      <c r="C7" s="10" t="s">
        <v>265</v>
      </c>
      <c r="D7" s="10" t="s">
        <v>287</v>
      </c>
      <c r="E7" s="9">
        <v>41970</v>
      </c>
      <c r="F7" s="12" t="s">
        <v>237</v>
      </c>
      <c r="G7" s="10" t="s">
        <v>38</v>
      </c>
      <c r="H7" s="10" t="s">
        <v>74</v>
      </c>
      <c r="I7" s="10" t="s">
        <v>88</v>
      </c>
      <c r="J7" s="23">
        <v>801.22</v>
      </c>
      <c r="K7" s="22">
        <v>41921</v>
      </c>
      <c r="L7" s="24" t="s">
        <v>254</v>
      </c>
      <c r="M7" s="24" t="s">
        <v>45</v>
      </c>
      <c r="N7" s="10" t="s">
        <v>39</v>
      </c>
      <c r="O7" s="25" t="s">
        <v>40</v>
      </c>
      <c r="P7" s="26">
        <v>54000</v>
      </c>
      <c r="Q7" s="27">
        <f t="shared" si="0"/>
        <v>4690224</v>
      </c>
      <c r="R7" s="28" t="s">
        <v>32</v>
      </c>
      <c r="S7" s="7">
        <v>86.855999999999995</v>
      </c>
      <c r="T7" s="29">
        <f t="shared" si="1"/>
        <v>42010</v>
      </c>
      <c r="U7" s="10" t="s">
        <v>38</v>
      </c>
      <c r="V7" s="30">
        <f t="shared" si="2"/>
        <v>5628.2687999999998</v>
      </c>
      <c r="W7" s="21">
        <v>155.76</v>
      </c>
      <c r="X7" s="31">
        <f t="shared" si="3"/>
        <v>876659.14828799991</v>
      </c>
      <c r="Y7" s="32">
        <v>876659.15</v>
      </c>
      <c r="Z7" s="29">
        <v>41969</v>
      </c>
      <c r="AA7" s="33">
        <v>4436</v>
      </c>
    </row>
    <row r="8" spans="2:27" ht="24" customHeight="1">
      <c r="B8" s="20">
        <f t="shared" si="5"/>
        <v>4</v>
      </c>
      <c r="C8" s="10" t="s">
        <v>266</v>
      </c>
      <c r="D8" s="10" t="s">
        <v>288</v>
      </c>
      <c r="E8" s="9">
        <v>41970</v>
      </c>
      <c r="F8" s="12" t="s">
        <v>238</v>
      </c>
      <c r="G8" s="10" t="s">
        <v>107</v>
      </c>
      <c r="H8" s="10" t="s">
        <v>74</v>
      </c>
      <c r="I8" s="10" t="s">
        <v>88</v>
      </c>
      <c r="J8" s="23">
        <v>801.22</v>
      </c>
      <c r="K8" s="22">
        <v>41921</v>
      </c>
      <c r="L8" s="24" t="s">
        <v>254</v>
      </c>
      <c r="M8" s="24" t="s">
        <v>45</v>
      </c>
      <c r="N8" s="10" t="s">
        <v>39</v>
      </c>
      <c r="O8" s="25" t="s">
        <v>40</v>
      </c>
      <c r="P8" s="26">
        <v>16000</v>
      </c>
      <c r="Q8" s="27">
        <f t="shared" si="0"/>
        <v>1389696</v>
      </c>
      <c r="R8" s="28" t="s">
        <v>32</v>
      </c>
      <c r="S8" s="7">
        <v>86.855999999999995</v>
      </c>
      <c r="T8" s="29">
        <f t="shared" si="1"/>
        <v>42010</v>
      </c>
      <c r="U8" s="10" t="s">
        <v>38</v>
      </c>
      <c r="V8" s="30">
        <f t="shared" si="2"/>
        <v>1667.6351999999999</v>
      </c>
      <c r="W8" s="21">
        <v>155.76</v>
      </c>
      <c r="X8" s="31">
        <f t="shared" si="3"/>
        <v>259750.85875199997</v>
      </c>
      <c r="Y8" s="32">
        <v>259750.86</v>
      </c>
      <c r="Z8" s="29">
        <v>41969</v>
      </c>
      <c r="AA8" s="33">
        <v>4437</v>
      </c>
    </row>
    <row r="9" spans="2:27" ht="24" customHeight="1">
      <c r="B9" s="20">
        <f t="shared" si="5"/>
        <v>5</v>
      </c>
      <c r="C9" s="10" t="s">
        <v>277</v>
      </c>
      <c r="D9" s="9" t="s">
        <v>227</v>
      </c>
      <c r="E9" s="22">
        <v>41943</v>
      </c>
      <c r="F9" s="12" t="s">
        <v>239</v>
      </c>
      <c r="G9" s="10" t="s">
        <v>108</v>
      </c>
      <c r="H9" s="10" t="s">
        <v>41</v>
      </c>
      <c r="I9" s="10" t="s">
        <v>29</v>
      </c>
      <c r="J9" s="23">
        <v>801.22</v>
      </c>
      <c r="K9" s="22">
        <v>41927</v>
      </c>
      <c r="L9" s="24" t="s">
        <v>85</v>
      </c>
      <c r="M9" s="24" t="s">
        <v>30</v>
      </c>
      <c r="N9" s="10" t="s">
        <v>62</v>
      </c>
      <c r="O9" s="13" t="s">
        <v>80</v>
      </c>
      <c r="P9" s="26">
        <v>548784</v>
      </c>
      <c r="Q9" s="27">
        <f t="shared" si="0"/>
        <v>46033099.488000005</v>
      </c>
      <c r="R9" s="28" t="s">
        <v>32</v>
      </c>
      <c r="S9" s="7">
        <v>83.882000000000005</v>
      </c>
      <c r="T9" s="29">
        <f t="shared" si="1"/>
        <v>42016</v>
      </c>
      <c r="U9" s="13" t="s">
        <v>108</v>
      </c>
      <c r="V9" s="30">
        <f t="shared" si="2"/>
        <v>55239.719385600001</v>
      </c>
      <c r="W9" s="21">
        <v>155.76</v>
      </c>
      <c r="X9" s="31">
        <f t="shared" si="3"/>
        <v>8604138.6915010549</v>
      </c>
      <c r="Y9" s="32">
        <f t="shared" ref="Y9:Y14" si="6">X9</f>
        <v>8604138.6915010549</v>
      </c>
      <c r="Z9" s="21"/>
      <c r="AA9" s="21"/>
    </row>
    <row r="10" spans="2:27" ht="24" customHeight="1">
      <c r="B10" s="20">
        <f t="shared" ref="B10:B66" si="7">B9+1</f>
        <v>6</v>
      </c>
      <c r="C10" s="10" t="s">
        <v>278</v>
      </c>
      <c r="D10" s="9" t="s">
        <v>228</v>
      </c>
      <c r="E10" s="22">
        <v>41943</v>
      </c>
      <c r="F10" s="12" t="s">
        <v>240</v>
      </c>
      <c r="G10" s="10" t="s">
        <v>108</v>
      </c>
      <c r="H10" s="10" t="s">
        <v>41</v>
      </c>
      <c r="I10" s="10" t="s">
        <v>29</v>
      </c>
      <c r="J10" s="23">
        <v>801.22</v>
      </c>
      <c r="K10" s="22">
        <v>41927</v>
      </c>
      <c r="L10" s="24" t="s">
        <v>85</v>
      </c>
      <c r="M10" s="24" t="s">
        <v>30</v>
      </c>
      <c r="N10" s="10" t="s">
        <v>62</v>
      </c>
      <c r="O10" s="13" t="s">
        <v>80</v>
      </c>
      <c r="P10" s="26">
        <v>400000</v>
      </c>
      <c r="Q10" s="27">
        <f t="shared" si="0"/>
        <v>33552800.000000004</v>
      </c>
      <c r="R10" s="28" t="s">
        <v>32</v>
      </c>
      <c r="S10" s="7">
        <v>83.882000000000005</v>
      </c>
      <c r="T10" s="29">
        <f t="shared" ref="T10:T66" si="8">SUM(K10)+89</f>
        <v>42016</v>
      </c>
      <c r="U10" s="10" t="s">
        <v>108</v>
      </c>
      <c r="V10" s="30">
        <f t="shared" si="2"/>
        <v>40263.360000000001</v>
      </c>
      <c r="W10" s="21">
        <v>155.76</v>
      </c>
      <c r="X10" s="31">
        <f t="shared" si="3"/>
        <v>6271420.9535999997</v>
      </c>
      <c r="Y10" s="32">
        <f t="shared" si="6"/>
        <v>6271420.9535999997</v>
      </c>
      <c r="Z10" s="21"/>
      <c r="AA10" s="21"/>
    </row>
    <row r="11" spans="2:27" ht="24" customHeight="1">
      <c r="B11" s="20">
        <f t="shared" si="7"/>
        <v>7</v>
      </c>
      <c r="C11" s="10" t="s">
        <v>280</v>
      </c>
      <c r="D11" s="9" t="s">
        <v>229</v>
      </c>
      <c r="E11" s="22">
        <v>41943</v>
      </c>
      <c r="F11" s="12" t="s">
        <v>241</v>
      </c>
      <c r="G11" s="10" t="s">
        <v>108</v>
      </c>
      <c r="H11" s="10" t="s">
        <v>41</v>
      </c>
      <c r="I11" s="10" t="s">
        <v>34</v>
      </c>
      <c r="J11" s="23">
        <v>801.22</v>
      </c>
      <c r="K11" s="22">
        <v>41928</v>
      </c>
      <c r="L11" s="24" t="s">
        <v>101</v>
      </c>
      <c r="M11" s="24" t="s">
        <v>35</v>
      </c>
      <c r="N11" s="10" t="s">
        <v>57</v>
      </c>
      <c r="O11" s="13" t="s">
        <v>260</v>
      </c>
      <c r="P11" s="26">
        <v>949937</v>
      </c>
      <c r="Q11" s="27">
        <f t="shared" si="0"/>
        <v>81677483.134000003</v>
      </c>
      <c r="R11" s="28" t="s">
        <v>32</v>
      </c>
      <c r="S11" s="7">
        <v>85.981999999999999</v>
      </c>
      <c r="T11" s="29">
        <f t="shared" si="8"/>
        <v>42017</v>
      </c>
      <c r="U11" s="10" t="s">
        <v>108</v>
      </c>
      <c r="V11" s="30">
        <f t="shared" si="2"/>
        <v>98012.979760799994</v>
      </c>
      <c r="W11" s="21">
        <v>155.76</v>
      </c>
      <c r="X11" s="31">
        <f t="shared" si="3"/>
        <v>15266501.727542207</v>
      </c>
      <c r="Y11" s="32">
        <f t="shared" si="6"/>
        <v>15266501.727542207</v>
      </c>
      <c r="Z11" s="21"/>
      <c r="AA11" s="21"/>
    </row>
    <row r="12" spans="2:27" ht="24" customHeight="1">
      <c r="B12" s="20">
        <f t="shared" si="7"/>
        <v>8</v>
      </c>
      <c r="C12" s="10" t="s">
        <v>267</v>
      </c>
      <c r="D12" s="9" t="s">
        <v>230</v>
      </c>
      <c r="E12" s="22">
        <v>41943</v>
      </c>
      <c r="F12" s="12" t="s">
        <v>242</v>
      </c>
      <c r="G12" s="10" t="s">
        <v>108</v>
      </c>
      <c r="H12" s="10" t="s">
        <v>41</v>
      </c>
      <c r="I12" s="10" t="s">
        <v>88</v>
      </c>
      <c r="J12" s="23">
        <v>801.22</v>
      </c>
      <c r="K12" s="22">
        <v>41928</v>
      </c>
      <c r="L12" s="24" t="s">
        <v>255</v>
      </c>
      <c r="M12" s="34" t="s">
        <v>45</v>
      </c>
      <c r="N12" s="10" t="s">
        <v>31</v>
      </c>
      <c r="O12" s="13" t="s">
        <v>261</v>
      </c>
      <c r="P12" s="26">
        <v>949771</v>
      </c>
      <c r="Q12" s="27">
        <f t="shared" si="0"/>
        <v>80903393.321999997</v>
      </c>
      <c r="R12" s="28" t="s">
        <v>32</v>
      </c>
      <c r="S12" s="35">
        <v>85.182000000000002</v>
      </c>
      <c r="T12" s="29">
        <f t="shared" si="8"/>
        <v>42017</v>
      </c>
      <c r="U12" s="10" t="s">
        <v>108</v>
      </c>
      <c r="V12" s="30">
        <f t="shared" si="2"/>
        <v>97084.071986399984</v>
      </c>
      <c r="W12" s="21">
        <v>155.76</v>
      </c>
      <c r="X12" s="31">
        <f t="shared" si="3"/>
        <v>15121815.052601662</v>
      </c>
      <c r="Y12" s="32">
        <f t="shared" si="6"/>
        <v>15121815.052601662</v>
      </c>
      <c r="Z12" s="21"/>
      <c r="AA12" s="21"/>
    </row>
    <row r="13" spans="2:27" ht="24" customHeight="1">
      <c r="B13" s="20">
        <f t="shared" si="7"/>
        <v>9</v>
      </c>
      <c r="C13" s="10" t="s">
        <v>281</v>
      </c>
      <c r="D13" s="36" t="s">
        <v>285</v>
      </c>
      <c r="E13" s="29">
        <v>41954</v>
      </c>
      <c r="F13" s="12" t="s">
        <v>284</v>
      </c>
      <c r="G13" s="10" t="s">
        <v>94</v>
      </c>
      <c r="H13" s="10" t="s">
        <v>109</v>
      </c>
      <c r="I13" s="10" t="s">
        <v>96</v>
      </c>
      <c r="J13" s="23">
        <v>801.22</v>
      </c>
      <c r="K13" s="22">
        <v>41932</v>
      </c>
      <c r="L13" s="24" t="s">
        <v>77</v>
      </c>
      <c r="M13" s="34" t="s">
        <v>97</v>
      </c>
      <c r="N13" s="10" t="s">
        <v>66</v>
      </c>
      <c r="O13" s="13" t="s">
        <v>103</v>
      </c>
      <c r="P13" s="26">
        <v>701303</v>
      </c>
      <c r="Q13" s="27">
        <f t="shared" si="0"/>
        <v>56249409.720999993</v>
      </c>
      <c r="R13" s="28" t="s">
        <v>32</v>
      </c>
      <c r="S13" s="35">
        <v>80.206999999999994</v>
      </c>
      <c r="T13" s="29">
        <f t="shared" si="8"/>
        <v>42021</v>
      </c>
      <c r="U13" s="10" t="s">
        <v>100</v>
      </c>
      <c r="V13" s="30">
        <f t="shared" si="2"/>
        <v>67499.291665199984</v>
      </c>
      <c r="W13" s="21">
        <v>155.76</v>
      </c>
      <c r="X13" s="31">
        <f t="shared" si="3"/>
        <v>10513689.669771548</v>
      </c>
      <c r="Y13" s="32">
        <v>10516389.380000001</v>
      </c>
      <c r="Z13" s="29">
        <v>41950</v>
      </c>
      <c r="AA13" s="33">
        <v>3599</v>
      </c>
    </row>
    <row r="14" spans="2:27" ht="24" customHeight="1">
      <c r="B14" s="20">
        <f t="shared" si="7"/>
        <v>10</v>
      </c>
      <c r="C14" s="10" t="s">
        <v>282</v>
      </c>
      <c r="D14" s="9" t="s">
        <v>231</v>
      </c>
      <c r="E14" s="22">
        <v>41943</v>
      </c>
      <c r="F14" s="12" t="s">
        <v>243</v>
      </c>
      <c r="G14" s="10" t="s">
        <v>108</v>
      </c>
      <c r="H14" s="10" t="s">
        <v>41</v>
      </c>
      <c r="I14" s="10" t="s">
        <v>42</v>
      </c>
      <c r="J14" s="23">
        <v>801.22</v>
      </c>
      <c r="K14" s="22">
        <v>41933</v>
      </c>
      <c r="L14" s="24" t="s">
        <v>256</v>
      </c>
      <c r="M14" s="34" t="s">
        <v>43</v>
      </c>
      <c r="N14" s="10" t="s">
        <v>62</v>
      </c>
      <c r="O14" s="13" t="s">
        <v>80</v>
      </c>
      <c r="P14" s="26">
        <v>899632</v>
      </c>
      <c r="Q14" s="27">
        <f t="shared" si="0"/>
        <v>77756093.392000005</v>
      </c>
      <c r="R14" s="28" t="s">
        <v>32</v>
      </c>
      <c r="S14" s="35">
        <v>86.430999999999997</v>
      </c>
      <c r="T14" s="29">
        <f t="shared" si="8"/>
        <v>42022</v>
      </c>
      <c r="U14" s="10" t="s">
        <v>108</v>
      </c>
      <c r="V14" s="30">
        <f t="shared" si="2"/>
        <v>93307.312070400003</v>
      </c>
      <c r="W14" s="21">
        <v>155.76</v>
      </c>
      <c r="X14" s="31">
        <f t="shared" si="3"/>
        <v>14533546.928085504</v>
      </c>
      <c r="Y14" s="32">
        <f t="shared" si="6"/>
        <v>14533546.928085504</v>
      </c>
      <c r="Z14" s="21"/>
      <c r="AA14" s="21"/>
    </row>
    <row r="15" spans="2:27" ht="27.75" customHeight="1">
      <c r="B15" s="20">
        <f t="shared" si="7"/>
        <v>11</v>
      </c>
      <c r="C15" s="10" t="s">
        <v>268</v>
      </c>
      <c r="D15" s="36" t="s">
        <v>61</v>
      </c>
      <c r="E15" s="9"/>
      <c r="F15" s="12" t="s">
        <v>244</v>
      </c>
      <c r="G15" s="10" t="s">
        <v>100</v>
      </c>
      <c r="H15" s="10" t="s">
        <v>220</v>
      </c>
      <c r="I15" s="10" t="s">
        <v>88</v>
      </c>
      <c r="J15" s="23">
        <v>801.22</v>
      </c>
      <c r="K15" s="22">
        <v>41937</v>
      </c>
      <c r="L15" s="24" t="s">
        <v>257</v>
      </c>
      <c r="M15" s="24" t="s">
        <v>45</v>
      </c>
      <c r="N15" s="10" t="s">
        <v>50</v>
      </c>
      <c r="O15" s="13" t="s">
        <v>51</v>
      </c>
      <c r="P15" s="26">
        <v>703078</v>
      </c>
      <c r="Q15" s="27">
        <f t="shared" si="0"/>
        <v>58923561.024000004</v>
      </c>
      <c r="R15" s="28" t="s">
        <v>32</v>
      </c>
      <c r="S15" s="35">
        <v>83.808000000000007</v>
      </c>
      <c r="T15" s="29">
        <f t="shared" si="8"/>
        <v>42026</v>
      </c>
      <c r="U15" s="10" t="s">
        <v>100</v>
      </c>
      <c r="V15" s="30">
        <f t="shared" si="2"/>
        <v>70708.273228799997</v>
      </c>
      <c r="W15" s="21">
        <v>155.76</v>
      </c>
      <c r="X15" s="31">
        <f t="shared" si="3"/>
        <v>11013520.638117887</v>
      </c>
      <c r="Y15" s="37">
        <v>0</v>
      </c>
      <c r="Z15" s="21"/>
      <c r="AA15" s="21"/>
    </row>
    <row r="16" spans="2:27" ht="24" customHeight="1">
      <c r="B16" s="20">
        <f t="shared" si="7"/>
        <v>12</v>
      </c>
      <c r="C16" s="10" t="s">
        <v>269</v>
      </c>
      <c r="D16" s="13" t="s">
        <v>342</v>
      </c>
      <c r="E16" s="29">
        <v>42004</v>
      </c>
      <c r="F16" s="11" t="s">
        <v>245</v>
      </c>
      <c r="G16" s="10" t="s">
        <v>84</v>
      </c>
      <c r="H16" s="10" t="s">
        <v>49</v>
      </c>
      <c r="I16" s="10" t="s">
        <v>88</v>
      </c>
      <c r="J16" s="23">
        <v>801.22</v>
      </c>
      <c r="K16" s="22">
        <v>41941</v>
      </c>
      <c r="L16" s="24" t="s">
        <v>258</v>
      </c>
      <c r="M16" s="34" t="s">
        <v>45</v>
      </c>
      <c r="N16" s="10" t="s">
        <v>39</v>
      </c>
      <c r="O16" s="13" t="s">
        <v>262</v>
      </c>
      <c r="P16" s="26">
        <v>456926</v>
      </c>
      <c r="Q16" s="27">
        <f t="shared" si="0"/>
        <v>40384993.276600003</v>
      </c>
      <c r="R16" s="28" t="s">
        <v>32</v>
      </c>
      <c r="S16" s="7">
        <v>88.384100000000004</v>
      </c>
      <c r="T16" s="29">
        <f t="shared" si="8"/>
        <v>42030</v>
      </c>
      <c r="U16" s="13" t="s">
        <v>37</v>
      </c>
      <c r="V16" s="30">
        <f t="shared" si="2"/>
        <v>48461.991931919998</v>
      </c>
      <c r="W16" s="21">
        <v>155.76</v>
      </c>
      <c r="X16" s="31">
        <f t="shared" si="3"/>
        <v>7548439.8633158589</v>
      </c>
      <c r="Y16" s="32">
        <v>7499977.5700000003</v>
      </c>
      <c r="Z16" s="29">
        <v>41997</v>
      </c>
      <c r="AA16" s="33">
        <v>10435</v>
      </c>
    </row>
    <row r="17" spans="2:27" ht="24" customHeight="1">
      <c r="B17" s="20">
        <f t="shared" si="7"/>
        <v>13</v>
      </c>
      <c r="C17" s="10" t="s">
        <v>270</v>
      </c>
      <c r="D17" s="10" t="s">
        <v>343</v>
      </c>
      <c r="E17" s="29">
        <v>42004</v>
      </c>
      <c r="F17" s="12" t="s">
        <v>246</v>
      </c>
      <c r="G17" s="10" t="s">
        <v>84</v>
      </c>
      <c r="H17" s="10" t="s">
        <v>44</v>
      </c>
      <c r="I17" s="10" t="s">
        <v>88</v>
      </c>
      <c r="J17" s="23">
        <v>801.22</v>
      </c>
      <c r="K17" s="22">
        <v>41941</v>
      </c>
      <c r="L17" s="24" t="s">
        <v>258</v>
      </c>
      <c r="M17" s="34" t="s">
        <v>45</v>
      </c>
      <c r="N17" s="10" t="s">
        <v>39</v>
      </c>
      <c r="O17" s="13" t="s">
        <v>262</v>
      </c>
      <c r="P17" s="26">
        <v>80000</v>
      </c>
      <c r="Q17" s="27">
        <f t="shared" si="0"/>
        <v>7012640</v>
      </c>
      <c r="R17" s="28" t="s">
        <v>32</v>
      </c>
      <c r="S17" s="7">
        <v>87.658000000000001</v>
      </c>
      <c r="T17" s="29">
        <f t="shared" si="8"/>
        <v>42030</v>
      </c>
      <c r="U17" s="13" t="s">
        <v>37</v>
      </c>
      <c r="V17" s="30">
        <f t="shared" si="2"/>
        <v>8415.1679999999997</v>
      </c>
      <c r="W17" s="21">
        <v>155.76</v>
      </c>
      <c r="X17" s="31">
        <f t="shared" si="3"/>
        <v>1310746.5676799999</v>
      </c>
      <c r="Y17" s="32">
        <v>1302331.71</v>
      </c>
      <c r="Z17" s="29">
        <v>41997</v>
      </c>
      <c r="AA17" s="33">
        <v>10437</v>
      </c>
    </row>
    <row r="18" spans="2:27" ht="24" customHeight="1">
      <c r="B18" s="20">
        <f t="shared" si="7"/>
        <v>14</v>
      </c>
      <c r="C18" s="10" t="s">
        <v>271</v>
      </c>
      <c r="D18" s="10" t="s">
        <v>289</v>
      </c>
      <c r="E18" s="9">
        <v>41970</v>
      </c>
      <c r="F18" s="12" t="s">
        <v>247</v>
      </c>
      <c r="G18" s="10" t="s">
        <v>38</v>
      </c>
      <c r="H18" s="10" t="s">
        <v>74</v>
      </c>
      <c r="I18" s="10" t="s">
        <v>88</v>
      </c>
      <c r="J18" s="23">
        <v>801.22</v>
      </c>
      <c r="K18" s="22">
        <v>41941</v>
      </c>
      <c r="L18" s="24" t="s">
        <v>258</v>
      </c>
      <c r="M18" s="24" t="s">
        <v>45</v>
      </c>
      <c r="N18" s="10" t="s">
        <v>39</v>
      </c>
      <c r="O18" s="13" t="s">
        <v>262</v>
      </c>
      <c r="P18" s="26">
        <v>12000</v>
      </c>
      <c r="Q18" s="27">
        <f t="shared" si="0"/>
        <v>1042271.9999999999</v>
      </c>
      <c r="R18" s="28" t="s">
        <v>32</v>
      </c>
      <c r="S18" s="7">
        <v>86.855999999999995</v>
      </c>
      <c r="T18" s="29">
        <f t="shared" si="8"/>
        <v>42030</v>
      </c>
      <c r="U18" s="10" t="s">
        <v>38</v>
      </c>
      <c r="V18" s="30">
        <f t="shared" si="2"/>
        <v>1250.7263999999998</v>
      </c>
      <c r="W18" s="21">
        <v>155.76</v>
      </c>
      <c r="X18" s="31">
        <f t="shared" si="3"/>
        <v>194813.14406399996</v>
      </c>
      <c r="Y18" s="32">
        <v>194813.14</v>
      </c>
      <c r="Z18" s="29">
        <v>41969</v>
      </c>
      <c r="AA18" s="33">
        <v>4438</v>
      </c>
    </row>
    <row r="19" spans="2:27" ht="28.5" customHeight="1">
      <c r="B19" s="20">
        <f t="shared" si="7"/>
        <v>15</v>
      </c>
      <c r="C19" s="10" t="s">
        <v>272</v>
      </c>
      <c r="D19" s="36" t="s">
        <v>61</v>
      </c>
      <c r="E19" s="9"/>
      <c r="F19" s="12" t="s">
        <v>248</v>
      </c>
      <c r="G19" s="10" t="s">
        <v>87</v>
      </c>
      <c r="H19" s="10" t="s">
        <v>69</v>
      </c>
      <c r="I19" s="10" t="s">
        <v>88</v>
      </c>
      <c r="J19" s="23">
        <v>801.22</v>
      </c>
      <c r="K19" s="22">
        <v>41941</v>
      </c>
      <c r="L19" s="24" t="s">
        <v>258</v>
      </c>
      <c r="M19" s="24" t="s">
        <v>45</v>
      </c>
      <c r="N19" s="10" t="s">
        <v>39</v>
      </c>
      <c r="O19" s="13" t="s">
        <v>262</v>
      </c>
      <c r="P19" s="26">
        <v>58000</v>
      </c>
      <c r="Q19" s="27">
        <f t="shared" si="0"/>
        <v>4980576</v>
      </c>
      <c r="R19" s="28" t="s">
        <v>32</v>
      </c>
      <c r="S19" s="7">
        <v>85.872</v>
      </c>
      <c r="T19" s="29">
        <f t="shared" si="8"/>
        <v>42030</v>
      </c>
      <c r="U19" s="10" t="s">
        <v>90</v>
      </c>
      <c r="V19" s="30">
        <f t="shared" si="2"/>
        <v>5976.6911999999993</v>
      </c>
      <c r="W19" s="21">
        <v>155.76</v>
      </c>
      <c r="X19" s="31">
        <f t="shared" si="3"/>
        <v>930929.42131199979</v>
      </c>
      <c r="Y19" s="37">
        <v>0</v>
      </c>
      <c r="Z19" s="21"/>
      <c r="AA19" s="21"/>
    </row>
    <row r="20" spans="2:27" ht="24" customHeight="1">
      <c r="B20" s="20">
        <f t="shared" si="7"/>
        <v>16</v>
      </c>
      <c r="C20" s="10" t="s">
        <v>273</v>
      </c>
      <c r="D20" s="36" t="s">
        <v>61</v>
      </c>
      <c r="E20" s="9"/>
      <c r="F20" s="12" t="s">
        <v>249</v>
      </c>
      <c r="G20" s="10" t="s">
        <v>108</v>
      </c>
      <c r="H20" s="10" t="s">
        <v>41</v>
      </c>
      <c r="I20" s="10" t="s">
        <v>88</v>
      </c>
      <c r="J20" s="23">
        <v>801.22</v>
      </c>
      <c r="K20" s="22">
        <v>41943</v>
      </c>
      <c r="L20" s="24" t="s">
        <v>95</v>
      </c>
      <c r="M20" s="24" t="s">
        <v>45</v>
      </c>
      <c r="N20" s="10" t="s">
        <v>39</v>
      </c>
      <c r="O20" s="13" t="s">
        <v>72</v>
      </c>
      <c r="P20" s="26">
        <v>99960</v>
      </c>
      <c r="Q20" s="27">
        <f t="shared" si="0"/>
        <v>8547479.6400000006</v>
      </c>
      <c r="R20" s="28" t="s">
        <v>32</v>
      </c>
      <c r="S20" s="7">
        <v>85.509</v>
      </c>
      <c r="T20" s="29">
        <f t="shared" si="8"/>
        <v>42032</v>
      </c>
      <c r="U20" s="10" t="s">
        <v>108</v>
      </c>
      <c r="V20" s="30">
        <f t="shared" si="2"/>
        <v>10256.975568</v>
      </c>
      <c r="W20" s="21">
        <v>155.76</v>
      </c>
      <c r="X20" s="31">
        <f t="shared" si="3"/>
        <v>1597626.5144716799</v>
      </c>
      <c r="Y20" s="37">
        <v>0</v>
      </c>
      <c r="Z20" s="21"/>
      <c r="AA20" s="21"/>
    </row>
    <row r="21" spans="2:27" ht="24" customHeight="1">
      <c r="B21" s="20">
        <f t="shared" si="7"/>
        <v>17</v>
      </c>
      <c r="C21" s="10" t="s">
        <v>274</v>
      </c>
      <c r="D21" s="9" t="s">
        <v>232</v>
      </c>
      <c r="E21" s="22">
        <v>41943</v>
      </c>
      <c r="F21" s="12" t="s">
        <v>250</v>
      </c>
      <c r="G21" s="10" t="s">
        <v>108</v>
      </c>
      <c r="H21" s="10" t="s">
        <v>41</v>
      </c>
      <c r="I21" s="10" t="s">
        <v>88</v>
      </c>
      <c r="J21" s="23">
        <v>801.22</v>
      </c>
      <c r="K21" s="22">
        <v>41943</v>
      </c>
      <c r="L21" s="24" t="s">
        <v>95</v>
      </c>
      <c r="M21" s="24" t="s">
        <v>45</v>
      </c>
      <c r="N21" s="10" t="s">
        <v>39</v>
      </c>
      <c r="O21" s="13" t="s">
        <v>72</v>
      </c>
      <c r="P21" s="26">
        <v>30000</v>
      </c>
      <c r="Q21" s="27">
        <f t="shared" si="0"/>
        <v>2565270</v>
      </c>
      <c r="R21" s="28" t="s">
        <v>32</v>
      </c>
      <c r="S21" s="7">
        <v>85.509</v>
      </c>
      <c r="T21" s="29">
        <f t="shared" si="8"/>
        <v>42032</v>
      </c>
      <c r="U21" s="10" t="s">
        <v>108</v>
      </c>
      <c r="V21" s="30">
        <f t="shared" si="2"/>
        <v>3078.3239999999996</v>
      </c>
      <c r="W21" s="21">
        <v>155.76</v>
      </c>
      <c r="X21" s="31">
        <f t="shared" si="3"/>
        <v>479479.74623999989</v>
      </c>
      <c r="Y21" s="32">
        <f t="shared" ref="Y21:Y23" si="9">X21</f>
        <v>479479.74623999989</v>
      </c>
      <c r="Z21" s="21"/>
      <c r="AA21" s="21"/>
    </row>
    <row r="22" spans="2:27" ht="24" customHeight="1">
      <c r="B22" s="20">
        <f t="shared" si="7"/>
        <v>18</v>
      </c>
      <c r="C22" s="10" t="s">
        <v>275</v>
      </c>
      <c r="D22" s="9" t="s">
        <v>233</v>
      </c>
      <c r="E22" s="22">
        <v>41943</v>
      </c>
      <c r="F22" s="12" t="s">
        <v>251</v>
      </c>
      <c r="G22" s="10" t="s">
        <v>108</v>
      </c>
      <c r="H22" s="10" t="s">
        <v>41</v>
      </c>
      <c r="I22" s="10" t="s">
        <v>88</v>
      </c>
      <c r="J22" s="23">
        <v>801.22</v>
      </c>
      <c r="K22" s="22">
        <v>41943</v>
      </c>
      <c r="L22" s="24" t="s">
        <v>95</v>
      </c>
      <c r="M22" s="24" t="s">
        <v>45</v>
      </c>
      <c r="N22" s="10" t="s">
        <v>39</v>
      </c>
      <c r="O22" s="13" t="s">
        <v>72</v>
      </c>
      <c r="P22" s="26">
        <v>70000</v>
      </c>
      <c r="Q22" s="27">
        <f t="shared" si="0"/>
        <v>5985630</v>
      </c>
      <c r="R22" s="28" t="s">
        <v>32</v>
      </c>
      <c r="S22" s="7">
        <v>85.509</v>
      </c>
      <c r="T22" s="29">
        <f t="shared" si="8"/>
        <v>42032</v>
      </c>
      <c r="U22" s="10" t="s">
        <v>108</v>
      </c>
      <c r="V22" s="30">
        <f t="shared" ref="V22:V66" si="10">SUM(Q22*0.12%)</f>
        <v>7182.7559999999994</v>
      </c>
      <c r="W22" s="21">
        <v>155.76</v>
      </c>
      <c r="X22" s="31">
        <f t="shared" si="3"/>
        <v>1118786.0745599999</v>
      </c>
      <c r="Y22" s="32">
        <f t="shared" si="9"/>
        <v>1118786.0745599999</v>
      </c>
      <c r="Z22" s="21"/>
      <c r="AA22" s="21"/>
    </row>
    <row r="23" spans="2:27" ht="24" customHeight="1">
      <c r="B23" s="20">
        <f t="shared" si="7"/>
        <v>19</v>
      </c>
      <c r="C23" s="10" t="s">
        <v>276</v>
      </c>
      <c r="D23" s="9" t="s">
        <v>234</v>
      </c>
      <c r="E23" s="22">
        <v>41943</v>
      </c>
      <c r="F23" s="12" t="s">
        <v>252</v>
      </c>
      <c r="G23" s="10" t="s">
        <v>108</v>
      </c>
      <c r="H23" s="10" t="s">
        <v>41</v>
      </c>
      <c r="I23" s="10" t="s">
        <v>88</v>
      </c>
      <c r="J23" s="23">
        <v>801.22</v>
      </c>
      <c r="K23" s="22">
        <v>41943</v>
      </c>
      <c r="L23" s="24" t="s">
        <v>95</v>
      </c>
      <c r="M23" s="24" t="s">
        <v>45</v>
      </c>
      <c r="N23" s="10" t="s">
        <v>39</v>
      </c>
      <c r="O23" s="13" t="s">
        <v>72</v>
      </c>
      <c r="P23" s="26">
        <v>50000</v>
      </c>
      <c r="Q23" s="27">
        <f t="shared" si="0"/>
        <v>4275450</v>
      </c>
      <c r="R23" s="28" t="s">
        <v>32</v>
      </c>
      <c r="S23" s="7">
        <v>85.509</v>
      </c>
      <c r="T23" s="29">
        <f t="shared" si="8"/>
        <v>42032</v>
      </c>
      <c r="U23" s="13" t="s">
        <v>108</v>
      </c>
      <c r="V23" s="30">
        <f t="shared" si="10"/>
        <v>5130.54</v>
      </c>
      <c r="W23" s="21">
        <v>155.76</v>
      </c>
      <c r="X23" s="31">
        <f t="shared" si="3"/>
        <v>799132.91039999994</v>
      </c>
      <c r="Y23" s="32">
        <f t="shared" si="9"/>
        <v>799132.91039999994</v>
      </c>
      <c r="Z23" s="21"/>
      <c r="AA23" s="21"/>
    </row>
    <row r="24" spans="2:27" ht="24" customHeight="1">
      <c r="B24" s="20">
        <f t="shared" si="7"/>
        <v>20</v>
      </c>
      <c r="C24" s="10" t="s">
        <v>279</v>
      </c>
      <c r="D24" s="36" t="s">
        <v>61</v>
      </c>
      <c r="E24" s="9"/>
      <c r="F24" s="12" t="s">
        <v>253</v>
      </c>
      <c r="G24" s="10" t="s">
        <v>84</v>
      </c>
      <c r="H24" s="10" t="s">
        <v>28</v>
      </c>
      <c r="I24" s="10" t="s">
        <v>29</v>
      </c>
      <c r="J24" s="23">
        <v>801.22</v>
      </c>
      <c r="K24" s="22">
        <v>41943</v>
      </c>
      <c r="L24" s="24" t="s">
        <v>259</v>
      </c>
      <c r="M24" s="24" t="s">
        <v>30</v>
      </c>
      <c r="N24" s="10" t="s">
        <v>78</v>
      </c>
      <c r="O24" s="13" t="s">
        <v>139</v>
      </c>
      <c r="P24" s="26">
        <v>905784</v>
      </c>
      <c r="Q24" s="31">
        <f t="shared" si="0"/>
        <v>73855815.791999996</v>
      </c>
      <c r="R24" s="28" t="s">
        <v>32</v>
      </c>
      <c r="S24" s="35">
        <v>81.537999999999997</v>
      </c>
      <c r="T24" s="29">
        <f t="shared" si="8"/>
        <v>42032</v>
      </c>
      <c r="U24" s="13" t="s">
        <v>27</v>
      </c>
      <c r="V24" s="30">
        <f t="shared" si="10"/>
        <v>88626.978950399993</v>
      </c>
      <c r="W24" s="21">
        <v>155.76</v>
      </c>
      <c r="X24" s="31">
        <f t="shared" si="3"/>
        <v>13804538.241314301</v>
      </c>
      <c r="Y24" s="37">
        <v>0</v>
      </c>
      <c r="Z24" s="21"/>
      <c r="AA24" s="21"/>
    </row>
    <row r="25" spans="2:27" ht="21.75" customHeight="1">
      <c r="B25" s="20">
        <f t="shared" si="7"/>
        <v>21</v>
      </c>
      <c r="C25" s="10" t="s">
        <v>320</v>
      </c>
      <c r="D25" s="36" t="s">
        <v>61</v>
      </c>
      <c r="E25" s="9"/>
      <c r="F25" s="12" t="s">
        <v>300</v>
      </c>
      <c r="G25" s="10" t="s">
        <v>84</v>
      </c>
      <c r="H25" s="10" t="s">
        <v>44</v>
      </c>
      <c r="I25" s="10" t="s">
        <v>42</v>
      </c>
      <c r="J25" s="23">
        <v>801.22</v>
      </c>
      <c r="K25" s="22">
        <v>41945</v>
      </c>
      <c r="L25" s="24" t="s">
        <v>258</v>
      </c>
      <c r="M25" s="24" t="s">
        <v>43</v>
      </c>
      <c r="N25" s="10" t="s">
        <v>66</v>
      </c>
      <c r="O25" s="25" t="s">
        <v>140</v>
      </c>
      <c r="P25" s="26">
        <v>399989</v>
      </c>
      <c r="Q25" s="31">
        <f t="shared" si="0"/>
        <v>34112261.887000002</v>
      </c>
      <c r="R25" s="28" t="s">
        <v>32</v>
      </c>
      <c r="S25" s="7">
        <v>85.283000000000001</v>
      </c>
      <c r="T25" s="29">
        <f t="shared" si="8"/>
        <v>42034</v>
      </c>
      <c r="U25" s="13" t="s">
        <v>37</v>
      </c>
      <c r="V25" s="30">
        <f t="shared" si="10"/>
        <v>40934.714264399998</v>
      </c>
      <c r="W25" s="38">
        <v>165</v>
      </c>
      <c r="X25" s="31">
        <f t="shared" si="3"/>
        <v>6754227.8536259998</v>
      </c>
      <c r="Y25" s="37">
        <v>0</v>
      </c>
      <c r="Z25" s="21"/>
      <c r="AA25" s="21"/>
    </row>
    <row r="26" spans="2:27" ht="21.75" customHeight="1">
      <c r="B26" s="20">
        <f t="shared" si="7"/>
        <v>22</v>
      </c>
      <c r="C26" s="10" t="s">
        <v>321</v>
      </c>
      <c r="D26" s="9" t="s">
        <v>294</v>
      </c>
      <c r="E26" s="22">
        <v>41971</v>
      </c>
      <c r="F26" s="12" t="s">
        <v>301</v>
      </c>
      <c r="G26" s="10" t="s">
        <v>108</v>
      </c>
      <c r="H26" s="10" t="s">
        <v>41</v>
      </c>
      <c r="I26" s="10" t="s">
        <v>88</v>
      </c>
      <c r="J26" s="23">
        <v>801.22</v>
      </c>
      <c r="K26" s="22">
        <v>41945</v>
      </c>
      <c r="L26" s="24" t="s">
        <v>73</v>
      </c>
      <c r="M26" s="24" t="s">
        <v>45</v>
      </c>
      <c r="N26" s="10" t="s">
        <v>64</v>
      </c>
      <c r="O26" s="25" t="s">
        <v>91</v>
      </c>
      <c r="P26" s="26">
        <v>40000</v>
      </c>
      <c r="Q26" s="31">
        <f t="shared" si="0"/>
        <v>3369720</v>
      </c>
      <c r="R26" s="28" t="s">
        <v>32</v>
      </c>
      <c r="S26" s="7">
        <v>84.242999999999995</v>
      </c>
      <c r="T26" s="29">
        <f t="shared" si="8"/>
        <v>42034</v>
      </c>
      <c r="U26" s="10" t="s">
        <v>108</v>
      </c>
      <c r="V26" s="30">
        <f t="shared" si="10"/>
        <v>4043.6639999999998</v>
      </c>
      <c r="W26" s="38">
        <v>165</v>
      </c>
      <c r="X26" s="31">
        <f t="shared" si="3"/>
        <v>667204.55999999994</v>
      </c>
      <c r="Y26" s="32">
        <f t="shared" ref="Y26:Y27" si="11">X26</f>
        <v>667204.55999999994</v>
      </c>
      <c r="Z26" s="21"/>
      <c r="AA26" s="21"/>
    </row>
    <row r="27" spans="2:27" ht="21.75" customHeight="1">
      <c r="B27" s="20">
        <f t="shared" si="7"/>
        <v>23</v>
      </c>
      <c r="C27" s="10" t="s">
        <v>322</v>
      </c>
      <c r="D27" s="9" t="s">
        <v>295</v>
      </c>
      <c r="E27" s="22">
        <v>41971</v>
      </c>
      <c r="F27" s="12" t="s">
        <v>302</v>
      </c>
      <c r="G27" s="10" t="s">
        <v>108</v>
      </c>
      <c r="H27" s="10" t="s">
        <v>41</v>
      </c>
      <c r="I27" s="10" t="s">
        <v>88</v>
      </c>
      <c r="J27" s="23">
        <v>801.22</v>
      </c>
      <c r="K27" s="22">
        <v>41945</v>
      </c>
      <c r="L27" s="24" t="s">
        <v>73</v>
      </c>
      <c r="M27" s="24" t="s">
        <v>45</v>
      </c>
      <c r="N27" s="10" t="s">
        <v>64</v>
      </c>
      <c r="O27" s="25" t="s">
        <v>91</v>
      </c>
      <c r="P27" s="26">
        <v>259967</v>
      </c>
      <c r="Q27" s="31">
        <f t="shared" si="0"/>
        <v>21900399.980999999</v>
      </c>
      <c r="R27" s="28" t="s">
        <v>32</v>
      </c>
      <c r="S27" s="7">
        <v>84.242999999999995</v>
      </c>
      <c r="T27" s="29">
        <f t="shared" si="8"/>
        <v>42034</v>
      </c>
      <c r="U27" s="10" t="s">
        <v>108</v>
      </c>
      <c r="V27" s="30">
        <f t="shared" si="10"/>
        <v>26280.479977199997</v>
      </c>
      <c r="W27" s="38">
        <v>165</v>
      </c>
      <c r="X27" s="31">
        <f t="shared" si="3"/>
        <v>4336279.1962379999</v>
      </c>
      <c r="Y27" s="32">
        <f t="shared" si="11"/>
        <v>4336279.1962379999</v>
      </c>
      <c r="Z27" s="21"/>
      <c r="AA27" s="21"/>
    </row>
    <row r="28" spans="2:27" ht="21.75" customHeight="1">
      <c r="B28" s="20">
        <f t="shared" si="7"/>
        <v>24</v>
      </c>
      <c r="C28" s="10" t="s">
        <v>323</v>
      </c>
      <c r="D28" s="36" t="s">
        <v>61</v>
      </c>
      <c r="E28" s="9"/>
      <c r="F28" s="12" t="s">
        <v>303</v>
      </c>
      <c r="G28" s="10" t="s">
        <v>108</v>
      </c>
      <c r="H28" s="10" t="s">
        <v>41</v>
      </c>
      <c r="I28" s="10" t="s">
        <v>96</v>
      </c>
      <c r="J28" s="23">
        <v>801.22</v>
      </c>
      <c r="K28" s="22">
        <v>41951</v>
      </c>
      <c r="L28" s="24" t="s">
        <v>317</v>
      </c>
      <c r="M28" s="24" t="s">
        <v>97</v>
      </c>
      <c r="N28" s="10" t="s">
        <v>46</v>
      </c>
      <c r="O28" s="25" t="s">
        <v>47</v>
      </c>
      <c r="P28" s="26">
        <v>361426</v>
      </c>
      <c r="Q28" s="31">
        <f t="shared" si="0"/>
        <v>28427239.178000003</v>
      </c>
      <c r="R28" s="28" t="s">
        <v>32</v>
      </c>
      <c r="S28" s="7">
        <v>78.653000000000006</v>
      </c>
      <c r="T28" s="29">
        <f t="shared" si="8"/>
        <v>42040</v>
      </c>
      <c r="U28" s="10" t="s">
        <v>108</v>
      </c>
      <c r="V28" s="30">
        <f t="shared" si="10"/>
        <v>34112.6870136</v>
      </c>
      <c r="W28" s="38">
        <v>165</v>
      </c>
      <c r="X28" s="31">
        <f t="shared" si="3"/>
        <v>5628593.3572439998</v>
      </c>
      <c r="Y28" s="37">
        <v>0</v>
      </c>
      <c r="Z28" s="21"/>
      <c r="AA28" s="21"/>
    </row>
    <row r="29" spans="2:27" ht="29.25" customHeight="1">
      <c r="B29" s="20">
        <f t="shared" si="7"/>
        <v>25</v>
      </c>
      <c r="C29" s="10" t="s">
        <v>324</v>
      </c>
      <c r="D29" s="36" t="s">
        <v>61</v>
      </c>
      <c r="E29" s="9"/>
      <c r="F29" s="12" t="s">
        <v>344</v>
      </c>
      <c r="G29" s="10" t="s">
        <v>100</v>
      </c>
      <c r="H29" s="10" t="s">
        <v>33</v>
      </c>
      <c r="I29" s="10" t="s">
        <v>96</v>
      </c>
      <c r="J29" s="23">
        <v>801.22</v>
      </c>
      <c r="K29" s="22">
        <v>41951</v>
      </c>
      <c r="L29" s="24" t="s">
        <v>317</v>
      </c>
      <c r="M29" s="24" t="s">
        <v>97</v>
      </c>
      <c r="N29" s="10" t="s">
        <v>46</v>
      </c>
      <c r="O29" s="25" t="s">
        <v>47</v>
      </c>
      <c r="P29" s="26">
        <v>240737</v>
      </c>
      <c r="Q29" s="31">
        <f t="shared" si="0"/>
        <v>18934687.261</v>
      </c>
      <c r="R29" s="28" t="s">
        <v>32</v>
      </c>
      <c r="S29" s="7">
        <v>78.653000000000006</v>
      </c>
      <c r="T29" s="29">
        <f t="shared" si="8"/>
        <v>42040</v>
      </c>
      <c r="U29" s="13" t="s">
        <v>37</v>
      </c>
      <c r="V29" s="30">
        <f t="shared" si="10"/>
        <v>22721.624713199999</v>
      </c>
      <c r="W29" s="38">
        <v>165</v>
      </c>
      <c r="X29" s="31">
        <f t="shared" si="3"/>
        <v>3749068.0776779996</v>
      </c>
      <c r="Y29" s="37">
        <v>0</v>
      </c>
      <c r="Z29" s="21"/>
      <c r="AA29" s="21"/>
    </row>
    <row r="30" spans="2:27" ht="21.75" customHeight="1">
      <c r="B30" s="20">
        <f t="shared" si="7"/>
        <v>26</v>
      </c>
      <c r="C30" s="10" t="s">
        <v>325</v>
      </c>
      <c r="D30" s="9" t="s">
        <v>296</v>
      </c>
      <c r="E30" s="22">
        <v>41971</v>
      </c>
      <c r="F30" s="12" t="s">
        <v>304</v>
      </c>
      <c r="G30" s="10" t="s">
        <v>108</v>
      </c>
      <c r="H30" s="10" t="s">
        <v>41</v>
      </c>
      <c r="I30" s="10" t="s">
        <v>88</v>
      </c>
      <c r="J30" s="23">
        <v>801.22</v>
      </c>
      <c r="K30" s="22">
        <v>41952</v>
      </c>
      <c r="L30" s="24" t="s">
        <v>98</v>
      </c>
      <c r="M30" s="24" t="s">
        <v>45</v>
      </c>
      <c r="N30" s="10" t="s">
        <v>50</v>
      </c>
      <c r="O30" s="13" t="s">
        <v>51</v>
      </c>
      <c r="P30" s="26">
        <v>549998</v>
      </c>
      <c r="Q30" s="31">
        <f t="shared" si="0"/>
        <v>45372085.010000005</v>
      </c>
      <c r="R30" s="28" t="s">
        <v>32</v>
      </c>
      <c r="S30" s="7">
        <v>82.495000000000005</v>
      </c>
      <c r="T30" s="29">
        <f t="shared" si="8"/>
        <v>42041</v>
      </c>
      <c r="U30" s="10" t="s">
        <v>108</v>
      </c>
      <c r="V30" s="30">
        <f t="shared" si="10"/>
        <v>54446.502012000004</v>
      </c>
      <c r="W30" s="38">
        <v>165</v>
      </c>
      <c r="X30" s="31">
        <f t="shared" si="3"/>
        <v>8983672.8319800012</v>
      </c>
      <c r="Y30" s="32">
        <f t="shared" ref="Y30:Y31" si="12">X30</f>
        <v>8983672.8319800012</v>
      </c>
      <c r="Z30" s="21"/>
      <c r="AA30" s="21"/>
    </row>
    <row r="31" spans="2:27" ht="21.75" customHeight="1">
      <c r="B31" s="20">
        <f t="shared" si="7"/>
        <v>27</v>
      </c>
      <c r="C31" s="10" t="s">
        <v>326</v>
      </c>
      <c r="D31" s="9" t="s">
        <v>297</v>
      </c>
      <c r="E31" s="22">
        <v>41971</v>
      </c>
      <c r="F31" s="12" t="s">
        <v>305</v>
      </c>
      <c r="G31" s="10" t="s">
        <v>108</v>
      </c>
      <c r="H31" s="10" t="s">
        <v>41</v>
      </c>
      <c r="I31" s="10" t="s">
        <v>88</v>
      </c>
      <c r="J31" s="23">
        <v>801.22</v>
      </c>
      <c r="K31" s="22">
        <v>41952</v>
      </c>
      <c r="L31" s="24" t="s">
        <v>98</v>
      </c>
      <c r="M31" s="24" t="s">
        <v>45</v>
      </c>
      <c r="N31" s="10" t="s">
        <v>50</v>
      </c>
      <c r="O31" s="13" t="s">
        <v>51</v>
      </c>
      <c r="P31" s="26">
        <v>100000</v>
      </c>
      <c r="Q31" s="31">
        <f t="shared" si="0"/>
        <v>8249500</v>
      </c>
      <c r="R31" s="28" t="s">
        <v>32</v>
      </c>
      <c r="S31" s="7">
        <v>82.495000000000005</v>
      </c>
      <c r="T31" s="29">
        <f t="shared" si="8"/>
        <v>42041</v>
      </c>
      <c r="U31" s="10" t="s">
        <v>108</v>
      </c>
      <c r="V31" s="30">
        <f t="shared" si="10"/>
        <v>9899.4</v>
      </c>
      <c r="W31" s="38">
        <v>165</v>
      </c>
      <c r="X31" s="31">
        <f t="shared" si="3"/>
        <v>1633401</v>
      </c>
      <c r="Y31" s="32">
        <f t="shared" si="12"/>
        <v>1633401</v>
      </c>
      <c r="Z31" s="21"/>
      <c r="AA31" s="21"/>
    </row>
    <row r="32" spans="2:27" ht="27.75" customHeight="1">
      <c r="B32" s="20">
        <f t="shared" si="7"/>
        <v>28</v>
      </c>
      <c r="C32" s="10" t="s">
        <v>327</v>
      </c>
      <c r="D32" s="36" t="s">
        <v>61</v>
      </c>
      <c r="E32" s="9"/>
      <c r="F32" s="12" t="s">
        <v>345</v>
      </c>
      <c r="G32" s="10" t="s">
        <v>100</v>
      </c>
      <c r="H32" s="10" t="s">
        <v>33</v>
      </c>
      <c r="I32" s="10" t="s">
        <v>34</v>
      </c>
      <c r="J32" s="23">
        <v>801.22</v>
      </c>
      <c r="K32" s="22">
        <v>41953</v>
      </c>
      <c r="L32" s="24" t="s">
        <v>76</v>
      </c>
      <c r="M32" s="34" t="s">
        <v>35</v>
      </c>
      <c r="N32" s="10" t="s">
        <v>57</v>
      </c>
      <c r="O32" s="13" t="s">
        <v>58</v>
      </c>
      <c r="P32" s="26">
        <v>909781</v>
      </c>
      <c r="Q32" s="31">
        <f t="shared" si="0"/>
        <v>75521830.590999991</v>
      </c>
      <c r="R32" s="28" t="s">
        <v>32</v>
      </c>
      <c r="S32" s="35">
        <v>83.010999999999996</v>
      </c>
      <c r="T32" s="29">
        <f t="shared" si="8"/>
        <v>42042</v>
      </c>
      <c r="U32" s="10" t="s">
        <v>37</v>
      </c>
      <c r="V32" s="30">
        <f t="shared" si="10"/>
        <v>90626.196709199983</v>
      </c>
      <c r="W32" s="38">
        <v>165</v>
      </c>
      <c r="X32" s="31">
        <f t="shared" si="3"/>
        <v>14953322.457017997</v>
      </c>
      <c r="Y32" s="37">
        <v>0</v>
      </c>
      <c r="Z32" s="21"/>
      <c r="AA32" s="21"/>
    </row>
    <row r="33" spans="2:27" ht="27.75" customHeight="1">
      <c r="B33" s="20">
        <f t="shared" si="7"/>
        <v>29</v>
      </c>
      <c r="C33" s="10" t="s">
        <v>328</v>
      </c>
      <c r="D33" s="36" t="s">
        <v>61</v>
      </c>
      <c r="E33" s="9"/>
      <c r="F33" s="12" t="s">
        <v>306</v>
      </c>
      <c r="G33" s="10" t="s">
        <v>100</v>
      </c>
      <c r="H33" s="10" t="s">
        <v>56</v>
      </c>
      <c r="I33" s="10" t="s">
        <v>88</v>
      </c>
      <c r="J33" s="23">
        <v>801.22</v>
      </c>
      <c r="K33" s="22">
        <v>41956</v>
      </c>
      <c r="L33" s="24" t="s">
        <v>318</v>
      </c>
      <c r="M33" s="34" t="s">
        <v>45</v>
      </c>
      <c r="N33" s="10" t="s">
        <v>36</v>
      </c>
      <c r="O33" s="13" t="s">
        <v>112</v>
      </c>
      <c r="P33" s="26">
        <v>551867</v>
      </c>
      <c r="Q33" s="31">
        <f t="shared" si="0"/>
        <v>42680841.913000003</v>
      </c>
      <c r="R33" s="28" t="s">
        <v>32</v>
      </c>
      <c r="S33" s="35">
        <v>77.338999999999999</v>
      </c>
      <c r="T33" s="29">
        <f t="shared" si="8"/>
        <v>42045</v>
      </c>
      <c r="U33" s="10" t="s">
        <v>100</v>
      </c>
      <c r="V33" s="30">
        <f t="shared" si="10"/>
        <v>51217.010295599997</v>
      </c>
      <c r="W33" s="38">
        <v>165</v>
      </c>
      <c r="X33" s="31">
        <f t="shared" si="3"/>
        <v>8450806.6987739988</v>
      </c>
      <c r="Y33" s="37">
        <v>0</v>
      </c>
      <c r="Z33" s="21"/>
      <c r="AA33" s="21"/>
    </row>
    <row r="34" spans="2:27" ht="21.75" customHeight="1">
      <c r="B34" s="20">
        <f t="shared" si="7"/>
        <v>30</v>
      </c>
      <c r="C34" s="10" t="s">
        <v>329</v>
      </c>
      <c r="D34" s="36" t="s">
        <v>61</v>
      </c>
      <c r="E34" s="9"/>
      <c r="F34" s="11" t="s">
        <v>307</v>
      </c>
      <c r="G34" s="10" t="s">
        <v>108</v>
      </c>
      <c r="H34" s="10" t="s">
        <v>41</v>
      </c>
      <c r="I34" s="10" t="s">
        <v>88</v>
      </c>
      <c r="J34" s="23">
        <v>801.22</v>
      </c>
      <c r="K34" s="9">
        <v>41958</v>
      </c>
      <c r="L34" s="10" t="s">
        <v>73</v>
      </c>
      <c r="M34" s="10" t="s">
        <v>45</v>
      </c>
      <c r="N34" s="10" t="s">
        <v>64</v>
      </c>
      <c r="O34" s="57" t="s">
        <v>91</v>
      </c>
      <c r="P34" s="51">
        <v>599852</v>
      </c>
      <c r="Q34" s="31">
        <f t="shared" si="0"/>
        <v>46294777.804000005</v>
      </c>
      <c r="R34" s="28" t="s">
        <v>32</v>
      </c>
      <c r="S34" s="35">
        <v>77.177000000000007</v>
      </c>
      <c r="T34" s="29">
        <f t="shared" si="8"/>
        <v>42047</v>
      </c>
      <c r="U34" s="10" t="s">
        <v>108</v>
      </c>
      <c r="V34" s="30">
        <f t="shared" si="10"/>
        <v>55553.733364799999</v>
      </c>
      <c r="W34" s="38">
        <v>165</v>
      </c>
      <c r="X34" s="31">
        <f t="shared" si="3"/>
        <v>9166366.0051920004</v>
      </c>
      <c r="Y34" s="72">
        <v>0</v>
      </c>
      <c r="Z34" s="21"/>
      <c r="AA34" s="21"/>
    </row>
    <row r="35" spans="2:27" ht="21.75" customHeight="1">
      <c r="B35" s="63">
        <f>B34+1</f>
        <v>31</v>
      </c>
      <c r="C35" s="24" t="s">
        <v>330</v>
      </c>
      <c r="D35" s="22" t="s">
        <v>298</v>
      </c>
      <c r="E35" s="22">
        <v>41971</v>
      </c>
      <c r="F35" s="12" t="s">
        <v>308</v>
      </c>
      <c r="G35" s="24" t="s">
        <v>108</v>
      </c>
      <c r="H35" s="24" t="s">
        <v>41</v>
      </c>
      <c r="I35" s="24" t="s">
        <v>29</v>
      </c>
      <c r="J35" s="64">
        <v>801.22</v>
      </c>
      <c r="K35" s="22">
        <v>41966</v>
      </c>
      <c r="L35" s="24" t="s">
        <v>92</v>
      </c>
      <c r="M35" s="24" t="s">
        <v>30</v>
      </c>
      <c r="N35" s="24" t="s">
        <v>83</v>
      </c>
      <c r="O35" s="56" t="s">
        <v>106</v>
      </c>
      <c r="P35" s="26">
        <v>400000</v>
      </c>
      <c r="Q35" s="65">
        <f t="shared" si="0"/>
        <v>31454000.000000004</v>
      </c>
      <c r="R35" s="66" t="s">
        <v>32</v>
      </c>
      <c r="S35" s="55">
        <v>78.635000000000005</v>
      </c>
      <c r="T35" s="67">
        <f t="shared" si="8"/>
        <v>42055</v>
      </c>
      <c r="U35" s="24" t="s">
        <v>108</v>
      </c>
      <c r="V35" s="68">
        <f t="shared" si="10"/>
        <v>37744.800000000003</v>
      </c>
      <c r="W35" s="69">
        <v>165</v>
      </c>
      <c r="X35" s="65">
        <f t="shared" si="3"/>
        <v>6227892.0000000009</v>
      </c>
      <c r="Y35" s="70">
        <f t="shared" ref="Y35:Y36" si="13">X35</f>
        <v>6227892.0000000009</v>
      </c>
      <c r="Z35" s="71"/>
      <c r="AA35" s="71"/>
    </row>
    <row r="36" spans="2:27" ht="21.75" customHeight="1">
      <c r="B36" s="20">
        <f t="shared" si="7"/>
        <v>32</v>
      </c>
      <c r="C36" s="10" t="s">
        <v>331</v>
      </c>
      <c r="D36" s="9" t="s">
        <v>299</v>
      </c>
      <c r="E36" s="22">
        <v>41971</v>
      </c>
      <c r="F36" s="11" t="s">
        <v>309</v>
      </c>
      <c r="G36" s="10" t="s">
        <v>108</v>
      </c>
      <c r="H36" s="10" t="s">
        <v>41</v>
      </c>
      <c r="I36" s="10" t="s">
        <v>29</v>
      </c>
      <c r="J36" s="23">
        <v>801.22</v>
      </c>
      <c r="K36" s="22">
        <v>41966</v>
      </c>
      <c r="L36" s="24" t="s">
        <v>92</v>
      </c>
      <c r="M36" s="24" t="s">
        <v>30</v>
      </c>
      <c r="N36" s="10" t="s">
        <v>83</v>
      </c>
      <c r="O36" s="13" t="s">
        <v>106</v>
      </c>
      <c r="P36" s="26">
        <v>547848</v>
      </c>
      <c r="Q36" s="31">
        <f t="shared" si="0"/>
        <v>43080027.480000004</v>
      </c>
      <c r="R36" s="28" t="s">
        <v>32</v>
      </c>
      <c r="S36" s="35">
        <v>78.635000000000005</v>
      </c>
      <c r="T36" s="29">
        <f t="shared" si="8"/>
        <v>42055</v>
      </c>
      <c r="U36" s="10" t="s">
        <v>108</v>
      </c>
      <c r="V36" s="30">
        <f t="shared" si="10"/>
        <v>51696.032976000002</v>
      </c>
      <c r="W36" s="38">
        <v>165</v>
      </c>
      <c r="X36" s="31">
        <f t="shared" si="3"/>
        <v>8529845.4410399999</v>
      </c>
      <c r="Y36" s="32">
        <f t="shared" si="13"/>
        <v>8529845.4410399999</v>
      </c>
      <c r="Z36" s="21"/>
      <c r="AA36" s="21"/>
    </row>
    <row r="37" spans="2:27" ht="21.75" customHeight="1">
      <c r="B37" s="20">
        <f t="shared" si="7"/>
        <v>33</v>
      </c>
      <c r="C37" s="10" t="s">
        <v>332</v>
      </c>
      <c r="D37" s="36" t="s">
        <v>61</v>
      </c>
      <c r="E37" s="9"/>
      <c r="F37" s="12" t="s">
        <v>310</v>
      </c>
      <c r="G37" s="10" t="s">
        <v>108</v>
      </c>
      <c r="H37" s="10" t="s">
        <v>41</v>
      </c>
      <c r="I37" s="10" t="s">
        <v>88</v>
      </c>
      <c r="J37" s="23">
        <v>801.22</v>
      </c>
      <c r="K37" s="22">
        <v>41966</v>
      </c>
      <c r="L37" s="24" t="s">
        <v>319</v>
      </c>
      <c r="M37" s="34" t="s">
        <v>45</v>
      </c>
      <c r="N37" s="10" t="s">
        <v>64</v>
      </c>
      <c r="O37" s="13" t="s">
        <v>79</v>
      </c>
      <c r="P37" s="26">
        <v>349722</v>
      </c>
      <c r="Q37" s="31">
        <f t="shared" si="0"/>
        <v>27619294.949999999</v>
      </c>
      <c r="R37" s="28" t="s">
        <v>32</v>
      </c>
      <c r="S37" s="7">
        <v>78.974999999999994</v>
      </c>
      <c r="T37" s="29">
        <f t="shared" si="8"/>
        <v>42055</v>
      </c>
      <c r="U37" s="10" t="s">
        <v>108</v>
      </c>
      <c r="V37" s="30">
        <f t="shared" si="10"/>
        <v>33143.153939999997</v>
      </c>
      <c r="W37" s="38">
        <v>165</v>
      </c>
      <c r="X37" s="31">
        <f t="shared" si="3"/>
        <v>5468620.4000999993</v>
      </c>
      <c r="Y37" s="37">
        <v>0</v>
      </c>
      <c r="Z37" s="21"/>
      <c r="AA37" s="21"/>
    </row>
    <row r="38" spans="2:27" ht="21.75" customHeight="1">
      <c r="B38" s="20">
        <f t="shared" si="7"/>
        <v>34</v>
      </c>
      <c r="C38" s="10" t="s">
        <v>333</v>
      </c>
      <c r="D38" s="36" t="s">
        <v>61</v>
      </c>
      <c r="E38" s="9"/>
      <c r="F38" s="12" t="s">
        <v>311</v>
      </c>
      <c r="G38" s="10" t="s">
        <v>84</v>
      </c>
      <c r="H38" s="10" t="s">
        <v>49</v>
      </c>
      <c r="I38" s="10" t="s">
        <v>88</v>
      </c>
      <c r="J38" s="23">
        <v>801.22</v>
      </c>
      <c r="K38" s="22">
        <v>41971</v>
      </c>
      <c r="L38" s="24" t="s">
        <v>86</v>
      </c>
      <c r="M38" s="24" t="s">
        <v>45</v>
      </c>
      <c r="N38" s="10" t="s">
        <v>31</v>
      </c>
      <c r="O38" s="13" t="s">
        <v>81</v>
      </c>
      <c r="P38" s="26">
        <v>571837</v>
      </c>
      <c r="Q38" s="31">
        <f t="shared" si="0"/>
        <v>41530233.962000005</v>
      </c>
      <c r="R38" s="28" t="s">
        <v>32</v>
      </c>
      <c r="S38" s="7">
        <v>72.626000000000005</v>
      </c>
      <c r="T38" s="29">
        <f t="shared" si="8"/>
        <v>42060</v>
      </c>
      <c r="U38" s="10" t="s">
        <v>37</v>
      </c>
      <c r="V38" s="30">
        <f t="shared" si="10"/>
        <v>49836.280754400002</v>
      </c>
      <c r="W38" s="38">
        <v>165</v>
      </c>
      <c r="X38" s="31">
        <f t="shared" si="3"/>
        <v>8222986.3244760009</v>
      </c>
      <c r="Y38" s="37">
        <v>0</v>
      </c>
      <c r="Z38" s="21"/>
      <c r="AA38" s="21"/>
    </row>
    <row r="39" spans="2:27" ht="21.75" customHeight="1">
      <c r="B39" s="20">
        <f t="shared" si="7"/>
        <v>35</v>
      </c>
      <c r="C39" s="10" t="s">
        <v>334</v>
      </c>
      <c r="D39" s="36" t="s">
        <v>61</v>
      </c>
      <c r="E39" s="9"/>
      <c r="F39" s="12" t="s">
        <v>312</v>
      </c>
      <c r="G39" s="10" t="s">
        <v>84</v>
      </c>
      <c r="H39" s="10" t="s">
        <v>44</v>
      </c>
      <c r="I39" s="10" t="s">
        <v>88</v>
      </c>
      <c r="J39" s="23">
        <v>801.22</v>
      </c>
      <c r="K39" s="22">
        <v>41971</v>
      </c>
      <c r="L39" s="24" t="s">
        <v>86</v>
      </c>
      <c r="M39" s="24" t="s">
        <v>45</v>
      </c>
      <c r="N39" s="10" t="s">
        <v>31</v>
      </c>
      <c r="O39" s="13" t="s">
        <v>81</v>
      </c>
      <c r="P39" s="26">
        <v>100000</v>
      </c>
      <c r="Q39" s="31">
        <f t="shared" si="0"/>
        <v>7262600.0000000009</v>
      </c>
      <c r="R39" s="28" t="s">
        <v>32</v>
      </c>
      <c r="S39" s="7">
        <v>72.626000000000005</v>
      </c>
      <c r="T39" s="29">
        <f t="shared" si="8"/>
        <v>42060</v>
      </c>
      <c r="U39" s="10" t="s">
        <v>37</v>
      </c>
      <c r="V39" s="30">
        <f t="shared" si="10"/>
        <v>8715.1200000000008</v>
      </c>
      <c r="W39" s="38">
        <v>165</v>
      </c>
      <c r="X39" s="31">
        <f t="shared" si="3"/>
        <v>1437994.8</v>
      </c>
      <c r="Y39" s="37">
        <v>0</v>
      </c>
      <c r="Z39" s="21"/>
      <c r="AA39" s="21"/>
    </row>
    <row r="40" spans="2:27" ht="21.75" customHeight="1">
      <c r="B40" s="20">
        <f t="shared" si="7"/>
        <v>36</v>
      </c>
      <c r="C40" s="10" t="s">
        <v>335</v>
      </c>
      <c r="D40" s="36" t="s">
        <v>61</v>
      </c>
      <c r="E40" s="9"/>
      <c r="F40" s="12" t="s">
        <v>313</v>
      </c>
      <c r="G40" s="10" t="s">
        <v>38</v>
      </c>
      <c r="H40" s="10" t="s">
        <v>74</v>
      </c>
      <c r="I40" s="10" t="s">
        <v>88</v>
      </c>
      <c r="J40" s="23">
        <v>801.22</v>
      </c>
      <c r="K40" s="22">
        <v>41971</v>
      </c>
      <c r="L40" s="24" t="s">
        <v>86</v>
      </c>
      <c r="M40" s="24" t="s">
        <v>45</v>
      </c>
      <c r="N40" s="10" t="s">
        <v>31</v>
      </c>
      <c r="O40" s="13" t="s">
        <v>81</v>
      </c>
      <c r="P40" s="26">
        <v>65000</v>
      </c>
      <c r="Q40" s="31">
        <f t="shared" si="0"/>
        <v>5116085</v>
      </c>
      <c r="R40" s="28" t="s">
        <v>32</v>
      </c>
      <c r="S40" s="7">
        <v>78.709000000000003</v>
      </c>
      <c r="T40" s="29">
        <f t="shared" si="8"/>
        <v>42060</v>
      </c>
      <c r="U40" s="10" t="s">
        <v>38</v>
      </c>
      <c r="V40" s="30">
        <f t="shared" si="10"/>
        <v>6139.3019999999997</v>
      </c>
      <c r="W40" s="38">
        <v>165</v>
      </c>
      <c r="X40" s="31">
        <f t="shared" ref="X40:X66" si="14">SUM(V40*W40)</f>
        <v>1012984.83</v>
      </c>
      <c r="Y40" s="37">
        <v>0</v>
      </c>
      <c r="Z40" s="21"/>
      <c r="AA40" s="21"/>
    </row>
    <row r="41" spans="2:27" ht="21.75" customHeight="1">
      <c r="B41" s="20">
        <f t="shared" si="7"/>
        <v>37</v>
      </c>
      <c r="C41" s="10" t="s">
        <v>336</v>
      </c>
      <c r="D41" s="36" t="s">
        <v>61</v>
      </c>
      <c r="E41" s="9"/>
      <c r="F41" s="12" t="s">
        <v>314</v>
      </c>
      <c r="G41" s="10" t="s">
        <v>38</v>
      </c>
      <c r="H41" s="10" t="s">
        <v>74</v>
      </c>
      <c r="I41" s="10" t="s">
        <v>88</v>
      </c>
      <c r="J41" s="23">
        <v>801.22</v>
      </c>
      <c r="K41" s="22">
        <v>41971</v>
      </c>
      <c r="L41" s="24" t="s">
        <v>86</v>
      </c>
      <c r="M41" s="24" t="s">
        <v>45</v>
      </c>
      <c r="N41" s="10" t="s">
        <v>31</v>
      </c>
      <c r="O41" s="13" t="s">
        <v>81</v>
      </c>
      <c r="P41" s="26">
        <v>61000</v>
      </c>
      <c r="Q41" s="31">
        <f t="shared" si="0"/>
        <v>4801249</v>
      </c>
      <c r="R41" s="28" t="s">
        <v>32</v>
      </c>
      <c r="S41" s="7">
        <v>78.709000000000003</v>
      </c>
      <c r="T41" s="29">
        <f t="shared" si="8"/>
        <v>42060</v>
      </c>
      <c r="U41" s="10" t="s">
        <v>38</v>
      </c>
      <c r="V41" s="30">
        <f t="shared" si="10"/>
        <v>5761.4987999999994</v>
      </c>
      <c r="W41" s="38">
        <v>165</v>
      </c>
      <c r="X41" s="31">
        <f t="shared" si="14"/>
        <v>950647.30199999991</v>
      </c>
      <c r="Y41" s="37">
        <v>0</v>
      </c>
      <c r="Z41" s="21"/>
      <c r="AA41" s="21"/>
    </row>
    <row r="42" spans="2:27" ht="21.75" customHeight="1">
      <c r="B42" s="20">
        <f t="shared" si="7"/>
        <v>38</v>
      </c>
      <c r="C42" s="10" t="s">
        <v>337</v>
      </c>
      <c r="D42" s="36" t="s">
        <v>61</v>
      </c>
      <c r="E42" s="9"/>
      <c r="F42" s="12" t="s">
        <v>315</v>
      </c>
      <c r="G42" s="10" t="s">
        <v>107</v>
      </c>
      <c r="H42" s="10" t="s">
        <v>74</v>
      </c>
      <c r="I42" s="10" t="s">
        <v>88</v>
      </c>
      <c r="J42" s="23">
        <v>801.22</v>
      </c>
      <c r="K42" s="22">
        <v>41971</v>
      </c>
      <c r="L42" s="24" t="s">
        <v>86</v>
      </c>
      <c r="M42" s="24" t="s">
        <v>45</v>
      </c>
      <c r="N42" s="10" t="s">
        <v>31</v>
      </c>
      <c r="O42" s="13" t="s">
        <v>81</v>
      </c>
      <c r="P42" s="26">
        <v>45000</v>
      </c>
      <c r="Q42" s="31">
        <f t="shared" si="0"/>
        <v>3541905</v>
      </c>
      <c r="R42" s="28" t="s">
        <v>32</v>
      </c>
      <c r="S42" s="7">
        <v>78.709000000000003</v>
      </c>
      <c r="T42" s="29">
        <f t="shared" si="8"/>
        <v>42060</v>
      </c>
      <c r="U42" s="10" t="s">
        <v>38</v>
      </c>
      <c r="V42" s="30">
        <f t="shared" si="10"/>
        <v>4250.2860000000001</v>
      </c>
      <c r="W42" s="38">
        <v>165</v>
      </c>
      <c r="X42" s="31">
        <f t="shared" si="14"/>
        <v>701297.19000000006</v>
      </c>
      <c r="Y42" s="37">
        <v>0</v>
      </c>
      <c r="Z42" s="21"/>
      <c r="AA42" s="21"/>
    </row>
    <row r="43" spans="2:27" ht="27.75" customHeight="1">
      <c r="B43" s="20">
        <f t="shared" si="7"/>
        <v>39</v>
      </c>
      <c r="C43" s="10" t="s">
        <v>338</v>
      </c>
      <c r="D43" s="36" t="s">
        <v>61</v>
      </c>
      <c r="E43" s="9"/>
      <c r="F43" s="12" t="s">
        <v>316</v>
      </c>
      <c r="G43" s="10" t="s">
        <v>87</v>
      </c>
      <c r="H43" s="10" t="s">
        <v>69</v>
      </c>
      <c r="I43" s="10" t="s">
        <v>88</v>
      </c>
      <c r="J43" s="23">
        <v>801.22</v>
      </c>
      <c r="K43" s="22">
        <v>41971</v>
      </c>
      <c r="L43" s="24" t="s">
        <v>86</v>
      </c>
      <c r="M43" s="24" t="s">
        <v>45</v>
      </c>
      <c r="N43" s="10" t="s">
        <v>31</v>
      </c>
      <c r="O43" s="13" t="s">
        <v>81</v>
      </c>
      <c r="P43" s="26">
        <v>169000</v>
      </c>
      <c r="Q43" s="31">
        <f t="shared" si="0"/>
        <v>12273794</v>
      </c>
      <c r="R43" s="28" t="s">
        <v>32</v>
      </c>
      <c r="S43" s="7">
        <v>72.626000000000005</v>
      </c>
      <c r="T43" s="29">
        <f t="shared" si="8"/>
        <v>42060</v>
      </c>
      <c r="U43" s="13" t="s">
        <v>90</v>
      </c>
      <c r="V43" s="30">
        <f t="shared" si="10"/>
        <v>14728.552799999999</v>
      </c>
      <c r="W43" s="38">
        <v>165</v>
      </c>
      <c r="X43" s="31">
        <f t="shared" si="14"/>
        <v>2430211.2119999998</v>
      </c>
      <c r="Y43" s="37">
        <v>0</v>
      </c>
      <c r="Z43" s="21"/>
      <c r="AA43" s="21"/>
    </row>
    <row r="44" spans="2:27" ht="19.5" customHeight="1">
      <c r="B44" s="20">
        <f t="shared" si="7"/>
        <v>40</v>
      </c>
      <c r="C44" s="10" t="s">
        <v>389</v>
      </c>
      <c r="D44" s="36" t="s">
        <v>61</v>
      </c>
      <c r="E44" s="9"/>
      <c r="F44" s="12" t="s">
        <v>346</v>
      </c>
      <c r="G44" s="10" t="s">
        <v>94</v>
      </c>
      <c r="H44" s="10" t="s">
        <v>109</v>
      </c>
      <c r="I44" s="10" t="s">
        <v>96</v>
      </c>
      <c r="J44" s="23">
        <v>801.22</v>
      </c>
      <c r="K44" s="22">
        <v>41975</v>
      </c>
      <c r="L44" s="24" t="s">
        <v>367</v>
      </c>
      <c r="M44" s="24" t="s">
        <v>97</v>
      </c>
      <c r="N44" s="10" t="s">
        <v>46</v>
      </c>
      <c r="O44" s="25" t="s">
        <v>47</v>
      </c>
      <c r="P44" s="26">
        <v>607670</v>
      </c>
      <c r="Q44" s="31">
        <f t="shared" si="0"/>
        <v>40278190.609999999</v>
      </c>
      <c r="R44" s="28" t="s">
        <v>32</v>
      </c>
      <c r="S44" s="7">
        <v>66.283000000000001</v>
      </c>
      <c r="T44" s="29">
        <f t="shared" si="8"/>
        <v>42064</v>
      </c>
      <c r="U44" s="10" t="s">
        <v>100</v>
      </c>
      <c r="V44" s="30">
        <f t="shared" si="10"/>
        <v>48333.828731999994</v>
      </c>
      <c r="W44" s="38">
        <v>168</v>
      </c>
      <c r="X44" s="31">
        <f t="shared" si="14"/>
        <v>8120083.2269759988</v>
      </c>
      <c r="Y44" s="37">
        <v>0</v>
      </c>
      <c r="Z44" s="21"/>
      <c r="AA44" s="21"/>
    </row>
    <row r="45" spans="2:27" ht="28.5" customHeight="1">
      <c r="B45" s="20">
        <f t="shared" si="7"/>
        <v>41</v>
      </c>
      <c r="C45" s="10" t="s">
        <v>391</v>
      </c>
      <c r="D45" s="9" t="s">
        <v>378</v>
      </c>
      <c r="E45" s="22">
        <v>42004</v>
      </c>
      <c r="F45" s="12" t="s">
        <v>347</v>
      </c>
      <c r="G45" s="10" t="s">
        <v>108</v>
      </c>
      <c r="H45" s="10" t="s">
        <v>41</v>
      </c>
      <c r="I45" s="10" t="s">
        <v>34</v>
      </c>
      <c r="J45" s="23">
        <v>801.22</v>
      </c>
      <c r="K45" s="22">
        <v>41975</v>
      </c>
      <c r="L45" s="24" t="s">
        <v>368</v>
      </c>
      <c r="M45" s="24" t="s">
        <v>35</v>
      </c>
      <c r="N45" s="10" t="s">
        <v>62</v>
      </c>
      <c r="O45" s="25" t="s">
        <v>80</v>
      </c>
      <c r="P45" s="26">
        <v>961905</v>
      </c>
      <c r="Q45" s="31">
        <f t="shared" si="0"/>
        <v>68932998.015000001</v>
      </c>
      <c r="R45" s="28" t="s">
        <v>32</v>
      </c>
      <c r="S45" s="7">
        <v>71.662999999999997</v>
      </c>
      <c r="T45" s="29">
        <f t="shared" si="8"/>
        <v>42064</v>
      </c>
      <c r="U45" s="10" t="s">
        <v>108</v>
      </c>
      <c r="V45" s="30">
        <f t="shared" si="10"/>
        <v>82719.597618</v>
      </c>
      <c r="W45" s="38">
        <v>168</v>
      </c>
      <c r="X45" s="31">
        <f t="shared" si="14"/>
        <v>13896892.399824001</v>
      </c>
      <c r="Y45" s="32">
        <f t="shared" ref="Y45:Y47" si="15">X45</f>
        <v>13896892.399824001</v>
      </c>
      <c r="Z45" s="21"/>
      <c r="AA45" s="21"/>
    </row>
    <row r="46" spans="2:27" ht="19.5" customHeight="1">
      <c r="B46" s="20">
        <f t="shared" si="7"/>
        <v>42</v>
      </c>
      <c r="C46" s="10" t="s">
        <v>394</v>
      </c>
      <c r="D46" s="9" t="s">
        <v>379</v>
      </c>
      <c r="E46" s="22">
        <v>42004</v>
      </c>
      <c r="F46" s="12" t="s">
        <v>388</v>
      </c>
      <c r="G46" s="10" t="s">
        <v>108</v>
      </c>
      <c r="H46" s="10" t="s">
        <v>41</v>
      </c>
      <c r="I46" s="10" t="s">
        <v>42</v>
      </c>
      <c r="J46" s="23">
        <v>801.22</v>
      </c>
      <c r="K46" s="22">
        <v>41975</v>
      </c>
      <c r="L46" s="24" t="s">
        <v>369</v>
      </c>
      <c r="M46" s="24" t="s">
        <v>43</v>
      </c>
      <c r="N46" s="10" t="s">
        <v>59</v>
      </c>
      <c r="O46" s="25" t="s">
        <v>375</v>
      </c>
      <c r="P46" s="26">
        <v>899965</v>
      </c>
      <c r="Q46" s="31">
        <f t="shared" si="0"/>
        <v>64449193.545000002</v>
      </c>
      <c r="R46" s="28" t="s">
        <v>32</v>
      </c>
      <c r="S46" s="7">
        <v>71.613</v>
      </c>
      <c r="T46" s="29">
        <f t="shared" si="8"/>
        <v>42064</v>
      </c>
      <c r="U46" s="10" t="s">
        <v>108</v>
      </c>
      <c r="V46" s="30">
        <f t="shared" si="10"/>
        <v>77339.032253999991</v>
      </c>
      <c r="W46" s="38">
        <v>168</v>
      </c>
      <c r="X46" s="31">
        <f t="shared" si="14"/>
        <v>12992957.418671999</v>
      </c>
      <c r="Y46" s="32">
        <f t="shared" si="15"/>
        <v>12992957.418671999</v>
      </c>
      <c r="Z46" s="21"/>
      <c r="AA46" s="21"/>
    </row>
    <row r="47" spans="2:27" ht="19.5" customHeight="1">
      <c r="B47" s="20">
        <f t="shared" si="7"/>
        <v>43</v>
      </c>
      <c r="C47" s="10" t="s">
        <v>393</v>
      </c>
      <c r="D47" s="9" t="s">
        <v>380</v>
      </c>
      <c r="E47" s="22">
        <v>42004</v>
      </c>
      <c r="F47" s="12" t="s">
        <v>348</v>
      </c>
      <c r="G47" s="10" t="s">
        <v>108</v>
      </c>
      <c r="H47" s="10" t="s">
        <v>41</v>
      </c>
      <c r="I47" s="10" t="s">
        <v>88</v>
      </c>
      <c r="J47" s="23">
        <v>801.22</v>
      </c>
      <c r="K47" s="22">
        <v>41979</v>
      </c>
      <c r="L47" s="24" t="s">
        <v>370</v>
      </c>
      <c r="M47" s="24" t="s">
        <v>45</v>
      </c>
      <c r="N47" s="10" t="s">
        <v>31</v>
      </c>
      <c r="O47" s="25" t="s">
        <v>81</v>
      </c>
      <c r="P47" s="26">
        <v>950116</v>
      </c>
      <c r="Q47" s="31">
        <f t="shared" si="0"/>
        <v>64114777.795999996</v>
      </c>
      <c r="R47" s="28" t="s">
        <v>32</v>
      </c>
      <c r="S47" s="7">
        <v>67.480999999999995</v>
      </c>
      <c r="T47" s="29">
        <f t="shared" si="8"/>
        <v>42068</v>
      </c>
      <c r="U47" s="10" t="s">
        <v>108</v>
      </c>
      <c r="V47" s="30">
        <f t="shared" si="10"/>
        <v>76937.733355199991</v>
      </c>
      <c r="W47" s="38">
        <v>168</v>
      </c>
      <c r="X47" s="31">
        <f t="shared" si="14"/>
        <v>12925539.203673599</v>
      </c>
      <c r="Y47" s="32">
        <f t="shared" si="15"/>
        <v>12925539.203673599</v>
      </c>
      <c r="Z47" s="21"/>
      <c r="AA47" s="21"/>
    </row>
    <row r="48" spans="2:27" ht="27.75" customHeight="1">
      <c r="B48" s="20">
        <f t="shared" si="7"/>
        <v>44</v>
      </c>
      <c r="C48" s="10" t="s">
        <v>395</v>
      </c>
      <c r="D48" s="36" t="s">
        <v>61</v>
      </c>
      <c r="E48" s="9"/>
      <c r="F48" s="12" t="s">
        <v>349</v>
      </c>
      <c r="G48" s="10" t="s">
        <v>100</v>
      </c>
      <c r="H48" s="10" t="s">
        <v>56</v>
      </c>
      <c r="I48" s="10" t="s">
        <v>88</v>
      </c>
      <c r="J48" s="23">
        <v>801.22</v>
      </c>
      <c r="K48" s="22">
        <v>41984</v>
      </c>
      <c r="L48" s="24" t="s">
        <v>371</v>
      </c>
      <c r="M48" s="24" t="s">
        <v>45</v>
      </c>
      <c r="N48" s="10" t="s">
        <v>36</v>
      </c>
      <c r="O48" s="25" t="s">
        <v>112</v>
      </c>
      <c r="P48" s="26">
        <v>571541</v>
      </c>
      <c r="Q48" s="31">
        <f t="shared" si="0"/>
        <v>36312285.894000001</v>
      </c>
      <c r="R48" s="28" t="s">
        <v>32</v>
      </c>
      <c r="S48" s="7">
        <v>63.533999999999999</v>
      </c>
      <c r="T48" s="29">
        <f t="shared" si="8"/>
        <v>42073</v>
      </c>
      <c r="U48" s="13" t="s">
        <v>37</v>
      </c>
      <c r="V48" s="30">
        <f t="shared" si="10"/>
        <v>43574.743072799996</v>
      </c>
      <c r="W48" s="38">
        <v>168</v>
      </c>
      <c r="X48" s="31">
        <f t="shared" si="14"/>
        <v>7320556.8362303991</v>
      </c>
      <c r="Y48" s="37">
        <v>0</v>
      </c>
      <c r="Z48" s="21"/>
      <c r="AA48" s="21"/>
    </row>
    <row r="49" spans="2:27" ht="19.5" customHeight="1">
      <c r="B49" s="20">
        <f t="shared" si="7"/>
        <v>45</v>
      </c>
      <c r="C49" s="10" t="s">
        <v>396</v>
      </c>
      <c r="D49" s="36" t="s">
        <v>61</v>
      </c>
      <c r="E49" s="9"/>
      <c r="F49" s="12" t="s">
        <v>350</v>
      </c>
      <c r="G49" s="10" t="s">
        <v>84</v>
      </c>
      <c r="H49" s="10" t="s">
        <v>49</v>
      </c>
      <c r="I49" s="10" t="s">
        <v>88</v>
      </c>
      <c r="J49" s="23">
        <v>801.22</v>
      </c>
      <c r="K49" s="22">
        <v>41984</v>
      </c>
      <c r="L49" s="24" t="s">
        <v>371</v>
      </c>
      <c r="M49" s="24" t="s">
        <v>45</v>
      </c>
      <c r="N49" s="10" t="s">
        <v>36</v>
      </c>
      <c r="O49" s="13" t="s">
        <v>112</v>
      </c>
      <c r="P49" s="26">
        <v>10000</v>
      </c>
      <c r="Q49" s="31">
        <f t="shared" ref="Q49:Q66" si="16">SUM(P49*S49)</f>
        <v>635340</v>
      </c>
      <c r="R49" s="28" t="s">
        <v>32</v>
      </c>
      <c r="S49" s="7">
        <v>63.533999999999999</v>
      </c>
      <c r="T49" s="29">
        <f t="shared" si="8"/>
        <v>42073</v>
      </c>
      <c r="U49" s="13" t="s">
        <v>37</v>
      </c>
      <c r="V49" s="30">
        <f t="shared" si="10"/>
        <v>762.4079999999999</v>
      </c>
      <c r="W49" s="38">
        <v>168</v>
      </c>
      <c r="X49" s="31">
        <f t="shared" si="14"/>
        <v>128084.54399999998</v>
      </c>
      <c r="Y49" s="37">
        <v>0</v>
      </c>
      <c r="Z49" s="21"/>
      <c r="AA49" s="21"/>
    </row>
    <row r="50" spans="2:27" ht="27.75" customHeight="1">
      <c r="B50" s="20">
        <f t="shared" si="7"/>
        <v>46</v>
      </c>
      <c r="C50" s="10" t="s">
        <v>397</v>
      </c>
      <c r="D50" s="36" t="s">
        <v>61</v>
      </c>
      <c r="E50" s="9"/>
      <c r="F50" s="12" t="s">
        <v>351</v>
      </c>
      <c r="G50" s="10" t="s">
        <v>87</v>
      </c>
      <c r="H50" s="10" t="s">
        <v>69</v>
      </c>
      <c r="I50" s="10" t="s">
        <v>88</v>
      </c>
      <c r="J50" s="23">
        <v>801.22</v>
      </c>
      <c r="K50" s="22">
        <v>41984</v>
      </c>
      <c r="L50" s="24" t="s">
        <v>371</v>
      </c>
      <c r="M50" s="24" t="s">
        <v>45</v>
      </c>
      <c r="N50" s="10" t="s">
        <v>36</v>
      </c>
      <c r="O50" s="13" t="s">
        <v>112</v>
      </c>
      <c r="P50" s="26">
        <v>120000</v>
      </c>
      <c r="Q50" s="31">
        <f t="shared" si="16"/>
        <v>7624080</v>
      </c>
      <c r="R50" s="28" t="s">
        <v>32</v>
      </c>
      <c r="S50" s="7">
        <v>63.533999999999999</v>
      </c>
      <c r="T50" s="29">
        <f t="shared" si="8"/>
        <v>42073</v>
      </c>
      <c r="U50" s="10" t="s">
        <v>90</v>
      </c>
      <c r="V50" s="30">
        <f t="shared" si="10"/>
        <v>9148.8959999999988</v>
      </c>
      <c r="W50" s="38">
        <v>168</v>
      </c>
      <c r="X50" s="31">
        <f t="shared" si="14"/>
        <v>1537014.5279999997</v>
      </c>
      <c r="Y50" s="37">
        <v>0</v>
      </c>
      <c r="Z50" s="21"/>
      <c r="AA50" s="21"/>
    </row>
    <row r="51" spans="2:27" ht="19.5" customHeight="1">
      <c r="B51" s="20">
        <f t="shared" si="7"/>
        <v>47</v>
      </c>
      <c r="C51" s="10" t="s">
        <v>409</v>
      </c>
      <c r="D51" s="9" t="s">
        <v>381</v>
      </c>
      <c r="E51" s="22">
        <v>42004</v>
      </c>
      <c r="F51" s="12" t="s">
        <v>352</v>
      </c>
      <c r="G51" s="10" t="s">
        <v>108</v>
      </c>
      <c r="H51" s="10" t="s">
        <v>41</v>
      </c>
      <c r="I51" s="10" t="s">
        <v>29</v>
      </c>
      <c r="J51" s="23">
        <v>801.22</v>
      </c>
      <c r="K51" s="22">
        <v>41986</v>
      </c>
      <c r="L51" s="24" t="s">
        <v>110</v>
      </c>
      <c r="M51" s="34" t="s">
        <v>30</v>
      </c>
      <c r="N51" s="10" t="s">
        <v>62</v>
      </c>
      <c r="O51" s="13" t="s">
        <v>80</v>
      </c>
      <c r="P51" s="26">
        <v>400000</v>
      </c>
      <c r="Q51" s="31">
        <f t="shared" si="16"/>
        <v>24416000</v>
      </c>
      <c r="R51" s="28" t="s">
        <v>32</v>
      </c>
      <c r="S51" s="35">
        <v>61.04</v>
      </c>
      <c r="T51" s="29">
        <f t="shared" si="8"/>
        <v>42075</v>
      </c>
      <c r="U51" s="10" t="s">
        <v>108</v>
      </c>
      <c r="V51" s="30">
        <f t="shared" si="10"/>
        <v>29299.199999999997</v>
      </c>
      <c r="W51" s="38">
        <v>168</v>
      </c>
      <c r="X51" s="31">
        <f t="shared" si="14"/>
        <v>4922265.5999999996</v>
      </c>
      <c r="Y51" s="32">
        <f t="shared" ref="Y51:Y52" si="17">X51</f>
        <v>4922265.5999999996</v>
      </c>
      <c r="Z51" s="21"/>
      <c r="AA51" s="21"/>
    </row>
    <row r="52" spans="2:27" ht="19.5" customHeight="1">
      <c r="B52" s="20">
        <f t="shared" si="7"/>
        <v>48</v>
      </c>
      <c r="C52" s="10" t="s">
        <v>410</v>
      </c>
      <c r="D52" s="9" t="s">
        <v>382</v>
      </c>
      <c r="E52" s="22">
        <v>42004</v>
      </c>
      <c r="F52" s="12" t="s">
        <v>353</v>
      </c>
      <c r="G52" s="10" t="s">
        <v>108</v>
      </c>
      <c r="H52" s="10" t="s">
        <v>41</v>
      </c>
      <c r="I52" s="10" t="s">
        <v>29</v>
      </c>
      <c r="J52" s="23">
        <v>801.22</v>
      </c>
      <c r="K52" s="22">
        <v>41986</v>
      </c>
      <c r="L52" s="24" t="s">
        <v>110</v>
      </c>
      <c r="M52" s="34" t="s">
        <v>30</v>
      </c>
      <c r="N52" s="10" t="s">
        <v>62</v>
      </c>
      <c r="O52" s="13" t="s">
        <v>80</v>
      </c>
      <c r="P52" s="26">
        <v>548399</v>
      </c>
      <c r="Q52" s="31">
        <f t="shared" si="16"/>
        <v>33474274.960000001</v>
      </c>
      <c r="R52" s="28" t="s">
        <v>32</v>
      </c>
      <c r="S52" s="35">
        <v>61.04</v>
      </c>
      <c r="T52" s="29">
        <f t="shared" si="8"/>
        <v>42075</v>
      </c>
      <c r="U52" s="10" t="s">
        <v>108</v>
      </c>
      <c r="V52" s="30">
        <f t="shared" si="10"/>
        <v>40169.129951999996</v>
      </c>
      <c r="W52" s="38">
        <v>168</v>
      </c>
      <c r="X52" s="31">
        <f t="shared" si="14"/>
        <v>6748413.831935999</v>
      </c>
      <c r="Y52" s="32">
        <f t="shared" si="17"/>
        <v>6748413.831935999</v>
      </c>
      <c r="Z52" s="21"/>
      <c r="AA52" s="21"/>
    </row>
    <row r="53" spans="2:27" ht="19.5" customHeight="1">
      <c r="B53" s="20">
        <f t="shared" si="7"/>
        <v>49</v>
      </c>
      <c r="C53" s="10" t="s">
        <v>398</v>
      </c>
      <c r="D53" s="36" t="s">
        <v>61</v>
      </c>
      <c r="E53" s="9"/>
      <c r="F53" s="12" t="s">
        <v>354</v>
      </c>
      <c r="G53" s="10" t="s">
        <v>84</v>
      </c>
      <c r="H53" s="10" t="s">
        <v>28</v>
      </c>
      <c r="I53" s="10" t="s">
        <v>88</v>
      </c>
      <c r="J53" s="23">
        <v>801.22</v>
      </c>
      <c r="K53" s="22">
        <v>41992</v>
      </c>
      <c r="L53" s="24" t="s">
        <v>372</v>
      </c>
      <c r="M53" s="34" t="s">
        <v>45</v>
      </c>
      <c r="N53" s="10" t="s">
        <v>62</v>
      </c>
      <c r="O53" s="13" t="s">
        <v>80</v>
      </c>
      <c r="P53" s="26">
        <v>200000</v>
      </c>
      <c r="Q53" s="31">
        <f t="shared" si="16"/>
        <v>11891200</v>
      </c>
      <c r="R53" s="28" t="s">
        <v>32</v>
      </c>
      <c r="S53" s="7">
        <v>59.456000000000003</v>
      </c>
      <c r="T53" s="29">
        <f t="shared" si="8"/>
        <v>42081</v>
      </c>
      <c r="U53" s="10" t="s">
        <v>27</v>
      </c>
      <c r="V53" s="30">
        <f t="shared" si="10"/>
        <v>14269.439999999999</v>
      </c>
      <c r="W53" s="38">
        <v>168</v>
      </c>
      <c r="X53" s="31">
        <f t="shared" si="14"/>
        <v>2397265.9199999999</v>
      </c>
      <c r="Y53" s="37">
        <v>0</v>
      </c>
      <c r="Z53" s="21"/>
      <c r="AA53" s="21"/>
    </row>
    <row r="54" spans="2:27" ht="19.5" customHeight="1">
      <c r="B54" s="20">
        <f t="shared" si="7"/>
        <v>50</v>
      </c>
      <c r="C54" s="10" t="s">
        <v>399</v>
      </c>
      <c r="D54" s="36" t="s">
        <v>61</v>
      </c>
      <c r="E54" s="9"/>
      <c r="F54" s="11" t="s">
        <v>355</v>
      </c>
      <c r="G54" s="10" t="s">
        <v>84</v>
      </c>
      <c r="H54" s="10" t="s">
        <v>49</v>
      </c>
      <c r="I54" s="10" t="s">
        <v>88</v>
      </c>
      <c r="J54" s="23">
        <v>801.22</v>
      </c>
      <c r="K54" s="22">
        <v>41992</v>
      </c>
      <c r="L54" s="24" t="s">
        <v>372</v>
      </c>
      <c r="M54" s="24" t="s">
        <v>45</v>
      </c>
      <c r="N54" s="10" t="s">
        <v>62</v>
      </c>
      <c r="O54" s="13" t="s">
        <v>80</v>
      </c>
      <c r="P54" s="26">
        <v>572611</v>
      </c>
      <c r="Q54" s="31">
        <f t="shared" si="16"/>
        <v>34045159.616000004</v>
      </c>
      <c r="R54" s="28" t="s">
        <v>32</v>
      </c>
      <c r="S54" s="7">
        <v>59.456000000000003</v>
      </c>
      <c r="T54" s="29">
        <f t="shared" si="8"/>
        <v>42081</v>
      </c>
      <c r="U54" s="10" t="s">
        <v>37</v>
      </c>
      <c r="V54" s="30">
        <f t="shared" si="10"/>
        <v>40854.191539200001</v>
      </c>
      <c r="W54" s="38">
        <v>168</v>
      </c>
      <c r="X54" s="31">
        <f t="shared" si="14"/>
        <v>6863504.1785856001</v>
      </c>
      <c r="Y54" s="37">
        <v>0</v>
      </c>
      <c r="Z54" s="21"/>
      <c r="AA54" s="21"/>
    </row>
    <row r="55" spans="2:27" ht="19.5" customHeight="1">
      <c r="B55" s="20">
        <f t="shared" si="7"/>
        <v>51</v>
      </c>
      <c r="C55" s="10" t="s">
        <v>400</v>
      </c>
      <c r="D55" s="36" t="s">
        <v>61</v>
      </c>
      <c r="E55" s="9"/>
      <c r="F55" s="11" t="s">
        <v>356</v>
      </c>
      <c r="G55" s="10" t="s">
        <v>84</v>
      </c>
      <c r="H55" s="10" t="s">
        <v>49</v>
      </c>
      <c r="I55" s="10" t="s">
        <v>88</v>
      </c>
      <c r="J55" s="23">
        <v>801.22</v>
      </c>
      <c r="K55" s="22">
        <v>41992</v>
      </c>
      <c r="L55" s="24" t="s">
        <v>372</v>
      </c>
      <c r="M55" s="24" t="s">
        <v>45</v>
      </c>
      <c r="N55" s="10" t="s">
        <v>62</v>
      </c>
      <c r="O55" s="13" t="s">
        <v>80</v>
      </c>
      <c r="P55" s="26">
        <v>120000</v>
      </c>
      <c r="Q55" s="31">
        <f t="shared" si="16"/>
        <v>7134720</v>
      </c>
      <c r="R55" s="28" t="s">
        <v>32</v>
      </c>
      <c r="S55" s="7">
        <v>59.456000000000003</v>
      </c>
      <c r="T55" s="29">
        <f t="shared" si="8"/>
        <v>42081</v>
      </c>
      <c r="U55" s="10" t="s">
        <v>37</v>
      </c>
      <c r="V55" s="30">
        <f t="shared" si="10"/>
        <v>8561.6639999999989</v>
      </c>
      <c r="W55" s="38">
        <v>168</v>
      </c>
      <c r="X55" s="31">
        <f t="shared" si="14"/>
        <v>1438359.5519999999</v>
      </c>
      <c r="Y55" s="37">
        <v>0</v>
      </c>
      <c r="Z55" s="21"/>
      <c r="AA55" s="21"/>
    </row>
    <row r="56" spans="2:27" ht="19.5" customHeight="1">
      <c r="B56" s="20">
        <f t="shared" si="7"/>
        <v>52</v>
      </c>
      <c r="C56" s="10" t="s">
        <v>401</v>
      </c>
      <c r="D56" s="36" t="s">
        <v>61</v>
      </c>
      <c r="E56" s="9"/>
      <c r="F56" s="12" t="s">
        <v>357</v>
      </c>
      <c r="G56" s="10" t="s">
        <v>38</v>
      </c>
      <c r="H56" s="10" t="s">
        <v>74</v>
      </c>
      <c r="I56" s="10" t="s">
        <v>88</v>
      </c>
      <c r="J56" s="23">
        <v>801.22</v>
      </c>
      <c r="K56" s="22">
        <v>41992</v>
      </c>
      <c r="L56" s="24" t="s">
        <v>372</v>
      </c>
      <c r="M56" s="24" t="s">
        <v>45</v>
      </c>
      <c r="N56" s="10" t="s">
        <v>62</v>
      </c>
      <c r="O56" s="13" t="s">
        <v>80</v>
      </c>
      <c r="P56" s="26">
        <v>41000</v>
      </c>
      <c r="Q56" s="31">
        <f t="shared" si="16"/>
        <v>2437696</v>
      </c>
      <c r="R56" s="28" t="s">
        <v>32</v>
      </c>
      <c r="S56" s="7">
        <v>59.456000000000003</v>
      </c>
      <c r="T56" s="29">
        <f t="shared" si="8"/>
        <v>42081</v>
      </c>
      <c r="U56" s="10" t="s">
        <v>38</v>
      </c>
      <c r="V56" s="30">
        <f t="shared" si="10"/>
        <v>2925.2351999999996</v>
      </c>
      <c r="W56" s="38">
        <v>168</v>
      </c>
      <c r="X56" s="31">
        <f t="shared" si="14"/>
        <v>491439.51359999995</v>
      </c>
      <c r="Y56" s="37">
        <v>0</v>
      </c>
      <c r="Z56" s="21"/>
      <c r="AA56" s="21"/>
    </row>
    <row r="57" spans="2:27" ht="19.5" customHeight="1">
      <c r="B57" s="20">
        <f t="shared" si="7"/>
        <v>53</v>
      </c>
      <c r="C57" s="10" t="s">
        <v>402</v>
      </c>
      <c r="D57" s="36" t="s">
        <v>61</v>
      </c>
      <c r="E57" s="9"/>
      <c r="F57" s="12" t="s">
        <v>358</v>
      </c>
      <c r="G57" s="10" t="s">
        <v>38</v>
      </c>
      <c r="H57" s="10" t="s">
        <v>74</v>
      </c>
      <c r="I57" s="10" t="s">
        <v>88</v>
      </c>
      <c r="J57" s="23">
        <v>801.22</v>
      </c>
      <c r="K57" s="22">
        <v>41992</v>
      </c>
      <c r="L57" s="24" t="s">
        <v>372</v>
      </c>
      <c r="M57" s="24" t="s">
        <v>45</v>
      </c>
      <c r="N57" s="10" t="s">
        <v>62</v>
      </c>
      <c r="O57" s="13" t="s">
        <v>80</v>
      </c>
      <c r="P57" s="26">
        <v>30000</v>
      </c>
      <c r="Q57" s="31">
        <f t="shared" si="16"/>
        <v>1783680</v>
      </c>
      <c r="R57" s="28" t="s">
        <v>32</v>
      </c>
      <c r="S57" s="7">
        <v>59.456000000000003</v>
      </c>
      <c r="T57" s="29">
        <f t="shared" si="8"/>
        <v>42081</v>
      </c>
      <c r="U57" s="10" t="s">
        <v>38</v>
      </c>
      <c r="V57" s="30">
        <f t="shared" si="10"/>
        <v>2140.4159999999997</v>
      </c>
      <c r="W57" s="38">
        <v>168</v>
      </c>
      <c r="X57" s="31">
        <f t="shared" si="14"/>
        <v>359589.88799999998</v>
      </c>
      <c r="Y57" s="37">
        <v>0</v>
      </c>
      <c r="Z57" s="21"/>
      <c r="AA57" s="21"/>
    </row>
    <row r="58" spans="2:27" ht="19.5" customHeight="1">
      <c r="B58" s="20">
        <f t="shared" si="7"/>
        <v>54</v>
      </c>
      <c r="C58" s="10" t="s">
        <v>403</v>
      </c>
      <c r="D58" s="36" t="s">
        <v>61</v>
      </c>
      <c r="E58" s="9"/>
      <c r="F58" s="12" t="s">
        <v>359</v>
      </c>
      <c r="G58" s="10" t="s">
        <v>107</v>
      </c>
      <c r="H58" s="10" t="s">
        <v>74</v>
      </c>
      <c r="I58" s="10" t="s">
        <v>88</v>
      </c>
      <c r="J58" s="23">
        <v>801.22</v>
      </c>
      <c r="K58" s="22">
        <v>41992</v>
      </c>
      <c r="L58" s="24" t="s">
        <v>372</v>
      </c>
      <c r="M58" s="24" t="s">
        <v>45</v>
      </c>
      <c r="N58" s="10" t="s">
        <v>62</v>
      </c>
      <c r="O58" s="13" t="s">
        <v>80</v>
      </c>
      <c r="P58" s="26">
        <v>35000</v>
      </c>
      <c r="Q58" s="31">
        <f t="shared" si="16"/>
        <v>2080960</v>
      </c>
      <c r="R58" s="28" t="s">
        <v>32</v>
      </c>
      <c r="S58" s="7">
        <v>59.456000000000003</v>
      </c>
      <c r="T58" s="29">
        <f t="shared" si="8"/>
        <v>42081</v>
      </c>
      <c r="U58" s="10" t="s">
        <v>38</v>
      </c>
      <c r="V58" s="30">
        <f t="shared" si="10"/>
        <v>2497.1519999999996</v>
      </c>
      <c r="W58" s="38">
        <v>168</v>
      </c>
      <c r="X58" s="31">
        <f t="shared" si="14"/>
        <v>419521.53599999991</v>
      </c>
      <c r="Y58" s="37">
        <v>0</v>
      </c>
      <c r="Z58" s="21"/>
      <c r="AA58" s="21"/>
    </row>
    <row r="59" spans="2:27" ht="19.5" customHeight="1">
      <c r="B59" s="20">
        <f t="shared" si="7"/>
        <v>55</v>
      </c>
      <c r="C59" s="10" t="s">
        <v>390</v>
      </c>
      <c r="D59" s="36" t="s">
        <v>61</v>
      </c>
      <c r="E59" s="9"/>
      <c r="F59" s="12" t="s">
        <v>360</v>
      </c>
      <c r="G59" s="10" t="s">
        <v>94</v>
      </c>
      <c r="H59" s="10" t="s">
        <v>109</v>
      </c>
      <c r="I59" s="10" t="s">
        <v>96</v>
      </c>
      <c r="J59" s="23">
        <v>801.22</v>
      </c>
      <c r="K59" s="22">
        <v>41994</v>
      </c>
      <c r="L59" s="24" t="s">
        <v>373</v>
      </c>
      <c r="M59" s="24" t="s">
        <v>97</v>
      </c>
      <c r="N59" s="10" t="s">
        <v>54</v>
      </c>
      <c r="O59" s="13" t="s">
        <v>99</v>
      </c>
      <c r="P59" s="26">
        <v>600551</v>
      </c>
      <c r="Q59" s="31">
        <f t="shared" si="16"/>
        <v>32914999.208000001</v>
      </c>
      <c r="R59" s="28" t="s">
        <v>32</v>
      </c>
      <c r="S59" s="35">
        <v>54.808</v>
      </c>
      <c r="T59" s="29">
        <f t="shared" si="8"/>
        <v>42083</v>
      </c>
      <c r="U59" s="10" t="s">
        <v>100</v>
      </c>
      <c r="V59" s="30">
        <f t="shared" si="10"/>
        <v>39497.999049599995</v>
      </c>
      <c r="W59" s="38">
        <v>168</v>
      </c>
      <c r="X59" s="31">
        <f t="shared" si="14"/>
        <v>6635663.8403327996</v>
      </c>
      <c r="Y59" s="37">
        <v>0</v>
      </c>
      <c r="Z59" s="21"/>
      <c r="AA59" s="21"/>
    </row>
    <row r="60" spans="2:27" ht="28.5" customHeight="1">
      <c r="B60" s="20">
        <f t="shared" si="7"/>
        <v>56</v>
      </c>
      <c r="C60" s="10" t="s">
        <v>392</v>
      </c>
      <c r="D60" s="36" t="s">
        <v>61</v>
      </c>
      <c r="E60" s="9"/>
      <c r="F60" s="12" t="s">
        <v>361</v>
      </c>
      <c r="G60" s="10" t="s">
        <v>100</v>
      </c>
      <c r="H60" s="10" t="s">
        <v>33</v>
      </c>
      <c r="I60" s="10" t="s">
        <v>34</v>
      </c>
      <c r="J60" s="23">
        <v>801.22</v>
      </c>
      <c r="K60" s="22">
        <v>41994</v>
      </c>
      <c r="L60" s="24" t="s">
        <v>150</v>
      </c>
      <c r="M60" s="24" t="s">
        <v>35</v>
      </c>
      <c r="N60" s="10" t="s">
        <v>66</v>
      </c>
      <c r="O60" s="13" t="s">
        <v>376</v>
      </c>
      <c r="P60" s="26">
        <v>950061</v>
      </c>
      <c r="Q60" s="31">
        <f t="shared" si="16"/>
        <v>57182271.468000002</v>
      </c>
      <c r="R60" s="28" t="s">
        <v>32</v>
      </c>
      <c r="S60" s="35">
        <v>60.188000000000002</v>
      </c>
      <c r="T60" s="29">
        <f t="shared" si="8"/>
        <v>42083</v>
      </c>
      <c r="U60" s="10" t="s">
        <v>37</v>
      </c>
      <c r="V60" s="30">
        <f t="shared" si="10"/>
        <v>68618.725761599999</v>
      </c>
      <c r="W60" s="38">
        <v>168</v>
      </c>
      <c r="X60" s="31">
        <f t="shared" si="14"/>
        <v>11527945.927948799</v>
      </c>
      <c r="Y60" s="37">
        <v>0</v>
      </c>
      <c r="Z60" s="21"/>
      <c r="AA60" s="21"/>
    </row>
    <row r="61" spans="2:27" ht="19.5" customHeight="1">
      <c r="B61" s="20">
        <f t="shared" si="7"/>
        <v>57</v>
      </c>
      <c r="C61" s="10" t="s">
        <v>404</v>
      </c>
      <c r="D61" s="9" t="s">
        <v>383</v>
      </c>
      <c r="E61" s="22">
        <v>42004</v>
      </c>
      <c r="F61" s="12" t="s">
        <v>362</v>
      </c>
      <c r="G61" s="10" t="s">
        <v>108</v>
      </c>
      <c r="H61" s="10" t="s">
        <v>41</v>
      </c>
      <c r="I61" s="10" t="s">
        <v>88</v>
      </c>
      <c r="J61" s="23">
        <v>801.22</v>
      </c>
      <c r="K61" s="22">
        <v>42000</v>
      </c>
      <c r="L61" s="24" t="s">
        <v>70</v>
      </c>
      <c r="M61" s="24" t="s">
        <v>45</v>
      </c>
      <c r="N61" s="10" t="s">
        <v>39</v>
      </c>
      <c r="O61" s="13" t="s">
        <v>72</v>
      </c>
      <c r="P61" s="26">
        <v>91000</v>
      </c>
      <c r="Q61" s="31">
        <f t="shared" si="16"/>
        <v>5309031</v>
      </c>
      <c r="R61" s="28" t="s">
        <v>32</v>
      </c>
      <c r="S61" s="7">
        <v>58.341000000000001</v>
      </c>
      <c r="T61" s="29">
        <f t="shared" si="8"/>
        <v>42089</v>
      </c>
      <c r="U61" s="10" t="s">
        <v>108</v>
      </c>
      <c r="V61" s="30">
        <f t="shared" si="10"/>
        <v>6370.837199999999</v>
      </c>
      <c r="W61" s="38">
        <v>168</v>
      </c>
      <c r="X61" s="31">
        <f t="shared" si="14"/>
        <v>1070300.6495999999</v>
      </c>
      <c r="Y61" s="32">
        <f t="shared" ref="Y61:Y65" si="18">X61</f>
        <v>1070300.6495999999</v>
      </c>
      <c r="Z61" s="21"/>
      <c r="AA61" s="21"/>
    </row>
    <row r="62" spans="2:27" ht="19.5" customHeight="1">
      <c r="B62" s="20">
        <f t="shared" si="7"/>
        <v>58</v>
      </c>
      <c r="C62" s="10" t="s">
        <v>405</v>
      </c>
      <c r="D62" s="9" t="s">
        <v>384</v>
      </c>
      <c r="E62" s="22">
        <v>42004</v>
      </c>
      <c r="F62" s="12" t="s">
        <v>363</v>
      </c>
      <c r="G62" s="10" t="s">
        <v>108</v>
      </c>
      <c r="H62" s="10" t="s">
        <v>41</v>
      </c>
      <c r="I62" s="10" t="s">
        <v>88</v>
      </c>
      <c r="J62" s="23">
        <v>801.22</v>
      </c>
      <c r="K62" s="22">
        <v>42000</v>
      </c>
      <c r="L62" s="24" t="s">
        <v>70</v>
      </c>
      <c r="M62" s="24" t="s">
        <v>45</v>
      </c>
      <c r="N62" s="10" t="s">
        <v>39</v>
      </c>
      <c r="O62" s="13" t="s">
        <v>72</v>
      </c>
      <c r="P62" s="26">
        <v>96000</v>
      </c>
      <c r="Q62" s="31">
        <f t="shared" si="16"/>
        <v>5600736</v>
      </c>
      <c r="R62" s="28" t="s">
        <v>32</v>
      </c>
      <c r="S62" s="7">
        <v>58.341000000000001</v>
      </c>
      <c r="T62" s="29">
        <f t="shared" si="8"/>
        <v>42089</v>
      </c>
      <c r="U62" s="10" t="s">
        <v>108</v>
      </c>
      <c r="V62" s="30">
        <f t="shared" si="10"/>
        <v>6720.8831999999993</v>
      </c>
      <c r="W62" s="38">
        <v>168</v>
      </c>
      <c r="X62" s="31">
        <f t="shared" si="14"/>
        <v>1129108.3775999998</v>
      </c>
      <c r="Y62" s="32">
        <f t="shared" si="18"/>
        <v>1129108.3775999998</v>
      </c>
      <c r="Z62" s="21"/>
      <c r="AA62" s="21"/>
    </row>
    <row r="63" spans="2:27" ht="19.5" customHeight="1">
      <c r="B63" s="20">
        <f t="shared" si="7"/>
        <v>59</v>
      </c>
      <c r="C63" s="10" t="s">
        <v>406</v>
      </c>
      <c r="D63" s="9" t="s">
        <v>385</v>
      </c>
      <c r="E63" s="22">
        <v>42004</v>
      </c>
      <c r="F63" s="12" t="s">
        <v>364</v>
      </c>
      <c r="G63" s="10" t="s">
        <v>108</v>
      </c>
      <c r="H63" s="10" t="s">
        <v>41</v>
      </c>
      <c r="I63" s="10" t="s">
        <v>88</v>
      </c>
      <c r="J63" s="23">
        <v>801.22</v>
      </c>
      <c r="K63" s="22">
        <v>42000</v>
      </c>
      <c r="L63" s="24" t="s">
        <v>70</v>
      </c>
      <c r="M63" s="24" t="s">
        <v>45</v>
      </c>
      <c r="N63" s="10" t="s">
        <v>39</v>
      </c>
      <c r="O63" s="13" t="s">
        <v>72</v>
      </c>
      <c r="P63" s="26">
        <v>155000</v>
      </c>
      <c r="Q63" s="31">
        <f t="shared" si="16"/>
        <v>9042855</v>
      </c>
      <c r="R63" s="28" t="s">
        <v>32</v>
      </c>
      <c r="S63" s="7">
        <v>58.341000000000001</v>
      </c>
      <c r="T63" s="29">
        <f t="shared" si="8"/>
        <v>42089</v>
      </c>
      <c r="U63" s="10" t="s">
        <v>108</v>
      </c>
      <c r="V63" s="30">
        <f t="shared" si="10"/>
        <v>10851.425999999999</v>
      </c>
      <c r="W63" s="38">
        <v>168</v>
      </c>
      <c r="X63" s="31">
        <f t="shared" si="14"/>
        <v>1823039.568</v>
      </c>
      <c r="Y63" s="32">
        <f t="shared" si="18"/>
        <v>1823039.568</v>
      </c>
      <c r="Z63" s="21"/>
      <c r="AA63" s="21"/>
    </row>
    <row r="64" spans="2:27" ht="19.5" customHeight="1">
      <c r="B64" s="20">
        <f t="shared" si="7"/>
        <v>60</v>
      </c>
      <c r="C64" s="10" t="s">
        <v>407</v>
      </c>
      <c r="D64" s="9" t="s">
        <v>386</v>
      </c>
      <c r="E64" s="22">
        <v>42004</v>
      </c>
      <c r="F64" s="12" t="s">
        <v>365</v>
      </c>
      <c r="G64" s="10" t="s">
        <v>108</v>
      </c>
      <c r="H64" s="10" t="s">
        <v>41</v>
      </c>
      <c r="I64" s="10" t="s">
        <v>88</v>
      </c>
      <c r="J64" s="23">
        <v>801.22</v>
      </c>
      <c r="K64" s="22">
        <v>42000</v>
      </c>
      <c r="L64" s="24" t="s">
        <v>70</v>
      </c>
      <c r="M64" s="24" t="s">
        <v>45</v>
      </c>
      <c r="N64" s="10" t="s">
        <v>39</v>
      </c>
      <c r="O64" s="13" t="s">
        <v>72</v>
      </c>
      <c r="P64" s="26">
        <v>200000</v>
      </c>
      <c r="Q64" s="31">
        <f t="shared" si="16"/>
        <v>11668200</v>
      </c>
      <c r="R64" s="28" t="s">
        <v>32</v>
      </c>
      <c r="S64" s="7">
        <v>58.341000000000001</v>
      </c>
      <c r="T64" s="29">
        <f t="shared" si="8"/>
        <v>42089</v>
      </c>
      <c r="U64" s="10" t="s">
        <v>108</v>
      </c>
      <c r="V64" s="30">
        <f t="shared" si="10"/>
        <v>14001.839999999998</v>
      </c>
      <c r="W64" s="38">
        <v>168</v>
      </c>
      <c r="X64" s="31">
        <f t="shared" si="14"/>
        <v>2352309.1199999996</v>
      </c>
      <c r="Y64" s="32">
        <f t="shared" si="18"/>
        <v>2352309.1199999996</v>
      </c>
      <c r="Z64" s="21"/>
      <c r="AA64" s="21"/>
    </row>
    <row r="65" spans="2:27" ht="19.5" customHeight="1">
      <c r="B65" s="20">
        <f t="shared" si="7"/>
        <v>61</v>
      </c>
      <c r="C65" s="10" t="s">
        <v>408</v>
      </c>
      <c r="D65" s="9" t="s">
        <v>387</v>
      </c>
      <c r="E65" s="22">
        <v>42004</v>
      </c>
      <c r="F65" s="12" t="s">
        <v>366</v>
      </c>
      <c r="G65" s="10" t="s">
        <v>108</v>
      </c>
      <c r="H65" s="10" t="s">
        <v>41</v>
      </c>
      <c r="I65" s="10" t="s">
        <v>88</v>
      </c>
      <c r="J65" s="23">
        <v>801.22</v>
      </c>
      <c r="K65" s="22">
        <v>42000</v>
      </c>
      <c r="L65" s="24" t="s">
        <v>70</v>
      </c>
      <c r="M65" s="24" t="s">
        <v>45</v>
      </c>
      <c r="N65" s="10" t="s">
        <v>39</v>
      </c>
      <c r="O65" s="13" t="s">
        <v>72</v>
      </c>
      <c r="P65" s="26">
        <v>407700</v>
      </c>
      <c r="Q65" s="31">
        <f t="shared" si="16"/>
        <v>23785625.699999999</v>
      </c>
      <c r="R65" s="28" t="s">
        <v>32</v>
      </c>
      <c r="S65" s="7">
        <v>58.341000000000001</v>
      </c>
      <c r="T65" s="29">
        <f t="shared" si="8"/>
        <v>42089</v>
      </c>
      <c r="U65" s="10" t="s">
        <v>108</v>
      </c>
      <c r="V65" s="30">
        <f t="shared" si="10"/>
        <v>28542.750839999997</v>
      </c>
      <c r="W65" s="38">
        <v>168</v>
      </c>
      <c r="X65" s="31">
        <f t="shared" si="14"/>
        <v>4795182.1411199998</v>
      </c>
      <c r="Y65" s="32">
        <f t="shared" si="18"/>
        <v>4795182.1411199998</v>
      </c>
      <c r="Z65" s="21"/>
      <c r="AA65" s="21"/>
    </row>
    <row r="66" spans="2:27" ht="20.25" customHeight="1" thickBot="1">
      <c r="B66" s="20">
        <f t="shared" si="7"/>
        <v>62</v>
      </c>
      <c r="C66" s="10" t="s">
        <v>411</v>
      </c>
      <c r="D66" s="36" t="s">
        <v>61</v>
      </c>
      <c r="E66" s="9"/>
      <c r="F66" s="12" t="s">
        <v>412</v>
      </c>
      <c r="G66" s="10" t="s">
        <v>84</v>
      </c>
      <c r="H66" s="10" t="s">
        <v>28</v>
      </c>
      <c r="I66" s="10" t="s">
        <v>29</v>
      </c>
      <c r="J66" s="23">
        <v>801.22</v>
      </c>
      <c r="K66" s="22">
        <v>42004</v>
      </c>
      <c r="L66" s="24" t="s">
        <v>374</v>
      </c>
      <c r="M66" s="24" t="s">
        <v>30</v>
      </c>
      <c r="N66" s="10" t="s">
        <v>89</v>
      </c>
      <c r="O66" s="13" t="s">
        <v>377</v>
      </c>
      <c r="P66" s="26">
        <v>947834</v>
      </c>
      <c r="Q66" s="31">
        <f t="shared" si="16"/>
        <v>52086321.802000001</v>
      </c>
      <c r="R66" s="28" t="s">
        <v>32</v>
      </c>
      <c r="S66" s="7">
        <v>54.953000000000003</v>
      </c>
      <c r="T66" s="29">
        <f t="shared" si="8"/>
        <v>42093</v>
      </c>
      <c r="U66" s="13" t="s">
        <v>27</v>
      </c>
      <c r="V66" s="30">
        <f t="shared" si="10"/>
        <v>62503.586162399995</v>
      </c>
      <c r="W66" s="38">
        <v>168</v>
      </c>
      <c r="X66" s="31">
        <f t="shared" si="14"/>
        <v>10500602.4752832</v>
      </c>
      <c r="Y66" s="37">
        <v>0</v>
      </c>
      <c r="Z66" s="21"/>
      <c r="AA66" s="21"/>
    </row>
    <row r="67" spans="2:27" ht="15.75" thickBot="1">
      <c r="B67" s="39"/>
      <c r="C67" s="40"/>
      <c r="D67" s="40"/>
      <c r="E67" s="40"/>
      <c r="F67" s="40"/>
      <c r="G67" s="40"/>
      <c r="H67" s="40"/>
      <c r="I67" s="40"/>
      <c r="J67" s="39"/>
      <c r="K67" s="41"/>
      <c r="L67" s="40"/>
      <c r="M67" s="40"/>
      <c r="N67" s="42"/>
      <c r="O67" s="43"/>
      <c r="P67" s="44">
        <f>SUM(P5:P66)</f>
        <v>23804672</v>
      </c>
      <c r="Q67" s="45">
        <f>SUM(Q5:Q66)</f>
        <v>1776808061.9005997</v>
      </c>
      <c r="R67" s="46"/>
      <c r="S67" s="47"/>
      <c r="T67" s="48"/>
      <c r="U67" s="49"/>
      <c r="V67" s="45">
        <f>SUM(V5:V66)</f>
        <v>2132169.6742807203</v>
      </c>
      <c r="W67" s="46"/>
      <c r="X67" s="45">
        <f>SUM(X5:X66)</f>
        <v>346439534.43512404</v>
      </c>
      <c r="Y67" s="45">
        <f>SUM(Y5:Y66)</f>
        <v>192371989.70281178</v>
      </c>
      <c r="Z67" s="39"/>
      <c r="AA67" s="39"/>
    </row>
  </sheetData>
  <pageMargins left="0" right="0" top="0" bottom="0" header="0.31496062992125984" footer="0"/>
  <pageSetup paperSize="8" orientation="landscape" r:id="rId1"/>
  <ignoredErrors>
    <ignoredError sqref="F35:F43 F48:F66 F6:F3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75"/>
  <sheetViews>
    <sheetView workbookViewId="0">
      <selection activeCell="AB35" sqref="AB35:AB74"/>
    </sheetView>
  </sheetViews>
  <sheetFormatPr defaultRowHeight="15"/>
  <cols>
    <col min="1" max="1" width="3.42578125" customWidth="1"/>
    <col min="2" max="2" width="3" customWidth="1"/>
    <col min="3" max="3" width="5.42578125" customWidth="1"/>
    <col min="4" max="4" width="9" style="3" customWidth="1"/>
    <col min="5" max="5" width="6" style="3" customWidth="1"/>
    <col min="6" max="6" width="9.85546875" style="3" customWidth="1"/>
    <col min="7" max="7" width="8.28515625" style="3" customWidth="1"/>
    <col min="8" max="8" width="7.85546875" style="3" customWidth="1"/>
    <col min="9" max="9" width="9.42578125" style="3" customWidth="1"/>
    <col min="10" max="10" width="6" customWidth="1"/>
    <col min="11" max="11" width="6.42578125" style="1" customWidth="1"/>
    <col min="12" max="12" width="7.28515625" style="3" customWidth="1"/>
    <col min="13" max="13" width="5.7109375" style="1" customWidth="1"/>
    <col min="14" max="14" width="7.28515625" style="5" customWidth="1"/>
    <col min="15" max="15" width="10.85546875" style="6" customWidth="1"/>
    <col min="16" max="16" width="8" customWidth="1"/>
    <col min="17" max="17" width="13.42578125" customWidth="1"/>
    <col min="18" max="18" width="6.140625" customWidth="1"/>
    <col min="19" max="19" width="6.5703125" style="8" customWidth="1"/>
    <col min="20" max="20" width="7" style="1" customWidth="1"/>
    <col min="21" max="21" width="6.85546875" style="3" customWidth="1"/>
    <col min="22" max="22" width="10.85546875" customWidth="1"/>
    <col min="23" max="23" width="8.7109375" customWidth="1"/>
    <col min="24" max="25" width="12.85546875" customWidth="1"/>
    <col min="26" max="26" width="5.7109375" customWidth="1"/>
    <col min="27" max="27" width="5.85546875" customWidth="1"/>
    <col min="28" max="28" width="7.7109375" customWidth="1"/>
  </cols>
  <sheetData>
    <row r="2" spans="2:28" ht="15.75">
      <c r="L2" s="4" t="s">
        <v>0</v>
      </c>
    </row>
    <row r="3" spans="2:28" ht="23.25" customHeight="1" thickBot="1">
      <c r="L3" s="4" t="s">
        <v>414</v>
      </c>
      <c r="P3" s="2"/>
    </row>
    <row r="4" spans="2:28" s="3" customFormat="1" ht="42.6" customHeight="1" thickBot="1">
      <c r="B4" s="14" t="s">
        <v>1</v>
      </c>
      <c r="C4" s="15" t="s">
        <v>2</v>
      </c>
      <c r="D4" s="15" t="s">
        <v>3</v>
      </c>
      <c r="E4" s="15" t="s">
        <v>4</v>
      </c>
      <c r="F4" s="16" t="s">
        <v>5</v>
      </c>
      <c r="G4" s="17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8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9" t="s">
        <v>26</v>
      </c>
      <c r="AB4" s="19" t="s">
        <v>416</v>
      </c>
    </row>
    <row r="5" spans="2:28" ht="30.75" customHeight="1">
      <c r="B5" s="20">
        <v>1</v>
      </c>
      <c r="C5" s="10" t="s">
        <v>143</v>
      </c>
      <c r="D5" s="9" t="s">
        <v>181</v>
      </c>
      <c r="E5" s="9">
        <v>41925</v>
      </c>
      <c r="F5" s="50">
        <v>201400020014</v>
      </c>
      <c r="G5" s="10" t="s">
        <v>84</v>
      </c>
      <c r="H5" s="10" t="s">
        <v>28</v>
      </c>
      <c r="I5" s="10" t="s">
        <v>29</v>
      </c>
      <c r="J5" s="23">
        <v>801.22</v>
      </c>
      <c r="K5" s="22">
        <v>41869</v>
      </c>
      <c r="L5" s="24" t="s">
        <v>137</v>
      </c>
      <c r="M5" s="34" t="s">
        <v>30</v>
      </c>
      <c r="N5" s="10" t="s">
        <v>78</v>
      </c>
      <c r="O5" s="13" t="s">
        <v>139</v>
      </c>
      <c r="P5" s="51">
        <v>948196</v>
      </c>
      <c r="Q5" s="27">
        <f t="shared" ref="Q5:Q29" si="0">SUM(P5*S5)</f>
        <v>93651422.527999997</v>
      </c>
      <c r="R5" s="28" t="s">
        <v>32</v>
      </c>
      <c r="S5" s="35">
        <v>98.768000000000001</v>
      </c>
      <c r="T5" s="29">
        <f t="shared" ref="T5:T6" si="1">SUM(K5)+89</f>
        <v>41958</v>
      </c>
      <c r="U5" s="10" t="s">
        <v>27</v>
      </c>
      <c r="V5" s="52">
        <f t="shared" ref="V5" si="2">SUM(Q5*0.12%)</f>
        <v>112381.70703359999</v>
      </c>
      <c r="W5" s="21">
        <v>155.72999999999999</v>
      </c>
      <c r="X5" s="27">
        <f t="shared" ref="X5" si="3">SUM(V5*W5)</f>
        <v>17501203.236342523</v>
      </c>
      <c r="Y5" s="32">
        <v>17501203.699999999</v>
      </c>
      <c r="Z5" s="29">
        <v>41914</v>
      </c>
      <c r="AA5" s="33">
        <v>1696</v>
      </c>
      <c r="AB5" s="75"/>
    </row>
    <row r="6" spans="2:28" ht="21.75" customHeight="1">
      <c r="B6" s="20">
        <f t="shared" ref="B6:B48" si="4">B5+1</f>
        <v>2</v>
      </c>
      <c r="C6" s="10" t="s">
        <v>178</v>
      </c>
      <c r="D6" s="9" t="s">
        <v>182</v>
      </c>
      <c r="E6" s="29">
        <v>41927</v>
      </c>
      <c r="F6" s="12" t="s">
        <v>180</v>
      </c>
      <c r="G6" s="10" t="s">
        <v>94</v>
      </c>
      <c r="H6" s="10" t="s">
        <v>109</v>
      </c>
      <c r="I6" s="10" t="s">
        <v>96</v>
      </c>
      <c r="J6" s="23">
        <v>801.22</v>
      </c>
      <c r="K6" s="22">
        <v>41898</v>
      </c>
      <c r="L6" s="24" t="s">
        <v>120</v>
      </c>
      <c r="M6" s="24" t="s">
        <v>97</v>
      </c>
      <c r="N6" s="10" t="s">
        <v>66</v>
      </c>
      <c r="O6" s="13" t="s">
        <v>103</v>
      </c>
      <c r="P6" s="26">
        <v>702451</v>
      </c>
      <c r="Q6" s="31">
        <f t="shared" si="0"/>
        <v>63712305.700000003</v>
      </c>
      <c r="R6" s="28" t="s">
        <v>32</v>
      </c>
      <c r="S6" s="7">
        <v>90.7</v>
      </c>
      <c r="T6" s="29">
        <f t="shared" si="1"/>
        <v>41987</v>
      </c>
      <c r="U6" s="13" t="s">
        <v>100</v>
      </c>
      <c r="V6" s="52">
        <f t="shared" ref="V6" si="5">SUM(Q6*0.12%)</f>
        <v>76454.766839999997</v>
      </c>
      <c r="W6" s="21">
        <v>155.75</v>
      </c>
      <c r="X6" s="27">
        <f t="shared" ref="X6:X12" si="6">SUM(V6*W6)</f>
        <v>11907829.93533</v>
      </c>
      <c r="Y6" s="32">
        <v>11907830.43</v>
      </c>
      <c r="Z6" s="29">
        <v>41922</v>
      </c>
      <c r="AA6" s="33">
        <v>2996</v>
      </c>
      <c r="AB6" s="75"/>
    </row>
    <row r="7" spans="2:28" ht="21.75" customHeight="1">
      <c r="B7" s="20">
        <f t="shared" si="4"/>
        <v>3</v>
      </c>
      <c r="C7" s="10" t="s">
        <v>124</v>
      </c>
      <c r="D7" s="10" t="s">
        <v>184</v>
      </c>
      <c r="E7" s="9">
        <v>41928</v>
      </c>
      <c r="F7" s="12" t="s">
        <v>116</v>
      </c>
      <c r="G7" s="10" t="s">
        <v>84</v>
      </c>
      <c r="H7" s="24" t="s">
        <v>44</v>
      </c>
      <c r="I7" s="10" t="s">
        <v>88</v>
      </c>
      <c r="J7" s="23">
        <v>801.22</v>
      </c>
      <c r="K7" s="22">
        <v>41844</v>
      </c>
      <c r="L7" s="24" t="s">
        <v>122</v>
      </c>
      <c r="M7" s="24" t="s">
        <v>45</v>
      </c>
      <c r="N7" s="10" t="s">
        <v>39</v>
      </c>
      <c r="O7" s="13" t="s">
        <v>40</v>
      </c>
      <c r="P7" s="26">
        <v>80000</v>
      </c>
      <c r="Q7" s="31">
        <f t="shared" si="0"/>
        <v>8667200</v>
      </c>
      <c r="R7" s="28" t="s">
        <v>32</v>
      </c>
      <c r="S7" s="35">
        <v>108.34</v>
      </c>
      <c r="T7" s="29">
        <f t="shared" ref="T7:T12" si="7">SUM(K7)+89</f>
        <v>41933</v>
      </c>
      <c r="U7" s="13" t="s">
        <v>37</v>
      </c>
      <c r="V7" s="30">
        <f t="shared" ref="V7:V29" si="8">SUM(Q7*0.12%)</f>
        <v>10400.64</v>
      </c>
      <c r="W7" s="21">
        <v>155.72999999999999</v>
      </c>
      <c r="X7" s="31">
        <f t="shared" si="6"/>
        <v>1619691.6671999998</v>
      </c>
      <c r="Y7" s="53">
        <v>1609291.03</v>
      </c>
      <c r="Z7" s="29">
        <v>41922</v>
      </c>
      <c r="AA7" s="33">
        <v>10345</v>
      </c>
      <c r="AB7" s="75"/>
    </row>
    <row r="8" spans="2:28" ht="21.75" customHeight="1">
      <c r="B8" s="20">
        <f t="shared" si="4"/>
        <v>4</v>
      </c>
      <c r="C8" s="10" t="s">
        <v>125</v>
      </c>
      <c r="D8" s="13" t="s">
        <v>185</v>
      </c>
      <c r="E8" s="9">
        <v>41928</v>
      </c>
      <c r="F8" s="12" t="s">
        <v>117</v>
      </c>
      <c r="G8" s="10" t="s">
        <v>84</v>
      </c>
      <c r="H8" s="24" t="s">
        <v>49</v>
      </c>
      <c r="I8" s="10" t="s">
        <v>88</v>
      </c>
      <c r="J8" s="23">
        <v>801.22</v>
      </c>
      <c r="K8" s="22">
        <v>41844</v>
      </c>
      <c r="L8" s="24" t="s">
        <v>122</v>
      </c>
      <c r="M8" s="24" t="s">
        <v>45</v>
      </c>
      <c r="N8" s="10" t="s">
        <v>39</v>
      </c>
      <c r="O8" s="13" t="s">
        <v>40</v>
      </c>
      <c r="P8" s="26">
        <v>211324</v>
      </c>
      <c r="Q8" s="31">
        <f t="shared" si="0"/>
        <v>22613337.459600002</v>
      </c>
      <c r="R8" s="28" t="s">
        <v>32</v>
      </c>
      <c r="S8" s="35">
        <v>107.00790000000001</v>
      </c>
      <c r="T8" s="29">
        <f t="shared" si="7"/>
        <v>41933</v>
      </c>
      <c r="U8" s="13" t="s">
        <v>37</v>
      </c>
      <c r="V8" s="30">
        <f t="shared" si="8"/>
        <v>27136.004951520001</v>
      </c>
      <c r="W8" s="21">
        <v>155.72999999999999</v>
      </c>
      <c r="X8" s="31">
        <f t="shared" si="6"/>
        <v>4225890.0511002094</v>
      </c>
      <c r="Y8" s="53">
        <v>4198753.28</v>
      </c>
      <c r="Z8" s="29">
        <v>41922</v>
      </c>
      <c r="AA8" s="33">
        <v>10338</v>
      </c>
      <c r="AB8" s="75"/>
    </row>
    <row r="9" spans="2:28" ht="21.75" customHeight="1">
      <c r="B9" s="20">
        <f t="shared" si="4"/>
        <v>5</v>
      </c>
      <c r="C9" s="10" t="s">
        <v>126</v>
      </c>
      <c r="D9" s="13" t="s">
        <v>186</v>
      </c>
      <c r="E9" s="9">
        <v>41928</v>
      </c>
      <c r="F9" s="12" t="s">
        <v>118</v>
      </c>
      <c r="G9" s="10" t="s">
        <v>84</v>
      </c>
      <c r="H9" s="24" t="s">
        <v>49</v>
      </c>
      <c r="I9" s="10" t="s">
        <v>88</v>
      </c>
      <c r="J9" s="23">
        <v>801.22</v>
      </c>
      <c r="K9" s="22">
        <v>41844</v>
      </c>
      <c r="L9" s="24" t="s">
        <v>122</v>
      </c>
      <c r="M9" s="24" t="s">
        <v>45</v>
      </c>
      <c r="N9" s="10" t="s">
        <v>39</v>
      </c>
      <c r="O9" s="13" t="s">
        <v>40</v>
      </c>
      <c r="P9" s="26">
        <v>55500</v>
      </c>
      <c r="Q9" s="31">
        <f t="shared" si="0"/>
        <v>5938938.4500000002</v>
      </c>
      <c r="R9" s="28" t="s">
        <v>32</v>
      </c>
      <c r="S9" s="35">
        <v>107.00790000000001</v>
      </c>
      <c r="T9" s="29">
        <f t="shared" si="7"/>
        <v>41933</v>
      </c>
      <c r="U9" s="13" t="s">
        <v>37</v>
      </c>
      <c r="V9" s="30">
        <f t="shared" si="8"/>
        <v>7126.7261399999998</v>
      </c>
      <c r="W9" s="21">
        <v>155.72999999999999</v>
      </c>
      <c r="X9" s="31">
        <f t="shared" si="6"/>
        <v>1109845.0617821999</v>
      </c>
      <c r="Y9" s="53">
        <v>1102718.93</v>
      </c>
      <c r="Z9" s="29">
        <v>41922</v>
      </c>
      <c r="AA9" s="33">
        <v>10339</v>
      </c>
      <c r="AB9" s="75"/>
    </row>
    <row r="10" spans="2:28" ht="21.75" customHeight="1">
      <c r="B10" s="20">
        <f t="shared" si="4"/>
        <v>6</v>
      </c>
      <c r="C10" s="10" t="s">
        <v>129</v>
      </c>
      <c r="D10" s="13" t="s">
        <v>187</v>
      </c>
      <c r="E10" s="9">
        <v>41928</v>
      </c>
      <c r="F10" s="12" t="s">
        <v>131</v>
      </c>
      <c r="G10" s="10" t="s">
        <v>84</v>
      </c>
      <c r="H10" s="24" t="s">
        <v>49</v>
      </c>
      <c r="I10" s="10" t="s">
        <v>88</v>
      </c>
      <c r="J10" s="23">
        <v>801.22</v>
      </c>
      <c r="K10" s="22">
        <v>41850</v>
      </c>
      <c r="L10" s="24" t="s">
        <v>55</v>
      </c>
      <c r="M10" s="24" t="s">
        <v>45</v>
      </c>
      <c r="N10" s="10" t="s">
        <v>54</v>
      </c>
      <c r="O10" s="13" t="s">
        <v>123</v>
      </c>
      <c r="P10" s="54">
        <v>722963</v>
      </c>
      <c r="Q10" s="27">
        <f t="shared" si="0"/>
        <v>78372804.015000001</v>
      </c>
      <c r="R10" s="28" t="s">
        <v>32</v>
      </c>
      <c r="S10" s="55">
        <v>108.405</v>
      </c>
      <c r="T10" s="29">
        <f t="shared" si="7"/>
        <v>41939</v>
      </c>
      <c r="U10" s="10" t="s">
        <v>37</v>
      </c>
      <c r="V10" s="52">
        <f t="shared" si="8"/>
        <v>94047.364817999987</v>
      </c>
      <c r="W10" s="21">
        <v>155.72999999999999</v>
      </c>
      <c r="X10" s="27">
        <f t="shared" si="6"/>
        <v>14645996.123107137</v>
      </c>
      <c r="Y10" s="32">
        <v>14551948.01</v>
      </c>
      <c r="Z10" s="29">
        <v>41922</v>
      </c>
      <c r="AA10" s="33">
        <v>10340</v>
      </c>
      <c r="AB10" s="75"/>
    </row>
    <row r="11" spans="2:28" ht="20.25" customHeight="1">
      <c r="B11" s="20">
        <f t="shared" si="4"/>
        <v>7</v>
      </c>
      <c r="C11" s="10" t="s">
        <v>145</v>
      </c>
      <c r="D11" s="13" t="s">
        <v>188</v>
      </c>
      <c r="E11" s="9">
        <v>41928</v>
      </c>
      <c r="F11" s="50">
        <v>201400010343</v>
      </c>
      <c r="G11" s="10" t="s">
        <v>84</v>
      </c>
      <c r="H11" s="10" t="s">
        <v>49</v>
      </c>
      <c r="I11" s="10" t="s">
        <v>88</v>
      </c>
      <c r="J11" s="23">
        <v>801.22</v>
      </c>
      <c r="K11" s="22">
        <v>41873</v>
      </c>
      <c r="L11" s="24" t="s">
        <v>138</v>
      </c>
      <c r="M11" s="34" t="s">
        <v>45</v>
      </c>
      <c r="N11" s="10" t="s">
        <v>46</v>
      </c>
      <c r="O11" s="13" t="s">
        <v>63</v>
      </c>
      <c r="P11" s="51">
        <v>130000</v>
      </c>
      <c r="Q11" s="27">
        <f t="shared" si="0"/>
        <v>13293904</v>
      </c>
      <c r="R11" s="28" t="s">
        <v>32</v>
      </c>
      <c r="S11" s="35">
        <v>102.2608</v>
      </c>
      <c r="T11" s="29">
        <f t="shared" si="7"/>
        <v>41962</v>
      </c>
      <c r="U11" s="10" t="s">
        <v>37</v>
      </c>
      <c r="V11" s="52">
        <f t="shared" si="8"/>
        <v>15952.684799999999</v>
      </c>
      <c r="W11" s="21">
        <v>155.72999999999999</v>
      </c>
      <c r="X11" s="27">
        <f t="shared" si="6"/>
        <v>2484311.6039039996</v>
      </c>
      <c r="Y11" s="32">
        <v>2468358.1800000002</v>
      </c>
      <c r="Z11" s="29">
        <v>41922</v>
      </c>
      <c r="AA11" s="33">
        <v>10346</v>
      </c>
      <c r="AB11" s="75"/>
    </row>
    <row r="12" spans="2:28" ht="20.25" customHeight="1">
      <c r="B12" s="20">
        <f t="shared" si="4"/>
        <v>8</v>
      </c>
      <c r="C12" s="10" t="s">
        <v>146</v>
      </c>
      <c r="D12" s="13" t="s">
        <v>189</v>
      </c>
      <c r="E12" s="9">
        <v>41928</v>
      </c>
      <c r="F12" s="50">
        <v>201400010344</v>
      </c>
      <c r="G12" s="10" t="s">
        <v>84</v>
      </c>
      <c r="H12" s="10" t="s">
        <v>49</v>
      </c>
      <c r="I12" s="10" t="s">
        <v>88</v>
      </c>
      <c r="J12" s="23">
        <v>801.22</v>
      </c>
      <c r="K12" s="22">
        <v>41873</v>
      </c>
      <c r="L12" s="24" t="s">
        <v>138</v>
      </c>
      <c r="M12" s="34" t="s">
        <v>45</v>
      </c>
      <c r="N12" s="10" t="s">
        <v>46</v>
      </c>
      <c r="O12" s="13" t="s">
        <v>63</v>
      </c>
      <c r="P12" s="51">
        <v>461917</v>
      </c>
      <c r="Q12" s="27">
        <f t="shared" si="0"/>
        <v>47236001.953600004</v>
      </c>
      <c r="R12" s="28" t="s">
        <v>32</v>
      </c>
      <c r="S12" s="35">
        <v>102.2608</v>
      </c>
      <c r="T12" s="29">
        <f t="shared" si="7"/>
        <v>41962</v>
      </c>
      <c r="U12" s="10" t="s">
        <v>37</v>
      </c>
      <c r="V12" s="52">
        <f t="shared" si="8"/>
        <v>56683.202344320001</v>
      </c>
      <c r="W12" s="21">
        <v>155.72999999999999</v>
      </c>
      <c r="X12" s="27">
        <f t="shared" si="6"/>
        <v>8827275.1010809541</v>
      </c>
      <c r="Y12" s="32">
        <v>8770591.5399999991</v>
      </c>
      <c r="Z12" s="29">
        <v>41922</v>
      </c>
      <c r="AA12" s="33">
        <v>10347</v>
      </c>
      <c r="AB12" s="75"/>
    </row>
    <row r="13" spans="2:28" ht="30.75" customHeight="1">
      <c r="B13" s="20">
        <f t="shared" si="4"/>
        <v>9</v>
      </c>
      <c r="C13" s="10" t="s">
        <v>159</v>
      </c>
      <c r="D13" s="9" t="s">
        <v>201</v>
      </c>
      <c r="E13" s="9">
        <v>41932</v>
      </c>
      <c r="F13" s="11" t="s">
        <v>190</v>
      </c>
      <c r="G13" s="10" t="s">
        <v>108</v>
      </c>
      <c r="H13" s="10" t="s">
        <v>41</v>
      </c>
      <c r="I13" s="10" t="s">
        <v>88</v>
      </c>
      <c r="J13" s="23">
        <v>801.22</v>
      </c>
      <c r="K13" s="22">
        <v>41886</v>
      </c>
      <c r="L13" s="24" t="s">
        <v>150</v>
      </c>
      <c r="M13" s="24" t="s">
        <v>45</v>
      </c>
      <c r="N13" s="10" t="s">
        <v>57</v>
      </c>
      <c r="O13" s="13" t="s">
        <v>58</v>
      </c>
      <c r="P13" s="26">
        <v>949507</v>
      </c>
      <c r="Q13" s="31">
        <f t="shared" si="0"/>
        <v>95159591.539999992</v>
      </c>
      <c r="R13" s="28" t="s">
        <v>32</v>
      </c>
      <c r="S13" s="7">
        <v>100.22</v>
      </c>
      <c r="T13" s="29">
        <f t="shared" ref="T13:T27" si="9">SUM(K13)+89</f>
        <v>41975</v>
      </c>
      <c r="U13" s="10" t="s">
        <v>108</v>
      </c>
      <c r="V13" s="52">
        <f t="shared" si="8"/>
        <v>114191.50984799999</v>
      </c>
      <c r="W13" s="21">
        <v>155.75</v>
      </c>
      <c r="X13" s="27">
        <f t="shared" ref="X13:X29" si="10">SUM(V13*W13)</f>
        <v>17785327.658825997</v>
      </c>
      <c r="Y13" s="32">
        <f t="shared" ref="Y13:Y17" si="11">X13</f>
        <v>17785327.658825997</v>
      </c>
      <c r="Z13" s="21"/>
      <c r="AA13" s="21"/>
      <c r="AB13" s="75"/>
    </row>
    <row r="14" spans="2:28" ht="21.75" customHeight="1">
      <c r="B14" s="20">
        <f t="shared" si="4"/>
        <v>10</v>
      </c>
      <c r="C14" s="10" t="s">
        <v>160</v>
      </c>
      <c r="D14" s="9" t="s">
        <v>202</v>
      </c>
      <c r="E14" s="9">
        <v>41932</v>
      </c>
      <c r="F14" s="11" t="s">
        <v>191</v>
      </c>
      <c r="G14" s="10" t="s">
        <v>108</v>
      </c>
      <c r="H14" s="10" t="s">
        <v>41</v>
      </c>
      <c r="I14" s="10" t="s">
        <v>88</v>
      </c>
      <c r="J14" s="23">
        <v>801.22</v>
      </c>
      <c r="K14" s="22">
        <v>41897</v>
      </c>
      <c r="L14" s="24" t="s">
        <v>152</v>
      </c>
      <c r="M14" s="24" t="s">
        <v>45</v>
      </c>
      <c r="N14" s="10" t="s">
        <v>46</v>
      </c>
      <c r="O14" s="13" t="s">
        <v>63</v>
      </c>
      <c r="P14" s="26">
        <v>949448</v>
      </c>
      <c r="Q14" s="31">
        <f t="shared" si="0"/>
        <v>91879981.856000006</v>
      </c>
      <c r="R14" s="28" t="s">
        <v>32</v>
      </c>
      <c r="S14" s="7">
        <v>96.772000000000006</v>
      </c>
      <c r="T14" s="29">
        <f t="shared" si="9"/>
        <v>41986</v>
      </c>
      <c r="U14" s="10" t="s">
        <v>108</v>
      </c>
      <c r="V14" s="52">
        <f t="shared" si="8"/>
        <v>110255.9782272</v>
      </c>
      <c r="W14" s="21">
        <v>155.75</v>
      </c>
      <c r="X14" s="27">
        <f t="shared" si="10"/>
        <v>17172368.608886398</v>
      </c>
      <c r="Y14" s="32">
        <f t="shared" si="11"/>
        <v>17172368.608886398</v>
      </c>
      <c r="Z14" s="21"/>
      <c r="AA14" s="21"/>
      <c r="AB14" s="75"/>
    </row>
    <row r="15" spans="2:28" ht="21.75" customHeight="1">
      <c r="B15" s="20">
        <f t="shared" si="4"/>
        <v>11</v>
      </c>
      <c r="C15" s="10" t="s">
        <v>157</v>
      </c>
      <c r="D15" s="9" t="s">
        <v>203</v>
      </c>
      <c r="E15" s="9">
        <v>41932</v>
      </c>
      <c r="F15" s="11" t="s">
        <v>192</v>
      </c>
      <c r="G15" s="10" t="s">
        <v>108</v>
      </c>
      <c r="H15" s="10" t="s">
        <v>41</v>
      </c>
      <c r="I15" s="10" t="s">
        <v>29</v>
      </c>
      <c r="J15" s="23">
        <v>801.22</v>
      </c>
      <c r="K15" s="22">
        <v>41901</v>
      </c>
      <c r="L15" s="24" t="s">
        <v>60</v>
      </c>
      <c r="M15" s="24" t="s">
        <v>30</v>
      </c>
      <c r="N15" s="10" t="s">
        <v>154</v>
      </c>
      <c r="O15" s="13" t="s">
        <v>111</v>
      </c>
      <c r="P15" s="26">
        <v>548710</v>
      </c>
      <c r="Q15" s="31">
        <f t="shared" si="0"/>
        <v>52040205.109999999</v>
      </c>
      <c r="R15" s="28" t="s">
        <v>32</v>
      </c>
      <c r="S15" s="7">
        <v>94.840999999999994</v>
      </c>
      <c r="T15" s="29">
        <f t="shared" si="9"/>
        <v>41990</v>
      </c>
      <c r="U15" s="10" t="s">
        <v>108</v>
      </c>
      <c r="V15" s="52">
        <f t="shared" si="8"/>
        <v>62448.246131999993</v>
      </c>
      <c r="W15" s="21">
        <v>155.75</v>
      </c>
      <c r="X15" s="27">
        <f t="shared" si="10"/>
        <v>9726314.3350589983</v>
      </c>
      <c r="Y15" s="32">
        <f t="shared" si="11"/>
        <v>9726314.3350589983</v>
      </c>
      <c r="Z15" s="21"/>
      <c r="AA15" s="21"/>
      <c r="AB15" s="75"/>
    </row>
    <row r="16" spans="2:28" ht="21.75" customHeight="1">
      <c r="B16" s="20">
        <f t="shared" si="4"/>
        <v>12</v>
      </c>
      <c r="C16" s="10" t="s">
        <v>158</v>
      </c>
      <c r="D16" s="9" t="s">
        <v>204</v>
      </c>
      <c r="E16" s="9">
        <v>41932</v>
      </c>
      <c r="F16" s="11" t="s">
        <v>193</v>
      </c>
      <c r="G16" s="10" t="s">
        <v>108</v>
      </c>
      <c r="H16" s="10" t="s">
        <v>41</v>
      </c>
      <c r="I16" s="10" t="s">
        <v>29</v>
      </c>
      <c r="J16" s="23">
        <v>801.22</v>
      </c>
      <c r="K16" s="22">
        <v>41901</v>
      </c>
      <c r="L16" s="24" t="s">
        <v>60</v>
      </c>
      <c r="M16" s="24" t="s">
        <v>30</v>
      </c>
      <c r="N16" s="10" t="s">
        <v>154</v>
      </c>
      <c r="O16" s="13" t="s">
        <v>111</v>
      </c>
      <c r="P16" s="26">
        <v>400000</v>
      </c>
      <c r="Q16" s="31">
        <f t="shared" si="0"/>
        <v>37936400</v>
      </c>
      <c r="R16" s="28" t="s">
        <v>32</v>
      </c>
      <c r="S16" s="7">
        <v>94.840999999999994</v>
      </c>
      <c r="T16" s="29">
        <f t="shared" si="9"/>
        <v>41990</v>
      </c>
      <c r="U16" s="10" t="s">
        <v>108</v>
      </c>
      <c r="V16" s="52">
        <f t="shared" si="8"/>
        <v>45523.679999999993</v>
      </c>
      <c r="W16" s="21">
        <v>155.75</v>
      </c>
      <c r="X16" s="27">
        <f t="shared" si="10"/>
        <v>7090313.1599999992</v>
      </c>
      <c r="Y16" s="32">
        <f t="shared" si="11"/>
        <v>7090313.1599999992</v>
      </c>
      <c r="Z16" s="21"/>
      <c r="AA16" s="21"/>
      <c r="AB16" s="75"/>
    </row>
    <row r="17" spans="2:28" ht="21.75" customHeight="1">
      <c r="B17" s="20">
        <f t="shared" si="4"/>
        <v>13</v>
      </c>
      <c r="C17" s="10" t="s">
        <v>179</v>
      </c>
      <c r="D17" s="9" t="s">
        <v>205</v>
      </c>
      <c r="E17" s="9">
        <v>41932</v>
      </c>
      <c r="F17" s="11" t="s">
        <v>194</v>
      </c>
      <c r="G17" s="10" t="s">
        <v>108</v>
      </c>
      <c r="H17" s="10" t="s">
        <v>41</v>
      </c>
      <c r="I17" s="10" t="s">
        <v>42</v>
      </c>
      <c r="J17" s="23">
        <v>801.22</v>
      </c>
      <c r="K17" s="22">
        <v>41902</v>
      </c>
      <c r="L17" s="24" t="s">
        <v>113</v>
      </c>
      <c r="M17" s="24" t="s">
        <v>43</v>
      </c>
      <c r="N17" s="10" t="s">
        <v>62</v>
      </c>
      <c r="O17" s="13" t="s">
        <v>93</v>
      </c>
      <c r="P17" s="26">
        <v>899925</v>
      </c>
      <c r="Q17" s="31">
        <f t="shared" si="0"/>
        <v>87182934.150000006</v>
      </c>
      <c r="R17" s="28" t="s">
        <v>32</v>
      </c>
      <c r="S17" s="35">
        <v>96.878</v>
      </c>
      <c r="T17" s="29">
        <f t="shared" si="9"/>
        <v>41991</v>
      </c>
      <c r="U17" s="10" t="s">
        <v>108</v>
      </c>
      <c r="V17" s="52">
        <f t="shared" si="8"/>
        <v>104619.52098</v>
      </c>
      <c r="W17" s="21">
        <v>155.75</v>
      </c>
      <c r="X17" s="27">
        <f t="shared" si="10"/>
        <v>16294490.392635001</v>
      </c>
      <c r="Y17" s="32">
        <f t="shared" si="11"/>
        <v>16294490.392635001</v>
      </c>
      <c r="Z17" s="21"/>
      <c r="AA17" s="21"/>
      <c r="AB17" s="75"/>
    </row>
    <row r="18" spans="2:28" ht="21.75" customHeight="1">
      <c r="B18" s="20">
        <f t="shared" si="4"/>
        <v>14</v>
      </c>
      <c r="C18" s="10" t="s">
        <v>176</v>
      </c>
      <c r="D18" s="9" t="s">
        <v>206</v>
      </c>
      <c r="E18" s="9">
        <v>41932</v>
      </c>
      <c r="F18" s="11" t="s">
        <v>195</v>
      </c>
      <c r="G18" s="10" t="s">
        <v>108</v>
      </c>
      <c r="H18" s="10" t="s">
        <v>41</v>
      </c>
      <c r="I18" s="10" t="s">
        <v>34</v>
      </c>
      <c r="J18" s="23">
        <v>801.22</v>
      </c>
      <c r="K18" s="22">
        <v>41910</v>
      </c>
      <c r="L18" s="24" t="s">
        <v>105</v>
      </c>
      <c r="M18" s="24" t="s">
        <v>35</v>
      </c>
      <c r="N18" s="10" t="s">
        <v>46</v>
      </c>
      <c r="O18" s="13" t="s">
        <v>68</v>
      </c>
      <c r="P18" s="26">
        <v>474935</v>
      </c>
      <c r="Q18" s="31">
        <f t="shared" si="0"/>
        <v>45676873.625</v>
      </c>
      <c r="R18" s="28" t="s">
        <v>32</v>
      </c>
      <c r="S18" s="35">
        <v>96.174999999999997</v>
      </c>
      <c r="T18" s="29">
        <f t="shared" si="9"/>
        <v>41999</v>
      </c>
      <c r="U18" s="13" t="s">
        <v>108</v>
      </c>
      <c r="V18" s="52">
        <f t="shared" si="8"/>
        <v>54812.248349999994</v>
      </c>
      <c r="W18" s="21">
        <v>155.75</v>
      </c>
      <c r="X18" s="27">
        <f t="shared" si="10"/>
        <v>8537007.6805124991</v>
      </c>
      <c r="Y18" s="32">
        <f t="shared" ref="Y18:Y19" si="12">X18</f>
        <v>8537007.6805124991</v>
      </c>
      <c r="Z18" s="21"/>
      <c r="AA18" s="21"/>
      <c r="AB18" s="77" t="s">
        <v>114</v>
      </c>
    </row>
    <row r="19" spans="2:28" ht="21.75" customHeight="1">
      <c r="B19" s="20">
        <f t="shared" si="4"/>
        <v>15</v>
      </c>
      <c r="C19" s="10" t="s">
        <v>177</v>
      </c>
      <c r="D19" s="9" t="s">
        <v>206</v>
      </c>
      <c r="E19" s="9">
        <v>41932</v>
      </c>
      <c r="F19" s="11" t="s">
        <v>195</v>
      </c>
      <c r="G19" s="10" t="s">
        <v>108</v>
      </c>
      <c r="H19" s="10" t="s">
        <v>41</v>
      </c>
      <c r="I19" s="10" t="s">
        <v>34</v>
      </c>
      <c r="J19" s="23">
        <v>801.22</v>
      </c>
      <c r="K19" s="22">
        <v>41910</v>
      </c>
      <c r="L19" s="24" t="s">
        <v>105</v>
      </c>
      <c r="M19" s="24" t="s">
        <v>35</v>
      </c>
      <c r="N19" s="10" t="s">
        <v>46</v>
      </c>
      <c r="O19" s="13" t="s">
        <v>68</v>
      </c>
      <c r="P19" s="26">
        <v>475000</v>
      </c>
      <c r="Q19" s="31">
        <f t="shared" si="0"/>
        <v>45683125</v>
      </c>
      <c r="R19" s="28" t="s">
        <v>32</v>
      </c>
      <c r="S19" s="35">
        <v>96.174999999999997</v>
      </c>
      <c r="T19" s="29">
        <f t="shared" si="9"/>
        <v>41999</v>
      </c>
      <c r="U19" s="13" t="s">
        <v>108</v>
      </c>
      <c r="V19" s="52">
        <f t="shared" si="8"/>
        <v>54819.749999999993</v>
      </c>
      <c r="W19" s="21">
        <v>155.75</v>
      </c>
      <c r="X19" s="27">
        <f t="shared" si="10"/>
        <v>8538176.0624999981</v>
      </c>
      <c r="Y19" s="32">
        <f t="shared" si="12"/>
        <v>8538176.0624999981</v>
      </c>
      <c r="Z19" s="21"/>
      <c r="AA19" s="21"/>
      <c r="AB19" s="78"/>
    </row>
    <row r="20" spans="2:28" ht="24.75">
      <c r="B20" s="20">
        <f t="shared" si="4"/>
        <v>16</v>
      </c>
      <c r="C20" s="10" t="s">
        <v>167</v>
      </c>
      <c r="D20" s="9" t="s">
        <v>207</v>
      </c>
      <c r="E20" s="9">
        <v>41932</v>
      </c>
      <c r="F20" s="11" t="s">
        <v>196</v>
      </c>
      <c r="G20" s="10" t="s">
        <v>108</v>
      </c>
      <c r="H20" s="10" t="s">
        <v>41</v>
      </c>
      <c r="I20" s="10" t="s">
        <v>88</v>
      </c>
      <c r="J20" s="23">
        <v>801.22</v>
      </c>
      <c r="K20" s="22">
        <v>41911</v>
      </c>
      <c r="L20" s="24" t="s">
        <v>153</v>
      </c>
      <c r="M20" s="24" t="s">
        <v>45</v>
      </c>
      <c r="N20" s="10" t="s">
        <v>59</v>
      </c>
      <c r="O20" s="13" t="s">
        <v>156</v>
      </c>
      <c r="P20" s="26">
        <v>200000</v>
      </c>
      <c r="Q20" s="31">
        <f t="shared" si="0"/>
        <v>19035200</v>
      </c>
      <c r="R20" s="28" t="s">
        <v>32</v>
      </c>
      <c r="S20" s="35">
        <v>95.176000000000002</v>
      </c>
      <c r="T20" s="29">
        <f t="shared" si="9"/>
        <v>42000</v>
      </c>
      <c r="U20" s="10" t="s">
        <v>108</v>
      </c>
      <c r="V20" s="52">
        <f t="shared" si="8"/>
        <v>22842.239999999998</v>
      </c>
      <c r="W20" s="21">
        <v>155.75</v>
      </c>
      <c r="X20" s="27">
        <f t="shared" si="10"/>
        <v>3557678.88</v>
      </c>
      <c r="Y20" s="32">
        <f t="shared" ref="Y20:Y27" si="13">X20</f>
        <v>3557678.88</v>
      </c>
      <c r="Z20" s="21"/>
      <c r="AA20" s="21"/>
      <c r="AB20" s="76" t="s">
        <v>283</v>
      </c>
    </row>
    <row r="21" spans="2:28" ht="24.75">
      <c r="B21" s="20">
        <f t="shared" si="4"/>
        <v>17</v>
      </c>
      <c r="C21" s="10" t="s">
        <v>168</v>
      </c>
      <c r="D21" s="9" t="s">
        <v>207</v>
      </c>
      <c r="E21" s="9">
        <v>41932</v>
      </c>
      <c r="F21" s="11" t="s">
        <v>196</v>
      </c>
      <c r="G21" s="10" t="s">
        <v>108</v>
      </c>
      <c r="H21" s="10" t="s">
        <v>41</v>
      </c>
      <c r="I21" s="10" t="s">
        <v>88</v>
      </c>
      <c r="J21" s="23">
        <v>801.22</v>
      </c>
      <c r="K21" s="22">
        <v>41911</v>
      </c>
      <c r="L21" s="24" t="s">
        <v>153</v>
      </c>
      <c r="M21" s="24" t="s">
        <v>45</v>
      </c>
      <c r="N21" s="10" t="s">
        <v>59</v>
      </c>
      <c r="O21" s="13" t="s">
        <v>156</v>
      </c>
      <c r="P21" s="26">
        <v>200000</v>
      </c>
      <c r="Q21" s="31">
        <f t="shared" si="0"/>
        <v>19035200</v>
      </c>
      <c r="R21" s="28" t="s">
        <v>32</v>
      </c>
      <c r="S21" s="35">
        <v>95.176000000000002</v>
      </c>
      <c r="T21" s="29">
        <f t="shared" si="9"/>
        <v>42000</v>
      </c>
      <c r="U21" s="10" t="s">
        <v>108</v>
      </c>
      <c r="V21" s="52">
        <f t="shared" si="8"/>
        <v>22842.239999999998</v>
      </c>
      <c r="W21" s="21">
        <v>155.75</v>
      </c>
      <c r="X21" s="27">
        <f t="shared" si="10"/>
        <v>3557678.88</v>
      </c>
      <c r="Y21" s="32">
        <f t="shared" si="13"/>
        <v>3557678.88</v>
      </c>
      <c r="Z21" s="21"/>
      <c r="AA21" s="21"/>
      <c r="AB21" s="76"/>
    </row>
    <row r="22" spans="2:28" ht="24.75">
      <c r="B22" s="20">
        <f t="shared" si="4"/>
        <v>18</v>
      </c>
      <c r="C22" s="10" t="s">
        <v>169</v>
      </c>
      <c r="D22" s="9" t="s">
        <v>207</v>
      </c>
      <c r="E22" s="9">
        <v>41932</v>
      </c>
      <c r="F22" s="11" t="s">
        <v>196</v>
      </c>
      <c r="G22" s="10" t="s">
        <v>108</v>
      </c>
      <c r="H22" s="10" t="s">
        <v>41</v>
      </c>
      <c r="I22" s="10" t="s">
        <v>88</v>
      </c>
      <c r="J22" s="23">
        <v>801.22</v>
      </c>
      <c r="K22" s="22">
        <v>41911</v>
      </c>
      <c r="L22" s="24" t="s">
        <v>153</v>
      </c>
      <c r="M22" s="24" t="s">
        <v>45</v>
      </c>
      <c r="N22" s="10" t="s">
        <v>59</v>
      </c>
      <c r="O22" s="13" t="s">
        <v>156</v>
      </c>
      <c r="P22" s="26">
        <v>200000</v>
      </c>
      <c r="Q22" s="31">
        <f t="shared" si="0"/>
        <v>19035200</v>
      </c>
      <c r="R22" s="28" t="s">
        <v>32</v>
      </c>
      <c r="S22" s="35">
        <v>95.176000000000002</v>
      </c>
      <c r="T22" s="29">
        <f t="shared" si="9"/>
        <v>42000</v>
      </c>
      <c r="U22" s="10" t="s">
        <v>108</v>
      </c>
      <c r="V22" s="52">
        <f t="shared" si="8"/>
        <v>22842.239999999998</v>
      </c>
      <c r="W22" s="21">
        <v>155.75</v>
      </c>
      <c r="X22" s="27">
        <f t="shared" si="10"/>
        <v>3557678.88</v>
      </c>
      <c r="Y22" s="32">
        <f t="shared" si="13"/>
        <v>3557678.88</v>
      </c>
      <c r="Z22" s="21"/>
      <c r="AA22" s="21"/>
      <c r="AB22" s="76"/>
    </row>
    <row r="23" spans="2:28" ht="24.75">
      <c r="B23" s="20">
        <f t="shared" si="4"/>
        <v>19</v>
      </c>
      <c r="C23" s="10" t="s">
        <v>170</v>
      </c>
      <c r="D23" s="9" t="s">
        <v>207</v>
      </c>
      <c r="E23" s="9">
        <v>41932</v>
      </c>
      <c r="F23" s="11" t="s">
        <v>196</v>
      </c>
      <c r="G23" s="10" t="s">
        <v>108</v>
      </c>
      <c r="H23" s="10" t="s">
        <v>41</v>
      </c>
      <c r="I23" s="10" t="s">
        <v>88</v>
      </c>
      <c r="J23" s="23">
        <v>801.22</v>
      </c>
      <c r="K23" s="22">
        <v>41911</v>
      </c>
      <c r="L23" s="24" t="s">
        <v>153</v>
      </c>
      <c r="M23" s="24" t="s">
        <v>45</v>
      </c>
      <c r="N23" s="10" t="s">
        <v>59</v>
      </c>
      <c r="O23" s="13" t="s">
        <v>156</v>
      </c>
      <c r="P23" s="26">
        <v>13605</v>
      </c>
      <c r="Q23" s="31">
        <f t="shared" si="0"/>
        <v>1294869.48</v>
      </c>
      <c r="R23" s="28" t="s">
        <v>32</v>
      </c>
      <c r="S23" s="35">
        <v>95.176000000000002</v>
      </c>
      <c r="T23" s="29">
        <f t="shared" si="9"/>
        <v>42000</v>
      </c>
      <c r="U23" s="10" t="s">
        <v>108</v>
      </c>
      <c r="V23" s="52">
        <f t="shared" si="8"/>
        <v>1553.8433759999998</v>
      </c>
      <c r="W23" s="21">
        <v>155.75</v>
      </c>
      <c r="X23" s="27">
        <f t="shared" si="10"/>
        <v>242011.10581199997</v>
      </c>
      <c r="Y23" s="32">
        <f t="shared" si="13"/>
        <v>242011.10581199997</v>
      </c>
      <c r="Z23" s="21"/>
      <c r="AA23" s="21"/>
      <c r="AB23" s="76"/>
    </row>
    <row r="24" spans="2:28" ht="24.75">
      <c r="B24" s="20">
        <f t="shared" si="4"/>
        <v>20</v>
      </c>
      <c r="C24" s="10" t="s">
        <v>171</v>
      </c>
      <c r="D24" s="9" t="s">
        <v>208</v>
      </c>
      <c r="E24" s="9">
        <v>41932</v>
      </c>
      <c r="F24" s="11" t="s">
        <v>197</v>
      </c>
      <c r="G24" s="10" t="s">
        <v>108</v>
      </c>
      <c r="H24" s="10" t="s">
        <v>41</v>
      </c>
      <c r="I24" s="10" t="s">
        <v>88</v>
      </c>
      <c r="J24" s="23">
        <v>801.22</v>
      </c>
      <c r="K24" s="22">
        <v>41911</v>
      </c>
      <c r="L24" s="24" t="s">
        <v>153</v>
      </c>
      <c r="M24" s="24" t="s">
        <v>45</v>
      </c>
      <c r="N24" s="10" t="s">
        <v>59</v>
      </c>
      <c r="O24" s="13" t="s">
        <v>156</v>
      </c>
      <c r="P24" s="26">
        <v>110000</v>
      </c>
      <c r="Q24" s="31">
        <f t="shared" si="0"/>
        <v>10469360</v>
      </c>
      <c r="R24" s="28" t="s">
        <v>32</v>
      </c>
      <c r="S24" s="35">
        <v>95.176000000000002</v>
      </c>
      <c r="T24" s="29">
        <f t="shared" si="9"/>
        <v>42000</v>
      </c>
      <c r="U24" s="10" t="s">
        <v>108</v>
      </c>
      <c r="V24" s="52">
        <f t="shared" si="8"/>
        <v>12563.231999999998</v>
      </c>
      <c r="W24" s="21">
        <v>155.75</v>
      </c>
      <c r="X24" s="27">
        <f t="shared" si="10"/>
        <v>1956723.3839999996</v>
      </c>
      <c r="Y24" s="32">
        <f t="shared" si="13"/>
        <v>1956723.3839999996</v>
      </c>
      <c r="Z24" s="21"/>
      <c r="AA24" s="21"/>
      <c r="AB24" s="75"/>
    </row>
    <row r="25" spans="2:28" ht="24.75">
      <c r="B25" s="20">
        <f t="shared" si="4"/>
        <v>21</v>
      </c>
      <c r="C25" s="10" t="s">
        <v>172</v>
      </c>
      <c r="D25" s="9" t="s">
        <v>209</v>
      </c>
      <c r="E25" s="9">
        <v>41932</v>
      </c>
      <c r="F25" s="11" t="s">
        <v>198</v>
      </c>
      <c r="G25" s="10" t="s">
        <v>108</v>
      </c>
      <c r="H25" s="10" t="s">
        <v>41</v>
      </c>
      <c r="I25" s="10" t="s">
        <v>88</v>
      </c>
      <c r="J25" s="23">
        <v>801.22</v>
      </c>
      <c r="K25" s="22">
        <v>41911</v>
      </c>
      <c r="L25" s="24" t="s">
        <v>153</v>
      </c>
      <c r="M25" s="24" t="s">
        <v>45</v>
      </c>
      <c r="N25" s="10" t="s">
        <v>59</v>
      </c>
      <c r="O25" s="13" t="s">
        <v>156</v>
      </c>
      <c r="P25" s="26">
        <v>76000</v>
      </c>
      <c r="Q25" s="31">
        <f t="shared" si="0"/>
        <v>7233376</v>
      </c>
      <c r="R25" s="28" t="s">
        <v>32</v>
      </c>
      <c r="S25" s="35">
        <v>95.176000000000002</v>
      </c>
      <c r="T25" s="29">
        <f t="shared" si="9"/>
        <v>42000</v>
      </c>
      <c r="U25" s="10" t="s">
        <v>108</v>
      </c>
      <c r="V25" s="52">
        <f t="shared" si="8"/>
        <v>8680.0511999999999</v>
      </c>
      <c r="W25" s="21">
        <v>155.75</v>
      </c>
      <c r="X25" s="27">
        <f t="shared" si="10"/>
        <v>1351917.9743999999</v>
      </c>
      <c r="Y25" s="32">
        <f t="shared" si="13"/>
        <v>1351917.9743999999</v>
      </c>
      <c r="Z25" s="21"/>
      <c r="AA25" s="21"/>
      <c r="AB25" s="75"/>
    </row>
    <row r="26" spans="2:28" ht="24.75">
      <c r="B26" s="20">
        <f t="shared" si="4"/>
        <v>22</v>
      </c>
      <c r="C26" s="10" t="s">
        <v>173</v>
      </c>
      <c r="D26" s="9" t="s">
        <v>210</v>
      </c>
      <c r="E26" s="9">
        <v>41932</v>
      </c>
      <c r="F26" s="11" t="s">
        <v>199</v>
      </c>
      <c r="G26" s="10" t="s">
        <v>108</v>
      </c>
      <c r="H26" s="10" t="s">
        <v>41</v>
      </c>
      <c r="I26" s="10" t="s">
        <v>88</v>
      </c>
      <c r="J26" s="23">
        <v>801.22</v>
      </c>
      <c r="K26" s="22">
        <v>41911</v>
      </c>
      <c r="L26" s="24" t="s">
        <v>153</v>
      </c>
      <c r="M26" s="24" t="s">
        <v>45</v>
      </c>
      <c r="N26" s="10" t="s">
        <v>59</v>
      </c>
      <c r="O26" s="13" t="s">
        <v>156</v>
      </c>
      <c r="P26" s="26">
        <v>90000</v>
      </c>
      <c r="Q26" s="31">
        <f t="shared" si="0"/>
        <v>8565840</v>
      </c>
      <c r="R26" s="28" t="s">
        <v>32</v>
      </c>
      <c r="S26" s="35">
        <v>95.176000000000002</v>
      </c>
      <c r="T26" s="29">
        <f t="shared" si="9"/>
        <v>42000</v>
      </c>
      <c r="U26" s="10" t="s">
        <v>108</v>
      </c>
      <c r="V26" s="30">
        <f t="shared" si="8"/>
        <v>10279.008</v>
      </c>
      <c r="W26" s="21">
        <v>155.75</v>
      </c>
      <c r="X26" s="31">
        <f t="shared" si="10"/>
        <v>1600955.496</v>
      </c>
      <c r="Y26" s="32">
        <f t="shared" si="13"/>
        <v>1600955.496</v>
      </c>
      <c r="Z26" s="21"/>
      <c r="AA26" s="21"/>
      <c r="AB26" s="75"/>
    </row>
    <row r="27" spans="2:28" ht="24.75">
      <c r="B27" s="20">
        <f t="shared" si="4"/>
        <v>23</v>
      </c>
      <c r="C27" s="10" t="s">
        <v>174</v>
      </c>
      <c r="D27" s="9" t="s">
        <v>211</v>
      </c>
      <c r="E27" s="9">
        <v>41932</v>
      </c>
      <c r="F27" s="11" t="s">
        <v>200</v>
      </c>
      <c r="G27" s="10" t="s">
        <v>108</v>
      </c>
      <c r="H27" s="10" t="s">
        <v>41</v>
      </c>
      <c r="I27" s="10" t="s">
        <v>88</v>
      </c>
      <c r="J27" s="23">
        <v>801.22</v>
      </c>
      <c r="K27" s="22">
        <v>41911</v>
      </c>
      <c r="L27" s="24" t="s">
        <v>153</v>
      </c>
      <c r="M27" s="24" t="s">
        <v>45</v>
      </c>
      <c r="N27" s="10" t="s">
        <v>59</v>
      </c>
      <c r="O27" s="13" t="s">
        <v>156</v>
      </c>
      <c r="P27" s="51">
        <v>60000</v>
      </c>
      <c r="Q27" s="31">
        <f t="shared" si="0"/>
        <v>5710560</v>
      </c>
      <c r="R27" s="28" t="s">
        <v>32</v>
      </c>
      <c r="S27" s="35">
        <v>95.176000000000002</v>
      </c>
      <c r="T27" s="29">
        <f t="shared" si="9"/>
        <v>42000</v>
      </c>
      <c r="U27" s="10" t="s">
        <v>108</v>
      </c>
      <c r="V27" s="30">
        <f t="shared" si="8"/>
        <v>6852.6719999999996</v>
      </c>
      <c r="W27" s="21">
        <v>155.75</v>
      </c>
      <c r="X27" s="31">
        <f t="shared" si="10"/>
        <v>1067303.6639999999</v>
      </c>
      <c r="Y27" s="32">
        <f t="shared" si="13"/>
        <v>1067303.6639999999</v>
      </c>
      <c r="Z27" s="21"/>
      <c r="AA27" s="21"/>
      <c r="AB27" s="75"/>
    </row>
    <row r="28" spans="2:28" ht="20.25" customHeight="1">
      <c r="B28" s="20">
        <f t="shared" si="4"/>
        <v>24</v>
      </c>
      <c r="C28" s="10" t="s">
        <v>144</v>
      </c>
      <c r="D28" s="10" t="s">
        <v>212</v>
      </c>
      <c r="E28" s="29">
        <v>41934</v>
      </c>
      <c r="F28" s="50">
        <v>201400010342</v>
      </c>
      <c r="G28" s="10" t="s">
        <v>84</v>
      </c>
      <c r="H28" s="10" t="s">
        <v>44</v>
      </c>
      <c r="I28" s="10" t="s">
        <v>88</v>
      </c>
      <c r="J28" s="23">
        <v>801.22</v>
      </c>
      <c r="K28" s="22">
        <v>41873</v>
      </c>
      <c r="L28" s="24" t="s">
        <v>138</v>
      </c>
      <c r="M28" s="34" t="s">
        <v>45</v>
      </c>
      <c r="N28" s="10" t="s">
        <v>46</v>
      </c>
      <c r="O28" s="13" t="s">
        <v>63</v>
      </c>
      <c r="P28" s="51">
        <v>80000</v>
      </c>
      <c r="Q28" s="27">
        <f t="shared" si="0"/>
        <v>8124960</v>
      </c>
      <c r="R28" s="28" t="s">
        <v>32</v>
      </c>
      <c r="S28" s="35">
        <v>101.562</v>
      </c>
      <c r="T28" s="29">
        <f t="shared" ref="T28:T29" si="14">SUM(K28)+89</f>
        <v>41962</v>
      </c>
      <c r="U28" s="10" t="s">
        <v>37</v>
      </c>
      <c r="V28" s="52">
        <f t="shared" si="8"/>
        <v>9749.9519999999993</v>
      </c>
      <c r="W28" s="21">
        <v>155.72999999999999</v>
      </c>
      <c r="X28" s="27">
        <f t="shared" si="10"/>
        <v>1518360.0249599998</v>
      </c>
      <c r="Y28" s="32">
        <v>1508609.77</v>
      </c>
      <c r="Z28" s="29">
        <v>41922</v>
      </c>
      <c r="AA28" s="33">
        <v>11247</v>
      </c>
      <c r="AB28" s="75"/>
    </row>
    <row r="29" spans="2:28" ht="31.5" customHeight="1">
      <c r="B29" s="20">
        <f t="shared" si="4"/>
        <v>25</v>
      </c>
      <c r="C29" s="10" t="s">
        <v>148</v>
      </c>
      <c r="D29" s="58" t="s">
        <v>213</v>
      </c>
      <c r="E29" s="22">
        <v>41934</v>
      </c>
      <c r="F29" s="11" t="s">
        <v>134</v>
      </c>
      <c r="G29" s="10" t="s">
        <v>48</v>
      </c>
      <c r="H29" s="10" t="s">
        <v>67</v>
      </c>
      <c r="I29" s="10" t="s">
        <v>52</v>
      </c>
      <c r="J29" s="23">
        <v>801.22</v>
      </c>
      <c r="K29" s="9">
        <v>41879</v>
      </c>
      <c r="L29" s="10" t="s">
        <v>104</v>
      </c>
      <c r="M29" s="10" t="s">
        <v>53</v>
      </c>
      <c r="N29" s="10" t="s">
        <v>65</v>
      </c>
      <c r="O29" s="13" t="s">
        <v>82</v>
      </c>
      <c r="P29" s="51">
        <v>254852</v>
      </c>
      <c r="Q29" s="27">
        <f t="shared" si="0"/>
        <v>25778789.504000001</v>
      </c>
      <c r="R29" s="28" t="s">
        <v>32</v>
      </c>
      <c r="S29" s="35">
        <v>101.152</v>
      </c>
      <c r="T29" s="29">
        <f t="shared" si="14"/>
        <v>41968</v>
      </c>
      <c r="U29" s="13" t="s">
        <v>48</v>
      </c>
      <c r="V29" s="52">
        <f t="shared" si="8"/>
        <v>30934.5474048</v>
      </c>
      <c r="W29" s="21">
        <v>155.72999999999999</v>
      </c>
      <c r="X29" s="27">
        <f t="shared" si="10"/>
        <v>4817437.0673495037</v>
      </c>
      <c r="Y29" s="32">
        <v>4802910.9800000004</v>
      </c>
      <c r="Z29" s="36" t="s">
        <v>215</v>
      </c>
      <c r="AA29" s="73" t="s">
        <v>214</v>
      </c>
      <c r="AB29" s="75"/>
    </row>
    <row r="30" spans="2:28" ht="21.75" customHeight="1">
      <c r="B30" s="20">
        <f t="shared" si="4"/>
        <v>26</v>
      </c>
      <c r="C30" s="10" t="s">
        <v>130</v>
      </c>
      <c r="D30" s="10" t="s">
        <v>183</v>
      </c>
      <c r="E30" s="9">
        <v>41935</v>
      </c>
      <c r="F30" s="12" t="s">
        <v>132</v>
      </c>
      <c r="G30" s="10" t="s">
        <v>100</v>
      </c>
      <c r="H30" s="10" t="s">
        <v>33</v>
      </c>
      <c r="I30" s="10" t="s">
        <v>34</v>
      </c>
      <c r="J30" s="23">
        <v>801.22</v>
      </c>
      <c r="K30" s="22">
        <v>41844</v>
      </c>
      <c r="L30" s="24" t="s">
        <v>121</v>
      </c>
      <c r="M30" s="24" t="s">
        <v>35</v>
      </c>
      <c r="N30" s="10" t="s">
        <v>66</v>
      </c>
      <c r="O30" s="13" t="s">
        <v>71</v>
      </c>
      <c r="P30" s="26">
        <v>948707</v>
      </c>
      <c r="Q30" s="31">
        <f>SUM(P30*S30)</f>
        <v>103592922.41659999</v>
      </c>
      <c r="R30" s="28" t="s">
        <v>32</v>
      </c>
      <c r="S30" s="59">
        <v>109.1938</v>
      </c>
      <c r="T30" s="29">
        <f t="shared" ref="T30" si="15">SUM(K30)+89</f>
        <v>41933</v>
      </c>
      <c r="U30" s="10" t="s">
        <v>37</v>
      </c>
      <c r="V30" s="30">
        <f>SUM(Q30*0.12%)</f>
        <v>124311.50689991997</v>
      </c>
      <c r="W30" s="21">
        <v>155.72999999999999</v>
      </c>
      <c r="X30" s="31">
        <f>SUM(V30*W30)</f>
        <v>19359030.969524536</v>
      </c>
      <c r="Y30" s="53">
        <v>19552621.280000001</v>
      </c>
      <c r="Z30" s="29">
        <v>41922</v>
      </c>
      <c r="AA30" s="33">
        <v>10331</v>
      </c>
      <c r="AB30" s="75"/>
    </row>
    <row r="31" spans="2:28" ht="33">
      <c r="B31" s="20">
        <f t="shared" si="4"/>
        <v>27</v>
      </c>
      <c r="C31" s="10" t="s">
        <v>163</v>
      </c>
      <c r="D31" s="10" t="s">
        <v>216</v>
      </c>
      <c r="E31" s="9">
        <v>41940</v>
      </c>
      <c r="F31" s="50">
        <v>201401010087</v>
      </c>
      <c r="G31" s="10" t="s">
        <v>38</v>
      </c>
      <c r="H31" s="10" t="s">
        <v>74</v>
      </c>
      <c r="I31" s="10" t="s">
        <v>88</v>
      </c>
      <c r="J31" s="23">
        <v>801.22</v>
      </c>
      <c r="K31" s="22">
        <v>41904</v>
      </c>
      <c r="L31" s="24" t="s">
        <v>102</v>
      </c>
      <c r="M31" s="24" t="s">
        <v>45</v>
      </c>
      <c r="N31" s="10" t="s">
        <v>46</v>
      </c>
      <c r="O31" s="13" t="s">
        <v>155</v>
      </c>
      <c r="P31" s="26">
        <v>20000</v>
      </c>
      <c r="Q31" s="31">
        <f>SUM(P31*S29)</f>
        <v>2023040</v>
      </c>
      <c r="R31" s="28" t="s">
        <v>32</v>
      </c>
      <c r="S31" s="7">
        <v>96.399000000000001</v>
      </c>
      <c r="T31" s="29">
        <f t="shared" ref="T31:T36" si="16">SUM(K31)+89</f>
        <v>41993</v>
      </c>
      <c r="U31" s="10" t="s">
        <v>38</v>
      </c>
      <c r="V31" s="52">
        <f t="shared" ref="V31:V36" si="17">SUM(Q31*0.12%)</f>
        <v>2427.6479999999997</v>
      </c>
      <c r="W31" s="21">
        <v>155.75</v>
      </c>
      <c r="X31" s="27">
        <f t="shared" ref="X31:X33" si="18">SUM(V31*W31)</f>
        <v>378106.17599999998</v>
      </c>
      <c r="Y31" s="32">
        <v>360339.46</v>
      </c>
      <c r="Z31" s="29">
        <v>41936</v>
      </c>
      <c r="AA31" s="33">
        <v>4431</v>
      </c>
      <c r="AB31" s="75"/>
    </row>
    <row r="32" spans="2:28" ht="33">
      <c r="B32" s="20">
        <f t="shared" si="4"/>
        <v>28</v>
      </c>
      <c r="C32" s="10" t="s">
        <v>164</v>
      </c>
      <c r="D32" s="10" t="s">
        <v>217</v>
      </c>
      <c r="E32" s="9">
        <v>41940</v>
      </c>
      <c r="F32" s="50">
        <v>201401010088</v>
      </c>
      <c r="G32" s="10" t="s">
        <v>38</v>
      </c>
      <c r="H32" s="10" t="s">
        <v>74</v>
      </c>
      <c r="I32" s="10" t="s">
        <v>88</v>
      </c>
      <c r="J32" s="23">
        <v>801.22</v>
      </c>
      <c r="K32" s="22">
        <v>41904</v>
      </c>
      <c r="L32" s="24" t="s">
        <v>102</v>
      </c>
      <c r="M32" s="24" t="s">
        <v>45</v>
      </c>
      <c r="N32" s="10" t="s">
        <v>46</v>
      </c>
      <c r="O32" s="13" t="s">
        <v>155</v>
      </c>
      <c r="P32" s="26">
        <v>18000</v>
      </c>
      <c r="Q32" s="31">
        <f t="shared" ref="Q32:Q33" si="19">SUM(P32*S31)</f>
        <v>1735182</v>
      </c>
      <c r="R32" s="28" t="s">
        <v>32</v>
      </c>
      <c r="S32" s="7">
        <v>96.399000000000001</v>
      </c>
      <c r="T32" s="29">
        <f t="shared" si="16"/>
        <v>41993</v>
      </c>
      <c r="U32" s="10" t="s">
        <v>38</v>
      </c>
      <c r="V32" s="52">
        <f t="shared" si="17"/>
        <v>2082.2183999999997</v>
      </c>
      <c r="W32" s="21">
        <v>155.75</v>
      </c>
      <c r="X32" s="27">
        <f t="shared" si="18"/>
        <v>324305.51579999994</v>
      </c>
      <c r="Y32" s="32">
        <v>324305.52</v>
      </c>
      <c r="Z32" s="29">
        <v>41936</v>
      </c>
      <c r="AA32" s="33">
        <v>4433</v>
      </c>
      <c r="AB32" s="75"/>
    </row>
    <row r="33" spans="2:28" ht="33">
      <c r="B33" s="20">
        <f t="shared" si="4"/>
        <v>29</v>
      </c>
      <c r="C33" s="10" t="s">
        <v>165</v>
      </c>
      <c r="D33" s="10" t="s">
        <v>218</v>
      </c>
      <c r="E33" s="9">
        <v>41940</v>
      </c>
      <c r="F33" s="11" t="s">
        <v>149</v>
      </c>
      <c r="G33" s="10" t="s">
        <v>107</v>
      </c>
      <c r="H33" s="10" t="s">
        <v>74</v>
      </c>
      <c r="I33" s="10" t="s">
        <v>88</v>
      </c>
      <c r="J33" s="23">
        <v>801.22</v>
      </c>
      <c r="K33" s="9">
        <v>41904</v>
      </c>
      <c r="L33" s="10" t="s">
        <v>102</v>
      </c>
      <c r="M33" s="10" t="s">
        <v>45</v>
      </c>
      <c r="N33" s="10" t="s">
        <v>46</v>
      </c>
      <c r="O33" s="57" t="s">
        <v>155</v>
      </c>
      <c r="P33" s="51">
        <v>24000</v>
      </c>
      <c r="Q33" s="31">
        <f t="shared" si="19"/>
        <v>2313576</v>
      </c>
      <c r="R33" s="28" t="s">
        <v>32</v>
      </c>
      <c r="S33" s="74">
        <v>95.31</v>
      </c>
      <c r="T33" s="29">
        <f t="shared" si="16"/>
        <v>41993</v>
      </c>
      <c r="U33" s="10" t="s">
        <v>38</v>
      </c>
      <c r="V33" s="30">
        <f t="shared" si="17"/>
        <v>2776.2911999999997</v>
      </c>
      <c r="W33" s="21">
        <v>155.75</v>
      </c>
      <c r="X33" s="31">
        <f t="shared" si="18"/>
        <v>432407.35439999995</v>
      </c>
      <c r="Y33" s="53">
        <v>432407.35</v>
      </c>
      <c r="Z33" s="29">
        <v>41936</v>
      </c>
      <c r="AA33" s="33">
        <v>4432</v>
      </c>
      <c r="AB33" s="75"/>
    </row>
    <row r="34" spans="2:28" ht="21.75" customHeight="1">
      <c r="B34" s="20">
        <f t="shared" si="4"/>
        <v>30</v>
      </c>
      <c r="C34" s="10" t="s">
        <v>127</v>
      </c>
      <c r="D34" s="10" t="s">
        <v>219</v>
      </c>
      <c r="E34" s="29">
        <v>41940</v>
      </c>
      <c r="F34" s="11" t="s">
        <v>119</v>
      </c>
      <c r="G34" s="10" t="s">
        <v>100</v>
      </c>
      <c r="H34" s="10" t="s">
        <v>115</v>
      </c>
      <c r="I34" s="10" t="s">
        <v>88</v>
      </c>
      <c r="J34" s="23">
        <v>801.22</v>
      </c>
      <c r="K34" s="9">
        <v>41844</v>
      </c>
      <c r="L34" s="10" t="s">
        <v>122</v>
      </c>
      <c r="M34" s="10" t="s">
        <v>45</v>
      </c>
      <c r="N34" s="10" t="s">
        <v>39</v>
      </c>
      <c r="O34" s="57" t="s">
        <v>40</v>
      </c>
      <c r="P34" s="51">
        <v>252934</v>
      </c>
      <c r="Q34" s="31">
        <f t="shared" ref="Q34:Q74" si="20">SUM(P34*S34)</f>
        <v>27244785.810000002</v>
      </c>
      <c r="R34" s="28" t="s">
        <v>32</v>
      </c>
      <c r="S34" s="35">
        <v>107.715</v>
      </c>
      <c r="T34" s="29">
        <f t="shared" si="16"/>
        <v>41933</v>
      </c>
      <c r="U34" s="10" t="s">
        <v>100</v>
      </c>
      <c r="V34" s="30">
        <f t="shared" si="17"/>
        <v>32693.742972</v>
      </c>
      <c r="W34" s="21">
        <v>155.72999999999999</v>
      </c>
      <c r="X34" s="31">
        <f t="shared" ref="X34:X35" si="21">SUM(V34*W34)</f>
        <v>5091396.5930295596</v>
      </c>
      <c r="Y34" s="53">
        <v>5076030.53</v>
      </c>
      <c r="Z34" s="29">
        <v>41939</v>
      </c>
      <c r="AA34" s="33">
        <v>3553</v>
      </c>
      <c r="AB34" s="75"/>
    </row>
    <row r="35" spans="2:28" ht="20.25" customHeight="1">
      <c r="B35" s="20">
        <f>B34+1</f>
        <v>31</v>
      </c>
      <c r="C35" s="10" t="s">
        <v>141</v>
      </c>
      <c r="D35" s="10" t="s">
        <v>221</v>
      </c>
      <c r="E35" s="29">
        <v>41940</v>
      </c>
      <c r="F35" s="12" t="s">
        <v>133</v>
      </c>
      <c r="G35" s="10" t="s">
        <v>100</v>
      </c>
      <c r="H35" s="10" t="s">
        <v>220</v>
      </c>
      <c r="I35" s="10" t="s">
        <v>88</v>
      </c>
      <c r="J35" s="23">
        <v>801.22</v>
      </c>
      <c r="K35" s="22">
        <v>41854</v>
      </c>
      <c r="L35" s="24" t="s">
        <v>136</v>
      </c>
      <c r="M35" s="24" t="s">
        <v>45</v>
      </c>
      <c r="N35" s="10" t="s">
        <v>50</v>
      </c>
      <c r="O35" s="25" t="s">
        <v>51</v>
      </c>
      <c r="P35" s="51">
        <v>627201</v>
      </c>
      <c r="Q35" s="27">
        <f t="shared" si="20"/>
        <v>64809306.531000003</v>
      </c>
      <c r="R35" s="28" t="s">
        <v>32</v>
      </c>
      <c r="S35" s="7">
        <v>103.331</v>
      </c>
      <c r="T35" s="29">
        <f t="shared" si="16"/>
        <v>41943</v>
      </c>
      <c r="U35" s="10" t="s">
        <v>100</v>
      </c>
      <c r="V35" s="52">
        <f t="shared" si="17"/>
        <v>77771.167837200002</v>
      </c>
      <c r="W35" s="21">
        <v>155.72999999999999</v>
      </c>
      <c r="X35" s="27">
        <f t="shared" si="21"/>
        <v>12111303.967287155</v>
      </c>
      <c r="Y35" s="32">
        <v>12074751.52</v>
      </c>
      <c r="Z35" s="29">
        <v>41939</v>
      </c>
      <c r="AA35" s="33">
        <v>3552</v>
      </c>
      <c r="AB35" s="75"/>
    </row>
    <row r="36" spans="2:28" ht="33">
      <c r="B36" s="20">
        <f t="shared" si="4"/>
        <v>32</v>
      </c>
      <c r="C36" s="10" t="s">
        <v>161</v>
      </c>
      <c r="D36" s="10" t="s">
        <v>222</v>
      </c>
      <c r="E36" s="29">
        <v>41940</v>
      </c>
      <c r="F36" s="50">
        <v>201400010332</v>
      </c>
      <c r="G36" s="10" t="s">
        <v>100</v>
      </c>
      <c r="H36" s="10" t="s">
        <v>56</v>
      </c>
      <c r="I36" s="10" t="s">
        <v>88</v>
      </c>
      <c r="J36" s="23">
        <v>801.22</v>
      </c>
      <c r="K36" s="22">
        <v>41904</v>
      </c>
      <c r="L36" s="24" t="s">
        <v>102</v>
      </c>
      <c r="M36" s="24" t="s">
        <v>45</v>
      </c>
      <c r="N36" s="10" t="s">
        <v>46</v>
      </c>
      <c r="O36" s="13" t="s">
        <v>155</v>
      </c>
      <c r="P36" s="26">
        <v>555586</v>
      </c>
      <c r="Q36" s="27">
        <f t="shared" si="20"/>
        <v>52854562.938000001</v>
      </c>
      <c r="R36" s="28" t="s">
        <v>32</v>
      </c>
      <c r="S36" s="7">
        <v>95.132999999999996</v>
      </c>
      <c r="T36" s="29">
        <f t="shared" si="16"/>
        <v>41993</v>
      </c>
      <c r="U36" s="13" t="s">
        <v>100</v>
      </c>
      <c r="V36" s="52">
        <f t="shared" si="17"/>
        <v>63425.475525599999</v>
      </c>
      <c r="W36" s="21">
        <v>155.75</v>
      </c>
      <c r="X36" s="27">
        <f t="shared" ref="X36" si="22">SUM(V36*W36)</f>
        <v>9878517.8131121993</v>
      </c>
      <c r="Y36" s="32">
        <v>9847439.3300000001</v>
      </c>
      <c r="Z36" s="29">
        <v>41939</v>
      </c>
      <c r="AA36" s="33">
        <v>3551</v>
      </c>
      <c r="AB36" s="75"/>
    </row>
    <row r="37" spans="2:28" ht="20.25" customHeight="1">
      <c r="B37" s="20">
        <f t="shared" si="4"/>
        <v>33</v>
      </c>
      <c r="C37" s="10" t="s">
        <v>142</v>
      </c>
      <c r="D37" s="60" t="s">
        <v>224</v>
      </c>
      <c r="E37" s="9">
        <v>41940</v>
      </c>
      <c r="F37" s="12" t="s">
        <v>223</v>
      </c>
      <c r="G37" s="10" t="s">
        <v>87</v>
      </c>
      <c r="H37" s="10" t="s">
        <v>69</v>
      </c>
      <c r="I37" s="10" t="s">
        <v>88</v>
      </c>
      <c r="J37" s="23">
        <v>801.22</v>
      </c>
      <c r="K37" s="22">
        <v>41854</v>
      </c>
      <c r="L37" s="24" t="s">
        <v>136</v>
      </c>
      <c r="M37" s="24" t="s">
        <v>45</v>
      </c>
      <c r="N37" s="10" t="s">
        <v>50</v>
      </c>
      <c r="O37" s="25" t="s">
        <v>51</v>
      </c>
      <c r="P37" s="51">
        <v>38000</v>
      </c>
      <c r="Q37" s="27">
        <f t="shared" si="20"/>
        <v>3865246</v>
      </c>
      <c r="R37" s="28" t="s">
        <v>32</v>
      </c>
      <c r="S37" s="7">
        <v>101.717</v>
      </c>
      <c r="T37" s="29">
        <f t="shared" ref="T37:T38" si="23">SUM(K37)+89</f>
        <v>41943</v>
      </c>
      <c r="U37" s="10" t="s">
        <v>90</v>
      </c>
      <c r="V37" s="52">
        <f t="shared" ref="V37:V48" si="24">SUM(Q37*0.12%)</f>
        <v>4638.2951999999996</v>
      </c>
      <c r="W37" s="21">
        <v>155.72999999999999</v>
      </c>
      <c r="X37" s="27">
        <f t="shared" ref="X37:X38" si="25">SUM(V37*W37)</f>
        <v>722321.71149599983</v>
      </c>
      <c r="Y37" s="32">
        <v>722321.71</v>
      </c>
      <c r="Z37" s="29">
        <v>41939</v>
      </c>
      <c r="AA37" s="33">
        <v>29092</v>
      </c>
      <c r="AB37" s="75"/>
    </row>
    <row r="38" spans="2:28" ht="20.25" customHeight="1">
      <c r="B38" s="20">
        <f t="shared" si="4"/>
        <v>34</v>
      </c>
      <c r="C38" s="10" t="s">
        <v>147</v>
      </c>
      <c r="D38" s="60" t="s">
        <v>225</v>
      </c>
      <c r="E38" s="9">
        <v>41940</v>
      </c>
      <c r="F38" s="50">
        <v>201402050458</v>
      </c>
      <c r="G38" s="10" t="s">
        <v>87</v>
      </c>
      <c r="H38" s="10" t="s">
        <v>135</v>
      </c>
      <c r="I38" s="10" t="s">
        <v>88</v>
      </c>
      <c r="J38" s="23">
        <v>801.22</v>
      </c>
      <c r="K38" s="9">
        <v>41873</v>
      </c>
      <c r="L38" s="10" t="s">
        <v>138</v>
      </c>
      <c r="M38" s="61" t="s">
        <v>45</v>
      </c>
      <c r="N38" s="10" t="s">
        <v>46</v>
      </c>
      <c r="O38" s="13" t="s">
        <v>63</v>
      </c>
      <c r="P38" s="51">
        <v>202000</v>
      </c>
      <c r="Q38" s="27">
        <f t="shared" si="20"/>
        <v>20546834</v>
      </c>
      <c r="R38" s="28" t="s">
        <v>32</v>
      </c>
      <c r="S38" s="7">
        <v>101.717</v>
      </c>
      <c r="T38" s="29">
        <f t="shared" si="23"/>
        <v>41962</v>
      </c>
      <c r="U38" s="10" t="s">
        <v>90</v>
      </c>
      <c r="V38" s="52">
        <f t="shared" si="24"/>
        <v>24656.200799999999</v>
      </c>
      <c r="W38" s="21">
        <v>155.72999999999999</v>
      </c>
      <c r="X38" s="27">
        <f t="shared" si="25"/>
        <v>3839710.1505839997</v>
      </c>
      <c r="Y38" s="32">
        <v>3839710.15</v>
      </c>
      <c r="Z38" s="29">
        <v>41939</v>
      </c>
      <c r="AA38" s="33">
        <v>29093</v>
      </c>
      <c r="AB38" s="75"/>
    </row>
    <row r="39" spans="2:28" ht="24" customHeight="1">
      <c r="B39" s="20">
        <f t="shared" si="4"/>
        <v>35</v>
      </c>
      <c r="C39" s="10" t="s">
        <v>263</v>
      </c>
      <c r="D39" s="9" t="s">
        <v>339</v>
      </c>
      <c r="E39" s="22">
        <v>41943</v>
      </c>
      <c r="F39" s="12" t="s">
        <v>235</v>
      </c>
      <c r="G39" s="10" t="s">
        <v>108</v>
      </c>
      <c r="H39" s="10" t="s">
        <v>41</v>
      </c>
      <c r="I39" s="10" t="s">
        <v>88</v>
      </c>
      <c r="J39" s="23">
        <v>801.22</v>
      </c>
      <c r="K39" s="22">
        <v>41921</v>
      </c>
      <c r="L39" s="24" t="s">
        <v>254</v>
      </c>
      <c r="M39" s="24" t="s">
        <v>45</v>
      </c>
      <c r="N39" s="10" t="s">
        <v>39</v>
      </c>
      <c r="O39" s="25" t="s">
        <v>40</v>
      </c>
      <c r="P39" s="26">
        <v>950120</v>
      </c>
      <c r="Q39" s="27">
        <f t="shared" si="20"/>
        <v>85633365.480000004</v>
      </c>
      <c r="R39" s="28" t="s">
        <v>32</v>
      </c>
      <c r="S39" s="7">
        <v>90.129000000000005</v>
      </c>
      <c r="T39" s="29">
        <f t="shared" ref="T39:T47" si="26">SUM(K39)+89</f>
        <v>42010</v>
      </c>
      <c r="U39" s="13" t="s">
        <v>108</v>
      </c>
      <c r="V39" s="30">
        <f t="shared" si="24"/>
        <v>102760.03857599999</v>
      </c>
      <c r="W39" s="21">
        <v>155.76</v>
      </c>
      <c r="X39" s="31">
        <f t="shared" ref="X39:X54" si="27">SUM(V39*W39)</f>
        <v>16005903.608597757</v>
      </c>
      <c r="Y39" s="32">
        <f t="shared" ref="Y39" si="28">X39</f>
        <v>16005903.608597757</v>
      </c>
      <c r="Z39" s="21"/>
      <c r="AA39" s="21"/>
      <c r="AB39" s="75"/>
    </row>
    <row r="40" spans="2:28" ht="24" customHeight="1">
      <c r="B40" s="20">
        <f t="shared" si="4"/>
        <v>36</v>
      </c>
      <c r="C40" s="10" t="s">
        <v>277</v>
      </c>
      <c r="D40" s="9" t="s">
        <v>227</v>
      </c>
      <c r="E40" s="22">
        <v>41943</v>
      </c>
      <c r="F40" s="12" t="s">
        <v>239</v>
      </c>
      <c r="G40" s="10" t="s">
        <v>108</v>
      </c>
      <c r="H40" s="10" t="s">
        <v>41</v>
      </c>
      <c r="I40" s="10" t="s">
        <v>29</v>
      </c>
      <c r="J40" s="23">
        <v>801.22</v>
      </c>
      <c r="K40" s="22">
        <v>41927</v>
      </c>
      <c r="L40" s="24" t="s">
        <v>85</v>
      </c>
      <c r="M40" s="24" t="s">
        <v>30</v>
      </c>
      <c r="N40" s="10" t="s">
        <v>62</v>
      </c>
      <c r="O40" s="13" t="s">
        <v>80</v>
      </c>
      <c r="P40" s="26">
        <v>548784</v>
      </c>
      <c r="Q40" s="27">
        <f t="shared" si="20"/>
        <v>46033099.488000005</v>
      </c>
      <c r="R40" s="28" t="s">
        <v>32</v>
      </c>
      <c r="S40" s="7">
        <v>83.882000000000005</v>
      </c>
      <c r="T40" s="29">
        <f t="shared" si="26"/>
        <v>42016</v>
      </c>
      <c r="U40" s="13" t="s">
        <v>108</v>
      </c>
      <c r="V40" s="30">
        <f t="shared" si="24"/>
        <v>55239.719385600001</v>
      </c>
      <c r="W40" s="21">
        <v>155.76</v>
      </c>
      <c r="X40" s="31">
        <f t="shared" si="27"/>
        <v>8604138.6915010549</v>
      </c>
      <c r="Y40" s="32">
        <f t="shared" ref="Y40:Y44" si="29">X40</f>
        <v>8604138.6915010549</v>
      </c>
      <c r="Z40" s="21"/>
      <c r="AA40" s="21"/>
      <c r="AB40" s="75"/>
    </row>
    <row r="41" spans="2:28" ht="24" customHeight="1">
      <c r="B41" s="20">
        <f t="shared" si="4"/>
        <v>37</v>
      </c>
      <c r="C41" s="10" t="s">
        <v>278</v>
      </c>
      <c r="D41" s="9" t="s">
        <v>228</v>
      </c>
      <c r="E41" s="22">
        <v>41943</v>
      </c>
      <c r="F41" s="12" t="s">
        <v>240</v>
      </c>
      <c r="G41" s="10" t="s">
        <v>108</v>
      </c>
      <c r="H41" s="10" t="s">
        <v>41</v>
      </c>
      <c r="I41" s="10" t="s">
        <v>29</v>
      </c>
      <c r="J41" s="23">
        <v>801.22</v>
      </c>
      <c r="K41" s="22">
        <v>41927</v>
      </c>
      <c r="L41" s="24" t="s">
        <v>85</v>
      </c>
      <c r="M41" s="24" t="s">
        <v>30</v>
      </c>
      <c r="N41" s="10" t="s">
        <v>62</v>
      </c>
      <c r="O41" s="13" t="s">
        <v>80</v>
      </c>
      <c r="P41" s="26">
        <v>400000</v>
      </c>
      <c r="Q41" s="27">
        <f t="shared" si="20"/>
        <v>33552800.000000004</v>
      </c>
      <c r="R41" s="28" t="s">
        <v>32</v>
      </c>
      <c r="S41" s="7">
        <v>83.882000000000005</v>
      </c>
      <c r="T41" s="29">
        <f t="shared" si="26"/>
        <v>42016</v>
      </c>
      <c r="U41" s="10" t="s">
        <v>108</v>
      </c>
      <c r="V41" s="30">
        <f t="shared" si="24"/>
        <v>40263.360000000001</v>
      </c>
      <c r="W41" s="21">
        <v>155.76</v>
      </c>
      <c r="X41" s="31">
        <f t="shared" si="27"/>
        <v>6271420.9535999997</v>
      </c>
      <c r="Y41" s="32">
        <f t="shared" si="29"/>
        <v>6271420.9535999997</v>
      </c>
      <c r="Z41" s="21"/>
      <c r="AA41" s="21"/>
      <c r="AB41" s="75"/>
    </row>
    <row r="42" spans="2:28" ht="24" customHeight="1">
      <c r="B42" s="20">
        <f t="shared" si="4"/>
        <v>38</v>
      </c>
      <c r="C42" s="10" t="s">
        <v>280</v>
      </c>
      <c r="D42" s="9" t="s">
        <v>229</v>
      </c>
      <c r="E42" s="22">
        <v>41943</v>
      </c>
      <c r="F42" s="12" t="s">
        <v>241</v>
      </c>
      <c r="G42" s="10" t="s">
        <v>108</v>
      </c>
      <c r="H42" s="10" t="s">
        <v>41</v>
      </c>
      <c r="I42" s="10" t="s">
        <v>34</v>
      </c>
      <c r="J42" s="23">
        <v>801.22</v>
      </c>
      <c r="K42" s="22">
        <v>41928</v>
      </c>
      <c r="L42" s="24" t="s">
        <v>101</v>
      </c>
      <c r="M42" s="24" t="s">
        <v>35</v>
      </c>
      <c r="N42" s="10" t="s">
        <v>57</v>
      </c>
      <c r="O42" s="13" t="s">
        <v>260</v>
      </c>
      <c r="P42" s="26">
        <v>949937</v>
      </c>
      <c r="Q42" s="27">
        <f t="shared" si="20"/>
        <v>81677483.134000003</v>
      </c>
      <c r="R42" s="28" t="s">
        <v>32</v>
      </c>
      <c r="S42" s="7">
        <v>85.981999999999999</v>
      </c>
      <c r="T42" s="29">
        <f t="shared" si="26"/>
        <v>42017</v>
      </c>
      <c r="U42" s="10" t="s">
        <v>108</v>
      </c>
      <c r="V42" s="30">
        <f t="shared" si="24"/>
        <v>98012.979760799994</v>
      </c>
      <c r="W42" s="21">
        <v>155.76</v>
      </c>
      <c r="X42" s="31">
        <f t="shared" si="27"/>
        <v>15266501.727542207</v>
      </c>
      <c r="Y42" s="32">
        <f t="shared" si="29"/>
        <v>15266501.727542207</v>
      </c>
      <c r="Z42" s="21"/>
      <c r="AA42" s="21"/>
      <c r="AB42" s="75"/>
    </row>
    <row r="43" spans="2:28" ht="24" customHeight="1">
      <c r="B43" s="20">
        <f t="shared" si="4"/>
        <v>39</v>
      </c>
      <c r="C43" s="10" t="s">
        <v>267</v>
      </c>
      <c r="D43" s="9" t="s">
        <v>230</v>
      </c>
      <c r="E43" s="22">
        <v>41943</v>
      </c>
      <c r="F43" s="12" t="s">
        <v>242</v>
      </c>
      <c r="G43" s="10" t="s">
        <v>108</v>
      </c>
      <c r="H43" s="10" t="s">
        <v>41</v>
      </c>
      <c r="I43" s="10" t="s">
        <v>88</v>
      </c>
      <c r="J43" s="23">
        <v>801.22</v>
      </c>
      <c r="K43" s="22">
        <v>41928</v>
      </c>
      <c r="L43" s="24" t="s">
        <v>255</v>
      </c>
      <c r="M43" s="34" t="s">
        <v>45</v>
      </c>
      <c r="N43" s="10" t="s">
        <v>31</v>
      </c>
      <c r="O43" s="13" t="s">
        <v>261</v>
      </c>
      <c r="P43" s="26">
        <v>949771</v>
      </c>
      <c r="Q43" s="27">
        <f t="shared" si="20"/>
        <v>80903393.321999997</v>
      </c>
      <c r="R43" s="28" t="s">
        <v>32</v>
      </c>
      <c r="S43" s="35">
        <v>85.182000000000002</v>
      </c>
      <c r="T43" s="29">
        <f t="shared" si="26"/>
        <v>42017</v>
      </c>
      <c r="U43" s="10" t="s">
        <v>108</v>
      </c>
      <c r="V43" s="30">
        <f t="shared" si="24"/>
        <v>97084.071986399984</v>
      </c>
      <c r="W43" s="21">
        <v>155.76</v>
      </c>
      <c r="X43" s="31">
        <f t="shared" si="27"/>
        <v>15121815.052601662</v>
      </c>
      <c r="Y43" s="32">
        <f t="shared" si="29"/>
        <v>15121815.052601662</v>
      </c>
      <c r="Z43" s="21"/>
      <c r="AA43" s="21"/>
      <c r="AB43" s="75"/>
    </row>
    <row r="44" spans="2:28" ht="24" customHeight="1">
      <c r="B44" s="20">
        <f t="shared" si="4"/>
        <v>40</v>
      </c>
      <c r="C44" s="10" t="s">
        <v>282</v>
      </c>
      <c r="D44" s="9" t="s">
        <v>231</v>
      </c>
      <c r="E44" s="22">
        <v>41943</v>
      </c>
      <c r="F44" s="12" t="s">
        <v>243</v>
      </c>
      <c r="G44" s="10" t="s">
        <v>108</v>
      </c>
      <c r="H44" s="10" t="s">
        <v>41</v>
      </c>
      <c r="I44" s="10" t="s">
        <v>42</v>
      </c>
      <c r="J44" s="23">
        <v>801.22</v>
      </c>
      <c r="K44" s="22">
        <v>41933</v>
      </c>
      <c r="L44" s="24" t="s">
        <v>256</v>
      </c>
      <c r="M44" s="34" t="s">
        <v>43</v>
      </c>
      <c r="N44" s="10" t="s">
        <v>62</v>
      </c>
      <c r="O44" s="13" t="s">
        <v>80</v>
      </c>
      <c r="P44" s="26">
        <v>899632</v>
      </c>
      <c r="Q44" s="27">
        <f t="shared" si="20"/>
        <v>77756093.392000005</v>
      </c>
      <c r="R44" s="28" t="s">
        <v>32</v>
      </c>
      <c r="S44" s="35">
        <v>86.430999999999997</v>
      </c>
      <c r="T44" s="29">
        <f t="shared" si="26"/>
        <v>42022</v>
      </c>
      <c r="U44" s="10" t="s">
        <v>108</v>
      </c>
      <c r="V44" s="30">
        <f t="shared" si="24"/>
        <v>93307.312070400003</v>
      </c>
      <c r="W44" s="21">
        <v>155.76</v>
      </c>
      <c r="X44" s="31">
        <f t="shared" si="27"/>
        <v>14533546.928085504</v>
      </c>
      <c r="Y44" s="32">
        <f t="shared" si="29"/>
        <v>14533546.928085504</v>
      </c>
      <c r="Z44" s="21"/>
      <c r="AA44" s="21"/>
      <c r="AB44" s="75"/>
    </row>
    <row r="45" spans="2:28" ht="24" customHeight="1">
      <c r="B45" s="20">
        <f t="shared" si="4"/>
        <v>41</v>
      </c>
      <c r="C45" s="10" t="s">
        <v>274</v>
      </c>
      <c r="D45" s="9" t="s">
        <v>232</v>
      </c>
      <c r="E45" s="22">
        <v>41943</v>
      </c>
      <c r="F45" s="12" t="s">
        <v>250</v>
      </c>
      <c r="G45" s="10" t="s">
        <v>108</v>
      </c>
      <c r="H45" s="10" t="s">
        <v>41</v>
      </c>
      <c r="I45" s="10" t="s">
        <v>88</v>
      </c>
      <c r="J45" s="23">
        <v>801.22</v>
      </c>
      <c r="K45" s="22">
        <v>41943</v>
      </c>
      <c r="L45" s="24" t="s">
        <v>95</v>
      </c>
      <c r="M45" s="24" t="s">
        <v>45</v>
      </c>
      <c r="N45" s="10" t="s">
        <v>39</v>
      </c>
      <c r="O45" s="13" t="s">
        <v>72</v>
      </c>
      <c r="P45" s="26">
        <v>30000</v>
      </c>
      <c r="Q45" s="27">
        <f t="shared" si="20"/>
        <v>2565270</v>
      </c>
      <c r="R45" s="28" t="s">
        <v>32</v>
      </c>
      <c r="S45" s="7">
        <v>85.509</v>
      </c>
      <c r="T45" s="29">
        <f t="shared" si="26"/>
        <v>42032</v>
      </c>
      <c r="U45" s="10" t="s">
        <v>108</v>
      </c>
      <c r="V45" s="30">
        <f t="shared" si="24"/>
        <v>3078.3239999999996</v>
      </c>
      <c r="W45" s="21">
        <v>155.76</v>
      </c>
      <c r="X45" s="31">
        <f t="shared" si="27"/>
        <v>479479.74623999989</v>
      </c>
      <c r="Y45" s="32">
        <f t="shared" ref="Y45:Y47" si="30">X45</f>
        <v>479479.74623999989</v>
      </c>
      <c r="Z45" s="21"/>
      <c r="AA45" s="21"/>
      <c r="AB45" s="75"/>
    </row>
    <row r="46" spans="2:28" ht="24" customHeight="1">
      <c r="B46" s="20">
        <f t="shared" si="4"/>
        <v>42</v>
      </c>
      <c r="C46" s="10" t="s">
        <v>275</v>
      </c>
      <c r="D46" s="9" t="s">
        <v>233</v>
      </c>
      <c r="E46" s="22">
        <v>41943</v>
      </c>
      <c r="F46" s="12" t="s">
        <v>251</v>
      </c>
      <c r="G46" s="10" t="s">
        <v>108</v>
      </c>
      <c r="H46" s="10" t="s">
        <v>41</v>
      </c>
      <c r="I46" s="10" t="s">
        <v>88</v>
      </c>
      <c r="J46" s="23">
        <v>801.22</v>
      </c>
      <c r="K46" s="22">
        <v>41943</v>
      </c>
      <c r="L46" s="24" t="s">
        <v>95</v>
      </c>
      <c r="M46" s="24" t="s">
        <v>45</v>
      </c>
      <c r="N46" s="10" t="s">
        <v>39</v>
      </c>
      <c r="O46" s="13" t="s">
        <v>72</v>
      </c>
      <c r="P46" s="26">
        <v>70000</v>
      </c>
      <c r="Q46" s="27">
        <f t="shared" si="20"/>
        <v>5985630</v>
      </c>
      <c r="R46" s="28" t="s">
        <v>32</v>
      </c>
      <c r="S46" s="7">
        <v>85.509</v>
      </c>
      <c r="T46" s="29">
        <f t="shared" si="26"/>
        <v>42032</v>
      </c>
      <c r="U46" s="10" t="s">
        <v>108</v>
      </c>
      <c r="V46" s="30">
        <f t="shared" si="24"/>
        <v>7182.7559999999994</v>
      </c>
      <c r="W46" s="21">
        <v>155.76</v>
      </c>
      <c r="X46" s="31">
        <f t="shared" si="27"/>
        <v>1118786.0745599999</v>
      </c>
      <c r="Y46" s="32">
        <f t="shared" si="30"/>
        <v>1118786.0745599999</v>
      </c>
      <c r="Z46" s="21"/>
      <c r="AA46" s="21"/>
      <c r="AB46" s="75"/>
    </row>
    <row r="47" spans="2:28" ht="24" customHeight="1">
      <c r="B47" s="20">
        <f t="shared" si="4"/>
        <v>43</v>
      </c>
      <c r="C47" s="10" t="s">
        <v>276</v>
      </c>
      <c r="D47" s="9" t="s">
        <v>234</v>
      </c>
      <c r="E47" s="22">
        <v>41943</v>
      </c>
      <c r="F47" s="12" t="s">
        <v>252</v>
      </c>
      <c r="G47" s="10" t="s">
        <v>108</v>
      </c>
      <c r="H47" s="10" t="s">
        <v>41</v>
      </c>
      <c r="I47" s="10" t="s">
        <v>88</v>
      </c>
      <c r="J47" s="23">
        <v>801.22</v>
      </c>
      <c r="K47" s="22">
        <v>41943</v>
      </c>
      <c r="L47" s="24" t="s">
        <v>95</v>
      </c>
      <c r="M47" s="24" t="s">
        <v>45</v>
      </c>
      <c r="N47" s="10" t="s">
        <v>39</v>
      </c>
      <c r="O47" s="13" t="s">
        <v>72</v>
      </c>
      <c r="P47" s="26">
        <v>50000</v>
      </c>
      <c r="Q47" s="27">
        <f t="shared" si="20"/>
        <v>4275450</v>
      </c>
      <c r="R47" s="28" t="s">
        <v>32</v>
      </c>
      <c r="S47" s="7">
        <v>85.509</v>
      </c>
      <c r="T47" s="29">
        <f t="shared" si="26"/>
        <v>42032</v>
      </c>
      <c r="U47" s="13" t="s">
        <v>108</v>
      </c>
      <c r="V47" s="30">
        <f t="shared" si="24"/>
        <v>5130.54</v>
      </c>
      <c r="W47" s="21">
        <v>155.76</v>
      </c>
      <c r="X47" s="31">
        <f t="shared" si="27"/>
        <v>799132.91039999994</v>
      </c>
      <c r="Y47" s="32">
        <f t="shared" si="30"/>
        <v>799132.91039999994</v>
      </c>
      <c r="Z47" s="21"/>
      <c r="AA47" s="21"/>
      <c r="AB47" s="75"/>
    </row>
    <row r="48" spans="2:28" ht="24" customHeight="1">
      <c r="B48" s="20">
        <f t="shared" si="4"/>
        <v>44</v>
      </c>
      <c r="C48" s="10" t="s">
        <v>281</v>
      </c>
      <c r="D48" s="36" t="s">
        <v>285</v>
      </c>
      <c r="E48" s="29">
        <v>41954</v>
      </c>
      <c r="F48" s="12" t="s">
        <v>284</v>
      </c>
      <c r="G48" s="10" t="s">
        <v>94</v>
      </c>
      <c r="H48" s="10" t="s">
        <v>109</v>
      </c>
      <c r="I48" s="10" t="s">
        <v>96</v>
      </c>
      <c r="J48" s="23">
        <v>801.22</v>
      </c>
      <c r="K48" s="22">
        <v>41932</v>
      </c>
      <c r="L48" s="24" t="s">
        <v>77</v>
      </c>
      <c r="M48" s="34" t="s">
        <v>97</v>
      </c>
      <c r="N48" s="10" t="s">
        <v>66</v>
      </c>
      <c r="O48" s="13" t="s">
        <v>103</v>
      </c>
      <c r="P48" s="26">
        <v>701303</v>
      </c>
      <c r="Q48" s="27">
        <f t="shared" si="20"/>
        <v>56249409.720999993</v>
      </c>
      <c r="R48" s="28" t="s">
        <v>32</v>
      </c>
      <c r="S48" s="35">
        <v>80.206999999999994</v>
      </c>
      <c r="T48" s="29">
        <f t="shared" ref="T48" si="31">SUM(K48)+89</f>
        <v>42021</v>
      </c>
      <c r="U48" s="10" t="s">
        <v>100</v>
      </c>
      <c r="V48" s="30">
        <f t="shared" si="24"/>
        <v>67499.291665199984</v>
      </c>
      <c r="W48" s="21">
        <v>155.76</v>
      </c>
      <c r="X48" s="31">
        <f t="shared" si="27"/>
        <v>10513689.669771548</v>
      </c>
      <c r="Y48" s="32">
        <v>10516389.380000001</v>
      </c>
      <c r="Z48" s="29">
        <v>41950</v>
      </c>
      <c r="AA48" s="33">
        <v>3599</v>
      </c>
      <c r="AB48" s="75"/>
    </row>
    <row r="49" spans="2:28" ht="24" customHeight="1">
      <c r="B49" s="20">
        <f t="shared" ref="B49:B74" si="32">B48+1</f>
        <v>45</v>
      </c>
      <c r="C49" s="10" t="s">
        <v>264</v>
      </c>
      <c r="D49" s="10" t="s">
        <v>286</v>
      </c>
      <c r="E49" s="9">
        <v>41970</v>
      </c>
      <c r="F49" s="12" t="s">
        <v>236</v>
      </c>
      <c r="G49" s="10" t="s">
        <v>38</v>
      </c>
      <c r="H49" s="10" t="s">
        <v>74</v>
      </c>
      <c r="I49" s="10" t="s">
        <v>88</v>
      </c>
      <c r="J49" s="23">
        <v>801.22</v>
      </c>
      <c r="K49" s="22">
        <v>41921</v>
      </c>
      <c r="L49" s="24" t="s">
        <v>254</v>
      </c>
      <c r="M49" s="24" t="s">
        <v>45</v>
      </c>
      <c r="N49" s="10" t="s">
        <v>39</v>
      </c>
      <c r="O49" s="25" t="s">
        <v>40</v>
      </c>
      <c r="P49" s="26">
        <v>30000</v>
      </c>
      <c r="Q49" s="27">
        <f t="shared" si="20"/>
        <v>2605680</v>
      </c>
      <c r="R49" s="28" t="s">
        <v>32</v>
      </c>
      <c r="S49" s="7">
        <v>86.855999999999995</v>
      </c>
      <c r="T49" s="29">
        <f t="shared" ref="T49:T52" si="33">SUM(K49)+89</f>
        <v>42010</v>
      </c>
      <c r="U49" s="10" t="s">
        <v>38</v>
      </c>
      <c r="V49" s="30">
        <f t="shared" ref="V49:V54" si="34">SUM(Q49*0.12%)</f>
        <v>3126.8159999999998</v>
      </c>
      <c r="W49" s="21">
        <v>155.76</v>
      </c>
      <c r="X49" s="31">
        <f t="shared" si="27"/>
        <v>487032.86015999992</v>
      </c>
      <c r="Y49" s="32">
        <v>487038.86</v>
      </c>
      <c r="Z49" s="29">
        <v>41969</v>
      </c>
      <c r="AA49" s="33">
        <v>4435</v>
      </c>
      <c r="AB49" s="75"/>
    </row>
    <row r="50" spans="2:28" ht="24" customHeight="1">
      <c r="B50" s="20">
        <f t="shared" si="32"/>
        <v>46</v>
      </c>
      <c r="C50" s="10" t="s">
        <v>265</v>
      </c>
      <c r="D50" s="10" t="s">
        <v>287</v>
      </c>
      <c r="E50" s="9">
        <v>41970</v>
      </c>
      <c r="F50" s="12" t="s">
        <v>237</v>
      </c>
      <c r="G50" s="10" t="s">
        <v>38</v>
      </c>
      <c r="H50" s="10" t="s">
        <v>74</v>
      </c>
      <c r="I50" s="10" t="s">
        <v>88</v>
      </c>
      <c r="J50" s="23">
        <v>801.22</v>
      </c>
      <c r="K50" s="22">
        <v>41921</v>
      </c>
      <c r="L50" s="24" t="s">
        <v>254</v>
      </c>
      <c r="M50" s="24" t="s">
        <v>45</v>
      </c>
      <c r="N50" s="10" t="s">
        <v>39</v>
      </c>
      <c r="O50" s="25" t="s">
        <v>40</v>
      </c>
      <c r="P50" s="26">
        <v>54000</v>
      </c>
      <c r="Q50" s="27">
        <f t="shared" si="20"/>
        <v>4690224</v>
      </c>
      <c r="R50" s="28" t="s">
        <v>32</v>
      </c>
      <c r="S50" s="7">
        <v>86.855999999999995</v>
      </c>
      <c r="T50" s="29">
        <f t="shared" si="33"/>
        <v>42010</v>
      </c>
      <c r="U50" s="10" t="s">
        <v>38</v>
      </c>
      <c r="V50" s="30">
        <f t="shared" si="34"/>
        <v>5628.2687999999998</v>
      </c>
      <c r="W50" s="21">
        <v>155.76</v>
      </c>
      <c r="X50" s="31">
        <f t="shared" si="27"/>
        <v>876659.14828799991</v>
      </c>
      <c r="Y50" s="32">
        <v>876659.15</v>
      </c>
      <c r="Z50" s="29">
        <v>41969</v>
      </c>
      <c r="AA50" s="33">
        <v>4436</v>
      </c>
      <c r="AB50" s="75"/>
    </row>
    <row r="51" spans="2:28" ht="24" customHeight="1">
      <c r="B51" s="20">
        <f t="shared" si="32"/>
        <v>47</v>
      </c>
      <c r="C51" s="10" t="s">
        <v>266</v>
      </c>
      <c r="D51" s="10" t="s">
        <v>288</v>
      </c>
      <c r="E51" s="9">
        <v>41970</v>
      </c>
      <c r="F51" s="12" t="s">
        <v>238</v>
      </c>
      <c r="G51" s="10" t="s">
        <v>107</v>
      </c>
      <c r="H51" s="10" t="s">
        <v>74</v>
      </c>
      <c r="I51" s="10" t="s">
        <v>88</v>
      </c>
      <c r="J51" s="23">
        <v>801.22</v>
      </c>
      <c r="K51" s="22">
        <v>41921</v>
      </c>
      <c r="L51" s="24" t="s">
        <v>254</v>
      </c>
      <c r="M51" s="24" t="s">
        <v>45</v>
      </c>
      <c r="N51" s="10" t="s">
        <v>39</v>
      </c>
      <c r="O51" s="25" t="s">
        <v>40</v>
      </c>
      <c r="P51" s="26">
        <v>16000</v>
      </c>
      <c r="Q51" s="27">
        <f t="shared" si="20"/>
        <v>1389696</v>
      </c>
      <c r="R51" s="28" t="s">
        <v>32</v>
      </c>
      <c r="S51" s="7">
        <v>86.855999999999995</v>
      </c>
      <c r="T51" s="29">
        <f t="shared" si="33"/>
        <v>42010</v>
      </c>
      <c r="U51" s="10" t="s">
        <v>38</v>
      </c>
      <c r="V51" s="30">
        <f t="shared" si="34"/>
        <v>1667.6351999999999</v>
      </c>
      <c r="W51" s="21">
        <v>155.76</v>
      </c>
      <c r="X51" s="31">
        <f t="shared" si="27"/>
        <v>259750.85875199997</v>
      </c>
      <c r="Y51" s="32">
        <v>259750.86</v>
      </c>
      <c r="Z51" s="29">
        <v>41969</v>
      </c>
      <c r="AA51" s="33">
        <v>4437</v>
      </c>
      <c r="AB51" s="75"/>
    </row>
    <row r="52" spans="2:28" ht="24" customHeight="1">
      <c r="B52" s="20">
        <f t="shared" si="32"/>
        <v>48</v>
      </c>
      <c r="C52" s="10" t="s">
        <v>271</v>
      </c>
      <c r="D52" s="10" t="s">
        <v>289</v>
      </c>
      <c r="E52" s="9">
        <v>41970</v>
      </c>
      <c r="F52" s="12" t="s">
        <v>247</v>
      </c>
      <c r="G52" s="10" t="s">
        <v>38</v>
      </c>
      <c r="H52" s="10" t="s">
        <v>74</v>
      </c>
      <c r="I52" s="10" t="s">
        <v>88</v>
      </c>
      <c r="J52" s="23">
        <v>801.22</v>
      </c>
      <c r="K52" s="22">
        <v>41941</v>
      </c>
      <c r="L52" s="24" t="s">
        <v>258</v>
      </c>
      <c r="M52" s="24" t="s">
        <v>45</v>
      </c>
      <c r="N52" s="10" t="s">
        <v>39</v>
      </c>
      <c r="O52" s="13" t="s">
        <v>262</v>
      </c>
      <c r="P52" s="26">
        <v>12000</v>
      </c>
      <c r="Q52" s="27">
        <f t="shared" si="20"/>
        <v>1042271.9999999999</v>
      </c>
      <c r="R52" s="28" t="s">
        <v>32</v>
      </c>
      <c r="S52" s="7">
        <v>86.855999999999995</v>
      </c>
      <c r="T52" s="29">
        <f t="shared" si="33"/>
        <v>42030</v>
      </c>
      <c r="U52" s="10" t="s">
        <v>38</v>
      </c>
      <c r="V52" s="30">
        <f t="shared" si="34"/>
        <v>1250.7263999999998</v>
      </c>
      <c r="W52" s="21">
        <v>155.76</v>
      </c>
      <c r="X52" s="31">
        <f t="shared" si="27"/>
        <v>194813.14406399996</v>
      </c>
      <c r="Y52" s="32">
        <v>194813.14</v>
      </c>
      <c r="Z52" s="29">
        <v>41969</v>
      </c>
      <c r="AA52" s="33">
        <v>4438</v>
      </c>
      <c r="AB52" s="75"/>
    </row>
    <row r="53" spans="2:28" ht="21.75" customHeight="1">
      <c r="B53" s="20">
        <f t="shared" si="32"/>
        <v>49</v>
      </c>
      <c r="C53" s="10" t="s">
        <v>128</v>
      </c>
      <c r="D53" s="60" t="s">
        <v>291</v>
      </c>
      <c r="E53" s="9">
        <v>41971</v>
      </c>
      <c r="F53" s="12" t="s">
        <v>290</v>
      </c>
      <c r="G53" s="10" t="s">
        <v>87</v>
      </c>
      <c r="H53" s="10" t="s">
        <v>75</v>
      </c>
      <c r="I53" s="10" t="s">
        <v>88</v>
      </c>
      <c r="J53" s="23">
        <v>801.22</v>
      </c>
      <c r="K53" s="22">
        <v>41844</v>
      </c>
      <c r="L53" s="24" t="s">
        <v>122</v>
      </c>
      <c r="M53" s="24" t="s">
        <v>45</v>
      </c>
      <c r="N53" s="10" t="s">
        <v>39</v>
      </c>
      <c r="O53" s="13" t="s">
        <v>40</v>
      </c>
      <c r="P53" s="26">
        <v>209000</v>
      </c>
      <c r="Q53" s="31">
        <f t="shared" si="20"/>
        <v>22588093</v>
      </c>
      <c r="R53" s="28" t="s">
        <v>32</v>
      </c>
      <c r="S53" s="35">
        <v>108.077</v>
      </c>
      <c r="T53" s="29">
        <f t="shared" ref="T53:T54" si="35">SUM(K53)+89</f>
        <v>41933</v>
      </c>
      <c r="U53" s="10" t="s">
        <v>90</v>
      </c>
      <c r="V53" s="30">
        <f t="shared" si="34"/>
        <v>27105.711599999999</v>
      </c>
      <c r="W53" s="21">
        <v>155.72999999999999</v>
      </c>
      <c r="X53" s="31">
        <f t="shared" si="27"/>
        <v>4221172.4674679991</v>
      </c>
      <c r="Y53" s="53">
        <v>4221172.47</v>
      </c>
      <c r="Z53" s="29">
        <v>41971</v>
      </c>
      <c r="AA53" s="33">
        <v>28975</v>
      </c>
      <c r="AB53" s="75"/>
    </row>
    <row r="54" spans="2:28" ht="33">
      <c r="B54" s="20">
        <f t="shared" si="32"/>
        <v>50</v>
      </c>
      <c r="C54" s="10" t="s">
        <v>166</v>
      </c>
      <c r="D54" s="60" t="s">
        <v>293</v>
      </c>
      <c r="E54" s="9">
        <v>41971</v>
      </c>
      <c r="F54" s="12" t="s">
        <v>292</v>
      </c>
      <c r="G54" s="10" t="s">
        <v>87</v>
      </c>
      <c r="H54" s="10" t="s">
        <v>135</v>
      </c>
      <c r="I54" s="10" t="s">
        <v>88</v>
      </c>
      <c r="J54" s="23">
        <v>801.22</v>
      </c>
      <c r="K54" s="22">
        <v>41904</v>
      </c>
      <c r="L54" s="24" t="s">
        <v>102</v>
      </c>
      <c r="M54" s="24" t="s">
        <v>45</v>
      </c>
      <c r="N54" s="10" t="s">
        <v>46</v>
      </c>
      <c r="O54" s="13" t="s">
        <v>155</v>
      </c>
      <c r="P54" s="26">
        <v>88000</v>
      </c>
      <c r="Q54" s="27">
        <f t="shared" si="20"/>
        <v>8500712</v>
      </c>
      <c r="R54" s="28" t="s">
        <v>32</v>
      </c>
      <c r="S54" s="7">
        <v>96.599000000000004</v>
      </c>
      <c r="T54" s="29">
        <f t="shared" si="35"/>
        <v>41993</v>
      </c>
      <c r="U54" s="13" t="s">
        <v>90</v>
      </c>
      <c r="V54" s="52">
        <f t="shared" si="34"/>
        <v>10200.854399999998</v>
      </c>
      <c r="W54" s="21">
        <v>155.75</v>
      </c>
      <c r="X54" s="31">
        <f t="shared" si="27"/>
        <v>1588783.0727999997</v>
      </c>
      <c r="Y54" s="32">
        <v>1588783.07</v>
      </c>
      <c r="Z54" s="29">
        <v>41971</v>
      </c>
      <c r="AA54" s="33">
        <v>28976</v>
      </c>
      <c r="AB54" s="75"/>
    </row>
    <row r="55" spans="2:28" ht="21.75" customHeight="1">
      <c r="B55" s="20">
        <f t="shared" si="32"/>
        <v>51</v>
      </c>
      <c r="C55" s="10" t="s">
        <v>321</v>
      </c>
      <c r="D55" s="9" t="s">
        <v>294</v>
      </c>
      <c r="E55" s="22">
        <v>41971</v>
      </c>
      <c r="F55" s="12" t="s">
        <v>301</v>
      </c>
      <c r="G55" s="10" t="s">
        <v>108</v>
      </c>
      <c r="H55" s="10" t="s">
        <v>41</v>
      </c>
      <c r="I55" s="10" t="s">
        <v>88</v>
      </c>
      <c r="J55" s="23">
        <v>801.22</v>
      </c>
      <c r="K55" s="22">
        <v>41945</v>
      </c>
      <c r="L55" s="24" t="s">
        <v>73</v>
      </c>
      <c r="M55" s="24" t="s">
        <v>45</v>
      </c>
      <c r="N55" s="10" t="s">
        <v>64</v>
      </c>
      <c r="O55" s="25" t="s">
        <v>91</v>
      </c>
      <c r="P55" s="26">
        <v>40000</v>
      </c>
      <c r="Q55" s="31">
        <f t="shared" si="20"/>
        <v>3369720</v>
      </c>
      <c r="R55" s="28" t="s">
        <v>32</v>
      </c>
      <c r="S55" s="7">
        <v>84.242999999999995</v>
      </c>
      <c r="T55" s="29">
        <f t="shared" ref="T55:T60" si="36">SUM(K55)+89</f>
        <v>42034</v>
      </c>
      <c r="U55" s="10" t="s">
        <v>108</v>
      </c>
      <c r="V55" s="30">
        <f t="shared" ref="V55:V60" si="37">SUM(Q55*0.12%)</f>
        <v>4043.6639999999998</v>
      </c>
      <c r="W55" s="38">
        <v>165</v>
      </c>
      <c r="X55" s="31">
        <f t="shared" ref="X55:X60" si="38">SUM(V55*W55)</f>
        <v>667204.55999999994</v>
      </c>
      <c r="Y55" s="32">
        <f t="shared" ref="Y55:Y56" si="39">X55</f>
        <v>667204.55999999994</v>
      </c>
      <c r="Z55" s="21"/>
      <c r="AA55" s="21"/>
      <c r="AB55" s="75"/>
    </row>
    <row r="56" spans="2:28" ht="21.75" customHeight="1">
      <c r="B56" s="20">
        <f t="shared" si="32"/>
        <v>52</v>
      </c>
      <c r="C56" s="10" t="s">
        <v>322</v>
      </c>
      <c r="D56" s="9" t="s">
        <v>295</v>
      </c>
      <c r="E56" s="22">
        <v>41971</v>
      </c>
      <c r="F56" s="12" t="s">
        <v>302</v>
      </c>
      <c r="G56" s="10" t="s">
        <v>108</v>
      </c>
      <c r="H56" s="10" t="s">
        <v>41</v>
      </c>
      <c r="I56" s="10" t="s">
        <v>88</v>
      </c>
      <c r="J56" s="23">
        <v>801.22</v>
      </c>
      <c r="K56" s="22">
        <v>41945</v>
      </c>
      <c r="L56" s="24" t="s">
        <v>73</v>
      </c>
      <c r="M56" s="24" t="s">
        <v>45</v>
      </c>
      <c r="N56" s="10" t="s">
        <v>64</v>
      </c>
      <c r="O56" s="25" t="s">
        <v>91</v>
      </c>
      <c r="P56" s="26">
        <v>259967</v>
      </c>
      <c r="Q56" s="31">
        <f t="shared" si="20"/>
        <v>21900399.980999999</v>
      </c>
      <c r="R56" s="28" t="s">
        <v>32</v>
      </c>
      <c r="S56" s="7">
        <v>84.242999999999995</v>
      </c>
      <c r="T56" s="29">
        <f t="shared" si="36"/>
        <v>42034</v>
      </c>
      <c r="U56" s="10" t="s">
        <v>108</v>
      </c>
      <c r="V56" s="30">
        <f t="shared" si="37"/>
        <v>26280.479977199997</v>
      </c>
      <c r="W56" s="38">
        <v>165</v>
      </c>
      <c r="X56" s="31">
        <f t="shared" si="38"/>
        <v>4336279.1962379999</v>
      </c>
      <c r="Y56" s="32">
        <f t="shared" si="39"/>
        <v>4336279.1962379999</v>
      </c>
      <c r="Z56" s="21"/>
      <c r="AA56" s="21"/>
      <c r="AB56" s="75"/>
    </row>
    <row r="57" spans="2:28" ht="21.75" customHeight="1">
      <c r="B57" s="20">
        <f t="shared" si="32"/>
        <v>53</v>
      </c>
      <c r="C57" s="10" t="s">
        <v>325</v>
      </c>
      <c r="D57" s="9" t="s">
        <v>296</v>
      </c>
      <c r="E57" s="22">
        <v>41971</v>
      </c>
      <c r="F57" s="12" t="s">
        <v>304</v>
      </c>
      <c r="G57" s="10" t="s">
        <v>108</v>
      </c>
      <c r="H57" s="10" t="s">
        <v>41</v>
      </c>
      <c r="I57" s="10" t="s">
        <v>88</v>
      </c>
      <c r="J57" s="23">
        <v>801.22</v>
      </c>
      <c r="K57" s="22">
        <v>41952</v>
      </c>
      <c r="L57" s="24" t="s">
        <v>98</v>
      </c>
      <c r="M57" s="24" t="s">
        <v>45</v>
      </c>
      <c r="N57" s="10" t="s">
        <v>50</v>
      </c>
      <c r="O57" s="13" t="s">
        <v>51</v>
      </c>
      <c r="P57" s="26">
        <v>549998</v>
      </c>
      <c r="Q57" s="31">
        <f t="shared" si="20"/>
        <v>45372085.010000005</v>
      </c>
      <c r="R57" s="28" t="s">
        <v>32</v>
      </c>
      <c r="S57" s="7">
        <v>82.495000000000005</v>
      </c>
      <c r="T57" s="29">
        <f t="shared" si="36"/>
        <v>42041</v>
      </c>
      <c r="U57" s="10" t="s">
        <v>108</v>
      </c>
      <c r="V57" s="30">
        <f t="shared" si="37"/>
        <v>54446.502012000004</v>
      </c>
      <c r="W57" s="38">
        <v>165</v>
      </c>
      <c r="X57" s="31">
        <f t="shared" si="38"/>
        <v>8983672.8319800012</v>
      </c>
      <c r="Y57" s="32">
        <f t="shared" ref="Y57:Y58" si="40">X57</f>
        <v>8983672.8319800012</v>
      </c>
      <c r="Z57" s="21"/>
      <c r="AA57" s="21"/>
      <c r="AB57" s="75"/>
    </row>
    <row r="58" spans="2:28" ht="21.75" customHeight="1">
      <c r="B58" s="20">
        <f t="shared" si="32"/>
        <v>54</v>
      </c>
      <c r="C58" s="10" t="s">
        <v>326</v>
      </c>
      <c r="D58" s="9" t="s">
        <v>297</v>
      </c>
      <c r="E58" s="22">
        <v>41971</v>
      </c>
      <c r="F58" s="12" t="s">
        <v>305</v>
      </c>
      <c r="G58" s="10" t="s">
        <v>108</v>
      </c>
      <c r="H58" s="10" t="s">
        <v>41</v>
      </c>
      <c r="I58" s="10" t="s">
        <v>88</v>
      </c>
      <c r="J58" s="23">
        <v>801.22</v>
      </c>
      <c r="K58" s="22">
        <v>41952</v>
      </c>
      <c r="L58" s="24" t="s">
        <v>98</v>
      </c>
      <c r="M58" s="24" t="s">
        <v>45</v>
      </c>
      <c r="N58" s="10" t="s">
        <v>50</v>
      </c>
      <c r="O58" s="13" t="s">
        <v>51</v>
      </c>
      <c r="P58" s="26">
        <v>100000</v>
      </c>
      <c r="Q58" s="31">
        <f t="shared" si="20"/>
        <v>8249500</v>
      </c>
      <c r="R58" s="28" t="s">
        <v>32</v>
      </c>
      <c r="S58" s="7">
        <v>82.495000000000005</v>
      </c>
      <c r="T58" s="29">
        <f t="shared" si="36"/>
        <v>42041</v>
      </c>
      <c r="U58" s="10" t="s">
        <v>108</v>
      </c>
      <c r="V58" s="30">
        <f t="shared" si="37"/>
        <v>9899.4</v>
      </c>
      <c r="W58" s="38">
        <v>165</v>
      </c>
      <c r="X58" s="31">
        <f t="shared" si="38"/>
        <v>1633401</v>
      </c>
      <c r="Y58" s="32">
        <f t="shared" si="40"/>
        <v>1633401</v>
      </c>
      <c r="Z58" s="21"/>
      <c r="AA58" s="21"/>
      <c r="AB58" s="75"/>
    </row>
    <row r="59" spans="2:28" ht="21.75" customHeight="1">
      <c r="B59" s="20">
        <f t="shared" si="32"/>
        <v>55</v>
      </c>
      <c r="C59" s="10" t="s">
        <v>330</v>
      </c>
      <c r="D59" s="9" t="s">
        <v>298</v>
      </c>
      <c r="E59" s="22">
        <v>41971</v>
      </c>
      <c r="F59" s="11" t="s">
        <v>308</v>
      </c>
      <c r="G59" s="10" t="s">
        <v>108</v>
      </c>
      <c r="H59" s="10" t="s">
        <v>41</v>
      </c>
      <c r="I59" s="10" t="s">
        <v>29</v>
      </c>
      <c r="J59" s="23">
        <v>801.22</v>
      </c>
      <c r="K59" s="22">
        <v>41966</v>
      </c>
      <c r="L59" s="24" t="s">
        <v>92</v>
      </c>
      <c r="M59" s="24" t="s">
        <v>30</v>
      </c>
      <c r="N59" s="10" t="s">
        <v>83</v>
      </c>
      <c r="O59" s="13" t="s">
        <v>106</v>
      </c>
      <c r="P59" s="26">
        <v>400000</v>
      </c>
      <c r="Q59" s="31">
        <f t="shared" si="20"/>
        <v>31454000.000000004</v>
      </c>
      <c r="R59" s="28" t="s">
        <v>32</v>
      </c>
      <c r="S59" s="35">
        <v>78.635000000000005</v>
      </c>
      <c r="T59" s="29">
        <f t="shared" si="36"/>
        <v>42055</v>
      </c>
      <c r="U59" s="10" t="s">
        <v>108</v>
      </c>
      <c r="V59" s="30">
        <f t="shared" si="37"/>
        <v>37744.800000000003</v>
      </c>
      <c r="W59" s="38">
        <v>165</v>
      </c>
      <c r="X59" s="31">
        <f t="shared" si="38"/>
        <v>6227892.0000000009</v>
      </c>
      <c r="Y59" s="32">
        <f t="shared" ref="Y59:Y60" si="41">X59</f>
        <v>6227892.0000000009</v>
      </c>
      <c r="Z59" s="21"/>
      <c r="AA59" s="21"/>
      <c r="AB59" s="75"/>
    </row>
    <row r="60" spans="2:28" ht="21.75" customHeight="1">
      <c r="B60" s="20">
        <f t="shared" si="32"/>
        <v>56</v>
      </c>
      <c r="C60" s="10" t="s">
        <v>331</v>
      </c>
      <c r="D60" s="9" t="s">
        <v>299</v>
      </c>
      <c r="E60" s="22">
        <v>41971</v>
      </c>
      <c r="F60" s="11" t="s">
        <v>309</v>
      </c>
      <c r="G60" s="10" t="s">
        <v>108</v>
      </c>
      <c r="H60" s="10" t="s">
        <v>41</v>
      </c>
      <c r="I60" s="10" t="s">
        <v>29</v>
      </c>
      <c r="J60" s="23">
        <v>801.22</v>
      </c>
      <c r="K60" s="22">
        <v>41966</v>
      </c>
      <c r="L60" s="24" t="s">
        <v>92</v>
      </c>
      <c r="M60" s="24" t="s">
        <v>30</v>
      </c>
      <c r="N60" s="10" t="s">
        <v>83</v>
      </c>
      <c r="O60" s="13" t="s">
        <v>106</v>
      </c>
      <c r="P60" s="26">
        <v>547848</v>
      </c>
      <c r="Q60" s="31">
        <f t="shared" si="20"/>
        <v>43080027.480000004</v>
      </c>
      <c r="R60" s="28" t="s">
        <v>32</v>
      </c>
      <c r="S60" s="35">
        <v>78.635000000000005</v>
      </c>
      <c r="T60" s="29">
        <f t="shared" si="36"/>
        <v>42055</v>
      </c>
      <c r="U60" s="10" t="s">
        <v>108</v>
      </c>
      <c r="V60" s="30">
        <f t="shared" si="37"/>
        <v>51696.032976000002</v>
      </c>
      <c r="W60" s="38">
        <v>165</v>
      </c>
      <c r="X60" s="31">
        <f t="shared" si="38"/>
        <v>8529845.4410399999</v>
      </c>
      <c r="Y60" s="32">
        <f t="shared" si="41"/>
        <v>8529845.4410399999</v>
      </c>
      <c r="Z60" s="21"/>
      <c r="AA60" s="21"/>
      <c r="AB60" s="75"/>
    </row>
    <row r="61" spans="2:28" ht="21.75" customHeight="1">
      <c r="B61" s="20">
        <f t="shared" si="32"/>
        <v>57</v>
      </c>
      <c r="C61" s="10" t="s">
        <v>175</v>
      </c>
      <c r="D61" s="13" t="s">
        <v>340</v>
      </c>
      <c r="E61" s="9">
        <v>42004</v>
      </c>
      <c r="F61" s="12" t="s">
        <v>226</v>
      </c>
      <c r="G61" s="10" t="s">
        <v>100</v>
      </c>
      <c r="H61" s="10" t="s">
        <v>33</v>
      </c>
      <c r="I61" s="10" t="s">
        <v>34</v>
      </c>
      <c r="J61" s="23">
        <v>801.22</v>
      </c>
      <c r="K61" s="22">
        <v>41892</v>
      </c>
      <c r="L61" s="24" t="s">
        <v>151</v>
      </c>
      <c r="M61" s="24" t="s">
        <v>35</v>
      </c>
      <c r="N61" s="10" t="s">
        <v>62</v>
      </c>
      <c r="O61" s="25" t="s">
        <v>80</v>
      </c>
      <c r="P61" s="26">
        <v>950071</v>
      </c>
      <c r="Q61" s="27">
        <f t="shared" si="20"/>
        <v>93185123.191383004</v>
      </c>
      <c r="R61" s="28" t="s">
        <v>32</v>
      </c>
      <c r="S61" s="62">
        <v>98.082273000000001</v>
      </c>
      <c r="T61" s="29">
        <f t="shared" ref="T61:T64" si="42">SUM(K61)+89</f>
        <v>41981</v>
      </c>
      <c r="U61" s="10" t="s">
        <v>37</v>
      </c>
      <c r="V61" s="52">
        <f t="shared" ref="V61:V74" si="43">SUM(Q61*0.12%)</f>
        <v>111822.14782965959</v>
      </c>
      <c r="W61" s="21">
        <v>155.75</v>
      </c>
      <c r="X61" s="27">
        <f t="shared" ref="X61:X74" si="44">SUM(V61*W61)</f>
        <v>17416299.52446948</v>
      </c>
      <c r="Y61" s="32">
        <v>17588203.710000001</v>
      </c>
      <c r="Z61" s="29">
        <v>41992</v>
      </c>
      <c r="AA61" s="33">
        <v>10425</v>
      </c>
      <c r="AB61" s="75"/>
    </row>
    <row r="62" spans="2:28" ht="33">
      <c r="B62" s="20">
        <f t="shared" si="32"/>
        <v>58</v>
      </c>
      <c r="C62" s="10" t="s">
        <v>162</v>
      </c>
      <c r="D62" s="13" t="s">
        <v>341</v>
      </c>
      <c r="E62" s="29">
        <v>42004</v>
      </c>
      <c r="F62" s="50">
        <v>201400010402</v>
      </c>
      <c r="G62" s="10" t="s">
        <v>84</v>
      </c>
      <c r="H62" s="10" t="s">
        <v>49</v>
      </c>
      <c r="I62" s="10" t="s">
        <v>88</v>
      </c>
      <c r="J62" s="23">
        <v>801.22</v>
      </c>
      <c r="K62" s="22">
        <v>41904</v>
      </c>
      <c r="L62" s="24" t="s">
        <v>102</v>
      </c>
      <c r="M62" s="24" t="s">
        <v>45</v>
      </c>
      <c r="N62" s="10" t="s">
        <v>46</v>
      </c>
      <c r="O62" s="13" t="s">
        <v>155</v>
      </c>
      <c r="P62" s="26">
        <v>133872</v>
      </c>
      <c r="Q62" s="27">
        <f t="shared" si="20"/>
        <v>13117943.246399999</v>
      </c>
      <c r="R62" s="28" t="s">
        <v>32</v>
      </c>
      <c r="S62" s="7">
        <v>97.988699999999994</v>
      </c>
      <c r="T62" s="29">
        <f t="shared" si="42"/>
        <v>41993</v>
      </c>
      <c r="U62" s="10" t="s">
        <v>37</v>
      </c>
      <c r="V62" s="52">
        <f t="shared" si="43"/>
        <v>15741.531895679997</v>
      </c>
      <c r="W62" s="21">
        <v>155.75</v>
      </c>
      <c r="X62" s="27">
        <f t="shared" si="44"/>
        <v>2451743.5927521596</v>
      </c>
      <c r="Y62" s="32">
        <v>2436001.77</v>
      </c>
      <c r="Z62" s="29">
        <v>41997</v>
      </c>
      <c r="AA62" s="33">
        <v>10434</v>
      </c>
      <c r="AB62" s="75"/>
    </row>
    <row r="63" spans="2:28" ht="24" customHeight="1">
      <c r="B63" s="20">
        <f t="shared" si="32"/>
        <v>59</v>
      </c>
      <c r="C63" s="10" t="s">
        <v>269</v>
      </c>
      <c r="D63" s="13" t="s">
        <v>342</v>
      </c>
      <c r="E63" s="29">
        <v>42004</v>
      </c>
      <c r="F63" s="11" t="s">
        <v>245</v>
      </c>
      <c r="G63" s="10" t="s">
        <v>84</v>
      </c>
      <c r="H63" s="10" t="s">
        <v>49</v>
      </c>
      <c r="I63" s="10" t="s">
        <v>88</v>
      </c>
      <c r="J63" s="23">
        <v>801.22</v>
      </c>
      <c r="K63" s="22">
        <v>41941</v>
      </c>
      <c r="L63" s="24" t="s">
        <v>258</v>
      </c>
      <c r="M63" s="34" t="s">
        <v>45</v>
      </c>
      <c r="N63" s="10" t="s">
        <v>39</v>
      </c>
      <c r="O63" s="13" t="s">
        <v>262</v>
      </c>
      <c r="P63" s="26">
        <v>456926</v>
      </c>
      <c r="Q63" s="27">
        <f t="shared" si="20"/>
        <v>40384993.276600003</v>
      </c>
      <c r="R63" s="28" t="s">
        <v>32</v>
      </c>
      <c r="S63" s="7">
        <v>88.384100000000004</v>
      </c>
      <c r="T63" s="29">
        <f t="shared" si="42"/>
        <v>42030</v>
      </c>
      <c r="U63" s="13" t="s">
        <v>37</v>
      </c>
      <c r="V63" s="30">
        <f t="shared" si="43"/>
        <v>48461.991931919998</v>
      </c>
      <c r="W63" s="21">
        <v>155.76</v>
      </c>
      <c r="X63" s="31">
        <f t="shared" si="44"/>
        <v>7548439.8633158589</v>
      </c>
      <c r="Y63" s="32">
        <v>7499977.5700000003</v>
      </c>
      <c r="Z63" s="29">
        <v>41997</v>
      </c>
      <c r="AA63" s="33">
        <v>10435</v>
      </c>
      <c r="AB63" s="75"/>
    </row>
    <row r="64" spans="2:28" ht="24" customHeight="1">
      <c r="B64" s="20">
        <f t="shared" si="32"/>
        <v>60</v>
      </c>
      <c r="C64" s="10" t="s">
        <v>270</v>
      </c>
      <c r="D64" s="10" t="s">
        <v>343</v>
      </c>
      <c r="E64" s="29">
        <v>42004</v>
      </c>
      <c r="F64" s="11" t="s">
        <v>246</v>
      </c>
      <c r="G64" s="10" t="s">
        <v>84</v>
      </c>
      <c r="H64" s="10" t="s">
        <v>44</v>
      </c>
      <c r="I64" s="10" t="s">
        <v>88</v>
      </c>
      <c r="J64" s="23">
        <v>801.22</v>
      </c>
      <c r="K64" s="9">
        <v>41941</v>
      </c>
      <c r="L64" s="10" t="s">
        <v>258</v>
      </c>
      <c r="M64" s="10" t="s">
        <v>45</v>
      </c>
      <c r="N64" s="10" t="s">
        <v>39</v>
      </c>
      <c r="O64" s="57" t="s">
        <v>262</v>
      </c>
      <c r="P64" s="51">
        <v>80000</v>
      </c>
      <c r="Q64" s="31">
        <f t="shared" si="20"/>
        <v>7012640</v>
      </c>
      <c r="R64" s="28" t="s">
        <v>32</v>
      </c>
      <c r="S64" s="74">
        <v>87.658000000000001</v>
      </c>
      <c r="T64" s="29">
        <f t="shared" si="42"/>
        <v>42030</v>
      </c>
      <c r="U64" s="57" t="s">
        <v>37</v>
      </c>
      <c r="V64" s="30">
        <f t="shared" si="43"/>
        <v>8415.1679999999997</v>
      </c>
      <c r="W64" s="21">
        <v>155.76</v>
      </c>
      <c r="X64" s="31">
        <f t="shared" si="44"/>
        <v>1310746.5676799999</v>
      </c>
      <c r="Y64" s="53">
        <v>1302331.71</v>
      </c>
      <c r="Z64" s="29">
        <v>41997</v>
      </c>
      <c r="AA64" s="33">
        <v>10437</v>
      </c>
      <c r="AB64" s="75"/>
    </row>
    <row r="65" spans="2:28" ht="19.5" customHeight="1">
      <c r="B65" s="20">
        <f t="shared" si="32"/>
        <v>61</v>
      </c>
      <c r="C65" s="10" t="s">
        <v>391</v>
      </c>
      <c r="D65" s="9" t="s">
        <v>378</v>
      </c>
      <c r="E65" s="9">
        <v>42004</v>
      </c>
      <c r="F65" s="11" t="s">
        <v>347</v>
      </c>
      <c r="G65" s="10" t="s">
        <v>108</v>
      </c>
      <c r="H65" s="10" t="s">
        <v>41</v>
      </c>
      <c r="I65" s="10" t="s">
        <v>34</v>
      </c>
      <c r="J65" s="23">
        <v>801.22</v>
      </c>
      <c r="K65" s="9">
        <v>41975</v>
      </c>
      <c r="L65" s="10" t="s">
        <v>368</v>
      </c>
      <c r="M65" s="10" t="s">
        <v>35</v>
      </c>
      <c r="N65" s="10" t="s">
        <v>62</v>
      </c>
      <c r="O65" s="57" t="s">
        <v>80</v>
      </c>
      <c r="P65" s="51">
        <v>961905</v>
      </c>
      <c r="Q65" s="31">
        <f t="shared" si="20"/>
        <v>68932998.015000001</v>
      </c>
      <c r="R65" s="28" t="s">
        <v>32</v>
      </c>
      <c r="S65" s="74">
        <v>71.662999999999997</v>
      </c>
      <c r="T65" s="29">
        <f t="shared" ref="T65:T74" si="45">SUM(K65)+89</f>
        <v>42064</v>
      </c>
      <c r="U65" s="10" t="s">
        <v>108</v>
      </c>
      <c r="V65" s="30">
        <f t="shared" si="43"/>
        <v>82719.597618</v>
      </c>
      <c r="W65" s="38">
        <v>168</v>
      </c>
      <c r="X65" s="31">
        <f t="shared" si="44"/>
        <v>13896892.399824001</v>
      </c>
      <c r="Y65" s="53">
        <f t="shared" ref="Y65:Y67" si="46">X65</f>
        <v>13896892.399824001</v>
      </c>
      <c r="Z65" s="21"/>
      <c r="AA65" s="21"/>
      <c r="AB65" s="75"/>
    </row>
    <row r="66" spans="2:28" ht="19.5" customHeight="1">
      <c r="B66" s="20">
        <f t="shared" si="32"/>
        <v>62</v>
      </c>
      <c r="C66" s="10" t="s">
        <v>394</v>
      </c>
      <c r="D66" s="9" t="s">
        <v>379</v>
      </c>
      <c r="E66" s="9">
        <v>42004</v>
      </c>
      <c r="F66" s="11" t="s">
        <v>388</v>
      </c>
      <c r="G66" s="10" t="s">
        <v>108</v>
      </c>
      <c r="H66" s="10" t="s">
        <v>41</v>
      </c>
      <c r="I66" s="10" t="s">
        <v>42</v>
      </c>
      <c r="J66" s="23">
        <v>801.22</v>
      </c>
      <c r="K66" s="9">
        <v>41975</v>
      </c>
      <c r="L66" s="10" t="s">
        <v>369</v>
      </c>
      <c r="M66" s="10" t="s">
        <v>43</v>
      </c>
      <c r="N66" s="10" t="s">
        <v>59</v>
      </c>
      <c r="O66" s="57" t="s">
        <v>375</v>
      </c>
      <c r="P66" s="51">
        <v>899965</v>
      </c>
      <c r="Q66" s="31">
        <f t="shared" si="20"/>
        <v>64449193.545000002</v>
      </c>
      <c r="R66" s="28" t="s">
        <v>32</v>
      </c>
      <c r="S66" s="74">
        <v>71.613</v>
      </c>
      <c r="T66" s="29">
        <f t="shared" si="45"/>
        <v>42064</v>
      </c>
      <c r="U66" s="10" t="s">
        <v>108</v>
      </c>
      <c r="V66" s="30">
        <f t="shared" si="43"/>
        <v>77339.032253999991</v>
      </c>
      <c r="W66" s="38">
        <v>168</v>
      </c>
      <c r="X66" s="31">
        <f t="shared" si="44"/>
        <v>12992957.418671999</v>
      </c>
      <c r="Y66" s="53">
        <f t="shared" si="46"/>
        <v>12992957.418671999</v>
      </c>
      <c r="Z66" s="21"/>
      <c r="AA66" s="21"/>
      <c r="AB66" s="75"/>
    </row>
    <row r="67" spans="2:28" ht="19.5" customHeight="1">
      <c r="B67" s="20">
        <f>B66+1</f>
        <v>63</v>
      </c>
      <c r="C67" s="10" t="s">
        <v>393</v>
      </c>
      <c r="D67" s="9" t="s">
        <v>380</v>
      </c>
      <c r="E67" s="22">
        <v>42004</v>
      </c>
      <c r="F67" s="12" t="s">
        <v>348</v>
      </c>
      <c r="G67" s="10" t="s">
        <v>108</v>
      </c>
      <c r="H67" s="10" t="s">
        <v>41</v>
      </c>
      <c r="I67" s="10" t="s">
        <v>88</v>
      </c>
      <c r="J67" s="23">
        <v>801.22</v>
      </c>
      <c r="K67" s="22">
        <v>41979</v>
      </c>
      <c r="L67" s="24" t="s">
        <v>370</v>
      </c>
      <c r="M67" s="24" t="s">
        <v>45</v>
      </c>
      <c r="N67" s="10" t="s">
        <v>31</v>
      </c>
      <c r="O67" s="25" t="s">
        <v>81</v>
      </c>
      <c r="P67" s="26">
        <v>950116</v>
      </c>
      <c r="Q67" s="31">
        <f t="shared" si="20"/>
        <v>64114777.795999996</v>
      </c>
      <c r="R67" s="28" t="s">
        <v>32</v>
      </c>
      <c r="S67" s="7">
        <v>67.480999999999995</v>
      </c>
      <c r="T67" s="29">
        <f t="shared" si="45"/>
        <v>42068</v>
      </c>
      <c r="U67" s="10" t="s">
        <v>108</v>
      </c>
      <c r="V67" s="30">
        <f t="shared" si="43"/>
        <v>76937.733355199991</v>
      </c>
      <c r="W67" s="38">
        <v>168</v>
      </c>
      <c r="X67" s="31">
        <f t="shared" si="44"/>
        <v>12925539.203673599</v>
      </c>
      <c r="Y67" s="32">
        <f t="shared" si="46"/>
        <v>12925539.203673599</v>
      </c>
      <c r="Z67" s="21"/>
      <c r="AA67" s="21"/>
      <c r="AB67" s="75"/>
    </row>
    <row r="68" spans="2:28" ht="19.5" customHeight="1">
      <c r="B68" s="20">
        <f t="shared" si="32"/>
        <v>64</v>
      </c>
      <c r="C68" s="10" t="s">
        <v>409</v>
      </c>
      <c r="D68" s="9" t="s">
        <v>381</v>
      </c>
      <c r="E68" s="22">
        <v>42004</v>
      </c>
      <c r="F68" s="12" t="s">
        <v>352</v>
      </c>
      <c r="G68" s="10" t="s">
        <v>108</v>
      </c>
      <c r="H68" s="10" t="s">
        <v>41</v>
      </c>
      <c r="I68" s="10" t="s">
        <v>29</v>
      </c>
      <c r="J68" s="23">
        <v>801.22</v>
      </c>
      <c r="K68" s="22">
        <v>41986</v>
      </c>
      <c r="L68" s="24" t="s">
        <v>110</v>
      </c>
      <c r="M68" s="34" t="s">
        <v>30</v>
      </c>
      <c r="N68" s="10" t="s">
        <v>62</v>
      </c>
      <c r="O68" s="13" t="s">
        <v>80</v>
      </c>
      <c r="P68" s="26">
        <v>400000</v>
      </c>
      <c r="Q68" s="31">
        <f t="shared" si="20"/>
        <v>24416000</v>
      </c>
      <c r="R68" s="28" t="s">
        <v>32</v>
      </c>
      <c r="S68" s="35">
        <v>61.04</v>
      </c>
      <c r="T68" s="29">
        <f t="shared" si="45"/>
        <v>42075</v>
      </c>
      <c r="U68" s="10" t="s">
        <v>108</v>
      </c>
      <c r="V68" s="30">
        <f t="shared" si="43"/>
        <v>29299.199999999997</v>
      </c>
      <c r="W68" s="38">
        <v>168</v>
      </c>
      <c r="X68" s="31">
        <f t="shared" si="44"/>
        <v>4922265.5999999996</v>
      </c>
      <c r="Y68" s="32">
        <f t="shared" ref="Y68:Y69" si="47">X68</f>
        <v>4922265.5999999996</v>
      </c>
      <c r="Z68" s="21"/>
      <c r="AA68" s="21"/>
      <c r="AB68" s="75"/>
    </row>
    <row r="69" spans="2:28" ht="19.5" customHeight="1">
      <c r="B69" s="20">
        <f t="shared" si="32"/>
        <v>65</v>
      </c>
      <c r="C69" s="10" t="s">
        <v>410</v>
      </c>
      <c r="D69" s="9" t="s">
        <v>382</v>
      </c>
      <c r="E69" s="22">
        <v>42004</v>
      </c>
      <c r="F69" s="12" t="s">
        <v>353</v>
      </c>
      <c r="G69" s="10" t="s">
        <v>108</v>
      </c>
      <c r="H69" s="10" t="s">
        <v>41</v>
      </c>
      <c r="I69" s="10" t="s">
        <v>29</v>
      </c>
      <c r="J69" s="23">
        <v>801.22</v>
      </c>
      <c r="K69" s="22">
        <v>41986</v>
      </c>
      <c r="L69" s="24" t="s">
        <v>110</v>
      </c>
      <c r="M69" s="34" t="s">
        <v>30</v>
      </c>
      <c r="N69" s="10" t="s">
        <v>62</v>
      </c>
      <c r="O69" s="13" t="s">
        <v>80</v>
      </c>
      <c r="P69" s="26">
        <v>548399</v>
      </c>
      <c r="Q69" s="31">
        <f t="shared" si="20"/>
        <v>33474274.960000001</v>
      </c>
      <c r="R69" s="28" t="s">
        <v>32</v>
      </c>
      <c r="S69" s="35">
        <v>61.04</v>
      </c>
      <c r="T69" s="29">
        <f t="shared" si="45"/>
        <v>42075</v>
      </c>
      <c r="U69" s="10" t="s">
        <v>108</v>
      </c>
      <c r="V69" s="30">
        <f t="shared" si="43"/>
        <v>40169.129951999996</v>
      </c>
      <c r="W69" s="38">
        <v>168</v>
      </c>
      <c r="X69" s="31">
        <f t="shared" si="44"/>
        <v>6748413.831935999</v>
      </c>
      <c r="Y69" s="32">
        <f t="shared" si="47"/>
        <v>6748413.831935999</v>
      </c>
      <c r="Z69" s="21"/>
      <c r="AA69" s="21"/>
      <c r="AB69" s="75"/>
    </row>
    <row r="70" spans="2:28" ht="19.5" customHeight="1">
      <c r="B70" s="20">
        <f t="shared" si="32"/>
        <v>66</v>
      </c>
      <c r="C70" s="10" t="s">
        <v>404</v>
      </c>
      <c r="D70" s="9" t="s">
        <v>383</v>
      </c>
      <c r="E70" s="22">
        <v>42004</v>
      </c>
      <c r="F70" s="12" t="s">
        <v>362</v>
      </c>
      <c r="G70" s="10" t="s">
        <v>108</v>
      </c>
      <c r="H70" s="10" t="s">
        <v>41</v>
      </c>
      <c r="I70" s="10" t="s">
        <v>88</v>
      </c>
      <c r="J70" s="23">
        <v>801.22</v>
      </c>
      <c r="K70" s="22">
        <v>42000</v>
      </c>
      <c r="L70" s="24" t="s">
        <v>70</v>
      </c>
      <c r="M70" s="24" t="s">
        <v>45</v>
      </c>
      <c r="N70" s="10" t="s">
        <v>39</v>
      </c>
      <c r="O70" s="13" t="s">
        <v>72</v>
      </c>
      <c r="P70" s="26">
        <v>91000</v>
      </c>
      <c r="Q70" s="31">
        <f t="shared" si="20"/>
        <v>5309031</v>
      </c>
      <c r="R70" s="28" t="s">
        <v>32</v>
      </c>
      <c r="S70" s="7">
        <v>58.341000000000001</v>
      </c>
      <c r="T70" s="29">
        <f t="shared" si="45"/>
        <v>42089</v>
      </c>
      <c r="U70" s="10" t="s">
        <v>108</v>
      </c>
      <c r="V70" s="30">
        <f t="shared" si="43"/>
        <v>6370.837199999999</v>
      </c>
      <c r="W70" s="38">
        <v>168</v>
      </c>
      <c r="X70" s="31">
        <f t="shared" si="44"/>
        <v>1070300.6495999999</v>
      </c>
      <c r="Y70" s="32">
        <f t="shared" ref="Y70:Y74" si="48">X70</f>
        <v>1070300.6495999999</v>
      </c>
      <c r="Z70" s="21"/>
      <c r="AA70" s="21"/>
      <c r="AB70" s="75"/>
    </row>
    <row r="71" spans="2:28" ht="19.5" customHeight="1">
      <c r="B71" s="20">
        <f t="shared" si="32"/>
        <v>67</v>
      </c>
      <c r="C71" s="10" t="s">
        <v>405</v>
      </c>
      <c r="D71" s="9" t="s">
        <v>384</v>
      </c>
      <c r="E71" s="22">
        <v>42004</v>
      </c>
      <c r="F71" s="12" t="s">
        <v>363</v>
      </c>
      <c r="G71" s="10" t="s">
        <v>108</v>
      </c>
      <c r="H71" s="10" t="s">
        <v>41</v>
      </c>
      <c r="I71" s="10" t="s">
        <v>88</v>
      </c>
      <c r="J71" s="23">
        <v>801.22</v>
      </c>
      <c r="K71" s="22">
        <v>42000</v>
      </c>
      <c r="L71" s="24" t="s">
        <v>70</v>
      </c>
      <c r="M71" s="24" t="s">
        <v>45</v>
      </c>
      <c r="N71" s="10" t="s">
        <v>39</v>
      </c>
      <c r="O71" s="13" t="s">
        <v>72</v>
      </c>
      <c r="P71" s="26">
        <v>96000</v>
      </c>
      <c r="Q71" s="31">
        <f t="shared" si="20"/>
        <v>5600736</v>
      </c>
      <c r="R71" s="28" t="s">
        <v>32</v>
      </c>
      <c r="S71" s="7">
        <v>58.341000000000001</v>
      </c>
      <c r="T71" s="29">
        <f t="shared" si="45"/>
        <v>42089</v>
      </c>
      <c r="U71" s="10" t="s">
        <v>108</v>
      </c>
      <c r="V71" s="30">
        <f t="shared" si="43"/>
        <v>6720.8831999999993</v>
      </c>
      <c r="W71" s="38">
        <v>168</v>
      </c>
      <c r="X71" s="31">
        <f t="shared" si="44"/>
        <v>1129108.3775999998</v>
      </c>
      <c r="Y71" s="32">
        <f t="shared" si="48"/>
        <v>1129108.3775999998</v>
      </c>
      <c r="Z71" s="21"/>
      <c r="AA71" s="21"/>
      <c r="AB71" s="75"/>
    </row>
    <row r="72" spans="2:28" ht="19.5" customHeight="1">
      <c r="B72" s="20">
        <f t="shared" si="32"/>
        <v>68</v>
      </c>
      <c r="C72" s="10" t="s">
        <v>406</v>
      </c>
      <c r="D72" s="9" t="s">
        <v>385</v>
      </c>
      <c r="E72" s="22">
        <v>42004</v>
      </c>
      <c r="F72" s="12" t="s">
        <v>364</v>
      </c>
      <c r="G72" s="10" t="s">
        <v>108</v>
      </c>
      <c r="H72" s="10" t="s">
        <v>41</v>
      </c>
      <c r="I72" s="10" t="s">
        <v>88</v>
      </c>
      <c r="J72" s="23">
        <v>801.22</v>
      </c>
      <c r="K72" s="22">
        <v>42000</v>
      </c>
      <c r="L72" s="24" t="s">
        <v>70</v>
      </c>
      <c r="M72" s="24" t="s">
        <v>45</v>
      </c>
      <c r="N72" s="10" t="s">
        <v>39</v>
      </c>
      <c r="O72" s="13" t="s">
        <v>72</v>
      </c>
      <c r="P72" s="26">
        <v>155000</v>
      </c>
      <c r="Q72" s="31">
        <f t="shared" si="20"/>
        <v>9042855</v>
      </c>
      <c r="R72" s="28" t="s">
        <v>32</v>
      </c>
      <c r="S72" s="7">
        <v>58.341000000000001</v>
      </c>
      <c r="T72" s="29">
        <f t="shared" si="45"/>
        <v>42089</v>
      </c>
      <c r="U72" s="10" t="s">
        <v>108</v>
      </c>
      <c r="V72" s="30">
        <f t="shared" si="43"/>
        <v>10851.425999999999</v>
      </c>
      <c r="W72" s="38">
        <v>168</v>
      </c>
      <c r="X72" s="31">
        <f t="shared" si="44"/>
        <v>1823039.568</v>
      </c>
      <c r="Y72" s="32">
        <f t="shared" si="48"/>
        <v>1823039.568</v>
      </c>
      <c r="Z72" s="21"/>
      <c r="AA72" s="21"/>
      <c r="AB72" s="75"/>
    </row>
    <row r="73" spans="2:28" ht="19.5" customHeight="1">
      <c r="B73" s="20">
        <f t="shared" si="32"/>
        <v>69</v>
      </c>
      <c r="C73" s="10" t="s">
        <v>407</v>
      </c>
      <c r="D73" s="9" t="s">
        <v>386</v>
      </c>
      <c r="E73" s="22">
        <v>42004</v>
      </c>
      <c r="F73" s="12" t="s">
        <v>365</v>
      </c>
      <c r="G73" s="10" t="s">
        <v>108</v>
      </c>
      <c r="H73" s="10" t="s">
        <v>41</v>
      </c>
      <c r="I73" s="10" t="s">
        <v>88</v>
      </c>
      <c r="J73" s="23">
        <v>801.22</v>
      </c>
      <c r="K73" s="22">
        <v>42000</v>
      </c>
      <c r="L73" s="24" t="s">
        <v>70</v>
      </c>
      <c r="M73" s="24" t="s">
        <v>45</v>
      </c>
      <c r="N73" s="10" t="s">
        <v>39</v>
      </c>
      <c r="O73" s="13" t="s">
        <v>72</v>
      </c>
      <c r="P73" s="26">
        <v>200000</v>
      </c>
      <c r="Q73" s="31">
        <f t="shared" si="20"/>
        <v>11668200</v>
      </c>
      <c r="R73" s="28" t="s">
        <v>32</v>
      </c>
      <c r="S73" s="7">
        <v>58.341000000000001</v>
      </c>
      <c r="T73" s="29">
        <f t="shared" si="45"/>
        <v>42089</v>
      </c>
      <c r="U73" s="10" t="s">
        <v>108</v>
      </c>
      <c r="V73" s="30">
        <f t="shared" si="43"/>
        <v>14001.839999999998</v>
      </c>
      <c r="W73" s="38">
        <v>168</v>
      </c>
      <c r="X73" s="31">
        <f t="shared" si="44"/>
        <v>2352309.1199999996</v>
      </c>
      <c r="Y73" s="32">
        <f t="shared" si="48"/>
        <v>2352309.1199999996</v>
      </c>
      <c r="Z73" s="21"/>
      <c r="AA73" s="21"/>
      <c r="AB73" s="75"/>
    </row>
    <row r="74" spans="2:28" ht="21" customHeight="1" thickBot="1">
      <c r="B74" s="20">
        <f t="shared" si="32"/>
        <v>70</v>
      </c>
      <c r="C74" s="10" t="s">
        <v>408</v>
      </c>
      <c r="D74" s="9" t="s">
        <v>387</v>
      </c>
      <c r="E74" s="22">
        <v>42004</v>
      </c>
      <c r="F74" s="12" t="s">
        <v>366</v>
      </c>
      <c r="G74" s="10" t="s">
        <v>108</v>
      </c>
      <c r="H74" s="10" t="s">
        <v>41</v>
      </c>
      <c r="I74" s="10" t="s">
        <v>88</v>
      </c>
      <c r="J74" s="23">
        <v>801.22</v>
      </c>
      <c r="K74" s="22">
        <v>42000</v>
      </c>
      <c r="L74" s="24" t="s">
        <v>70</v>
      </c>
      <c r="M74" s="24" t="s">
        <v>45</v>
      </c>
      <c r="N74" s="10" t="s">
        <v>39</v>
      </c>
      <c r="O74" s="13" t="s">
        <v>72</v>
      </c>
      <c r="P74" s="26">
        <v>407700</v>
      </c>
      <c r="Q74" s="31">
        <f t="shared" si="20"/>
        <v>23785625.699999999</v>
      </c>
      <c r="R74" s="28" t="s">
        <v>32</v>
      </c>
      <c r="S74" s="7">
        <v>58.341000000000001</v>
      </c>
      <c r="T74" s="29">
        <f t="shared" si="45"/>
        <v>42089</v>
      </c>
      <c r="U74" s="10" t="s">
        <v>108</v>
      </c>
      <c r="V74" s="30">
        <f t="shared" si="43"/>
        <v>28542.750839999997</v>
      </c>
      <c r="W74" s="38">
        <v>168</v>
      </c>
      <c r="X74" s="31">
        <f t="shared" si="44"/>
        <v>4795182.1411199998</v>
      </c>
      <c r="Y74" s="32">
        <f t="shared" si="48"/>
        <v>4795182.1411199998</v>
      </c>
      <c r="Z74" s="21"/>
      <c r="AA74" s="21"/>
      <c r="AB74" s="75"/>
    </row>
    <row r="75" spans="2:28" ht="15.75" thickBot="1">
      <c r="B75" s="39"/>
      <c r="C75" s="39"/>
      <c r="D75" s="40"/>
      <c r="E75" s="40"/>
      <c r="F75" s="40"/>
      <c r="G75" s="40"/>
      <c r="H75" s="40"/>
      <c r="I75" s="40"/>
      <c r="J75" s="39"/>
      <c r="K75" s="41"/>
      <c r="L75" s="40"/>
      <c r="M75" s="41"/>
      <c r="N75" s="42"/>
      <c r="O75" s="43"/>
      <c r="P75" s="44">
        <f>SUM(P5:P74)</f>
        <v>26168075</v>
      </c>
      <c r="Q75" s="45">
        <f>SUM(Q5:Q74)</f>
        <v>2325682631.805182</v>
      </c>
      <c r="R75" s="46"/>
      <c r="S75" s="47"/>
      <c r="T75" s="48"/>
      <c r="U75" s="49"/>
      <c r="V75" s="45">
        <f>SUM(V5:V74)</f>
        <v>2790819.1581662199</v>
      </c>
      <c r="W75" s="46"/>
      <c r="X75" s="45">
        <f>SUM(X5:X74)</f>
        <v>440935046.08835381</v>
      </c>
      <c r="Y75" s="45">
        <f>SUM(Y5:Y74)</f>
        <v>440894239.58544272</v>
      </c>
      <c r="Z75" s="39"/>
      <c r="AA75" s="39"/>
      <c r="AB75" s="39"/>
    </row>
  </sheetData>
  <mergeCells count="2">
    <mergeCell ref="AB20:AB23"/>
    <mergeCell ref="AB18:AB19"/>
  </mergeCells>
  <pageMargins left="0" right="0" top="0" bottom="0" header="0.31496062992125984" footer="0"/>
  <pageSetup paperSize="8" orientation="landscape" r:id="rId1"/>
  <ignoredErrors>
    <ignoredError sqref="F29:F30 F35 F37 F6:F12 F48:F54 F61:F64 F33:F34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35"/>
  <sheetViews>
    <sheetView workbookViewId="0">
      <selection activeCell="B38" sqref="A38:XFD42"/>
    </sheetView>
  </sheetViews>
  <sheetFormatPr defaultRowHeight="15"/>
  <cols>
    <col min="1" max="1" width="4.140625" customWidth="1"/>
    <col min="2" max="2" width="2.85546875" customWidth="1"/>
    <col min="3" max="3" width="4.85546875" style="3" customWidth="1"/>
    <col min="4" max="4" width="7.5703125" style="3" customWidth="1"/>
    <col min="5" max="5" width="5.7109375" style="3" customWidth="1"/>
    <col min="6" max="6" width="10.85546875" style="3" customWidth="1"/>
    <col min="7" max="7" width="7.42578125" style="3" customWidth="1"/>
    <col min="8" max="8" width="8.140625" style="3" customWidth="1"/>
    <col min="9" max="9" width="9.28515625" style="3" customWidth="1"/>
    <col min="10" max="10" width="6" customWidth="1"/>
    <col min="11" max="11" width="6.42578125" style="1" customWidth="1"/>
    <col min="12" max="12" width="8.140625" style="3" customWidth="1"/>
    <col min="13" max="13" width="5.5703125" style="3" customWidth="1"/>
    <col min="14" max="14" width="7" style="5" customWidth="1"/>
    <col min="15" max="15" width="10.85546875" style="6" customWidth="1"/>
    <col min="16" max="16" width="8.5703125" customWidth="1"/>
    <col min="17" max="17" width="13.28515625" customWidth="1"/>
    <col min="18" max="18" width="5.42578125" customWidth="1"/>
    <col min="19" max="19" width="6.5703125" style="8" customWidth="1"/>
    <col min="20" max="20" width="7.42578125" style="1" customWidth="1"/>
    <col min="21" max="21" width="8.42578125" style="3" customWidth="1"/>
    <col min="22" max="22" width="10.28515625" customWidth="1"/>
    <col min="23" max="23" width="9.7109375" customWidth="1"/>
    <col min="24" max="24" width="13.28515625" customWidth="1"/>
    <col min="25" max="25" width="12" customWidth="1"/>
    <col min="26" max="26" width="6.42578125" customWidth="1"/>
    <col min="27" max="27" width="7" customWidth="1"/>
    <col min="28" max="28" width="11.5703125" customWidth="1"/>
  </cols>
  <sheetData>
    <row r="2" spans="2:27" ht="15.75">
      <c r="L2" s="4" t="s">
        <v>0</v>
      </c>
    </row>
    <row r="3" spans="2:27" ht="23.25" customHeight="1" thickBot="1">
      <c r="L3" s="4" t="s">
        <v>413</v>
      </c>
      <c r="P3" s="2"/>
    </row>
    <row r="4" spans="2:27" s="3" customFormat="1" ht="42.6" customHeight="1" thickBot="1">
      <c r="B4" s="14" t="s">
        <v>1</v>
      </c>
      <c r="C4" s="15" t="s">
        <v>2</v>
      </c>
      <c r="D4" s="15" t="s">
        <v>3</v>
      </c>
      <c r="E4" s="15" t="s">
        <v>4</v>
      </c>
      <c r="F4" s="16" t="s">
        <v>5</v>
      </c>
      <c r="G4" s="17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12</v>
      </c>
      <c r="N4" s="15" t="s">
        <v>13</v>
      </c>
      <c r="O4" s="15" t="s">
        <v>14</v>
      </c>
      <c r="P4" s="15" t="s">
        <v>15</v>
      </c>
      <c r="Q4" s="15" t="s">
        <v>16</v>
      </c>
      <c r="R4" s="15" t="s">
        <v>17</v>
      </c>
      <c r="S4" s="18" t="s">
        <v>18</v>
      </c>
      <c r="T4" s="15" t="s">
        <v>19</v>
      </c>
      <c r="U4" s="15" t="s">
        <v>20</v>
      </c>
      <c r="V4" s="15" t="s">
        <v>21</v>
      </c>
      <c r="W4" s="15" t="s">
        <v>22</v>
      </c>
      <c r="X4" s="15" t="s">
        <v>23</v>
      </c>
      <c r="Y4" s="15" t="s">
        <v>24</v>
      </c>
      <c r="Z4" s="15" t="s">
        <v>25</v>
      </c>
      <c r="AA4" s="19" t="s">
        <v>26</v>
      </c>
    </row>
    <row r="5" spans="2:27" ht="28.5" customHeight="1">
      <c r="B5" s="20">
        <v>1</v>
      </c>
      <c r="C5" s="10" t="s">
        <v>268</v>
      </c>
      <c r="D5" s="36" t="s">
        <v>61</v>
      </c>
      <c r="E5" s="9"/>
      <c r="F5" s="12" t="s">
        <v>244</v>
      </c>
      <c r="G5" s="10" t="s">
        <v>100</v>
      </c>
      <c r="H5" s="10" t="s">
        <v>220</v>
      </c>
      <c r="I5" s="10" t="s">
        <v>88</v>
      </c>
      <c r="J5" s="23">
        <v>801.22</v>
      </c>
      <c r="K5" s="22">
        <v>41937</v>
      </c>
      <c r="L5" s="24" t="s">
        <v>257</v>
      </c>
      <c r="M5" s="24" t="s">
        <v>45</v>
      </c>
      <c r="N5" s="10" t="s">
        <v>50</v>
      </c>
      <c r="O5" s="57" t="s">
        <v>51</v>
      </c>
      <c r="P5" s="26">
        <v>703078</v>
      </c>
      <c r="Q5" s="27">
        <f t="shared" ref="Q5:Q23" si="0">SUM(P5*S5)</f>
        <v>58923561.024000004</v>
      </c>
      <c r="R5" s="28" t="s">
        <v>32</v>
      </c>
      <c r="S5" s="35">
        <v>83.808000000000007</v>
      </c>
      <c r="T5" s="29">
        <f t="shared" ref="T5:T34" si="1">SUM(K5)+89</f>
        <v>42026</v>
      </c>
      <c r="U5" s="10" t="s">
        <v>100</v>
      </c>
      <c r="V5" s="30">
        <f t="shared" ref="V5:V34" si="2">SUM(Q5*0.12%)</f>
        <v>70708.273228799997</v>
      </c>
      <c r="W5" s="21">
        <v>155.76</v>
      </c>
      <c r="X5" s="31">
        <f t="shared" ref="X5:X34" si="3">SUM(V5*W5)</f>
        <v>11013520.638117887</v>
      </c>
      <c r="Y5" s="37">
        <v>0</v>
      </c>
      <c r="Z5" s="21"/>
      <c r="AA5" s="21"/>
    </row>
    <row r="6" spans="2:27" ht="28.5" customHeight="1">
      <c r="B6" s="20">
        <f t="shared" ref="B6" si="4">B5+1</f>
        <v>2</v>
      </c>
      <c r="C6" s="10" t="s">
        <v>272</v>
      </c>
      <c r="D6" s="36" t="s">
        <v>61</v>
      </c>
      <c r="E6" s="9"/>
      <c r="F6" s="12" t="s">
        <v>248</v>
      </c>
      <c r="G6" s="10" t="s">
        <v>87</v>
      </c>
      <c r="H6" s="10" t="s">
        <v>69</v>
      </c>
      <c r="I6" s="10" t="s">
        <v>88</v>
      </c>
      <c r="J6" s="23">
        <v>801.22</v>
      </c>
      <c r="K6" s="22">
        <v>41941</v>
      </c>
      <c r="L6" s="24" t="s">
        <v>258</v>
      </c>
      <c r="M6" s="24" t="s">
        <v>45</v>
      </c>
      <c r="N6" s="10" t="s">
        <v>39</v>
      </c>
      <c r="O6" s="57" t="s">
        <v>262</v>
      </c>
      <c r="P6" s="26">
        <v>58000</v>
      </c>
      <c r="Q6" s="27">
        <f t="shared" si="0"/>
        <v>4980576</v>
      </c>
      <c r="R6" s="28" t="s">
        <v>32</v>
      </c>
      <c r="S6" s="7">
        <v>85.872</v>
      </c>
      <c r="T6" s="29">
        <f t="shared" si="1"/>
        <v>42030</v>
      </c>
      <c r="U6" s="10" t="s">
        <v>90</v>
      </c>
      <c r="V6" s="30">
        <f t="shared" si="2"/>
        <v>5976.6911999999993</v>
      </c>
      <c r="W6" s="21">
        <v>155.76</v>
      </c>
      <c r="X6" s="31">
        <f t="shared" si="3"/>
        <v>930929.42131199979</v>
      </c>
      <c r="Y6" s="37">
        <v>0</v>
      </c>
      <c r="Z6" s="21"/>
      <c r="AA6" s="21"/>
    </row>
    <row r="7" spans="2:27" ht="24" customHeight="1">
      <c r="B7" s="20">
        <f t="shared" ref="B7:B34" si="5">B6+1</f>
        <v>3</v>
      </c>
      <c r="C7" s="10" t="s">
        <v>273</v>
      </c>
      <c r="D7" s="36" t="s">
        <v>61</v>
      </c>
      <c r="E7" s="9"/>
      <c r="F7" s="12" t="s">
        <v>249</v>
      </c>
      <c r="G7" s="10" t="s">
        <v>108</v>
      </c>
      <c r="H7" s="10" t="s">
        <v>41</v>
      </c>
      <c r="I7" s="10" t="s">
        <v>88</v>
      </c>
      <c r="J7" s="23">
        <v>801.22</v>
      </c>
      <c r="K7" s="22">
        <v>41943</v>
      </c>
      <c r="L7" s="24" t="s">
        <v>95</v>
      </c>
      <c r="M7" s="24" t="s">
        <v>45</v>
      </c>
      <c r="N7" s="10" t="s">
        <v>39</v>
      </c>
      <c r="O7" s="57" t="s">
        <v>72</v>
      </c>
      <c r="P7" s="26">
        <v>99960</v>
      </c>
      <c r="Q7" s="27">
        <f t="shared" si="0"/>
        <v>8547479.6400000006</v>
      </c>
      <c r="R7" s="28" t="s">
        <v>32</v>
      </c>
      <c r="S7" s="7">
        <v>85.509</v>
      </c>
      <c r="T7" s="29">
        <f t="shared" si="1"/>
        <v>42032</v>
      </c>
      <c r="U7" s="10" t="s">
        <v>108</v>
      </c>
      <c r="V7" s="30">
        <f t="shared" si="2"/>
        <v>10256.975568</v>
      </c>
      <c r="W7" s="21">
        <v>155.76</v>
      </c>
      <c r="X7" s="31">
        <f t="shared" si="3"/>
        <v>1597626.5144716799</v>
      </c>
      <c r="Y7" s="37">
        <v>0</v>
      </c>
      <c r="Z7" s="21"/>
      <c r="AA7" s="21"/>
    </row>
    <row r="8" spans="2:27" ht="24" customHeight="1">
      <c r="B8" s="20">
        <f t="shared" si="5"/>
        <v>4</v>
      </c>
      <c r="C8" s="10" t="s">
        <v>279</v>
      </c>
      <c r="D8" s="36" t="s">
        <v>61</v>
      </c>
      <c r="E8" s="9"/>
      <c r="F8" s="12" t="s">
        <v>253</v>
      </c>
      <c r="G8" s="10" t="s">
        <v>84</v>
      </c>
      <c r="H8" s="10" t="s">
        <v>28</v>
      </c>
      <c r="I8" s="10" t="s">
        <v>29</v>
      </c>
      <c r="J8" s="23">
        <v>801.22</v>
      </c>
      <c r="K8" s="22">
        <v>41943</v>
      </c>
      <c r="L8" s="24" t="s">
        <v>259</v>
      </c>
      <c r="M8" s="24" t="s">
        <v>30</v>
      </c>
      <c r="N8" s="10" t="s">
        <v>78</v>
      </c>
      <c r="O8" s="57" t="s">
        <v>139</v>
      </c>
      <c r="P8" s="26">
        <v>905784</v>
      </c>
      <c r="Q8" s="31">
        <f t="shared" si="0"/>
        <v>73855815.791999996</v>
      </c>
      <c r="R8" s="28" t="s">
        <v>32</v>
      </c>
      <c r="S8" s="35">
        <v>81.537999999999997</v>
      </c>
      <c r="T8" s="29">
        <f t="shared" si="1"/>
        <v>42032</v>
      </c>
      <c r="U8" s="57" t="s">
        <v>27</v>
      </c>
      <c r="V8" s="30">
        <f t="shared" si="2"/>
        <v>88626.978950399993</v>
      </c>
      <c r="W8" s="21">
        <v>155.76</v>
      </c>
      <c r="X8" s="31">
        <f t="shared" si="3"/>
        <v>13804538.241314301</v>
      </c>
      <c r="Y8" s="37">
        <v>0</v>
      </c>
      <c r="Z8" s="21"/>
      <c r="AA8" s="21"/>
    </row>
    <row r="9" spans="2:27" ht="21.75" customHeight="1">
      <c r="B9" s="20">
        <f t="shared" si="5"/>
        <v>5</v>
      </c>
      <c r="C9" s="10" t="s">
        <v>320</v>
      </c>
      <c r="D9" s="36" t="s">
        <v>61</v>
      </c>
      <c r="E9" s="9"/>
      <c r="F9" s="12" t="s">
        <v>300</v>
      </c>
      <c r="G9" s="10" t="s">
        <v>84</v>
      </c>
      <c r="H9" s="10" t="s">
        <v>44</v>
      </c>
      <c r="I9" s="10" t="s">
        <v>42</v>
      </c>
      <c r="J9" s="23">
        <v>801.22</v>
      </c>
      <c r="K9" s="22">
        <v>41945</v>
      </c>
      <c r="L9" s="24" t="s">
        <v>258</v>
      </c>
      <c r="M9" s="24" t="s">
        <v>43</v>
      </c>
      <c r="N9" s="10" t="s">
        <v>66</v>
      </c>
      <c r="O9" s="56" t="s">
        <v>140</v>
      </c>
      <c r="P9" s="26">
        <v>399989</v>
      </c>
      <c r="Q9" s="31">
        <f t="shared" si="0"/>
        <v>34112261.887000002</v>
      </c>
      <c r="R9" s="28" t="s">
        <v>32</v>
      </c>
      <c r="S9" s="7">
        <v>85.283000000000001</v>
      </c>
      <c r="T9" s="29">
        <f t="shared" si="1"/>
        <v>42034</v>
      </c>
      <c r="U9" s="57" t="s">
        <v>37</v>
      </c>
      <c r="V9" s="30">
        <f t="shared" si="2"/>
        <v>40934.714264399998</v>
      </c>
      <c r="W9" s="38">
        <v>165</v>
      </c>
      <c r="X9" s="31">
        <f t="shared" si="3"/>
        <v>6754227.8536259998</v>
      </c>
      <c r="Y9" s="37">
        <v>0</v>
      </c>
      <c r="Z9" s="21"/>
      <c r="AA9" s="21"/>
    </row>
    <row r="10" spans="2:27" ht="21.75" customHeight="1">
      <c r="B10" s="20">
        <f t="shared" si="5"/>
        <v>6</v>
      </c>
      <c r="C10" s="10" t="s">
        <v>323</v>
      </c>
      <c r="D10" s="36" t="s">
        <v>61</v>
      </c>
      <c r="E10" s="9"/>
      <c r="F10" s="12" t="s">
        <v>303</v>
      </c>
      <c r="G10" s="10" t="s">
        <v>108</v>
      </c>
      <c r="H10" s="10" t="s">
        <v>41</v>
      </c>
      <c r="I10" s="10" t="s">
        <v>96</v>
      </c>
      <c r="J10" s="23">
        <v>801.22</v>
      </c>
      <c r="K10" s="22">
        <v>41951</v>
      </c>
      <c r="L10" s="24" t="s">
        <v>317</v>
      </c>
      <c r="M10" s="24" t="s">
        <v>97</v>
      </c>
      <c r="N10" s="10" t="s">
        <v>46</v>
      </c>
      <c r="O10" s="56" t="s">
        <v>47</v>
      </c>
      <c r="P10" s="26">
        <v>361426</v>
      </c>
      <c r="Q10" s="31">
        <f t="shared" si="0"/>
        <v>28427239.178000003</v>
      </c>
      <c r="R10" s="28" t="s">
        <v>32</v>
      </c>
      <c r="S10" s="7">
        <v>78.653000000000006</v>
      </c>
      <c r="T10" s="29">
        <f t="shared" si="1"/>
        <v>42040</v>
      </c>
      <c r="U10" s="10" t="s">
        <v>108</v>
      </c>
      <c r="V10" s="30">
        <f t="shared" si="2"/>
        <v>34112.6870136</v>
      </c>
      <c r="W10" s="38">
        <v>165</v>
      </c>
      <c r="X10" s="31">
        <f t="shared" si="3"/>
        <v>5628593.3572439998</v>
      </c>
      <c r="Y10" s="37">
        <v>0</v>
      </c>
      <c r="Z10" s="21"/>
      <c r="AA10" s="21"/>
    </row>
    <row r="11" spans="2:27" ht="21.75" customHeight="1">
      <c r="B11" s="20">
        <f t="shared" si="5"/>
        <v>7</v>
      </c>
      <c r="C11" s="10" t="s">
        <v>324</v>
      </c>
      <c r="D11" s="36" t="s">
        <v>61</v>
      </c>
      <c r="E11" s="9"/>
      <c r="F11" s="12" t="s">
        <v>344</v>
      </c>
      <c r="G11" s="10" t="s">
        <v>100</v>
      </c>
      <c r="H11" s="10" t="s">
        <v>33</v>
      </c>
      <c r="I11" s="10" t="s">
        <v>96</v>
      </c>
      <c r="J11" s="23">
        <v>801.22</v>
      </c>
      <c r="K11" s="22">
        <v>41951</v>
      </c>
      <c r="L11" s="24" t="s">
        <v>317</v>
      </c>
      <c r="M11" s="24" t="s">
        <v>97</v>
      </c>
      <c r="N11" s="10" t="s">
        <v>46</v>
      </c>
      <c r="O11" s="56" t="s">
        <v>47</v>
      </c>
      <c r="P11" s="26">
        <v>240737</v>
      </c>
      <c r="Q11" s="31">
        <f t="shared" si="0"/>
        <v>18934687.261</v>
      </c>
      <c r="R11" s="28" t="s">
        <v>32</v>
      </c>
      <c r="S11" s="7">
        <v>78.653000000000006</v>
      </c>
      <c r="T11" s="29">
        <f t="shared" si="1"/>
        <v>42040</v>
      </c>
      <c r="U11" s="57" t="s">
        <v>37</v>
      </c>
      <c r="V11" s="30">
        <f t="shared" si="2"/>
        <v>22721.624713199999</v>
      </c>
      <c r="W11" s="38">
        <v>165</v>
      </c>
      <c r="X11" s="31">
        <f t="shared" si="3"/>
        <v>3749068.0776779996</v>
      </c>
      <c r="Y11" s="37">
        <v>0</v>
      </c>
      <c r="Z11" s="21"/>
      <c r="AA11" s="21"/>
    </row>
    <row r="12" spans="2:27" ht="21.75" customHeight="1">
      <c r="B12" s="20">
        <f t="shared" si="5"/>
        <v>8</v>
      </c>
      <c r="C12" s="10" t="s">
        <v>327</v>
      </c>
      <c r="D12" s="36" t="s">
        <v>61</v>
      </c>
      <c r="E12" s="9"/>
      <c r="F12" s="12" t="s">
        <v>345</v>
      </c>
      <c r="G12" s="10" t="s">
        <v>100</v>
      </c>
      <c r="H12" s="10" t="s">
        <v>33</v>
      </c>
      <c r="I12" s="10" t="s">
        <v>34</v>
      </c>
      <c r="J12" s="23">
        <v>801.22</v>
      </c>
      <c r="K12" s="22">
        <v>41953</v>
      </c>
      <c r="L12" s="24" t="s">
        <v>76</v>
      </c>
      <c r="M12" s="34" t="s">
        <v>35</v>
      </c>
      <c r="N12" s="10" t="s">
        <v>57</v>
      </c>
      <c r="O12" s="57" t="s">
        <v>58</v>
      </c>
      <c r="P12" s="26">
        <v>909781</v>
      </c>
      <c r="Q12" s="31">
        <f t="shared" si="0"/>
        <v>75521830.590999991</v>
      </c>
      <c r="R12" s="28" t="s">
        <v>32</v>
      </c>
      <c r="S12" s="35">
        <v>83.010999999999996</v>
      </c>
      <c r="T12" s="29">
        <f t="shared" si="1"/>
        <v>42042</v>
      </c>
      <c r="U12" s="10" t="s">
        <v>37</v>
      </c>
      <c r="V12" s="30">
        <f t="shared" si="2"/>
        <v>90626.196709199983</v>
      </c>
      <c r="W12" s="38">
        <v>165</v>
      </c>
      <c r="X12" s="31">
        <f t="shared" si="3"/>
        <v>14953322.457017997</v>
      </c>
      <c r="Y12" s="37">
        <v>0</v>
      </c>
      <c r="Z12" s="21"/>
      <c r="AA12" s="21"/>
    </row>
    <row r="13" spans="2:27" ht="21.75" customHeight="1">
      <c r="B13" s="20">
        <f t="shared" si="5"/>
        <v>9</v>
      </c>
      <c r="C13" s="10" t="s">
        <v>328</v>
      </c>
      <c r="D13" s="36" t="s">
        <v>61</v>
      </c>
      <c r="E13" s="9"/>
      <c r="F13" s="12" t="s">
        <v>306</v>
      </c>
      <c r="G13" s="10" t="s">
        <v>100</v>
      </c>
      <c r="H13" s="10" t="s">
        <v>56</v>
      </c>
      <c r="I13" s="10" t="s">
        <v>88</v>
      </c>
      <c r="J13" s="23">
        <v>801.22</v>
      </c>
      <c r="K13" s="22">
        <v>41956</v>
      </c>
      <c r="L13" s="24" t="s">
        <v>318</v>
      </c>
      <c r="M13" s="34" t="s">
        <v>45</v>
      </c>
      <c r="N13" s="10" t="s">
        <v>36</v>
      </c>
      <c r="O13" s="57" t="s">
        <v>112</v>
      </c>
      <c r="P13" s="26">
        <v>551867</v>
      </c>
      <c r="Q13" s="31">
        <f t="shared" si="0"/>
        <v>42680841.913000003</v>
      </c>
      <c r="R13" s="28" t="s">
        <v>32</v>
      </c>
      <c r="S13" s="35">
        <v>77.338999999999999</v>
      </c>
      <c r="T13" s="29">
        <f t="shared" si="1"/>
        <v>42045</v>
      </c>
      <c r="U13" s="10" t="s">
        <v>100</v>
      </c>
      <c r="V13" s="30">
        <f t="shared" si="2"/>
        <v>51217.010295599997</v>
      </c>
      <c r="W13" s="38">
        <v>165</v>
      </c>
      <c r="X13" s="31">
        <f t="shared" si="3"/>
        <v>8450806.6987739988</v>
      </c>
      <c r="Y13" s="37">
        <v>0</v>
      </c>
      <c r="Z13" s="21"/>
      <c r="AA13" s="21"/>
    </row>
    <row r="14" spans="2:27" ht="21.75" customHeight="1">
      <c r="B14" s="20">
        <f t="shared" si="5"/>
        <v>10</v>
      </c>
      <c r="C14" s="10" t="s">
        <v>329</v>
      </c>
      <c r="D14" s="36" t="s">
        <v>61</v>
      </c>
      <c r="E14" s="9"/>
      <c r="F14" s="12" t="s">
        <v>307</v>
      </c>
      <c r="G14" s="10" t="s">
        <v>108</v>
      </c>
      <c r="H14" s="10" t="s">
        <v>41</v>
      </c>
      <c r="I14" s="10" t="s">
        <v>88</v>
      </c>
      <c r="J14" s="23">
        <v>801.22</v>
      </c>
      <c r="K14" s="22">
        <v>41958</v>
      </c>
      <c r="L14" s="24" t="s">
        <v>73</v>
      </c>
      <c r="M14" s="34" t="s">
        <v>45</v>
      </c>
      <c r="N14" s="10" t="s">
        <v>64</v>
      </c>
      <c r="O14" s="57" t="s">
        <v>91</v>
      </c>
      <c r="P14" s="26">
        <v>599852</v>
      </c>
      <c r="Q14" s="31">
        <f t="shared" si="0"/>
        <v>46294777.804000005</v>
      </c>
      <c r="R14" s="28" t="s">
        <v>32</v>
      </c>
      <c r="S14" s="35">
        <v>77.177000000000007</v>
      </c>
      <c r="T14" s="29">
        <f t="shared" si="1"/>
        <v>42047</v>
      </c>
      <c r="U14" s="10" t="s">
        <v>108</v>
      </c>
      <c r="V14" s="30">
        <f t="shared" si="2"/>
        <v>55553.733364799999</v>
      </c>
      <c r="W14" s="38">
        <v>165</v>
      </c>
      <c r="X14" s="31">
        <f t="shared" si="3"/>
        <v>9166366.0051920004</v>
      </c>
      <c r="Y14" s="37">
        <v>0</v>
      </c>
      <c r="Z14" s="21"/>
      <c r="AA14" s="21"/>
    </row>
    <row r="15" spans="2:27" ht="21.75" customHeight="1">
      <c r="B15" s="20">
        <f t="shared" si="5"/>
        <v>11</v>
      </c>
      <c r="C15" s="10" t="s">
        <v>332</v>
      </c>
      <c r="D15" s="36" t="s">
        <v>61</v>
      </c>
      <c r="E15" s="9"/>
      <c r="F15" s="12" t="s">
        <v>310</v>
      </c>
      <c r="G15" s="10" t="s">
        <v>108</v>
      </c>
      <c r="H15" s="10" t="s">
        <v>41</v>
      </c>
      <c r="I15" s="10" t="s">
        <v>88</v>
      </c>
      <c r="J15" s="23">
        <v>801.22</v>
      </c>
      <c r="K15" s="22">
        <v>41966</v>
      </c>
      <c r="L15" s="24" t="s">
        <v>319</v>
      </c>
      <c r="M15" s="34" t="s">
        <v>45</v>
      </c>
      <c r="N15" s="10" t="s">
        <v>64</v>
      </c>
      <c r="O15" s="57" t="s">
        <v>79</v>
      </c>
      <c r="P15" s="26">
        <v>349722</v>
      </c>
      <c r="Q15" s="31">
        <f t="shared" si="0"/>
        <v>27619294.949999999</v>
      </c>
      <c r="R15" s="28" t="s">
        <v>32</v>
      </c>
      <c r="S15" s="7">
        <v>78.974999999999994</v>
      </c>
      <c r="T15" s="29">
        <f t="shared" si="1"/>
        <v>42055</v>
      </c>
      <c r="U15" s="10" t="s">
        <v>108</v>
      </c>
      <c r="V15" s="30">
        <f t="shared" si="2"/>
        <v>33143.153939999997</v>
      </c>
      <c r="W15" s="38">
        <v>165</v>
      </c>
      <c r="X15" s="31">
        <f t="shared" si="3"/>
        <v>5468620.4000999993</v>
      </c>
      <c r="Y15" s="37">
        <v>0</v>
      </c>
      <c r="Z15" s="21"/>
      <c r="AA15" s="21"/>
    </row>
    <row r="16" spans="2:27" ht="21.75" customHeight="1">
      <c r="B16" s="20">
        <f t="shared" si="5"/>
        <v>12</v>
      </c>
      <c r="C16" s="10" t="s">
        <v>333</v>
      </c>
      <c r="D16" s="36" t="s">
        <v>61</v>
      </c>
      <c r="E16" s="9"/>
      <c r="F16" s="12" t="s">
        <v>311</v>
      </c>
      <c r="G16" s="10" t="s">
        <v>84</v>
      </c>
      <c r="H16" s="10" t="s">
        <v>49</v>
      </c>
      <c r="I16" s="10" t="s">
        <v>88</v>
      </c>
      <c r="J16" s="23">
        <v>801.22</v>
      </c>
      <c r="K16" s="22">
        <v>41971</v>
      </c>
      <c r="L16" s="24" t="s">
        <v>86</v>
      </c>
      <c r="M16" s="24" t="s">
        <v>45</v>
      </c>
      <c r="N16" s="10" t="s">
        <v>31</v>
      </c>
      <c r="O16" s="57" t="s">
        <v>81</v>
      </c>
      <c r="P16" s="26">
        <v>571837</v>
      </c>
      <c r="Q16" s="31">
        <f t="shared" si="0"/>
        <v>41530233.962000005</v>
      </c>
      <c r="R16" s="28" t="s">
        <v>32</v>
      </c>
      <c r="S16" s="7">
        <v>72.626000000000005</v>
      </c>
      <c r="T16" s="29">
        <f t="shared" si="1"/>
        <v>42060</v>
      </c>
      <c r="U16" s="10" t="s">
        <v>37</v>
      </c>
      <c r="V16" s="30">
        <f t="shared" si="2"/>
        <v>49836.280754400002</v>
      </c>
      <c r="W16" s="38">
        <v>165</v>
      </c>
      <c r="X16" s="31">
        <f t="shared" si="3"/>
        <v>8222986.3244760009</v>
      </c>
      <c r="Y16" s="37">
        <v>0</v>
      </c>
      <c r="Z16" s="21"/>
      <c r="AA16" s="21"/>
    </row>
    <row r="17" spans="2:27" ht="21.75" customHeight="1">
      <c r="B17" s="20">
        <f t="shared" si="5"/>
        <v>13</v>
      </c>
      <c r="C17" s="10" t="s">
        <v>334</v>
      </c>
      <c r="D17" s="36" t="s">
        <v>61</v>
      </c>
      <c r="E17" s="9"/>
      <c r="F17" s="12" t="s">
        <v>312</v>
      </c>
      <c r="G17" s="10" t="s">
        <v>84</v>
      </c>
      <c r="H17" s="10" t="s">
        <v>44</v>
      </c>
      <c r="I17" s="10" t="s">
        <v>88</v>
      </c>
      <c r="J17" s="23">
        <v>801.22</v>
      </c>
      <c r="K17" s="22">
        <v>41971</v>
      </c>
      <c r="L17" s="24" t="s">
        <v>86</v>
      </c>
      <c r="M17" s="24" t="s">
        <v>45</v>
      </c>
      <c r="N17" s="10" t="s">
        <v>31</v>
      </c>
      <c r="O17" s="57" t="s">
        <v>81</v>
      </c>
      <c r="P17" s="26">
        <v>100000</v>
      </c>
      <c r="Q17" s="31">
        <f t="shared" si="0"/>
        <v>7262600.0000000009</v>
      </c>
      <c r="R17" s="28" t="s">
        <v>32</v>
      </c>
      <c r="S17" s="7">
        <v>72.626000000000005</v>
      </c>
      <c r="T17" s="29">
        <f t="shared" si="1"/>
        <v>42060</v>
      </c>
      <c r="U17" s="10" t="s">
        <v>37</v>
      </c>
      <c r="V17" s="30">
        <f t="shared" si="2"/>
        <v>8715.1200000000008</v>
      </c>
      <c r="W17" s="38">
        <v>165</v>
      </c>
      <c r="X17" s="31">
        <f t="shared" si="3"/>
        <v>1437994.8</v>
      </c>
      <c r="Y17" s="37">
        <v>0</v>
      </c>
      <c r="Z17" s="21"/>
      <c r="AA17" s="21"/>
    </row>
    <row r="18" spans="2:27" ht="21.75" customHeight="1">
      <c r="B18" s="20">
        <f t="shared" si="5"/>
        <v>14</v>
      </c>
      <c r="C18" s="10" t="s">
        <v>335</v>
      </c>
      <c r="D18" s="36" t="s">
        <v>61</v>
      </c>
      <c r="E18" s="9"/>
      <c r="F18" s="12" t="s">
        <v>313</v>
      </c>
      <c r="G18" s="10" t="s">
        <v>38</v>
      </c>
      <c r="H18" s="10" t="s">
        <v>74</v>
      </c>
      <c r="I18" s="10" t="s">
        <v>88</v>
      </c>
      <c r="J18" s="23">
        <v>801.22</v>
      </c>
      <c r="K18" s="22">
        <v>41971</v>
      </c>
      <c r="L18" s="24" t="s">
        <v>86</v>
      </c>
      <c r="M18" s="24" t="s">
        <v>45</v>
      </c>
      <c r="N18" s="10" t="s">
        <v>31</v>
      </c>
      <c r="O18" s="57" t="s">
        <v>81</v>
      </c>
      <c r="P18" s="26">
        <v>65000</v>
      </c>
      <c r="Q18" s="31">
        <f t="shared" si="0"/>
        <v>5116085</v>
      </c>
      <c r="R18" s="28" t="s">
        <v>32</v>
      </c>
      <c r="S18" s="7">
        <v>78.709000000000003</v>
      </c>
      <c r="T18" s="29">
        <f t="shared" si="1"/>
        <v>42060</v>
      </c>
      <c r="U18" s="10" t="s">
        <v>38</v>
      </c>
      <c r="V18" s="30">
        <f t="shared" si="2"/>
        <v>6139.3019999999997</v>
      </c>
      <c r="W18" s="38">
        <v>165</v>
      </c>
      <c r="X18" s="31">
        <f t="shared" si="3"/>
        <v>1012984.83</v>
      </c>
      <c r="Y18" s="37">
        <v>0</v>
      </c>
      <c r="Z18" s="21"/>
      <c r="AA18" s="21"/>
    </row>
    <row r="19" spans="2:27" ht="21.75" customHeight="1">
      <c r="B19" s="20">
        <f t="shared" si="5"/>
        <v>15</v>
      </c>
      <c r="C19" s="10" t="s">
        <v>336</v>
      </c>
      <c r="D19" s="36" t="s">
        <v>61</v>
      </c>
      <c r="E19" s="9"/>
      <c r="F19" s="12" t="s">
        <v>314</v>
      </c>
      <c r="G19" s="10" t="s">
        <v>38</v>
      </c>
      <c r="H19" s="10" t="s">
        <v>74</v>
      </c>
      <c r="I19" s="10" t="s">
        <v>88</v>
      </c>
      <c r="J19" s="23">
        <v>801.22</v>
      </c>
      <c r="K19" s="22">
        <v>41971</v>
      </c>
      <c r="L19" s="24" t="s">
        <v>86</v>
      </c>
      <c r="M19" s="24" t="s">
        <v>45</v>
      </c>
      <c r="N19" s="10" t="s">
        <v>31</v>
      </c>
      <c r="O19" s="57" t="s">
        <v>81</v>
      </c>
      <c r="P19" s="26">
        <v>61000</v>
      </c>
      <c r="Q19" s="31">
        <f t="shared" si="0"/>
        <v>4801249</v>
      </c>
      <c r="R19" s="28" t="s">
        <v>32</v>
      </c>
      <c r="S19" s="7">
        <v>78.709000000000003</v>
      </c>
      <c r="T19" s="29">
        <f t="shared" si="1"/>
        <v>42060</v>
      </c>
      <c r="U19" s="10" t="s">
        <v>38</v>
      </c>
      <c r="V19" s="30">
        <f t="shared" si="2"/>
        <v>5761.4987999999994</v>
      </c>
      <c r="W19" s="38">
        <v>165</v>
      </c>
      <c r="X19" s="31">
        <f t="shared" si="3"/>
        <v>950647.30199999991</v>
      </c>
      <c r="Y19" s="37">
        <v>0</v>
      </c>
      <c r="Z19" s="21"/>
      <c r="AA19" s="21"/>
    </row>
    <row r="20" spans="2:27" ht="21.75" customHeight="1">
      <c r="B20" s="20">
        <f t="shared" si="5"/>
        <v>16</v>
      </c>
      <c r="C20" s="10" t="s">
        <v>337</v>
      </c>
      <c r="D20" s="36" t="s">
        <v>61</v>
      </c>
      <c r="E20" s="9"/>
      <c r="F20" s="12" t="s">
        <v>315</v>
      </c>
      <c r="G20" s="10" t="s">
        <v>107</v>
      </c>
      <c r="H20" s="10" t="s">
        <v>74</v>
      </c>
      <c r="I20" s="10" t="s">
        <v>88</v>
      </c>
      <c r="J20" s="23">
        <v>801.22</v>
      </c>
      <c r="K20" s="22">
        <v>41971</v>
      </c>
      <c r="L20" s="24" t="s">
        <v>86</v>
      </c>
      <c r="M20" s="24" t="s">
        <v>45</v>
      </c>
      <c r="N20" s="10" t="s">
        <v>31</v>
      </c>
      <c r="O20" s="57" t="s">
        <v>81</v>
      </c>
      <c r="P20" s="26">
        <v>45000</v>
      </c>
      <c r="Q20" s="31">
        <f t="shared" si="0"/>
        <v>3541905</v>
      </c>
      <c r="R20" s="28" t="s">
        <v>32</v>
      </c>
      <c r="S20" s="7">
        <v>78.709000000000003</v>
      </c>
      <c r="T20" s="29">
        <f t="shared" si="1"/>
        <v>42060</v>
      </c>
      <c r="U20" s="10" t="s">
        <v>38</v>
      </c>
      <c r="V20" s="30">
        <f t="shared" si="2"/>
        <v>4250.2860000000001</v>
      </c>
      <c r="W20" s="38">
        <v>165</v>
      </c>
      <c r="X20" s="31">
        <f t="shared" si="3"/>
        <v>701297.19000000006</v>
      </c>
      <c r="Y20" s="37">
        <v>0</v>
      </c>
      <c r="Z20" s="21"/>
      <c r="AA20" s="21"/>
    </row>
    <row r="21" spans="2:27" ht="21.75" customHeight="1">
      <c r="B21" s="20">
        <f t="shared" si="5"/>
        <v>17</v>
      </c>
      <c r="C21" s="10" t="s">
        <v>338</v>
      </c>
      <c r="D21" s="36" t="s">
        <v>61</v>
      </c>
      <c r="E21" s="9"/>
      <c r="F21" s="12" t="s">
        <v>316</v>
      </c>
      <c r="G21" s="10" t="s">
        <v>87</v>
      </c>
      <c r="H21" s="10" t="s">
        <v>69</v>
      </c>
      <c r="I21" s="10" t="s">
        <v>88</v>
      </c>
      <c r="J21" s="23">
        <v>801.22</v>
      </c>
      <c r="K21" s="22">
        <v>41971</v>
      </c>
      <c r="L21" s="24" t="s">
        <v>86</v>
      </c>
      <c r="M21" s="24" t="s">
        <v>45</v>
      </c>
      <c r="N21" s="10" t="s">
        <v>31</v>
      </c>
      <c r="O21" s="57" t="s">
        <v>81</v>
      </c>
      <c r="P21" s="26">
        <v>169000</v>
      </c>
      <c r="Q21" s="31">
        <f t="shared" si="0"/>
        <v>12273794</v>
      </c>
      <c r="R21" s="28" t="s">
        <v>32</v>
      </c>
      <c r="S21" s="7">
        <v>72.626000000000005</v>
      </c>
      <c r="T21" s="29">
        <f t="shared" si="1"/>
        <v>42060</v>
      </c>
      <c r="U21" s="57" t="s">
        <v>90</v>
      </c>
      <c r="V21" s="30">
        <f t="shared" si="2"/>
        <v>14728.552799999999</v>
      </c>
      <c r="W21" s="38">
        <v>165</v>
      </c>
      <c r="X21" s="31">
        <f t="shared" si="3"/>
        <v>2430211.2119999998</v>
      </c>
      <c r="Y21" s="37">
        <v>0</v>
      </c>
      <c r="Z21" s="21"/>
      <c r="AA21" s="21"/>
    </row>
    <row r="22" spans="2:27" ht="19.5" customHeight="1">
      <c r="B22" s="20">
        <f t="shared" si="5"/>
        <v>18</v>
      </c>
      <c r="C22" s="10" t="s">
        <v>389</v>
      </c>
      <c r="D22" s="36" t="s">
        <v>61</v>
      </c>
      <c r="E22" s="9"/>
      <c r="F22" s="12" t="s">
        <v>346</v>
      </c>
      <c r="G22" s="10" t="s">
        <v>94</v>
      </c>
      <c r="H22" s="10" t="s">
        <v>109</v>
      </c>
      <c r="I22" s="10" t="s">
        <v>96</v>
      </c>
      <c r="J22" s="23">
        <v>801.22</v>
      </c>
      <c r="K22" s="22">
        <v>41975</v>
      </c>
      <c r="L22" s="24" t="s">
        <v>367</v>
      </c>
      <c r="M22" s="24" t="s">
        <v>97</v>
      </c>
      <c r="N22" s="10" t="s">
        <v>46</v>
      </c>
      <c r="O22" s="56" t="s">
        <v>47</v>
      </c>
      <c r="P22" s="26">
        <v>607670</v>
      </c>
      <c r="Q22" s="31">
        <f t="shared" si="0"/>
        <v>40278190.609999999</v>
      </c>
      <c r="R22" s="28" t="s">
        <v>32</v>
      </c>
      <c r="S22" s="7">
        <v>66.283000000000001</v>
      </c>
      <c r="T22" s="29">
        <f t="shared" si="1"/>
        <v>42064</v>
      </c>
      <c r="U22" s="10" t="s">
        <v>100</v>
      </c>
      <c r="V22" s="30">
        <f t="shared" si="2"/>
        <v>48333.828731999994</v>
      </c>
      <c r="W22" s="38">
        <v>168</v>
      </c>
      <c r="X22" s="31">
        <f t="shared" si="3"/>
        <v>8120083.2269759988</v>
      </c>
      <c r="Y22" s="37">
        <v>0</v>
      </c>
      <c r="Z22" s="21"/>
      <c r="AA22" s="21"/>
    </row>
    <row r="23" spans="2:27" ht="19.5" customHeight="1">
      <c r="B23" s="20">
        <f t="shared" si="5"/>
        <v>19</v>
      </c>
      <c r="C23" s="10" t="s">
        <v>395</v>
      </c>
      <c r="D23" s="36" t="s">
        <v>61</v>
      </c>
      <c r="E23" s="9"/>
      <c r="F23" s="12" t="s">
        <v>349</v>
      </c>
      <c r="G23" s="10" t="s">
        <v>100</v>
      </c>
      <c r="H23" s="10" t="s">
        <v>56</v>
      </c>
      <c r="I23" s="10" t="s">
        <v>88</v>
      </c>
      <c r="J23" s="23">
        <v>801.22</v>
      </c>
      <c r="K23" s="22">
        <v>41984</v>
      </c>
      <c r="L23" s="24" t="s">
        <v>371</v>
      </c>
      <c r="M23" s="24" t="s">
        <v>45</v>
      </c>
      <c r="N23" s="10" t="s">
        <v>36</v>
      </c>
      <c r="O23" s="56" t="s">
        <v>112</v>
      </c>
      <c r="P23" s="26">
        <v>571541</v>
      </c>
      <c r="Q23" s="31">
        <f t="shared" si="0"/>
        <v>36312285.894000001</v>
      </c>
      <c r="R23" s="28" t="s">
        <v>32</v>
      </c>
      <c r="S23" s="7">
        <v>63.533999999999999</v>
      </c>
      <c r="T23" s="29">
        <f t="shared" si="1"/>
        <v>42073</v>
      </c>
      <c r="U23" s="57" t="s">
        <v>37</v>
      </c>
      <c r="V23" s="30">
        <f t="shared" si="2"/>
        <v>43574.743072799996</v>
      </c>
      <c r="W23" s="38">
        <v>168</v>
      </c>
      <c r="X23" s="31">
        <f t="shared" si="3"/>
        <v>7320556.8362303991</v>
      </c>
      <c r="Y23" s="37">
        <v>0</v>
      </c>
      <c r="Z23" s="21"/>
      <c r="AA23" s="21"/>
    </row>
    <row r="24" spans="2:27" ht="19.5" customHeight="1">
      <c r="B24" s="20">
        <f t="shared" si="5"/>
        <v>20</v>
      </c>
      <c r="C24" s="10" t="s">
        <v>396</v>
      </c>
      <c r="D24" s="36" t="s">
        <v>61</v>
      </c>
      <c r="E24" s="9"/>
      <c r="F24" s="12" t="s">
        <v>350</v>
      </c>
      <c r="G24" s="10" t="s">
        <v>84</v>
      </c>
      <c r="H24" s="10" t="s">
        <v>49</v>
      </c>
      <c r="I24" s="10" t="s">
        <v>88</v>
      </c>
      <c r="J24" s="23">
        <v>801.22</v>
      </c>
      <c r="K24" s="22">
        <v>41984</v>
      </c>
      <c r="L24" s="24" t="s">
        <v>371</v>
      </c>
      <c r="M24" s="24" t="s">
        <v>45</v>
      </c>
      <c r="N24" s="10" t="s">
        <v>36</v>
      </c>
      <c r="O24" s="57" t="s">
        <v>112</v>
      </c>
      <c r="P24" s="26">
        <v>10000</v>
      </c>
      <c r="Q24" s="31">
        <f t="shared" ref="Q24:Q34" si="6">SUM(P24*S24)</f>
        <v>635340</v>
      </c>
      <c r="R24" s="28" t="s">
        <v>32</v>
      </c>
      <c r="S24" s="7">
        <v>63.533999999999999</v>
      </c>
      <c r="T24" s="29">
        <f t="shared" si="1"/>
        <v>42073</v>
      </c>
      <c r="U24" s="57" t="s">
        <v>37</v>
      </c>
      <c r="V24" s="30">
        <f t="shared" si="2"/>
        <v>762.4079999999999</v>
      </c>
      <c r="W24" s="38">
        <v>168</v>
      </c>
      <c r="X24" s="31">
        <f t="shared" si="3"/>
        <v>128084.54399999998</v>
      </c>
      <c r="Y24" s="37">
        <v>0</v>
      </c>
      <c r="Z24" s="21"/>
      <c r="AA24" s="21"/>
    </row>
    <row r="25" spans="2:27" ht="19.5" customHeight="1">
      <c r="B25" s="20">
        <f t="shared" si="5"/>
        <v>21</v>
      </c>
      <c r="C25" s="10" t="s">
        <v>397</v>
      </c>
      <c r="D25" s="36" t="s">
        <v>61</v>
      </c>
      <c r="E25" s="9"/>
      <c r="F25" s="12" t="s">
        <v>351</v>
      </c>
      <c r="G25" s="10" t="s">
        <v>87</v>
      </c>
      <c r="H25" s="10" t="s">
        <v>69</v>
      </c>
      <c r="I25" s="10" t="s">
        <v>88</v>
      </c>
      <c r="J25" s="23">
        <v>801.22</v>
      </c>
      <c r="K25" s="22">
        <v>41984</v>
      </c>
      <c r="L25" s="24" t="s">
        <v>371</v>
      </c>
      <c r="M25" s="24" t="s">
        <v>45</v>
      </c>
      <c r="N25" s="10" t="s">
        <v>36</v>
      </c>
      <c r="O25" s="57" t="s">
        <v>112</v>
      </c>
      <c r="P25" s="26">
        <v>120000</v>
      </c>
      <c r="Q25" s="31">
        <f t="shared" si="6"/>
        <v>7624080</v>
      </c>
      <c r="R25" s="28" t="s">
        <v>32</v>
      </c>
      <c r="S25" s="7">
        <v>63.533999999999999</v>
      </c>
      <c r="T25" s="29">
        <f t="shared" si="1"/>
        <v>42073</v>
      </c>
      <c r="U25" s="10" t="s">
        <v>90</v>
      </c>
      <c r="V25" s="30">
        <f t="shared" si="2"/>
        <v>9148.8959999999988</v>
      </c>
      <c r="W25" s="38">
        <v>168</v>
      </c>
      <c r="X25" s="31">
        <f t="shared" si="3"/>
        <v>1537014.5279999997</v>
      </c>
      <c r="Y25" s="37">
        <v>0</v>
      </c>
      <c r="Z25" s="21"/>
      <c r="AA25" s="21"/>
    </row>
    <row r="26" spans="2:27" ht="19.5" customHeight="1">
      <c r="B26" s="20">
        <f t="shared" si="5"/>
        <v>22</v>
      </c>
      <c r="C26" s="10" t="s">
        <v>398</v>
      </c>
      <c r="D26" s="36" t="s">
        <v>61</v>
      </c>
      <c r="E26" s="9"/>
      <c r="F26" s="12" t="s">
        <v>354</v>
      </c>
      <c r="G26" s="10" t="s">
        <v>84</v>
      </c>
      <c r="H26" s="10" t="s">
        <v>28</v>
      </c>
      <c r="I26" s="10" t="s">
        <v>88</v>
      </c>
      <c r="J26" s="23">
        <v>801.22</v>
      </c>
      <c r="K26" s="22">
        <v>41992</v>
      </c>
      <c r="L26" s="24" t="s">
        <v>372</v>
      </c>
      <c r="M26" s="34" t="s">
        <v>45</v>
      </c>
      <c r="N26" s="10" t="s">
        <v>62</v>
      </c>
      <c r="O26" s="57" t="s">
        <v>80</v>
      </c>
      <c r="P26" s="26">
        <v>200000</v>
      </c>
      <c r="Q26" s="31">
        <f t="shared" si="6"/>
        <v>11891200</v>
      </c>
      <c r="R26" s="28" t="s">
        <v>32</v>
      </c>
      <c r="S26" s="7">
        <v>59.456000000000003</v>
      </c>
      <c r="T26" s="29">
        <f t="shared" si="1"/>
        <v>42081</v>
      </c>
      <c r="U26" s="10" t="s">
        <v>27</v>
      </c>
      <c r="V26" s="30">
        <f t="shared" si="2"/>
        <v>14269.439999999999</v>
      </c>
      <c r="W26" s="38">
        <v>168</v>
      </c>
      <c r="X26" s="31">
        <f t="shared" si="3"/>
        <v>2397265.9199999999</v>
      </c>
      <c r="Y26" s="37">
        <v>0</v>
      </c>
      <c r="Z26" s="21"/>
      <c r="AA26" s="21"/>
    </row>
    <row r="27" spans="2:27" ht="19.5" customHeight="1">
      <c r="B27" s="20">
        <f t="shared" si="5"/>
        <v>23</v>
      </c>
      <c r="C27" s="10" t="s">
        <v>399</v>
      </c>
      <c r="D27" s="36" t="s">
        <v>61</v>
      </c>
      <c r="E27" s="9"/>
      <c r="F27" s="11" t="s">
        <v>355</v>
      </c>
      <c r="G27" s="10" t="s">
        <v>84</v>
      </c>
      <c r="H27" s="10" t="s">
        <v>49</v>
      </c>
      <c r="I27" s="10" t="s">
        <v>88</v>
      </c>
      <c r="J27" s="23">
        <v>801.22</v>
      </c>
      <c r="K27" s="22">
        <v>41992</v>
      </c>
      <c r="L27" s="24" t="s">
        <v>372</v>
      </c>
      <c r="M27" s="24" t="s">
        <v>45</v>
      </c>
      <c r="N27" s="10" t="s">
        <v>62</v>
      </c>
      <c r="O27" s="57" t="s">
        <v>80</v>
      </c>
      <c r="P27" s="26">
        <v>572611</v>
      </c>
      <c r="Q27" s="31">
        <f t="shared" si="6"/>
        <v>34045159.616000004</v>
      </c>
      <c r="R27" s="28" t="s">
        <v>32</v>
      </c>
      <c r="S27" s="7">
        <v>59.456000000000003</v>
      </c>
      <c r="T27" s="29">
        <f t="shared" si="1"/>
        <v>42081</v>
      </c>
      <c r="U27" s="10" t="s">
        <v>37</v>
      </c>
      <c r="V27" s="30">
        <f t="shared" si="2"/>
        <v>40854.191539200001</v>
      </c>
      <c r="W27" s="38">
        <v>168</v>
      </c>
      <c r="X27" s="31">
        <f t="shared" si="3"/>
        <v>6863504.1785856001</v>
      </c>
      <c r="Y27" s="37">
        <v>0</v>
      </c>
      <c r="Z27" s="21"/>
      <c r="AA27" s="21"/>
    </row>
    <row r="28" spans="2:27" ht="19.5" customHeight="1">
      <c r="B28" s="20">
        <f t="shared" si="5"/>
        <v>24</v>
      </c>
      <c r="C28" s="10" t="s">
        <v>400</v>
      </c>
      <c r="D28" s="36" t="s">
        <v>61</v>
      </c>
      <c r="E28" s="9"/>
      <c r="F28" s="11" t="s">
        <v>356</v>
      </c>
      <c r="G28" s="10" t="s">
        <v>84</v>
      </c>
      <c r="H28" s="10" t="s">
        <v>49</v>
      </c>
      <c r="I28" s="10" t="s">
        <v>88</v>
      </c>
      <c r="J28" s="23">
        <v>801.22</v>
      </c>
      <c r="K28" s="22">
        <v>41992</v>
      </c>
      <c r="L28" s="24" t="s">
        <v>372</v>
      </c>
      <c r="M28" s="24" t="s">
        <v>45</v>
      </c>
      <c r="N28" s="10" t="s">
        <v>62</v>
      </c>
      <c r="O28" s="57" t="s">
        <v>80</v>
      </c>
      <c r="P28" s="26">
        <v>120000</v>
      </c>
      <c r="Q28" s="31">
        <f t="shared" si="6"/>
        <v>7134720</v>
      </c>
      <c r="R28" s="28" t="s">
        <v>32</v>
      </c>
      <c r="S28" s="7">
        <v>59.456000000000003</v>
      </c>
      <c r="T28" s="29">
        <f t="shared" si="1"/>
        <v>42081</v>
      </c>
      <c r="U28" s="10" t="s">
        <v>37</v>
      </c>
      <c r="V28" s="30">
        <f t="shared" si="2"/>
        <v>8561.6639999999989</v>
      </c>
      <c r="W28" s="38">
        <v>168</v>
      </c>
      <c r="X28" s="31">
        <f t="shared" si="3"/>
        <v>1438359.5519999999</v>
      </c>
      <c r="Y28" s="37">
        <v>0</v>
      </c>
      <c r="Z28" s="21"/>
      <c r="AA28" s="21"/>
    </row>
    <row r="29" spans="2:27" ht="19.5" customHeight="1">
      <c r="B29" s="20">
        <f t="shared" si="5"/>
        <v>25</v>
      </c>
      <c r="C29" s="10" t="s">
        <v>401</v>
      </c>
      <c r="D29" s="36" t="s">
        <v>61</v>
      </c>
      <c r="E29" s="9"/>
      <c r="F29" s="12" t="s">
        <v>357</v>
      </c>
      <c r="G29" s="10" t="s">
        <v>38</v>
      </c>
      <c r="H29" s="10" t="s">
        <v>74</v>
      </c>
      <c r="I29" s="10" t="s">
        <v>88</v>
      </c>
      <c r="J29" s="23">
        <v>801.22</v>
      </c>
      <c r="K29" s="22">
        <v>41992</v>
      </c>
      <c r="L29" s="24" t="s">
        <v>372</v>
      </c>
      <c r="M29" s="24" t="s">
        <v>45</v>
      </c>
      <c r="N29" s="10" t="s">
        <v>62</v>
      </c>
      <c r="O29" s="57" t="s">
        <v>80</v>
      </c>
      <c r="P29" s="26">
        <v>41000</v>
      </c>
      <c r="Q29" s="31">
        <f t="shared" si="6"/>
        <v>2437696</v>
      </c>
      <c r="R29" s="28" t="s">
        <v>32</v>
      </c>
      <c r="S29" s="7">
        <v>59.456000000000003</v>
      </c>
      <c r="T29" s="29">
        <f t="shared" si="1"/>
        <v>42081</v>
      </c>
      <c r="U29" s="10" t="s">
        <v>38</v>
      </c>
      <c r="V29" s="30">
        <f t="shared" si="2"/>
        <v>2925.2351999999996</v>
      </c>
      <c r="W29" s="38">
        <v>168</v>
      </c>
      <c r="X29" s="31">
        <f t="shared" si="3"/>
        <v>491439.51359999995</v>
      </c>
      <c r="Y29" s="37">
        <v>0</v>
      </c>
      <c r="Z29" s="21"/>
      <c r="AA29" s="21"/>
    </row>
    <row r="30" spans="2:27" ht="19.5" customHeight="1">
      <c r="B30" s="20">
        <f t="shared" si="5"/>
        <v>26</v>
      </c>
      <c r="C30" s="10" t="s">
        <v>402</v>
      </c>
      <c r="D30" s="36" t="s">
        <v>61</v>
      </c>
      <c r="E30" s="9"/>
      <c r="F30" s="12" t="s">
        <v>358</v>
      </c>
      <c r="G30" s="10" t="s">
        <v>38</v>
      </c>
      <c r="H30" s="10" t="s">
        <v>74</v>
      </c>
      <c r="I30" s="10" t="s">
        <v>88</v>
      </c>
      <c r="J30" s="23">
        <v>801.22</v>
      </c>
      <c r="K30" s="22">
        <v>41992</v>
      </c>
      <c r="L30" s="24" t="s">
        <v>372</v>
      </c>
      <c r="M30" s="24" t="s">
        <v>45</v>
      </c>
      <c r="N30" s="10" t="s">
        <v>62</v>
      </c>
      <c r="O30" s="57" t="s">
        <v>80</v>
      </c>
      <c r="P30" s="26">
        <v>30000</v>
      </c>
      <c r="Q30" s="31">
        <f t="shared" si="6"/>
        <v>1783680</v>
      </c>
      <c r="R30" s="28" t="s">
        <v>32</v>
      </c>
      <c r="S30" s="7">
        <v>59.456000000000003</v>
      </c>
      <c r="T30" s="29">
        <f t="shared" si="1"/>
        <v>42081</v>
      </c>
      <c r="U30" s="10" t="s">
        <v>38</v>
      </c>
      <c r="V30" s="30">
        <f t="shared" si="2"/>
        <v>2140.4159999999997</v>
      </c>
      <c r="W30" s="38">
        <v>168</v>
      </c>
      <c r="X30" s="31">
        <f t="shared" si="3"/>
        <v>359589.88799999998</v>
      </c>
      <c r="Y30" s="37">
        <v>0</v>
      </c>
      <c r="Z30" s="21"/>
      <c r="AA30" s="21"/>
    </row>
    <row r="31" spans="2:27" ht="19.5" customHeight="1">
      <c r="B31" s="20">
        <f t="shared" si="5"/>
        <v>27</v>
      </c>
      <c r="C31" s="10" t="s">
        <v>403</v>
      </c>
      <c r="D31" s="36" t="s">
        <v>61</v>
      </c>
      <c r="E31" s="9"/>
      <c r="F31" s="12" t="s">
        <v>359</v>
      </c>
      <c r="G31" s="10" t="s">
        <v>107</v>
      </c>
      <c r="H31" s="10" t="s">
        <v>74</v>
      </c>
      <c r="I31" s="10" t="s">
        <v>88</v>
      </c>
      <c r="J31" s="23">
        <v>801.22</v>
      </c>
      <c r="K31" s="22">
        <v>41992</v>
      </c>
      <c r="L31" s="24" t="s">
        <v>372</v>
      </c>
      <c r="M31" s="24" t="s">
        <v>45</v>
      </c>
      <c r="N31" s="10" t="s">
        <v>62</v>
      </c>
      <c r="O31" s="57" t="s">
        <v>80</v>
      </c>
      <c r="P31" s="26">
        <v>35000</v>
      </c>
      <c r="Q31" s="31">
        <f t="shared" si="6"/>
        <v>2080960</v>
      </c>
      <c r="R31" s="28" t="s">
        <v>32</v>
      </c>
      <c r="S31" s="7">
        <v>59.456000000000003</v>
      </c>
      <c r="T31" s="29">
        <f t="shared" si="1"/>
        <v>42081</v>
      </c>
      <c r="U31" s="10" t="s">
        <v>38</v>
      </c>
      <c r="V31" s="30">
        <f t="shared" si="2"/>
        <v>2497.1519999999996</v>
      </c>
      <c r="W31" s="38">
        <v>168</v>
      </c>
      <c r="X31" s="31">
        <f t="shared" si="3"/>
        <v>419521.53599999991</v>
      </c>
      <c r="Y31" s="37">
        <v>0</v>
      </c>
      <c r="Z31" s="21"/>
      <c r="AA31" s="21"/>
    </row>
    <row r="32" spans="2:27" ht="19.5" customHeight="1">
      <c r="B32" s="20">
        <f t="shared" si="5"/>
        <v>28</v>
      </c>
      <c r="C32" s="10" t="s">
        <v>390</v>
      </c>
      <c r="D32" s="36" t="s">
        <v>61</v>
      </c>
      <c r="E32" s="9"/>
      <c r="F32" s="12" t="s">
        <v>360</v>
      </c>
      <c r="G32" s="10" t="s">
        <v>94</v>
      </c>
      <c r="H32" s="10" t="s">
        <v>109</v>
      </c>
      <c r="I32" s="10" t="s">
        <v>96</v>
      </c>
      <c r="J32" s="23">
        <v>801.22</v>
      </c>
      <c r="K32" s="22">
        <v>41994</v>
      </c>
      <c r="L32" s="24" t="s">
        <v>373</v>
      </c>
      <c r="M32" s="24" t="s">
        <v>97</v>
      </c>
      <c r="N32" s="10" t="s">
        <v>54</v>
      </c>
      <c r="O32" s="57" t="s">
        <v>99</v>
      </c>
      <c r="P32" s="26">
        <v>600551</v>
      </c>
      <c r="Q32" s="31">
        <f t="shared" si="6"/>
        <v>32914999.208000001</v>
      </c>
      <c r="R32" s="28" t="s">
        <v>32</v>
      </c>
      <c r="S32" s="35">
        <v>54.808</v>
      </c>
      <c r="T32" s="29">
        <f t="shared" si="1"/>
        <v>42083</v>
      </c>
      <c r="U32" s="10" t="s">
        <v>100</v>
      </c>
      <c r="V32" s="30">
        <f t="shared" si="2"/>
        <v>39497.999049599995</v>
      </c>
      <c r="W32" s="38">
        <v>168</v>
      </c>
      <c r="X32" s="31">
        <f t="shared" si="3"/>
        <v>6635663.8403327996</v>
      </c>
      <c r="Y32" s="37">
        <v>0</v>
      </c>
      <c r="Z32" s="21"/>
      <c r="AA32" s="21"/>
    </row>
    <row r="33" spans="2:27" ht="19.5" customHeight="1">
      <c r="B33" s="20">
        <f t="shared" si="5"/>
        <v>29</v>
      </c>
      <c r="C33" s="10" t="s">
        <v>392</v>
      </c>
      <c r="D33" s="36" t="s">
        <v>61</v>
      </c>
      <c r="E33" s="9"/>
      <c r="F33" s="12" t="s">
        <v>361</v>
      </c>
      <c r="G33" s="10" t="s">
        <v>100</v>
      </c>
      <c r="H33" s="10" t="s">
        <v>33</v>
      </c>
      <c r="I33" s="10" t="s">
        <v>34</v>
      </c>
      <c r="J33" s="23">
        <v>801.22</v>
      </c>
      <c r="K33" s="22">
        <v>41994</v>
      </c>
      <c r="L33" s="24" t="s">
        <v>150</v>
      </c>
      <c r="M33" s="24" t="s">
        <v>35</v>
      </c>
      <c r="N33" s="10" t="s">
        <v>66</v>
      </c>
      <c r="O33" s="57" t="s">
        <v>376</v>
      </c>
      <c r="P33" s="26">
        <v>950061</v>
      </c>
      <c r="Q33" s="31">
        <f t="shared" si="6"/>
        <v>57182271.468000002</v>
      </c>
      <c r="R33" s="28" t="s">
        <v>32</v>
      </c>
      <c r="S33" s="35">
        <v>60.188000000000002</v>
      </c>
      <c r="T33" s="29">
        <f t="shared" si="1"/>
        <v>42083</v>
      </c>
      <c r="U33" s="10" t="s">
        <v>37</v>
      </c>
      <c r="V33" s="30">
        <f t="shared" si="2"/>
        <v>68618.725761599999</v>
      </c>
      <c r="W33" s="38">
        <v>168</v>
      </c>
      <c r="X33" s="31">
        <f t="shared" si="3"/>
        <v>11527945.927948799</v>
      </c>
      <c r="Y33" s="37">
        <v>0</v>
      </c>
      <c r="Z33" s="21"/>
      <c r="AA33" s="21"/>
    </row>
    <row r="34" spans="2:27" ht="20.25" customHeight="1" thickBot="1">
      <c r="B34" s="20">
        <f t="shared" si="5"/>
        <v>30</v>
      </c>
      <c r="C34" s="10" t="s">
        <v>411</v>
      </c>
      <c r="D34" s="36" t="s">
        <v>61</v>
      </c>
      <c r="E34" s="9"/>
      <c r="F34" s="12" t="s">
        <v>412</v>
      </c>
      <c r="G34" s="10" t="s">
        <v>84</v>
      </c>
      <c r="H34" s="10" t="s">
        <v>28</v>
      </c>
      <c r="I34" s="10" t="s">
        <v>29</v>
      </c>
      <c r="J34" s="23">
        <v>801.22</v>
      </c>
      <c r="K34" s="22">
        <v>42004</v>
      </c>
      <c r="L34" s="24" t="s">
        <v>374</v>
      </c>
      <c r="M34" s="24" t="s">
        <v>30</v>
      </c>
      <c r="N34" s="10" t="s">
        <v>89</v>
      </c>
      <c r="O34" s="57" t="s">
        <v>377</v>
      </c>
      <c r="P34" s="26">
        <v>947834</v>
      </c>
      <c r="Q34" s="31">
        <f t="shared" si="6"/>
        <v>52086321.802000001</v>
      </c>
      <c r="R34" s="28" t="s">
        <v>32</v>
      </c>
      <c r="S34" s="7">
        <v>54.953000000000003</v>
      </c>
      <c r="T34" s="29">
        <f t="shared" si="1"/>
        <v>42093</v>
      </c>
      <c r="U34" s="57" t="s">
        <v>27</v>
      </c>
      <c r="V34" s="30">
        <f t="shared" si="2"/>
        <v>62503.586162399995</v>
      </c>
      <c r="W34" s="38">
        <v>168</v>
      </c>
      <c r="X34" s="31">
        <f t="shared" si="3"/>
        <v>10500602.4752832</v>
      </c>
      <c r="Y34" s="37">
        <v>0</v>
      </c>
      <c r="Z34" s="21"/>
      <c r="AA34" s="21"/>
    </row>
    <row r="35" spans="2:27" ht="15.75" thickBot="1">
      <c r="B35" s="39"/>
      <c r="C35" s="40"/>
      <c r="D35" s="40"/>
      <c r="E35" s="40"/>
      <c r="F35" s="40"/>
      <c r="G35" s="40"/>
      <c r="H35" s="40"/>
      <c r="I35" s="40"/>
      <c r="J35" s="39"/>
      <c r="K35" s="41"/>
      <c r="L35" s="40"/>
      <c r="M35" s="40"/>
      <c r="N35" s="42"/>
      <c r="O35" s="43"/>
      <c r="P35" s="44">
        <f>SUM(P5:P34)</f>
        <v>10998301</v>
      </c>
      <c r="Q35" s="45">
        <f>SUM(Q5:Q34)</f>
        <v>780831137.60000014</v>
      </c>
      <c r="R35" s="46"/>
      <c r="S35" s="47"/>
      <c r="T35" s="48"/>
      <c r="U35" s="49"/>
      <c r="V35" s="45">
        <f>SUM(V5:V34)</f>
        <v>936997.36511999962</v>
      </c>
      <c r="W35" s="46"/>
      <c r="X35" s="45">
        <f>SUM(X5:X34)</f>
        <v>154013373.29028064</v>
      </c>
      <c r="Y35" s="45">
        <f>SUM(Y5:Y34)</f>
        <v>0</v>
      </c>
      <c r="Z35" s="39"/>
      <c r="AA35" s="39"/>
    </row>
  </sheetData>
  <pageMargins left="0" right="0" top="0" bottom="0" header="0.31496062992125984" footer="0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(4TH QTR'14)</vt:lpstr>
      <vt:lpstr>COMPLIANT (4TH QTR'14)</vt:lpstr>
      <vt:lpstr>NON-COMPLIANT (4TH QTR'14)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2015-01-16T11:37:40Z</cp:lastPrinted>
  <dcterms:created xsi:type="dcterms:W3CDTF">2013-10-09T11:18:50Z</dcterms:created>
  <dcterms:modified xsi:type="dcterms:W3CDTF">2015-01-22T10:08:50Z</dcterms:modified>
</cp:coreProperties>
</file>