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8860" windowHeight="7095" tabRatio="813"/>
  </bookViews>
  <sheets>
    <sheet name="Template - Q1_Returns" sheetId="15" r:id="rId1"/>
    <sheet name="TEMPLATE - Proceeds Bonny" sheetId="2" r:id="rId2"/>
    <sheet name="TEMPLATE - Lifting Bonny" sheetId="5" r:id="rId3"/>
    <sheet name="TEMPLATE - Proceeds Forcados" sheetId="8" r:id="rId4"/>
    <sheet name="TEMPLATE - Lifting Forcados" sheetId="9" r:id="rId5"/>
    <sheet name="TEMPLATE - Proceeds EA" sheetId="10" r:id="rId6"/>
    <sheet name="TEMPLATE - Lifting EA" sheetId="11" r:id="rId7"/>
    <sheet name="TEMPLATE - Proceeds BRASS" sheetId="16" r:id="rId8"/>
    <sheet name="TEMPLATE - Lifting BRASS" sheetId="17" r:id="rId9"/>
  </sheets>
  <definedNames>
    <definedName name="_xlnm.Print_Area" localSheetId="2">'TEMPLATE - Lifting Bonny'!#REF!</definedName>
    <definedName name="_xlnm.Print_Area" localSheetId="8">'TEMPLATE - Lifting BRASS'!#REF!</definedName>
    <definedName name="_xlnm.Print_Area" localSheetId="6">'TEMPLATE - Lifting EA'!#REF!</definedName>
    <definedName name="_xlnm.Print_Area" localSheetId="4">'TEMPLATE - Lifting Forcados'!#REF!</definedName>
    <definedName name="_xlnm.Print_Area" localSheetId="1">'TEMPLATE - Proceeds Bonny'!#REF!</definedName>
    <definedName name="_xlnm.Print_Area" localSheetId="7">'TEMPLATE - Proceeds BRASS'!#REF!</definedName>
    <definedName name="_xlnm.Print_Area" localSheetId="5">'TEMPLATE - Proceeds EA'!#REF!</definedName>
    <definedName name="_xlnm.Print_Area" localSheetId="3">'TEMPLATE - Proceeds Forcados'!#REF!</definedName>
    <definedName name="_xlnm.Print_Area" localSheetId="0">'Template - Q1_Returns'!$B$1:$T$11</definedName>
    <definedName name="_xlnm.Print_Titles" localSheetId="2">'TEMPLATE - Lifting Bonny'!#REF!</definedName>
    <definedName name="_xlnm.Print_Titles" localSheetId="8">'TEMPLATE - Lifting BRASS'!#REF!</definedName>
    <definedName name="_xlnm.Print_Titles" localSheetId="6">'TEMPLATE - Lifting EA'!#REF!</definedName>
    <definedName name="_xlnm.Print_Titles" localSheetId="4">'TEMPLATE - Lifting Forcados'!#REF!</definedName>
    <definedName name="_xlnm.Print_Titles" localSheetId="1">'TEMPLATE - Proceeds Bonny'!#REF!</definedName>
    <definedName name="_xlnm.Print_Titles" localSheetId="7">'TEMPLATE - Proceeds BRASS'!#REF!</definedName>
    <definedName name="_xlnm.Print_Titles" localSheetId="5">'TEMPLATE - Proceeds EA'!#REF!</definedName>
    <definedName name="_xlnm.Print_Titles" localSheetId="3">'TEMPLATE - Proceeds Forcados'!#REF!</definedName>
    <definedName name="_xlnm.Print_Titles" localSheetId="0">'Template - Q1_Returns'!$39:$39</definedName>
  </definedNames>
  <calcPr calcId="125725"/>
</workbook>
</file>

<file path=xl/calcChain.xml><?xml version="1.0" encoding="utf-8"?>
<calcChain xmlns="http://schemas.openxmlformats.org/spreadsheetml/2006/main">
  <c r="Q7" i="15"/>
  <c r="Q8"/>
  <c r="I9" l="1"/>
  <c r="I8"/>
  <c r="I7"/>
  <c r="I6"/>
  <c r="H48" i="9" l="1"/>
  <c r="I48"/>
  <c r="J48"/>
  <c r="G48"/>
  <c r="J51" i="8"/>
  <c r="J39" i="2"/>
  <c r="H34" i="5"/>
  <c r="I34"/>
  <c r="J34"/>
  <c r="G34"/>
  <c r="K51" i="8" l="1"/>
  <c r="G20" i="11" l="1"/>
  <c r="J20" i="17" l="1"/>
  <c r="I20"/>
  <c r="H20"/>
  <c r="G20"/>
  <c r="K21" i="16"/>
  <c r="J21"/>
  <c r="D4"/>
  <c r="S9" i="15"/>
  <c r="V9" s="1"/>
  <c r="Q9"/>
  <c r="T9"/>
  <c r="J9"/>
  <c r="F9"/>
  <c r="D9"/>
  <c r="T8"/>
  <c r="S8"/>
  <c r="V8" s="1"/>
  <c r="J8"/>
  <c r="F8"/>
  <c r="T7"/>
  <c r="S7"/>
  <c r="V7" s="1"/>
  <c r="J7"/>
  <c r="F7"/>
  <c r="D7"/>
  <c r="T6"/>
  <c r="S6"/>
  <c r="V6" s="1"/>
  <c r="Q6"/>
  <c r="J6"/>
  <c r="F6"/>
  <c r="D6"/>
  <c r="J21" i="10"/>
  <c r="H20" i="11"/>
  <c r="I20"/>
  <c r="J20"/>
  <c r="R9" i="15" l="1"/>
  <c r="R8"/>
  <c r="R7"/>
  <c r="R6"/>
  <c r="D8"/>
  <c r="K39" i="2" l="1"/>
  <c r="K21" i="10" l="1"/>
  <c r="D4"/>
  <c r="D3" i="8"/>
  <c r="D4" i="2" l="1"/>
</calcChain>
</file>

<file path=xl/sharedStrings.xml><?xml version="1.0" encoding="utf-8"?>
<sst xmlns="http://schemas.openxmlformats.org/spreadsheetml/2006/main" count="355" uniqueCount="116">
  <si>
    <t>The Permanent Secretary</t>
  </si>
  <si>
    <t>Federal Government Secretariat</t>
  </si>
  <si>
    <t>P. M. B. 88</t>
  </si>
  <si>
    <t>Garki - Abuja</t>
  </si>
  <si>
    <t>Dear Sir,</t>
  </si>
  <si>
    <t>With reference to your letters EXP.T/S.18/Vol.153 dated July  6, 2005 and EXP.T/408/ol.VII/292 dated</t>
  </si>
  <si>
    <t>STREAM</t>
  </si>
  <si>
    <t>* TEPNG equity production from TEPNG and SPDC JVs</t>
  </si>
  <si>
    <t>**TEPNG equity production from non-operated JV and PSC</t>
  </si>
  <si>
    <t>Yours  faithfully,</t>
  </si>
  <si>
    <t>Cc:  GGM, COMD -NNPC,  ABUJA</t>
  </si>
  <si>
    <t>MONTHLY AND QUARTERLY RETURNS OF CRUDE OIL PRODUCTION AND EXPORT -  1QTR. 2012</t>
  </si>
  <si>
    <t>NB: Please note that the exported crude oil volumes  are expressed in Net Barrels at 60°/60°F.</t>
  </si>
  <si>
    <t>NB: Please note that  Usan is still on the trial marketing period for 6months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</si>
  <si>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</si>
  <si>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</si>
  <si>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</si>
  <si>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</si>
  <si>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</si>
  <si>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</si>
  <si>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</si>
  <si>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</si>
  <si>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</si>
  <si>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</si>
  <si>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</si>
  <si>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</si>
  <si>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</si>
  <si>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</si>
  <si>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</si>
  <si>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</si>
  <si>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</si>
  <si>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</si>
  <si>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</si>
  <si>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</si>
  <si>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</si>
  <si>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</si>
  <si>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</si>
  <si>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</si>
  <si>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</si>
  <si>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</si>
  <si>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</si>
  <si>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</si>
  <si>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</si>
  <si>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</si>
  <si>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</si>
  <si>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</si>
  <si>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</si>
  <si>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</si>
  <si>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</si>
  <si>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</si>
  <si>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</si>
  <si>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</si>
  <si>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</si>
  <si>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</si>
  <si>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Federal Ministry of trade and investment</t>
  </si>
  <si>
    <t>October 7, 2009 ,  we hereby advise the actual volumes of crude oil produced by COMPANY JV and the</t>
  </si>
  <si>
    <t>crude oil exported by COMPANY XX Nigeria Limited for the month of January to March 2012</t>
  </si>
  <si>
    <t>For:  COMPANY A Nigeria Limited</t>
  </si>
  <si>
    <t>SIGNED</t>
  </si>
  <si>
    <t>EXPORT Manager/DIVISION</t>
  </si>
  <si>
    <t>GAC (NIG.) LTD.</t>
  </si>
  <si>
    <t>INSPECTORATE</t>
  </si>
  <si>
    <t>INTERTEK</t>
  </si>
  <si>
    <t>OMSP(S) INDIA</t>
  </si>
  <si>
    <t>BONNY LIGHT</t>
  </si>
  <si>
    <t>FORCADOS</t>
  </si>
  <si>
    <t>BRASS</t>
  </si>
  <si>
    <t>EA</t>
  </si>
  <si>
    <t>JANUARY</t>
  </si>
  <si>
    <t>FEBRUARY</t>
  </si>
  <si>
    <t>MARCH</t>
  </si>
  <si>
    <t>COMPANY Name:  SPDC (BONNY)</t>
  </si>
  <si>
    <t>SPDC (BONNY)</t>
  </si>
  <si>
    <t>SPDC</t>
  </si>
  <si>
    <t>CRUDE OIL LIFTING STATISTICS  -  SPDC (BONNY)</t>
  </si>
  <si>
    <t>TOTAL SPDC (BONNY) LIFTINGS</t>
  </si>
  <si>
    <t>COMPANY Name:  SPDC (FORCADOS)</t>
  </si>
  <si>
    <t>SPDC (FORCADOS)</t>
  </si>
  <si>
    <t>CRUDE OIL LIFTING STATISTICS  -  SPDC (FORCADOS)</t>
  </si>
  <si>
    <t>TOTAL SPDC (FORCADOS) LIFTINGS</t>
  </si>
  <si>
    <t>COMPANY Name:  SPDC (SEA EAGLE)</t>
  </si>
  <si>
    <t>SPDC (SEA EAGLE)</t>
  </si>
  <si>
    <t>CRUDE OIL LIFTING STATISTICS  -  SPDC (SEA EAGLE)</t>
  </si>
  <si>
    <t xml:space="preserve">NOTE: </t>
  </si>
  <si>
    <t>ER</t>
  </si>
  <si>
    <t>Proceeds @ REALISABLE PRICE</t>
  </si>
  <si>
    <t>TOTAL SPDC (SEA EAGLE) LIFTINGS</t>
  </si>
  <si>
    <t>Production shown above is Shell exclusive which is 30% of the total SPDC JV production as obtained in the month's field by field report.</t>
  </si>
  <si>
    <t>HEALTH CHECK</t>
  </si>
  <si>
    <t>PRODUCTION VOLUMES</t>
  </si>
  <si>
    <t>EXPORT VOLUMES</t>
  </si>
  <si>
    <t>NET BBLS</t>
  </si>
  <si>
    <t>NET MT</t>
  </si>
  <si>
    <t>Conversion rate from net barrels to net metric tonnes used on production volumes was 0.133774139</t>
  </si>
  <si>
    <t>CRUDE OIL LIFTING STATISTICS  -  SPDC (BRASS)</t>
  </si>
  <si>
    <t>COMPANY Name:  SPDC (BRASS)</t>
  </si>
  <si>
    <t>SPDC (BRASS)</t>
  </si>
  <si>
    <t>DURBAN, SOUTH AFRICA</t>
  </si>
  <si>
    <t>SPDC Q1 2014 PRODUCTION AND EXPORT SUMMARY</t>
  </si>
  <si>
    <t>Q1 2014 SUMMARY</t>
  </si>
  <si>
    <t>Q1 2014 EXPORT  PERMIT VOLUMES</t>
  </si>
  <si>
    <t>JANUARY - FEBRUARY 2014</t>
  </si>
  <si>
    <r>
      <rPr>
        <b/>
        <sz val="8"/>
        <rFont val="Arial"/>
        <family val="2"/>
      </rPr>
      <t xml:space="preserve">  </t>
    </r>
    <r>
      <rPr>
        <b/>
        <u/>
        <sz val="8"/>
        <rFont val="Arial"/>
        <family val="2"/>
      </rPr>
      <t>JANUARY - FEBRUARY 2014</t>
    </r>
  </si>
  <si>
    <t>UNIVERSAL CROWN</t>
  </si>
  <si>
    <t>FORMOSAPETRO CHALLENGER</t>
  </si>
  <si>
    <t>KOKKARI</t>
  </si>
  <si>
    <t>MARINA</t>
  </si>
  <si>
    <t>OMSP(S),CHINA</t>
  </si>
  <si>
    <t>Bonny Light</t>
  </si>
  <si>
    <t>INCHCAPE SS NIG LTD</t>
  </si>
  <si>
    <t>ALTEREGO II</t>
  </si>
  <si>
    <t>PRINCIMAR STRENGTH</t>
  </si>
  <si>
    <t>ALIAGA/IZMIR REFINERY</t>
  </si>
  <si>
    <t>Forcados Blend</t>
  </si>
  <si>
    <t>EA Blend</t>
  </si>
  <si>
    <t>INTERSHIP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</si>
</sst>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164" formatCode="_-* #,##0_-;\-* #,##0_-;_-* &quot;-&quot;??_-;_-@_-"/>
    <numFmt numFmtId="165" formatCode="dd\-mmm\-yyyy"/>
    <numFmt numFmtId="166" formatCode="\$0.0000"/>
    <numFmt numFmtId="167" formatCode="_(* #,##0.00_);_(* \(#,##0.00\);_(* &quot;-&quot;??_);_(@_)"/>
    <numFmt numFmtId="168" formatCode="_(* #,##0_);_(* \(#,##0\);_(* &quot;-&quot;??_);_(@_)"/>
    <numFmt numFmtId="169" formatCode="_-* #,##0.00000_-;\-* #,##0.00000_-;_-* &quot;-&quot;??_-;_-@_-"/>
  </numFmts>
  <fonts count="31">
    <font>
      <sz val="10"/>
      <name val="Arial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u/>
      <sz val="12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1" fillId="0" borderId="0"/>
  </cellStyleXfs>
  <cellXfs count="153">
    <xf numFmtId="0" fontId="0" fillId="0" borderId="0" xfId="0"/>
    <xf numFmtId="43" fontId="1" fillId="0" borderId="0" xfId="1"/>
    <xf numFmtId="0" fontId="5" fillId="0" borderId="0" xfId="0" applyFont="1"/>
    <xf numFmtId="43" fontId="5" fillId="0" borderId="0" xfId="1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8" fillId="0" borderId="0" xfId="0" applyFont="1" applyBorder="1"/>
    <xf numFmtId="0" fontId="9" fillId="0" borderId="0" xfId="0" applyFont="1"/>
    <xf numFmtId="0" fontId="0" fillId="0" borderId="0" xfId="0" applyAlignment="1">
      <alignment vertical="center" wrapText="1"/>
    </xf>
    <xf numFmtId="43" fontId="1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5" fontId="13" fillId="0" borderId="0" xfId="0" applyNumberFormat="1" applyFont="1" applyBorder="1" applyAlignment="1">
      <alignment horizontal="left" vertical="center"/>
    </xf>
    <xf numFmtId="3" fontId="0" fillId="0" borderId="0" xfId="0" applyNumberFormat="1"/>
    <xf numFmtId="0" fontId="8" fillId="0" borderId="0" xfId="0" applyFont="1"/>
    <xf numFmtId="0" fontId="2" fillId="0" borderId="0" xfId="0" applyFont="1" applyBorder="1"/>
    <xf numFmtId="0" fontId="6" fillId="0" borderId="0" xfId="0" applyFont="1" applyBorder="1"/>
    <xf numFmtId="0" fontId="3" fillId="0" borderId="0" xfId="0" applyFont="1" applyBorder="1"/>
    <xf numFmtId="0" fontId="0" fillId="0" borderId="0" xfId="0" applyBorder="1"/>
    <xf numFmtId="0" fontId="15" fillId="0" borderId="0" xfId="0" applyFont="1" applyBorder="1"/>
    <xf numFmtId="3" fontId="14" fillId="0" borderId="0" xfId="0" applyNumberFormat="1" applyFont="1" applyFill="1" applyBorder="1" applyAlignment="1">
      <alignment horizontal="center"/>
    </xf>
    <xf numFmtId="14" fontId="16" fillId="0" borderId="0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/>
    </xf>
    <xf numFmtId="3" fontId="14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13" fillId="0" borderId="0" xfId="0" applyFont="1" applyAlignment="1">
      <alignment vertical="center"/>
    </xf>
    <xf numFmtId="3" fontId="13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1" fillId="0" borderId="0" xfId="0" applyFont="1"/>
    <xf numFmtId="17" fontId="9" fillId="0" borderId="0" xfId="0" applyNumberFormat="1" applyFont="1" applyAlignment="1">
      <alignment horizontal="left" vertical="center"/>
    </xf>
    <xf numFmtId="17" fontId="9" fillId="0" borderId="0" xfId="0" applyNumberFormat="1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7" fontId="20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5" fillId="0" borderId="0" xfId="2" applyFont="1"/>
    <xf numFmtId="0" fontId="5" fillId="0" borderId="0" xfId="2" applyFont="1" applyFill="1" applyAlignment="1">
      <alignment horizontal="left"/>
    </xf>
    <xf numFmtId="0" fontId="5" fillId="0" borderId="0" xfId="2" applyFont="1" applyAlignment="1">
      <alignment horizontal="center"/>
    </xf>
    <xf numFmtId="3" fontId="5" fillId="0" borderId="0" xfId="2" applyNumberFormat="1" applyFont="1"/>
    <xf numFmtId="2" fontId="5" fillId="0" borderId="0" xfId="2" applyNumberFormat="1" applyFont="1"/>
    <xf numFmtId="0" fontId="7" fillId="3" borderId="0" xfId="0" applyFont="1" applyFill="1" applyAlignment="1">
      <alignment horizontal="left"/>
    </xf>
    <xf numFmtId="0" fontId="8" fillId="3" borderId="0" xfId="0" applyFont="1" applyFill="1" applyBorder="1"/>
    <xf numFmtId="165" fontId="9" fillId="0" borderId="0" xfId="0" applyNumberFormat="1" applyFont="1" applyAlignment="1">
      <alignment horizontal="left" vertical="center"/>
    </xf>
    <xf numFmtId="0" fontId="11" fillId="0" borderId="0" xfId="0" applyFont="1" applyBorder="1"/>
    <xf numFmtId="43" fontId="11" fillId="0" borderId="0" xfId="1" applyFont="1"/>
    <xf numFmtId="0" fontId="11" fillId="0" borderId="0" xfId="2" applyFont="1" applyAlignment="1">
      <alignment horizontal="left"/>
    </xf>
    <xf numFmtId="0" fontId="11" fillId="0" borderId="0" xfId="2" applyFont="1" applyFill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2" fontId="11" fillId="0" borderId="0" xfId="2" applyNumberFormat="1" applyFont="1"/>
    <xf numFmtId="0" fontId="10" fillId="0" borderId="5" xfId="2" applyFont="1" applyBorder="1" applyAlignment="1">
      <alignment horizontal="center"/>
    </xf>
    <xf numFmtId="0" fontId="10" fillId="0" borderId="5" xfId="2" applyFont="1" applyFill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6" xfId="2" applyFont="1" applyBorder="1" applyAlignment="1">
      <alignment horizontal="right"/>
    </xf>
    <xf numFmtId="2" fontId="10" fillId="0" borderId="5" xfId="2" applyNumberFormat="1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10" fillId="0" borderId="8" xfId="2" applyFont="1" applyFill="1" applyBorder="1" applyAlignment="1">
      <alignment horizontal="center"/>
    </xf>
    <xf numFmtId="2" fontId="10" fillId="0" borderId="8" xfId="2" applyNumberFormat="1" applyFont="1" applyBorder="1" applyAlignment="1">
      <alignment horizontal="center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 wrapText="1"/>
    </xf>
    <xf numFmtId="0" fontId="23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3" fontId="24" fillId="0" borderId="0" xfId="0" applyNumberFormat="1" applyFont="1" applyFill="1" applyBorder="1" applyAlignment="1">
      <alignment horizontal="center"/>
    </xf>
    <xf numFmtId="14" fontId="26" fillId="0" borderId="0" xfId="0" applyNumberFormat="1" applyFont="1" applyBorder="1" applyAlignment="1">
      <alignment horizontal="center"/>
    </xf>
    <xf numFmtId="3" fontId="26" fillId="0" borderId="0" xfId="0" applyNumberFormat="1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0" fontId="27" fillId="0" borderId="0" xfId="0" applyFont="1" applyBorder="1"/>
    <xf numFmtId="0" fontId="28" fillId="0" borderId="0" xfId="0" applyFont="1"/>
    <xf numFmtId="14" fontId="28" fillId="0" borderId="0" xfId="0" applyNumberFormat="1" applyFont="1" applyAlignment="1">
      <alignment horizontal="left"/>
    </xf>
    <xf numFmtId="164" fontId="11" fillId="0" borderId="0" xfId="1" applyNumberFormat="1" applyFont="1" applyBorder="1" applyAlignment="1">
      <alignment horizontal="center"/>
    </xf>
    <xf numFmtId="43" fontId="11" fillId="0" borderId="0" xfId="1" applyNumberFormat="1" applyFont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4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43" fontId="13" fillId="0" borderId="0" xfId="1" applyFont="1" applyBorder="1" applyAlignment="1">
      <alignment horizontal="center" vertical="center"/>
    </xf>
    <xf numFmtId="164" fontId="13" fillId="0" borderId="0" xfId="1" applyNumberFormat="1" applyFont="1" applyBorder="1" applyAlignment="1">
      <alignment horizontal="center" vertical="center"/>
    </xf>
    <xf numFmtId="15" fontId="18" fillId="0" borderId="0" xfId="0" applyNumberFormat="1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168" fontId="28" fillId="0" borderId="0" xfId="1" applyNumberFormat="1" applyFont="1" applyFill="1" applyAlignment="1">
      <alignment horizontal="center"/>
    </xf>
    <xf numFmtId="168" fontId="28" fillId="0" borderId="0" xfId="1" applyNumberFormat="1" applyFont="1"/>
    <xf numFmtId="0" fontId="28" fillId="0" borderId="0" xfId="0" applyFont="1" applyAlignment="1"/>
    <xf numFmtId="168" fontId="28" fillId="0" borderId="0" xfId="1" applyNumberFormat="1" applyFont="1" applyAlignment="1"/>
    <xf numFmtId="167" fontId="28" fillId="0" borderId="0" xfId="1" applyNumberFormat="1" applyFont="1" applyFill="1" applyAlignment="1">
      <alignment horizontal="center"/>
    </xf>
    <xf numFmtId="167" fontId="28" fillId="0" borderId="0" xfId="1" applyNumberFormat="1" applyFont="1"/>
    <xf numFmtId="168" fontId="28" fillId="0" borderId="0" xfId="1" applyNumberFormat="1" applyFont="1" applyAlignment="1">
      <alignment horizontal="right"/>
    </xf>
    <xf numFmtId="43" fontId="30" fillId="0" borderId="0" xfId="1" applyFont="1"/>
    <xf numFmtId="0" fontId="30" fillId="0" borderId="0" xfId="0" applyFont="1"/>
    <xf numFmtId="43" fontId="30" fillId="0" borderId="0" xfId="1" applyFont="1" applyAlignment="1">
      <alignment horizontal="center"/>
    </xf>
    <xf numFmtId="3" fontId="18" fillId="0" borderId="12" xfId="0" applyNumberFormat="1" applyFont="1" applyBorder="1" applyAlignment="1">
      <alignment horizontal="right" vertical="center"/>
    </xf>
    <xf numFmtId="164" fontId="28" fillId="0" borderId="0" xfId="1" applyNumberFormat="1" applyFont="1" applyAlignment="1"/>
    <xf numFmtId="164" fontId="0" fillId="4" borderId="0" xfId="1" applyNumberFormat="1" applyFont="1" applyFill="1"/>
    <xf numFmtId="3" fontId="5" fillId="5" borderId="0" xfId="0" applyNumberFormat="1" applyFont="1" applyFill="1" applyAlignment="1">
      <alignment vertical="center"/>
    </xf>
    <xf numFmtId="3" fontId="12" fillId="5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8" fillId="0" borderId="13" xfId="0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3" fontId="12" fillId="0" borderId="0" xfId="0" applyNumberFormat="1" applyFont="1" applyFill="1" applyAlignment="1">
      <alignment vertical="center"/>
    </xf>
    <xf numFmtId="15" fontId="18" fillId="0" borderId="1" xfId="0" applyNumberFormat="1" applyFont="1" applyBorder="1" applyAlignment="1">
      <alignment horizontal="left" vertical="center"/>
    </xf>
    <xf numFmtId="15" fontId="18" fillId="0" borderId="15" xfId="0" applyNumberFormat="1" applyFont="1" applyBorder="1" applyAlignment="1">
      <alignment horizontal="left" vertical="center"/>
    </xf>
    <xf numFmtId="0" fontId="3" fillId="0" borderId="16" xfId="0" applyFont="1" applyBorder="1" applyAlignment="1">
      <alignment horizontal="centerContinuous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3" fontId="13" fillId="0" borderId="19" xfId="0" applyNumberFormat="1" applyFont="1" applyBorder="1" applyAlignment="1">
      <alignment horizontal="right" vertical="center"/>
    </xf>
    <xf numFmtId="3" fontId="13" fillId="0" borderId="20" xfId="0" applyNumberFormat="1" applyFont="1" applyBorder="1" applyAlignment="1">
      <alignment horizontal="right" vertical="center"/>
    </xf>
    <xf numFmtId="3" fontId="13" fillId="0" borderId="21" xfId="0" applyNumberFormat="1" applyFont="1" applyBorder="1" applyAlignment="1">
      <alignment horizontal="right" vertical="center"/>
    </xf>
    <xf numFmtId="3" fontId="13" fillId="0" borderId="22" xfId="0" applyNumberFormat="1" applyFont="1" applyBorder="1" applyAlignment="1">
      <alignment horizontal="right" vertical="center"/>
    </xf>
    <xf numFmtId="169" fontId="5" fillId="0" borderId="0" xfId="1" applyNumberFormat="1" applyFont="1" applyAlignment="1">
      <alignment vertical="center"/>
    </xf>
    <xf numFmtId="3" fontId="13" fillId="0" borderId="21" xfId="0" applyNumberFormat="1" applyFont="1" applyFill="1" applyBorder="1" applyAlignment="1">
      <alignment horizontal="right" vertical="center"/>
    </xf>
    <xf numFmtId="3" fontId="13" fillId="0" borderId="22" xfId="0" applyNumberFormat="1" applyFont="1" applyFill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164" fontId="0" fillId="0" borderId="0" xfId="1" applyNumberFormat="1" applyFont="1"/>
    <xf numFmtId="0" fontId="18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22" fillId="3" borderId="0" xfId="2" applyFont="1" applyFill="1" applyAlignment="1">
      <alignment horizontal="center"/>
    </xf>
    <xf numFmtId="17" fontId="22" fillId="3" borderId="0" xfId="2" applyNumberFormat="1" applyFont="1" applyFill="1" applyAlignment="1">
      <alignment horizontal="center"/>
    </xf>
    <xf numFmtId="0" fontId="10" fillId="0" borderId="5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164" fontId="13" fillId="0" borderId="19" xfId="1" applyNumberFormat="1" applyFont="1" applyBorder="1" applyAlignment="1">
      <alignment horizontal="right" vertical="center"/>
    </xf>
    <xf numFmtId="14" fontId="28" fillId="0" borderId="0" xfId="0" applyNumberFormat="1" applyFont="1" applyFill="1" applyAlignment="1">
      <alignment horizontal="left"/>
    </xf>
    <xf numFmtId="0" fontId="28" fillId="0" borderId="0" xfId="0" applyFont="1" applyFill="1"/>
    <xf numFmtId="168" fontId="28" fillId="0" borderId="0" xfId="1" applyNumberFormat="1" applyFont="1" applyAlignment="1">
      <alignment horizontal="left"/>
    </xf>
    <xf numFmtId="168" fontId="28" fillId="0" borderId="0" xfId="1" applyNumberFormat="1" applyFont="1" applyFill="1" applyAlignment="1">
      <alignment horizontal="left"/>
    </xf>
    <xf numFmtId="14" fontId="28" fillId="0" borderId="0" xfId="0" applyNumberFormat="1" applyFont="1"/>
    <xf numFmtId="14" fontId="28" fillId="0" borderId="0" xfId="0" applyNumberFormat="1" applyFont="1" applyFill="1"/>
    <xf numFmtId="168" fontId="28" fillId="0" borderId="0" xfId="1" applyNumberFormat="1" applyFont="1" applyFill="1"/>
    <xf numFmtId="168" fontId="28" fillId="0" borderId="0" xfId="1" applyNumberFormat="1" applyFont="1" applyFill="1" applyAlignment="1"/>
    <xf numFmtId="164" fontId="28" fillId="0" borderId="0" xfId="1" applyNumberFormat="1" applyFont="1" applyAlignment="1">
      <alignment horizontal="right"/>
    </xf>
    <xf numFmtId="164" fontId="28" fillId="0" borderId="0" xfId="1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showGridLines="0" tabSelected="1" view="pageLayout" zoomScale="85" zoomScaleNormal="100" zoomScalePageLayoutView="85" workbookViewId="0">
      <selection activeCell="H12" sqref="H12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10.85546875" bestFit="1" customWidth="1"/>
    <col min="6" max="6" width="7.5703125" customWidth="1"/>
    <col min="7" max="7" width="9.140625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28" t="s">
        <v>98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</row>
    <row r="2" spans="1:26" ht="15.75" thickBot="1">
      <c r="E2" s="111" t="s">
        <v>68</v>
      </c>
      <c r="F2" s="111"/>
      <c r="G2" s="111"/>
      <c r="H2" s="111"/>
      <c r="I2" s="111" t="s">
        <v>69</v>
      </c>
      <c r="J2" s="111"/>
      <c r="K2" s="111"/>
      <c r="L2" s="111"/>
      <c r="M2" s="111" t="s">
        <v>70</v>
      </c>
      <c r="N2" s="111"/>
      <c r="O2" s="111"/>
      <c r="P2" s="111"/>
      <c r="Q2" s="129" t="s">
        <v>99</v>
      </c>
      <c r="R2" s="129"/>
      <c r="S2" s="129"/>
      <c r="T2" s="129"/>
    </row>
    <row r="3" spans="1:26" s="13" customFormat="1" ht="27.95" customHeight="1">
      <c r="B3" s="130" t="s">
        <v>6</v>
      </c>
      <c r="C3" s="124" t="s">
        <v>100</v>
      </c>
      <c r="D3" s="125"/>
      <c r="E3" s="124" t="s">
        <v>89</v>
      </c>
      <c r="F3" s="125"/>
      <c r="G3" s="124" t="s">
        <v>90</v>
      </c>
      <c r="H3" s="125"/>
      <c r="I3" s="124" t="s">
        <v>89</v>
      </c>
      <c r="J3" s="125"/>
      <c r="K3" s="124" t="s">
        <v>90</v>
      </c>
      <c r="L3" s="125"/>
      <c r="M3" s="124" t="s">
        <v>89</v>
      </c>
      <c r="N3" s="125"/>
      <c r="O3" s="124" t="s">
        <v>90</v>
      </c>
      <c r="P3" s="125"/>
      <c r="Q3" s="124" t="s">
        <v>89</v>
      </c>
      <c r="R3" s="125"/>
      <c r="S3" s="124" t="s">
        <v>90</v>
      </c>
      <c r="T3" s="125"/>
      <c r="U3" s="12"/>
      <c r="V3" s="103"/>
      <c r="Z3" s="14"/>
    </row>
    <row r="4" spans="1:26" s="13" customFormat="1" ht="51.75" customHeight="1">
      <c r="B4" s="131"/>
      <c r="C4" s="126"/>
      <c r="D4" s="127"/>
      <c r="E4" s="126"/>
      <c r="F4" s="127"/>
      <c r="G4" s="126"/>
      <c r="H4" s="127"/>
      <c r="I4" s="126"/>
      <c r="J4" s="127"/>
      <c r="K4" s="126"/>
      <c r="L4" s="127"/>
      <c r="M4" s="126"/>
      <c r="N4" s="127"/>
      <c r="O4" s="126"/>
      <c r="P4" s="127"/>
      <c r="Q4" s="126"/>
      <c r="R4" s="127"/>
      <c r="S4" s="126"/>
      <c r="T4" s="127"/>
      <c r="U4" s="12"/>
      <c r="V4" s="104" t="s">
        <v>88</v>
      </c>
      <c r="Z4" s="14"/>
    </row>
    <row r="5" spans="1:26" s="13" customFormat="1" ht="37.5" customHeight="1">
      <c r="A5" s="105"/>
      <c r="B5" s="106"/>
      <c r="C5" s="112" t="s">
        <v>91</v>
      </c>
      <c r="D5" s="113" t="s">
        <v>92</v>
      </c>
      <c r="E5" s="112" t="s">
        <v>91</v>
      </c>
      <c r="F5" s="113" t="s">
        <v>92</v>
      </c>
      <c r="G5" s="112" t="s">
        <v>91</v>
      </c>
      <c r="H5" s="113" t="s">
        <v>92</v>
      </c>
      <c r="I5" s="112" t="s">
        <v>91</v>
      </c>
      <c r="J5" s="113" t="s">
        <v>92</v>
      </c>
      <c r="K5" s="112" t="s">
        <v>91</v>
      </c>
      <c r="L5" s="113" t="s">
        <v>92</v>
      </c>
      <c r="M5" s="112" t="s">
        <v>91</v>
      </c>
      <c r="N5" s="113" t="s">
        <v>92</v>
      </c>
      <c r="O5" s="112" t="s">
        <v>91</v>
      </c>
      <c r="P5" s="113" t="s">
        <v>92</v>
      </c>
      <c r="Q5" s="112" t="s">
        <v>91</v>
      </c>
      <c r="R5" s="113" t="s">
        <v>92</v>
      </c>
      <c r="S5" s="112" t="s">
        <v>91</v>
      </c>
      <c r="T5" s="113" t="s">
        <v>92</v>
      </c>
      <c r="U5" s="107"/>
      <c r="V5" s="108"/>
      <c r="W5"/>
      <c r="X5"/>
      <c r="Z5" s="14"/>
    </row>
    <row r="6" spans="1:26" s="13" customFormat="1" ht="37.5" customHeight="1">
      <c r="B6" s="109" t="s">
        <v>64</v>
      </c>
      <c r="C6" s="114">
        <v>8500000</v>
      </c>
      <c r="D6" s="115">
        <f>C6*0.133774139</f>
        <v>1137080.1814999999</v>
      </c>
      <c r="E6" s="142">
        <v>2048641.8922799998</v>
      </c>
      <c r="F6" s="115">
        <f>E6*0.133774139</f>
        <v>274055.30525908771</v>
      </c>
      <c r="G6" s="114">
        <v>832120</v>
      </c>
      <c r="H6" s="115">
        <v>111868</v>
      </c>
      <c r="I6" s="114">
        <f>5527218.4465*0.3</f>
        <v>1658165.5339499998</v>
      </c>
      <c r="J6" s="115">
        <f>I6*0.13377</f>
        <v>221812.80347649148</v>
      </c>
      <c r="K6" s="114">
        <v>2636099</v>
      </c>
      <c r="L6" s="115">
        <v>357094</v>
      </c>
      <c r="M6" s="114"/>
      <c r="N6" s="115"/>
      <c r="O6" s="114"/>
      <c r="P6" s="115"/>
      <c r="Q6" s="114">
        <f>+E6+I6+M6</f>
        <v>3706807.4262299994</v>
      </c>
      <c r="R6" s="115">
        <f>+F6+J6+N6</f>
        <v>495868.10873557918</v>
      </c>
      <c r="S6" s="114">
        <f>+G6+K6+O6</f>
        <v>3468219</v>
      </c>
      <c r="T6" s="115">
        <f>+H6+L6+P6</f>
        <v>468962</v>
      </c>
      <c r="U6"/>
      <c r="V6" s="102">
        <f>C6-S6</f>
        <v>5031781</v>
      </c>
      <c r="W6"/>
      <c r="X6"/>
      <c r="Z6" s="118"/>
    </row>
    <row r="7" spans="1:26" s="13" customFormat="1" ht="37.5" customHeight="1">
      <c r="B7" s="109" t="s">
        <v>65</v>
      </c>
      <c r="C7" s="114">
        <v>4000000</v>
      </c>
      <c r="D7" s="115">
        <f t="shared" ref="D7:F9" si="0">C7*0.133774139</f>
        <v>535096.55599999998</v>
      </c>
      <c r="E7" s="114">
        <v>994353.89999999991</v>
      </c>
      <c r="F7" s="115">
        <f t="shared" si="0"/>
        <v>133018.83683379207</v>
      </c>
      <c r="G7" s="114">
        <v>0</v>
      </c>
      <c r="H7" s="115">
        <v>0</v>
      </c>
      <c r="I7" s="114">
        <f>2352052*0.3</f>
        <v>705615.6</v>
      </c>
      <c r="J7" s="115">
        <f t="shared" ref="J7:J9" si="1">I7*0.13377</f>
        <v>94390.198812000002</v>
      </c>
      <c r="K7" s="114">
        <v>1774416</v>
      </c>
      <c r="L7" s="115">
        <v>243413</v>
      </c>
      <c r="M7" s="114"/>
      <c r="N7" s="115"/>
      <c r="O7" s="114"/>
      <c r="P7" s="115"/>
      <c r="Q7" s="114">
        <f>+E7+I7+M7</f>
        <v>1699969.5</v>
      </c>
      <c r="R7" s="115">
        <f t="shared" ref="R7:R9" si="2">+F7+J7+N7</f>
        <v>227409.03564579209</v>
      </c>
      <c r="S7" s="114">
        <f>+G7+K7+O7</f>
        <v>1774416</v>
      </c>
      <c r="T7" s="115">
        <f t="shared" ref="T7:T9" si="3">+H7+L7+P7</f>
        <v>243413</v>
      </c>
      <c r="U7"/>
      <c r="V7" s="102">
        <f t="shared" ref="V7:V9" si="4">C7-S7</f>
        <v>2225584</v>
      </c>
      <c r="W7"/>
      <c r="X7"/>
      <c r="Z7" s="14"/>
    </row>
    <row r="8" spans="1:26" s="13" customFormat="1" ht="37.5" customHeight="1">
      <c r="B8" s="109" t="s">
        <v>67</v>
      </c>
      <c r="C8" s="114">
        <v>2500000</v>
      </c>
      <c r="D8" s="115">
        <f t="shared" si="0"/>
        <v>334435.34749999997</v>
      </c>
      <c r="E8" s="114">
        <v>391378.8</v>
      </c>
      <c r="F8" s="115">
        <f t="shared" si="0"/>
        <v>52356.361992853192</v>
      </c>
      <c r="G8" s="114">
        <v>948910</v>
      </c>
      <c r="H8" s="115">
        <v>130480</v>
      </c>
      <c r="I8" s="114">
        <f>1220750*0.3</f>
        <v>366225</v>
      </c>
      <c r="J8" s="115">
        <f t="shared" si="1"/>
        <v>48989.918250000002</v>
      </c>
      <c r="K8" s="114">
        <v>0</v>
      </c>
      <c r="L8" s="115">
        <v>0</v>
      </c>
      <c r="M8" s="114"/>
      <c r="N8" s="115"/>
      <c r="O8" s="114"/>
      <c r="P8" s="115"/>
      <c r="Q8" s="114">
        <f>+E8+I8+M8</f>
        <v>757603.8</v>
      </c>
      <c r="R8" s="115">
        <f t="shared" si="2"/>
        <v>101346.28024285319</v>
      </c>
      <c r="S8" s="114">
        <f>+G8+K8+O8</f>
        <v>948910</v>
      </c>
      <c r="T8" s="115">
        <f t="shared" si="3"/>
        <v>130480</v>
      </c>
      <c r="U8"/>
      <c r="V8" s="102">
        <f t="shared" si="4"/>
        <v>1551090</v>
      </c>
      <c r="W8"/>
      <c r="X8"/>
      <c r="Z8" s="14"/>
    </row>
    <row r="9" spans="1:26" s="13" customFormat="1" ht="27" customHeight="1" thickBot="1">
      <c r="B9" s="110" t="s">
        <v>66</v>
      </c>
      <c r="C9" s="116">
        <v>0</v>
      </c>
      <c r="D9" s="117">
        <f t="shared" si="0"/>
        <v>0</v>
      </c>
      <c r="E9" s="116">
        <v>31630.799999999999</v>
      </c>
      <c r="F9" s="117">
        <f t="shared" si="0"/>
        <v>4231.3830358811992</v>
      </c>
      <c r="G9" s="116">
        <v>0</v>
      </c>
      <c r="H9" s="117">
        <v>0</v>
      </c>
      <c r="I9" s="116">
        <f>105436*0.3</f>
        <v>31630.799999999999</v>
      </c>
      <c r="J9" s="117">
        <f t="shared" si="1"/>
        <v>4231.2521159999997</v>
      </c>
      <c r="K9" s="116">
        <v>0</v>
      </c>
      <c r="L9" s="120">
        <v>0</v>
      </c>
      <c r="M9" s="119"/>
      <c r="N9" s="117"/>
      <c r="O9" s="116"/>
      <c r="P9" s="117"/>
      <c r="Q9" s="116">
        <f>+E9+I9+M9</f>
        <v>63261.599999999999</v>
      </c>
      <c r="R9" s="117">
        <f t="shared" si="2"/>
        <v>8462.6351518811989</v>
      </c>
      <c r="S9" s="116">
        <f>+G9+K9+O9</f>
        <v>0</v>
      </c>
      <c r="T9" s="117">
        <f t="shared" si="3"/>
        <v>0</v>
      </c>
      <c r="U9"/>
      <c r="V9" s="102">
        <f t="shared" si="4"/>
        <v>0</v>
      </c>
      <c r="W9"/>
      <c r="X9"/>
      <c r="Z9" s="14"/>
    </row>
    <row r="10" spans="1:26" s="13" customFormat="1" ht="25.5" customHeight="1">
      <c r="B10" s="88" t="s">
        <v>83</v>
      </c>
      <c r="C10" s="88"/>
      <c r="D10" s="88" t="s">
        <v>87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93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61"/>
  </sheetPr>
  <dimension ref="A1:L219"/>
  <sheetViews>
    <sheetView view="pageLayout" zoomScale="85" zoomScaleNormal="110" zoomScalePageLayoutView="85" workbookViewId="0">
      <selection activeCell="N6" sqref="N6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28515625" bestFit="1" customWidth="1"/>
    <col min="11" max="11" width="18" bestFit="1" customWidth="1"/>
  </cols>
  <sheetData>
    <row r="1" spans="1:12" s="1" customFormat="1" ht="15.75">
      <c r="A1"/>
      <c r="B1" s="5" t="s">
        <v>71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32" t="s">
        <v>14</v>
      </c>
      <c r="C2" s="132"/>
      <c r="D2" s="132"/>
      <c r="E2" s="132"/>
      <c r="F2" s="132"/>
      <c r="G2" s="132"/>
      <c r="H2" s="132"/>
      <c r="I2" s="132"/>
      <c r="J2" s="132"/>
      <c r="K2" s="132"/>
    </row>
    <row r="3" spans="1:12" s="1" customFormat="1" ht="17.25">
      <c r="A3"/>
      <c r="B3" s="133"/>
      <c r="C3" s="133"/>
      <c r="D3" s="133"/>
      <c r="E3" s="133"/>
      <c r="F3" s="133"/>
      <c r="G3" s="133"/>
      <c r="H3" s="133"/>
      <c r="I3" s="133"/>
      <c r="J3" s="133"/>
      <c r="K3" s="133"/>
    </row>
    <row r="4" spans="1:12" s="1" customFormat="1" ht="15">
      <c r="A4"/>
      <c r="B4" s="33" t="s">
        <v>15</v>
      </c>
      <c r="C4" s="34" t="s">
        <v>16</v>
      </c>
      <c r="D4" s="52">
        <f ca="1">NOW()</f>
        <v>41716.632829745373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101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72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73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4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34" t="s">
        <v>85</v>
      </c>
      <c r="K10" s="134"/>
      <c r="L10" s="99" t="s">
        <v>84</v>
      </c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  <c r="L11" s="97"/>
    </row>
    <row r="12" spans="1:12" s="1" customFormat="1">
      <c r="A12"/>
      <c r="B12" s="79">
        <v>41650</v>
      </c>
      <c r="C12" s="78" t="s">
        <v>103</v>
      </c>
      <c r="D12" s="81">
        <v>35.54</v>
      </c>
      <c r="E12" s="86">
        <v>0.10001238978519689</v>
      </c>
      <c r="F12" s="80">
        <v>782120</v>
      </c>
      <c r="G12" s="80"/>
      <c r="H12" s="80">
        <v>105095</v>
      </c>
      <c r="I12" s="145" t="s">
        <v>107</v>
      </c>
      <c r="J12" s="87">
        <v>85753515.854296982</v>
      </c>
      <c r="K12" s="87">
        <v>13311885781.130466</v>
      </c>
      <c r="L12" s="97"/>
    </row>
    <row r="13" spans="1:12" s="1" customFormat="1">
      <c r="A13"/>
      <c r="B13" s="143">
        <v>41664</v>
      </c>
      <c r="C13" s="144" t="s">
        <v>104</v>
      </c>
      <c r="D13" s="81">
        <v>34.21</v>
      </c>
      <c r="E13" s="86">
        <v>4.7976971053894132E-2</v>
      </c>
      <c r="F13" s="80">
        <v>50000</v>
      </c>
      <c r="G13" s="80"/>
      <c r="H13" s="80">
        <v>6773</v>
      </c>
      <c r="I13" s="146" t="s">
        <v>63</v>
      </c>
      <c r="J13" s="87">
        <v>5482120.1257030237</v>
      </c>
      <c r="K13" s="87">
        <v>851013001.91341901</v>
      </c>
      <c r="L13" s="97"/>
    </row>
    <row r="14" spans="1:12" s="1" customFormat="1">
      <c r="A14"/>
      <c r="B14" s="79">
        <v>41672</v>
      </c>
      <c r="C14" s="78" t="s">
        <v>105</v>
      </c>
      <c r="D14" s="81">
        <v>34.909999999999997</v>
      </c>
      <c r="E14" s="86">
        <v>0.10788348583529789</v>
      </c>
      <c r="F14" s="80">
        <v>75000</v>
      </c>
      <c r="G14" s="80"/>
      <c r="H14" s="80">
        <v>10115</v>
      </c>
      <c r="I14" s="78" t="s">
        <v>63</v>
      </c>
      <c r="J14" s="87">
        <v>8282895.6921762051</v>
      </c>
      <c r="K14" s="87">
        <v>1285919556.2103558</v>
      </c>
      <c r="L14" s="97"/>
    </row>
    <row r="15" spans="1:12" s="1" customFormat="1">
      <c r="A15"/>
      <c r="B15" s="79">
        <v>41672</v>
      </c>
      <c r="C15" s="78" t="s">
        <v>105</v>
      </c>
      <c r="D15" s="81">
        <v>34.909999999999997</v>
      </c>
      <c r="E15" s="86">
        <v>0.10788348583529789</v>
      </c>
      <c r="F15" s="80">
        <v>100000</v>
      </c>
      <c r="G15" s="80"/>
      <c r="H15" s="80">
        <v>13487</v>
      </c>
      <c r="I15" s="78" t="s">
        <v>63</v>
      </c>
      <c r="J15" s="87">
        <v>11043860.922901606</v>
      </c>
      <c r="K15" s="87">
        <v>1714559408.2804744</v>
      </c>
      <c r="L15" s="97"/>
    </row>
    <row r="16" spans="1:12" s="1" customFormat="1">
      <c r="A16"/>
      <c r="B16" s="79">
        <v>41672</v>
      </c>
      <c r="C16" s="78" t="s">
        <v>105</v>
      </c>
      <c r="D16" s="81">
        <v>34.909999999999997</v>
      </c>
      <c r="E16" s="86">
        <v>0.10755638000931865</v>
      </c>
      <c r="F16" s="80">
        <v>688200</v>
      </c>
      <c r="G16" s="80"/>
      <c r="H16" s="80">
        <v>92817</v>
      </c>
      <c r="I16" s="78" t="s">
        <v>63</v>
      </c>
      <c r="J16" s="87">
        <v>76003850.87140885</v>
      </c>
      <c r="K16" s="87">
        <v>11799597847.786224</v>
      </c>
      <c r="L16" s="97"/>
    </row>
    <row r="17" spans="1:12" s="1" customFormat="1">
      <c r="A17"/>
      <c r="B17" s="79">
        <v>41693</v>
      </c>
      <c r="C17" s="78" t="s">
        <v>106</v>
      </c>
      <c r="D17" s="81">
        <v>33.67</v>
      </c>
      <c r="E17" s="86">
        <v>4.9917235671425621E-2</v>
      </c>
      <c r="F17" s="80">
        <v>772894</v>
      </c>
      <c r="G17" s="80"/>
      <c r="H17" s="80">
        <v>105037</v>
      </c>
      <c r="I17" s="78" t="s">
        <v>63</v>
      </c>
      <c r="J17" s="87">
        <v>85357338.441451147</v>
      </c>
      <c r="K17" s="87">
        <v>13251726793.03529</v>
      </c>
      <c r="L17" s="97"/>
    </row>
    <row r="18" spans="1:12" s="1" customFormat="1">
      <c r="A18"/>
      <c r="B18" s="79">
        <v>41698</v>
      </c>
      <c r="C18" s="78" t="s">
        <v>106</v>
      </c>
      <c r="D18" s="81">
        <v>33.979999999999997</v>
      </c>
      <c r="E18" s="86">
        <v>9.5807641433657956E-2</v>
      </c>
      <c r="F18" s="80">
        <v>1000005</v>
      </c>
      <c r="G18" s="80"/>
      <c r="H18" s="80">
        <v>135638</v>
      </c>
      <c r="I18" s="78" t="s">
        <v>63</v>
      </c>
      <c r="J18" s="87">
        <v>110439161.42206222</v>
      </c>
      <c r="K18" s="87">
        <v>17145679810.77516</v>
      </c>
      <c r="L18" s="97"/>
    </row>
    <row r="19" spans="1:12" s="1" customFormat="1">
      <c r="A19"/>
      <c r="B19" s="79"/>
      <c r="C19" s="78"/>
      <c r="D19" s="81"/>
      <c r="E19" s="86"/>
      <c r="F19" s="80"/>
      <c r="G19" s="80"/>
      <c r="H19" s="80"/>
      <c r="I19" s="78"/>
      <c r="J19" s="87"/>
      <c r="K19" s="87"/>
      <c r="L19" s="97"/>
    </row>
    <row r="20" spans="1:12" s="1" customFormat="1">
      <c r="A20"/>
      <c r="B20" s="79"/>
      <c r="C20" s="78"/>
      <c r="D20" s="81"/>
      <c r="E20" s="86"/>
      <c r="F20" s="80"/>
      <c r="G20" s="80"/>
      <c r="H20" s="80"/>
      <c r="I20" s="78"/>
      <c r="J20" s="87"/>
      <c r="K20" s="87"/>
      <c r="L20" s="97"/>
    </row>
    <row r="21" spans="1:12" s="1" customFormat="1">
      <c r="A21"/>
      <c r="B21" s="79"/>
      <c r="C21" s="78"/>
      <c r="D21" s="81"/>
      <c r="E21" s="86"/>
      <c r="F21" s="80"/>
      <c r="G21" s="80"/>
      <c r="H21" s="80"/>
      <c r="I21" s="78"/>
      <c r="J21" s="87"/>
      <c r="K21" s="87"/>
      <c r="L21" s="97"/>
    </row>
    <row r="22" spans="1:12" s="1" customFormat="1">
      <c r="A22"/>
      <c r="B22" s="79"/>
      <c r="C22" s="78"/>
      <c r="D22" s="81"/>
      <c r="E22" s="86"/>
      <c r="F22" s="80"/>
      <c r="G22" s="80"/>
      <c r="H22" s="80"/>
      <c r="I22" s="78"/>
      <c r="J22" s="87"/>
      <c r="K22" s="87"/>
      <c r="L22" s="97"/>
    </row>
    <row r="23" spans="1:12" s="1" customFormat="1">
      <c r="A23" s="21"/>
      <c r="B23" s="79"/>
      <c r="C23" s="78"/>
      <c r="D23" s="81"/>
      <c r="E23" s="86"/>
      <c r="F23" s="80"/>
      <c r="H23" s="80"/>
      <c r="I23" s="78"/>
      <c r="J23" s="87"/>
      <c r="K23" s="87"/>
      <c r="L23" s="97"/>
    </row>
    <row r="24" spans="1:12">
      <c r="A24" s="21"/>
      <c r="B24" s="79"/>
      <c r="C24" s="78"/>
      <c r="D24" s="81"/>
      <c r="E24" s="86"/>
      <c r="F24" s="80"/>
      <c r="G24" s="23"/>
      <c r="H24" s="80"/>
      <c r="I24" s="78"/>
      <c r="J24" s="87"/>
      <c r="K24" s="87"/>
      <c r="L24" s="98"/>
    </row>
    <row r="25" spans="1:12">
      <c r="A25" s="21"/>
      <c r="B25" s="79"/>
      <c r="C25" s="78"/>
      <c r="D25" s="81"/>
      <c r="E25" s="86"/>
      <c r="F25" s="80"/>
      <c r="G25" s="48"/>
      <c r="H25" s="80"/>
      <c r="I25" s="78"/>
      <c r="J25" s="87"/>
      <c r="K25" s="87"/>
      <c r="L25" s="98"/>
    </row>
    <row r="26" spans="1:12" ht="14.25">
      <c r="B26" s="79"/>
      <c r="C26" s="78"/>
      <c r="D26" s="81"/>
      <c r="E26" s="86"/>
      <c r="F26" s="80"/>
      <c r="G26" s="27"/>
      <c r="H26" s="80"/>
      <c r="I26" s="78"/>
      <c r="J26" s="87"/>
      <c r="K26" s="87"/>
      <c r="L26" s="97"/>
    </row>
    <row r="27" spans="1:12" ht="14.25">
      <c r="B27" s="79"/>
      <c r="C27" s="78"/>
      <c r="D27" s="81"/>
      <c r="E27" s="86"/>
      <c r="F27" s="80"/>
      <c r="G27" s="27"/>
      <c r="H27" s="80"/>
      <c r="I27" s="78"/>
      <c r="J27" s="87"/>
      <c r="K27" s="87"/>
      <c r="L27" s="97"/>
    </row>
    <row r="28" spans="1:12" ht="14.25">
      <c r="B28" s="79"/>
      <c r="C28" s="78"/>
      <c r="D28" s="81"/>
      <c r="E28" s="86"/>
      <c r="F28" s="80"/>
      <c r="G28" s="27"/>
      <c r="H28" s="80"/>
      <c r="I28" s="78"/>
      <c r="J28" s="87"/>
      <c r="K28" s="87"/>
      <c r="L28" s="97"/>
    </row>
    <row r="29" spans="1:12" ht="14.25">
      <c r="B29" s="79"/>
      <c r="C29" s="78"/>
      <c r="D29" s="81"/>
      <c r="E29" s="86"/>
      <c r="F29" s="80"/>
      <c r="G29" s="27"/>
      <c r="H29" s="80"/>
      <c r="I29" s="91"/>
      <c r="J29" s="87"/>
      <c r="K29" s="87"/>
      <c r="L29" s="97"/>
    </row>
    <row r="30" spans="1:12" ht="14.25">
      <c r="B30" s="79"/>
      <c r="C30" s="78"/>
      <c r="D30" s="81"/>
      <c r="E30" s="86"/>
      <c r="F30" s="80"/>
      <c r="G30" s="27"/>
      <c r="H30" s="80"/>
      <c r="I30" s="91"/>
      <c r="J30" s="87"/>
      <c r="K30" s="87"/>
      <c r="L30" s="97"/>
    </row>
    <row r="31" spans="1:12" ht="14.25">
      <c r="B31" s="79"/>
      <c r="C31" s="78"/>
      <c r="D31" s="81"/>
      <c r="E31" s="86"/>
      <c r="F31" s="80"/>
      <c r="G31" s="27"/>
      <c r="H31" s="80"/>
      <c r="I31" s="91"/>
      <c r="J31" s="87"/>
      <c r="K31" s="87"/>
      <c r="L31" s="97"/>
    </row>
    <row r="32" spans="1:12" ht="14.25">
      <c r="B32" s="79"/>
      <c r="C32" s="78"/>
      <c r="D32" s="81"/>
      <c r="E32" s="86"/>
      <c r="F32" s="80"/>
      <c r="G32" s="27"/>
      <c r="H32" s="80"/>
      <c r="I32" s="78"/>
      <c r="J32" s="87"/>
      <c r="K32" s="87"/>
      <c r="L32" s="97"/>
    </row>
    <row r="33" spans="2:12" ht="14.25">
      <c r="B33" s="79"/>
      <c r="C33" s="78"/>
      <c r="D33" s="81"/>
      <c r="E33" s="86"/>
      <c r="F33" s="80"/>
      <c r="G33" s="27"/>
      <c r="H33" s="80"/>
      <c r="I33" s="78"/>
      <c r="J33" s="87"/>
      <c r="K33" s="87"/>
      <c r="L33" s="97"/>
    </row>
    <row r="34" spans="2:12" ht="14.25">
      <c r="B34" s="79"/>
      <c r="C34" s="78"/>
      <c r="D34" s="81"/>
      <c r="E34" s="86"/>
      <c r="F34" s="80"/>
      <c r="G34" s="27"/>
      <c r="H34" s="80"/>
      <c r="I34" s="78"/>
      <c r="J34" s="87"/>
      <c r="K34" s="87"/>
      <c r="L34" s="97"/>
    </row>
    <row r="35" spans="2:12" ht="14.25">
      <c r="B35" s="79"/>
      <c r="C35" s="78"/>
      <c r="D35" s="81"/>
      <c r="E35" s="122"/>
      <c r="F35" s="80"/>
      <c r="G35" s="27"/>
      <c r="H35" s="91"/>
      <c r="I35" s="78"/>
      <c r="J35" s="87"/>
      <c r="K35" s="87"/>
      <c r="L35" s="97"/>
    </row>
    <row r="36" spans="2:12" ht="14.25">
      <c r="B36" s="79"/>
      <c r="C36" s="78"/>
      <c r="D36" s="81"/>
      <c r="E36" s="86"/>
      <c r="F36" s="80"/>
      <c r="G36" s="27"/>
      <c r="H36" s="80"/>
      <c r="I36" s="78"/>
      <c r="J36" s="87"/>
      <c r="K36" s="87"/>
      <c r="L36" s="97"/>
    </row>
    <row r="37" spans="2:12" ht="14.25">
      <c r="B37" s="79"/>
      <c r="C37" s="78"/>
      <c r="D37" s="81"/>
      <c r="E37" s="86"/>
      <c r="F37" s="80"/>
      <c r="G37" s="27"/>
      <c r="H37" s="91"/>
      <c r="I37" s="78"/>
      <c r="J37" s="87"/>
      <c r="K37" s="87"/>
      <c r="L37" s="97"/>
    </row>
    <row r="38" spans="2:12" ht="14.25">
      <c r="B38" s="79"/>
      <c r="C38" s="78"/>
      <c r="D38" s="81"/>
      <c r="E38" s="86"/>
      <c r="F38" s="80"/>
      <c r="G38" s="27"/>
      <c r="H38" s="91"/>
      <c r="I38" s="78"/>
      <c r="J38" s="87"/>
      <c r="K38" s="87"/>
      <c r="L38" s="97"/>
    </row>
    <row r="39" spans="2:12">
      <c r="B39" s="82" t="s">
        <v>35</v>
      </c>
      <c r="C39" s="83"/>
      <c r="D39" s="83"/>
      <c r="E39" s="84"/>
      <c r="F39" s="85"/>
      <c r="G39" s="85"/>
      <c r="H39" s="85"/>
      <c r="I39" s="85"/>
      <c r="J39" s="85">
        <f>SUM(J12:J38)</f>
        <v>382362743.33000004</v>
      </c>
      <c r="K39" s="85">
        <f>SUM(K12:K38)</f>
        <v>59360382199.131393</v>
      </c>
    </row>
    <row r="40" spans="2:12" ht="15">
      <c r="B40" s="22"/>
      <c r="C40" s="7"/>
      <c r="D40" s="7"/>
      <c r="E40" s="7"/>
      <c r="F40" s="7"/>
      <c r="G40" s="7"/>
    </row>
    <row r="41" spans="2:12" ht="15">
      <c r="B41" s="19"/>
      <c r="C41" s="19"/>
      <c r="D41" s="19"/>
      <c r="E41" s="19"/>
      <c r="F41" s="19"/>
      <c r="G41" s="19"/>
    </row>
    <row r="42" spans="2:12" ht="15">
      <c r="B42" s="19"/>
      <c r="C42" s="19"/>
      <c r="D42" s="19"/>
      <c r="E42" s="19"/>
      <c r="F42" s="19"/>
      <c r="G42" s="19"/>
    </row>
    <row r="43" spans="2:12" ht="15">
      <c r="B43" s="19"/>
      <c r="C43" s="19"/>
      <c r="D43" s="19"/>
      <c r="E43" s="19"/>
      <c r="F43" s="19"/>
      <c r="G43" s="19"/>
    </row>
    <row r="44" spans="2:12" ht="15">
      <c r="B44" s="19"/>
      <c r="C44" s="19"/>
      <c r="D44" s="19"/>
      <c r="E44" s="19"/>
      <c r="F44" s="19"/>
      <c r="G44" s="19"/>
    </row>
    <row r="45" spans="2:12">
      <c r="B45" s="23"/>
      <c r="C45" s="23"/>
      <c r="D45" s="23"/>
      <c r="E45" s="23"/>
      <c r="F45" s="23"/>
      <c r="G45" s="23"/>
    </row>
    <row r="46" spans="2:12">
      <c r="B46" s="24"/>
      <c r="C46" s="25"/>
      <c r="D46" s="25"/>
      <c r="E46" s="25"/>
      <c r="F46" s="25"/>
      <c r="G46" s="25"/>
    </row>
    <row r="47" spans="2:12">
      <c r="B47" s="26"/>
      <c r="C47" s="25"/>
      <c r="D47" s="25"/>
      <c r="E47" s="25"/>
      <c r="F47" s="25"/>
      <c r="G47" s="25"/>
    </row>
    <row r="48" spans="2:12">
      <c r="B48" s="26"/>
      <c r="C48" s="26"/>
      <c r="D48" s="26"/>
      <c r="E48" s="26"/>
      <c r="F48" s="26"/>
      <c r="G48" s="26"/>
    </row>
    <row r="49" spans="2:7" ht="15">
      <c r="B49" s="19"/>
      <c r="C49" s="19"/>
      <c r="D49" s="19"/>
      <c r="E49" s="19"/>
      <c r="F49" s="19"/>
      <c r="G49" s="19"/>
    </row>
    <row r="50" spans="2:7" ht="15">
      <c r="B50" s="7"/>
      <c r="C50" s="7"/>
      <c r="D50" s="7"/>
      <c r="E50" s="7"/>
      <c r="F50" s="7"/>
      <c r="G50" s="19"/>
    </row>
    <row r="51" spans="2:7" ht="15">
      <c r="B51" s="19"/>
      <c r="C51" s="19"/>
      <c r="D51" s="19"/>
      <c r="E51" s="19"/>
      <c r="F51" s="19"/>
      <c r="G51" s="19"/>
    </row>
    <row r="52" spans="2:7" ht="15">
      <c r="B52" s="19"/>
      <c r="C52" s="19"/>
      <c r="D52" s="19"/>
      <c r="E52" s="19"/>
      <c r="F52" s="19"/>
      <c r="G52" s="19"/>
    </row>
    <row r="53" spans="2:7" ht="15">
      <c r="B53" s="19"/>
      <c r="C53" s="19"/>
      <c r="D53" s="19"/>
      <c r="E53" s="19"/>
      <c r="F53" s="19"/>
      <c r="G53" s="19"/>
    </row>
    <row r="54" spans="2:7" ht="15">
      <c r="B54" s="19"/>
      <c r="C54" s="19"/>
      <c r="D54" s="19"/>
      <c r="E54" s="19"/>
      <c r="F54" s="19"/>
      <c r="G54" s="19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7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19"/>
      <c r="C62" s="19"/>
      <c r="D62" s="19"/>
      <c r="E62" s="19"/>
      <c r="F62" s="19"/>
      <c r="G62" s="19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4.25">
      <c r="B68" s="27"/>
      <c r="C68" s="27"/>
      <c r="D68" s="27"/>
      <c r="E68" s="27"/>
      <c r="F68" s="27"/>
      <c r="G68" s="27"/>
    </row>
    <row r="69" spans="2:7">
      <c r="B69" s="21"/>
      <c r="C69" s="21"/>
      <c r="D69" s="21"/>
      <c r="E69" s="21"/>
      <c r="F69" s="21"/>
      <c r="G69" s="21"/>
    </row>
    <row r="70" spans="2:7">
      <c r="B70" s="21"/>
      <c r="C70" s="21"/>
      <c r="D70" s="21"/>
      <c r="E70" s="21"/>
      <c r="F70" s="21"/>
      <c r="G70" s="21"/>
    </row>
    <row r="71" spans="2:7">
      <c r="B71" s="21"/>
      <c r="C71" s="21"/>
      <c r="D71" s="21"/>
      <c r="E71" s="21"/>
      <c r="F71" s="21"/>
      <c r="G71" s="21"/>
    </row>
    <row r="72" spans="2:7">
      <c r="B72" s="21"/>
      <c r="C72" s="21"/>
      <c r="D72" s="21"/>
      <c r="E72" s="21"/>
      <c r="F72" s="21"/>
      <c r="G72" s="21"/>
    </row>
    <row r="73" spans="2:7">
      <c r="B73" s="21"/>
      <c r="C73" s="21"/>
      <c r="D73" s="21"/>
      <c r="E73" s="21"/>
      <c r="F73" s="21"/>
      <c r="G73" s="21"/>
    </row>
    <row r="74" spans="2:7">
      <c r="B74" s="21"/>
      <c r="C74" s="21"/>
      <c r="D74" s="21"/>
      <c r="E74" s="21"/>
      <c r="F74" s="21"/>
      <c r="G74" s="21"/>
    </row>
    <row r="75" spans="2:7">
      <c r="B75" s="21"/>
      <c r="C75" s="21"/>
      <c r="D75" s="21"/>
      <c r="E75" s="21"/>
      <c r="F75" s="21"/>
      <c r="G75" s="21"/>
    </row>
    <row r="76" spans="2:7" ht="15.75">
      <c r="B76" s="18"/>
      <c r="C76" s="18"/>
      <c r="D76" s="18"/>
      <c r="E76" s="18"/>
      <c r="F76" s="18"/>
      <c r="G76" s="18"/>
    </row>
    <row r="77" spans="2:7" ht="15.75">
      <c r="B77" s="18"/>
      <c r="C77" s="18"/>
      <c r="D77" s="18"/>
      <c r="E77" s="18"/>
      <c r="F77" s="18"/>
      <c r="G77" s="18"/>
    </row>
    <row r="78" spans="2:7" ht="15.75">
      <c r="B78" s="18"/>
      <c r="C78" s="18"/>
      <c r="D78" s="18"/>
      <c r="E78" s="18"/>
      <c r="F78" s="18"/>
      <c r="G78" s="18"/>
    </row>
    <row r="79" spans="2:7" ht="15">
      <c r="B79" s="19"/>
      <c r="C79" s="19"/>
      <c r="D79" s="19"/>
      <c r="E79" s="19"/>
      <c r="F79" s="20"/>
      <c r="G79" s="19"/>
    </row>
    <row r="80" spans="2:7" ht="15">
      <c r="B80" s="19"/>
      <c r="C80" s="19"/>
      <c r="D80" s="19"/>
      <c r="E80" s="19"/>
      <c r="F80" s="19"/>
      <c r="G80" s="19"/>
    </row>
    <row r="81" spans="2:7" ht="15">
      <c r="B81" s="19"/>
      <c r="C81" s="19"/>
      <c r="D81" s="19"/>
      <c r="E81" s="19"/>
      <c r="F81" s="19"/>
      <c r="G81" s="19"/>
    </row>
    <row r="82" spans="2:7" ht="15">
      <c r="B82" s="19"/>
      <c r="C82" s="19"/>
      <c r="D82" s="19"/>
      <c r="E82" s="19"/>
      <c r="F82" s="19"/>
      <c r="G82" s="19"/>
    </row>
    <row r="83" spans="2:7" ht="15">
      <c r="B83" s="19"/>
      <c r="C83" s="19"/>
      <c r="D83" s="19"/>
      <c r="E83" s="19"/>
      <c r="F83" s="19"/>
      <c r="G83" s="19"/>
    </row>
    <row r="84" spans="2:7" ht="15">
      <c r="B84" s="19"/>
      <c r="C84" s="19"/>
      <c r="D84" s="19"/>
      <c r="E84" s="19"/>
      <c r="F84" s="19"/>
      <c r="G84" s="19"/>
    </row>
    <row r="85" spans="2:7" ht="15">
      <c r="B85" s="19"/>
      <c r="C85" s="19"/>
      <c r="D85" s="19"/>
      <c r="E85" s="19"/>
      <c r="F85" s="19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22"/>
      <c r="C89" s="7"/>
      <c r="D89" s="7"/>
      <c r="E89" s="7"/>
      <c r="F89" s="7"/>
      <c r="G89" s="7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>
      <c r="B94" s="23"/>
      <c r="C94" s="23"/>
      <c r="D94" s="23"/>
      <c r="E94" s="23"/>
      <c r="F94" s="23"/>
      <c r="G94" s="23"/>
    </row>
    <row r="95" spans="2:7">
      <c r="B95" s="24"/>
      <c r="C95" s="25"/>
      <c r="D95" s="25"/>
      <c r="E95" s="25"/>
      <c r="F95" s="25"/>
      <c r="G95" s="25"/>
    </row>
    <row r="96" spans="2:7">
      <c r="B96" s="26"/>
      <c r="C96" s="25"/>
      <c r="D96" s="25"/>
      <c r="E96" s="25"/>
      <c r="F96" s="25"/>
      <c r="G96" s="25"/>
    </row>
    <row r="97" spans="2:7">
      <c r="B97" s="26"/>
      <c r="C97" s="26"/>
      <c r="D97" s="26"/>
      <c r="E97" s="26"/>
      <c r="F97" s="26"/>
      <c r="G97" s="26"/>
    </row>
    <row r="98" spans="2:7" ht="15">
      <c r="B98" s="19"/>
      <c r="C98" s="19"/>
      <c r="D98" s="19"/>
      <c r="E98" s="19"/>
      <c r="F98" s="19"/>
      <c r="G98" s="19"/>
    </row>
    <row r="99" spans="2:7" ht="15">
      <c r="B99" s="7"/>
      <c r="C99" s="7"/>
      <c r="D99" s="7"/>
      <c r="E99" s="7"/>
      <c r="F99" s="7"/>
      <c r="G99" s="19"/>
    </row>
    <row r="100" spans="2:7" ht="15">
      <c r="B100" s="19"/>
      <c r="C100" s="19"/>
      <c r="D100" s="19"/>
      <c r="E100" s="19"/>
      <c r="F100" s="19"/>
      <c r="G100" s="19"/>
    </row>
    <row r="101" spans="2:7" ht="15">
      <c r="B101" s="19"/>
      <c r="C101" s="19"/>
      <c r="D101" s="19"/>
      <c r="E101" s="19"/>
      <c r="F101" s="19"/>
      <c r="G101" s="19"/>
    </row>
    <row r="102" spans="2:7" ht="15">
      <c r="B102" s="19"/>
      <c r="C102" s="19"/>
      <c r="D102" s="19"/>
      <c r="E102" s="19"/>
      <c r="F102" s="19"/>
      <c r="G102" s="19"/>
    </row>
    <row r="103" spans="2:7" ht="15">
      <c r="B103" s="19"/>
      <c r="C103" s="19"/>
      <c r="D103" s="19"/>
      <c r="E103" s="19"/>
      <c r="F103" s="19"/>
      <c r="G103" s="19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7"/>
    </row>
    <row r="106" spans="2:7" ht="15">
      <c r="B106" s="19"/>
      <c r="C106" s="19"/>
      <c r="D106" s="19"/>
      <c r="E106" s="19"/>
      <c r="F106" s="19"/>
      <c r="G106" s="19"/>
    </row>
    <row r="107" spans="2:7" ht="14.25">
      <c r="B107" s="27"/>
      <c r="C107" s="27"/>
      <c r="D107" s="27"/>
      <c r="E107" s="27"/>
      <c r="F107" s="27"/>
      <c r="G107" s="27"/>
    </row>
    <row r="108" spans="2:7">
      <c r="B108" s="21"/>
      <c r="C108" s="21"/>
      <c r="D108" s="21"/>
      <c r="E108" s="21"/>
      <c r="F108" s="21"/>
      <c r="G108" s="21"/>
    </row>
    <row r="109" spans="2:7">
      <c r="B109" s="21"/>
      <c r="C109" s="21"/>
      <c r="D109" s="21"/>
      <c r="E109" s="21"/>
      <c r="F109" s="21"/>
      <c r="G109" s="21"/>
    </row>
    <row r="110" spans="2:7">
      <c r="B110" s="21"/>
      <c r="C110" s="21"/>
      <c r="D110" s="21"/>
      <c r="E110" s="21"/>
      <c r="F110" s="21"/>
      <c r="G110" s="21"/>
    </row>
    <row r="111" spans="2:7">
      <c r="B111" s="21"/>
      <c r="C111" s="21"/>
      <c r="D111" s="21"/>
      <c r="E111" s="21"/>
      <c r="F111" s="21"/>
      <c r="G111" s="21"/>
    </row>
    <row r="112" spans="2:7">
      <c r="B112" s="21"/>
      <c r="C112" s="21"/>
      <c r="D112" s="21"/>
      <c r="E112" s="21"/>
      <c r="F112" s="21"/>
      <c r="G112" s="21"/>
    </row>
    <row r="113" spans="2:7">
      <c r="B113" s="21"/>
      <c r="C113" s="21"/>
      <c r="D113" s="21"/>
      <c r="E113" s="21"/>
      <c r="F113" s="21"/>
      <c r="G113" s="21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 ht="15.75">
      <c r="B116" s="18"/>
      <c r="C116" s="18"/>
      <c r="D116" s="18"/>
      <c r="E116" s="18"/>
      <c r="F116" s="18"/>
      <c r="G116" s="18"/>
    </row>
    <row r="117" spans="2:7" ht="15.75">
      <c r="B117" s="18"/>
      <c r="C117" s="18"/>
      <c r="D117" s="18"/>
      <c r="E117" s="18"/>
      <c r="F117" s="18"/>
      <c r="G117" s="18"/>
    </row>
    <row r="118" spans="2:7" ht="15.75">
      <c r="B118" s="18"/>
      <c r="C118" s="18"/>
      <c r="D118" s="18"/>
      <c r="E118" s="18"/>
      <c r="F118" s="18"/>
      <c r="G118" s="18"/>
    </row>
    <row r="119" spans="2:7" ht="15">
      <c r="B119" s="19"/>
      <c r="C119" s="19"/>
      <c r="D119" s="19"/>
      <c r="E119" s="19"/>
      <c r="F119" s="20"/>
      <c r="G119" s="19"/>
    </row>
    <row r="120" spans="2:7" ht="15">
      <c r="B120" s="19"/>
      <c r="C120" s="19"/>
      <c r="D120" s="19"/>
      <c r="E120" s="19"/>
      <c r="F120" s="19"/>
      <c r="G120" s="19"/>
    </row>
    <row r="121" spans="2:7" ht="15">
      <c r="B121" s="19"/>
      <c r="C121" s="19"/>
      <c r="D121" s="19"/>
      <c r="E121" s="19"/>
      <c r="F121" s="19"/>
      <c r="G121" s="19"/>
    </row>
    <row r="122" spans="2:7" ht="15">
      <c r="B122" s="19"/>
      <c r="C122" s="19"/>
      <c r="D122" s="19"/>
      <c r="E122" s="19"/>
      <c r="F122" s="19"/>
      <c r="G122" s="19"/>
    </row>
    <row r="123" spans="2:7" ht="15">
      <c r="B123" s="19"/>
      <c r="C123" s="19"/>
      <c r="D123" s="19"/>
      <c r="E123" s="19"/>
      <c r="F123" s="19"/>
      <c r="G123" s="19"/>
    </row>
    <row r="124" spans="2:7" ht="15">
      <c r="B124" s="19"/>
      <c r="C124" s="19"/>
      <c r="D124" s="19"/>
      <c r="E124" s="19"/>
      <c r="F124" s="19"/>
      <c r="G124" s="19"/>
    </row>
    <row r="125" spans="2:7" ht="15">
      <c r="B125" s="19"/>
      <c r="C125" s="19"/>
      <c r="D125" s="19"/>
      <c r="E125" s="19"/>
      <c r="F125" s="19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22"/>
      <c r="C129" s="7"/>
      <c r="D129" s="7"/>
      <c r="E129" s="7"/>
      <c r="F129" s="7"/>
      <c r="G129" s="7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>
      <c r="B134" s="23"/>
      <c r="C134" s="23"/>
      <c r="D134" s="23"/>
      <c r="E134" s="23"/>
      <c r="F134" s="23"/>
      <c r="G134" s="23"/>
    </row>
    <row r="135" spans="2:7">
      <c r="B135" s="24"/>
      <c r="C135" s="25"/>
      <c r="D135" s="25"/>
      <c r="E135" s="25"/>
      <c r="F135" s="25"/>
      <c r="G135" s="25"/>
    </row>
    <row r="136" spans="2:7">
      <c r="B136" s="26"/>
      <c r="C136" s="25"/>
      <c r="D136" s="25"/>
      <c r="E136" s="25"/>
      <c r="F136" s="25"/>
      <c r="G136" s="25"/>
    </row>
    <row r="137" spans="2:7">
      <c r="B137" s="26"/>
      <c r="C137" s="26"/>
      <c r="D137" s="26"/>
      <c r="E137" s="26"/>
      <c r="F137" s="26"/>
      <c r="G137" s="26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7"/>
      <c r="C139" s="7"/>
      <c r="D139" s="7"/>
      <c r="E139" s="7"/>
      <c r="F139" s="7"/>
      <c r="G139" s="19"/>
    </row>
    <row r="140" spans="2:7" ht="15">
      <c r="B140" s="19"/>
      <c r="C140" s="19"/>
      <c r="D140" s="19"/>
      <c r="E140" s="19"/>
      <c r="F140" s="19"/>
      <c r="G140" s="19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7"/>
    </row>
    <row r="146" spans="2:7" ht="15">
      <c r="B146" s="19"/>
      <c r="C146" s="19"/>
      <c r="D146" s="19"/>
      <c r="E146" s="19"/>
      <c r="F146" s="19"/>
      <c r="G146" s="19"/>
    </row>
    <row r="147" spans="2:7" ht="14.25">
      <c r="B147" s="27"/>
      <c r="C147" s="27"/>
      <c r="D147" s="27"/>
      <c r="E147" s="27"/>
      <c r="F147" s="27"/>
      <c r="G147" s="27"/>
    </row>
    <row r="148" spans="2:7">
      <c r="B148" s="21"/>
      <c r="C148" s="21"/>
      <c r="D148" s="21"/>
      <c r="E148" s="21"/>
      <c r="F148" s="21"/>
      <c r="G148" s="21"/>
    </row>
    <row r="149" spans="2:7">
      <c r="B149" s="21"/>
      <c r="C149" s="21"/>
      <c r="D149" s="21"/>
      <c r="E149" s="21"/>
      <c r="F149" s="21"/>
      <c r="G149" s="21"/>
    </row>
    <row r="150" spans="2:7" ht="15.75">
      <c r="B150" s="18"/>
      <c r="C150" s="18"/>
      <c r="D150" s="18"/>
      <c r="E150" s="18"/>
      <c r="F150" s="18"/>
      <c r="G150" s="18"/>
    </row>
    <row r="151" spans="2:7" ht="15.75">
      <c r="B151" s="18"/>
      <c r="C151" s="18"/>
      <c r="D151" s="18"/>
      <c r="E151" s="18"/>
      <c r="F151" s="18"/>
      <c r="G151" s="18"/>
    </row>
    <row r="152" spans="2:7" ht="15.75">
      <c r="B152" s="18"/>
      <c r="C152" s="18"/>
      <c r="D152" s="18"/>
      <c r="E152" s="18"/>
      <c r="F152" s="18"/>
      <c r="G152" s="18"/>
    </row>
    <row r="153" spans="2:7" ht="15">
      <c r="B153" s="19"/>
      <c r="C153" s="19"/>
      <c r="D153" s="19"/>
      <c r="E153" s="19"/>
      <c r="F153" s="20"/>
      <c r="G153" s="19"/>
    </row>
    <row r="154" spans="2:7" ht="15">
      <c r="B154" s="19"/>
      <c r="C154" s="19"/>
      <c r="D154" s="19"/>
      <c r="E154" s="19"/>
      <c r="F154" s="19"/>
      <c r="G154" s="19"/>
    </row>
    <row r="155" spans="2:7" ht="15">
      <c r="B155" s="19"/>
      <c r="C155" s="19"/>
      <c r="D155" s="19"/>
      <c r="E155" s="19"/>
      <c r="F155" s="19"/>
      <c r="G155" s="19"/>
    </row>
    <row r="156" spans="2:7" ht="15">
      <c r="B156" s="19"/>
      <c r="C156" s="19"/>
      <c r="D156" s="19"/>
      <c r="E156" s="19"/>
      <c r="F156" s="19"/>
      <c r="G156" s="19"/>
    </row>
    <row r="157" spans="2:7" ht="15">
      <c r="B157" s="19"/>
      <c r="C157" s="19"/>
      <c r="D157" s="19"/>
      <c r="E157" s="19"/>
      <c r="F157" s="19"/>
      <c r="G157" s="19"/>
    </row>
    <row r="158" spans="2:7" ht="15">
      <c r="B158" s="19"/>
      <c r="C158" s="19"/>
      <c r="D158" s="19"/>
      <c r="E158" s="19"/>
      <c r="F158" s="19"/>
      <c r="G158" s="19"/>
    </row>
    <row r="159" spans="2:7" ht="15">
      <c r="B159" s="19"/>
      <c r="C159" s="19"/>
      <c r="D159" s="19"/>
      <c r="E159" s="19"/>
      <c r="F159" s="19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22"/>
      <c r="C163" s="7"/>
      <c r="D163" s="7"/>
      <c r="E163" s="7"/>
      <c r="F163" s="7"/>
      <c r="G163" s="7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>
      <c r="B168" s="23"/>
      <c r="C168" s="23"/>
      <c r="D168" s="23"/>
      <c r="E168" s="23"/>
      <c r="F168" s="23"/>
      <c r="G168" s="23"/>
    </row>
    <row r="169" spans="2:7">
      <c r="B169" s="24"/>
      <c r="C169" s="25"/>
      <c r="D169" s="25"/>
      <c r="E169" s="25"/>
      <c r="F169" s="25"/>
      <c r="G169" s="25"/>
    </row>
    <row r="170" spans="2:7">
      <c r="B170" s="26"/>
      <c r="C170" s="25"/>
      <c r="D170" s="25"/>
      <c r="E170" s="25"/>
      <c r="F170" s="25"/>
      <c r="G170" s="25"/>
    </row>
    <row r="171" spans="2:7">
      <c r="B171" s="26"/>
      <c r="C171" s="26"/>
      <c r="D171" s="26"/>
      <c r="E171" s="26"/>
      <c r="F171" s="26"/>
      <c r="G171" s="26"/>
    </row>
    <row r="172" spans="2:7" ht="15">
      <c r="B172" s="19"/>
      <c r="C172" s="19"/>
      <c r="D172" s="19"/>
      <c r="E172" s="19"/>
      <c r="F172" s="19"/>
      <c r="G172" s="19"/>
    </row>
    <row r="173" spans="2:7" ht="21" customHeight="1">
      <c r="B173" s="7"/>
      <c r="C173" s="7"/>
      <c r="D173" s="7"/>
      <c r="E173" s="7"/>
      <c r="F173" s="7"/>
      <c r="G173" s="19"/>
    </row>
    <row r="174" spans="2:7" ht="15">
      <c r="B174" s="19"/>
      <c r="C174" s="19"/>
      <c r="D174" s="19"/>
      <c r="E174" s="19"/>
      <c r="F174" s="19"/>
      <c r="G174" s="19"/>
    </row>
    <row r="175" spans="2:7" ht="15">
      <c r="B175" s="19"/>
      <c r="C175" s="19"/>
      <c r="D175" s="19"/>
      <c r="E175" s="19"/>
      <c r="F175" s="19"/>
      <c r="G175" s="19"/>
    </row>
    <row r="176" spans="2:7" ht="15">
      <c r="B176" s="19"/>
      <c r="C176" s="19"/>
      <c r="D176" s="19"/>
      <c r="E176" s="19"/>
      <c r="F176" s="19"/>
      <c r="G176" s="19"/>
    </row>
    <row r="177" spans="2:7" ht="15">
      <c r="B177" s="19"/>
      <c r="C177" s="19"/>
      <c r="D177" s="19"/>
      <c r="E177" s="19"/>
      <c r="F177" s="19"/>
      <c r="G177" s="19"/>
    </row>
    <row r="178" spans="2:7" ht="15">
      <c r="B178" s="19"/>
      <c r="C178" s="19"/>
      <c r="D178" s="19"/>
      <c r="E178" s="19"/>
      <c r="F178" s="19"/>
      <c r="G178" s="19"/>
    </row>
    <row r="179" spans="2:7" ht="15">
      <c r="B179" s="7"/>
      <c r="C179" s="7"/>
      <c r="D179" s="7"/>
      <c r="E179" s="7"/>
      <c r="F179" s="7"/>
      <c r="G179" s="7"/>
    </row>
    <row r="180" spans="2:7" ht="15">
      <c r="B180" s="19"/>
      <c r="C180" s="19"/>
      <c r="D180" s="19"/>
      <c r="E180" s="19"/>
      <c r="F180" s="19"/>
      <c r="G180" s="19"/>
    </row>
    <row r="181" spans="2:7" ht="14.25">
      <c r="B181" s="27"/>
      <c r="C181" s="27"/>
      <c r="D181" s="27"/>
      <c r="E181" s="27"/>
      <c r="F181" s="27"/>
      <c r="G181" s="27"/>
    </row>
    <row r="182" spans="2:7" ht="14.25">
      <c r="B182" s="27"/>
      <c r="C182" s="27"/>
      <c r="D182" s="27"/>
      <c r="E182" s="27"/>
      <c r="F182" s="27"/>
      <c r="G182" s="26"/>
    </row>
    <row r="183" spans="2:7" ht="14.25">
      <c r="B183" s="27"/>
      <c r="C183" s="27"/>
      <c r="D183" s="27"/>
      <c r="E183" s="27"/>
      <c r="F183" s="27"/>
      <c r="G183" s="27"/>
    </row>
    <row r="184" spans="2:7">
      <c r="B184" s="21"/>
      <c r="C184" s="21"/>
      <c r="D184" s="21"/>
      <c r="E184" s="21"/>
      <c r="F184" s="21"/>
      <c r="G184" s="21"/>
    </row>
    <row r="185" spans="2:7">
      <c r="B185" s="21"/>
      <c r="C185" s="21"/>
      <c r="D185" s="21"/>
      <c r="E185" s="21"/>
      <c r="F185" s="21"/>
      <c r="G185" s="21"/>
    </row>
    <row r="186" spans="2:7">
      <c r="B186" s="21"/>
      <c r="C186" s="21"/>
      <c r="D186" s="21"/>
      <c r="E186" s="21"/>
      <c r="F186" s="21"/>
      <c r="G186" s="21"/>
    </row>
    <row r="187" spans="2:7">
      <c r="B187" s="21"/>
      <c r="C187" s="21"/>
      <c r="D187" s="21"/>
      <c r="E187" s="21"/>
      <c r="F187" s="21"/>
      <c r="G187" s="21"/>
    </row>
    <row r="188" spans="2:7">
      <c r="B188" s="21"/>
      <c r="C188" s="21"/>
      <c r="D188" s="21"/>
      <c r="E188" s="21"/>
      <c r="F188" s="21"/>
      <c r="G188" s="21"/>
    </row>
    <row r="189" spans="2:7">
      <c r="B189" s="21"/>
      <c r="C189" s="21"/>
      <c r="D189" s="21"/>
      <c r="E189" s="21"/>
      <c r="F189" s="21"/>
      <c r="G189" s="21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61"/>
  </sheetPr>
  <dimension ref="A1:O248"/>
  <sheetViews>
    <sheetView view="pageLayout" zoomScaleNormal="110" workbookViewId="0">
      <selection activeCell="O3" sqref="O3"/>
    </sheetView>
  </sheetViews>
  <sheetFormatPr defaultRowHeight="11.25"/>
  <cols>
    <col min="1" max="1" width="9.85546875" style="32" customWidth="1"/>
    <col min="2" max="2" width="6.85546875" style="32" bestFit="1" customWidth="1"/>
    <col min="3" max="3" width="13.140625" style="32" bestFit="1" customWidth="1"/>
    <col min="4" max="4" width="10.42578125" style="32" customWidth="1"/>
    <col min="5" max="5" width="13.7109375" style="32" bestFit="1" customWidth="1"/>
    <col min="6" max="6" width="11.140625" style="32" customWidth="1"/>
    <col min="7" max="7" width="9.7109375" style="32" customWidth="1"/>
    <col min="8" max="8" width="8.7109375" style="32" customWidth="1"/>
    <col min="9" max="9" width="10" style="32" hidden="1" customWidth="1"/>
    <col min="10" max="10" width="7.5703125" style="32" customWidth="1"/>
    <col min="11" max="11" width="7.7109375" style="32" customWidth="1"/>
    <col min="12" max="12" width="9" style="32" bestFit="1" customWidth="1"/>
    <col min="13" max="13" width="11.8554687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36" t="s">
        <v>74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5" ht="21.75" customHeight="1">
      <c r="A2" s="137" t="s">
        <v>102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38" t="s">
        <v>38</v>
      </c>
      <c r="D4" s="60" t="s">
        <v>39</v>
      </c>
      <c r="E4" s="138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40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39"/>
      <c r="D5" s="65" t="s">
        <v>46</v>
      </c>
      <c r="E5" s="139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41"/>
      <c r="N5" s="54"/>
      <c r="O5" s="32"/>
    </row>
    <row r="6" spans="1:15">
      <c r="A6" s="78" t="s">
        <v>108</v>
      </c>
      <c r="B6" s="78" t="s">
        <v>73</v>
      </c>
      <c r="C6" s="78" t="s">
        <v>103</v>
      </c>
      <c r="D6" s="147">
        <v>41649</v>
      </c>
      <c r="E6" s="78" t="s">
        <v>60</v>
      </c>
      <c r="F6" s="78" t="s">
        <v>61</v>
      </c>
      <c r="G6" s="91">
        <v>782903</v>
      </c>
      <c r="H6" s="80">
        <v>782120</v>
      </c>
      <c r="I6" s="80"/>
      <c r="J6" s="90">
        <v>105095</v>
      </c>
      <c r="K6" s="81">
        <v>35.54</v>
      </c>
      <c r="L6" s="79">
        <v>41650</v>
      </c>
      <c r="M6" s="145" t="s">
        <v>107</v>
      </c>
      <c r="N6" s="54"/>
      <c r="O6" s="32"/>
    </row>
    <row r="7" spans="1:15">
      <c r="A7" s="78"/>
      <c r="B7" s="144" t="s">
        <v>73</v>
      </c>
      <c r="C7" s="144" t="s">
        <v>104</v>
      </c>
      <c r="D7" s="148">
        <v>41663</v>
      </c>
      <c r="E7" s="144" t="s">
        <v>109</v>
      </c>
      <c r="F7" s="144" t="s">
        <v>61</v>
      </c>
      <c r="G7" s="149">
        <v>50024</v>
      </c>
      <c r="H7" s="80">
        <v>50000</v>
      </c>
      <c r="I7" s="80"/>
      <c r="J7" s="90">
        <v>6773</v>
      </c>
      <c r="K7" s="81">
        <v>34.21</v>
      </c>
      <c r="L7" s="143">
        <v>41664</v>
      </c>
      <c r="M7" s="146" t="s">
        <v>63</v>
      </c>
      <c r="N7" s="54"/>
      <c r="O7" s="32"/>
    </row>
    <row r="8" spans="1:15">
      <c r="A8" s="78"/>
      <c r="B8" s="78" t="s">
        <v>73</v>
      </c>
      <c r="C8" s="78" t="s">
        <v>105</v>
      </c>
      <c r="D8" s="147">
        <v>41671</v>
      </c>
      <c r="E8" s="78" t="s">
        <v>60</v>
      </c>
      <c r="F8" s="78" t="s">
        <v>62</v>
      </c>
      <c r="G8" s="91">
        <v>75081</v>
      </c>
      <c r="H8" s="80">
        <v>75000</v>
      </c>
      <c r="I8" s="80"/>
      <c r="J8" s="90">
        <v>10115</v>
      </c>
      <c r="K8" s="81">
        <v>34.909999999999997</v>
      </c>
      <c r="L8" s="79">
        <v>41672</v>
      </c>
      <c r="M8" s="78" t="s">
        <v>63</v>
      </c>
      <c r="N8" s="54"/>
      <c r="O8" s="32"/>
    </row>
    <row r="9" spans="1:15">
      <c r="A9" s="78"/>
      <c r="B9" s="78" t="s">
        <v>73</v>
      </c>
      <c r="C9" s="78" t="s">
        <v>105</v>
      </c>
      <c r="D9" s="147">
        <v>41671</v>
      </c>
      <c r="E9" s="78" t="s">
        <v>60</v>
      </c>
      <c r="F9" s="78" t="s">
        <v>62</v>
      </c>
      <c r="G9" s="150">
        <v>100108</v>
      </c>
      <c r="H9" s="80">
        <v>100000</v>
      </c>
      <c r="I9" s="80"/>
      <c r="J9" s="90">
        <v>13487</v>
      </c>
      <c r="K9" s="81">
        <v>34.909999999999997</v>
      </c>
      <c r="L9" s="79">
        <v>41672</v>
      </c>
      <c r="M9" s="78" t="s">
        <v>63</v>
      </c>
      <c r="N9" s="54"/>
      <c r="O9" s="32"/>
    </row>
    <row r="10" spans="1:15">
      <c r="A10" s="78"/>
      <c r="B10" s="78" t="s">
        <v>73</v>
      </c>
      <c r="C10" s="78" t="s">
        <v>105</v>
      </c>
      <c r="D10" s="147">
        <v>41671</v>
      </c>
      <c r="E10" s="78" t="s">
        <v>60</v>
      </c>
      <c r="F10" s="78" t="s">
        <v>62</v>
      </c>
      <c r="G10" s="93">
        <v>688941</v>
      </c>
      <c r="H10" s="80">
        <v>688200</v>
      </c>
      <c r="I10" s="80"/>
      <c r="J10" s="90">
        <v>92817</v>
      </c>
      <c r="K10" s="81">
        <v>34.909999999999997</v>
      </c>
      <c r="L10" s="79">
        <v>41672</v>
      </c>
      <c r="M10" s="78" t="s">
        <v>63</v>
      </c>
      <c r="N10" s="54"/>
      <c r="O10" s="32"/>
    </row>
    <row r="11" spans="1:15">
      <c r="A11" s="78"/>
      <c r="B11" s="78" t="s">
        <v>73</v>
      </c>
      <c r="C11" s="78" t="s">
        <v>106</v>
      </c>
      <c r="D11" s="147">
        <v>41691</v>
      </c>
      <c r="E11" s="78" t="s">
        <v>60</v>
      </c>
      <c r="F11" s="78" t="s">
        <v>61</v>
      </c>
      <c r="G11" s="93">
        <v>773280</v>
      </c>
      <c r="H11" s="80">
        <v>772894</v>
      </c>
      <c r="I11" s="80"/>
      <c r="J11" s="90">
        <v>105037</v>
      </c>
      <c r="K11" s="81">
        <v>33.67</v>
      </c>
      <c r="L11" s="79">
        <v>41693</v>
      </c>
      <c r="M11" s="78" t="s">
        <v>63</v>
      </c>
      <c r="N11" s="54"/>
      <c r="O11" s="32"/>
    </row>
    <row r="12" spans="1:15">
      <c r="A12" s="78"/>
      <c r="B12" s="78" t="s">
        <v>73</v>
      </c>
      <c r="C12" s="78" t="s">
        <v>106</v>
      </c>
      <c r="D12" s="147">
        <v>41697</v>
      </c>
      <c r="E12" s="78" t="s">
        <v>60</v>
      </c>
      <c r="F12" s="78" t="s">
        <v>61</v>
      </c>
      <c r="G12" s="93">
        <v>1000964</v>
      </c>
      <c r="H12" s="80">
        <v>1000005</v>
      </c>
      <c r="I12" s="80"/>
      <c r="J12" s="91">
        <v>135638</v>
      </c>
      <c r="K12" s="81">
        <v>33.979999999999997</v>
      </c>
      <c r="L12" s="79">
        <v>41698</v>
      </c>
      <c r="M12" s="78" t="s">
        <v>63</v>
      </c>
      <c r="N12" s="54"/>
      <c r="O12" s="32"/>
    </row>
    <row r="13" spans="1:15">
      <c r="A13" s="78"/>
      <c r="B13" s="78"/>
      <c r="C13" s="78"/>
      <c r="D13" s="78"/>
      <c r="E13" s="78"/>
      <c r="F13" s="78"/>
      <c r="G13" s="93"/>
      <c r="H13" s="80"/>
      <c r="I13" s="80"/>
      <c r="J13" s="91"/>
      <c r="K13" s="81"/>
      <c r="L13" s="79"/>
      <c r="M13" s="78"/>
      <c r="N13" s="54"/>
      <c r="O13" s="32"/>
    </row>
    <row r="14" spans="1:15">
      <c r="A14" s="78"/>
      <c r="B14" s="78"/>
      <c r="C14" s="78"/>
      <c r="D14" s="78"/>
      <c r="E14" s="78"/>
      <c r="F14" s="78"/>
      <c r="G14" s="93"/>
      <c r="H14" s="80"/>
      <c r="I14" s="80"/>
      <c r="J14" s="91"/>
      <c r="K14" s="81"/>
      <c r="L14" s="79"/>
      <c r="M14" s="78"/>
      <c r="N14" s="54"/>
      <c r="O14" s="32"/>
    </row>
    <row r="15" spans="1:15">
      <c r="A15" s="78"/>
      <c r="B15" s="78"/>
      <c r="C15" s="78"/>
      <c r="D15" s="78"/>
      <c r="E15" s="78"/>
      <c r="F15" s="78"/>
      <c r="G15" s="93"/>
      <c r="H15" s="80"/>
      <c r="I15" s="80"/>
      <c r="J15" s="91"/>
      <c r="K15" s="81"/>
      <c r="L15" s="79"/>
      <c r="M15" s="78"/>
      <c r="N15" s="54"/>
      <c r="O15" s="32"/>
    </row>
    <row r="16" spans="1:15">
      <c r="A16" s="78"/>
      <c r="B16" s="78"/>
      <c r="C16" s="78"/>
      <c r="D16" s="78"/>
      <c r="E16" s="78"/>
      <c r="F16" s="78"/>
      <c r="G16" s="93"/>
      <c r="H16" s="80"/>
      <c r="I16" s="80"/>
      <c r="J16" s="91"/>
      <c r="K16" s="81"/>
      <c r="L16" s="79"/>
      <c r="M16" s="78"/>
      <c r="N16" s="54"/>
      <c r="O16" s="32"/>
    </row>
    <row r="17" spans="1:15">
      <c r="A17" s="78"/>
      <c r="B17" s="78"/>
      <c r="C17" s="78"/>
      <c r="D17" s="78"/>
      <c r="E17" s="78"/>
      <c r="F17" s="78"/>
      <c r="G17" s="93"/>
      <c r="H17" s="80"/>
      <c r="I17" s="80"/>
      <c r="J17" s="91"/>
      <c r="K17" s="81"/>
      <c r="L17" s="79"/>
      <c r="M17" s="78"/>
      <c r="N17" s="54"/>
      <c r="O17" s="32"/>
    </row>
    <row r="18" spans="1:15">
      <c r="A18" s="78"/>
      <c r="B18" s="78"/>
      <c r="C18" s="78"/>
      <c r="D18" s="78"/>
      <c r="E18" s="78"/>
      <c r="F18" s="78"/>
      <c r="G18" s="93"/>
      <c r="H18" s="80"/>
      <c r="I18" s="80"/>
      <c r="J18" s="91"/>
      <c r="K18" s="81"/>
      <c r="L18" s="79"/>
      <c r="M18" s="78"/>
      <c r="N18" s="54"/>
      <c r="O18" s="32"/>
    </row>
    <row r="19" spans="1:15">
      <c r="A19" s="78"/>
      <c r="B19" s="78"/>
      <c r="C19" s="78"/>
      <c r="D19" s="78"/>
      <c r="E19" s="78"/>
      <c r="F19" s="78"/>
      <c r="G19" s="93"/>
      <c r="H19" s="80"/>
      <c r="I19" s="80"/>
      <c r="J19" s="91"/>
      <c r="K19" s="81"/>
      <c r="L19" s="79"/>
      <c r="M19" s="78"/>
      <c r="N19" s="54"/>
      <c r="O19" s="32"/>
    </row>
    <row r="20" spans="1:15">
      <c r="A20" s="78"/>
      <c r="B20" s="78"/>
      <c r="C20" s="78"/>
      <c r="D20" s="78"/>
      <c r="E20" s="78"/>
      <c r="F20" s="78"/>
      <c r="G20" s="93"/>
      <c r="H20" s="80"/>
      <c r="I20" s="80"/>
      <c r="J20" s="91"/>
      <c r="K20" s="81"/>
      <c r="L20" s="79"/>
      <c r="M20" s="78"/>
      <c r="N20" s="54"/>
      <c r="O20" s="32"/>
    </row>
    <row r="21" spans="1:15">
      <c r="A21" s="78"/>
      <c r="B21" s="78"/>
      <c r="C21" s="78"/>
      <c r="D21" s="78"/>
      <c r="E21" s="78"/>
      <c r="F21" s="78"/>
      <c r="G21" s="93"/>
      <c r="H21" s="80"/>
      <c r="I21" s="80"/>
      <c r="J21" s="91"/>
      <c r="K21" s="81"/>
      <c r="L21" s="79"/>
      <c r="M21" s="78"/>
      <c r="N21" s="54"/>
      <c r="O21" s="32"/>
    </row>
    <row r="22" spans="1:15">
      <c r="A22" s="78"/>
      <c r="B22" s="78"/>
      <c r="C22" s="78"/>
      <c r="D22" s="78"/>
      <c r="E22" s="78"/>
      <c r="F22" s="78"/>
      <c r="G22" s="93"/>
      <c r="H22" s="80"/>
      <c r="I22" s="80"/>
      <c r="J22" s="91"/>
      <c r="K22" s="81"/>
      <c r="L22" s="79"/>
      <c r="M22" s="78"/>
    </row>
    <row r="23" spans="1:15">
      <c r="A23" s="78"/>
      <c r="B23" s="78"/>
      <c r="C23" s="78"/>
      <c r="D23" s="78"/>
      <c r="E23" s="78"/>
      <c r="F23" s="78"/>
      <c r="G23" s="93"/>
      <c r="H23" s="80"/>
      <c r="I23" s="80"/>
      <c r="J23" s="91"/>
      <c r="K23" s="81"/>
      <c r="L23" s="79"/>
      <c r="M23" s="91"/>
    </row>
    <row r="24" spans="1:15">
      <c r="A24" s="78"/>
      <c r="B24" s="78"/>
      <c r="C24" s="78"/>
      <c r="D24" s="78"/>
      <c r="E24" s="78"/>
      <c r="F24" s="78"/>
      <c r="G24" s="93"/>
      <c r="H24" s="80"/>
      <c r="I24" s="80"/>
      <c r="J24" s="91"/>
      <c r="K24" s="81"/>
      <c r="L24" s="79"/>
      <c r="M24" s="91"/>
    </row>
    <row r="25" spans="1:15">
      <c r="A25" s="78"/>
      <c r="B25" s="78"/>
      <c r="C25" s="78"/>
      <c r="D25" s="78"/>
      <c r="E25" s="78"/>
      <c r="F25" s="78"/>
      <c r="G25" s="93"/>
      <c r="H25" s="80"/>
      <c r="I25" s="80"/>
      <c r="J25" s="91"/>
      <c r="K25" s="81"/>
      <c r="L25" s="79"/>
      <c r="M25" s="91"/>
    </row>
    <row r="26" spans="1:15">
      <c r="A26" s="78"/>
      <c r="B26" s="78"/>
      <c r="C26" s="78"/>
      <c r="D26" s="78"/>
      <c r="E26" s="78"/>
      <c r="F26" s="78"/>
      <c r="G26" s="93"/>
      <c r="H26" s="80"/>
      <c r="I26" s="80"/>
      <c r="J26" s="91"/>
      <c r="K26" s="81"/>
      <c r="L26" s="79"/>
      <c r="M26" s="78"/>
    </row>
    <row r="27" spans="1:15">
      <c r="A27" s="78"/>
      <c r="B27" s="78"/>
      <c r="C27" s="78"/>
      <c r="D27" s="78"/>
      <c r="E27" s="78"/>
      <c r="F27" s="78"/>
      <c r="G27" s="93"/>
      <c r="H27" s="80"/>
      <c r="I27" s="80"/>
      <c r="J27" s="80"/>
      <c r="K27" s="81"/>
      <c r="L27" s="79"/>
      <c r="M27" s="78"/>
    </row>
    <row r="28" spans="1:15">
      <c r="A28" s="78"/>
      <c r="B28" s="78"/>
      <c r="C28" s="78"/>
      <c r="D28" s="78"/>
      <c r="E28" s="78"/>
      <c r="F28" s="78"/>
      <c r="G28" s="93"/>
      <c r="H28" s="80"/>
      <c r="I28" s="80"/>
      <c r="J28" s="91"/>
      <c r="K28" s="81"/>
      <c r="L28" s="79"/>
      <c r="M28" s="78"/>
    </row>
    <row r="29" spans="1:15">
      <c r="A29" s="78"/>
      <c r="B29" s="78"/>
      <c r="C29" s="78"/>
      <c r="D29" s="78"/>
      <c r="E29" s="78"/>
      <c r="F29" s="78"/>
      <c r="G29" s="93"/>
      <c r="H29" s="80"/>
      <c r="I29" s="80"/>
      <c r="J29" s="91"/>
      <c r="K29" s="81"/>
      <c r="L29" s="79"/>
      <c r="M29" s="78"/>
    </row>
    <row r="30" spans="1:15">
      <c r="A30" s="78"/>
      <c r="B30" s="78"/>
      <c r="C30" s="78"/>
      <c r="D30" s="78"/>
      <c r="E30" s="78"/>
      <c r="F30" s="78"/>
      <c r="G30" s="93"/>
      <c r="H30" s="80"/>
      <c r="I30" s="80"/>
      <c r="J30" s="91"/>
      <c r="K30" s="81"/>
      <c r="L30" s="79"/>
      <c r="M30" s="78"/>
    </row>
    <row r="31" spans="1:15">
      <c r="A31" s="78"/>
      <c r="B31" s="78"/>
      <c r="C31" s="78"/>
      <c r="D31" s="78"/>
      <c r="E31" s="78"/>
      <c r="F31" s="78"/>
      <c r="G31" s="93"/>
      <c r="H31" s="80"/>
      <c r="I31" s="80"/>
      <c r="J31" s="91"/>
      <c r="K31" s="81"/>
      <c r="L31" s="79"/>
      <c r="M31" s="78"/>
    </row>
    <row r="32" spans="1:15">
      <c r="A32" s="78"/>
      <c r="B32" s="78"/>
      <c r="C32" s="78"/>
      <c r="D32" s="78"/>
      <c r="E32" s="78"/>
      <c r="F32" s="78"/>
      <c r="G32" s="93"/>
      <c r="H32" s="80"/>
      <c r="I32" s="80"/>
      <c r="J32" s="91"/>
      <c r="K32" s="81"/>
      <c r="L32" s="79"/>
      <c r="M32" s="78"/>
    </row>
    <row r="33" spans="1:15" ht="12" thickBot="1">
      <c r="A33" s="78"/>
      <c r="B33" s="78"/>
      <c r="C33" s="78"/>
      <c r="D33" s="78"/>
      <c r="E33" s="78"/>
      <c r="F33" s="78"/>
      <c r="G33" s="93"/>
      <c r="H33" s="80"/>
      <c r="I33" s="80"/>
      <c r="J33" s="91"/>
      <c r="K33" s="81"/>
      <c r="L33" s="79"/>
      <c r="M33" s="78"/>
    </row>
    <row r="34" spans="1:15" ht="14.25" customHeight="1" thickTop="1" thickBot="1">
      <c r="A34" s="135" t="s">
        <v>75</v>
      </c>
      <c r="B34" s="135"/>
      <c r="C34" s="135"/>
      <c r="D34" s="135"/>
      <c r="E34" s="135"/>
      <c r="F34" s="135"/>
      <c r="G34" s="68">
        <f>SUM(G6:G33)</f>
        <v>3471301</v>
      </c>
      <c r="H34" s="68">
        <f t="shared" ref="H34:J34" si="0">SUM(H6:H33)</f>
        <v>3468219</v>
      </c>
      <c r="I34" s="68">
        <f t="shared" si="0"/>
        <v>0</v>
      </c>
      <c r="J34" s="68">
        <f t="shared" si="0"/>
        <v>468962</v>
      </c>
      <c r="K34" s="68"/>
      <c r="L34" s="68"/>
      <c r="M34" s="69"/>
      <c r="N34" s="54"/>
      <c r="O34" s="32"/>
    </row>
    <row r="35" spans="1:15">
      <c r="A35" s="72"/>
      <c r="B35" s="72"/>
      <c r="C35" s="72"/>
      <c r="D35" s="72"/>
      <c r="E35" s="72"/>
      <c r="F35" s="72"/>
      <c r="G35" s="72"/>
      <c r="H35" s="72"/>
      <c r="I35" s="72"/>
    </row>
    <row r="36" spans="1:15">
      <c r="A36" s="71"/>
      <c r="B36" s="71"/>
      <c r="C36" s="71"/>
      <c r="D36" s="71"/>
      <c r="E36" s="71"/>
      <c r="F36" s="71"/>
      <c r="G36" s="71"/>
      <c r="H36" s="71"/>
      <c r="I36" s="71"/>
    </row>
    <row r="37" spans="1:15">
      <c r="A37" s="72"/>
      <c r="B37" s="72"/>
      <c r="C37" s="72"/>
      <c r="D37" s="72"/>
      <c r="E37" s="72"/>
      <c r="F37" s="72"/>
      <c r="G37" s="72"/>
      <c r="H37" s="72"/>
      <c r="I37" s="72"/>
    </row>
    <row r="38" spans="1:15">
      <c r="A38" s="53"/>
      <c r="B38" s="53"/>
      <c r="C38" s="53"/>
      <c r="D38" s="53"/>
      <c r="E38" s="53"/>
      <c r="F38" s="53"/>
      <c r="G38" s="53"/>
      <c r="H38" s="53"/>
      <c r="I38" s="53"/>
    </row>
    <row r="39" spans="1:15">
      <c r="A39" s="53"/>
      <c r="B39" s="53"/>
      <c r="C39" s="53"/>
      <c r="D39" s="53"/>
      <c r="E39" s="53"/>
      <c r="F39" s="53"/>
      <c r="G39" s="53"/>
      <c r="H39" s="53"/>
      <c r="I39" s="53"/>
    </row>
    <row r="40" spans="1:15">
      <c r="A40" s="53"/>
      <c r="B40" s="53"/>
      <c r="C40" s="53"/>
      <c r="D40" s="53"/>
      <c r="E40" s="53"/>
      <c r="F40" s="53"/>
      <c r="G40" s="53"/>
      <c r="H40" s="53"/>
      <c r="I40" s="53"/>
    </row>
    <row r="41" spans="1:15">
      <c r="A41" s="53"/>
      <c r="B41" s="53"/>
      <c r="C41" s="53"/>
      <c r="D41" s="53"/>
      <c r="E41" s="53"/>
      <c r="F41" s="53"/>
      <c r="G41" s="53"/>
      <c r="H41" s="53"/>
      <c r="I41" s="53"/>
    </row>
    <row r="42" spans="1:15">
      <c r="A42" s="53"/>
      <c r="B42" s="53"/>
      <c r="C42" s="53"/>
      <c r="D42" s="53"/>
      <c r="E42" s="53"/>
      <c r="F42" s="53"/>
      <c r="G42" s="53"/>
      <c r="H42" s="53"/>
      <c r="I42" s="53"/>
    </row>
    <row r="43" spans="1:15">
      <c r="A43" s="53"/>
      <c r="B43" s="53"/>
      <c r="C43" s="53"/>
      <c r="D43" s="53"/>
      <c r="E43" s="53"/>
      <c r="F43" s="53"/>
      <c r="G43" s="53"/>
      <c r="H43" s="53"/>
      <c r="I43" s="53"/>
    </row>
    <row r="44" spans="1:15">
      <c r="A44" s="53"/>
      <c r="B44" s="53"/>
      <c r="C44" s="53"/>
      <c r="D44" s="53"/>
      <c r="E44" s="53"/>
      <c r="F44" s="53"/>
      <c r="G44" s="53"/>
      <c r="H44" s="53"/>
      <c r="I44" s="53"/>
    </row>
    <row r="45" spans="1:15">
      <c r="A45" s="53"/>
      <c r="B45" s="53"/>
      <c r="C45" s="53"/>
      <c r="D45" s="53"/>
      <c r="E45" s="53"/>
      <c r="F45" s="53"/>
      <c r="G45" s="53"/>
      <c r="H45" s="53"/>
      <c r="I45" s="53"/>
    </row>
    <row r="46" spans="1:15">
      <c r="A46" s="53"/>
      <c r="B46" s="53"/>
      <c r="C46" s="53"/>
      <c r="D46" s="53"/>
      <c r="E46" s="53"/>
      <c r="F46" s="53"/>
      <c r="G46" s="53"/>
      <c r="H46" s="53"/>
      <c r="I46" s="53"/>
    </row>
    <row r="47" spans="1:15">
      <c r="A47" s="53"/>
      <c r="B47" s="53"/>
      <c r="C47" s="53"/>
      <c r="D47" s="53"/>
      <c r="E47" s="53"/>
      <c r="F47" s="53"/>
      <c r="G47" s="53"/>
      <c r="H47" s="53"/>
      <c r="I47" s="53"/>
    </row>
    <row r="48" spans="1:15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53"/>
      <c r="B50" s="53"/>
      <c r="C50" s="53"/>
      <c r="D50" s="53"/>
      <c r="E50" s="53"/>
      <c r="F50" s="53"/>
      <c r="G50" s="53"/>
      <c r="H50" s="53"/>
      <c r="I50" s="53"/>
    </row>
    <row r="51" spans="1:9">
      <c r="A51" s="53"/>
      <c r="B51" s="53"/>
      <c r="C51" s="53"/>
      <c r="D51" s="53"/>
      <c r="E51" s="53"/>
      <c r="F51" s="53"/>
      <c r="G51" s="53"/>
      <c r="H51" s="53"/>
      <c r="I51" s="53"/>
    </row>
    <row r="52" spans="1:9">
      <c r="A52" s="53"/>
      <c r="B52" s="53"/>
      <c r="C52" s="53"/>
      <c r="D52" s="53"/>
      <c r="E52" s="53"/>
      <c r="F52" s="53"/>
      <c r="G52" s="53"/>
      <c r="H52" s="53"/>
      <c r="I52" s="53"/>
    </row>
    <row r="53" spans="1:9">
      <c r="A53" s="53"/>
      <c r="B53" s="53"/>
      <c r="C53" s="53"/>
      <c r="D53" s="53"/>
      <c r="E53" s="53"/>
      <c r="F53" s="53"/>
      <c r="G53" s="53"/>
      <c r="H53" s="53"/>
      <c r="I53" s="53"/>
    </row>
    <row r="54" spans="1:9">
      <c r="A54" s="53"/>
      <c r="B54" s="53"/>
      <c r="C54" s="53"/>
      <c r="D54" s="53"/>
      <c r="E54" s="53"/>
      <c r="F54" s="53"/>
      <c r="G54" s="53"/>
      <c r="H54" s="53"/>
      <c r="I54" s="53"/>
    </row>
    <row r="55" spans="1:9">
      <c r="A55" s="53"/>
      <c r="B55" s="53"/>
      <c r="C55" s="53"/>
      <c r="D55" s="53"/>
      <c r="E55" s="53"/>
      <c r="F55" s="53"/>
      <c r="G55" s="53"/>
      <c r="H55" s="53"/>
      <c r="I55" s="53"/>
    </row>
    <row r="56" spans="1:9">
      <c r="A56" s="77"/>
      <c r="B56" s="77"/>
      <c r="C56" s="77"/>
      <c r="D56" s="77"/>
      <c r="E56" s="77"/>
      <c r="F56" s="77"/>
      <c r="G56" s="77"/>
      <c r="H56" s="77"/>
      <c r="I56" s="77"/>
    </row>
    <row r="57" spans="1:9">
      <c r="A57" s="77"/>
      <c r="B57" s="77"/>
      <c r="C57" s="77"/>
      <c r="D57" s="77"/>
      <c r="E57" s="77"/>
      <c r="F57" s="77"/>
      <c r="G57" s="77"/>
      <c r="H57" s="77"/>
      <c r="I57" s="77"/>
    </row>
    <row r="58" spans="1:9">
      <c r="A58" s="77"/>
      <c r="B58" s="77"/>
      <c r="C58" s="77"/>
      <c r="D58" s="77"/>
      <c r="E58" s="77"/>
      <c r="F58" s="77"/>
      <c r="G58" s="77"/>
      <c r="H58" s="77"/>
      <c r="I58" s="77"/>
    </row>
    <row r="59" spans="1:9">
      <c r="A59" s="72"/>
      <c r="B59" s="72"/>
      <c r="C59" s="72"/>
      <c r="D59" s="72"/>
      <c r="E59" s="72"/>
      <c r="F59" s="72"/>
      <c r="G59" s="72"/>
      <c r="H59" s="53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0"/>
      <c r="B69" s="71"/>
      <c r="C69" s="71"/>
      <c r="D69" s="71"/>
      <c r="E69" s="71"/>
      <c r="F69" s="71"/>
      <c r="G69" s="71"/>
      <c r="H69" s="71"/>
      <c r="I69" s="71"/>
    </row>
    <row r="70" spans="1:9">
      <c r="A70" s="72"/>
      <c r="B70" s="72"/>
      <c r="C70" s="72"/>
      <c r="D70" s="72"/>
      <c r="E70" s="72"/>
      <c r="F70" s="72"/>
      <c r="G70" s="72"/>
      <c r="H70" s="72"/>
      <c r="I70" s="72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3"/>
      <c r="B74" s="73"/>
      <c r="C74" s="73"/>
      <c r="D74" s="73"/>
      <c r="E74" s="73"/>
      <c r="F74" s="73"/>
      <c r="G74" s="73"/>
      <c r="H74" s="73"/>
      <c r="I74" s="73"/>
    </row>
    <row r="75" spans="1:9">
      <c r="A75" s="74"/>
      <c r="B75" s="75"/>
      <c r="C75" s="75"/>
      <c r="D75" s="75"/>
      <c r="E75" s="75"/>
      <c r="F75" s="75"/>
      <c r="G75" s="75"/>
      <c r="H75" s="75"/>
      <c r="I75" s="75"/>
    </row>
    <row r="76" spans="1:9">
      <c r="A76" s="76"/>
      <c r="B76" s="75"/>
      <c r="C76" s="75"/>
      <c r="D76" s="75"/>
      <c r="E76" s="75"/>
      <c r="F76" s="75"/>
      <c r="G76" s="75"/>
      <c r="H76" s="75"/>
      <c r="I76" s="75"/>
    </row>
    <row r="77" spans="1:9">
      <c r="A77" s="76"/>
      <c r="B77" s="76"/>
      <c r="C77" s="76"/>
      <c r="D77" s="76"/>
      <c r="E77" s="76"/>
      <c r="F77" s="76"/>
      <c r="G77" s="76"/>
      <c r="H77" s="76"/>
      <c r="I77" s="76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2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1"/>
      <c r="B85" s="71"/>
      <c r="C85" s="71"/>
      <c r="D85" s="71"/>
      <c r="E85" s="71"/>
      <c r="F85" s="71"/>
      <c r="G85" s="71"/>
      <c r="H85" s="71"/>
      <c r="I85" s="71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2"/>
      <c r="B93" s="72"/>
      <c r="C93" s="72"/>
      <c r="D93" s="72"/>
      <c r="E93" s="72"/>
      <c r="F93" s="72"/>
      <c r="G93" s="72"/>
      <c r="H93" s="72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2"/>
      <c r="B96" s="72"/>
      <c r="C96" s="72"/>
      <c r="D96" s="72"/>
      <c r="E96" s="72"/>
      <c r="F96" s="72"/>
      <c r="G96" s="72"/>
      <c r="H96" s="72"/>
      <c r="I96" s="72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53"/>
      <c r="B99" s="53"/>
      <c r="C99" s="53"/>
      <c r="D99" s="53"/>
      <c r="E99" s="53"/>
      <c r="F99" s="53"/>
      <c r="G99" s="53"/>
      <c r="H99" s="53"/>
      <c r="I99" s="53"/>
    </row>
    <row r="100" spans="1:9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>
      <c r="A105" s="77"/>
      <c r="B105" s="77"/>
      <c r="C105" s="77"/>
      <c r="D105" s="77"/>
      <c r="E105" s="77"/>
      <c r="F105" s="77"/>
      <c r="G105" s="77"/>
      <c r="H105" s="77"/>
      <c r="I105" s="77"/>
    </row>
    <row r="106" spans="1:9">
      <c r="A106" s="77"/>
      <c r="B106" s="77"/>
      <c r="C106" s="77"/>
      <c r="D106" s="77"/>
      <c r="E106" s="77"/>
      <c r="F106" s="77"/>
      <c r="G106" s="77"/>
      <c r="H106" s="77"/>
      <c r="I106" s="77"/>
    </row>
    <row r="107" spans="1:9">
      <c r="A107" s="77"/>
      <c r="B107" s="77"/>
      <c r="C107" s="77"/>
      <c r="D107" s="77"/>
      <c r="E107" s="77"/>
      <c r="F107" s="77"/>
      <c r="G107" s="77"/>
      <c r="H107" s="77"/>
      <c r="I107" s="77"/>
    </row>
    <row r="108" spans="1:9">
      <c r="A108" s="72"/>
      <c r="B108" s="72"/>
      <c r="C108" s="72"/>
      <c r="D108" s="72"/>
      <c r="E108" s="72"/>
      <c r="F108" s="72"/>
      <c r="G108" s="72"/>
      <c r="H108" s="53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2"/>
      <c r="B117" s="72"/>
      <c r="C117" s="72"/>
      <c r="D117" s="72"/>
      <c r="E117" s="72"/>
      <c r="F117" s="72"/>
      <c r="G117" s="72"/>
      <c r="H117" s="72"/>
      <c r="I117" s="72"/>
    </row>
    <row r="118" spans="1:9">
      <c r="A118" s="70"/>
      <c r="B118" s="71"/>
      <c r="C118" s="71"/>
      <c r="D118" s="71"/>
      <c r="E118" s="71"/>
      <c r="F118" s="71"/>
      <c r="G118" s="71"/>
      <c r="H118" s="71"/>
      <c r="I118" s="71"/>
    </row>
    <row r="119" spans="1:9">
      <c r="A119" s="72"/>
      <c r="B119" s="72"/>
      <c r="C119" s="72"/>
      <c r="D119" s="72"/>
      <c r="E119" s="72"/>
      <c r="F119" s="72"/>
      <c r="G119" s="72"/>
      <c r="H119" s="72"/>
      <c r="I119" s="72"/>
    </row>
    <row r="120" spans="1:9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>
      <c r="A123" s="73"/>
      <c r="B123" s="73"/>
      <c r="C123" s="73"/>
      <c r="D123" s="73"/>
      <c r="E123" s="73"/>
      <c r="F123" s="73"/>
      <c r="G123" s="73"/>
      <c r="H123" s="73"/>
      <c r="I123" s="73"/>
    </row>
    <row r="124" spans="1:9">
      <c r="A124" s="74"/>
      <c r="B124" s="75"/>
      <c r="C124" s="75"/>
      <c r="D124" s="75"/>
      <c r="E124" s="75"/>
      <c r="F124" s="75"/>
      <c r="G124" s="75"/>
      <c r="H124" s="75"/>
      <c r="I124" s="75"/>
    </row>
    <row r="125" spans="1:9">
      <c r="A125" s="76"/>
      <c r="B125" s="75"/>
      <c r="C125" s="75"/>
      <c r="D125" s="75"/>
      <c r="E125" s="75"/>
      <c r="F125" s="75"/>
      <c r="G125" s="75"/>
      <c r="H125" s="75"/>
      <c r="I125" s="75"/>
    </row>
    <row r="126" spans="1:9">
      <c r="A126" s="76"/>
      <c r="B126" s="76"/>
      <c r="C126" s="76"/>
      <c r="D126" s="76"/>
      <c r="E126" s="76"/>
      <c r="F126" s="76"/>
      <c r="G126" s="76"/>
      <c r="H126" s="76"/>
      <c r="I126" s="76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2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>
      <c r="A134" s="71"/>
      <c r="B134" s="71"/>
      <c r="C134" s="71"/>
      <c r="D134" s="71"/>
      <c r="E134" s="71"/>
      <c r="F134" s="71"/>
      <c r="G134" s="71"/>
      <c r="H134" s="71"/>
      <c r="I134" s="71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>
      <c r="A145" s="77"/>
      <c r="B145" s="77"/>
      <c r="C145" s="77"/>
      <c r="D145" s="77"/>
      <c r="E145" s="77"/>
      <c r="F145" s="77"/>
      <c r="G145" s="77"/>
      <c r="H145" s="77"/>
      <c r="I145" s="77"/>
    </row>
    <row r="146" spans="1:9">
      <c r="A146" s="77"/>
      <c r="B146" s="77"/>
      <c r="C146" s="77"/>
      <c r="D146" s="77"/>
      <c r="E146" s="77"/>
      <c r="F146" s="77"/>
      <c r="G146" s="77"/>
      <c r="H146" s="77"/>
      <c r="I146" s="77"/>
    </row>
    <row r="147" spans="1:9">
      <c r="A147" s="77"/>
      <c r="B147" s="77"/>
      <c r="C147" s="77"/>
      <c r="D147" s="77"/>
      <c r="E147" s="77"/>
      <c r="F147" s="77"/>
      <c r="G147" s="77"/>
      <c r="H147" s="77"/>
      <c r="I147" s="77"/>
    </row>
    <row r="148" spans="1:9">
      <c r="A148" s="72"/>
      <c r="B148" s="72"/>
      <c r="C148" s="72"/>
      <c r="D148" s="72"/>
      <c r="E148" s="72"/>
      <c r="F148" s="72"/>
      <c r="G148" s="72"/>
      <c r="H148" s="53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>
      <c r="A158" s="70"/>
      <c r="B158" s="71"/>
      <c r="C158" s="71"/>
      <c r="D158" s="71"/>
      <c r="E158" s="71"/>
      <c r="F158" s="71"/>
      <c r="G158" s="71"/>
      <c r="H158" s="71"/>
      <c r="I158" s="71"/>
    </row>
    <row r="159" spans="1:9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>
      <c r="A163" s="73"/>
      <c r="B163" s="73"/>
      <c r="C163" s="73"/>
      <c r="D163" s="73"/>
      <c r="E163" s="73"/>
      <c r="F163" s="73"/>
      <c r="G163" s="73"/>
      <c r="H163" s="73"/>
      <c r="I163" s="73"/>
    </row>
    <row r="164" spans="1:9">
      <c r="A164" s="74"/>
      <c r="B164" s="75"/>
      <c r="C164" s="75"/>
      <c r="D164" s="75"/>
      <c r="E164" s="75"/>
      <c r="F164" s="75"/>
      <c r="G164" s="75"/>
      <c r="H164" s="75"/>
      <c r="I164" s="75"/>
    </row>
    <row r="165" spans="1:9">
      <c r="A165" s="76"/>
      <c r="B165" s="75"/>
      <c r="C165" s="75"/>
      <c r="D165" s="75"/>
      <c r="E165" s="75"/>
      <c r="F165" s="75"/>
      <c r="G165" s="75"/>
      <c r="H165" s="75"/>
      <c r="I165" s="75"/>
    </row>
    <row r="166" spans="1:9">
      <c r="A166" s="76"/>
      <c r="B166" s="76"/>
      <c r="C166" s="76"/>
      <c r="D166" s="76"/>
      <c r="E166" s="76"/>
      <c r="F166" s="76"/>
      <c r="G166" s="76"/>
      <c r="H166" s="76"/>
      <c r="I166" s="76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2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1"/>
      <c r="B174" s="71"/>
      <c r="C174" s="71"/>
      <c r="D174" s="71"/>
      <c r="E174" s="71"/>
      <c r="F174" s="71"/>
      <c r="G174" s="71"/>
      <c r="H174" s="71"/>
      <c r="I174" s="71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53"/>
      <c r="B176" s="53"/>
      <c r="C176" s="53"/>
      <c r="D176" s="53"/>
      <c r="E176" s="53"/>
      <c r="F176" s="53"/>
      <c r="G176" s="53"/>
      <c r="H176" s="53"/>
      <c r="I176" s="53"/>
    </row>
    <row r="177" spans="1:9">
      <c r="A177" s="53"/>
      <c r="B177" s="53"/>
      <c r="C177" s="53"/>
      <c r="D177" s="53"/>
      <c r="E177" s="53"/>
      <c r="F177" s="53"/>
      <c r="G177" s="53"/>
      <c r="H177" s="53"/>
      <c r="I177" s="53"/>
    </row>
    <row r="178" spans="1:9">
      <c r="A178" s="53"/>
      <c r="B178" s="53"/>
      <c r="C178" s="53"/>
      <c r="D178" s="53"/>
      <c r="E178" s="53"/>
      <c r="F178" s="53"/>
      <c r="G178" s="53"/>
      <c r="H178" s="53"/>
      <c r="I178" s="53"/>
    </row>
    <row r="179" spans="1:9">
      <c r="A179" s="77"/>
      <c r="B179" s="77"/>
      <c r="C179" s="77"/>
      <c r="D179" s="77"/>
      <c r="E179" s="77"/>
      <c r="F179" s="77"/>
      <c r="G179" s="77"/>
      <c r="H179" s="77"/>
      <c r="I179" s="77"/>
    </row>
    <row r="180" spans="1:9">
      <c r="A180" s="77"/>
      <c r="B180" s="77"/>
      <c r="C180" s="77"/>
      <c r="D180" s="77"/>
      <c r="E180" s="77"/>
      <c r="F180" s="77"/>
      <c r="G180" s="77"/>
      <c r="H180" s="77"/>
      <c r="I180" s="77"/>
    </row>
    <row r="181" spans="1:9">
      <c r="A181" s="77"/>
      <c r="B181" s="77"/>
      <c r="C181" s="77"/>
      <c r="D181" s="77"/>
      <c r="E181" s="77"/>
      <c r="F181" s="77"/>
      <c r="G181" s="77"/>
      <c r="H181" s="77"/>
      <c r="I181" s="77"/>
    </row>
    <row r="182" spans="1:9">
      <c r="A182" s="72"/>
      <c r="B182" s="72"/>
      <c r="C182" s="72"/>
      <c r="D182" s="72"/>
      <c r="E182" s="72"/>
      <c r="F182" s="72"/>
      <c r="G182" s="72"/>
      <c r="H182" s="53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2"/>
      <c r="B191" s="72"/>
      <c r="C191" s="72"/>
      <c r="D191" s="72"/>
      <c r="E191" s="72"/>
      <c r="F191" s="72"/>
      <c r="G191" s="72"/>
      <c r="H191" s="72"/>
      <c r="I191" s="72"/>
    </row>
    <row r="192" spans="1:9">
      <c r="A192" s="70"/>
      <c r="B192" s="71"/>
      <c r="C192" s="71"/>
      <c r="D192" s="71"/>
      <c r="E192" s="71"/>
      <c r="F192" s="71"/>
      <c r="G192" s="71"/>
      <c r="H192" s="71"/>
      <c r="I192" s="71"/>
    </row>
    <row r="193" spans="1:9">
      <c r="A193" s="72"/>
      <c r="B193" s="72"/>
      <c r="C193" s="72"/>
      <c r="D193" s="72"/>
      <c r="E193" s="72"/>
      <c r="F193" s="72"/>
      <c r="G193" s="72"/>
      <c r="H193" s="72"/>
      <c r="I193" s="72"/>
    </row>
    <row r="194" spans="1:9">
      <c r="A194" s="72"/>
      <c r="B194" s="72"/>
      <c r="C194" s="72"/>
      <c r="D194" s="72"/>
      <c r="E194" s="72"/>
      <c r="F194" s="72"/>
      <c r="G194" s="72"/>
      <c r="H194" s="72"/>
      <c r="I194" s="72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>
      <c r="A196" s="72"/>
      <c r="B196" s="72"/>
      <c r="C196" s="72"/>
      <c r="D196" s="72"/>
      <c r="E196" s="72"/>
      <c r="F196" s="72"/>
      <c r="G196" s="72"/>
      <c r="H196" s="72"/>
      <c r="I196" s="72"/>
    </row>
    <row r="197" spans="1:9">
      <c r="A197" s="73"/>
      <c r="B197" s="73"/>
      <c r="C197" s="73"/>
      <c r="D197" s="73"/>
      <c r="E197" s="73"/>
      <c r="F197" s="73"/>
      <c r="G197" s="73"/>
      <c r="H197" s="73"/>
      <c r="I197" s="73"/>
    </row>
    <row r="198" spans="1:9">
      <c r="A198" s="74"/>
      <c r="B198" s="75"/>
      <c r="C198" s="75"/>
      <c r="D198" s="75"/>
      <c r="E198" s="75"/>
      <c r="F198" s="75"/>
      <c r="G198" s="75"/>
      <c r="H198" s="75"/>
      <c r="I198" s="75"/>
    </row>
    <row r="199" spans="1:9">
      <c r="A199" s="76"/>
      <c r="B199" s="75"/>
      <c r="C199" s="75"/>
      <c r="D199" s="75"/>
      <c r="E199" s="75"/>
      <c r="F199" s="75"/>
      <c r="G199" s="75"/>
      <c r="H199" s="75"/>
      <c r="I199" s="75"/>
    </row>
    <row r="200" spans="1:9">
      <c r="A200" s="76"/>
      <c r="B200" s="76"/>
      <c r="C200" s="76"/>
      <c r="D200" s="76"/>
      <c r="E200" s="76"/>
      <c r="F200" s="76"/>
      <c r="G200" s="76"/>
      <c r="H200" s="76"/>
      <c r="I200" s="76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 ht="21" customHeight="1">
      <c r="A202" s="71"/>
      <c r="B202" s="71"/>
      <c r="C202" s="71"/>
      <c r="D202" s="71"/>
      <c r="E202" s="71"/>
      <c r="F202" s="71"/>
      <c r="G202" s="71"/>
      <c r="H202" s="71"/>
      <c r="I202" s="72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72"/>
      <c r="B204" s="72"/>
      <c r="C204" s="72"/>
      <c r="D204" s="72"/>
      <c r="E204" s="72"/>
      <c r="F204" s="72"/>
      <c r="G204" s="72"/>
      <c r="H204" s="72"/>
      <c r="I204" s="72"/>
    </row>
    <row r="205" spans="1:9">
      <c r="A205" s="72"/>
      <c r="B205" s="72"/>
      <c r="C205" s="72"/>
      <c r="D205" s="72"/>
      <c r="E205" s="72"/>
      <c r="F205" s="72"/>
      <c r="G205" s="72"/>
      <c r="H205" s="72"/>
      <c r="I205" s="72"/>
    </row>
    <row r="206" spans="1:9">
      <c r="A206" s="72"/>
      <c r="B206" s="72"/>
      <c r="C206" s="72"/>
      <c r="D206" s="72"/>
      <c r="E206" s="72"/>
      <c r="F206" s="72"/>
      <c r="G206" s="72"/>
      <c r="H206" s="72"/>
      <c r="I206" s="72"/>
    </row>
    <row r="207" spans="1:9">
      <c r="A207" s="72"/>
      <c r="B207" s="72"/>
      <c r="C207" s="72"/>
      <c r="D207" s="72"/>
      <c r="E207" s="72"/>
      <c r="F207" s="72"/>
      <c r="G207" s="72"/>
      <c r="H207" s="72"/>
      <c r="I207" s="72"/>
    </row>
    <row r="208" spans="1:9">
      <c r="A208" s="71"/>
      <c r="B208" s="71"/>
      <c r="C208" s="71"/>
      <c r="D208" s="71"/>
      <c r="E208" s="71"/>
      <c r="F208" s="71"/>
      <c r="G208" s="71"/>
      <c r="H208" s="71"/>
      <c r="I208" s="71"/>
    </row>
    <row r="209" spans="1:9">
      <c r="A209" s="72"/>
      <c r="B209" s="72"/>
      <c r="C209" s="72"/>
      <c r="D209" s="72"/>
      <c r="E209" s="72"/>
      <c r="F209" s="72"/>
      <c r="G209" s="72"/>
      <c r="H209" s="72"/>
      <c r="I209" s="72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76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  <row r="243" spans="1:9">
      <c r="A243" s="53"/>
      <c r="B243" s="53"/>
      <c r="C243" s="53"/>
      <c r="D243" s="53"/>
      <c r="E243" s="53"/>
      <c r="F243" s="53"/>
      <c r="G243" s="53"/>
      <c r="H243" s="53"/>
      <c r="I243" s="53"/>
    </row>
    <row r="244" spans="1:9">
      <c r="A244" s="53"/>
      <c r="B244" s="53"/>
      <c r="C244" s="53"/>
      <c r="D244" s="53"/>
      <c r="E244" s="53"/>
      <c r="F244" s="53"/>
      <c r="G244" s="53"/>
      <c r="H244" s="53"/>
      <c r="I244" s="53"/>
    </row>
    <row r="245" spans="1:9">
      <c r="A245" s="53"/>
      <c r="B245" s="53"/>
      <c r="C245" s="53"/>
      <c r="D245" s="53"/>
      <c r="E245" s="53"/>
      <c r="F245" s="53"/>
      <c r="G245" s="53"/>
      <c r="H245" s="53"/>
      <c r="I245" s="53"/>
    </row>
    <row r="246" spans="1:9">
      <c r="A246" s="53"/>
      <c r="B246" s="53"/>
      <c r="C246" s="53"/>
      <c r="D246" s="53"/>
      <c r="E246" s="53"/>
      <c r="F246" s="53"/>
      <c r="G246" s="53"/>
      <c r="H246" s="53"/>
      <c r="I246" s="53"/>
    </row>
    <row r="247" spans="1:9">
      <c r="A247" s="53"/>
      <c r="B247" s="53"/>
      <c r="C247" s="53"/>
      <c r="D247" s="53"/>
      <c r="E247" s="53"/>
      <c r="F247" s="53"/>
      <c r="G247" s="53"/>
      <c r="H247" s="53"/>
      <c r="I247" s="53"/>
    </row>
    <row r="248" spans="1:9">
      <c r="A248" s="53"/>
      <c r="B248" s="53"/>
      <c r="C248" s="53"/>
      <c r="D248" s="53"/>
      <c r="E248" s="53"/>
      <c r="F248" s="53"/>
      <c r="G248" s="53"/>
      <c r="H248" s="53"/>
      <c r="I248" s="53"/>
    </row>
  </sheetData>
  <mergeCells count="6">
    <mergeCell ref="A34:F34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61"/>
  </sheetPr>
  <dimension ref="A1:M240"/>
  <sheetViews>
    <sheetView view="pageLayout" zoomScale="85" zoomScaleNormal="110" zoomScalePageLayoutView="85" workbookViewId="0">
      <selection activeCell="J16" sqref="J16"/>
    </sheetView>
  </sheetViews>
  <sheetFormatPr defaultRowHeight="12.75"/>
  <cols>
    <col min="1" max="1" width="4" customWidth="1"/>
    <col min="2" max="2" width="13" customWidth="1"/>
    <col min="3" max="3" width="19.85546875" bestFit="1" customWidth="1"/>
    <col min="4" max="4" width="14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28515625" bestFit="1" customWidth="1"/>
    <col min="11" max="11" width="17.7109375" bestFit="1" customWidth="1"/>
    <col min="12" max="12" width="11.28515625" style="1" bestFit="1" customWidth="1"/>
  </cols>
  <sheetData>
    <row r="1" spans="1:12" s="1" customFormat="1" ht="15.75">
      <c r="A1"/>
      <c r="B1" s="5" t="s">
        <v>76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32" t="s">
        <v>14</v>
      </c>
      <c r="C2" s="132"/>
      <c r="D2" s="132"/>
      <c r="E2" s="132"/>
      <c r="F2" s="132"/>
      <c r="G2" s="132"/>
      <c r="H2" s="132"/>
      <c r="I2" s="132"/>
      <c r="J2" s="132"/>
      <c r="K2" s="132"/>
    </row>
    <row r="3" spans="1:12" s="1" customFormat="1" ht="15">
      <c r="A3"/>
      <c r="B3" s="33" t="s">
        <v>15</v>
      </c>
      <c r="C3" s="34" t="s">
        <v>16</v>
      </c>
      <c r="D3" s="52">
        <f ca="1">NOW()</f>
        <v>41716.632829745373</v>
      </c>
      <c r="E3" s="35"/>
      <c r="F3" s="35"/>
      <c r="G3" s="35"/>
      <c r="H3" s="35"/>
      <c r="I3" s="35"/>
      <c r="J3" s="35"/>
      <c r="K3" s="35"/>
    </row>
    <row r="4" spans="1:12" s="1" customFormat="1" ht="15">
      <c r="A4"/>
      <c r="B4" s="33" t="s">
        <v>17</v>
      </c>
      <c r="C4" s="34" t="s">
        <v>16</v>
      </c>
      <c r="D4" s="36" t="s">
        <v>101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18</v>
      </c>
      <c r="C5" s="34" t="s">
        <v>16</v>
      </c>
      <c r="D5" s="33" t="s">
        <v>77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19</v>
      </c>
      <c r="C6" s="34" t="s">
        <v>16</v>
      </c>
      <c r="D6" s="33" t="s">
        <v>73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20</v>
      </c>
      <c r="C7" s="34" t="s">
        <v>16</v>
      </c>
      <c r="D7" s="37"/>
      <c r="E7" s="35"/>
      <c r="F7" s="35"/>
      <c r="G7" s="35"/>
      <c r="H7" s="35"/>
      <c r="I7" s="35"/>
      <c r="J7" s="35"/>
      <c r="K7" s="35"/>
    </row>
    <row r="8" spans="1:12" s="1" customFormat="1">
      <c r="A8"/>
      <c r="B8" s="89" t="s">
        <v>21</v>
      </c>
      <c r="C8" s="42"/>
      <c r="D8" s="40" t="s">
        <v>22</v>
      </c>
      <c r="E8" s="40" t="s">
        <v>23</v>
      </c>
      <c r="F8" s="40" t="s">
        <v>24</v>
      </c>
      <c r="G8" s="40" t="s">
        <v>24</v>
      </c>
      <c r="H8" s="40" t="s">
        <v>24</v>
      </c>
      <c r="I8" s="40" t="s">
        <v>25</v>
      </c>
      <c r="J8" s="134" t="s">
        <v>26</v>
      </c>
      <c r="K8" s="134"/>
    </row>
    <row r="9" spans="1:12" s="1" customFormat="1">
      <c r="A9"/>
      <c r="B9" s="43" t="s">
        <v>27</v>
      </c>
      <c r="C9" s="43" t="s">
        <v>28</v>
      </c>
      <c r="D9" s="43"/>
      <c r="E9" s="43" t="s">
        <v>29</v>
      </c>
      <c r="F9" s="43" t="s">
        <v>30</v>
      </c>
      <c r="G9" s="43" t="s">
        <v>31</v>
      </c>
      <c r="H9" s="43" t="s">
        <v>32</v>
      </c>
      <c r="I9" s="44"/>
      <c r="J9" s="43" t="s">
        <v>33</v>
      </c>
      <c r="K9" s="43" t="s">
        <v>34</v>
      </c>
    </row>
    <row r="10" spans="1:12" s="1" customFormat="1" ht="9.75" customHeight="1">
      <c r="A10"/>
      <c r="B10" s="79">
        <v>41671</v>
      </c>
      <c r="C10" s="78" t="s">
        <v>110</v>
      </c>
      <c r="D10" s="94">
        <v>32.520000000000003</v>
      </c>
      <c r="E10" s="95">
        <v>0.21724357780232409</v>
      </c>
      <c r="F10" s="96">
        <v>380311</v>
      </c>
      <c r="G10" s="80"/>
      <c r="H10" s="90">
        <v>52046</v>
      </c>
      <c r="I10" s="78" t="s">
        <v>97</v>
      </c>
      <c r="J10" s="87">
        <v>42304770.864986032</v>
      </c>
      <c r="K10" s="87">
        <v>6567815676.7890816</v>
      </c>
      <c r="L10" s="97"/>
    </row>
    <row r="11" spans="1:12" s="1" customFormat="1" ht="9.75" customHeight="1">
      <c r="A11"/>
      <c r="B11" s="79">
        <v>41671</v>
      </c>
      <c r="C11" s="78" t="s">
        <v>110</v>
      </c>
      <c r="D11" s="94">
        <v>32.520000000000003</v>
      </c>
      <c r="E11" s="95">
        <v>0.21750058732736996</v>
      </c>
      <c r="F11" s="96">
        <v>395000</v>
      </c>
      <c r="G11" s="80"/>
      <c r="H11" s="90">
        <v>54056</v>
      </c>
      <c r="I11" s="78" t="s">
        <v>97</v>
      </c>
      <c r="J11" s="87">
        <v>43938735.644431747</v>
      </c>
      <c r="K11" s="87">
        <v>6821488708.7980289</v>
      </c>
      <c r="L11" s="97"/>
    </row>
    <row r="12" spans="1:12" s="1" customFormat="1" ht="9.75" customHeight="1">
      <c r="A12"/>
      <c r="B12" s="79">
        <v>41698</v>
      </c>
      <c r="C12" s="78" t="s">
        <v>111</v>
      </c>
      <c r="D12" s="94">
        <v>32.1</v>
      </c>
      <c r="E12" s="95">
        <v>0.14352235440626621</v>
      </c>
      <c r="F12" s="96">
        <v>999105</v>
      </c>
      <c r="G12" s="80"/>
      <c r="H12" s="90">
        <v>137311</v>
      </c>
      <c r="I12" s="78" t="s">
        <v>112</v>
      </c>
      <c r="J12" s="87">
        <v>111137748.04058224</v>
      </c>
      <c r="K12" s="87">
        <v>17254135383.300392</v>
      </c>
      <c r="L12" s="97"/>
    </row>
    <row r="13" spans="1:12" s="1" customFormat="1" ht="9.75" customHeight="1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2" s="1" customFormat="1" ht="9.7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2" s="1" customFormat="1" ht="9.7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 ht="9.75" customHeight="1">
      <c r="A16"/>
      <c r="B16" s="79"/>
      <c r="C16" s="78"/>
      <c r="D16" s="94"/>
      <c r="E16" s="95"/>
      <c r="F16" s="96"/>
      <c r="G16" s="80"/>
      <c r="H16" s="91"/>
      <c r="I16" s="78"/>
      <c r="J16" s="87"/>
      <c r="K16" s="87"/>
      <c r="L16" s="97"/>
    </row>
    <row r="17" spans="1:13" s="1" customFormat="1" ht="9.75" customHeight="1">
      <c r="A17"/>
      <c r="B17" s="79"/>
      <c r="C17" s="78"/>
      <c r="D17" s="94"/>
      <c r="E17" s="95"/>
      <c r="F17" s="96"/>
      <c r="G17" s="80"/>
      <c r="H17" s="91"/>
      <c r="I17" s="78"/>
      <c r="J17" s="87"/>
      <c r="K17" s="87"/>
      <c r="L17" s="97"/>
    </row>
    <row r="18" spans="1:13" s="1" customFormat="1" ht="9.75" customHeight="1">
      <c r="A18"/>
      <c r="B18" s="79"/>
      <c r="C18" s="78"/>
      <c r="D18" s="94"/>
      <c r="E18" s="95"/>
      <c r="F18" s="96"/>
      <c r="G18" s="80"/>
      <c r="H18" s="91"/>
      <c r="I18" s="78"/>
      <c r="J18" s="87"/>
      <c r="K18" s="87"/>
      <c r="L18" s="97"/>
    </row>
    <row r="19" spans="1:13" s="1" customFormat="1" ht="9.75" customHeight="1">
      <c r="A19"/>
      <c r="B19" s="79"/>
      <c r="C19" s="78"/>
      <c r="D19" s="94"/>
      <c r="E19" s="95"/>
      <c r="F19" s="96"/>
      <c r="G19" s="80"/>
      <c r="H19" s="91"/>
      <c r="I19" s="78"/>
      <c r="J19" s="87"/>
      <c r="K19" s="87"/>
      <c r="L19" s="97"/>
    </row>
    <row r="20" spans="1:13" s="1" customFormat="1" ht="9.75" customHeight="1">
      <c r="A20"/>
      <c r="B20" s="79"/>
      <c r="C20" s="78"/>
      <c r="D20" s="94"/>
      <c r="E20" s="95"/>
      <c r="F20" s="96"/>
      <c r="G20" s="80"/>
      <c r="H20" s="91"/>
      <c r="I20" s="78"/>
      <c r="J20" s="87"/>
      <c r="K20" s="87"/>
      <c r="L20" s="97"/>
    </row>
    <row r="21" spans="1:13" s="1" customFormat="1" ht="9.75" customHeight="1">
      <c r="A21"/>
      <c r="B21" s="79"/>
      <c r="C21" s="78"/>
      <c r="D21" s="94"/>
      <c r="E21" s="95"/>
      <c r="F21" s="96"/>
      <c r="G21" s="80"/>
      <c r="H21" s="91"/>
      <c r="I21" s="78"/>
      <c r="J21" s="87"/>
      <c r="K21" s="87"/>
      <c r="L21" s="97"/>
    </row>
    <row r="22" spans="1:13" s="1" customFormat="1" ht="9.75" customHeight="1">
      <c r="A22"/>
      <c r="B22" s="79"/>
      <c r="C22" s="78"/>
      <c r="D22" s="94"/>
      <c r="E22" s="95"/>
      <c r="F22" s="96"/>
      <c r="G22" s="80"/>
      <c r="H22" s="90"/>
      <c r="I22" s="78"/>
      <c r="J22" s="87"/>
      <c r="K22" s="87"/>
      <c r="L22" s="97"/>
    </row>
    <row r="23" spans="1:13" ht="9.75" customHeight="1">
      <c r="B23" s="79"/>
      <c r="C23" s="78"/>
      <c r="D23" s="94"/>
      <c r="E23" s="95"/>
      <c r="F23" s="96"/>
      <c r="G23" s="80"/>
      <c r="H23" s="90"/>
      <c r="I23" s="78"/>
      <c r="J23" s="87"/>
      <c r="K23" s="87"/>
      <c r="L23" s="97"/>
      <c r="M23" s="98">
        <v>155.24799999999999</v>
      </c>
    </row>
    <row r="24" spans="1:13" s="1" customFormat="1" ht="9.75" customHeight="1">
      <c r="A24" s="21"/>
      <c r="B24" s="79"/>
      <c r="C24" s="78"/>
      <c r="D24" s="94"/>
      <c r="E24" s="95"/>
      <c r="F24" s="96"/>
      <c r="G24" s="80"/>
      <c r="H24" s="90"/>
      <c r="I24" s="78"/>
      <c r="J24" s="87"/>
      <c r="K24" s="87"/>
      <c r="L24" s="97"/>
      <c r="M24" s="98">
        <v>155.24799999999999</v>
      </c>
    </row>
    <row r="25" spans="1:13" s="1" customFormat="1" ht="9.75" customHeight="1">
      <c r="A25" s="21"/>
      <c r="B25" s="79"/>
      <c r="C25" s="78"/>
      <c r="D25" s="94"/>
      <c r="E25" s="95"/>
      <c r="F25" s="96"/>
      <c r="G25" s="80"/>
      <c r="H25" s="90"/>
      <c r="I25" s="78"/>
      <c r="J25" s="87"/>
      <c r="K25" s="87"/>
      <c r="L25" s="97"/>
      <c r="M25" s="98">
        <v>155.24799999999999</v>
      </c>
    </row>
    <row r="26" spans="1:13" s="1" customFormat="1" ht="9.75" customHeight="1">
      <c r="A26"/>
      <c r="B26" s="79"/>
      <c r="C26" s="78"/>
      <c r="D26" s="94"/>
      <c r="E26" s="95"/>
      <c r="F26" s="96"/>
      <c r="G26" s="80"/>
      <c r="H26" s="90"/>
      <c r="I26" s="78"/>
      <c r="J26" s="87"/>
      <c r="K26" s="87"/>
      <c r="L26" s="97"/>
      <c r="M26" s="98">
        <v>155.24799999999999</v>
      </c>
    </row>
    <row r="27" spans="1:13" s="1" customFormat="1" ht="9.75" customHeight="1">
      <c r="A27"/>
      <c r="B27" s="79"/>
      <c r="C27" s="78"/>
      <c r="D27" s="94"/>
      <c r="E27" s="95"/>
      <c r="F27" s="96"/>
      <c r="G27" s="80"/>
      <c r="H27" s="90"/>
      <c r="I27" s="78"/>
      <c r="J27" s="87"/>
      <c r="K27" s="87"/>
      <c r="L27" s="97"/>
      <c r="M27" s="98">
        <v>155.24799999999999</v>
      </c>
    </row>
    <row r="28" spans="1:13" s="1" customFormat="1" ht="9.75" customHeight="1">
      <c r="A28"/>
      <c r="B28" s="79"/>
      <c r="C28" s="78"/>
      <c r="D28" s="94"/>
      <c r="E28" s="95"/>
      <c r="F28" s="96"/>
      <c r="G28" s="80"/>
      <c r="H28" s="90"/>
      <c r="I28" s="78"/>
      <c r="J28" s="87"/>
      <c r="K28" s="87"/>
      <c r="L28" s="97"/>
      <c r="M28" s="98">
        <v>155.24799999999999</v>
      </c>
    </row>
    <row r="29" spans="1:13" s="1" customFormat="1" ht="9.75" customHeight="1">
      <c r="A29"/>
      <c r="B29" s="79"/>
      <c r="C29" s="78"/>
      <c r="D29" s="94"/>
      <c r="E29" s="95"/>
      <c r="F29" s="96"/>
      <c r="G29" s="80"/>
      <c r="H29" s="90"/>
      <c r="I29" s="78"/>
      <c r="J29" s="87"/>
      <c r="K29" s="87"/>
      <c r="L29" s="97"/>
      <c r="M29" s="97">
        <v>155.244</v>
      </c>
    </row>
    <row r="30" spans="1:13" s="1" customFormat="1" ht="9.75" customHeight="1">
      <c r="A30"/>
      <c r="B30" s="79"/>
      <c r="C30" s="78"/>
      <c r="D30" s="94"/>
      <c r="E30" s="95"/>
      <c r="F30" s="96"/>
      <c r="G30" s="80"/>
      <c r="H30" s="90"/>
      <c r="I30" s="78"/>
      <c r="J30" s="87"/>
      <c r="K30" s="87"/>
      <c r="L30" s="97"/>
      <c r="M30" s="97">
        <v>155.249</v>
      </c>
    </row>
    <row r="31" spans="1:13" s="1" customFormat="1" ht="9.75" customHeight="1">
      <c r="A31"/>
      <c r="B31" s="79"/>
      <c r="C31" s="78"/>
      <c r="D31" s="94"/>
      <c r="E31" s="95"/>
      <c r="F31" s="96"/>
      <c r="G31" s="80"/>
      <c r="H31" s="90"/>
      <c r="I31" s="78"/>
      <c r="J31" s="87"/>
      <c r="K31" s="87"/>
      <c r="L31" s="97"/>
      <c r="M31" s="97">
        <v>155.249</v>
      </c>
    </row>
    <row r="32" spans="1:13" s="1" customFormat="1" ht="9.75" customHeight="1">
      <c r="A32"/>
      <c r="B32" s="79"/>
      <c r="C32" s="78"/>
      <c r="D32" s="94"/>
      <c r="E32" s="95"/>
      <c r="F32" s="96"/>
      <c r="G32" s="80"/>
      <c r="H32" s="90"/>
      <c r="I32" s="78"/>
      <c r="J32" s="87"/>
      <c r="K32" s="87"/>
      <c r="L32" s="97"/>
      <c r="M32" s="97">
        <v>155.249</v>
      </c>
    </row>
    <row r="33" spans="1:13" s="1" customFormat="1" ht="9.75" customHeight="1">
      <c r="A33"/>
      <c r="B33" s="79"/>
      <c r="C33" s="78"/>
      <c r="D33" s="94"/>
      <c r="E33" s="95"/>
      <c r="F33" s="96"/>
      <c r="G33" s="80"/>
      <c r="H33" s="90"/>
      <c r="I33" s="78"/>
      <c r="J33" s="87"/>
      <c r="K33" s="87"/>
      <c r="L33" s="97"/>
      <c r="M33" s="97"/>
    </row>
    <row r="34" spans="1:13" s="1" customFormat="1" ht="9.75" customHeight="1">
      <c r="A34"/>
      <c r="B34" s="79"/>
      <c r="C34" s="78"/>
      <c r="D34" s="94"/>
      <c r="E34" s="95"/>
      <c r="F34" s="96"/>
      <c r="G34" s="80"/>
      <c r="H34" s="90"/>
      <c r="I34" s="78"/>
      <c r="J34" s="87"/>
      <c r="K34" s="87"/>
      <c r="L34" s="97"/>
      <c r="M34" s="97"/>
    </row>
    <row r="35" spans="1:13" s="1" customFormat="1" ht="9.75" customHeight="1">
      <c r="A35"/>
      <c r="B35" s="79"/>
      <c r="C35" s="78"/>
      <c r="D35" s="94"/>
      <c r="E35" s="95"/>
      <c r="F35" s="96"/>
      <c r="G35" s="80"/>
      <c r="H35" s="90"/>
      <c r="I35" s="78"/>
      <c r="J35" s="87"/>
      <c r="K35" s="87"/>
      <c r="L35" s="97"/>
      <c r="M35" s="97"/>
    </row>
    <row r="36" spans="1:13" s="1" customFormat="1" ht="9.75" customHeight="1">
      <c r="A36"/>
      <c r="B36" s="79"/>
      <c r="C36" s="78"/>
      <c r="D36" s="94"/>
      <c r="E36" s="95"/>
      <c r="F36" s="96"/>
      <c r="G36" s="80"/>
      <c r="H36" s="90"/>
      <c r="I36" s="78"/>
      <c r="J36" s="87"/>
      <c r="K36" s="87"/>
      <c r="L36" s="97"/>
      <c r="M36" s="97"/>
    </row>
    <row r="37" spans="1:13" s="1" customFormat="1" ht="9.75" customHeight="1">
      <c r="A37"/>
      <c r="B37" s="79"/>
      <c r="C37" s="78"/>
      <c r="D37" s="94"/>
      <c r="E37" s="95"/>
      <c r="F37" s="96"/>
      <c r="G37" s="80"/>
      <c r="H37" s="90"/>
      <c r="I37" s="78"/>
      <c r="J37" s="87"/>
      <c r="K37" s="87"/>
      <c r="L37" s="97"/>
      <c r="M37" s="97"/>
    </row>
    <row r="38" spans="1:13" s="1" customFormat="1" ht="9.75" customHeight="1">
      <c r="A38"/>
      <c r="B38" s="79"/>
      <c r="C38" s="78"/>
      <c r="D38" s="94"/>
      <c r="E38" s="95"/>
      <c r="F38" s="96"/>
      <c r="G38" s="80"/>
      <c r="H38" s="90"/>
      <c r="I38" s="91"/>
      <c r="J38" s="87"/>
      <c r="K38" s="87"/>
      <c r="L38" s="97"/>
      <c r="M38" s="97"/>
    </row>
    <row r="39" spans="1:13" s="1" customFormat="1" ht="9.75" customHeight="1">
      <c r="A39"/>
      <c r="B39" s="79"/>
      <c r="C39" s="78"/>
      <c r="D39" s="94"/>
      <c r="E39" s="95"/>
      <c r="F39" s="96"/>
      <c r="G39" s="80"/>
      <c r="H39" s="90"/>
      <c r="I39" s="78"/>
      <c r="J39" s="87"/>
      <c r="K39" s="87"/>
      <c r="L39" s="97"/>
      <c r="M39" s="97"/>
    </row>
    <row r="40" spans="1:13" ht="9.75" customHeight="1">
      <c r="B40" s="79"/>
      <c r="C40" s="78"/>
      <c r="D40" s="94"/>
      <c r="E40" s="95"/>
      <c r="F40" s="96"/>
      <c r="G40" s="80"/>
      <c r="H40" s="90"/>
      <c r="I40" s="78"/>
      <c r="J40" s="87"/>
      <c r="K40" s="87"/>
      <c r="L40" s="97"/>
    </row>
    <row r="41" spans="1:13" ht="9.75" customHeight="1">
      <c r="B41" s="79"/>
      <c r="C41" s="78"/>
      <c r="D41" s="94"/>
      <c r="E41" s="95"/>
      <c r="F41" s="96"/>
      <c r="G41" s="80"/>
      <c r="H41" s="90"/>
      <c r="I41" s="78"/>
      <c r="J41" s="87"/>
      <c r="K41" s="87"/>
      <c r="L41" s="97"/>
    </row>
    <row r="42" spans="1:13" ht="9.75" customHeight="1">
      <c r="B42" s="79"/>
      <c r="C42" s="78"/>
      <c r="D42" s="94"/>
      <c r="E42" s="95"/>
      <c r="F42" s="96"/>
      <c r="G42" s="80"/>
      <c r="H42" s="90"/>
      <c r="I42" s="78"/>
      <c r="J42" s="87"/>
      <c r="K42" s="87"/>
      <c r="L42" s="97"/>
    </row>
    <row r="43" spans="1:13" ht="9.75" customHeight="1">
      <c r="B43" s="79"/>
      <c r="C43" s="78"/>
      <c r="D43" s="94"/>
      <c r="E43" s="95"/>
      <c r="F43" s="96"/>
      <c r="G43" s="80"/>
      <c r="H43" s="90"/>
      <c r="I43" s="78"/>
      <c r="J43" s="87"/>
      <c r="K43" s="87"/>
      <c r="L43" s="97"/>
    </row>
    <row r="44" spans="1:13" ht="9.75" customHeight="1">
      <c r="B44" s="79"/>
      <c r="C44" s="78"/>
      <c r="D44" s="94"/>
      <c r="E44" s="95"/>
      <c r="F44" s="96"/>
      <c r="G44" s="80"/>
      <c r="H44" s="90"/>
      <c r="I44" s="78"/>
      <c r="J44" s="87"/>
      <c r="K44" s="87"/>
      <c r="L44" s="97"/>
    </row>
    <row r="45" spans="1:13" ht="9.75" customHeight="1">
      <c r="B45" s="79"/>
      <c r="C45" s="78"/>
      <c r="D45" s="94"/>
      <c r="E45" s="95"/>
      <c r="F45" s="96"/>
      <c r="G45" s="80"/>
      <c r="H45" s="90"/>
      <c r="I45" s="78"/>
      <c r="J45" s="87"/>
      <c r="K45" s="87"/>
      <c r="L45" s="97"/>
    </row>
    <row r="46" spans="1:13" ht="9.75" customHeight="1">
      <c r="B46" s="79"/>
      <c r="C46" s="78"/>
      <c r="D46" s="94"/>
      <c r="E46" s="95"/>
      <c r="F46" s="96"/>
      <c r="G46" s="80"/>
      <c r="H46" s="90"/>
      <c r="I46" s="78"/>
      <c r="J46" s="87"/>
      <c r="K46" s="87"/>
      <c r="L46" s="97"/>
    </row>
    <row r="47" spans="1:13" ht="9.75" customHeight="1">
      <c r="B47" s="79"/>
      <c r="C47" s="78"/>
      <c r="D47" s="94"/>
      <c r="E47" s="94"/>
      <c r="F47" s="96"/>
      <c r="G47" s="80"/>
      <c r="H47" s="90"/>
      <c r="I47" s="78"/>
      <c r="J47" s="87"/>
      <c r="K47" s="87"/>
      <c r="L47" s="97"/>
    </row>
    <row r="48" spans="1:13" ht="9.75" customHeight="1">
      <c r="B48" s="79"/>
      <c r="C48" s="78"/>
      <c r="D48" s="94"/>
      <c r="E48" s="95"/>
      <c r="F48" s="96"/>
      <c r="G48" s="80"/>
      <c r="H48" s="90"/>
      <c r="I48" s="78"/>
      <c r="J48" s="87"/>
      <c r="K48" s="87"/>
      <c r="L48" s="97"/>
    </row>
    <row r="49" spans="1:12" ht="9.75" customHeight="1">
      <c r="B49" s="79"/>
      <c r="C49" s="78"/>
      <c r="D49" s="94"/>
      <c r="E49" s="95"/>
      <c r="F49" s="96"/>
      <c r="G49" s="80"/>
      <c r="H49" s="90"/>
      <c r="I49" s="78"/>
      <c r="J49" s="87"/>
      <c r="K49" s="87"/>
      <c r="L49" s="97"/>
    </row>
    <row r="50" spans="1:12" ht="9.75" customHeight="1">
      <c r="B50" s="79"/>
      <c r="C50" s="78"/>
      <c r="D50" s="94"/>
      <c r="E50" s="95"/>
      <c r="F50" s="96"/>
      <c r="G50" s="80"/>
      <c r="H50" s="90"/>
      <c r="I50" s="78"/>
      <c r="J50" s="87"/>
      <c r="K50" s="87"/>
      <c r="L50" s="97"/>
    </row>
    <row r="51" spans="1:12" s="1" customFormat="1">
      <c r="A51" s="21"/>
      <c r="B51" s="82" t="s">
        <v>35</v>
      </c>
      <c r="C51" s="83"/>
      <c r="D51" s="83"/>
      <c r="E51" s="84"/>
      <c r="F51" s="85"/>
      <c r="G51" s="85"/>
      <c r="H51" s="85"/>
      <c r="I51" s="85"/>
      <c r="J51" s="100">
        <f>SUM(J10:J50)</f>
        <v>197381254.55000001</v>
      </c>
      <c r="K51" s="100">
        <f>SUM(K10:K50)</f>
        <v>30643439768.887505</v>
      </c>
    </row>
    <row r="52" spans="1:12" ht="15">
      <c r="B52" s="19"/>
      <c r="C52" s="19"/>
      <c r="D52" s="19"/>
      <c r="E52" s="19"/>
      <c r="F52" s="19"/>
      <c r="G52" s="19"/>
    </row>
    <row r="53" spans="1:12" ht="15">
      <c r="B53" s="19"/>
      <c r="C53" s="19"/>
      <c r="D53" s="19"/>
      <c r="E53" s="19"/>
      <c r="F53" s="19"/>
      <c r="G53" s="19"/>
    </row>
    <row r="54" spans="1:12" ht="15">
      <c r="B54" s="19"/>
      <c r="C54" s="19"/>
      <c r="D54" s="19"/>
      <c r="E54" s="19"/>
      <c r="F54" s="19"/>
      <c r="G54" s="19"/>
    </row>
    <row r="55" spans="1:12" ht="15">
      <c r="B55" s="19"/>
      <c r="C55" s="19"/>
      <c r="D55" s="19"/>
      <c r="E55" s="19"/>
      <c r="F55" s="19"/>
      <c r="G55" s="19"/>
    </row>
    <row r="56" spans="1:12" ht="15">
      <c r="B56" s="19"/>
      <c r="C56" s="19"/>
      <c r="D56" s="19"/>
      <c r="E56" s="19"/>
      <c r="F56" s="19"/>
      <c r="G56" s="19"/>
    </row>
    <row r="57" spans="1:12" ht="15">
      <c r="B57" s="19"/>
      <c r="C57" s="19"/>
      <c r="D57" s="19"/>
      <c r="E57" s="19"/>
      <c r="F57" s="19"/>
      <c r="G57" s="19"/>
    </row>
    <row r="58" spans="1:12" ht="15">
      <c r="B58" s="19"/>
      <c r="C58" s="19"/>
      <c r="D58" s="19"/>
      <c r="E58" s="19"/>
      <c r="F58" s="19"/>
      <c r="G58" s="19"/>
    </row>
    <row r="59" spans="1:12" ht="15">
      <c r="B59" s="19"/>
      <c r="C59" s="19"/>
      <c r="D59" s="19"/>
      <c r="E59" s="19"/>
      <c r="F59" s="19"/>
      <c r="G59" s="19"/>
    </row>
    <row r="60" spans="1:12" ht="15">
      <c r="B60" s="19"/>
      <c r="C60" s="19"/>
      <c r="D60" s="19"/>
      <c r="E60" s="19"/>
      <c r="F60" s="19"/>
      <c r="G60" s="19"/>
    </row>
    <row r="61" spans="1:12" ht="15">
      <c r="B61" s="22"/>
      <c r="C61" s="7"/>
      <c r="D61" s="7"/>
      <c r="E61" s="7"/>
      <c r="F61" s="7"/>
      <c r="G61" s="7"/>
    </row>
    <row r="62" spans="1:12" ht="15">
      <c r="B62" s="19"/>
      <c r="C62" s="19"/>
      <c r="D62" s="19"/>
      <c r="E62" s="19"/>
      <c r="F62" s="19"/>
      <c r="G62" s="19"/>
    </row>
    <row r="63" spans="1:12" ht="15">
      <c r="B63" s="19"/>
      <c r="C63" s="19"/>
      <c r="D63" s="19"/>
      <c r="E63" s="19"/>
      <c r="F63" s="19"/>
      <c r="G63" s="19"/>
    </row>
    <row r="64" spans="1:12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>
      <c r="B66" s="23"/>
      <c r="C66" s="23"/>
      <c r="D66" s="23"/>
      <c r="E66" s="23"/>
      <c r="F66" s="23"/>
      <c r="G66" s="23"/>
    </row>
    <row r="67" spans="2:7">
      <c r="B67" s="24"/>
      <c r="C67" s="25"/>
      <c r="D67" s="25"/>
      <c r="E67" s="25"/>
      <c r="F67" s="25"/>
      <c r="G67" s="25"/>
    </row>
    <row r="68" spans="2:7">
      <c r="B68" s="26"/>
      <c r="C68" s="25"/>
      <c r="D68" s="25"/>
      <c r="E68" s="25"/>
      <c r="F68" s="25"/>
      <c r="G68" s="25"/>
    </row>
    <row r="69" spans="2:7">
      <c r="B69" s="26"/>
      <c r="C69" s="26"/>
      <c r="D69" s="26"/>
      <c r="E69" s="26"/>
      <c r="F69" s="26"/>
      <c r="G69" s="26"/>
    </row>
    <row r="70" spans="2:7" ht="15">
      <c r="B70" s="19"/>
      <c r="C70" s="19"/>
      <c r="D70" s="19"/>
      <c r="E70" s="19"/>
      <c r="F70" s="19"/>
      <c r="G70" s="19"/>
    </row>
    <row r="71" spans="2:7" ht="15">
      <c r="B71" s="7"/>
      <c r="C71" s="7"/>
      <c r="D71" s="7"/>
      <c r="E71" s="7"/>
      <c r="F71" s="7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5">
      <c r="B74" s="19"/>
      <c r="C74" s="19"/>
      <c r="D74" s="19"/>
      <c r="E74" s="19"/>
      <c r="F74" s="19"/>
      <c r="G74" s="19"/>
    </row>
    <row r="75" spans="2:7" ht="15">
      <c r="B75" s="19"/>
      <c r="C75" s="19"/>
      <c r="D75" s="19"/>
      <c r="E75" s="19"/>
      <c r="F75" s="19"/>
      <c r="G75" s="19"/>
    </row>
    <row r="76" spans="2:7" ht="15">
      <c r="B76" s="19"/>
      <c r="C76" s="19"/>
      <c r="D76" s="19"/>
      <c r="E76" s="19"/>
      <c r="F76" s="19"/>
      <c r="G76" s="19"/>
    </row>
    <row r="77" spans="2:7" ht="15">
      <c r="B77" s="7"/>
      <c r="C77" s="7"/>
      <c r="D77" s="7"/>
      <c r="E77" s="7"/>
      <c r="F77" s="7"/>
      <c r="G77" s="7"/>
    </row>
    <row r="78" spans="2:7" ht="15">
      <c r="B78" s="19"/>
      <c r="C78" s="19"/>
      <c r="D78" s="19"/>
      <c r="E78" s="19"/>
      <c r="F78" s="19"/>
      <c r="G78" s="19"/>
    </row>
    <row r="79" spans="2:7" ht="15">
      <c r="B79" s="19"/>
      <c r="C79" s="19"/>
      <c r="D79" s="19"/>
      <c r="E79" s="19"/>
      <c r="F79" s="19"/>
      <c r="G79" s="19"/>
    </row>
    <row r="80" spans="2:7" ht="15">
      <c r="B80" s="19"/>
      <c r="C80" s="19"/>
      <c r="D80" s="19"/>
      <c r="E80" s="19"/>
      <c r="F80" s="19"/>
      <c r="G80" s="19"/>
    </row>
    <row r="81" spans="2:7" ht="15">
      <c r="B81" s="19"/>
      <c r="C81" s="19"/>
      <c r="D81" s="19"/>
      <c r="E81" s="19"/>
      <c r="F81" s="19"/>
      <c r="G81" s="19"/>
    </row>
    <row r="82" spans="2:7" ht="15">
      <c r="B82" s="19"/>
      <c r="C82" s="19"/>
      <c r="D82" s="19"/>
      <c r="E82" s="19"/>
      <c r="F82" s="19"/>
      <c r="G82" s="19"/>
    </row>
    <row r="83" spans="2:7" ht="15">
      <c r="B83" s="19"/>
      <c r="C83" s="19"/>
      <c r="D83" s="19"/>
      <c r="E83" s="19"/>
      <c r="F83" s="19"/>
      <c r="G83" s="19"/>
    </row>
    <row r="84" spans="2:7" ht="15">
      <c r="B84" s="19"/>
      <c r="C84" s="19"/>
      <c r="D84" s="19"/>
      <c r="E84" s="19"/>
      <c r="F84" s="19"/>
      <c r="G84" s="19"/>
    </row>
    <row r="85" spans="2:7" ht="15">
      <c r="B85" s="19"/>
      <c r="C85" s="19"/>
      <c r="D85" s="19"/>
      <c r="E85" s="19"/>
      <c r="F85" s="19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4.25">
      <c r="B89" s="27"/>
      <c r="C89" s="27"/>
      <c r="D89" s="27"/>
      <c r="E89" s="27"/>
      <c r="F89" s="27"/>
      <c r="G89" s="27"/>
    </row>
    <row r="90" spans="2:7">
      <c r="B90" s="21"/>
      <c r="C90" s="21"/>
      <c r="D90" s="21"/>
      <c r="E90" s="21"/>
      <c r="F90" s="21"/>
      <c r="G90" s="21"/>
    </row>
    <row r="91" spans="2:7">
      <c r="B91" s="21"/>
      <c r="C91" s="21"/>
      <c r="D91" s="21"/>
      <c r="E91" s="21"/>
      <c r="F91" s="21"/>
      <c r="G91" s="21"/>
    </row>
    <row r="92" spans="2:7">
      <c r="B92" s="21"/>
      <c r="C92" s="21"/>
      <c r="D92" s="21"/>
      <c r="E92" s="21"/>
      <c r="F92" s="21"/>
      <c r="G92" s="21"/>
    </row>
    <row r="93" spans="2:7">
      <c r="B93" s="21"/>
      <c r="C93" s="21"/>
      <c r="D93" s="21"/>
      <c r="E93" s="21"/>
      <c r="F93" s="21"/>
      <c r="G93" s="21"/>
    </row>
    <row r="94" spans="2:7">
      <c r="B94" s="21"/>
      <c r="C94" s="21"/>
      <c r="D94" s="21"/>
      <c r="E94" s="21"/>
      <c r="F94" s="21"/>
      <c r="G94" s="21"/>
    </row>
    <row r="95" spans="2:7">
      <c r="B95" s="21"/>
      <c r="C95" s="21"/>
      <c r="D95" s="21"/>
      <c r="E95" s="21"/>
      <c r="F95" s="21"/>
      <c r="G95" s="21"/>
    </row>
    <row r="96" spans="2:7">
      <c r="B96" s="21"/>
      <c r="C96" s="21"/>
      <c r="D96" s="21"/>
      <c r="E96" s="21"/>
      <c r="F96" s="21"/>
      <c r="G96" s="21"/>
    </row>
    <row r="97" spans="2:7" ht="15.75">
      <c r="B97" s="18"/>
      <c r="C97" s="18"/>
      <c r="D97" s="18"/>
      <c r="E97" s="18"/>
      <c r="F97" s="18"/>
      <c r="G97" s="18"/>
    </row>
    <row r="98" spans="2:7" ht="15.75">
      <c r="B98" s="18"/>
      <c r="C98" s="18"/>
      <c r="D98" s="18"/>
      <c r="E98" s="18"/>
      <c r="F98" s="18"/>
      <c r="G98" s="18"/>
    </row>
    <row r="99" spans="2:7" ht="15.75">
      <c r="B99" s="18"/>
      <c r="C99" s="18"/>
      <c r="D99" s="18"/>
      <c r="E99" s="18"/>
      <c r="F99" s="18"/>
      <c r="G99" s="18"/>
    </row>
    <row r="100" spans="2:7" ht="15">
      <c r="B100" s="19"/>
      <c r="C100" s="19"/>
      <c r="D100" s="19"/>
      <c r="E100" s="19"/>
      <c r="F100" s="20"/>
      <c r="G100" s="19"/>
    </row>
    <row r="101" spans="2:7" ht="15">
      <c r="B101" s="19"/>
      <c r="C101" s="19"/>
      <c r="D101" s="19"/>
      <c r="E101" s="19"/>
      <c r="F101" s="19"/>
      <c r="G101" s="19"/>
    </row>
    <row r="102" spans="2:7" ht="15">
      <c r="B102" s="19"/>
      <c r="C102" s="19"/>
      <c r="D102" s="19"/>
      <c r="E102" s="19"/>
      <c r="F102" s="19"/>
      <c r="G102" s="19"/>
    </row>
    <row r="103" spans="2:7" ht="15">
      <c r="B103" s="19"/>
      <c r="C103" s="19"/>
      <c r="D103" s="19"/>
      <c r="E103" s="19"/>
      <c r="F103" s="19"/>
      <c r="G103" s="19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19"/>
      <c r="C105" s="19"/>
      <c r="D105" s="19"/>
      <c r="E105" s="19"/>
      <c r="F105" s="19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22"/>
      <c r="C110" s="7"/>
      <c r="D110" s="7"/>
      <c r="E110" s="7"/>
      <c r="F110" s="7"/>
      <c r="G110" s="7"/>
    </row>
    <row r="111" spans="2:7" ht="15">
      <c r="B111" s="19"/>
      <c r="C111" s="19"/>
      <c r="D111" s="19"/>
      <c r="E111" s="19"/>
      <c r="F111" s="19"/>
      <c r="G111" s="19"/>
    </row>
    <row r="112" spans="2:7" ht="15">
      <c r="B112" s="19"/>
      <c r="C112" s="19"/>
      <c r="D112" s="19"/>
      <c r="E112" s="19"/>
      <c r="F112" s="19"/>
      <c r="G112" s="19"/>
    </row>
    <row r="113" spans="2:7" ht="15">
      <c r="B113" s="19"/>
      <c r="C113" s="19"/>
      <c r="D113" s="19"/>
      <c r="E113" s="19"/>
      <c r="F113" s="19"/>
      <c r="G113" s="19"/>
    </row>
    <row r="114" spans="2:7" ht="15">
      <c r="B114" s="19"/>
      <c r="C114" s="19"/>
      <c r="D114" s="19"/>
      <c r="E114" s="19"/>
      <c r="F114" s="19"/>
      <c r="G114" s="19"/>
    </row>
    <row r="115" spans="2:7">
      <c r="B115" s="23"/>
      <c r="C115" s="23"/>
      <c r="D115" s="23"/>
      <c r="E115" s="23"/>
      <c r="F115" s="23"/>
      <c r="G115" s="23"/>
    </row>
    <row r="116" spans="2:7">
      <c r="B116" s="24"/>
      <c r="C116" s="25"/>
      <c r="D116" s="25"/>
      <c r="E116" s="25"/>
      <c r="F116" s="25"/>
      <c r="G116" s="25"/>
    </row>
    <row r="117" spans="2:7">
      <c r="B117" s="26"/>
      <c r="C117" s="25"/>
      <c r="D117" s="25"/>
      <c r="E117" s="25"/>
      <c r="F117" s="25"/>
      <c r="G117" s="25"/>
    </row>
    <row r="118" spans="2:7">
      <c r="B118" s="26"/>
      <c r="C118" s="26"/>
      <c r="D118" s="26"/>
      <c r="E118" s="26"/>
      <c r="F118" s="26"/>
      <c r="G118" s="26"/>
    </row>
    <row r="119" spans="2:7" ht="15">
      <c r="B119" s="19"/>
      <c r="C119" s="19"/>
      <c r="D119" s="19"/>
      <c r="E119" s="19"/>
      <c r="F119" s="19"/>
      <c r="G119" s="19"/>
    </row>
    <row r="120" spans="2:7" ht="15">
      <c r="B120" s="7"/>
      <c r="C120" s="7"/>
      <c r="D120" s="7"/>
      <c r="E120" s="7"/>
      <c r="F120" s="7"/>
      <c r="G120" s="19"/>
    </row>
    <row r="121" spans="2:7" ht="15">
      <c r="B121" s="19"/>
      <c r="C121" s="19"/>
      <c r="D121" s="19"/>
      <c r="E121" s="19"/>
      <c r="F121" s="19"/>
      <c r="G121" s="19"/>
    </row>
    <row r="122" spans="2:7" ht="15">
      <c r="B122" s="19"/>
      <c r="C122" s="19"/>
      <c r="D122" s="19"/>
      <c r="E122" s="19"/>
      <c r="F122" s="19"/>
      <c r="G122" s="19"/>
    </row>
    <row r="123" spans="2:7" ht="15">
      <c r="B123" s="19"/>
      <c r="C123" s="19"/>
      <c r="D123" s="19"/>
      <c r="E123" s="19"/>
      <c r="F123" s="19"/>
      <c r="G123" s="19"/>
    </row>
    <row r="124" spans="2:7" ht="15">
      <c r="B124" s="19"/>
      <c r="C124" s="19"/>
      <c r="D124" s="19"/>
      <c r="E124" s="19"/>
      <c r="F124" s="19"/>
      <c r="G124" s="19"/>
    </row>
    <row r="125" spans="2:7" ht="15">
      <c r="B125" s="19"/>
      <c r="C125" s="19"/>
      <c r="D125" s="19"/>
      <c r="E125" s="19"/>
      <c r="F125" s="19"/>
      <c r="G125" s="19"/>
    </row>
    <row r="126" spans="2:7" ht="15">
      <c r="B126" s="7"/>
      <c r="C126" s="7"/>
      <c r="D126" s="7"/>
      <c r="E126" s="7"/>
      <c r="F126" s="7"/>
      <c r="G126" s="7"/>
    </row>
    <row r="127" spans="2:7" ht="15">
      <c r="B127" s="19"/>
      <c r="C127" s="19"/>
      <c r="D127" s="19"/>
      <c r="E127" s="19"/>
      <c r="F127" s="19"/>
      <c r="G127" s="19"/>
    </row>
    <row r="128" spans="2:7" ht="14.25">
      <c r="B128" s="27"/>
      <c r="C128" s="27"/>
      <c r="D128" s="27"/>
      <c r="E128" s="27"/>
      <c r="F128" s="27"/>
      <c r="G128" s="27"/>
    </row>
    <row r="129" spans="2:7">
      <c r="B129" s="21"/>
      <c r="C129" s="21"/>
      <c r="D129" s="21"/>
      <c r="E129" s="21"/>
      <c r="F129" s="21"/>
      <c r="G129" s="21"/>
    </row>
    <row r="130" spans="2:7">
      <c r="B130" s="21"/>
      <c r="C130" s="21"/>
      <c r="D130" s="21"/>
      <c r="E130" s="21"/>
      <c r="F130" s="21"/>
      <c r="G130" s="21"/>
    </row>
    <row r="131" spans="2:7">
      <c r="B131" s="21"/>
      <c r="C131" s="21"/>
      <c r="D131" s="21"/>
      <c r="E131" s="21"/>
      <c r="F131" s="21"/>
      <c r="G131" s="21"/>
    </row>
    <row r="132" spans="2:7">
      <c r="B132" s="21"/>
      <c r="C132" s="21"/>
      <c r="D132" s="21"/>
      <c r="E132" s="21"/>
      <c r="F132" s="21"/>
      <c r="G132" s="21"/>
    </row>
    <row r="133" spans="2:7">
      <c r="B133" s="21"/>
      <c r="C133" s="21"/>
      <c r="D133" s="21"/>
      <c r="E133" s="21"/>
      <c r="F133" s="21"/>
      <c r="G133" s="21"/>
    </row>
    <row r="134" spans="2:7">
      <c r="B134" s="21"/>
      <c r="C134" s="21"/>
      <c r="D134" s="21"/>
      <c r="E134" s="21"/>
      <c r="F134" s="21"/>
      <c r="G134" s="21"/>
    </row>
    <row r="135" spans="2:7">
      <c r="B135" s="21"/>
      <c r="C135" s="21"/>
      <c r="D135" s="21"/>
      <c r="E135" s="21"/>
      <c r="F135" s="21"/>
      <c r="G135" s="21"/>
    </row>
    <row r="136" spans="2:7">
      <c r="B136" s="21"/>
      <c r="C136" s="21"/>
      <c r="D136" s="21"/>
      <c r="E136" s="21"/>
      <c r="F136" s="21"/>
      <c r="G136" s="21"/>
    </row>
    <row r="137" spans="2:7" ht="15.75">
      <c r="B137" s="18"/>
      <c r="C137" s="18"/>
      <c r="D137" s="18"/>
      <c r="E137" s="18"/>
      <c r="F137" s="18"/>
      <c r="G137" s="18"/>
    </row>
    <row r="138" spans="2:7" ht="15.75">
      <c r="B138" s="18"/>
      <c r="C138" s="18"/>
      <c r="D138" s="18"/>
      <c r="E138" s="18"/>
      <c r="F138" s="18"/>
      <c r="G138" s="18"/>
    </row>
    <row r="139" spans="2:7" ht="15.75">
      <c r="B139" s="18"/>
      <c r="C139" s="18"/>
      <c r="D139" s="18"/>
      <c r="E139" s="18"/>
      <c r="F139" s="18"/>
      <c r="G139" s="18"/>
    </row>
    <row r="140" spans="2:7" ht="15">
      <c r="B140" s="19"/>
      <c r="C140" s="19"/>
      <c r="D140" s="19"/>
      <c r="E140" s="19"/>
      <c r="F140" s="20"/>
      <c r="G140" s="19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19"/>
      <c r="C145" s="19"/>
      <c r="D145" s="19"/>
      <c r="E145" s="19"/>
      <c r="F145" s="19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22"/>
      <c r="C150" s="7"/>
      <c r="D150" s="7"/>
      <c r="E150" s="7"/>
      <c r="F150" s="7"/>
      <c r="G150" s="7"/>
    </row>
    <row r="151" spans="2:7" ht="15">
      <c r="B151" s="19"/>
      <c r="C151" s="19"/>
      <c r="D151" s="19"/>
      <c r="E151" s="19"/>
      <c r="F151" s="19"/>
      <c r="G151" s="19"/>
    </row>
    <row r="152" spans="2:7" ht="15">
      <c r="B152" s="19"/>
      <c r="C152" s="19"/>
      <c r="D152" s="19"/>
      <c r="E152" s="19"/>
      <c r="F152" s="19"/>
      <c r="G152" s="19"/>
    </row>
    <row r="153" spans="2:7" ht="15">
      <c r="B153" s="19"/>
      <c r="C153" s="19"/>
      <c r="D153" s="19"/>
      <c r="E153" s="19"/>
      <c r="F153" s="19"/>
      <c r="G153" s="19"/>
    </row>
    <row r="154" spans="2:7" ht="15">
      <c r="B154" s="19"/>
      <c r="C154" s="19"/>
      <c r="D154" s="19"/>
      <c r="E154" s="19"/>
      <c r="F154" s="19"/>
      <c r="G154" s="19"/>
    </row>
    <row r="155" spans="2:7">
      <c r="B155" s="23"/>
      <c r="C155" s="23"/>
      <c r="D155" s="23"/>
      <c r="E155" s="23"/>
      <c r="F155" s="23"/>
      <c r="G155" s="23"/>
    </row>
    <row r="156" spans="2:7">
      <c r="B156" s="24"/>
      <c r="C156" s="25"/>
      <c r="D156" s="25"/>
      <c r="E156" s="25"/>
      <c r="F156" s="25"/>
      <c r="G156" s="25"/>
    </row>
    <row r="157" spans="2:7">
      <c r="B157" s="26"/>
      <c r="C157" s="25"/>
      <c r="D157" s="25"/>
      <c r="E157" s="25"/>
      <c r="F157" s="25"/>
      <c r="G157" s="25"/>
    </row>
    <row r="158" spans="2:7">
      <c r="B158" s="26"/>
      <c r="C158" s="26"/>
      <c r="D158" s="26"/>
      <c r="E158" s="26"/>
      <c r="F158" s="26"/>
      <c r="G158" s="26"/>
    </row>
    <row r="159" spans="2:7" ht="15">
      <c r="B159" s="19"/>
      <c r="C159" s="19"/>
      <c r="D159" s="19"/>
      <c r="E159" s="19"/>
      <c r="F159" s="19"/>
      <c r="G159" s="19"/>
    </row>
    <row r="160" spans="2:7" ht="15">
      <c r="B160" s="7"/>
      <c r="C160" s="7"/>
      <c r="D160" s="7"/>
      <c r="E160" s="7"/>
      <c r="F160" s="7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7"/>
      <c r="C166" s="7"/>
      <c r="D166" s="7"/>
      <c r="E166" s="7"/>
      <c r="F166" s="7"/>
      <c r="G166" s="7"/>
    </row>
    <row r="167" spans="2:7" ht="15">
      <c r="B167" s="19"/>
      <c r="C167" s="19"/>
      <c r="D167" s="19"/>
      <c r="E167" s="19"/>
      <c r="F167" s="19"/>
      <c r="G167" s="19"/>
    </row>
    <row r="168" spans="2:7" ht="14.25">
      <c r="B168" s="27"/>
      <c r="C168" s="27"/>
      <c r="D168" s="27"/>
      <c r="E168" s="27"/>
      <c r="F168" s="27"/>
      <c r="G168" s="27"/>
    </row>
    <row r="169" spans="2:7">
      <c r="B169" s="21"/>
      <c r="C169" s="21"/>
      <c r="D169" s="21"/>
      <c r="E169" s="21"/>
      <c r="F169" s="21"/>
      <c r="G169" s="21"/>
    </row>
    <row r="170" spans="2:7">
      <c r="B170" s="21"/>
      <c r="C170" s="21"/>
      <c r="D170" s="21"/>
      <c r="E170" s="21"/>
      <c r="F170" s="21"/>
      <c r="G170" s="21"/>
    </row>
    <row r="171" spans="2:7" ht="15.75">
      <c r="B171" s="18"/>
      <c r="C171" s="18"/>
      <c r="D171" s="18"/>
      <c r="E171" s="18"/>
      <c r="F171" s="18"/>
      <c r="G171" s="18"/>
    </row>
    <row r="172" spans="2:7" ht="15.75">
      <c r="B172" s="18"/>
      <c r="C172" s="18"/>
      <c r="D172" s="18"/>
      <c r="E172" s="18"/>
      <c r="F172" s="18"/>
      <c r="G172" s="18"/>
    </row>
    <row r="173" spans="2:7" ht="15.75">
      <c r="B173" s="18"/>
      <c r="C173" s="18"/>
      <c r="D173" s="18"/>
      <c r="E173" s="18"/>
      <c r="F173" s="18"/>
      <c r="G173" s="18"/>
    </row>
    <row r="174" spans="2:7" ht="15">
      <c r="B174" s="19"/>
      <c r="C174" s="19"/>
      <c r="D174" s="19"/>
      <c r="E174" s="19"/>
      <c r="F174" s="20"/>
      <c r="G174" s="19"/>
    </row>
    <row r="175" spans="2:7" ht="15">
      <c r="B175" s="19"/>
      <c r="C175" s="19"/>
      <c r="D175" s="19"/>
      <c r="E175" s="19"/>
      <c r="F175" s="19"/>
      <c r="G175" s="19"/>
    </row>
    <row r="176" spans="2:7" ht="15">
      <c r="B176" s="19"/>
      <c r="C176" s="19"/>
      <c r="D176" s="19"/>
      <c r="E176" s="19"/>
      <c r="F176" s="19"/>
      <c r="G176" s="19"/>
    </row>
    <row r="177" spans="2:7" ht="15">
      <c r="B177" s="19"/>
      <c r="C177" s="19"/>
      <c r="D177" s="19"/>
      <c r="E177" s="19"/>
      <c r="F177" s="19"/>
      <c r="G177" s="19"/>
    </row>
    <row r="178" spans="2:7" ht="15">
      <c r="B178" s="19"/>
      <c r="C178" s="19"/>
      <c r="D178" s="19"/>
      <c r="E178" s="19"/>
      <c r="F178" s="19"/>
      <c r="G178" s="19"/>
    </row>
    <row r="179" spans="2:7" ht="15">
      <c r="B179" s="19"/>
      <c r="C179" s="19"/>
      <c r="D179" s="19"/>
      <c r="E179" s="19"/>
      <c r="F179" s="19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22"/>
      <c r="C184" s="7"/>
      <c r="D184" s="7"/>
      <c r="E184" s="7"/>
      <c r="F184" s="7"/>
      <c r="G184" s="7"/>
    </row>
    <row r="185" spans="2:7" ht="15">
      <c r="B185" s="19"/>
      <c r="C185" s="19"/>
      <c r="D185" s="19"/>
      <c r="E185" s="19"/>
      <c r="F185" s="19"/>
      <c r="G185" s="19"/>
    </row>
    <row r="186" spans="2:7" ht="15">
      <c r="B186" s="19"/>
      <c r="C186" s="19"/>
      <c r="D186" s="19"/>
      <c r="E186" s="19"/>
      <c r="F186" s="19"/>
      <c r="G186" s="19"/>
    </row>
    <row r="187" spans="2:7" ht="15">
      <c r="B187" s="19"/>
      <c r="C187" s="19"/>
      <c r="D187" s="19"/>
      <c r="E187" s="19"/>
      <c r="F187" s="19"/>
      <c r="G187" s="19"/>
    </row>
    <row r="188" spans="2:7" ht="15">
      <c r="B188" s="19"/>
      <c r="C188" s="19"/>
      <c r="D188" s="19"/>
      <c r="E188" s="19"/>
      <c r="F188" s="19"/>
      <c r="G188" s="19"/>
    </row>
    <row r="189" spans="2:7">
      <c r="B189" s="23"/>
      <c r="C189" s="23"/>
      <c r="D189" s="23"/>
      <c r="E189" s="23"/>
      <c r="F189" s="23"/>
      <c r="G189" s="23"/>
    </row>
    <row r="190" spans="2:7">
      <c r="B190" s="24"/>
      <c r="C190" s="25"/>
      <c r="D190" s="25"/>
      <c r="E190" s="25"/>
      <c r="F190" s="25"/>
      <c r="G190" s="25"/>
    </row>
    <row r="191" spans="2:7">
      <c r="B191" s="26"/>
      <c r="C191" s="25"/>
      <c r="D191" s="25"/>
      <c r="E191" s="25"/>
      <c r="F191" s="25"/>
      <c r="G191" s="25"/>
    </row>
    <row r="192" spans="2:7">
      <c r="B192" s="26"/>
      <c r="C192" s="26"/>
      <c r="D192" s="26"/>
      <c r="E192" s="26"/>
      <c r="F192" s="26"/>
      <c r="G192" s="26"/>
    </row>
    <row r="193" spans="2:7" ht="15">
      <c r="B193" s="19"/>
      <c r="C193" s="19"/>
      <c r="D193" s="19"/>
      <c r="E193" s="19"/>
      <c r="F193" s="19"/>
      <c r="G193" s="19"/>
    </row>
    <row r="194" spans="2:7" ht="21" customHeight="1">
      <c r="B194" s="7"/>
      <c r="C194" s="7"/>
      <c r="D194" s="7"/>
      <c r="E194" s="7"/>
      <c r="F194" s="7"/>
      <c r="G194" s="19"/>
    </row>
    <row r="195" spans="2:7" ht="15">
      <c r="B195" s="19"/>
      <c r="C195" s="19"/>
      <c r="D195" s="19"/>
      <c r="E195" s="19"/>
      <c r="F195" s="19"/>
      <c r="G195" s="19"/>
    </row>
    <row r="196" spans="2:7" ht="15">
      <c r="B196" s="19"/>
      <c r="C196" s="19"/>
      <c r="D196" s="19"/>
      <c r="E196" s="19"/>
      <c r="F196" s="19"/>
      <c r="G196" s="19"/>
    </row>
    <row r="197" spans="2:7" ht="15">
      <c r="B197" s="19"/>
      <c r="C197" s="19"/>
      <c r="D197" s="19"/>
      <c r="E197" s="19"/>
      <c r="F197" s="19"/>
      <c r="G197" s="19"/>
    </row>
    <row r="198" spans="2:7" ht="15">
      <c r="B198" s="19"/>
      <c r="C198" s="19"/>
      <c r="D198" s="19"/>
      <c r="E198" s="19"/>
      <c r="F198" s="19"/>
      <c r="G198" s="19"/>
    </row>
    <row r="199" spans="2:7" ht="15">
      <c r="B199" s="19"/>
      <c r="C199" s="19"/>
      <c r="D199" s="19"/>
      <c r="E199" s="19"/>
      <c r="F199" s="19"/>
      <c r="G199" s="19"/>
    </row>
    <row r="200" spans="2:7" ht="15">
      <c r="B200" s="7"/>
      <c r="C200" s="7"/>
      <c r="D200" s="7"/>
      <c r="E200" s="7"/>
      <c r="F200" s="7"/>
      <c r="G200" s="7"/>
    </row>
    <row r="201" spans="2:7" ht="15">
      <c r="B201" s="19"/>
      <c r="C201" s="19"/>
      <c r="D201" s="19"/>
      <c r="E201" s="19"/>
      <c r="F201" s="19"/>
      <c r="G201" s="19"/>
    </row>
    <row r="202" spans="2:7" ht="14.25">
      <c r="B202" s="27"/>
      <c r="C202" s="27"/>
      <c r="D202" s="27"/>
      <c r="E202" s="27"/>
      <c r="F202" s="27"/>
      <c r="G202" s="27"/>
    </row>
    <row r="203" spans="2:7" ht="14.25">
      <c r="B203" s="27"/>
      <c r="C203" s="27"/>
      <c r="D203" s="27"/>
      <c r="E203" s="27"/>
      <c r="F203" s="27"/>
      <c r="G203" s="26"/>
    </row>
    <row r="204" spans="2:7" ht="14.25">
      <c r="B204" s="27"/>
      <c r="C204" s="27"/>
      <c r="D204" s="27"/>
      <c r="E204" s="27"/>
      <c r="F204" s="27"/>
      <c r="G204" s="27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  <row r="226" spans="2:7">
      <c r="B226" s="21"/>
      <c r="C226" s="21"/>
      <c r="D226" s="21"/>
      <c r="E226" s="21"/>
      <c r="F226" s="21"/>
      <c r="G226" s="21"/>
    </row>
    <row r="227" spans="2:7">
      <c r="B227" s="21"/>
      <c r="C227" s="21"/>
      <c r="D227" s="21"/>
      <c r="E227" s="21"/>
      <c r="F227" s="21"/>
      <c r="G227" s="21"/>
    </row>
    <row r="228" spans="2:7">
      <c r="B228" s="21"/>
      <c r="C228" s="21"/>
      <c r="D228" s="21"/>
      <c r="E228" s="21"/>
      <c r="F228" s="21"/>
      <c r="G228" s="21"/>
    </row>
    <row r="229" spans="2:7">
      <c r="B229" s="21"/>
      <c r="C229" s="21"/>
      <c r="D229" s="21"/>
      <c r="E229" s="21"/>
      <c r="F229" s="21"/>
      <c r="G229" s="21"/>
    </row>
    <row r="230" spans="2:7">
      <c r="B230" s="21"/>
      <c r="C230" s="21"/>
      <c r="D230" s="21"/>
      <c r="E230" s="21"/>
      <c r="F230" s="21"/>
      <c r="G230" s="21"/>
    </row>
    <row r="231" spans="2:7">
      <c r="B231" s="21"/>
      <c r="C231" s="21"/>
      <c r="D231" s="21"/>
      <c r="E231" s="21"/>
      <c r="F231" s="21"/>
      <c r="G231" s="21"/>
    </row>
    <row r="232" spans="2:7">
      <c r="B232" s="21"/>
      <c r="C232" s="21"/>
      <c r="D232" s="21"/>
      <c r="E232" s="21"/>
      <c r="F232" s="21"/>
      <c r="G232" s="21"/>
    </row>
    <row r="233" spans="2:7">
      <c r="B233" s="21"/>
      <c r="C233" s="21"/>
      <c r="D233" s="21"/>
      <c r="E233" s="21"/>
      <c r="F233" s="21"/>
      <c r="G233" s="21"/>
    </row>
    <row r="234" spans="2:7">
      <c r="B234" s="21"/>
      <c r="C234" s="21"/>
      <c r="D234" s="21"/>
      <c r="E234" s="21"/>
      <c r="F234" s="21"/>
      <c r="G234" s="21"/>
    </row>
    <row r="235" spans="2:7">
      <c r="B235" s="21"/>
      <c r="C235" s="21"/>
      <c r="D235" s="21"/>
      <c r="E235" s="21"/>
      <c r="F235" s="21"/>
      <c r="G235" s="21"/>
    </row>
    <row r="236" spans="2:7">
      <c r="B236" s="21"/>
      <c r="C236" s="21"/>
      <c r="D236" s="21"/>
      <c r="E236" s="21"/>
      <c r="F236" s="21"/>
      <c r="G236" s="21"/>
    </row>
    <row r="237" spans="2:7">
      <c r="B237" s="21"/>
      <c r="C237" s="21"/>
      <c r="D237" s="21"/>
      <c r="E237" s="21"/>
      <c r="F237" s="21"/>
      <c r="G237" s="21"/>
    </row>
    <row r="238" spans="2:7">
      <c r="B238" s="21"/>
      <c r="C238" s="21"/>
      <c r="D238" s="21"/>
      <c r="E238" s="21"/>
      <c r="F238" s="21"/>
      <c r="G238" s="21"/>
    </row>
    <row r="239" spans="2:7">
      <c r="B239" s="21"/>
      <c r="C239" s="21"/>
      <c r="D239" s="21"/>
      <c r="E239" s="21"/>
      <c r="F239" s="21"/>
      <c r="G239" s="21"/>
    </row>
    <row r="240" spans="2:7">
      <c r="B240" s="21"/>
      <c r="C240" s="21"/>
      <c r="D240" s="21"/>
      <c r="E240" s="21"/>
      <c r="F240" s="21"/>
      <c r="G240" s="21"/>
    </row>
  </sheetData>
  <mergeCells count="2">
    <mergeCell ref="B2:K2"/>
    <mergeCell ref="J8:K8"/>
  </mergeCells>
  <printOptions horizontalCentered="1"/>
  <pageMargins left="0.15748031496062992" right="0.15748031496062992" top="0.86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1"/>
  </sheetPr>
  <dimension ref="A1:O251"/>
  <sheetViews>
    <sheetView view="pageLayout" zoomScaleNormal="110" workbookViewId="0">
      <selection activeCell="M11" sqref="M11"/>
    </sheetView>
  </sheetViews>
  <sheetFormatPr defaultRowHeight="11.25"/>
  <cols>
    <col min="1" max="1" width="12.42578125" style="32" customWidth="1"/>
    <col min="2" max="2" width="6.85546875" style="32" bestFit="1" customWidth="1"/>
    <col min="3" max="3" width="13.28515625" style="32" customWidth="1"/>
    <col min="4" max="4" width="10.28515625" style="32" customWidth="1"/>
    <col min="5" max="5" width="11.140625" style="32" customWidth="1"/>
    <col min="6" max="6" width="11" style="32" customWidth="1"/>
    <col min="7" max="7" width="9.42578125" style="32" customWidth="1"/>
    <col min="8" max="8" width="9" style="32" customWidth="1"/>
    <col min="9" max="9" width="10" style="32" hidden="1" customWidth="1"/>
    <col min="10" max="10" width="8.28515625" style="32" customWidth="1"/>
    <col min="11" max="11" width="8" style="32" bestFit="1" customWidth="1"/>
    <col min="12" max="12" width="9" style="32" bestFit="1" customWidth="1"/>
    <col min="13" max="13" width="25.57031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36" t="s">
        <v>78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5" ht="21.75" customHeight="1">
      <c r="A2" s="137" t="s">
        <v>102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38" t="s">
        <v>38</v>
      </c>
      <c r="D4" s="60" t="s">
        <v>39</v>
      </c>
      <c r="E4" s="138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40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39"/>
      <c r="D5" s="65" t="s">
        <v>46</v>
      </c>
      <c r="E5" s="139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41"/>
      <c r="N5" s="54"/>
      <c r="O5" s="32"/>
    </row>
    <row r="6" spans="1:15" ht="10.5" customHeight="1">
      <c r="A6" s="78" t="s">
        <v>113</v>
      </c>
      <c r="B6" s="78" t="s">
        <v>73</v>
      </c>
      <c r="C6" s="78" t="s">
        <v>110</v>
      </c>
      <c r="D6" s="147">
        <v>41671</v>
      </c>
      <c r="E6" s="78" t="s">
        <v>60</v>
      </c>
      <c r="F6" s="78" t="s">
        <v>61</v>
      </c>
      <c r="G6" s="101">
        <v>381139</v>
      </c>
      <c r="H6" s="151">
        <v>380311</v>
      </c>
      <c r="I6" s="80"/>
      <c r="J6" s="152">
        <v>52046</v>
      </c>
      <c r="K6" s="94">
        <v>32.520000000000003</v>
      </c>
      <c r="L6" s="79">
        <v>41671</v>
      </c>
      <c r="M6" s="78" t="s">
        <v>97</v>
      </c>
      <c r="N6" s="54"/>
      <c r="O6" s="32"/>
    </row>
    <row r="7" spans="1:15" ht="10.5" customHeight="1">
      <c r="A7" s="78" t="s">
        <v>113</v>
      </c>
      <c r="B7" s="78" t="s">
        <v>73</v>
      </c>
      <c r="C7" s="78" t="s">
        <v>110</v>
      </c>
      <c r="D7" s="147">
        <v>41671</v>
      </c>
      <c r="E7" s="78" t="s">
        <v>60</v>
      </c>
      <c r="F7" s="78" t="s">
        <v>61</v>
      </c>
      <c r="G7" s="101">
        <v>395861</v>
      </c>
      <c r="H7" s="151">
        <v>395000</v>
      </c>
      <c r="I7" s="80"/>
      <c r="J7" s="152">
        <v>54056</v>
      </c>
      <c r="K7" s="94">
        <v>32.520000000000003</v>
      </c>
      <c r="L7" s="79">
        <v>41671</v>
      </c>
      <c r="M7" s="78" t="s">
        <v>97</v>
      </c>
      <c r="N7" s="54"/>
      <c r="O7" s="32"/>
    </row>
    <row r="8" spans="1:15" ht="10.5" customHeight="1">
      <c r="A8" s="78" t="s">
        <v>113</v>
      </c>
      <c r="B8" s="78" t="s">
        <v>73</v>
      </c>
      <c r="C8" s="78" t="s">
        <v>111</v>
      </c>
      <c r="D8" s="147">
        <v>41697</v>
      </c>
      <c r="E8" s="78" t="s">
        <v>60</v>
      </c>
      <c r="F8" s="78" t="s">
        <v>61</v>
      </c>
      <c r="G8" s="101">
        <v>1000541</v>
      </c>
      <c r="H8" s="151">
        <v>999105</v>
      </c>
      <c r="I8" s="80"/>
      <c r="J8" s="152">
        <v>137311</v>
      </c>
      <c r="K8" s="94">
        <v>32.1</v>
      </c>
      <c r="L8" s="79">
        <v>41698</v>
      </c>
      <c r="M8" s="78" t="s">
        <v>112</v>
      </c>
      <c r="N8" s="54"/>
      <c r="O8" s="32"/>
    </row>
    <row r="9" spans="1:15" ht="10.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78"/>
      <c r="N9" s="54"/>
      <c r="O9" s="32"/>
    </row>
    <row r="10" spans="1:15" ht="10.5" customHeight="1">
      <c r="A10" s="78"/>
      <c r="B10" s="78"/>
      <c r="C10" s="78"/>
      <c r="D10" s="78"/>
      <c r="E10" s="78"/>
      <c r="F10" s="78"/>
      <c r="G10" s="92"/>
      <c r="H10" s="96"/>
      <c r="I10" s="80"/>
      <c r="J10" s="90"/>
      <c r="K10" s="94"/>
      <c r="L10" s="79"/>
      <c r="M10" s="78"/>
      <c r="N10" s="54"/>
      <c r="O10" s="32"/>
    </row>
    <row r="11" spans="1:15" ht="10.5" customHeight="1">
      <c r="A11" s="78"/>
      <c r="B11" s="78"/>
      <c r="C11" s="78"/>
      <c r="D11" s="78"/>
      <c r="E11" s="78"/>
      <c r="F11" s="78"/>
      <c r="G11" s="92"/>
      <c r="H11" s="96"/>
      <c r="I11" s="80"/>
      <c r="J11" s="90"/>
      <c r="K11" s="94"/>
      <c r="L11" s="79"/>
      <c r="M11" s="78"/>
      <c r="N11" s="54"/>
      <c r="O11" s="32"/>
    </row>
    <row r="12" spans="1:15" ht="10.5" customHeight="1">
      <c r="A12" s="78"/>
      <c r="B12" s="78"/>
      <c r="C12" s="78"/>
      <c r="D12" s="78"/>
      <c r="E12" s="78"/>
      <c r="F12" s="78"/>
      <c r="G12" s="93"/>
      <c r="H12" s="96"/>
      <c r="I12" s="80"/>
      <c r="J12" s="91"/>
      <c r="K12" s="94"/>
      <c r="L12" s="79"/>
      <c r="M12" s="78"/>
      <c r="N12" s="54"/>
      <c r="O12" s="32"/>
    </row>
    <row r="13" spans="1:15" ht="10.5" customHeight="1">
      <c r="A13" s="78"/>
      <c r="B13" s="78"/>
      <c r="C13" s="78"/>
      <c r="D13" s="78"/>
      <c r="E13" s="78"/>
      <c r="F13" s="78"/>
      <c r="G13" s="93"/>
      <c r="H13" s="96"/>
      <c r="I13" s="80"/>
      <c r="J13" s="91"/>
      <c r="K13" s="94"/>
      <c r="L13" s="79"/>
      <c r="M13" s="78"/>
      <c r="N13" s="54"/>
      <c r="O13" s="32"/>
    </row>
    <row r="14" spans="1:15" ht="10.5" customHeight="1">
      <c r="A14" s="78"/>
      <c r="B14" s="78"/>
      <c r="C14" s="78"/>
      <c r="D14" s="78"/>
      <c r="E14" s="78"/>
      <c r="F14" s="78"/>
      <c r="G14" s="93"/>
      <c r="H14" s="96"/>
      <c r="I14" s="80"/>
      <c r="J14" s="91"/>
      <c r="K14" s="94"/>
      <c r="L14" s="79"/>
      <c r="M14" s="78"/>
      <c r="N14" s="54"/>
      <c r="O14" s="32"/>
    </row>
    <row r="15" spans="1:15" ht="10.5" customHeight="1">
      <c r="A15" s="78"/>
      <c r="B15" s="78"/>
      <c r="C15" s="78"/>
      <c r="D15" s="78"/>
      <c r="E15" s="78"/>
      <c r="F15" s="78"/>
      <c r="G15" s="93"/>
      <c r="H15" s="96"/>
      <c r="I15" s="80"/>
      <c r="J15" s="91"/>
      <c r="K15" s="94"/>
      <c r="L15" s="79"/>
      <c r="M15" s="78"/>
      <c r="N15" s="54"/>
      <c r="O15" s="32"/>
    </row>
    <row r="16" spans="1:15" ht="10.5" customHeight="1">
      <c r="A16" s="78"/>
      <c r="B16" s="78"/>
      <c r="C16" s="78"/>
      <c r="D16" s="78"/>
      <c r="E16" s="78"/>
      <c r="F16" s="78"/>
      <c r="G16" s="93"/>
      <c r="H16" s="96"/>
      <c r="I16" s="80"/>
      <c r="J16" s="91"/>
      <c r="K16" s="94"/>
      <c r="L16" s="79"/>
      <c r="M16" s="78"/>
      <c r="N16" s="54"/>
      <c r="O16" s="32"/>
    </row>
    <row r="17" spans="1:15" ht="10.5" customHeight="1">
      <c r="A17" s="78"/>
      <c r="B17" s="78"/>
      <c r="C17" s="78"/>
      <c r="D17" s="78"/>
      <c r="E17" s="78"/>
      <c r="F17" s="78"/>
      <c r="G17" s="93"/>
      <c r="H17" s="96"/>
      <c r="I17" s="80"/>
      <c r="J17" s="91"/>
      <c r="K17" s="94"/>
      <c r="L17" s="79"/>
      <c r="M17" s="78"/>
      <c r="N17" s="54"/>
      <c r="O17" s="32"/>
    </row>
    <row r="18" spans="1:15" ht="10.5" customHeight="1">
      <c r="A18" s="78"/>
      <c r="B18" s="78"/>
      <c r="C18" s="78"/>
      <c r="D18" s="78"/>
      <c r="E18" s="78"/>
      <c r="F18" s="78"/>
      <c r="G18" s="93"/>
      <c r="H18" s="96"/>
      <c r="I18" s="80"/>
      <c r="J18" s="91"/>
      <c r="K18" s="94"/>
      <c r="L18" s="79"/>
      <c r="M18" s="78"/>
      <c r="N18" s="54"/>
      <c r="O18" s="32"/>
    </row>
    <row r="19" spans="1:15" ht="10.5" customHeight="1">
      <c r="A19" s="78"/>
      <c r="B19" s="78"/>
      <c r="C19" s="78"/>
      <c r="D19" s="78"/>
      <c r="E19" s="78"/>
      <c r="F19" s="78"/>
      <c r="G19" s="93"/>
      <c r="H19" s="96"/>
      <c r="J19" s="90"/>
      <c r="K19" s="94"/>
      <c r="L19" s="79"/>
      <c r="M19" s="78"/>
      <c r="N19" s="54"/>
      <c r="O19" s="32"/>
    </row>
    <row r="20" spans="1:15" ht="10.5" customHeight="1">
      <c r="A20" s="78"/>
      <c r="B20" s="78"/>
      <c r="C20" s="78"/>
      <c r="D20" s="78"/>
      <c r="E20" s="78"/>
      <c r="F20" s="78"/>
      <c r="G20" s="93"/>
      <c r="H20" s="96"/>
      <c r="I20" s="72"/>
      <c r="J20" s="90"/>
      <c r="K20" s="94"/>
      <c r="L20" s="79"/>
      <c r="M20" s="78"/>
    </row>
    <row r="21" spans="1:15" ht="10.5" customHeight="1">
      <c r="A21" s="78"/>
      <c r="B21" s="78"/>
      <c r="C21" s="78"/>
      <c r="D21" s="78"/>
      <c r="E21" s="78"/>
      <c r="F21" s="78"/>
      <c r="G21" s="93"/>
      <c r="H21" s="96"/>
      <c r="I21" s="72"/>
      <c r="J21" s="90"/>
      <c r="K21" s="94"/>
      <c r="L21" s="79"/>
      <c r="M21" s="78"/>
    </row>
    <row r="22" spans="1:15" ht="10.5" customHeight="1">
      <c r="A22" s="78"/>
      <c r="B22" s="78"/>
      <c r="C22" s="78"/>
      <c r="D22" s="78"/>
      <c r="E22" s="78"/>
      <c r="F22" s="78"/>
      <c r="G22" s="93"/>
      <c r="H22" s="96"/>
      <c r="I22" s="72"/>
      <c r="J22" s="90"/>
      <c r="K22" s="94"/>
      <c r="L22" s="79"/>
      <c r="M22" s="78"/>
    </row>
    <row r="23" spans="1:15" ht="10.5" customHeight="1">
      <c r="A23" s="78"/>
      <c r="B23" s="78"/>
      <c r="C23" s="78"/>
      <c r="D23" s="78"/>
      <c r="E23" s="78"/>
      <c r="F23" s="78"/>
      <c r="G23" s="93"/>
      <c r="H23" s="96"/>
      <c r="I23" s="73"/>
      <c r="J23" s="90"/>
      <c r="K23" s="94"/>
      <c r="L23" s="79"/>
      <c r="M23" s="78"/>
    </row>
    <row r="24" spans="1:15" ht="10.5" customHeight="1">
      <c r="A24" s="78"/>
      <c r="B24" s="78"/>
      <c r="C24" s="78"/>
      <c r="D24" s="78"/>
      <c r="E24" s="78"/>
      <c r="F24" s="78"/>
      <c r="G24" s="93"/>
      <c r="H24" s="96"/>
      <c r="I24" s="72"/>
      <c r="J24" s="90"/>
      <c r="K24" s="94"/>
      <c r="L24" s="79"/>
      <c r="M24" s="78"/>
    </row>
    <row r="25" spans="1:15" ht="10.5" customHeight="1">
      <c r="A25" s="78"/>
      <c r="B25" s="78"/>
      <c r="C25" s="78"/>
      <c r="D25" s="78"/>
      <c r="E25" s="78"/>
      <c r="F25" s="78"/>
      <c r="G25" s="93"/>
      <c r="H25" s="96"/>
      <c r="I25" s="72"/>
      <c r="J25" s="90"/>
      <c r="K25" s="94"/>
      <c r="L25" s="79"/>
      <c r="M25" s="78"/>
      <c r="O25" s="78"/>
    </row>
    <row r="26" spans="1:15" ht="10.5" customHeight="1">
      <c r="A26" s="78"/>
      <c r="B26" s="78"/>
      <c r="C26" s="78"/>
      <c r="D26" s="78"/>
      <c r="E26" s="78"/>
      <c r="F26" s="78"/>
      <c r="G26" s="93"/>
      <c r="H26" s="96"/>
      <c r="I26" s="72"/>
      <c r="J26" s="90"/>
      <c r="K26" s="94"/>
      <c r="L26" s="79"/>
      <c r="M26" s="78"/>
      <c r="O26" s="78"/>
    </row>
    <row r="27" spans="1:15" ht="10.5" customHeight="1">
      <c r="A27" s="78"/>
      <c r="B27" s="78"/>
      <c r="C27" s="78"/>
      <c r="D27" s="78"/>
      <c r="E27" s="78"/>
      <c r="F27" s="78"/>
      <c r="G27" s="93"/>
      <c r="H27" s="96"/>
      <c r="I27" s="72"/>
      <c r="J27" s="90"/>
      <c r="K27" s="94"/>
      <c r="L27" s="79"/>
      <c r="M27" s="78"/>
      <c r="O27" s="78"/>
    </row>
    <row r="28" spans="1:15" ht="10.5" customHeight="1">
      <c r="A28" s="78"/>
      <c r="B28" s="78"/>
      <c r="C28" s="78"/>
      <c r="D28" s="78"/>
      <c r="E28" s="78"/>
      <c r="F28" s="78"/>
      <c r="G28" s="93"/>
      <c r="H28" s="96"/>
      <c r="I28" s="72"/>
      <c r="J28" s="90"/>
      <c r="K28" s="94"/>
      <c r="L28" s="79"/>
      <c r="M28" s="78"/>
      <c r="O28" s="78"/>
    </row>
    <row r="29" spans="1:15" ht="10.5" customHeight="1">
      <c r="A29" s="78"/>
      <c r="B29" s="78"/>
      <c r="C29" s="78"/>
      <c r="D29" s="78"/>
      <c r="E29" s="78"/>
      <c r="F29" s="78"/>
      <c r="G29" s="93"/>
      <c r="H29" s="96"/>
      <c r="I29" s="72"/>
      <c r="J29" s="90"/>
      <c r="K29" s="94"/>
      <c r="L29" s="79"/>
      <c r="M29" s="78"/>
      <c r="O29" s="78"/>
    </row>
    <row r="30" spans="1:15" ht="10.5" customHeight="1">
      <c r="A30" s="78"/>
      <c r="B30" s="78"/>
      <c r="C30" s="78"/>
      <c r="D30" s="78"/>
      <c r="E30" s="78"/>
      <c r="F30" s="78"/>
      <c r="G30" s="93"/>
      <c r="H30" s="96"/>
      <c r="I30" s="72"/>
      <c r="J30" s="90"/>
      <c r="K30" s="94"/>
      <c r="L30" s="79"/>
      <c r="M30" s="78"/>
      <c r="O30" s="78"/>
    </row>
    <row r="31" spans="1:15" ht="10.5" customHeight="1">
      <c r="A31" s="78"/>
      <c r="B31" s="78"/>
      <c r="C31" s="78"/>
      <c r="D31" s="78"/>
      <c r="E31" s="78"/>
      <c r="F31" s="78"/>
      <c r="G31" s="93"/>
      <c r="H31" s="96"/>
      <c r="I31" s="72"/>
      <c r="J31" s="90"/>
      <c r="K31" s="94"/>
      <c r="L31" s="79"/>
      <c r="M31" s="78"/>
      <c r="O31" s="78"/>
    </row>
    <row r="32" spans="1:15" ht="10.5" customHeight="1">
      <c r="A32" s="78"/>
      <c r="B32" s="78"/>
      <c r="C32" s="78"/>
      <c r="D32" s="78"/>
      <c r="E32" s="78"/>
      <c r="F32" s="78"/>
      <c r="G32" s="93"/>
      <c r="H32" s="96"/>
      <c r="I32" s="72"/>
      <c r="J32" s="90"/>
      <c r="K32" s="94"/>
      <c r="L32" s="79"/>
      <c r="M32" s="78"/>
      <c r="O32" s="78"/>
    </row>
    <row r="33" spans="1:15" ht="10.5" customHeight="1">
      <c r="A33" s="78"/>
      <c r="B33" s="78"/>
      <c r="C33" s="78"/>
      <c r="D33" s="78"/>
      <c r="E33" s="78"/>
      <c r="F33" s="78"/>
      <c r="G33" s="93"/>
      <c r="H33" s="96"/>
      <c r="I33" s="72"/>
      <c r="J33" s="90"/>
      <c r="K33" s="94"/>
      <c r="L33" s="79"/>
      <c r="M33" s="78"/>
      <c r="O33" s="78"/>
    </row>
    <row r="34" spans="1:15" ht="10.5" customHeight="1">
      <c r="A34" s="78"/>
      <c r="B34" s="78"/>
      <c r="C34" s="78"/>
      <c r="D34" s="78"/>
      <c r="E34" s="78"/>
      <c r="F34" s="78"/>
      <c r="G34" s="93"/>
      <c r="H34" s="96"/>
      <c r="I34" s="72"/>
      <c r="J34" s="90"/>
      <c r="K34" s="94"/>
      <c r="L34" s="79"/>
      <c r="M34" s="78"/>
      <c r="O34" s="78"/>
    </row>
    <row r="35" spans="1:15" ht="10.5" customHeight="1">
      <c r="A35" s="78"/>
      <c r="B35" s="78"/>
      <c r="C35" s="78"/>
      <c r="D35" s="78"/>
      <c r="E35" s="78"/>
      <c r="F35" s="78"/>
      <c r="G35" s="93"/>
      <c r="H35" s="96"/>
      <c r="I35" s="72"/>
      <c r="J35" s="90"/>
      <c r="K35" s="94"/>
      <c r="L35" s="79"/>
      <c r="M35" s="78"/>
    </row>
    <row r="36" spans="1:15" ht="10.5" customHeight="1">
      <c r="A36" s="78"/>
      <c r="B36" s="78"/>
      <c r="C36" s="78"/>
      <c r="D36" s="78"/>
      <c r="E36" s="78"/>
      <c r="F36" s="78"/>
      <c r="G36" s="93"/>
      <c r="H36" s="96"/>
      <c r="I36" s="72"/>
      <c r="J36" s="90"/>
      <c r="K36" s="94"/>
      <c r="L36" s="79"/>
      <c r="M36" s="78"/>
    </row>
    <row r="37" spans="1:15" ht="10.5" customHeight="1">
      <c r="A37" s="78"/>
      <c r="B37" s="78"/>
      <c r="C37" s="78"/>
      <c r="D37" s="78"/>
      <c r="E37" s="78"/>
      <c r="F37" s="78"/>
      <c r="G37" s="96"/>
      <c r="H37" s="96"/>
      <c r="I37" s="72"/>
      <c r="J37" s="90"/>
      <c r="K37" s="94"/>
      <c r="L37" s="79"/>
      <c r="M37" s="78"/>
    </row>
    <row r="38" spans="1:15" ht="10.5" customHeight="1">
      <c r="A38" s="78"/>
      <c r="B38" s="78"/>
      <c r="C38" s="78"/>
      <c r="D38" s="78"/>
      <c r="E38" s="78"/>
      <c r="F38" s="78"/>
      <c r="G38" s="96"/>
      <c r="H38" s="96"/>
      <c r="I38" s="72"/>
      <c r="J38" s="90"/>
      <c r="K38" s="94"/>
      <c r="L38" s="79"/>
      <c r="M38" s="78"/>
    </row>
    <row r="39" spans="1:15" ht="10.5" customHeight="1">
      <c r="A39" s="78"/>
      <c r="B39" s="78"/>
      <c r="C39" s="78"/>
      <c r="D39" s="78"/>
      <c r="E39" s="78"/>
      <c r="F39" s="78"/>
      <c r="G39" s="96"/>
      <c r="H39" s="96"/>
      <c r="I39" s="72"/>
      <c r="J39" s="90"/>
      <c r="K39" s="94"/>
      <c r="L39" s="79"/>
      <c r="M39" s="78"/>
    </row>
    <row r="40" spans="1:15" ht="10.5" customHeight="1">
      <c r="A40" s="78"/>
      <c r="B40" s="78"/>
      <c r="C40" s="78"/>
      <c r="D40" s="78"/>
      <c r="E40" s="78"/>
      <c r="F40" s="78"/>
      <c r="G40" s="96"/>
      <c r="H40" s="96"/>
      <c r="I40" s="72"/>
      <c r="J40" s="90"/>
      <c r="K40" s="94"/>
      <c r="L40" s="79"/>
      <c r="M40" s="78"/>
    </row>
    <row r="41" spans="1:15" ht="10.5" customHeight="1">
      <c r="A41" s="78"/>
      <c r="B41" s="78"/>
      <c r="C41" s="78"/>
      <c r="D41" s="78"/>
      <c r="E41" s="78"/>
      <c r="F41" s="78"/>
      <c r="G41" s="96"/>
      <c r="H41" s="96"/>
      <c r="I41" s="72"/>
      <c r="J41" s="90"/>
      <c r="K41" s="94"/>
      <c r="L41" s="79"/>
      <c r="M41" s="78"/>
    </row>
    <row r="42" spans="1:15" ht="10.5" customHeight="1">
      <c r="A42" s="78"/>
      <c r="B42" s="78"/>
      <c r="C42" s="78"/>
      <c r="D42" s="78"/>
      <c r="E42" s="78"/>
      <c r="F42" s="78"/>
      <c r="G42" s="96"/>
      <c r="H42" s="96"/>
      <c r="I42" s="72"/>
      <c r="J42" s="90"/>
      <c r="K42" s="94"/>
      <c r="L42" s="79"/>
      <c r="M42" s="78"/>
    </row>
    <row r="43" spans="1:15" ht="10.5" customHeight="1">
      <c r="A43" s="78"/>
      <c r="B43" s="78"/>
      <c r="C43" s="78"/>
      <c r="D43" s="78"/>
      <c r="E43" s="78"/>
      <c r="F43" s="78"/>
      <c r="G43" s="96"/>
      <c r="H43" s="96"/>
      <c r="I43" s="72"/>
      <c r="J43" s="90"/>
      <c r="K43" s="94"/>
      <c r="L43" s="79"/>
      <c r="M43" s="78"/>
    </row>
    <row r="44" spans="1:15" ht="10.5" customHeight="1">
      <c r="A44" s="78"/>
      <c r="B44" s="78"/>
      <c r="C44" s="78"/>
      <c r="D44" s="78"/>
      <c r="E44" s="78"/>
      <c r="F44" s="78"/>
      <c r="G44" s="96"/>
      <c r="H44" s="96"/>
      <c r="I44" s="72"/>
      <c r="J44" s="90"/>
      <c r="K44" s="94"/>
      <c r="L44" s="79"/>
      <c r="M44" s="78"/>
    </row>
    <row r="45" spans="1:15" ht="10.5" customHeight="1">
      <c r="A45" s="78"/>
      <c r="B45" s="78"/>
      <c r="C45" s="78"/>
      <c r="D45" s="78"/>
      <c r="E45" s="78"/>
      <c r="F45" s="78"/>
      <c r="G45" s="96"/>
      <c r="H45" s="96"/>
      <c r="I45" s="72"/>
      <c r="J45" s="90"/>
      <c r="K45" s="94"/>
      <c r="L45" s="79"/>
      <c r="M45" s="78"/>
    </row>
    <row r="46" spans="1:15" ht="10.5" customHeight="1">
      <c r="A46" s="78"/>
      <c r="B46" s="78"/>
      <c r="C46" s="78"/>
      <c r="D46" s="78"/>
      <c r="E46" s="78"/>
      <c r="F46" s="78"/>
      <c r="G46" s="96"/>
      <c r="H46" s="96"/>
      <c r="I46" s="72"/>
      <c r="J46" s="90"/>
      <c r="K46" s="94"/>
      <c r="L46" s="79"/>
      <c r="M46" s="78"/>
    </row>
    <row r="47" spans="1:15" ht="12" thickBot="1">
      <c r="A47" s="78"/>
      <c r="B47" s="78"/>
      <c r="C47" s="78"/>
      <c r="D47" s="78"/>
      <c r="E47" s="78"/>
      <c r="F47" s="78"/>
      <c r="G47" s="93"/>
      <c r="H47" s="96"/>
      <c r="I47" s="72"/>
      <c r="J47" s="90"/>
      <c r="K47" s="94"/>
      <c r="L47" s="79"/>
      <c r="M47" s="78"/>
    </row>
    <row r="48" spans="1:15" ht="20.25" customHeight="1" thickTop="1" thickBot="1">
      <c r="A48" s="135" t="s">
        <v>79</v>
      </c>
      <c r="B48" s="135"/>
      <c r="C48" s="135"/>
      <c r="D48" s="135"/>
      <c r="E48" s="135"/>
      <c r="F48" s="135"/>
      <c r="G48" s="68">
        <f>SUM(G6:G47)</f>
        <v>1777541</v>
      </c>
      <c r="H48" s="68">
        <f t="shared" ref="H48:J48" si="0">SUM(H6:H47)</f>
        <v>1774416</v>
      </c>
      <c r="I48" s="68">
        <f t="shared" si="0"/>
        <v>0</v>
      </c>
      <c r="J48" s="68">
        <f t="shared" si="0"/>
        <v>243413</v>
      </c>
      <c r="K48" s="68"/>
      <c r="L48" s="68"/>
      <c r="M48" s="69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53"/>
      <c r="B50" s="53"/>
      <c r="C50" s="53"/>
      <c r="D50" s="53"/>
      <c r="E50" s="53"/>
      <c r="F50" s="53"/>
      <c r="G50" s="53"/>
      <c r="H50" s="53"/>
      <c r="I50" s="53"/>
    </row>
    <row r="51" spans="1:9">
      <c r="A51" s="53"/>
      <c r="B51" s="53"/>
      <c r="C51" s="53"/>
      <c r="D51" s="53"/>
      <c r="E51" s="53"/>
      <c r="F51" s="53"/>
      <c r="G51" s="53"/>
      <c r="H51" s="53"/>
      <c r="I51" s="53"/>
    </row>
    <row r="52" spans="1:9">
      <c r="A52" s="53"/>
      <c r="B52" s="53"/>
      <c r="C52" s="53"/>
      <c r="D52" s="53"/>
      <c r="E52" s="53"/>
      <c r="F52" s="53"/>
      <c r="G52" s="53"/>
      <c r="H52" s="53"/>
      <c r="I52" s="53"/>
    </row>
    <row r="53" spans="1:9">
      <c r="A53" s="53"/>
      <c r="B53" s="53"/>
      <c r="C53" s="53"/>
      <c r="D53" s="53"/>
      <c r="E53" s="53"/>
      <c r="F53" s="53"/>
      <c r="G53" s="53"/>
      <c r="H53" s="53"/>
      <c r="I53" s="53"/>
    </row>
    <row r="54" spans="1:9">
      <c r="A54" s="53"/>
      <c r="B54" s="53"/>
      <c r="C54" s="53"/>
      <c r="D54" s="53"/>
      <c r="E54" s="53"/>
      <c r="F54" s="53"/>
      <c r="G54" s="53"/>
      <c r="H54" s="53"/>
      <c r="I54" s="53"/>
    </row>
    <row r="55" spans="1:9">
      <c r="A55" s="53"/>
      <c r="B55" s="53"/>
      <c r="C55" s="53"/>
      <c r="D55" s="53"/>
      <c r="E55" s="53"/>
      <c r="F55" s="53"/>
      <c r="G55" s="53"/>
      <c r="H55" s="53"/>
      <c r="I55" s="53"/>
    </row>
    <row r="56" spans="1:9">
      <c r="A56" s="53"/>
      <c r="B56" s="53"/>
      <c r="C56" s="53"/>
      <c r="D56" s="53"/>
      <c r="E56" s="53"/>
      <c r="F56" s="53"/>
      <c r="G56" s="53"/>
      <c r="H56" s="53"/>
      <c r="I56" s="53"/>
    </row>
    <row r="57" spans="1:9">
      <c r="A57" s="53"/>
      <c r="B57" s="53"/>
      <c r="C57" s="53"/>
      <c r="D57" s="53"/>
      <c r="E57" s="53"/>
      <c r="F57" s="53"/>
      <c r="G57" s="53"/>
      <c r="H57" s="53"/>
      <c r="I57" s="53"/>
    </row>
    <row r="58" spans="1:9">
      <c r="A58" s="53"/>
      <c r="B58" s="53"/>
      <c r="C58" s="53"/>
      <c r="D58" s="53"/>
      <c r="E58" s="53"/>
      <c r="F58" s="53"/>
      <c r="G58" s="53"/>
      <c r="H58" s="53"/>
      <c r="I58" s="53"/>
    </row>
    <row r="59" spans="1:9">
      <c r="A59" s="77"/>
      <c r="B59" s="77"/>
      <c r="C59" s="77"/>
      <c r="D59" s="77"/>
      <c r="E59" s="77"/>
      <c r="F59" s="77"/>
      <c r="G59" s="77"/>
      <c r="H59" s="77"/>
      <c r="I59" s="77"/>
    </row>
    <row r="60" spans="1:9">
      <c r="A60" s="77"/>
      <c r="B60" s="77"/>
      <c r="C60" s="77"/>
      <c r="D60" s="77"/>
      <c r="E60" s="77"/>
      <c r="F60" s="77"/>
      <c r="G60" s="77"/>
      <c r="H60" s="77"/>
      <c r="I60" s="77"/>
    </row>
    <row r="61" spans="1:9">
      <c r="A61" s="77"/>
      <c r="B61" s="77"/>
      <c r="C61" s="77"/>
      <c r="D61" s="77"/>
      <c r="E61" s="77"/>
      <c r="F61" s="77"/>
      <c r="G61" s="77"/>
      <c r="H61" s="77"/>
      <c r="I61" s="77"/>
    </row>
    <row r="62" spans="1:9">
      <c r="A62" s="72"/>
      <c r="B62" s="72"/>
      <c r="C62" s="72"/>
      <c r="D62" s="72"/>
      <c r="E62" s="72"/>
      <c r="F62" s="72"/>
      <c r="G62" s="72"/>
      <c r="H62" s="53"/>
      <c r="I62" s="72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2"/>
      <c r="B69" s="72"/>
      <c r="C69" s="72"/>
      <c r="D69" s="72"/>
      <c r="E69" s="72"/>
      <c r="F69" s="72"/>
      <c r="G69" s="72"/>
      <c r="H69" s="72"/>
      <c r="I69" s="72"/>
    </row>
    <row r="70" spans="1:9">
      <c r="A70" s="72"/>
      <c r="B70" s="72"/>
      <c r="C70" s="72"/>
      <c r="D70" s="72"/>
      <c r="E70" s="72"/>
      <c r="F70" s="72"/>
      <c r="G70" s="72"/>
      <c r="H70" s="72"/>
      <c r="I70" s="72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0"/>
      <c r="B72" s="71"/>
      <c r="C72" s="71"/>
      <c r="D72" s="71"/>
      <c r="E72" s="71"/>
      <c r="F72" s="71"/>
      <c r="G72" s="71"/>
      <c r="H72" s="71"/>
      <c r="I72" s="71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3"/>
      <c r="B77" s="73"/>
      <c r="C77" s="73"/>
      <c r="D77" s="73"/>
      <c r="E77" s="73"/>
      <c r="F77" s="73"/>
      <c r="G77" s="73"/>
      <c r="H77" s="73"/>
      <c r="I77" s="73"/>
    </row>
    <row r="78" spans="1:9">
      <c r="A78" s="74"/>
      <c r="B78" s="75"/>
      <c r="C78" s="75"/>
      <c r="D78" s="75"/>
      <c r="E78" s="75"/>
      <c r="F78" s="75"/>
      <c r="G78" s="75"/>
      <c r="H78" s="75"/>
      <c r="I78" s="75"/>
    </row>
    <row r="79" spans="1:9">
      <c r="A79" s="76"/>
      <c r="B79" s="75"/>
      <c r="C79" s="75"/>
      <c r="D79" s="75"/>
      <c r="E79" s="75"/>
      <c r="F79" s="75"/>
      <c r="G79" s="75"/>
      <c r="H79" s="75"/>
      <c r="I79" s="75"/>
    </row>
    <row r="80" spans="1:9">
      <c r="A80" s="76"/>
      <c r="B80" s="76"/>
      <c r="C80" s="76"/>
      <c r="D80" s="76"/>
      <c r="E80" s="76"/>
      <c r="F80" s="76"/>
      <c r="G80" s="76"/>
      <c r="H80" s="76"/>
      <c r="I80" s="76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1"/>
      <c r="B82" s="71"/>
      <c r="C82" s="71"/>
      <c r="D82" s="71"/>
      <c r="E82" s="71"/>
      <c r="F82" s="71"/>
      <c r="G82" s="71"/>
      <c r="H82" s="71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1"/>
      <c r="B88" s="71"/>
      <c r="C88" s="71"/>
      <c r="D88" s="71"/>
      <c r="E88" s="71"/>
      <c r="F88" s="71"/>
      <c r="G88" s="71"/>
      <c r="H88" s="71"/>
      <c r="I88" s="71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2"/>
      <c r="B93" s="72"/>
      <c r="C93" s="72"/>
      <c r="D93" s="72"/>
      <c r="E93" s="72"/>
      <c r="F93" s="72"/>
      <c r="G93" s="72"/>
      <c r="H93" s="72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2"/>
      <c r="B96" s="72"/>
      <c r="C96" s="72"/>
      <c r="D96" s="72"/>
      <c r="E96" s="72"/>
      <c r="F96" s="72"/>
      <c r="G96" s="72"/>
      <c r="H96" s="72"/>
      <c r="I96" s="72"/>
    </row>
    <row r="97" spans="1:9">
      <c r="A97" s="72"/>
      <c r="B97" s="72"/>
      <c r="C97" s="72"/>
      <c r="D97" s="72"/>
      <c r="E97" s="72"/>
      <c r="F97" s="72"/>
      <c r="G97" s="72"/>
      <c r="H97" s="72"/>
      <c r="I97" s="72"/>
    </row>
    <row r="98" spans="1:9">
      <c r="A98" s="72"/>
      <c r="B98" s="72"/>
      <c r="C98" s="72"/>
      <c r="D98" s="72"/>
      <c r="E98" s="72"/>
      <c r="F98" s="72"/>
      <c r="G98" s="72"/>
      <c r="H98" s="72"/>
      <c r="I98" s="72"/>
    </row>
    <row r="99" spans="1:9">
      <c r="A99" s="72"/>
      <c r="B99" s="72"/>
      <c r="C99" s="72"/>
      <c r="D99" s="72"/>
      <c r="E99" s="72"/>
      <c r="F99" s="72"/>
      <c r="G99" s="72"/>
      <c r="H99" s="72"/>
      <c r="I99" s="72"/>
    </row>
    <row r="100" spans="1:9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>
      <c r="A105" s="53"/>
      <c r="B105" s="53"/>
      <c r="C105" s="53"/>
      <c r="D105" s="53"/>
      <c r="E105" s="53"/>
      <c r="F105" s="53"/>
      <c r="G105" s="53"/>
      <c r="H105" s="53"/>
      <c r="I105" s="53"/>
    </row>
    <row r="106" spans="1:9">
      <c r="A106" s="53"/>
      <c r="B106" s="53"/>
      <c r="C106" s="53"/>
      <c r="D106" s="53"/>
      <c r="E106" s="53"/>
      <c r="F106" s="53"/>
      <c r="G106" s="53"/>
      <c r="H106" s="53"/>
      <c r="I106" s="53"/>
    </row>
    <row r="107" spans="1:9">
      <c r="A107" s="53"/>
      <c r="B107" s="53"/>
      <c r="C107" s="53"/>
      <c r="D107" s="53"/>
      <c r="E107" s="53"/>
      <c r="F107" s="53"/>
      <c r="G107" s="53"/>
      <c r="H107" s="53"/>
      <c r="I107" s="53"/>
    </row>
    <row r="108" spans="1:9">
      <c r="A108" s="77"/>
      <c r="B108" s="77"/>
      <c r="C108" s="77"/>
      <c r="D108" s="77"/>
      <c r="E108" s="77"/>
      <c r="F108" s="77"/>
      <c r="G108" s="77"/>
      <c r="H108" s="77"/>
      <c r="I108" s="77"/>
    </row>
    <row r="109" spans="1:9">
      <c r="A109" s="77"/>
      <c r="B109" s="77"/>
      <c r="C109" s="77"/>
      <c r="D109" s="77"/>
      <c r="E109" s="77"/>
      <c r="F109" s="77"/>
      <c r="G109" s="77"/>
      <c r="H109" s="77"/>
      <c r="I109" s="77"/>
    </row>
    <row r="110" spans="1:9">
      <c r="A110" s="77"/>
      <c r="B110" s="77"/>
      <c r="C110" s="77"/>
      <c r="D110" s="77"/>
      <c r="E110" s="77"/>
      <c r="F110" s="77"/>
      <c r="G110" s="77"/>
      <c r="H110" s="77"/>
      <c r="I110" s="77"/>
    </row>
    <row r="111" spans="1:9">
      <c r="A111" s="72"/>
      <c r="B111" s="72"/>
      <c r="C111" s="72"/>
      <c r="D111" s="72"/>
      <c r="E111" s="72"/>
      <c r="F111" s="72"/>
      <c r="G111" s="72"/>
      <c r="H111" s="53"/>
      <c r="I111" s="72"/>
    </row>
    <row r="112" spans="1:9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2"/>
      <c r="B117" s="72"/>
      <c r="C117" s="72"/>
      <c r="D117" s="72"/>
      <c r="E117" s="72"/>
      <c r="F117" s="72"/>
      <c r="G117" s="72"/>
      <c r="H117" s="72"/>
      <c r="I117" s="72"/>
    </row>
    <row r="118" spans="1:9">
      <c r="A118" s="72"/>
      <c r="B118" s="72"/>
      <c r="C118" s="72"/>
      <c r="D118" s="72"/>
      <c r="E118" s="72"/>
      <c r="F118" s="72"/>
      <c r="G118" s="72"/>
      <c r="H118" s="72"/>
      <c r="I118" s="72"/>
    </row>
    <row r="119" spans="1:9">
      <c r="A119" s="72"/>
      <c r="B119" s="72"/>
      <c r="C119" s="72"/>
      <c r="D119" s="72"/>
      <c r="E119" s="72"/>
      <c r="F119" s="72"/>
      <c r="G119" s="72"/>
      <c r="H119" s="72"/>
      <c r="I119" s="72"/>
    </row>
    <row r="120" spans="1:9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>
      <c r="A121" s="70"/>
      <c r="B121" s="71"/>
      <c r="C121" s="71"/>
      <c r="D121" s="71"/>
      <c r="E121" s="71"/>
      <c r="F121" s="71"/>
      <c r="G121" s="71"/>
      <c r="H121" s="71"/>
      <c r="I121" s="71"/>
    </row>
    <row r="122" spans="1:9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3"/>
      <c r="B126" s="73"/>
      <c r="C126" s="73"/>
      <c r="D126" s="73"/>
      <c r="E126" s="73"/>
      <c r="F126" s="73"/>
      <c r="G126" s="73"/>
      <c r="H126" s="73"/>
      <c r="I126" s="73"/>
    </row>
    <row r="127" spans="1:9">
      <c r="A127" s="74"/>
      <c r="B127" s="75"/>
      <c r="C127" s="75"/>
      <c r="D127" s="75"/>
      <c r="E127" s="75"/>
      <c r="F127" s="75"/>
      <c r="G127" s="75"/>
      <c r="H127" s="75"/>
      <c r="I127" s="75"/>
    </row>
    <row r="128" spans="1:9">
      <c r="A128" s="76"/>
      <c r="B128" s="75"/>
      <c r="C128" s="75"/>
      <c r="D128" s="75"/>
      <c r="E128" s="75"/>
      <c r="F128" s="75"/>
      <c r="G128" s="75"/>
      <c r="H128" s="75"/>
      <c r="I128" s="75"/>
    </row>
    <row r="129" spans="1:9">
      <c r="A129" s="76"/>
      <c r="B129" s="76"/>
      <c r="C129" s="76"/>
      <c r="D129" s="76"/>
      <c r="E129" s="76"/>
      <c r="F129" s="76"/>
      <c r="G129" s="76"/>
      <c r="H129" s="76"/>
      <c r="I129" s="76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1"/>
      <c r="B131" s="71"/>
      <c r="C131" s="71"/>
      <c r="D131" s="71"/>
      <c r="E131" s="71"/>
      <c r="F131" s="71"/>
      <c r="G131" s="71"/>
      <c r="H131" s="71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72"/>
      <c r="B136" s="72"/>
      <c r="C136" s="72"/>
      <c r="D136" s="72"/>
      <c r="E136" s="72"/>
      <c r="F136" s="72"/>
      <c r="G136" s="72"/>
      <c r="H136" s="72"/>
      <c r="I136" s="72"/>
    </row>
    <row r="137" spans="1:9">
      <c r="A137" s="71"/>
      <c r="B137" s="71"/>
      <c r="C137" s="71"/>
      <c r="D137" s="71"/>
      <c r="E137" s="71"/>
      <c r="F137" s="71"/>
      <c r="G137" s="71"/>
      <c r="H137" s="71"/>
      <c r="I137" s="71"/>
    </row>
    <row r="138" spans="1:9">
      <c r="A138" s="72"/>
      <c r="B138" s="72"/>
      <c r="C138" s="72"/>
      <c r="D138" s="72"/>
      <c r="E138" s="72"/>
      <c r="F138" s="72"/>
      <c r="G138" s="72"/>
      <c r="H138" s="72"/>
      <c r="I138" s="72"/>
    </row>
    <row r="139" spans="1:9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>
      <c r="A145" s="53"/>
      <c r="B145" s="53"/>
      <c r="C145" s="53"/>
      <c r="D145" s="53"/>
      <c r="E145" s="53"/>
      <c r="F145" s="53"/>
      <c r="G145" s="53"/>
      <c r="H145" s="53"/>
      <c r="I145" s="53"/>
    </row>
    <row r="146" spans="1:9">
      <c r="A146" s="53"/>
      <c r="B146" s="53"/>
      <c r="C146" s="53"/>
      <c r="D146" s="53"/>
      <c r="E146" s="53"/>
      <c r="F146" s="53"/>
      <c r="G146" s="53"/>
      <c r="H146" s="53"/>
      <c r="I146" s="53"/>
    </row>
    <row r="147" spans="1:9">
      <c r="A147" s="53"/>
      <c r="B147" s="53"/>
      <c r="C147" s="53"/>
      <c r="D147" s="53"/>
      <c r="E147" s="53"/>
      <c r="F147" s="53"/>
      <c r="G147" s="53"/>
      <c r="H147" s="53"/>
      <c r="I147" s="53"/>
    </row>
    <row r="148" spans="1:9">
      <c r="A148" s="77"/>
      <c r="B148" s="77"/>
      <c r="C148" s="77"/>
      <c r="D148" s="77"/>
      <c r="E148" s="77"/>
      <c r="F148" s="77"/>
      <c r="G148" s="77"/>
      <c r="H148" s="77"/>
      <c r="I148" s="77"/>
    </row>
    <row r="149" spans="1:9">
      <c r="A149" s="77"/>
      <c r="B149" s="77"/>
      <c r="C149" s="77"/>
      <c r="D149" s="77"/>
      <c r="E149" s="77"/>
      <c r="F149" s="77"/>
      <c r="G149" s="77"/>
      <c r="H149" s="77"/>
      <c r="I149" s="77"/>
    </row>
    <row r="150" spans="1:9">
      <c r="A150" s="77"/>
      <c r="B150" s="77"/>
      <c r="C150" s="77"/>
      <c r="D150" s="77"/>
      <c r="E150" s="77"/>
      <c r="F150" s="77"/>
      <c r="G150" s="77"/>
      <c r="H150" s="77"/>
      <c r="I150" s="77"/>
    </row>
    <row r="151" spans="1:9">
      <c r="A151" s="72"/>
      <c r="B151" s="72"/>
      <c r="C151" s="72"/>
      <c r="D151" s="72"/>
      <c r="E151" s="72"/>
      <c r="F151" s="72"/>
      <c r="G151" s="72"/>
      <c r="H151" s="53"/>
      <c r="I151" s="72"/>
    </row>
    <row r="152" spans="1:9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>
      <c r="A158" s="72"/>
      <c r="B158" s="72"/>
      <c r="C158" s="72"/>
      <c r="D158" s="72"/>
      <c r="E158" s="72"/>
      <c r="F158" s="72"/>
      <c r="G158" s="72"/>
      <c r="H158" s="72"/>
      <c r="I158" s="72"/>
    </row>
    <row r="159" spans="1:9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>
      <c r="A161" s="70"/>
      <c r="B161" s="71"/>
      <c r="C161" s="71"/>
      <c r="D161" s="71"/>
      <c r="E161" s="71"/>
      <c r="F161" s="71"/>
      <c r="G161" s="71"/>
      <c r="H161" s="71"/>
      <c r="I161" s="71"/>
    </row>
    <row r="162" spans="1:9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3"/>
      <c r="B166" s="73"/>
      <c r="C166" s="73"/>
      <c r="D166" s="73"/>
      <c r="E166" s="73"/>
      <c r="F166" s="73"/>
      <c r="G166" s="73"/>
      <c r="H166" s="73"/>
      <c r="I166" s="73"/>
    </row>
    <row r="167" spans="1:9">
      <c r="A167" s="74"/>
      <c r="B167" s="75"/>
      <c r="C167" s="75"/>
      <c r="D167" s="75"/>
      <c r="E167" s="75"/>
      <c r="F167" s="75"/>
      <c r="G167" s="75"/>
      <c r="H167" s="75"/>
      <c r="I167" s="75"/>
    </row>
    <row r="168" spans="1:9">
      <c r="A168" s="76"/>
      <c r="B168" s="75"/>
      <c r="C168" s="75"/>
      <c r="D168" s="75"/>
      <c r="E168" s="75"/>
      <c r="F168" s="75"/>
      <c r="G168" s="75"/>
      <c r="H168" s="75"/>
      <c r="I168" s="75"/>
    </row>
    <row r="169" spans="1:9">
      <c r="A169" s="76"/>
      <c r="B169" s="76"/>
      <c r="C169" s="76"/>
      <c r="D169" s="76"/>
      <c r="E169" s="76"/>
      <c r="F169" s="76"/>
      <c r="G169" s="76"/>
      <c r="H169" s="76"/>
      <c r="I169" s="76"/>
    </row>
    <row r="170" spans="1:9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>
      <c r="A171" s="71"/>
      <c r="B171" s="71"/>
      <c r="C171" s="71"/>
      <c r="D171" s="71"/>
      <c r="E171" s="71"/>
      <c r="F171" s="71"/>
      <c r="G171" s="71"/>
      <c r="H171" s="71"/>
      <c r="I171" s="72"/>
    </row>
    <row r="172" spans="1:9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72"/>
      <c r="B176" s="72"/>
      <c r="C176" s="72"/>
      <c r="D176" s="72"/>
      <c r="E176" s="72"/>
      <c r="F176" s="72"/>
      <c r="G176" s="72"/>
      <c r="H176" s="72"/>
      <c r="I176" s="72"/>
    </row>
    <row r="177" spans="1:9">
      <c r="A177" s="71"/>
      <c r="B177" s="71"/>
      <c r="C177" s="71"/>
      <c r="D177" s="71"/>
      <c r="E177" s="71"/>
      <c r="F177" s="71"/>
      <c r="G177" s="71"/>
      <c r="H177" s="71"/>
      <c r="I177" s="71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53"/>
      <c r="B179" s="53"/>
      <c r="C179" s="53"/>
      <c r="D179" s="53"/>
      <c r="E179" s="53"/>
      <c r="F179" s="53"/>
      <c r="G179" s="53"/>
      <c r="H179" s="53"/>
      <c r="I179" s="53"/>
    </row>
    <row r="180" spans="1:9">
      <c r="A180" s="53"/>
      <c r="B180" s="53"/>
      <c r="C180" s="53"/>
      <c r="D180" s="53"/>
      <c r="E180" s="53"/>
      <c r="F180" s="53"/>
      <c r="G180" s="53"/>
      <c r="H180" s="53"/>
      <c r="I180" s="53"/>
    </row>
    <row r="181" spans="1:9">
      <c r="A181" s="53"/>
      <c r="B181" s="53"/>
      <c r="C181" s="53"/>
      <c r="D181" s="53"/>
      <c r="E181" s="53"/>
      <c r="F181" s="53"/>
      <c r="G181" s="53"/>
      <c r="H181" s="53"/>
      <c r="I181" s="53"/>
    </row>
    <row r="182" spans="1:9">
      <c r="A182" s="77"/>
      <c r="B182" s="77"/>
      <c r="C182" s="77"/>
      <c r="D182" s="77"/>
      <c r="E182" s="77"/>
      <c r="F182" s="77"/>
      <c r="G182" s="77"/>
      <c r="H182" s="77"/>
      <c r="I182" s="77"/>
    </row>
    <row r="183" spans="1:9">
      <c r="A183" s="77"/>
      <c r="B183" s="77"/>
      <c r="C183" s="77"/>
      <c r="D183" s="77"/>
      <c r="E183" s="77"/>
      <c r="F183" s="77"/>
      <c r="G183" s="77"/>
      <c r="H183" s="77"/>
      <c r="I183" s="77"/>
    </row>
    <row r="184" spans="1:9">
      <c r="A184" s="77"/>
      <c r="B184" s="77"/>
      <c r="C184" s="77"/>
      <c r="D184" s="77"/>
      <c r="E184" s="77"/>
      <c r="F184" s="77"/>
      <c r="G184" s="77"/>
      <c r="H184" s="77"/>
      <c r="I184" s="77"/>
    </row>
    <row r="185" spans="1:9">
      <c r="A185" s="72"/>
      <c r="B185" s="72"/>
      <c r="C185" s="72"/>
      <c r="D185" s="72"/>
      <c r="E185" s="72"/>
      <c r="F185" s="72"/>
      <c r="G185" s="72"/>
      <c r="H185" s="53"/>
      <c r="I185" s="72"/>
    </row>
    <row r="186" spans="1:9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2"/>
      <c r="B191" s="72"/>
      <c r="C191" s="72"/>
      <c r="D191" s="72"/>
      <c r="E191" s="72"/>
      <c r="F191" s="72"/>
      <c r="G191" s="72"/>
      <c r="H191" s="72"/>
      <c r="I191" s="72"/>
    </row>
    <row r="192" spans="1:9">
      <c r="A192" s="72"/>
      <c r="B192" s="72"/>
      <c r="C192" s="72"/>
      <c r="D192" s="72"/>
      <c r="E192" s="72"/>
      <c r="F192" s="72"/>
      <c r="G192" s="72"/>
      <c r="H192" s="72"/>
      <c r="I192" s="72"/>
    </row>
    <row r="193" spans="1:9">
      <c r="A193" s="72"/>
      <c r="B193" s="72"/>
      <c r="C193" s="72"/>
      <c r="D193" s="72"/>
      <c r="E193" s="72"/>
      <c r="F193" s="72"/>
      <c r="G193" s="72"/>
      <c r="H193" s="72"/>
      <c r="I193" s="72"/>
    </row>
    <row r="194" spans="1:9">
      <c r="A194" s="72"/>
      <c r="B194" s="72"/>
      <c r="C194" s="72"/>
      <c r="D194" s="72"/>
      <c r="E194" s="72"/>
      <c r="F194" s="72"/>
      <c r="G194" s="72"/>
      <c r="H194" s="72"/>
      <c r="I194" s="72"/>
    </row>
    <row r="195" spans="1:9">
      <c r="A195" s="70"/>
      <c r="B195" s="71"/>
      <c r="C195" s="71"/>
      <c r="D195" s="71"/>
      <c r="E195" s="71"/>
      <c r="F195" s="71"/>
      <c r="G195" s="71"/>
      <c r="H195" s="71"/>
      <c r="I195" s="71"/>
    </row>
    <row r="196" spans="1:9">
      <c r="A196" s="72"/>
      <c r="B196" s="72"/>
      <c r="C196" s="72"/>
      <c r="D196" s="72"/>
      <c r="E196" s="72"/>
      <c r="F196" s="72"/>
      <c r="G196" s="72"/>
      <c r="H196" s="72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3"/>
      <c r="B200" s="73"/>
      <c r="C200" s="73"/>
      <c r="D200" s="73"/>
      <c r="E200" s="73"/>
      <c r="F200" s="73"/>
      <c r="G200" s="73"/>
      <c r="H200" s="73"/>
      <c r="I200" s="73"/>
    </row>
    <row r="201" spans="1:9">
      <c r="A201" s="74"/>
      <c r="B201" s="75"/>
      <c r="C201" s="75"/>
      <c r="D201" s="75"/>
      <c r="E201" s="75"/>
      <c r="F201" s="75"/>
      <c r="G201" s="75"/>
      <c r="H201" s="75"/>
      <c r="I201" s="75"/>
    </row>
    <row r="202" spans="1:9">
      <c r="A202" s="76"/>
      <c r="B202" s="75"/>
      <c r="C202" s="75"/>
      <c r="D202" s="75"/>
      <c r="E202" s="75"/>
      <c r="F202" s="75"/>
      <c r="G202" s="75"/>
      <c r="H202" s="75"/>
      <c r="I202" s="75"/>
    </row>
    <row r="203" spans="1:9">
      <c r="A203" s="76"/>
      <c r="B203" s="76"/>
      <c r="C203" s="76"/>
      <c r="D203" s="76"/>
      <c r="E203" s="76"/>
      <c r="F203" s="76"/>
      <c r="G203" s="76"/>
      <c r="H203" s="76"/>
      <c r="I203" s="76"/>
    </row>
    <row r="204" spans="1:9">
      <c r="A204" s="72"/>
      <c r="B204" s="72"/>
      <c r="C204" s="72"/>
      <c r="D204" s="72"/>
      <c r="E204" s="72"/>
      <c r="F204" s="72"/>
      <c r="G204" s="72"/>
      <c r="H204" s="72"/>
      <c r="I204" s="72"/>
    </row>
    <row r="205" spans="1:9" ht="21" customHeight="1">
      <c r="A205" s="71"/>
      <c r="B205" s="71"/>
      <c r="C205" s="71"/>
      <c r="D205" s="71"/>
      <c r="E205" s="71"/>
      <c r="F205" s="71"/>
      <c r="G205" s="71"/>
      <c r="H205" s="71"/>
      <c r="I205" s="72"/>
    </row>
    <row r="206" spans="1:9">
      <c r="A206" s="72"/>
      <c r="B206" s="72"/>
      <c r="C206" s="72"/>
      <c r="D206" s="72"/>
      <c r="E206" s="72"/>
      <c r="F206" s="72"/>
      <c r="G206" s="72"/>
      <c r="H206" s="72"/>
      <c r="I206" s="72"/>
    </row>
    <row r="207" spans="1:9">
      <c r="A207" s="72"/>
      <c r="B207" s="72"/>
      <c r="C207" s="72"/>
      <c r="D207" s="72"/>
      <c r="E207" s="72"/>
      <c r="F207" s="72"/>
      <c r="G207" s="72"/>
      <c r="H207" s="72"/>
      <c r="I207" s="72"/>
    </row>
    <row r="208" spans="1:9">
      <c r="A208" s="72"/>
      <c r="B208" s="72"/>
      <c r="C208" s="72"/>
      <c r="D208" s="72"/>
      <c r="E208" s="72"/>
      <c r="F208" s="72"/>
      <c r="G208" s="72"/>
      <c r="H208" s="72"/>
      <c r="I208" s="72"/>
    </row>
    <row r="209" spans="1:9">
      <c r="A209" s="72"/>
      <c r="B209" s="72"/>
      <c r="C209" s="72"/>
      <c r="D209" s="72"/>
      <c r="E209" s="72"/>
      <c r="F209" s="72"/>
      <c r="G209" s="72"/>
      <c r="H209" s="72"/>
      <c r="I209" s="72"/>
    </row>
    <row r="210" spans="1:9">
      <c r="A210" s="72"/>
      <c r="B210" s="72"/>
      <c r="C210" s="72"/>
      <c r="D210" s="72"/>
      <c r="E210" s="72"/>
      <c r="F210" s="72"/>
      <c r="G210" s="72"/>
      <c r="H210" s="72"/>
      <c r="I210" s="72"/>
    </row>
    <row r="211" spans="1:9">
      <c r="A211" s="71"/>
      <c r="B211" s="71"/>
      <c r="C211" s="71"/>
      <c r="D211" s="71"/>
      <c r="E211" s="71"/>
      <c r="F211" s="71"/>
      <c r="G211" s="71"/>
      <c r="H211" s="71"/>
      <c r="I211" s="71"/>
    </row>
    <row r="212" spans="1:9">
      <c r="A212" s="72"/>
      <c r="B212" s="72"/>
      <c r="C212" s="72"/>
      <c r="D212" s="72"/>
      <c r="E212" s="72"/>
      <c r="F212" s="72"/>
      <c r="G212" s="72"/>
      <c r="H212" s="72"/>
      <c r="I212" s="72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76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  <row r="243" spans="1:9">
      <c r="A243" s="53"/>
      <c r="B243" s="53"/>
      <c r="C243" s="53"/>
      <c r="D243" s="53"/>
      <c r="E243" s="53"/>
      <c r="F243" s="53"/>
      <c r="G243" s="53"/>
      <c r="H243" s="53"/>
      <c r="I243" s="53"/>
    </row>
    <row r="244" spans="1:9">
      <c r="A244" s="53"/>
      <c r="B244" s="53"/>
      <c r="C244" s="53"/>
      <c r="D244" s="53"/>
      <c r="E244" s="53"/>
      <c r="F244" s="53"/>
      <c r="G244" s="53"/>
      <c r="H244" s="53"/>
      <c r="I244" s="53"/>
    </row>
    <row r="245" spans="1:9">
      <c r="A245" s="53"/>
      <c r="B245" s="53"/>
      <c r="C245" s="53"/>
      <c r="D245" s="53"/>
      <c r="E245" s="53"/>
      <c r="F245" s="53"/>
      <c r="G245" s="53"/>
      <c r="H245" s="53"/>
      <c r="I245" s="53"/>
    </row>
    <row r="246" spans="1:9">
      <c r="A246" s="53"/>
      <c r="B246" s="53"/>
      <c r="C246" s="53"/>
      <c r="D246" s="53"/>
      <c r="E246" s="53"/>
      <c r="F246" s="53"/>
      <c r="G246" s="53"/>
      <c r="H246" s="53"/>
      <c r="I246" s="53"/>
    </row>
    <row r="247" spans="1:9">
      <c r="A247" s="53"/>
      <c r="B247" s="53"/>
      <c r="C247" s="53"/>
      <c r="D247" s="53"/>
      <c r="E247" s="53"/>
      <c r="F247" s="53"/>
      <c r="G247" s="53"/>
      <c r="H247" s="53"/>
      <c r="I247" s="53"/>
    </row>
    <row r="248" spans="1:9">
      <c r="A248" s="53"/>
      <c r="B248" s="53"/>
      <c r="C248" s="53"/>
      <c r="D248" s="53"/>
      <c r="E248" s="53"/>
      <c r="F248" s="53"/>
      <c r="G248" s="53"/>
      <c r="H248" s="53"/>
      <c r="I248" s="53"/>
    </row>
    <row r="249" spans="1:9">
      <c r="A249" s="53"/>
      <c r="B249" s="53"/>
      <c r="C249" s="53"/>
      <c r="D249" s="53"/>
      <c r="E249" s="53"/>
      <c r="F249" s="53"/>
      <c r="G249" s="53"/>
      <c r="H249" s="53"/>
      <c r="I249" s="53"/>
    </row>
    <row r="250" spans="1:9">
      <c r="A250" s="53"/>
      <c r="B250" s="53"/>
      <c r="C250" s="53"/>
      <c r="D250" s="53"/>
      <c r="E250" s="53"/>
      <c r="F250" s="53"/>
      <c r="G250" s="53"/>
      <c r="H250" s="53"/>
      <c r="I250" s="53"/>
    </row>
    <row r="251" spans="1:9">
      <c r="A251" s="53"/>
      <c r="B251" s="53"/>
      <c r="C251" s="53"/>
      <c r="D251" s="53"/>
      <c r="E251" s="53"/>
      <c r="F251" s="53"/>
      <c r="G251" s="53"/>
      <c r="H251" s="53"/>
      <c r="I251" s="53"/>
    </row>
  </sheetData>
  <sortState ref="O25:O34">
    <sortCondition ref="O25"/>
  </sortState>
  <mergeCells count="6">
    <mergeCell ref="A48:F48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zoomScaleNormal="110" workbookViewId="0">
      <selection activeCell="K14" sqref="K14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80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32" t="s">
        <v>14</v>
      </c>
      <c r="C2" s="132"/>
      <c r="D2" s="132"/>
      <c r="E2" s="132"/>
      <c r="F2" s="132"/>
      <c r="G2" s="132"/>
      <c r="H2" s="132"/>
      <c r="I2" s="132"/>
      <c r="J2" s="132"/>
      <c r="K2" s="132"/>
    </row>
    <row r="3" spans="1:12" s="1" customFormat="1" ht="17.25">
      <c r="A3"/>
      <c r="B3" s="133"/>
      <c r="C3" s="133"/>
      <c r="D3" s="133"/>
      <c r="E3" s="133"/>
      <c r="F3" s="133"/>
      <c r="G3" s="133"/>
      <c r="H3" s="133"/>
      <c r="I3" s="133"/>
      <c r="J3" s="133"/>
      <c r="K3" s="133"/>
    </row>
    <row r="4" spans="1:12" s="1" customFormat="1" ht="15">
      <c r="A4"/>
      <c r="B4" s="33" t="s">
        <v>15</v>
      </c>
      <c r="C4" s="34" t="s">
        <v>16</v>
      </c>
      <c r="D4" s="52">
        <f ca="1">NOW()</f>
        <v>41716.632829745373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101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81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73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8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34" t="s">
        <v>26</v>
      </c>
      <c r="K10" s="134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79">
        <v>41658</v>
      </c>
      <c r="C12" s="78" t="s">
        <v>104</v>
      </c>
      <c r="D12" s="94">
        <v>31.74</v>
      </c>
      <c r="E12" s="95">
        <v>0.17505212639941761</v>
      </c>
      <c r="F12" s="96">
        <v>948910</v>
      </c>
      <c r="G12" s="80"/>
      <c r="H12" s="90">
        <v>130480</v>
      </c>
      <c r="I12" s="145" t="s">
        <v>63</v>
      </c>
      <c r="J12" s="87">
        <v>103989718.426</v>
      </c>
      <c r="K12" s="87">
        <v>16142769661.489805</v>
      </c>
      <c r="L12" s="97">
        <v>155.24380952380952</v>
      </c>
    </row>
    <row r="13" spans="1:12" s="1" customFormat="1" ht="19.5" customHeight="1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>
        <v>155.24761904761903</v>
      </c>
    </row>
    <row r="14" spans="1:12" s="1" customFormat="1" ht="19.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>
        <v>155.25913043478269</v>
      </c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>
        <v>155.25600000000003</v>
      </c>
    </row>
    <row r="16" spans="1:12" s="1" customFormat="1" ht="20.25" customHeight="1">
      <c r="A16" s="21"/>
      <c r="B16" s="79"/>
      <c r="C16" s="78"/>
      <c r="D16" s="94"/>
      <c r="E16" s="95"/>
      <c r="F16" s="96"/>
      <c r="G16" s="23"/>
      <c r="H16" s="32"/>
      <c r="I16" s="78"/>
      <c r="J16" s="123"/>
      <c r="K16" s="87"/>
      <c r="L16" s="97">
        <v>155.21149999999994</v>
      </c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103989718.426</v>
      </c>
      <c r="K21" s="85">
        <f>SUM(K12:K20)</f>
        <v>16142769661.489805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zoomScaleNormal="110" workbookViewId="0">
      <selection activeCell="G40" sqref="G40"/>
    </sheetView>
  </sheetViews>
  <sheetFormatPr defaultRowHeight="11.25"/>
  <cols>
    <col min="1" max="1" width="7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36" t="s">
        <v>82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5" ht="21.75" customHeight="1">
      <c r="A2" s="137" t="s">
        <v>102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38" t="s">
        <v>38</v>
      </c>
      <c r="D4" s="60" t="s">
        <v>39</v>
      </c>
      <c r="E4" s="138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40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39"/>
      <c r="D5" s="65" t="s">
        <v>46</v>
      </c>
      <c r="E5" s="139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41"/>
      <c r="N5" s="54"/>
      <c r="O5" s="32"/>
    </row>
    <row r="6" spans="1:15" ht="21.75" customHeight="1">
      <c r="A6" s="78" t="s">
        <v>114</v>
      </c>
      <c r="B6" s="78" t="s">
        <v>73</v>
      </c>
      <c r="C6" s="78" t="s">
        <v>104</v>
      </c>
      <c r="D6" s="147">
        <v>41656</v>
      </c>
      <c r="E6" s="78" t="s">
        <v>115</v>
      </c>
      <c r="F6" s="78" t="s">
        <v>61</v>
      </c>
      <c r="G6" s="91">
        <v>130744</v>
      </c>
      <c r="H6" s="96">
        <v>948910</v>
      </c>
      <c r="I6" s="80"/>
      <c r="J6" s="90">
        <v>130480</v>
      </c>
      <c r="K6" s="94">
        <v>31.74</v>
      </c>
      <c r="L6" s="79">
        <v>41658</v>
      </c>
      <c r="M6" s="145" t="s">
        <v>63</v>
      </c>
      <c r="N6" s="54"/>
      <c r="O6" s="32"/>
    </row>
    <row r="7" spans="1:15" ht="21.75" customHeight="1">
      <c r="A7" s="78"/>
      <c r="B7" s="78"/>
      <c r="C7" s="78"/>
      <c r="D7" s="78"/>
      <c r="E7" s="78"/>
      <c r="F7" s="78"/>
      <c r="G7" s="92"/>
      <c r="H7" s="96"/>
      <c r="I7" s="80"/>
      <c r="J7" s="90"/>
      <c r="K7" s="94"/>
      <c r="L7" s="79"/>
      <c r="M7" s="78"/>
      <c r="N7" s="54"/>
      <c r="O7" s="32"/>
    </row>
    <row r="8" spans="1:15" ht="21.75" customHeight="1">
      <c r="A8" s="78"/>
      <c r="B8" s="78"/>
      <c r="C8" s="78"/>
      <c r="D8" s="78"/>
      <c r="E8" s="78"/>
      <c r="F8" s="78"/>
      <c r="G8" s="92"/>
      <c r="H8" s="96"/>
      <c r="I8" s="80"/>
      <c r="J8" s="90"/>
      <c r="K8" s="94"/>
      <c r="L8" s="79"/>
      <c r="M8" s="78"/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91"/>
      <c r="N9" s="54"/>
      <c r="O9" s="32"/>
    </row>
    <row r="10" spans="1:15" ht="19.5" customHeight="1">
      <c r="A10" s="78"/>
      <c r="B10" s="78"/>
      <c r="C10" s="78"/>
      <c r="D10" s="78"/>
      <c r="E10" s="78"/>
      <c r="F10" s="78"/>
      <c r="G10" s="96"/>
      <c r="H10" s="96"/>
      <c r="I10"/>
      <c r="L10" s="79"/>
      <c r="M10" s="78"/>
    </row>
    <row r="11" spans="1:15">
      <c r="A11" s="72"/>
      <c r="B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35" t="s">
        <v>86</v>
      </c>
      <c r="B20" s="135"/>
      <c r="C20" s="135"/>
      <c r="D20" s="135"/>
      <c r="E20" s="135"/>
      <c r="F20" s="135"/>
      <c r="G20" s="68">
        <f>SUM(G6:G19)</f>
        <v>130744</v>
      </c>
      <c r="H20" s="68">
        <f t="shared" ref="H20:J20" si="0">SUM(H6:H19)</f>
        <v>948910</v>
      </c>
      <c r="I20" s="68">
        <f t="shared" si="0"/>
        <v>0</v>
      </c>
      <c r="J20" s="68">
        <f t="shared" si="0"/>
        <v>130480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&amp;L____________________________
Prepared by: 'kevwe OFOVWE&amp;C______________________________
Reviewed by: Peter DIRISU&amp;R_______________________________
Approved by: 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zoomScaleNormal="110" workbookViewId="0"/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95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32" t="s">
        <v>14</v>
      </c>
      <c r="C2" s="132"/>
      <c r="D2" s="132"/>
      <c r="E2" s="132"/>
      <c r="F2" s="132"/>
      <c r="G2" s="132"/>
      <c r="H2" s="132"/>
      <c r="I2" s="132"/>
      <c r="J2" s="132"/>
      <c r="K2" s="132"/>
    </row>
    <row r="3" spans="1:12" s="1" customFormat="1" ht="17.25">
      <c r="A3"/>
      <c r="B3" s="133"/>
      <c r="C3" s="133"/>
      <c r="D3" s="133"/>
      <c r="E3" s="133"/>
      <c r="F3" s="133"/>
      <c r="G3" s="133"/>
      <c r="H3" s="133"/>
      <c r="I3" s="133"/>
      <c r="J3" s="133"/>
      <c r="K3" s="133"/>
    </row>
    <row r="4" spans="1:12" s="1" customFormat="1" ht="15">
      <c r="A4"/>
      <c r="B4" s="33" t="s">
        <v>15</v>
      </c>
      <c r="C4" s="34" t="s">
        <v>16</v>
      </c>
      <c r="D4" s="52">
        <f ca="1">NOW()</f>
        <v>41716.632829745373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101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96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73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12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34" t="s">
        <v>26</v>
      </c>
      <c r="K10" s="134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79"/>
      <c r="C12" s="78"/>
      <c r="D12" s="94"/>
      <c r="E12" s="95"/>
      <c r="F12" s="96"/>
      <c r="G12" s="80"/>
      <c r="H12" s="90"/>
      <c r="I12" s="91"/>
      <c r="J12" s="87"/>
      <c r="K12" s="87"/>
    </row>
    <row r="13" spans="1:12" s="1" customFormat="1" ht="19.5" customHeight="1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2" s="1" customFormat="1" ht="19.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>
      <c r="A16" s="21"/>
      <c r="B16" s="23"/>
      <c r="C16" s="23"/>
      <c r="D16" s="23"/>
      <c r="E16" s="23"/>
      <c r="F16" s="23"/>
      <c r="G16" s="23"/>
      <c r="H16"/>
      <c r="I16"/>
      <c r="J16"/>
      <c r="K16"/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zoomScaleNormal="110" workbookViewId="0">
      <selection activeCell="A3" sqref="A3"/>
    </sheetView>
  </sheetViews>
  <sheetFormatPr defaultRowHeight="11.25"/>
  <cols>
    <col min="1" max="1" width="8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36" t="s">
        <v>94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5" ht="21.75" customHeight="1">
      <c r="A2" s="137" t="s">
        <v>102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38" t="s">
        <v>38</v>
      </c>
      <c r="D4" s="60" t="s">
        <v>39</v>
      </c>
      <c r="E4" s="138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40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39"/>
      <c r="D5" s="65" t="s">
        <v>46</v>
      </c>
      <c r="E5" s="139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41"/>
      <c r="N5" s="54"/>
      <c r="O5" s="32"/>
    </row>
    <row r="6" spans="1:15" ht="21.75" customHeight="1">
      <c r="A6" s="78"/>
      <c r="B6" s="78"/>
      <c r="C6" s="78"/>
      <c r="D6" s="78"/>
      <c r="E6" s="78"/>
      <c r="F6" s="78"/>
      <c r="G6" s="93"/>
      <c r="H6" s="96"/>
      <c r="I6" s="80"/>
      <c r="J6" s="90"/>
      <c r="K6" s="94"/>
      <c r="L6" s="79"/>
      <c r="M6" s="91"/>
      <c r="N6" s="54"/>
      <c r="O6" s="32"/>
    </row>
    <row r="7" spans="1:15" ht="21.75" customHeight="1">
      <c r="A7" s="78"/>
      <c r="B7" s="78"/>
      <c r="C7" s="78"/>
      <c r="D7" s="78"/>
      <c r="E7" s="78"/>
      <c r="F7" s="78"/>
      <c r="G7" s="92"/>
      <c r="H7" s="96"/>
      <c r="I7" s="80"/>
      <c r="J7" s="90"/>
      <c r="K7" s="94"/>
      <c r="L7" s="79"/>
      <c r="M7" s="78"/>
      <c r="N7" s="54"/>
      <c r="O7" s="32"/>
    </row>
    <row r="8" spans="1:15" ht="21.75" customHeight="1">
      <c r="A8" s="78"/>
      <c r="B8" s="78"/>
      <c r="C8" s="78"/>
      <c r="D8" s="78"/>
      <c r="E8" s="78"/>
      <c r="F8" s="78"/>
      <c r="G8" s="92"/>
      <c r="H8" s="96"/>
      <c r="I8" s="80"/>
      <c r="J8" s="90"/>
      <c r="K8" s="94"/>
      <c r="L8" s="79"/>
      <c r="M8" s="78"/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78"/>
      <c r="N9" s="54"/>
      <c r="O9" s="32"/>
    </row>
    <row r="10" spans="1:15">
      <c r="A10" s="72"/>
      <c r="B10" s="72"/>
      <c r="C10" s="72"/>
      <c r="D10" s="72"/>
      <c r="E10" s="72"/>
      <c r="F10" s="72"/>
      <c r="G10" s="72"/>
      <c r="H10" s="72"/>
      <c r="I10" s="72"/>
    </row>
    <row r="11" spans="1:15">
      <c r="A11" s="72"/>
      <c r="B11" s="72"/>
      <c r="C11" s="72"/>
      <c r="D11" s="72"/>
      <c r="E11" s="72"/>
      <c r="F11" s="72"/>
      <c r="G11" s="72"/>
      <c r="H11" s="72"/>
      <c r="I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35" t="s">
        <v>86</v>
      </c>
      <c r="B20" s="135"/>
      <c r="C20" s="135"/>
      <c r="D20" s="135"/>
      <c r="E20" s="135"/>
      <c r="F20" s="135"/>
      <c r="G20" s="68">
        <f>SUM(G6:G19)</f>
        <v>0</v>
      </c>
      <c r="H20" s="68">
        <f t="shared" ref="H20:J20" si="0">SUM(H6:H19)</f>
        <v>0</v>
      </c>
      <c r="I20" s="68">
        <f t="shared" si="0"/>
        <v>0</v>
      </c>
      <c r="J20" s="68">
        <f t="shared" si="0"/>
        <v>0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&amp;L____________________________
Prepared by: 'kevwe OFOVWE&amp;C______________________________
Reviewed by: Peter DIRISU&amp;R_______________________________
Approved by: 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Template - Q1_Returns</vt:lpstr>
      <vt:lpstr>TEMPLATE - Proceeds Bonny</vt:lpstr>
      <vt:lpstr>TEMPLATE - Lifting Bonny</vt:lpstr>
      <vt:lpstr>TEMPLATE - Proceeds Forcados</vt:lpstr>
      <vt:lpstr>TEMPLATE - Lifting Forcados</vt:lpstr>
      <vt:lpstr>TEMPLATE - Proceeds EA</vt:lpstr>
      <vt:lpstr>TEMPLATE - Lifting EA</vt:lpstr>
      <vt:lpstr>TEMPLATE - Proceeds BRASS</vt:lpstr>
      <vt:lpstr>TEMPLATE - Lifting BRASS</vt:lpstr>
      <vt:lpstr>'Template - Q1_Returns'!Print_Area</vt:lpstr>
      <vt:lpstr>'Template - Q1_Returns'!Print_Titles</vt:lpstr>
    </vt:vector>
  </TitlesOfParts>
  <Company>Total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Kevwe.Ofovwe</cp:lastModifiedBy>
  <cp:lastPrinted>2014-03-18T14:12:55Z</cp:lastPrinted>
  <dcterms:created xsi:type="dcterms:W3CDTF">2010-03-05T08:19:24Z</dcterms:created>
  <dcterms:modified xsi:type="dcterms:W3CDTF">2014-03-18T14:16:27Z</dcterms:modified>
</cp:coreProperties>
</file>