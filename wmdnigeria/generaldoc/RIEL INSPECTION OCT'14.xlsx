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COMPREHENSIVE (OCT'14)" sheetId="2" r:id="rId1"/>
    <sheet name="COMPLIANT (OCT'14)" sheetId="1" r:id="rId2"/>
    <sheet name="NON-COMPLIANT (OCT'14)" sheetId="4" r:id="rId3"/>
  </sheets>
  <calcPr calcId="125725"/>
</workbook>
</file>

<file path=xl/calcChain.xml><?xml version="1.0" encoding="utf-8"?>
<calcChain xmlns="http://schemas.openxmlformats.org/spreadsheetml/2006/main">
  <c r="P16" i="4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Q16"/>
  <c r="T30" i="1"/>
  <c r="P25" i="2"/>
  <c r="T24"/>
  <c r="Q24"/>
  <c r="V24" s="1"/>
  <c r="X24" s="1"/>
  <c r="T23"/>
  <c r="Q23"/>
  <c r="V23" s="1"/>
  <c r="X23" s="1"/>
  <c r="Y23" s="1"/>
  <c r="T22"/>
  <c r="Q22"/>
  <c r="V22" s="1"/>
  <c r="X22" s="1"/>
  <c r="Y22" s="1"/>
  <c r="T21"/>
  <c r="Q21"/>
  <c r="V21" s="1"/>
  <c r="X21" s="1"/>
  <c r="Y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Y14" s="1"/>
  <c r="T13"/>
  <c r="Q13"/>
  <c r="V13" s="1"/>
  <c r="X13" s="1"/>
  <c r="T12"/>
  <c r="Q12"/>
  <c r="V12" s="1"/>
  <c r="X12" s="1"/>
  <c r="Y12" s="1"/>
  <c r="T11"/>
  <c r="Q11"/>
  <c r="V11" s="1"/>
  <c r="X11" s="1"/>
  <c r="Y11" s="1"/>
  <c r="T10"/>
  <c r="Q10"/>
  <c r="V10" s="1"/>
  <c r="X10" s="1"/>
  <c r="Y10" s="1"/>
  <c r="T9"/>
  <c r="Q9"/>
  <c r="V9" s="1"/>
  <c r="X9" s="1"/>
  <c r="Y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Y5" s="1"/>
  <c r="Y2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P48" i="1"/>
  <c r="T47"/>
  <c r="Q47"/>
  <c r="V47" s="1"/>
  <c r="X47" s="1"/>
  <c r="Y47" s="1"/>
  <c r="T46"/>
  <c r="Q46"/>
  <c r="V46" s="1"/>
  <c r="X46" s="1"/>
  <c r="Y46" s="1"/>
  <c r="T45"/>
  <c r="Q45"/>
  <c r="V45" s="1"/>
  <c r="X45" s="1"/>
  <c r="Y45" s="1"/>
  <c r="T44"/>
  <c r="Q44"/>
  <c r="V44" s="1"/>
  <c r="X44" s="1"/>
  <c r="Y44" s="1"/>
  <c r="T43"/>
  <c r="Q43"/>
  <c r="V43" s="1"/>
  <c r="X43" s="1"/>
  <c r="Y43" s="1"/>
  <c r="T42"/>
  <c r="Q42"/>
  <c r="V42" s="1"/>
  <c r="X42" s="1"/>
  <c r="Y42" s="1"/>
  <c r="T41"/>
  <c r="Q41"/>
  <c r="V41" s="1"/>
  <c r="X41" s="1"/>
  <c r="Y41" s="1"/>
  <c r="T40"/>
  <c r="Q40"/>
  <c r="V40" s="1"/>
  <c r="X40" s="1"/>
  <c r="Y40" s="1"/>
  <c r="T39"/>
  <c r="Q39"/>
  <c r="V39" s="1"/>
  <c r="X39" s="1"/>
  <c r="Y39" s="1"/>
  <c r="Q25" i="2" l="1"/>
  <c r="Q31" i="1"/>
  <c r="Q30"/>
  <c r="Q29"/>
  <c r="Q28"/>
  <c r="V16" i="4" l="1"/>
  <c r="V25" i="2"/>
  <c r="X25"/>
  <c r="X16" i="4" l="1"/>
  <c r="Y16"/>
  <c r="T38" i="1"/>
  <c r="Q38"/>
  <c r="V38" s="1"/>
  <c r="X38" s="1"/>
  <c r="T37"/>
  <c r="Q37"/>
  <c r="V37" s="1"/>
  <c r="X37" s="1"/>
  <c r="Q36"/>
  <c r="Q35"/>
  <c r="Q34"/>
  <c r="Q33"/>
  <c r="Q32"/>
  <c r="T36" l="1"/>
  <c r="V36"/>
  <c r="X36" s="1"/>
  <c r="T35"/>
  <c r="V35"/>
  <c r="X35" s="1"/>
  <c r="T34"/>
  <c r="V34"/>
  <c r="X34" s="1"/>
  <c r="T33"/>
  <c r="V33"/>
  <c r="X33" s="1"/>
  <c r="T32"/>
  <c r="V32"/>
  <c r="X32" s="1"/>
  <c r="T31"/>
  <c r="V31"/>
  <c r="X31" s="1"/>
  <c r="T29" l="1"/>
  <c r="V29"/>
  <c r="T28"/>
  <c r="V28"/>
  <c r="X28" s="1"/>
  <c r="X29" l="1"/>
  <c r="T27"/>
  <c r="Q27"/>
  <c r="V27" s="1"/>
  <c r="X27" s="1"/>
  <c r="Y27" s="1"/>
  <c r="T26"/>
  <c r="Q26"/>
  <c r="V26" s="1"/>
  <c r="X26" s="1"/>
  <c r="Y26" s="1"/>
  <c r="T25"/>
  <c r="Q25"/>
  <c r="V25" s="1"/>
  <c r="X25" s="1"/>
  <c r="Y25" s="1"/>
  <c r="T24"/>
  <c r="Q24"/>
  <c r="V24" s="1"/>
  <c r="X24" s="1"/>
  <c r="Y24" s="1"/>
  <c r="T23"/>
  <c r="Q23"/>
  <c r="V23" s="1"/>
  <c r="X23" s="1"/>
  <c r="Y23" s="1"/>
  <c r="T22"/>
  <c r="Q22"/>
  <c r="V22" s="1"/>
  <c r="X22" s="1"/>
  <c r="Y22" s="1"/>
  <c r="T21"/>
  <c r="Q21"/>
  <c r="V21" s="1"/>
  <c r="X21" s="1"/>
  <c r="Y21" s="1"/>
  <c r="T20"/>
  <c r="Q20"/>
  <c r="V20" s="1"/>
  <c r="X20" s="1"/>
  <c r="Y20" s="1"/>
  <c r="T19"/>
  <c r="Q19"/>
  <c r="V19" s="1"/>
  <c r="X19" s="1"/>
  <c r="Y19" s="1"/>
  <c r="T18"/>
  <c r="Q18"/>
  <c r="V18" s="1"/>
  <c r="X18" s="1"/>
  <c r="Y18" s="1"/>
  <c r="T17"/>
  <c r="Q17"/>
  <c r="V17" s="1"/>
  <c r="X17" s="1"/>
  <c r="Y17" s="1"/>
  <c r="T16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Y48" s="1"/>
  <c r="T12" l="1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V30"/>
  <c r="X30" s="1"/>
  <c r="T6" l="1"/>
  <c r="Q6"/>
  <c r="V6" s="1"/>
  <c r="X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T5"/>
  <c r="Q5"/>
  <c r="Q48" s="1"/>
  <c r="V5" l="1"/>
  <c r="V48" s="1"/>
  <c r="X5" l="1"/>
  <c r="X48" s="1"/>
</calcChain>
</file>

<file path=xl/sharedStrings.xml><?xml version="1.0" encoding="utf-8"?>
<sst xmlns="http://schemas.openxmlformats.org/spreadsheetml/2006/main" count="969" uniqueCount="263">
  <si>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</si>
  <si>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</si>
  <si>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</si>
  <si>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</si>
  <si>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</si>
  <si>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</si>
  <si>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</si>
  <si>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</si>
  <si>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</si>
  <si>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</si>
  <si>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</si>
  <si>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</si>
  <si>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</si>
  <si>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</si>
  <si>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</si>
  <si>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</si>
  <si>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</si>
  <si>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</si>
  <si>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</si>
  <si>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</si>
  <si>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</si>
  <si>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</si>
  <si>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</si>
  <si>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</si>
  <si>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</si>
  <si>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</si>
  <si>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</si>
  <si>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CITI BANK</t>
  </si>
  <si>
    <t>ADDAX PETROLEUM</t>
  </si>
  <si>
    <t>ANTAN BLEND CRUDE OIL</t>
  </si>
  <si>
    <t>ANTAN</t>
  </si>
  <si>
    <t>C182</t>
  </si>
  <si>
    <t>CHINA</t>
  </si>
  <si>
    <t>CITI BANK OF NIG</t>
  </si>
  <si>
    <t>BRASS 524</t>
  </si>
  <si>
    <t>ADDAX ANTAN 037</t>
  </si>
  <si>
    <t>ARION</t>
  </si>
  <si>
    <t>ONE OR MORE SAFE PORT(S), CHINA</t>
  </si>
  <si>
    <t>COMPLIANT INSPECTION REPORT FOR THE PERIOD OF OCTOBER 2014</t>
  </si>
  <si>
    <t>EBOK 023</t>
  </si>
  <si>
    <t>ORIENTAL EBOK 023</t>
  </si>
  <si>
    <t>201400010612</t>
  </si>
  <si>
    <t>STANBIC IBTC</t>
  </si>
  <si>
    <t>ORIENTAL ENERGY</t>
  </si>
  <si>
    <t>EBOK BLEND CRUDE OIL</t>
  </si>
  <si>
    <t>RIDGEBURY CAPTAIN DROGIN</t>
  </si>
  <si>
    <t>EBOK</t>
  </si>
  <si>
    <t>UNITED KINGDOM</t>
  </si>
  <si>
    <t>TETNEY</t>
  </si>
  <si>
    <t>STANDARD CHARTERED</t>
  </si>
  <si>
    <t>YOHO 105</t>
  </si>
  <si>
    <t>MOBIL YOHO 042</t>
  </si>
  <si>
    <t>00201400010312</t>
  </si>
  <si>
    <t>MOBIL PRODUCING</t>
  </si>
  <si>
    <t>YOHO BLEND CRUDE OIL</t>
  </si>
  <si>
    <t>DHT TARGET</t>
  </si>
  <si>
    <t>YOHO</t>
  </si>
  <si>
    <t>FINNART</t>
  </si>
  <si>
    <t>UBA</t>
  </si>
  <si>
    <t>BRASS 510</t>
  </si>
  <si>
    <t>ENERGY BRASS 041</t>
  </si>
  <si>
    <t>201400010312</t>
  </si>
  <si>
    <t>AGIP ENERGY</t>
  </si>
  <si>
    <t>BRASS BLEND CRUDE OIL</t>
  </si>
  <si>
    <t>ALMI VOYAGER</t>
  </si>
  <si>
    <t>BRASS</t>
  </si>
  <si>
    <t>GERMANY</t>
  </si>
  <si>
    <t>WILHELMSHAVEN</t>
  </si>
  <si>
    <t>BRASS 511</t>
  </si>
  <si>
    <t>AGIP BRASS 076</t>
  </si>
  <si>
    <t>201400010313</t>
  </si>
  <si>
    <t>NIGERIAN AGIP</t>
  </si>
  <si>
    <t>BRASS 512</t>
  </si>
  <si>
    <t>AGIP BRASS 077</t>
  </si>
  <si>
    <t>201400010314</t>
  </si>
  <si>
    <t>BRASS 519</t>
  </si>
  <si>
    <t>AGIP BRASS 078</t>
  </si>
  <si>
    <t>201400010321</t>
  </si>
  <si>
    <t>SEAPACIS</t>
  </si>
  <si>
    <t>ITALY</t>
  </si>
  <si>
    <t>QUILIANO, ITALY FOR ORDERS</t>
  </si>
  <si>
    <t>BRASS 526</t>
  </si>
  <si>
    <t>AGIP BRASS 079</t>
  </si>
  <si>
    <t>PRINCIMAR TRUTH</t>
  </si>
  <si>
    <t>NETHERLANDS</t>
  </si>
  <si>
    <t>ROTTERDAM FOR ORDERS</t>
  </si>
  <si>
    <t>BRASS 527</t>
  </si>
  <si>
    <t>AGIP BRASS 080</t>
  </si>
  <si>
    <t>BRASS 535</t>
  </si>
  <si>
    <t>NNPC BRASS 172</t>
  </si>
  <si>
    <t>42808105C13/64</t>
  </si>
  <si>
    <t>CENTRAL BANK</t>
  </si>
  <si>
    <t>NNPC</t>
  </si>
  <si>
    <t>AEGEAN NAVIGATOR</t>
  </si>
  <si>
    <t>BRAZIL</t>
  </si>
  <si>
    <t>ONE OR MORE SAFE PORTS, BRAZIL</t>
  </si>
  <si>
    <t>BRASS 536</t>
  </si>
  <si>
    <t>NNPC BRASS 173</t>
  </si>
  <si>
    <t>42808105C40/50</t>
  </si>
  <si>
    <t>GEORGIOS</t>
  </si>
  <si>
    <t>ANTAN 111</t>
  </si>
  <si>
    <t>NNPC ANTAN 054</t>
  </si>
  <si>
    <t>42808111C18/20A</t>
  </si>
  <si>
    <t>SOUNION</t>
  </si>
  <si>
    <t>MALAYSIA</t>
  </si>
  <si>
    <t>ONE OR MORE SAFE PORT(S)</t>
  </si>
  <si>
    <t>ANTAN 112</t>
  </si>
  <si>
    <t>NNPC ANTAN 055</t>
  </si>
  <si>
    <t>42808111C18/20B</t>
  </si>
  <si>
    <t>OKONO 078</t>
  </si>
  <si>
    <t>NNPC OKONO 064</t>
  </si>
  <si>
    <t>42808115C40/49</t>
  </si>
  <si>
    <t>OKONO BLEND CRUDE OIL</t>
  </si>
  <si>
    <t>DELTA TOLMI</t>
  </si>
  <si>
    <t>OKONO</t>
  </si>
  <si>
    <t>SPAIN</t>
  </si>
  <si>
    <t>ALGECIRAS</t>
  </si>
  <si>
    <t>YOHO 109</t>
  </si>
  <si>
    <t>NNPC YOHO 065</t>
  </si>
  <si>
    <t>42808109C48/315</t>
  </si>
  <si>
    <t>VILAMOURA</t>
  </si>
  <si>
    <t xml:space="preserve">ROTTERDAM </t>
  </si>
  <si>
    <t>YOHO 110</t>
  </si>
  <si>
    <t>BRASS 547</t>
  </si>
  <si>
    <t>NNPC BRASS 177</t>
  </si>
  <si>
    <t>42808105C38/88A</t>
  </si>
  <si>
    <t>FRONT ARIAKE</t>
  </si>
  <si>
    <t>INDIA</t>
  </si>
  <si>
    <t>RELIANCE TERMINAL SIKKA PORT</t>
  </si>
  <si>
    <t>BRASS 548</t>
  </si>
  <si>
    <t>BRASS 549</t>
  </si>
  <si>
    <t>BRASS 550</t>
  </si>
  <si>
    <t>BRASS 551</t>
  </si>
  <si>
    <t>NNPC BRASS 178</t>
  </si>
  <si>
    <t>42808105C38/88B</t>
  </si>
  <si>
    <t>BRASS 552</t>
  </si>
  <si>
    <t>NNPC BRASS 179</t>
  </si>
  <si>
    <t>42808105C38/88C</t>
  </si>
  <si>
    <t>BRASS 553</t>
  </si>
  <si>
    <t>NNPC BRASS 180</t>
  </si>
  <si>
    <t>42808105C38/88D</t>
  </si>
  <si>
    <t>BRASS 554</t>
  </si>
  <si>
    <t>NNPC BRASS 181</t>
  </si>
  <si>
    <t>42808105C38/88E</t>
  </si>
  <si>
    <t>BRASS 525</t>
  </si>
  <si>
    <t>ENERGY BRASS 042</t>
  </si>
  <si>
    <t>OYO 014</t>
  </si>
  <si>
    <t>ALLIED OYO 012</t>
  </si>
  <si>
    <t>201400010309</t>
  </si>
  <si>
    <t>ZENITH BANK</t>
  </si>
  <si>
    <t>ALLIED ENERGY</t>
  </si>
  <si>
    <t>OYO BLEND CRUDE OIL</t>
  </si>
  <si>
    <t>SKS SALUDA</t>
  </si>
  <si>
    <t>OYO</t>
  </si>
  <si>
    <t>FRANCE</t>
  </si>
  <si>
    <t>LE HAVRE</t>
  </si>
  <si>
    <t>10-10-2014 &amp; 20-10-2014</t>
  </si>
  <si>
    <t>015541 &amp; 015546</t>
  </si>
  <si>
    <t>BRASS 543</t>
  </si>
  <si>
    <t>PLATFORM BRASS 117</t>
  </si>
  <si>
    <t>SKYE BANK</t>
  </si>
  <si>
    <t>PLATFORM PETROLEUM</t>
  </si>
  <si>
    <t>EVGENIA I</t>
  </si>
  <si>
    <t>ROTTERDAM THE NETHERLANDS FOR ORDERS</t>
  </si>
  <si>
    <t>BRASS 544</t>
  </si>
  <si>
    <t>PLATFORM BRASS 118</t>
  </si>
  <si>
    <t>BRASS 545</t>
  </si>
  <si>
    <t>PLATFORM BRASS 119</t>
  </si>
  <si>
    <t>20149030009</t>
  </si>
  <si>
    <t>STERLING BANK</t>
  </si>
  <si>
    <t>BRASS 513</t>
  </si>
  <si>
    <t>PHILLIPS BRASS 048</t>
  </si>
  <si>
    <t>201400010252</t>
  </si>
  <si>
    <t xml:space="preserve">PHILLPS OIL </t>
  </si>
  <si>
    <t>BRASS 520</t>
  </si>
  <si>
    <t>PHILLIPS BRASS 049</t>
  </si>
  <si>
    <t>201400010285</t>
  </si>
  <si>
    <t xml:space="preserve">PHILLIPS OIL </t>
  </si>
  <si>
    <t>RATNA SHRADHA</t>
  </si>
  <si>
    <t>CAMEROON</t>
  </si>
  <si>
    <t>CAP LIMBOH</t>
  </si>
  <si>
    <t>BRASS 541</t>
  </si>
  <si>
    <t>PHILLIPS BRASS 050</t>
  </si>
  <si>
    <t>PHILLIPS OIL</t>
  </si>
  <si>
    <t>BRASS 522</t>
  </si>
  <si>
    <t>MIDWESTERN BRASS 044</t>
  </si>
  <si>
    <t>201402050404</t>
  </si>
  <si>
    <t>GUARANTY TRUST BANK</t>
  </si>
  <si>
    <t>MIDWESTERN OIL</t>
  </si>
  <si>
    <t>GTB</t>
  </si>
  <si>
    <t>BRASS 531</t>
  </si>
  <si>
    <t>MIDWESTERN BRASS 045</t>
  </si>
  <si>
    <t xml:space="preserve">MIDWESTERN OIL </t>
  </si>
  <si>
    <t>BRASS 555</t>
  </si>
  <si>
    <t>NNPC ANTAN 056</t>
  </si>
  <si>
    <t>42808105C13/67</t>
  </si>
  <si>
    <t>STENA SUEDE</t>
  </si>
  <si>
    <t>ANTAN 114</t>
  </si>
  <si>
    <t>42808111C69/4A</t>
  </si>
  <si>
    <t>ASTRO PERSEUS</t>
  </si>
  <si>
    <t>HUELVA</t>
  </si>
  <si>
    <t>ANTAN 115</t>
  </si>
  <si>
    <t>NNPC ANTAN 057</t>
  </si>
  <si>
    <t>42808111C69/4B</t>
  </si>
  <si>
    <t>YOHO 111</t>
  </si>
  <si>
    <t>NNPC YOHO 066</t>
  </si>
  <si>
    <t>42808109C48/323</t>
  </si>
  <si>
    <t>CAP JEAN</t>
  </si>
  <si>
    <t>ONE OR MORE SAFE PORT(S), BRAZIL</t>
  </si>
  <si>
    <t>BRASS 559</t>
  </si>
  <si>
    <t>NNPC BRASS 183</t>
  </si>
  <si>
    <t>42808105C40/62</t>
  </si>
  <si>
    <t>HOUSTON</t>
  </si>
  <si>
    <t>SOUTH AFRICA</t>
  </si>
  <si>
    <t>SOUTH AFRICA FOR ORDERS</t>
  </si>
  <si>
    <t>OKONO 079</t>
  </si>
  <si>
    <t>NNPC OKONO 065</t>
  </si>
  <si>
    <t>42808115C38/90</t>
  </si>
  <si>
    <t>LENI P</t>
  </si>
  <si>
    <t>BRASS 566</t>
  </si>
  <si>
    <t>NNPC BRASS 185</t>
  </si>
  <si>
    <t>42808101C57/9B</t>
  </si>
  <si>
    <t>NORDIC MISTRAL</t>
  </si>
  <si>
    <t>WILHELMSHAVEN FOR ORDERS</t>
  </si>
  <si>
    <t>BRASS 567</t>
  </si>
  <si>
    <t>NNPC BRASS 186</t>
  </si>
  <si>
    <t>42808101C57/9C</t>
  </si>
  <si>
    <t>BRASS 568</t>
  </si>
  <si>
    <t>NNPC BRASS 187</t>
  </si>
  <si>
    <t>42808101C57/9D</t>
  </si>
  <si>
    <t>NOT YET ISSUED</t>
  </si>
  <si>
    <t>BELMAR</t>
  </si>
  <si>
    <t>BRASS 556</t>
  </si>
  <si>
    <t>201401010089</t>
  </si>
  <si>
    <t>BRASS 557</t>
  </si>
  <si>
    <t>201401010090</t>
  </si>
  <si>
    <t>BRASS 558</t>
  </si>
  <si>
    <t>201490300010</t>
  </si>
  <si>
    <t>EBOK 024</t>
  </si>
  <si>
    <t>YET RECEIVED 1</t>
  </si>
  <si>
    <t>BRASS 560</t>
  </si>
  <si>
    <t>201400010384</t>
  </si>
  <si>
    <t>NANTUCKET</t>
  </si>
  <si>
    <t>BRASS 561</t>
  </si>
  <si>
    <t>201400010494</t>
  </si>
  <si>
    <t>GENMAR GEORGE T</t>
  </si>
  <si>
    <t>BRUNSBUTTEL GERMANY FOR ORDERS</t>
  </si>
  <si>
    <t>BRASS 562</t>
  </si>
  <si>
    <t>201400010496</t>
  </si>
  <si>
    <t>BRASS 563</t>
  </si>
  <si>
    <t>201401010091</t>
  </si>
  <si>
    <t>BRASS 564</t>
  </si>
  <si>
    <t>YET RECEIVED 2</t>
  </si>
  <si>
    <t>BRASS 565</t>
  </si>
  <si>
    <t>YET RECEIVED 3</t>
  </si>
  <si>
    <t>ANTAN 116</t>
  </si>
  <si>
    <t>201400020017</t>
  </si>
  <si>
    <t>TI TOPAZ</t>
  </si>
  <si>
    <t>COMPREHENSIVE INSPECTION REPORT FOR THE PERIOD OF OCTOBER 2014</t>
  </si>
  <si>
    <t>NON-COMPLIANT INSPECTION REPORT FOR THE PERIOD OF OCTOBER 2014</t>
  </si>
  <si>
    <t>Issued with 1(One) CCI for these 2(Two) split inspections</t>
  </si>
  <si>
    <t>Issued with 1(One) CCI for these 4(Four) split inspections</t>
  </si>
  <si>
    <t>REMARK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</si>
</sst>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.0000"/>
    <numFmt numFmtId="165" formatCode="0000000"/>
    <numFmt numFmtId="166" formatCode="0000000000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3" fillId="0" borderId="0" xfId="0" applyFont="1"/>
    <xf numFmtId="164" fontId="6" fillId="0" borderId="5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9" fontId="6" fillId="0" borderId="5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7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164" fontId="7" fillId="0" borderId="0" xfId="0" applyNumberFormat="1" applyFont="1" applyFill="1" applyAlignment="1">
      <alignment horizontal="center"/>
    </xf>
    <xf numFmtId="0" fontId="9" fillId="0" borderId="0" xfId="0" applyFont="1" applyFill="1"/>
    <xf numFmtId="0" fontId="10" fillId="0" borderId="2" xfId="2" applyFont="1" applyFill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49" fontId="10" fillId="0" borderId="3" xfId="2" applyNumberFormat="1" applyFont="1" applyFill="1" applyBorder="1" applyAlignment="1">
      <alignment horizontal="center" vertical="center"/>
    </xf>
    <xf numFmtId="49" fontId="10" fillId="0" borderId="3" xfId="2" applyNumberFormat="1" applyFont="1" applyFill="1" applyBorder="1" applyAlignment="1">
      <alignment horizontal="center" vertical="center" wrapText="1"/>
    </xf>
    <xf numFmtId="164" fontId="10" fillId="0" borderId="3" xfId="2" applyNumberFormat="1" applyFont="1" applyFill="1" applyBorder="1" applyAlignment="1">
      <alignment horizontal="center" vertical="center" wrapText="1"/>
    </xf>
    <xf numFmtId="0" fontId="10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/>
    <xf numFmtId="4" fontId="6" fillId="0" borderId="7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4" fontId="6" fillId="0" borderId="6" xfId="0" applyNumberFormat="1" applyFont="1" applyFill="1" applyBorder="1" applyAlignment="1">
      <alignment horizontal="right"/>
    </xf>
    <xf numFmtId="43" fontId="6" fillId="0" borderId="7" xfId="1" applyFont="1" applyFill="1" applyBorder="1"/>
    <xf numFmtId="14" fontId="6" fillId="0" borderId="6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/>
    <xf numFmtId="0" fontId="6" fillId="0" borderId="8" xfId="0" applyFont="1" applyFill="1" applyBorder="1" applyAlignment="1">
      <alignment horizontal="center" wrapText="1"/>
    </xf>
    <xf numFmtId="164" fontId="6" fillId="0" borderId="6" xfId="4" applyNumberFormat="1" applyFont="1" applyFill="1" applyBorder="1" applyAlignment="1">
      <alignment horizontal="center"/>
    </xf>
    <xf numFmtId="3" fontId="10" fillId="0" borderId="9" xfId="0" applyNumberFormat="1" applyFont="1" applyFill="1" applyBorder="1"/>
    <xf numFmtId="43" fontId="10" fillId="0" borderId="9" xfId="1" applyFont="1" applyFill="1" applyBorder="1"/>
    <xf numFmtId="0" fontId="10" fillId="0" borderId="0" xfId="0" applyFont="1" applyFill="1"/>
    <xf numFmtId="164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/>
    </xf>
    <xf numFmtId="1" fontId="6" fillId="0" borderId="6" xfId="0" applyNumberFormat="1" applyFont="1" applyFill="1" applyBorder="1" applyAlignment="1">
      <alignment horizontal="center" wrapText="1"/>
    </xf>
    <xf numFmtId="3" fontId="6" fillId="0" borderId="6" xfId="0" applyNumberFormat="1" applyFont="1" applyFill="1" applyBorder="1"/>
    <xf numFmtId="4" fontId="6" fillId="0" borderId="7" xfId="0" applyNumberFormat="1" applyFont="1" applyFill="1" applyBorder="1"/>
    <xf numFmtId="165" fontId="6" fillId="0" borderId="6" xfId="0" applyNumberFormat="1" applyFont="1" applyFill="1" applyBorder="1" applyAlignment="1">
      <alignment horizontal="center"/>
    </xf>
    <xf numFmtId="43" fontId="6" fillId="0" borderId="6" xfId="1" applyFont="1" applyFill="1" applyBorder="1"/>
    <xf numFmtId="3" fontId="6" fillId="0" borderId="7" xfId="0" applyNumberFormat="1" applyFont="1" applyFill="1" applyBorder="1" applyAlignment="1" applyProtection="1">
      <protection locked="0"/>
    </xf>
    <xf numFmtId="164" fontId="6" fillId="0" borderId="5" xfId="4" applyNumberFormat="1" applyFont="1" applyFill="1" applyBorder="1" applyAlignment="1">
      <alignment horizontal="center"/>
    </xf>
    <xf numFmtId="3" fontId="6" fillId="0" borderId="5" xfId="0" applyNumberFormat="1" applyFont="1" applyFill="1" applyBorder="1" applyAlignment="1">
      <alignment horizontal="center" wrapText="1"/>
    </xf>
    <xf numFmtId="0" fontId="6" fillId="0" borderId="6" xfId="4" applyNumberFormat="1" applyFont="1" applyFill="1" applyBorder="1" applyAlignment="1">
      <alignment horizontal="center"/>
    </xf>
    <xf numFmtId="3" fontId="6" fillId="0" borderId="6" xfId="0" applyNumberFormat="1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  <xf numFmtId="2" fontId="10" fillId="0" borderId="9" xfId="1" applyNumberFormat="1" applyFont="1" applyFill="1" applyBorder="1"/>
    <xf numFmtId="0" fontId="10" fillId="0" borderId="11" xfId="2" applyFont="1" applyFill="1" applyBorder="1" applyAlignment="1">
      <alignment horizontal="center" vertical="center" wrapText="1"/>
    </xf>
    <xf numFmtId="0" fontId="7" fillId="0" borderId="6" xfId="0" applyFont="1" applyFill="1" applyBorder="1"/>
    <xf numFmtId="0" fontId="6" fillId="0" borderId="5" xfId="0" applyFont="1" applyFill="1" applyBorder="1"/>
    <xf numFmtId="0" fontId="6" fillId="0" borderId="5" xfId="0" applyFont="1" applyFill="1" applyBorder="1" applyAlignment="1">
      <alignment horizontal="center"/>
    </xf>
    <xf numFmtId="1" fontId="6" fillId="0" borderId="5" xfId="0" applyNumberFormat="1" applyFont="1" applyFill="1" applyBorder="1" applyAlignment="1">
      <alignment horizontal="center" wrapText="1"/>
    </xf>
    <xf numFmtId="164" fontId="6" fillId="0" borderId="5" xfId="0" applyNumberFormat="1" applyFont="1" applyFill="1" applyBorder="1" applyAlignment="1">
      <alignment horizontal="center" wrapText="1"/>
    </xf>
    <xf numFmtId="4" fontId="6" fillId="0" borderId="12" xfId="0" applyNumberFormat="1" applyFont="1" applyFill="1" applyBorder="1" applyAlignment="1">
      <alignment horizontal="right"/>
    </xf>
    <xf numFmtId="4" fontId="6" fillId="0" borderId="5" xfId="0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/>
    </xf>
    <xf numFmtId="4" fontId="6" fillId="0" borderId="12" xfId="0" applyNumberFormat="1" applyFont="1" applyFill="1" applyBorder="1"/>
    <xf numFmtId="43" fontId="6" fillId="0" borderId="12" xfId="1" applyFont="1" applyFill="1" applyBorder="1"/>
    <xf numFmtId="165" fontId="6" fillId="0" borderId="5" xfId="0" applyNumberFormat="1" applyFont="1" applyFill="1" applyBorder="1" applyAlignment="1">
      <alignment horizontal="center"/>
    </xf>
    <xf numFmtId="0" fontId="7" fillId="0" borderId="5" xfId="0" applyFont="1" applyFill="1" applyBorder="1"/>
    <xf numFmtId="165" fontId="6" fillId="0" borderId="6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/>
    </xf>
    <xf numFmtId="0" fontId="11" fillId="0" borderId="0" xfId="0" applyFont="1" applyFill="1"/>
    <xf numFmtId="0" fontId="6" fillId="0" borderId="6" xfId="0" applyFont="1" applyFill="1" applyBorder="1" applyAlignment="1">
      <alignment horizontal="center" vertic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152400</xdr:rowOff>
    </xdr:from>
    <xdr:to>
      <xdr:col>4</xdr:col>
      <xdr:colOff>38100</xdr:colOff>
      <xdr:row>2</xdr:row>
      <xdr:rowOff>95251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152400"/>
          <a:ext cx="485775" cy="333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4</xdr:col>
      <xdr:colOff>9525</xdr:colOff>
      <xdr:row>2</xdr:row>
      <xdr:rowOff>104775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3450" y="228599"/>
          <a:ext cx="457200" cy="266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152400</xdr:rowOff>
    </xdr:from>
    <xdr:to>
      <xdr:col>4</xdr:col>
      <xdr:colOff>38100</xdr:colOff>
      <xdr:row>2</xdr:row>
      <xdr:rowOff>95251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3925" y="152400"/>
          <a:ext cx="485775" cy="333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25"/>
  <sheetViews>
    <sheetView tabSelected="1" workbookViewId="0">
      <selection activeCell="H42" sqref="H42"/>
    </sheetView>
  </sheetViews>
  <sheetFormatPr defaultRowHeight="15"/>
  <cols>
    <col min="1" max="1" width="4.42578125" style="14" customWidth="1"/>
    <col min="2" max="2" width="3.42578125" style="14" customWidth="1"/>
    <col min="3" max="3" width="5.5703125" style="15" customWidth="1"/>
    <col min="4" max="4" width="7.140625" style="15" customWidth="1"/>
    <col min="5" max="5" width="5.140625" style="15" customWidth="1"/>
    <col min="6" max="6" width="11" style="15" customWidth="1"/>
    <col min="7" max="7" width="8.5703125" style="15" customWidth="1"/>
    <col min="8" max="8" width="7.85546875" style="15" customWidth="1"/>
    <col min="9" max="9" width="9.28515625" style="15" customWidth="1"/>
    <col min="10" max="10" width="6" style="14" customWidth="1"/>
    <col min="11" max="11" width="6.7109375" style="16" customWidth="1"/>
    <col min="12" max="12" width="7.85546875" style="15" customWidth="1"/>
    <col min="13" max="13" width="6.140625" style="15" customWidth="1"/>
    <col min="14" max="14" width="7.85546875" style="18" customWidth="1"/>
    <col min="15" max="15" width="11" style="19" customWidth="1"/>
    <col min="16" max="16" width="8.140625" style="14" customWidth="1"/>
    <col min="17" max="17" width="11.85546875" style="14" customWidth="1"/>
    <col min="18" max="18" width="5.7109375" style="14" customWidth="1"/>
    <col min="19" max="19" width="6.7109375" style="20" customWidth="1"/>
    <col min="20" max="20" width="6" style="16" customWidth="1"/>
    <col min="21" max="21" width="8.140625" style="15" customWidth="1"/>
    <col min="22" max="22" width="9.5703125" style="14" customWidth="1"/>
    <col min="23" max="23" width="7" style="14" customWidth="1"/>
    <col min="24" max="24" width="12.140625" style="14" customWidth="1"/>
    <col min="25" max="25" width="11.42578125" style="14" customWidth="1"/>
    <col min="26" max="27" width="5.5703125" style="14" customWidth="1"/>
    <col min="28" max="28" width="11.5703125" style="14" customWidth="1"/>
    <col min="29" max="16384" width="9.140625" style="14"/>
  </cols>
  <sheetData>
    <row r="2" spans="2:27" ht="15.75">
      <c r="L2" s="17" t="s">
        <v>0</v>
      </c>
    </row>
    <row r="3" spans="2:27" ht="18" customHeight="1" thickBot="1">
      <c r="L3" s="17" t="s">
        <v>258</v>
      </c>
      <c r="P3" s="21"/>
    </row>
    <row r="4" spans="2:27" s="15" customFormat="1" ht="42.6" customHeight="1" thickBot="1">
      <c r="B4" s="22" t="s">
        <v>1</v>
      </c>
      <c r="C4" s="23" t="s">
        <v>2</v>
      </c>
      <c r="D4" s="23" t="s">
        <v>3</v>
      </c>
      <c r="E4" s="23" t="s">
        <v>4</v>
      </c>
      <c r="F4" s="24" t="s">
        <v>5</v>
      </c>
      <c r="G4" s="25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3" t="s">
        <v>11</v>
      </c>
      <c r="M4" s="23" t="s">
        <v>12</v>
      </c>
      <c r="N4" s="23" t="s">
        <v>13</v>
      </c>
      <c r="O4" s="23" t="s">
        <v>14</v>
      </c>
      <c r="P4" s="23" t="s">
        <v>15</v>
      </c>
      <c r="Q4" s="23" t="s">
        <v>16</v>
      </c>
      <c r="R4" s="23" t="s">
        <v>17</v>
      </c>
      <c r="S4" s="26" t="s">
        <v>18</v>
      </c>
      <c r="T4" s="23" t="s">
        <v>19</v>
      </c>
      <c r="U4" s="23" t="s">
        <v>20</v>
      </c>
      <c r="V4" s="23" t="s">
        <v>21</v>
      </c>
      <c r="W4" s="23" t="s">
        <v>22</v>
      </c>
      <c r="X4" s="23" t="s">
        <v>23</v>
      </c>
      <c r="Y4" s="23" t="s">
        <v>24</v>
      </c>
      <c r="Z4" s="23" t="s">
        <v>25</v>
      </c>
      <c r="AA4" s="27" t="s">
        <v>26</v>
      </c>
    </row>
    <row r="5" spans="2:27" ht="24" customHeight="1">
      <c r="B5" s="28">
        <v>1</v>
      </c>
      <c r="C5" s="10" t="s">
        <v>193</v>
      </c>
      <c r="D5" s="9" t="s">
        <v>194</v>
      </c>
      <c r="E5" s="30">
        <v>41943</v>
      </c>
      <c r="F5" s="12" t="s">
        <v>195</v>
      </c>
      <c r="G5" s="10" t="s">
        <v>91</v>
      </c>
      <c r="H5" s="10" t="s">
        <v>92</v>
      </c>
      <c r="I5" s="10" t="s">
        <v>63</v>
      </c>
      <c r="J5" s="31">
        <v>801.22</v>
      </c>
      <c r="K5" s="30">
        <v>41921</v>
      </c>
      <c r="L5" s="32" t="s">
        <v>196</v>
      </c>
      <c r="M5" s="32" t="s">
        <v>65</v>
      </c>
      <c r="N5" s="10" t="s">
        <v>66</v>
      </c>
      <c r="O5" s="33" t="s">
        <v>67</v>
      </c>
      <c r="P5" s="34">
        <v>950120</v>
      </c>
      <c r="Q5" s="35">
        <f t="shared" ref="Q5:Q24" si="0">SUM(P5*S5)</f>
        <v>85633365.480000004</v>
      </c>
      <c r="R5" s="36" t="s">
        <v>31</v>
      </c>
      <c r="S5" s="8">
        <v>90.129000000000005</v>
      </c>
      <c r="T5" s="37">
        <f t="shared" ref="T5:T9" si="1">SUM(K5)+89</f>
        <v>42010</v>
      </c>
      <c r="U5" s="13" t="s">
        <v>91</v>
      </c>
      <c r="V5" s="38">
        <f t="shared" ref="V5:V18" si="2">SUM(Q5*0.12%)</f>
        <v>102760.03857599999</v>
      </c>
      <c r="W5" s="29">
        <v>155.76</v>
      </c>
      <c r="X5" s="39">
        <f t="shared" ref="X5:X24" si="3">SUM(V5*W5)</f>
        <v>16005903.608597757</v>
      </c>
      <c r="Y5" s="40">
        <f t="shared" ref="Y5" si="4">X5</f>
        <v>16005903.608597757</v>
      </c>
      <c r="Z5" s="29"/>
      <c r="AA5" s="29"/>
    </row>
    <row r="6" spans="2:27" ht="24" customHeight="1">
      <c r="B6" s="28">
        <f t="shared" ref="B6:B9" si="5">B5+1</f>
        <v>2</v>
      </c>
      <c r="C6" s="10" t="s">
        <v>232</v>
      </c>
      <c r="D6" s="41" t="s">
        <v>230</v>
      </c>
      <c r="E6" s="9"/>
      <c r="F6" s="12" t="s">
        <v>233</v>
      </c>
      <c r="G6" s="10" t="s">
        <v>160</v>
      </c>
      <c r="H6" s="10" t="s">
        <v>161</v>
      </c>
      <c r="I6" s="10" t="s">
        <v>63</v>
      </c>
      <c r="J6" s="31">
        <v>801.22</v>
      </c>
      <c r="K6" s="30">
        <v>41921</v>
      </c>
      <c r="L6" s="32" t="s">
        <v>196</v>
      </c>
      <c r="M6" s="32" t="s">
        <v>65</v>
      </c>
      <c r="N6" s="10" t="s">
        <v>66</v>
      </c>
      <c r="O6" s="33" t="s">
        <v>67</v>
      </c>
      <c r="P6" s="34">
        <v>30000</v>
      </c>
      <c r="Q6" s="35">
        <f t="shared" si="0"/>
        <v>2703870</v>
      </c>
      <c r="R6" s="36" t="s">
        <v>31</v>
      </c>
      <c r="S6" s="8">
        <v>90.129000000000005</v>
      </c>
      <c r="T6" s="37">
        <f t="shared" si="1"/>
        <v>42010</v>
      </c>
      <c r="U6" s="10" t="s">
        <v>160</v>
      </c>
      <c r="V6" s="38">
        <f t="shared" si="2"/>
        <v>3244.6439999999998</v>
      </c>
      <c r="W6" s="29">
        <v>155.76</v>
      </c>
      <c r="X6" s="39">
        <f t="shared" si="3"/>
        <v>505385.74943999993</v>
      </c>
      <c r="Y6" s="42">
        <v>0</v>
      </c>
      <c r="Z6" s="29"/>
      <c r="AA6" s="29"/>
    </row>
    <row r="7" spans="2:27" ht="24" customHeight="1">
      <c r="B7" s="28">
        <f t="shared" si="5"/>
        <v>3</v>
      </c>
      <c r="C7" s="10" t="s">
        <v>234</v>
      </c>
      <c r="D7" s="41" t="s">
        <v>230</v>
      </c>
      <c r="E7" s="9"/>
      <c r="F7" s="12" t="s">
        <v>235</v>
      </c>
      <c r="G7" s="10" t="s">
        <v>160</v>
      </c>
      <c r="H7" s="10" t="s">
        <v>161</v>
      </c>
      <c r="I7" s="10" t="s">
        <v>63</v>
      </c>
      <c r="J7" s="31">
        <v>801.22</v>
      </c>
      <c r="K7" s="30">
        <v>41921</v>
      </c>
      <c r="L7" s="32" t="s">
        <v>196</v>
      </c>
      <c r="M7" s="32" t="s">
        <v>65</v>
      </c>
      <c r="N7" s="10" t="s">
        <v>66</v>
      </c>
      <c r="O7" s="33" t="s">
        <v>67</v>
      </c>
      <c r="P7" s="34">
        <v>54000</v>
      </c>
      <c r="Q7" s="35">
        <f t="shared" si="0"/>
        <v>4866966</v>
      </c>
      <c r="R7" s="36" t="s">
        <v>31</v>
      </c>
      <c r="S7" s="8">
        <v>90.129000000000005</v>
      </c>
      <c r="T7" s="37">
        <f t="shared" si="1"/>
        <v>42010</v>
      </c>
      <c r="U7" s="10" t="s">
        <v>160</v>
      </c>
      <c r="V7" s="38">
        <f t="shared" si="2"/>
        <v>5840.3591999999999</v>
      </c>
      <c r="W7" s="29">
        <v>155.76</v>
      </c>
      <c r="X7" s="39">
        <f t="shared" si="3"/>
        <v>909694.34899199998</v>
      </c>
      <c r="Y7" s="42">
        <v>0</v>
      </c>
      <c r="Z7" s="29"/>
      <c r="AA7" s="29"/>
    </row>
    <row r="8" spans="2:27" ht="24" customHeight="1">
      <c r="B8" s="28">
        <f t="shared" si="5"/>
        <v>4</v>
      </c>
      <c r="C8" s="10" t="s">
        <v>236</v>
      </c>
      <c r="D8" s="41" t="s">
        <v>230</v>
      </c>
      <c r="E8" s="9"/>
      <c r="F8" s="12" t="s">
        <v>237</v>
      </c>
      <c r="G8" s="10" t="s">
        <v>169</v>
      </c>
      <c r="H8" s="10" t="s">
        <v>161</v>
      </c>
      <c r="I8" s="10" t="s">
        <v>63</v>
      </c>
      <c r="J8" s="31">
        <v>801.22</v>
      </c>
      <c r="K8" s="30">
        <v>41921</v>
      </c>
      <c r="L8" s="32" t="s">
        <v>196</v>
      </c>
      <c r="M8" s="32" t="s">
        <v>65</v>
      </c>
      <c r="N8" s="10" t="s">
        <v>66</v>
      </c>
      <c r="O8" s="33" t="s">
        <v>67</v>
      </c>
      <c r="P8" s="34">
        <v>16000</v>
      </c>
      <c r="Q8" s="35">
        <f t="shared" si="0"/>
        <v>1442064</v>
      </c>
      <c r="R8" s="36" t="s">
        <v>31</v>
      </c>
      <c r="S8" s="8">
        <v>90.129000000000005</v>
      </c>
      <c r="T8" s="37">
        <f t="shared" si="1"/>
        <v>42010</v>
      </c>
      <c r="U8" s="10" t="s">
        <v>160</v>
      </c>
      <c r="V8" s="38">
        <f t="shared" si="2"/>
        <v>1730.4767999999999</v>
      </c>
      <c r="W8" s="29">
        <v>155.76</v>
      </c>
      <c r="X8" s="39">
        <f t="shared" si="3"/>
        <v>269539.06636799994</v>
      </c>
      <c r="Y8" s="42">
        <v>0</v>
      </c>
      <c r="Z8" s="29"/>
      <c r="AA8" s="29"/>
    </row>
    <row r="9" spans="2:27" ht="24" customHeight="1">
      <c r="B9" s="28">
        <f t="shared" si="5"/>
        <v>5</v>
      </c>
      <c r="C9" s="10" t="s">
        <v>197</v>
      </c>
      <c r="D9" s="9" t="s">
        <v>194</v>
      </c>
      <c r="E9" s="30">
        <v>41943</v>
      </c>
      <c r="F9" s="12" t="s">
        <v>198</v>
      </c>
      <c r="G9" s="10" t="s">
        <v>91</v>
      </c>
      <c r="H9" s="10" t="s">
        <v>92</v>
      </c>
      <c r="I9" s="10" t="s">
        <v>29</v>
      </c>
      <c r="J9" s="31">
        <v>801.22</v>
      </c>
      <c r="K9" s="30">
        <v>41927</v>
      </c>
      <c r="L9" s="32" t="s">
        <v>199</v>
      </c>
      <c r="M9" s="32" t="s">
        <v>30</v>
      </c>
      <c r="N9" s="10" t="s">
        <v>115</v>
      </c>
      <c r="O9" s="13" t="s">
        <v>200</v>
      </c>
      <c r="P9" s="34">
        <v>548784</v>
      </c>
      <c r="Q9" s="35">
        <f t="shared" si="0"/>
        <v>46033099.488000005</v>
      </c>
      <c r="R9" s="36" t="s">
        <v>31</v>
      </c>
      <c r="S9" s="8">
        <v>83.882000000000005</v>
      </c>
      <c r="T9" s="37">
        <f t="shared" si="1"/>
        <v>42016</v>
      </c>
      <c r="U9" s="13" t="s">
        <v>91</v>
      </c>
      <c r="V9" s="38">
        <f t="shared" si="2"/>
        <v>55239.719385600001</v>
      </c>
      <c r="W9" s="29">
        <v>155.76</v>
      </c>
      <c r="X9" s="39">
        <f t="shared" si="3"/>
        <v>8604138.6915010549</v>
      </c>
      <c r="Y9" s="40">
        <f t="shared" ref="Y9:Y14" si="6">X9</f>
        <v>8604138.6915010549</v>
      </c>
      <c r="Z9" s="29"/>
      <c r="AA9" s="29"/>
    </row>
    <row r="10" spans="2:27" ht="24" customHeight="1">
      <c r="B10" s="28">
        <f t="shared" ref="B10:B24" si="7">B9+1</f>
        <v>6</v>
      </c>
      <c r="C10" s="10" t="s">
        <v>201</v>
      </c>
      <c r="D10" s="9" t="s">
        <v>202</v>
      </c>
      <c r="E10" s="30">
        <v>41943</v>
      </c>
      <c r="F10" s="12" t="s">
        <v>203</v>
      </c>
      <c r="G10" s="10" t="s">
        <v>91</v>
      </c>
      <c r="H10" s="10" t="s">
        <v>92</v>
      </c>
      <c r="I10" s="10" t="s">
        <v>29</v>
      </c>
      <c r="J10" s="31">
        <v>801.22</v>
      </c>
      <c r="K10" s="30">
        <v>41927</v>
      </c>
      <c r="L10" s="32" t="s">
        <v>199</v>
      </c>
      <c r="M10" s="32" t="s">
        <v>30</v>
      </c>
      <c r="N10" s="10" t="s">
        <v>115</v>
      </c>
      <c r="O10" s="13" t="s">
        <v>200</v>
      </c>
      <c r="P10" s="34">
        <v>400000</v>
      </c>
      <c r="Q10" s="35">
        <f t="shared" si="0"/>
        <v>33552800.000000004</v>
      </c>
      <c r="R10" s="36" t="s">
        <v>31</v>
      </c>
      <c r="S10" s="8">
        <v>83.882000000000005</v>
      </c>
      <c r="T10" s="37">
        <f t="shared" ref="T10:T24" si="8">SUM(K10)+89</f>
        <v>42016</v>
      </c>
      <c r="U10" s="10" t="s">
        <v>91</v>
      </c>
      <c r="V10" s="38">
        <f t="shared" si="2"/>
        <v>40263.360000000001</v>
      </c>
      <c r="W10" s="29">
        <v>155.76</v>
      </c>
      <c r="X10" s="39">
        <f t="shared" si="3"/>
        <v>6271420.9535999997</v>
      </c>
      <c r="Y10" s="40">
        <f t="shared" si="6"/>
        <v>6271420.9535999997</v>
      </c>
      <c r="Z10" s="29"/>
      <c r="AA10" s="29"/>
    </row>
    <row r="11" spans="2:27" ht="24" customHeight="1">
      <c r="B11" s="28">
        <f t="shared" si="7"/>
        <v>7</v>
      </c>
      <c r="C11" s="10" t="s">
        <v>204</v>
      </c>
      <c r="D11" s="9" t="s">
        <v>205</v>
      </c>
      <c r="E11" s="30">
        <v>41943</v>
      </c>
      <c r="F11" s="12" t="s">
        <v>206</v>
      </c>
      <c r="G11" s="10" t="s">
        <v>91</v>
      </c>
      <c r="H11" s="10" t="s">
        <v>92</v>
      </c>
      <c r="I11" s="10" t="s">
        <v>54</v>
      </c>
      <c r="J11" s="31">
        <v>801.22</v>
      </c>
      <c r="K11" s="30">
        <v>41928</v>
      </c>
      <c r="L11" s="32" t="s">
        <v>207</v>
      </c>
      <c r="M11" s="32" t="s">
        <v>56</v>
      </c>
      <c r="N11" s="10" t="s">
        <v>94</v>
      </c>
      <c r="O11" s="13" t="s">
        <v>208</v>
      </c>
      <c r="P11" s="34">
        <v>949937</v>
      </c>
      <c r="Q11" s="35">
        <f t="shared" si="0"/>
        <v>81677483.134000003</v>
      </c>
      <c r="R11" s="36" t="s">
        <v>31</v>
      </c>
      <c r="S11" s="8">
        <v>85.981999999999999</v>
      </c>
      <c r="T11" s="37">
        <f t="shared" si="8"/>
        <v>42017</v>
      </c>
      <c r="U11" s="10" t="s">
        <v>91</v>
      </c>
      <c r="V11" s="38">
        <f t="shared" si="2"/>
        <v>98012.979760799994</v>
      </c>
      <c r="W11" s="29">
        <v>155.76</v>
      </c>
      <c r="X11" s="39">
        <f t="shared" si="3"/>
        <v>15266501.727542207</v>
      </c>
      <c r="Y11" s="40">
        <f t="shared" si="6"/>
        <v>15266501.727542207</v>
      </c>
      <c r="Z11" s="29"/>
      <c r="AA11" s="29"/>
    </row>
    <row r="12" spans="2:27" ht="24" customHeight="1">
      <c r="B12" s="28">
        <f t="shared" si="7"/>
        <v>8</v>
      </c>
      <c r="C12" s="10" t="s">
        <v>209</v>
      </c>
      <c r="D12" s="9" t="s">
        <v>210</v>
      </c>
      <c r="E12" s="30">
        <v>41943</v>
      </c>
      <c r="F12" s="12" t="s">
        <v>211</v>
      </c>
      <c r="G12" s="10" t="s">
        <v>91</v>
      </c>
      <c r="H12" s="10" t="s">
        <v>92</v>
      </c>
      <c r="I12" s="10" t="s">
        <v>63</v>
      </c>
      <c r="J12" s="31">
        <v>801.22</v>
      </c>
      <c r="K12" s="30">
        <v>41928</v>
      </c>
      <c r="L12" s="32" t="s">
        <v>212</v>
      </c>
      <c r="M12" s="43" t="s">
        <v>65</v>
      </c>
      <c r="N12" s="10" t="s">
        <v>213</v>
      </c>
      <c r="O12" s="13" t="s">
        <v>214</v>
      </c>
      <c r="P12" s="34">
        <v>949771</v>
      </c>
      <c r="Q12" s="35">
        <f t="shared" si="0"/>
        <v>80903393.321999997</v>
      </c>
      <c r="R12" s="36" t="s">
        <v>31</v>
      </c>
      <c r="S12" s="44">
        <v>85.182000000000002</v>
      </c>
      <c r="T12" s="37">
        <f t="shared" si="8"/>
        <v>42017</v>
      </c>
      <c r="U12" s="10" t="s">
        <v>91</v>
      </c>
      <c r="V12" s="38">
        <f t="shared" si="2"/>
        <v>97084.071986399984</v>
      </c>
      <c r="W12" s="29">
        <v>155.76</v>
      </c>
      <c r="X12" s="39">
        <f t="shared" si="3"/>
        <v>15121815.052601662</v>
      </c>
      <c r="Y12" s="40">
        <f t="shared" si="6"/>
        <v>15121815.052601662</v>
      </c>
      <c r="Z12" s="29"/>
      <c r="AA12" s="29"/>
    </row>
    <row r="13" spans="2:27" ht="24" customHeight="1">
      <c r="B13" s="28">
        <f t="shared" si="7"/>
        <v>9</v>
      </c>
      <c r="C13" s="10" t="s">
        <v>238</v>
      </c>
      <c r="D13" s="41" t="s">
        <v>230</v>
      </c>
      <c r="E13" s="9"/>
      <c r="F13" s="12" t="s">
        <v>239</v>
      </c>
      <c r="G13" s="10" t="s">
        <v>42</v>
      </c>
      <c r="H13" s="10" t="s">
        <v>43</v>
      </c>
      <c r="I13" s="10" t="s">
        <v>44</v>
      </c>
      <c r="J13" s="31">
        <v>801.22</v>
      </c>
      <c r="K13" s="30">
        <v>41932</v>
      </c>
      <c r="L13" s="32" t="s">
        <v>231</v>
      </c>
      <c r="M13" s="43" t="s">
        <v>46</v>
      </c>
      <c r="N13" s="10" t="s">
        <v>47</v>
      </c>
      <c r="O13" s="13" t="s">
        <v>48</v>
      </c>
      <c r="P13" s="34">
        <v>701303</v>
      </c>
      <c r="Q13" s="35">
        <f t="shared" si="0"/>
        <v>56109149.121000007</v>
      </c>
      <c r="R13" s="36" t="s">
        <v>31</v>
      </c>
      <c r="S13" s="44">
        <v>80.007000000000005</v>
      </c>
      <c r="T13" s="37">
        <f t="shared" si="8"/>
        <v>42021</v>
      </c>
      <c r="U13" s="10" t="s">
        <v>49</v>
      </c>
      <c r="V13" s="38">
        <f t="shared" si="2"/>
        <v>67330.978945199997</v>
      </c>
      <c r="W13" s="29">
        <v>155.76</v>
      </c>
      <c r="X13" s="39">
        <f t="shared" si="3"/>
        <v>10487473.280504351</v>
      </c>
      <c r="Y13" s="42">
        <v>0</v>
      </c>
      <c r="Z13" s="29"/>
      <c r="AA13" s="29"/>
    </row>
    <row r="14" spans="2:27" ht="24" customHeight="1">
      <c r="B14" s="28">
        <f t="shared" si="7"/>
        <v>10</v>
      </c>
      <c r="C14" s="10" t="s">
        <v>215</v>
      </c>
      <c r="D14" s="9" t="s">
        <v>216</v>
      </c>
      <c r="E14" s="30">
        <v>41943</v>
      </c>
      <c r="F14" s="12" t="s">
        <v>217</v>
      </c>
      <c r="G14" s="10" t="s">
        <v>91</v>
      </c>
      <c r="H14" s="10" t="s">
        <v>92</v>
      </c>
      <c r="I14" s="10" t="s">
        <v>112</v>
      </c>
      <c r="J14" s="31">
        <v>801.22</v>
      </c>
      <c r="K14" s="30">
        <v>41933</v>
      </c>
      <c r="L14" s="32" t="s">
        <v>218</v>
      </c>
      <c r="M14" s="43" t="s">
        <v>114</v>
      </c>
      <c r="N14" s="10" t="s">
        <v>115</v>
      </c>
      <c r="O14" s="13" t="s">
        <v>200</v>
      </c>
      <c r="P14" s="34">
        <v>899632</v>
      </c>
      <c r="Q14" s="35">
        <f t="shared" si="0"/>
        <v>77756093.392000005</v>
      </c>
      <c r="R14" s="36" t="s">
        <v>31</v>
      </c>
      <c r="S14" s="44">
        <v>86.430999999999997</v>
      </c>
      <c r="T14" s="37">
        <f t="shared" si="8"/>
        <v>42022</v>
      </c>
      <c r="U14" s="10" t="s">
        <v>91</v>
      </c>
      <c r="V14" s="38">
        <f t="shared" si="2"/>
        <v>93307.312070400003</v>
      </c>
      <c r="W14" s="29">
        <v>155.76</v>
      </c>
      <c r="X14" s="39">
        <f t="shared" si="3"/>
        <v>14533546.928085504</v>
      </c>
      <c r="Y14" s="40">
        <f t="shared" si="6"/>
        <v>14533546.928085504</v>
      </c>
      <c r="Z14" s="29"/>
      <c r="AA14" s="29"/>
    </row>
    <row r="15" spans="2:27" ht="24" customHeight="1">
      <c r="B15" s="28">
        <f t="shared" si="7"/>
        <v>11</v>
      </c>
      <c r="C15" s="10" t="s">
        <v>240</v>
      </c>
      <c r="D15" s="41" t="s">
        <v>230</v>
      </c>
      <c r="E15" s="9"/>
      <c r="F15" s="12" t="s">
        <v>241</v>
      </c>
      <c r="G15" s="10" t="s">
        <v>49</v>
      </c>
      <c r="H15" s="10" t="s">
        <v>177</v>
      </c>
      <c r="I15" s="10" t="s">
        <v>63</v>
      </c>
      <c r="J15" s="31">
        <v>801.22</v>
      </c>
      <c r="K15" s="30">
        <v>41937</v>
      </c>
      <c r="L15" s="32" t="s">
        <v>242</v>
      </c>
      <c r="M15" s="32" t="s">
        <v>65</v>
      </c>
      <c r="N15" s="10" t="s">
        <v>179</v>
      </c>
      <c r="O15" s="13" t="s">
        <v>180</v>
      </c>
      <c r="P15" s="34">
        <v>703078</v>
      </c>
      <c r="Q15" s="35">
        <f t="shared" si="0"/>
        <v>60454864.908</v>
      </c>
      <c r="R15" s="36" t="s">
        <v>31</v>
      </c>
      <c r="S15" s="44">
        <v>85.986000000000004</v>
      </c>
      <c r="T15" s="37">
        <f t="shared" si="8"/>
        <v>42026</v>
      </c>
      <c r="U15" s="10" t="s">
        <v>49</v>
      </c>
      <c r="V15" s="38">
        <f t="shared" si="2"/>
        <v>72545.837889599992</v>
      </c>
      <c r="W15" s="29">
        <v>155.76</v>
      </c>
      <c r="X15" s="39">
        <f t="shared" si="3"/>
        <v>11299739.709684094</v>
      </c>
      <c r="Y15" s="42">
        <v>0</v>
      </c>
      <c r="Z15" s="29"/>
      <c r="AA15" s="29"/>
    </row>
    <row r="16" spans="2:27" ht="24" customHeight="1">
      <c r="B16" s="28">
        <f t="shared" si="7"/>
        <v>12</v>
      </c>
      <c r="C16" s="10" t="s">
        <v>243</v>
      </c>
      <c r="D16" s="41" t="s">
        <v>230</v>
      </c>
      <c r="E16" s="9"/>
      <c r="F16" s="11" t="s">
        <v>244</v>
      </c>
      <c r="G16" s="10" t="s">
        <v>33</v>
      </c>
      <c r="H16" s="10" t="s">
        <v>71</v>
      </c>
      <c r="I16" s="10" t="s">
        <v>63</v>
      </c>
      <c r="J16" s="31">
        <v>801.22</v>
      </c>
      <c r="K16" s="30">
        <v>41941</v>
      </c>
      <c r="L16" s="32" t="s">
        <v>245</v>
      </c>
      <c r="M16" s="43" t="s">
        <v>65</v>
      </c>
      <c r="N16" s="10" t="s">
        <v>66</v>
      </c>
      <c r="O16" s="13" t="s">
        <v>246</v>
      </c>
      <c r="P16" s="34">
        <v>456926</v>
      </c>
      <c r="Q16" s="35">
        <f t="shared" si="0"/>
        <v>39237149.472000003</v>
      </c>
      <c r="R16" s="36" t="s">
        <v>31</v>
      </c>
      <c r="S16" s="8">
        <v>85.872</v>
      </c>
      <c r="T16" s="37">
        <f t="shared" si="8"/>
        <v>42030</v>
      </c>
      <c r="U16" s="13" t="s">
        <v>58</v>
      </c>
      <c r="V16" s="38">
        <f t="shared" si="2"/>
        <v>47084.579366400001</v>
      </c>
      <c r="W16" s="29">
        <v>155.76</v>
      </c>
      <c r="X16" s="39">
        <f t="shared" si="3"/>
        <v>7333894.0821104636</v>
      </c>
      <c r="Y16" s="42">
        <v>0</v>
      </c>
      <c r="Z16" s="29"/>
      <c r="AA16" s="29"/>
    </row>
    <row r="17" spans="2:27" ht="24" customHeight="1">
      <c r="B17" s="28">
        <f t="shared" si="7"/>
        <v>13</v>
      </c>
      <c r="C17" s="10" t="s">
        <v>247</v>
      </c>
      <c r="D17" s="41" t="s">
        <v>230</v>
      </c>
      <c r="E17" s="9"/>
      <c r="F17" s="12" t="s">
        <v>248</v>
      </c>
      <c r="G17" s="10" t="s">
        <v>33</v>
      </c>
      <c r="H17" s="10" t="s">
        <v>62</v>
      </c>
      <c r="I17" s="10" t="s">
        <v>63</v>
      </c>
      <c r="J17" s="31">
        <v>801.22</v>
      </c>
      <c r="K17" s="30">
        <v>41941</v>
      </c>
      <c r="L17" s="32" t="s">
        <v>245</v>
      </c>
      <c r="M17" s="43" t="s">
        <v>65</v>
      </c>
      <c r="N17" s="10" t="s">
        <v>66</v>
      </c>
      <c r="O17" s="13" t="s">
        <v>246</v>
      </c>
      <c r="P17" s="34">
        <v>80000</v>
      </c>
      <c r="Q17" s="35">
        <f t="shared" si="0"/>
        <v>6869760</v>
      </c>
      <c r="R17" s="36" t="s">
        <v>31</v>
      </c>
      <c r="S17" s="8">
        <v>85.872</v>
      </c>
      <c r="T17" s="37">
        <f t="shared" si="8"/>
        <v>42030</v>
      </c>
      <c r="U17" s="13" t="s">
        <v>58</v>
      </c>
      <c r="V17" s="38">
        <f t="shared" si="2"/>
        <v>8243.7119999999995</v>
      </c>
      <c r="W17" s="29">
        <v>155.76</v>
      </c>
      <c r="X17" s="39">
        <f t="shared" si="3"/>
        <v>1284040.5811199998</v>
      </c>
      <c r="Y17" s="42">
        <v>0</v>
      </c>
      <c r="Z17" s="29"/>
      <c r="AA17" s="29"/>
    </row>
    <row r="18" spans="2:27" ht="24" customHeight="1">
      <c r="B18" s="28">
        <f t="shared" si="7"/>
        <v>14</v>
      </c>
      <c r="C18" s="10" t="s">
        <v>249</v>
      </c>
      <c r="D18" s="41" t="s">
        <v>230</v>
      </c>
      <c r="E18" s="9"/>
      <c r="F18" s="12" t="s">
        <v>250</v>
      </c>
      <c r="G18" s="10" t="s">
        <v>160</v>
      </c>
      <c r="H18" s="10" t="s">
        <v>161</v>
      </c>
      <c r="I18" s="10" t="s">
        <v>63</v>
      </c>
      <c r="J18" s="31">
        <v>801.22</v>
      </c>
      <c r="K18" s="30">
        <v>41941</v>
      </c>
      <c r="L18" s="32" t="s">
        <v>245</v>
      </c>
      <c r="M18" s="32" t="s">
        <v>65</v>
      </c>
      <c r="N18" s="10" t="s">
        <v>66</v>
      </c>
      <c r="O18" s="13" t="s">
        <v>246</v>
      </c>
      <c r="P18" s="34">
        <v>12000</v>
      </c>
      <c r="Q18" s="35">
        <f t="shared" si="0"/>
        <v>1030464</v>
      </c>
      <c r="R18" s="36" t="s">
        <v>31</v>
      </c>
      <c r="S18" s="8">
        <v>85.872</v>
      </c>
      <c r="T18" s="37">
        <f t="shared" si="8"/>
        <v>42030</v>
      </c>
      <c r="U18" s="10" t="s">
        <v>160</v>
      </c>
      <c r="V18" s="38">
        <f t="shared" si="2"/>
        <v>1236.5567999999998</v>
      </c>
      <c r="W18" s="29">
        <v>155.76</v>
      </c>
      <c r="X18" s="39">
        <f t="shared" si="3"/>
        <v>192606.08716799997</v>
      </c>
      <c r="Y18" s="42">
        <v>0</v>
      </c>
      <c r="Z18" s="29"/>
      <c r="AA18" s="29"/>
    </row>
    <row r="19" spans="2:27" ht="24" customHeight="1">
      <c r="B19" s="28">
        <f t="shared" si="7"/>
        <v>15</v>
      </c>
      <c r="C19" s="10" t="s">
        <v>251</v>
      </c>
      <c r="D19" s="41" t="s">
        <v>230</v>
      </c>
      <c r="E19" s="9"/>
      <c r="F19" s="12" t="s">
        <v>252</v>
      </c>
      <c r="G19" s="10" t="s">
        <v>187</v>
      </c>
      <c r="H19" s="10" t="s">
        <v>188</v>
      </c>
      <c r="I19" s="10" t="s">
        <v>63</v>
      </c>
      <c r="J19" s="31">
        <v>801.22</v>
      </c>
      <c r="K19" s="30">
        <v>41941</v>
      </c>
      <c r="L19" s="32" t="s">
        <v>245</v>
      </c>
      <c r="M19" s="32" t="s">
        <v>65</v>
      </c>
      <c r="N19" s="10" t="s">
        <v>66</v>
      </c>
      <c r="O19" s="13" t="s">
        <v>246</v>
      </c>
      <c r="P19" s="34">
        <v>58000</v>
      </c>
      <c r="Q19" s="35">
        <f t="shared" si="0"/>
        <v>4980576</v>
      </c>
      <c r="R19" s="36" t="s">
        <v>31</v>
      </c>
      <c r="S19" s="8">
        <v>85.872</v>
      </c>
      <c r="T19" s="37">
        <f t="shared" si="8"/>
        <v>42030</v>
      </c>
      <c r="U19" s="10" t="s">
        <v>189</v>
      </c>
      <c r="V19" s="38">
        <f t="shared" ref="V19:V24" si="9">SUM(Q19*0.12%)</f>
        <v>5976.6911999999993</v>
      </c>
      <c r="W19" s="29">
        <v>155.76</v>
      </c>
      <c r="X19" s="39">
        <f t="shared" si="3"/>
        <v>930929.42131199979</v>
      </c>
      <c r="Y19" s="42">
        <v>0</v>
      </c>
      <c r="Z19" s="29"/>
      <c r="AA19" s="29"/>
    </row>
    <row r="20" spans="2:27" ht="24" customHeight="1">
      <c r="B20" s="28">
        <f t="shared" si="7"/>
        <v>16</v>
      </c>
      <c r="C20" s="10" t="s">
        <v>253</v>
      </c>
      <c r="D20" s="41" t="s">
        <v>230</v>
      </c>
      <c r="E20" s="9"/>
      <c r="F20" s="12" t="s">
        <v>254</v>
      </c>
      <c r="G20" s="10" t="s">
        <v>91</v>
      </c>
      <c r="H20" s="10" t="s">
        <v>92</v>
      </c>
      <c r="I20" s="10" t="s">
        <v>63</v>
      </c>
      <c r="J20" s="31">
        <v>801.22</v>
      </c>
      <c r="K20" s="30">
        <v>41943</v>
      </c>
      <c r="L20" s="32" t="s">
        <v>222</v>
      </c>
      <c r="M20" s="32" t="s">
        <v>65</v>
      </c>
      <c r="N20" s="10" t="s">
        <v>66</v>
      </c>
      <c r="O20" s="13" t="s">
        <v>223</v>
      </c>
      <c r="P20" s="34">
        <v>99960</v>
      </c>
      <c r="Q20" s="35">
        <f t="shared" si="0"/>
        <v>8547479.6400000006</v>
      </c>
      <c r="R20" s="36" t="s">
        <v>31</v>
      </c>
      <c r="S20" s="8">
        <v>85.509</v>
      </c>
      <c r="T20" s="37">
        <f t="shared" si="8"/>
        <v>42032</v>
      </c>
      <c r="U20" s="10" t="s">
        <v>91</v>
      </c>
      <c r="V20" s="38">
        <f t="shared" si="9"/>
        <v>10256.975568</v>
      </c>
      <c r="W20" s="29">
        <v>155.76</v>
      </c>
      <c r="X20" s="39">
        <f t="shared" si="3"/>
        <v>1597626.5144716799</v>
      </c>
      <c r="Y20" s="42">
        <v>0</v>
      </c>
      <c r="Z20" s="29"/>
      <c r="AA20" s="29"/>
    </row>
    <row r="21" spans="2:27" ht="24" customHeight="1">
      <c r="B21" s="28">
        <f t="shared" si="7"/>
        <v>17</v>
      </c>
      <c r="C21" s="10" t="s">
        <v>219</v>
      </c>
      <c r="D21" s="9" t="s">
        <v>220</v>
      </c>
      <c r="E21" s="30">
        <v>41943</v>
      </c>
      <c r="F21" s="12" t="s">
        <v>221</v>
      </c>
      <c r="G21" s="10" t="s">
        <v>91</v>
      </c>
      <c r="H21" s="10" t="s">
        <v>92</v>
      </c>
      <c r="I21" s="10" t="s">
        <v>63</v>
      </c>
      <c r="J21" s="31">
        <v>801.22</v>
      </c>
      <c r="K21" s="30">
        <v>41943</v>
      </c>
      <c r="L21" s="32" t="s">
        <v>222</v>
      </c>
      <c r="M21" s="32" t="s">
        <v>65</v>
      </c>
      <c r="N21" s="10" t="s">
        <v>66</v>
      </c>
      <c r="O21" s="13" t="s">
        <v>223</v>
      </c>
      <c r="P21" s="34">
        <v>30000</v>
      </c>
      <c r="Q21" s="35">
        <f t="shared" si="0"/>
        <v>2565270</v>
      </c>
      <c r="R21" s="36" t="s">
        <v>31</v>
      </c>
      <c r="S21" s="8">
        <v>85.509</v>
      </c>
      <c r="T21" s="37">
        <f t="shared" si="8"/>
        <v>42032</v>
      </c>
      <c r="U21" s="10" t="s">
        <v>91</v>
      </c>
      <c r="V21" s="38">
        <f t="shared" si="9"/>
        <v>3078.3239999999996</v>
      </c>
      <c r="W21" s="29">
        <v>155.76</v>
      </c>
      <c r="X21" s="39">
        <f t="shared" si="3"/>
        <v>479479.74623999989</v>
      </c>
      <c r="Y21" s="40">
        <f t="shared" ref="Y21:Y23" si="10">X21</f>
        <v>479479.74623999989</v>
      </c>
      <c r="Z21" s="29"/>
      <c r="AA21" s="29"/>
    </row>
    <row r="22" spans="2:27" ht="24" customHeight="1">
      <c r="B22" s="28">
        <f t="shared" si="7"/>
        <v>18</v>
      </c>
      <c r="C22" s="10" t="s">
        <v>224</v>
      </c>
      <c r="D22" s="9" t="s">
        <v>225</v>
      </c>
      <c r="E22" s="30">
        <v>41943</v>
      </c>
      <c r="F22" s="12" t="s">
        <v>226</v>
      </c>
      <c r="G22" s="10" t="s">
        <v>91</v>
      </c>
      <c r="H22" s="10" t="s">
        <v>92</v>
      </c>
      <c r="I22" s="10" t="s">
        <v>63</v>
      </c>
      <c r="J22" s="31">
        <v>801.22</v>
      </c>
      <c r="K22" s="30">
        <v>41943</v>
      </c>
      <c r="L22" s="32" t="s">
        <v>222</v>
      </c>
      <c r="M22" s="32" t="s">
        <v>65</v>
      </c>
      <c r="N22" s="10" t="s">
        <v>66</v>
      </c>
      <c r="O22" s="13" t="s">
        <v>223</v>
      </c>
      <c r="P22" s="34">
        <v>70000</v>
      </c>
      <c r="Q22" s="35">
        <f t="shared" si="0"/>
        <v>5985630</v>
      </c>
      <c r="R22" s="36" t="s">
        <v>31</v>
      </c>
      <c r="S22" s="8">
        <v>85.509</v>
      </c>
      <c r="T22" s="37">
        <f t="shared" si="8"/>
        <v>42032</v>
      </c>
      <c r="U22" s="10" t="s">
        <v>91</v>
      </c>
      <c r="V22" s="38">
        <f t="shared" si="9"/>
        <v>7182.7559999999994</v>
      </c>
      <c r="W22" s="29">
        <v>155.76</v>
      </c>
      <c r="X22" s="39">
        <f t="shared" si="3"/>
        <v>1118786.0745599999</v>
      </c>
      <c r="Y22" s="40">
        <f t="shared" si="10"/>
        <v>1118786.0745599999</v>
      </c>
      <c r="Z22" s="29"/>
      <c r="AA22" s="29"/>
    </row>
    <row r="23" spans="2:27" ht="24" customHeight="1">
      <c r="B23" s="28">
        <f t="shared" si="7"/>
        <v>19</v>
      </c>
      <c r="C23" s="10" t="s">
        <v>227</v>
      </c>
      <c r="D23" s="9" t="s">
        <v>228</v>
      </c>
      <c r="E23" s="30">
        <v>41943</v>
      </c>
      <c r="F23" s="12" t="s">
        <v>229</v>
      </c>
      <c r="G23" s="10" t="s">
        <v>91</v>
      </c>
      <c r="H23" s="10" t="s">
        <v>92</v>
      </c>
      <c r="I23" s="10" t="s">
        <v>63</v>
      </c>
      <c r="J23" s="31">
        <v>801.22</v>
      </c>
      <c r="K23" s="30">
        <v>41943</v>
      </c>
      <c r="L23" s="32" t="s">
        <v>222</v>
      </c>
      <c r="M23" s="32" t="s">
        <v>65</v>
      </c>
      <c r="N23" s="10" t="s">
        <v>66</v>
      </c>
      <c r="O23" s="13" t="s">
        <v>223</v>
      </c>
      <c r="P23" s="34">
        <v>50000</v>
      </c>
      <c r="Q23" s="35">
        <f t="shared" si="0"/>
        <v>4275450</v>
      </c>
      <c r="R23" s="36" t="s">
        <v>31</v>
      </c>
      <c r="S23" s="8">
        <v>85.509</v>
      </c>
      <c r="T23" s="37">
        <f t="shared" si="8"/>
        <v>42032</v>
      </c>
      <c r="U23" s="13" t="s">
        <v>91</v>
      </c>
      <c r="V23" s="38">
        <f t="shared" si="9"/>
        <v>5130.54</v>
      </c>
      <c r="W23" s="29">
        <v>155.76</v>
      </c>
      <c r="X23" s="39">
        <f t="shared" si="3"/>
        <v>799132.91039999994</v>
      </c>
      <c r="Y23" s="40">
        <f t="shared" si="10"/>
        <v>799132.91039999994</v>
      </c>
      <c r="Z23" s="29"/>
      <c r="AA23" s="29"/>
    </row>
    <row r="24" spans="2:27" ht="24" customHeight="1" thickBot="1">
      <c r="B24" s="28">
        <f t="shared" si="7"/>
        <v>20</v>
      </c>
      <c r="C24" s="10" t="s">
        <v>255</v>
      </c>
      <c r="D24" s="41" t="s">
        <v>230</v>
      </c>
      <c r="E24" s="9"/>
      <c r="F24" s="12" t="s">
        <v>256</v>
      </c>
      <c r="G24" s="10" t="s">
        <v>33</v>
      </c>
      <c r="H24" s="10" t="s">
        <v>28</v>
      </c>
      <c r="I24" s="10" t="s">
        <v>29</v>
      </c>
      <c r="J24" s="31">
        <v>801.22</v>
      </c>
      <c r="K24" s="30">
        <v>41943</v>
      </c>
      <c r="L24" s="32" t="s">
        <v>257</v>
      </c>
      <c r="M24" s="32" t="s">
        <v>30</v>
      </c>
      <c r="N24" s="10" t="s">
        <v>32</v>
      </c>
      <c r="O24" s="13" t="s">
        <v>37</v>
      </c>
      <c r="P24" s="34">
        <v>905784</v>
      </c>
      <c r="Q24" s="39">
        <f t="shared" si="0"/>
        <v>75776983.656000003</v>
      </c>
      <c r="R24" s="36" t="s">
        <v>31</v>
      </c>
      <c r="S24" s="44">
        <v>83.659000000000006</v>
      </c>
      <c r="T24" s="37">
        <f t="shared" si="8"/>
        <v>42032</v>
      </c>
      <c r="U24" s="13" t="s">
        <v>27</v>
      </c>
      <c r="V24" s="38">
        <f t="shared" si="9"/>
        <v>90932.380387199999</v>
      </c>
      <c r="W24" s="29">
        <v>155.76</v>
      </c>
      <c r="X24" s="39">
        <f t="shared" si="3"/>
        <v>14163627.569110271</v>
      </c>
      <c r="Y24" s="42">
        <v>0</v>
      </c>
      <c r="Z24" s="29"/>
      <c r="AA24" s="29"/>
    </row>
    <row r="25" spans="2:27" ht="15.75" thickBot="1">
      <c r="P25" s="45">
        <f>SUM(P5:P24)</f>
        <v>7965295</v>
      </c>
      <c r="Q25" s="46">
        <f>SUM(Q5:Q24)</f>
        <v>680401911.61300004</v>
      </c>
      <c r="R25" s="47"/>
      <c r="S25" s="48"/>
      <c r="T25" s="49"/>
      <c r="U25" s="50"/>
      <c r="V25" s="46">
        <f>SUM(V5:V24)</f>
        <v>816482.29393560009</v>
      </c>
      <c r="W25" s="47"/>
      <c r="X25" s="46">
        <f>SUM(X5:X24)</f>
        <v>127175282.10340905</v>
      </c>
      <c r="Y25" s="46">
        <f>SUM(Y5:Y24)</f>
        <v>78200725.693128198</v>
      </c>
    </row>
  </sheetData>
  <pageMargins left="0" right="0" top="0" bottom="0" header="0.31496062992125984" footer="0"/>
  <pageSetup paperSize="8" orientation="landscape" r:id="rId1"/>
  <ignoredErrors>
    <ignoredError sqref="F6:F2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64"/>
  <sheetViews>
    <sheetView workbookViewId="0">
      <selection activeCell="F69" sqref="F69"/>
    </sheetView>
  </sheetViews>
  <sheetFormatPr defaultRowHeight="15"/>
  <cols>
    <col min="1" max="1" width="3.85546875" customWidth="1"/>
    <col min="2" max="2" width="4.140625" customWidth="1"/>
    <col min="3" max="3" width="5.42578125" customWidth="1"/>
    <col min="4" max="4" width="7.28515625" style="1" customWidth="1"/>
    <col min="5" max="5" width="5.7109375" style="1" customWidth="1"/>
    <col min="6" max="6" width="10.5703125" style="1" customWidth="1"/>
    <col min="7" max="7" width="8.5703125" style="1" customWidth="1"/>
    <col min="8" max="8" width="8" style="1" customWidth="1"/>
    <col min="9" max="9" width="9" style="1" customWidth="1"/>
    <col min="10" max="10" width="5.85546875" customWidth="1"/>
    <col min="11" max="11" width="6.140625" style="2" customWidth="1"/>
    <col min="12" max="12" width="6.85546875" style="1" customWidth="1"/>
    <col min="13" max="13" width="5.42578125" style="2" customWidth="1"/>
    <col min="14" max="14" width="7.140625" style="4" customWidth="1"/>
    <col min="15" max="15" width="11.5703125" style="5" customWidth="1"/>
    <col min="16" max="16" width="8.28515625" customWidth="1"/>
    <col min="17" max="17" width="13" customWidth="1"/>
    <col min="18" max="18" width="4.5703125" customWidth="1"/>
    <col min="19" max="19" width="6" style="6" customWidth="1"/>
    <col min="20" max="20" width="6.42578125" style="2" customWidth="1"/>
    <col min="21" max="21" width="8" style="1" customWidth="1"/>
    <col min="22" max="22" width="10.5703125" customWidth="1"/>
    <col min="23" max="23" width="5.28515625" customWidth="1"/>
    <col min="24" max="25" width="12.28515625" customWidth="1"/>
    <col min="26" max="26" width="6.5703125" customWidth="1"/>
    <col min="27" max="27" width="5.85546875" customWidth="1"/>
    <col min="28" max="28" width="7.28515625" customWidth="1"/>
  </cols>
  <sheetData>
    <row r="2" spans="2:28" ht="15.75">
      <c r="L2" s="3" t="s">
        <v>0</v>
      </c>
    </row>
    <row r="3" spans="2:28" ht="17.25" customHeight="1" thickBot="1">
      <c r="L3" s="3" t="s">
        <v>38</v>
      </c>
      <c r="P3" s="7"/>
    </row>
    <row r="4" spans="2:28" s="1" customFormat="1" ht="51.75" customHeight="1" thickBot="1">
      <c r="B4" s="22" t="s">
        <v>1</v>
      </c>
      <c r="C4" s="23" t="s">
        <v>2</v>
      </c>
      <c r="D4" s="23" t="s">
        <v>3</v>
      </c>
      <c r="E4" s="23" t="s">
        <v>4</v>
      </c>
      <c r="F4" s="24" t="s">
        <v>5</v>
      </c>
      <c r="G4" s="25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3" t="s">
        <v>11</v>
      </c>
      <c r="M4" s="23" t="s">
        <v>12</v>
      </c>
      <c r="N4" s="23" t="s">
        <v>13</v>
      </c>
      <c r="O4" s="23" t="s">
        <v>14</v>
      </c>
      <c r="P4" s="23" t="s">
        <v>15</v>
      </c>
      <c r="Q4" s="23" t="s">
        <v>16</v>
      </c>
      <c r="R4" s="23" t="s">
        <v>17</v>
      </c>
      <c r="S4" s="26" t="s">
        <v>18</v>
      </c>
      <c r="T4" s="23" t="s">
        <v>19</v>
      </c>
      <c r="U4" s="23" t="s">
        <v>20</v>
      </c>
      <c r="V4" s="23" t="s">
        <v>21</v>
      </c>
      <c r="W4" s="23" t="s">
        <v>22</v>
      </c>
      <c r="X4" s="23" t="s">
        <v>23</v>
      </c>
      <c r="Y4" s="23" t="s">
        <v>24</v>
      </c>
      <c r="Z4" s="23" t="s">
        <v>25</v>
      </c>
      <c r="AA4" s="23" t="s">
        <v>26</v>
      </c>
      <c r="AB4" s="63" t="s">
        <v>262</v>
      </c>
    </row>
    <row r="5" spans="2:28" ht="26.25" customHeight="1">
      <c r="B5" s="65">
        <v>1</v>
      </c>
      <c r="C5" s="32" t="s">
        <v>34</v>
      </c>
      <c r="D5" s="30" t="s">
        <v>35</v>
      </c>
      <c r="E5" s="30">
        <v>41925</v>
      </c>
      <c r="F5" s="67">
        <v>201400020014</v>
      </c>
      <c r="G5" s="32" t="s">
        <v>33</v>
      </c>
      <c r="H5" s="32" t="s">
        <v>28</v>
      </c>
      <c r="I5" s="32" t="s">
        <v>29</v>
      </c>
      <c r="J5" s="68">
        <v>801.22</v>
      </c>
      <c r="K5" s="30">
        <v>41869</v>
      </c>
      <c r="L5" s="32" t="s">
        <v>36</v>
      </c>
      <c r="M5" s="43" t="s">
        <v>30</v>
      </c>
      <c r="N5" s="32" t="s">
        <v>32</v>
      </c>
      <c r="O5" s="33" t="s">
        <v>37</v>
      </c>
      <c r="P5" s="34">
        <v>948196</v>
      </c>
      <c r="Q5" s="69">
        <f t="shared" ref="Q5" si="0">SUM(P5*S5)</f>
        <v>93651422.527999997</v>
      </c>
      <c r="R5" s="70" t="s">
        <v>31</v>
      </c>
      <c r="S5" s="57">
        <v>98.768000000000001</v>
      </c>
      <c r="T5" s="71">
        <f t="shared" ref="T5" si="1">SUM(K5)+89</f>
        <v>41958</v>
      </c>
      <c r="U5" s="32" t="s">
        <v>27</v>
      </c>
      <c r="V5" s="72">
        <f t="shared" ref="V5:V6" si="2">SUM(Q5*0.12%)</f>
        <v>112381.70703359999</v>
      </c>
      <c r="W5" s="66">
        <v>155.72999999999999</v>
      </c>
      <c r="X5" s="69">
        <f t="shared" ref="X5:X6" si="3">SUM(V5*W5)</f>
        <v>17501203.236342523</v>
      </c>
      <c r="Y5" s="73">
        <v>17501203.699999999</v>
      </c>
      <c r="Z5" s="71">
        <v>41914</v>
      </c>
      <c r="AA5" s="74">
        <v>1696</v>
      </c>
      <c r="AB5" s="75"/>
    </row>
    <row r="6" spans="2:28" ht="21.75" customHeight="1">
      <c r="B6" s="28">
        <f t="shared" ref="B6:B47" si="4">B5+1</f>
        <v>2</v>
      </c>
      <c r="C6" s="10" t="s">
        <v>39</v>
      </c>
      <c r="D6" s="9" t="s">
        <v>40</v>
      </c>
      <c r="E6" s="37">
        <v>41927</v>
      </c>
      <c r="F6" s="12" t="s">
        <v>41</v>
      </c>
      <c r="G6" s="10" t="s">
        <v>42</v>
      </c>
      <c r="H6" s="10" t="s">
        <v>43</v>
      </c>
      <c r="I6" s="10" t="s">
        <v>44</v>
      </c>
      <c r="J6" s="31">
        <v>801.22</v>
      </c>
      <c r="K6" s="30">
        <v>41898</v>
      </c>
      <c r="L6" s="32" t="s">
        <v>45</v>
      </c>
      <c r="M6" s="32" t="s">
        <v>46</v>
      </c>
      <c r="N6" s="10" t="s">
        <v>47</v>
      </c>
      <c r="O6" s="13" t="s">
        <v>48</v>
      </c>
      <c r="P6" s="34">
        <v>702451</v>
      </c>
      <c r="Q6" s="39">
        <f t="shared" ref="Q6:Q47" si="5">SUM(P6*S6)</f>
        <v>63712305.700000003</v>
      </c>
      <c r="R6" s="36" t="s">
        <v>31</v>
      </c>
      <c r="S6" s="8">
        <v>90.7</v>
      </c>
      <c r="T6" s="37">
        <f t="shared" ref="T6" si="6">SUM(K6)+89</f>
        <v>41987</v>
      </c>
      <c r="U6" s="13" t="s">
        <v>49</v>
      </c>
      <c r="V6" s="53">
        <f t="shared" si="2"/>
        <v>76454.766839999997</v>
      </c>
      <c r="W6" s="29">
        <v>155.75</v>
      </c>
      <c r="X6" s="35">
        <f t="shared" si="3"/>
        <v>11907829.93533</v>
      </c>
      <c r="Y6" s="40">
        <v>11907830.43</v>
      </c>
      <c r="Z6" s="37">
        <v>41922</v>
      </c>
      <c r="AA6" s="54">
        <v>2996</v>
      </c>
      <c r="AB6" s="64"/>
    </row>
    <row r="7" spans="2:28" ht="21.75" customHeight="1">
      <c r="B7" s="28">
        <f t="shared" si="4"/>
        <v>3</v>
      </c>
      <c r="C7" s="10" t="s">
        <v>59</v>
      </c>
      <c r="D7" s="10" t="s">
        <v>60</v>
      </c>
      <c r="E7" s="9">
        <v>41928</v>
      </c>
      <c r="F7" s="12" t="s">
        <v>61</v>
      </c>
      <c r="G7" s="10" t="s">
        <v>33</v>
      </c>
      <c r="H7" s="32" t="s">
        <v>62</v>
      </c>
      <c r="I7" s="10" t="s">
        <v>63</v>
      </c>
      <c r="J7" s="31">
        <v>801.22</v>
      </c>
      <c r="K7" s="30">
        <v>41844</v>
      </c>
      <c r="L7" s="32" t="s">
        <v>64</v>
      </c>
      <c r="M7" s="32" t="s">
        <v>65</v>
      </c>
      <c r="N7" s="10" t="s">
        <v>66</v>
      </c>
      <c r="O7" s="13" t="s">
        <v>67</v>
      </c>
      <c r="P7" s="34">
        <v>80000</v>
      </c>
      <c r="Q7" s="39">
        <f t="shared" si="5"/>
        <v>8667200</v>
      </c>
      <c r="R7" s="36" t="s">
        <v>31</v>
      </c>
      <c r="S7" s="44">
        <v>108.34</v>
      </c>
      <c r="T7" s="37">
        <f t="shared" ref="T7:T12" si="7">SUM(K7)+89</f>
        <v>41933</v>
      </c>
      <c r="U7" s="13" t="s">
        <v>58</v>
      </c>
      <c r="V7" s="38">
        <f t="shared" ref="V7:V12" si="8">SUM(Q7*0.12%)</f>
        <v>10400.64</v>
      </c>
      <c r="W7" s="29">
        <v>155.72999999999999</v>
      </c>
      <c r="X7" s="39">
        <f t="shared" ref="X7:X12" si="9">SUM(V7*W7)</f>
        <v>1619691.6671999998</v>
      </c>
      <c r="Y7" s="55">
        <v>1609291.03</v>
      </c>
      <c r="Z7" s="37">
        <v>41922</v>
      </c>
      <c r="AA7" s="54">
        <v>10345</v>
      </c>
      <c r="AB7" s="64"/>
    </row>
    <row r="8" spans="2:28" ht="21.75" customHeight="1">
      <c r="B8" s="28">
        <f t="shared" si="4"/>
        <v>4</v>
      </c>
      <c r="C8" s="10" t="s">
        <v>68</v>
      </c>
      <c r="D8" s="13" t="s">
        <v>69</v>
      </c>
      <c r="E8" s="9">
        <v>41928</v>
      </c>
      <c r="F8" s="12" t="s">
        <v>70</v>
      </c>
      <c r="G8" s="10" t="s">
        <v>33</v>
      </c>
      <c r="H8" s="32" t="s">
        <v>71</v>
      </c>
      <c r="I8" s="10" t="s">
        <v>63</v>
      </c>
      <c r="J8" s="31">
        <v>801.22</v>
      </c>
      <c r="K8" s="30">
        <v>41844</v>
      </c>
      <c r="L8" s="32" t="s">
        <v>64</v>
      </c>
      <c r="M8" s="32" t="s">
        <v>65</v>
      </c>
      <c r="N8" s="10" t="s">
        <v>66</v>
      </c>
      <c r="O8" s="13" t="s">
        <v>67</v>
      </c>
      <c r="P8" s="34">
        <v>211324</v>
      </c>
      <c r="Q8" s="39">
        <f t="shared" si="5"/>
        <v>22613337.459600002</v>
      </c>
      <c r="R8" s="36" t="s">
        <v>31</v>
      </c>
      <c r="S8" s="44">
        <v>107.00790000000001</v>
      </c>
      <c r="T8" s="37">
        <f t="shared" si="7"/>
        <v>41933</v>
      </c>
      <c r="U8" s="13" t="s">
        <v>58</v>
      </c>
      <c r="V8" s="38">
        <f t="shared" si="8"/>
        <v>27136.004951520001</v>
      </c>
      <c r="W8" s="29">
        <v>155.72999999999999</v>
      </c>
      <c r="X8" s="39">
        <f t="shared" si="9"/>
        <v>4225890.0511002094</v>
      </c>
      <c r="Y8" s="55">
        <v>4198753.28</v>
      </c>
      <c r="Z8" s="37">
        <v>41922</v>
      </c>
      <c r="AA8" s="54">
        <v>10338</v>
      </c>
      <c r="AB8" s="64"/>
    </row>
    <row r="9" spans="2:28" ht="21.75" customHeight="1">
      <c r="B9" s="28">
        <f t="shared" si="4"/>
        <v>5</v>
      </c>
      <c r="C9" s="10" t="s">
        <v>72</v>
      </c>
      <c r="D9" s="13" t="s">
        <v>73</v>
      </c>
      <c r="E9" s="9">
        <v>41928</v>
      </c>
      <c r="F9" s="12" t="s">
        <v>74</v>
      </c>
      <c r="G9" s="10" t="s">
        <v>33</v>
      </c>
      <c r="H9" s="32" t="s">
        <v>71</v>
      </c>
      <c r="I9" s="10" t="s">
        <v>63</v>
      </c>
      <c r="J9" s="31">
        <v>801.22</v>
      </c>
      <c r="K9" s="30">
        <v>41844</v>
      </c>
      <c r="L9" s="32" t="s">
        <v>64</v>
      </c>
      <c r="M9" s="32" t="s">
        <v>65</v>
      </c>
      <c r="N9" s="10" t="s">
        <v>66</v>
      </c>
      <c r="O9" s="13" t="s">
        <v>67</v>
      </c>
      <c r="P9" s="34">
        <v>55500</v>
      </c>
      <c r="Q9" s="39">
        <f t="shared" si="5"/>
        <v>5938938.4500000002</v>
      </c>
      <c r="R9" s="36" t="s">
        <v>31</v>
      </c>
      <c r="S9" s="44">
        <v>107.00790000000001</v>
      </c>
      <c r="T9" s="37">
        <f t="shared" si="7"/>
        <v>41933</v>
      </c>
      <c r="U9" s="13" t="s">
        <v>58</v>
      </c>
      <c r="V9" s="38">
        <f t="shared" si="8"/>
        <v>7126.7261399999998</v>
      </c>
      <c r="W9" s="29">
        <v>155.72999999999999</v>
      </c>
      <c r="X9" s="39">
        <f t="shared" si="9"/>
        <v>1109845.0617821999</v>
      </c>
      <c r="Y9" s="55">
        <v>1102718.93</v>
      </c>
      <c r="Z9" s="37">
        <v>41922</v>
      </c>
      <c r="AA9" s="54">
        <v>10339</v>
      </c>
      <c r="AB9" s="64"/>
    </row>
    <row r="10" spans="2:28" ht="21.75" customHeight="1">
      <c r="B10" s="28">
        <f t="shared" si="4"/>
        <v>6</v>
      </c>
      <c r="C10" s="10" t="s">
        <v>75</v>
      </c>
      <c r="D10" s="13" t="s">
        <v>76</v>
      </c>
      <c r="E10" s="9">
        <v>41928</v>
      </c>
      <c r="F10" s="12" t="s">
        <v>77</v>
      </c>
      <c r="G10" s="10" t="s">
        <v>33</v>
      </c>
      <c r="H10" s="32" t="s">
        <v>71</v>
      </c>
      <c r="I10" s="10" t="s">
        <v>63</v>
      </c>
      <c r="J10" s="31">
        <v>801.22</v>
      </c>
      <c r="K10" s="30">
        <v>41850</v>
      </c>
      <c r="L10" s="32" t="s">
        <v>78</v>
      </c>
      <c r="M10" s="32" t="s">
        <v>65</v>
      </c>
      <c r="N10" s="10" t="s">
        <v>79</v>
      </c>
      <c r="O10" s="13" t="s">
        <v>80</v>
      </c>
      <c r="P10" s="56">
        <v>722963</v>
      </c>
      <c r="Q10" s="35">
        <f t="shared" si="5"/>
        <v>78372804.015000001</v>
      </c>
      <c r="R10" s="36" t="s">
        <v>31</v>
      </c>
      <c r="S10" s="57">
        <v>108.405</v>
      </c>
      <c r="T10" s="37">
        <f t="shared" si="7"/>
        <v>41939</v>
      </c>
      <c r="U10" s="10" t="s">
        <v>58</v>
      </c>
      <c r="V10" s="53">
        <f t="shared" si="8"/>
        <v>94047.364817999987</v>
      </c>
      <c r="W10" s="29">
        <v>155.72999999999999</v>
      </c>
      <c r="X10" s="35">
        <f t="shared" si="9"/>
        <v>14645996.123107137</v>
      </c>
      <c r="Y10" s="40">
        <v>14551948.01</v>
      </c>
      <c r="Z10" s="37">
        <v>41922</v>
      </c>
      <c r="AA10" s="54">
        <v>10340</v>
      </c>
      <c r="AB10" s="64"/>
    </row>
    <row r="11" spans="2:28" ht="20.25" customHeight="1">
      <c r="B11" s="28">
        <f t="shared" si="4"/>
        <v>7</v>
      </c>
      <c r="C11" s="10" t="s">
        <v>81</v>
      </c>
      <c r="D11" s="13" t="s">
        <v>82</v>
      </c>
      <c r="E11" s="9">
        <v>41928</v>
      </c>
      <c r="F11" s="51">
        <v>201400010343</v>
      </c>
      <c r="G11" s="10" t="s">
        <v>33</v>
      </c>
      <c r="H11" s="10" t="s">
        <v>71</v>
      </c>
      <c r="I11" s="10" t="s">
        <v>63</v>
      </c>
      <c r="J11" s="31">
        <v>801.22</v>
      </c>
      <c r="K11" s="30">
        <v>41873</v>
      </c>
      <c r="L11" s="32" t="s">
        <v>83</v>
      </c>
      <c r="M11" s="43" t="s">
        <v>65</v>
      </c>
      <c r="N11" s="10" t="s">
        <v>84</v>
      </c>
      <c r="O11" s="13" t="s">
        <v>85</v>
      </c>
      <c r="P11" s="52">
        <v>130000</v>
      </c>
      <c r="Q11" s="35">
        <f t="shared" si="5"/>
        <v>13293904</v>
      </c>
      <c r="R11" s="36" t="s">
        <v>31</v>
      </c>
      <c r="S11" s="44">
        <v>102.2608</v>
      </c>
      <c r="T11" s="37">
        <f t="shared" si="7"/>
        <v>41962</v>
      </c>
      <c r="U11" s="10" t="s">
        <v>58</v>
      </c>
      <c r="V11" s="53">
        <f t="shared" si="8"/>
        <v>15952.684799999999</v>
      </c>
      <c r="W11" s="29">
        <v>155.72999999999999</v>
      </c>
      <c r="X11" s="35">
        <f t="shared" si="9"/>
        <v>2484311.6039039996</v>
      </c>
      <c r="Y11" s="40">
        <v>2468358.1800000002</v>
      </c>
      <c r="Z11" s="37">
        <v>41922</v>
      </c>
      <c r="AA11" s="54">
        <v>10346</v>
      </c>
      <c r="AB11" s="64"/>
    </row>
    <row r="12" spans="2:28" ht="20.25" customHeight="1">
      <c r="B12" s="28">
        <f t="shared" si="4"/>
        <v>8</v>
      </c>
      <c r="C12" s="10" t="s">
        <v>86</v>
      </c>
      <c r="D12" s="13" t="s">
        <v>87</v>
      </c>
      <c r="E12" s="9">
        <v>41928</v>
      </c>
      <c r="F12" s="51">
        <v>201400010344</v>
      </c>
      <c r="G12" s="10" t="s">
        <v>33</v>
      </c>
      <c r="H12" s="10" t="s">
        <v>71</v>
      </c>
      <c r="I12" s="10" t="s">
        <v>63</v>
      </c>
      <c r="J12" s="31">
        <v>801.22</v>
      </c>
      <c r="K12" s="30">
        <v>41873</v>
      </c>
      <c r="L12" s="32" t="s">
        <v>83</v>
      </c>
      <c r="M12" s="43" t="s">
        <v>65</v>
      </c>
      <c r="N12" s="10" t="s">
        <v>84</v>
      </c>
      <c r="O12" s="13" t="s">
        <v>85</v>
      </c>
      <c r="P12" s="52">
        <v>461917</v>
      </c>
      <c r="Q12" s="35">
        <f t="shared" si="5"/>
        <v>47236001.953600004</v>
      </c>
      <c r="R12" s="36" t="s">
        <v>31</v>
      </c>
      <c r="S12" s="44">
        <v>102.2608</v>
      </c>
      <c r="T12" s="37">
        <f t="shared" si="7"/>
        <v>41962</v>
      </c>
      <c r="U12" s="10" t="s">
        <v>58</v>
      </c>
      <c r="V12" s="53">
        <f t="shared" si="8"/>
        <v>56683.202344320001</v>
      </c>
      <c r="W12" s="29">
        <v>155.72999999999999</v>
      </c>
      <c r="X12" s="35">
        <f t="shared" si="9"/>
        <v>8827275.1010809541</v>
      </c>
      <c r="Y12" s="40">
        <v>8770591.5399999991</v>
      </c>
      <c r="Z12" s="37">
        <v>41922</v>
      </c>
      <c r="AA12" s="54">
        <v>10347</v>
      </c>
      <c r="AB12" s="64"/>
    </row>
    <row r="13" spans="2:28" ht="28.5" customHeight="1">
      <c r="B13" s="28">
        <f t="shared" si="4"/>
        <v>9</v>
      </c>
      <c r="C13" s="10" t="s">
        <v>88</v>
      </c>
      <c r="D13" s="9" t="s">
        <v>89</v>
      </c>
      <c r="E13" s="9">
        <v>41932</v>
      </c>
      <c r="F13" s="11" t="s">
        <v>90</v>
      </c>
      <c r="G13" s="10" t="s">
        <v>91</v>
      </c>
      <c r="H13" s="10" t="s">
        <v>92</v>
      </c>
      <c r="I13" s="10" t="s">
        <v>63</v>
      </c>
      <c r="J13" s="31">
        <v>801.22</v>
      </c>
      <c r="K13" s="30">
        <v>41886</v>
      </c>
      <c r="L13" s="32" t="s">
        <v>93</v>
      </c>
      <c r="M13" s="32" t="s">
        <v>65</v>
      </c>
      <c r="N13" s="10" t="s">
        <v>94</v>
      </c>
      <c r="O13" s="13" t="s">
        <v>95</v>
      </c>
      <c r="P13" s="34">
        <v>949507</v>
      </c>
      <c r="Q13" s="39">
        <f t="shared" si="5"/>
        <v>95159591.539999992</v>
      </c>
      <c r="R13" s="36" t="s">
        <v>31</v>
      </c>
      <c r="S13" s="8">
        <v>100.22</v>
      </c>
      <c r="T13" s="37">
        <f t="shared" ref="T13:T27" si="10">SUM(K13)+89</f>
        <v>41975</v>
      </c>
      <c r="U13" s="10" t="s">
        <v>91</v>
      </c>
      <c r="V13" s="53">
        <f t="shared" ref="V13:V29" si="11">SUM(Q13*0.12%)</f>
        <v>114191.50984799999</v>
      </c>
      <c r="W13" s="29">
        <v>155.75</v>
      </c>
      <c r="X13" s="35">
        <f t="shared" ref="X13:X29" si="12">SUM(V13*W13)</f>
        <v>17785327.658825997</v>
      </c>
      <c r="Y13" s="40">
        <f t="shared" ref="Y13:Y27" si="13">X13</f>
        <v>17785327.658825997</v>
      </c>
      <c r="Z13" s="29"/>
      <c r="AA13" s="29"/>
      <c r="AB13" s="64"/>
    </row>
    <row r="14" spans="2:28" ht="21.75" customHeight="1">
      <c r="B14" s="28">
        <f t="shared" si="4"/>
        <v>10</v>
      </c>
      <c r="C14" s="10" t="s">
        <v>96</v>
      </c>
      <c r="D14" s="9" t="s">
        <v>97</v>
      </c>
      <c r="E14" s="9">
        <v>41932</v>
      </c>
      <c r="F14" s="11" t="s">
        <v>98</v>
      </c>
      <c r="G14" s="10" t="s">
        <v>91</v>
      </c>
      <c r="H14" s="10" t="s">
        <v>92</v>
      </c>
      <c r="I14" s="10" t="s">
        <v>63</v>
      </c>
      <c r="J14" s="31">
        <v>801.22</v>
      </c>
      <c r="K14" s="30">
        <v>41897</v>
      </c>
      <c r="L14" s="32" t="s">
        <v>99</v>
      </c>
      <c r="M14" s="32" t="s">
        <v>65</v>
      </c>
      <c r="N14" s="10" t="s">
        <v>84</v>
      </c>
      <c r="O14" s="13" t="s">
        <v>85</v>
      </c>
      <c r="P14" s="34">
        <v>949448</v>
      </c>
      <c r="Q14" s="39">
        <f t="shared" si="5"/>
        <v>91879981.856000006</v>
      </c>
      <c r="R14" s="36" t="s">
        <v>31</v>
      </c>
      <c r="S14" s="8">
        <v>96.772000000000006</v>
      </c>
      <c r="T14" s="37">
        <f t="shared" si="10"/>
        <v>41986</v>
      </c>
      <c r="U14" s="10" t="s">
        <v>91</v>
      </c>
      <c r="V14" s="53">
        <f t="shared" si="11"/>
        <v>110255.9782272</v>
      </c>
      <c r="W14" s="29">
        <v>155.75</v>
      </c>
      <c r="X14" s="35">
        <f t="shared" si="12"/>
        <v>17172368.608886398</v>
      </c>
      <c r="Y14" s="40">
        <f t="shared" si="13"/>
        <v>17172368.608886398</v>
      </c>
      <c r="Z14" s="29"/>
      <c r="AA14" s="29"/>
      <c r="AB14" s="64"/>
    </row>
    <row r="15" spans="2:28" ht="21.75" customHeight="1">
      <c r="B15" s="28">
        <f t="shared" si="4"/>
        <v>11</v>
      </c>
      <c r="C15" s="10" t="s">
        <v>100</v>
      </c>
      <c r="D15" s="9" t="s">
        <v>101</v>
      </c>
      <c r="E15" s="9">
        <v>41932</v>
      </c>
      <c r="F15" s="11" t="s">
        <v>102</v>
      </c>
      <c r="G15" s="10" t="s">
        <v>91</v>
      </c>
      <c r="H15" s="10" t="s">
        <v>92</v>
      </c>
      <c r="I15" s="10" t="s">
        <v>29</v>
      </c>
      <c r="J15" s="31">
        <v>801.22</v>
      </c>
      <c r="K15" s="30">
        <v>41901</v>
      </c>
      <c r="L15" s="32" t="s">
        <v>103</v>
      </c>
      <c r="M15" s="32" t="s">
        <v>30</v>
      </c>
      <c r="N15" s="10" t="s">
        <v>104</v>
      </c>
      <c r="O15" s="13" t="s">
        <v>105</v>
      </c>
      <c r="P15" s="34">
        <v>548710</v>
      </c>
      <c r="Q15" s="39">
        <f t="shared" si="5"/>
        <v>52040205.109999999</v>
      </c>
      <c r="R15" s="36" t="s">
        <v>31</v>
      </c>
      <c r="S15" s="8">
        <v>94.840999999999994</v>
      </c>
      <c r="T15" s="37">
        <f t="shared" si="10"/>
        <v>41990</v>
      </c>
      <c r="U15" s="10" t="s">
        <v>91</v>
      </c>
      <c r="V15" s="53">
        <f t="shared" si="11"/>
        <v>62448.246131999993</v>
      </c>
      <c r="W15" s="29">
        <v>155.75</v>
      </c>
      <c r="X15" s="35">
        <f t="shared" si="12"/>
        <v>9726314.3350589983</v>
      </c>
      <c r="Y15" s="40">
        <f t="shared" si="13"/>
        <v>9726314.3350589983</v>
      </c>
      <c r="Z15" s="29"/>
      <c r="AA15" s="29"/>
      <c r="AB15" s="64"/>
    </row>
    <row r="16" spans="2:28" ht="21.75" customHeight="1">
      <c r="B16" s="28">
        <f t="shared" si="4"/>
        <v>12</v>
      </c>
      <c r="C16" s="10" t="s">
        <v>106</v>
      </c>
      <c r="D16" s="9" t="s">
        <v>107</v>
      </c>
      <c r="E16" s="9">
        <v>41932</v>
      </c>
      <c r="F16" s="11" t="s">
        <v>108</v>
      </c>
      <c r="G16" s="10" t="s">
        <v>91</v>
      </c>
      <c r="H16" s="10" t="s">
        <v>92</v>
      </c>
      <c r="I16" s="10" t="s">
        <v>29</v>
      </c>
      <c r="J16" s="31">
        <v>801.22</v>
      </c>
      <c r="K16" s="30">
        <v>41901</v>
      </c>
      <c r="L16" s="32" t="s">
        <v>103</v>
      </c>
      <c r="M16" s="32" t="s">
        <v>30</v>
      </c>
      <c r="N16" s="10" t="s">
        <v>104</v>
      </c>
      <c r="O16" s="13" t="s">
        <v>105</v>
      </c>
      <c r="P16" s="34">
        <v>400000</v>
      </c>
      <c r="Q16" s="39">
        <f t="shared" si="5"/>
        <v>37936400</v>
      </c>
      <c r="R16" s="36" t="s">
        <v>31</v>
      </c>
      <c r="S16" s="8">
        <v>94.840999999999994</v>
      </c>
      <c r="T16" s="37">
        <f t="shared" si="10"/>
        <v>41990</v>
      </c>
      <c r="U16" s="10" t="s">
        <v>91</v>
      </c>
      <c r="V16" s="53">
        <f t="shared" si="11"/>
        <v>45523.679999999993</v>
      </c>
      <c r="W16" s="29">
        <v>155.75</v>
      </c>
      <c r="X16" s="35">
        <f t="shared" si="12"/>
        <v>7090313.1599999992</v>
      </c>
      <c r="Y16" s="40">
        <f t="shared" si="13"/>
        <v>7090313.1599999992</v>
      </c>
      <c r="Z16" s="29"/>
      <c r="AA16" s="29"/>
      <c r="AB16" s="64"/>
    </row>
    <row r="17" spans="2:28" ht="21.75" customHeight="1">
      <c r="B17" s="28">
        <f t="shared" si="4"/>
        <v>13</v>
      </c>
      <c r="C17" s="10" t="s">
        <v>109</v>
      </c>
      <c r="D17" s="9" t="s">
        <v>110</v>
      </c>
      <c r="E17" s="9">
        <v>41932</v>
      </c>
      <c r="F17" s="11" t="s">
        <v>111</v>
      </c>
      <c r="G17" s="10" t="s">
        <v>91</v>
      </c>
      <c r="H17" s="10" t="s">
        <v>92</v>
      </c>
      <c r="I17" s="10" t="s">
        <v>112</v>
      </c>
      <c r="J17" s="31">
        <v>801.22</v>
      </c>
      <c r="K17" s="30">
        <v>41902</v>
      </c>
      <c r="L17" s="32" t="s">
        <v>113</v>
      </c>
      <c r="M17" s="32" t="s">
        <v>114</v>
      </c>
      <c r="N17" s="10" t="s">
        <v>115</v>
      </c>
      <c r="O17" s="13" t="s">
        <v>116</v>
      </c>
      <c r="P17" s="34">
        <v>899925</v>
      </c>
      <c r="Q17" s="39">
        <f t="shared" si="5"/>
        <v>87182934.150000006</v>
      </c>
      <c r="R17" s="36" t="s">
        <v>31</v>
      </c>
      <c r="S17" s="44">
        <v>96.878</v>
      </c>
      <c r="T17" s="37">
        <f t="shared" si="10"/>
        <v>41991</v>
      </c>
      <c r="U17" s="10" t="s">
        <v>91</v>
      </c>
      <c r="V17" s="53">
        <f t="shared" si="11"/>
        <v>104619.52098</v>
      </c>
      <c r="W17" s="29">
        <v>155.75</v>
      </c>
      <c r="X17" s="35">
        <f t="shared" si="12"/>
        <v>16294490.392635001</v>
      </c>
      <c r="Y17" s="40">
        <f t="shared" si="13"/>
        <v>16294490.392635001</v>
      </c>
      <c r="Z17" s="29"/>
      <c r="AA17" s="29"/>
      <c r="AB17" s="64"/>
    </row>
    <row r="18" spans="2:28" ht="21.75" customHeight="1">
      <c r="B18" s="28">
        <f t="shared" si="4"/>
        <v>14</v>
      </c>
      <c r="C18" s="10" t="s">
        <v>117</v>
      </c>
      <c r="D18" s="9" t="s">
        <v>118</v>
      </c>
      <c r="E18" s="9">
        <v>41932</v>
      </c>
      <c r="F18" s="11" t="s">
        <v>119</v>
      </c>
      <c r="G18" s="10" t="s">
        <v>91</v>
      </c>
      <c r="H18" s="10" t="s">
        <v>92</v>
      </c>
      <c r="I18" s="10" t="s">
        <v>54</v>
      </c>
      <c r="J18" s="31">
        <v>801.22</v>
      </c>
      <c r="K18" s="30">
        <v>41910</v>
      </c>
      <c r="L18" s="32" t="s">
        <v>120</v>
      </c>
      <c r="M18" s="32" t="s">
        <v>56</v>
      </c>
      <c r="N18" s="10" t="s">
        <v>84</v>
      </c>
      <c r="O18" s="13" t="s">
        <v>121</v>
      </c>
      <c r="P18" s="34">
        <v>474935</v>
      </c>
      <c r="Q18" s="39">
        <f t="shared" si="5"/>
        <v>45676873.625</v>
      </c>
      <c r="R18" s="36" t="s">
        <v>31</v>
      </c>
      <c r="S18" s="44">
        <v>96.174999999999997</v>
      </c>
      <c r="T18" s="37">
        <f t="shared" si="10"/>
        <v>41999</v>
      </c>
      <c r="U18" s="13" t="s">
        <v>91</v>
      </c>
      <c r="V18" s="53">
        <f t="shared" si="11"/>
        <v>54812.248349999994</v>
      </c>
      <c r="W18" s="29">
        <v>155.75</v>
      </c>
      <c r="X18" s="35">
        <f t="shared" si="12"/>
        <v>8537007.6805124991</v>
      </c>
      <c r="Y18" s="40">
        <f t="shared" si="13"/>
        <v>8537007.6805124991</v>
      </c>
      <c r="Z18" s="29"/>
      <c r="AA18" s="29"/>
      <c r="AB18" s="79" t="s">
        <v>260</v>
      </c>
    </row>
    <row r="19" spans="2:28" ht="21.75" customHeight="1">
      <c r="B19" s="28">
        <f t="shared" si="4"/>
        <v>15</v>
      </c>
      <c r="C19" s="10" t="s">
        <v>122</v>
      </c>
      <c r="D19" s="9" t="s">
        <v>118</v>
      </c>
      <c r="E19" s="9">
        <v>41932</v>
      </c>
      <c r="F19" s="11" t="s">
        <v>119</v>
      </c>
      <c r="G19" s="10" t="s">
        <v>91</v>
      </c>
      <c r="H19" s="10" t="s">
        <v>92</v>
      </c>
      <c r="I19" s="10" t="s">
        <v>54</v>
      </c>
      <c r="J19" s="31">
        <v>801.22</v>
      </c>
      <c r="K19" s="30">
        <v>41910</v>
      </c>
      <c r="L19" s="32" t="s">
        <v>120</v>
      </c>
      <c r="M19" s="32" t="s">
        <v>56</v>
      </c>
      <c r="N19" s="10" t="s">
        <v>84</v>
      </c>
      <c r="O19" s="13" t="s">
        <v>121</v>
      </c>
      <c r="P19" s="34">
        <v>475000</v>
      </c>
      <c r="Q19" s="39">
        <f t="shared" si="5"/>
        <v>45683125</v>
      </c>
      <c r="R19" s="36" t="s">
        <v>31</v>
      </c>
      <c r="S19" s="44">
        <v>96.174999999999997</v>
      </c>
      <c r="T19" s="37">
        <f t="shared" si="10"/>
        <v>41999</v>
      </c>
      <c r="U19" s="13" t="s">
        <v>91</v>
      </c>
      <c r="V19" s="53">
        <f t="shared" si="11"/>
        <v>54819.749999999993</v>
      </c>
      <c r="W19" s="29">
        <v>155.75</v>
      </c>
      <c r="X19" s="35">
        <f t="shared" si="12"/>
        <v>8538176.0624999981</v>
      </c>
      <c r="Y19" s="40">
        <f t="shared" si="13"/>
        <v>8538176.0624999981</v>
      </c>
      <c r="Z19" s="29"/>
      <c r="AA19" s="29"/>
      <c r="AB19" s="79"/>
    </row>
    <row r="20" spans="2:28" ht="26.25">
      <c r="B20" s="28">
        <f t="shared" si="4"/>
        <v>16</v>
      </c>
      <c r="C20" s="10" t="s">
        <v>123</v>
      </c>
      <c r="D20" s="9" t="s">
        <v>124</v>
      </c>
      <c r="E20" s="9">
        <v>41932</v>
      </c>
      <c r="F20" s="11" t="s">
        <v>125</v>
      </c>
      <c r="G20" s="10" t="s">
        <v>91</v>
      </c>
      <c r="H20" s="10" t="s">
        <v>92</v>
      </c>
      <c r="I20" s="10" t="s">
        <v>63</v>
      </c>
      <c r="J20" s="31">
        <v>801.22</v>
      </c>
      <c r="K20" s="30">
        <v>41911</v>
      </c>
      <c r="L20" s="32" t="s">
        <v>126</v>
      </c>
      <c r="M20" s="32" t="s">
        <v>65</v>
      </c>
      <c r="N20" s="10" t="s">
        <v>127</v>
      </c>
      <c r="O20" s="13" t="s">
        <v>128</v>
      </c>
      <c r="P20" s="34">
        <v>200000</v>
      </c>
      <c r="Q20" s="39">
        <f t="shared" si="5"/>
        <v>19035200</v>
      </c>
      <c r="R20" s="36" t="s">
        <v>31</v>
      </c>
      <c r="S20" s="44">
        <v>95.176000000000002</v>
      </c>
      <c r="T20" s="37">
        <f t="shared" si="10"/>
        <v>42000</v>
      </c>
      <c r="U20" s="10" t="s">
        <v>91</v>
      </c>
      <c r="V20" s="53">
        <f t="shared" si="11"/>
        <v>22842.239999999998</v>
      </c>
      <c r="W20" s="29">
        <v>155.75</v>
      </c>
      <c r="X20" s="35">
        <f t="shared" si="12"/>
        <v>3557678.88</v>
      </c>
      <c r="Y20" s="40">
        <f t="shared" si="13"/>
        <v>3557678.88</v>
      </c>
      <c r="Z20" s="29"/>
      <c r="AA20" s="29"/>
      <c r="AB20" s="79" t="s">
        <v>261</v>
      </c>
    </row>
    <row r="21" spans="2:28" ht="26.25">
      <c r="B21" s="28">
        <f t="shared" si="4"/>
        <v>17</v>
      </c>
      <c r="C21" s="10" t="s">
        <v>129</v>
      </c>
      <c r="D21" s="9" t="s">
        <v>124</v>
      </c>
      <c r="E21" s="9">
        <v>41932</v>
      </c>
      <c r="F21" s="11" t="s">
        <v>125</v>
      </c>
      <c r="G21" s="10" t="s">
        <v>91</v>
      </c>
      <c r="H21" s="10" t="s">
        <v>92</v>
      </c>
      <c r="I21" s="10" t="s">
        <v>63</v>
      </c>
      <c r="J21" s="31">
        <v>801.22</v>
      </c>
      <c r="K21" s="30">
        <v>41911</v>
      </c>
      <c r="L21" s="32" t="s">
        <v>126</v>
      </c>
      <c r="M21" s="32" t="s">
        <v>65</v>
      </c>
      <c r="N21" s="10" t="s">
        <v>127</v>
      </c>
      <c r="O21" s="13" t="s">
        <v>128</v>
      </c>
      <c r="P21" s="34">
        <v>200000</v>
      </c>
      <c r="Q21" s="39">
        <f t="shared" si="5"/>
        <v>19035200</v>
      </c>
      <c r="R21" s="36" t="s">
        <v>31</v>
      </c>
      <c r="S21" s="44">
        <v>95.176000000000002</v>
      </c>
      <c r="T21" s="37">
        <f t="shared" si="10"/>
        <v>42000</v>
      </c>
      <c r="U21" s="10" t="s">
        <v>91</v>
      </c>
      <c r="V21" s="53">
        <f t="shared" si="11"/>
        <v>22842.239999999998</v>
      </c>
      <c r="W21" s="29">
        <v>155.75</v>
      </c>
      <c r="X21" s="35">
        <f t="shared" si="12"/>
        <v>3557678.88</v>
      </c>
      <c r="Y21" s="40">
        <f t="shared" si="13"/>
        <v>3557678.88</v>
      </c>
      <c r="Z21" s="29"/>
      <c r="AA21" s="29"/>
      <c r="AB21" s="79"/>
    </row>
    <row r="22" spans="2:28" ht="26.25">
      <c r="B22" s="28">
        <f t="shared" si="4"/>
        <v>18</v>
      </c>
      <c r="C22" s="10" t="s">
        <v>130</v>
      </c>
      <c r="D22" s="9" t="s">
        <v>124</v>
      </c>
      <c r="E22" s="9">
        <v>41932</v>
      </c>
      <c r="F22" s="11" t="s">
        <v>125</v>
      </c>
      <c r="G22" s="10" t="s">
        <v>91</v>
      </c>
      <c r="H22" s="10" t="s">
        <v>92</v>
      </c>
      <c r="I22" s="10" t="s">
        <v>63</v>
      </c>
      <c r="J22" s="31">
        <v>801.22</v>
      </c>
      <c r="K22" s="30">
        <v>41911</v>
      </c>
      <c r="L22" s="32" t="s">
        <v>126</v>
      </c>
      <c r="M22" s="32" t="s">
        <v>65</v>
      </c>
      <c r="N22" s="10" t="s">
        <v>127</v>
      </c>
      <c r="O22" s="13" t="s">
        <v>128</v>
      </c>
      <c r="P22" s="34">
        <v>200000</v>
      </c>
      <c r="Q22" s="39">
        <f t="shared" si="5"/>
        <v>19035200</v>
      </c>
      <c r="R22" s="36" t="s">
        <v>31</v>
      </c>
      <c r="S22" s="44">
        <v>95.176000000000002</v>
      </c>
      <c r="T22" s="37">
        <f t="shared" si="10"/>
        <v>42000</v>
      </c>
      <c r="U22" s="10" t="s">
        <v>91</v>
      </c>
      <c r="V22" s="53">
        <f t="shared" si="11"/>
        <v>22842.239999999998</v>
      </c>
      <c r="W22" s="29">
        <v>155.75</v>
      </c>
      <c r="X22" s="35">
        <f t="shared" si="12"/>
        <v>3557678.88</v>
      </c>
      <c r="Y22" s="40">
        <f t="shared" si="13"/>
        <v>3557678.88</v>
      </c>
      <c r="Z22" s="29"/>
      <c r="AA22" s="29"/>
      <c r="AB22" s="79"/>
    </row>
    <row r="23" spans="2:28" ht="26.25">
      <c r="B23" s="28">
        <f t="shared" si="4"/>
        <v>19</v>
      </c>
      <c r="C23" s="10" t="s">
        <v>131</v>
      </c>
      <c r="D23" s="9" t="s">
        <v>124</v>
      </c>
      <c r="E23" s="9">
        <v>41932</v>
      </c>
      <c r="F23" s="11" t="s">
        <v>125</v>
      </c>
      <c r="G23" s="10" t="s">
        <v>91</v>
      </c>
      <c r="H23" s="10" t="s">
        <v>92</v>
      </c>
      <c r="I23" s="10" t="s">
        <v>63</v>
      </c>
      <c r="J23" s="31">
        <v>801.22</v>
      </c>
      <c r="K23" s="30">
        <v>41911</v>
      </c>
      <c r="L23" s="32" t="s">
        <v>126</v>
      </c>
      <c r="M23" s="32" t="s">
        <v>65</v>
      </c>
      <c r="N23" s="10" t="s">
        <v>127</v>
      </c>
      <c r="O23" s="13" t="s">
        <v>128</v>
      </c>
      <c r="P23" s="34">
        <v>13605</v>
      </c>
      <c r="Q23" s="39">
        <f t="shared" si="5"/>
        <v>1294869.48</v>
      </c>
      <c r="R23" s="36" t="s">
        <v>31</v>
      </c>
      <c r="S23" s="44">
        <v>95.176000000000002</v>
      </c>
      <c r="T23" s="37">
        <f t="shared" si="10"/>
        <v>42000</v>
      </c>
      <c r="U23" s="10" t="s">
        <v>91</v>
      </c>
      <c r="V23" s="53">
        <f t="shared" si="11"/>
        <v>1553.8433759999998</v>
      </c>
      <c r="W23" s="29">
        <v>155.75</v>
      </c>
      <c r="X23" s="35">
        <f t="shared" si="12"/>
        <v>242011.10581199997</v>
      </c>
      <c r="Y23" s="40">
        <f t="shared" si="13"/>
        <v>242011.10581199997</v>
      </c>
      <c r="Z23" s="29"/>
      <c r="AA23" s="29"/>
      <c r="AB23" s="79"/>
    </row>
    <row r="24" spans="2:28" ht="26.25">
      <c r="B24" s="28">
        <f t="shared" si="4"/>
        <v>20</v>
      </c>
      <c r="C24" s="10" t="s">
        <v>132</v>
      </c>
      <c r="D24" s="9" t="s">
        <v>133</v>
      </c>
      <c r="E24" s="9">
        <v>41932</v>
      </c>
      <c r="F24" s="11" t="s">
        <v>134</v>
      </c>
      <c r="G24" s="10" t="s">
        <v>91</v>
      </c>
      <c r="H24" s="10" t="s">
        <v>92</v>
      </c>
      <c r="I24" s="10" t="s">
        <v>63</v>
      </c>
      <c r="J24" s="31">
        <v>801.22</v>
      </c>
      <c r="K24" s="30">
        <v>41911</v>
      </c>
      <c r="L24" s="32" t="s">
        <v>126</v>
      </c>
      <c r="M24" s="32" t="s">
        <v>65</v>
      </c>
      <c r="N24" s="10" t="s">
        <v>127</v>
      </c>
      <c r="O24" s="13" t="s">
        <v>128</v>
      </c>
      <c r="P24" s="34">
        <v>110000</v>
      </c>
      <c r="Q24" s="39">
        <f t="shared" si="5"/>
        <v>10469360</v>
      </c>
      <c r="R24" s="36" t="s">
        <v>31</v>
      </c>
      <c r="S24" s="44">
        <v>95.176000000000002</v>
      </c>
      <c r="T24" s="37">
        <f t="shared" si="10"/>
        <v>42000</v>
      </c>
      <c r="U24" s="10" t="s">
        <v>91</v>
      </c>
      <c r="V24" s="53">
        <f t="shared" si="11"/>
        <v>12563.231999999998</v>
      </c>
      <c r="W24" s="29">
        <v>155.75</v>
      </c>
      <c r="X24" s="35">
        <f t="shared" si="12"/>
        <v>1956723.3839999996</v>
      </c>
      <c r="Y24" s="40">
        <f t="shared" si="13"/>
        <v>1956723.3839999996</v>
      </c>
      <c r="Z24" s="29"/>
      <c r="AA24" s="29"/>
      <c r="AB24" s="64"/>
    </row>
    <row r="25" spans="2:28" ht="26.25">
      <c r="B25" s="28">
        <f t="shared" si="4"/>
        <v>21</v>
      </c>
      <c r="C25" s="10" t="s">
        <v>135</v>
      </c>
      <c r="D25" s="9" t="s">
        <v>136</v>
      </c>
      <c r="E25" s="9">
        <v>41932</v>
      </c>
      <c r="F25" s="11" t="s">
        <v>137</v>
      </c>
      <c r="G25" s="10" t="s">
        <v>91</v>
      </c>
      <c r="H25" s="10" t="s">
        <v>92</v>
      </c>
      <c r="I25" s="10" t="s">
        <v>63</v>
      </c>
      <c r="J25" s="31">
        <v>801.22</v>
      </c>
      <c r="K25" s="30">
        <v>41911</v>
      </c>
      <c r="L25" s="32" t="s">
        <v>126</v>
      </c>
      <c r="M25" s="32" t="s">
        <v>65</v>
      </c>
      <c r="N25" s="10" t="s">
        <v>127</v>
      </c>
      <c r="O25" s="13" t="s">
        <v>128</v>
      </c>
      <c r="P25" s="34">
        <v>76000</v>
      </c>
      <c r="Q25" s="39">
        <f t="shared" si="5"/>
        <v>7233376</v>
      </c>
      <c r="R25" s="36" t="s">
        <v>31</v>
      </c>
      <c r="S25" s="44">
        <v>95.176000000000002</v>
      </c>
      <c r="T25" s="37">
        <f t="shared" si="10"/>
        <v>42000</v>
      </c>
      <c r="U25" s="10" t="s">
        <v>91</v>
      </c>
      <c r="V25" s="53">
        <f t="shared" si="11"/>
        <v>8680.0511999999999</v>
      </c>
      <c r="W25" s="29">
        <v>155.75</v>
      </c>
      <c r="X25" s="35">
        <f t="shared" si="12"/>
        <v>1351917.9743999999</v>
      </c>
      <c r="Y25" s="40">
        <f t="shared" si="13"/>
        <v>1351917.9743999999</v>
      </c>
      <c r="Z25" s="29"/>
      <c r="AA25" s="29"/>
      <c r="AB25" s="64"/>
    </row>
    <row r="26" spans="2:28" ht="26.25">
      <c r="B26" s="28">
        <f t="shared" si="4"/>
        <v>22</v>
      </c>
      <c r="C26" s="10" t="s">
        <v>138</v>
      </c>
      <c r="D26" s="9" t="s">
        <v>139</v>
      </c>
      <c r="E26" s="9">
        <v>41932</v>
      </c>
      <c r="F26" s="11" t="s">
        <v>140</v>
      </c>
      <c r="G26" s="10" t="s">
        <v>91</v>
      </c>
      <c r="H26" s="10" t="s">
        <v>92</v>
      </c>
      <c r="I26" s="10" t="s">
        <v>63</v>
      </c>
      <c r="J26" s="31">
        <v>801.22</v>
      </c>
      <c r="K26" s="30">
        <v>41911</v>
      </c>
      <c r="L26" s="32" t="s">
        <v>126</v>
      </c>
      <c r="M26" s="32" t="s">
        <v>65</v>
      </c>
      <c r="N26" s="10" t="s">
        <v>127</v>
      </c>
      <c r="O26" s="13" t="s">
        <v>128</v>
      </c>
      <c r="P26" s="34">
        <v>90000</v>
      </c>
      <c r="Q26" s="39">
        <f t="shared" si="5"/>
        <v>8565840</v>
      </c>
      <c r="R26" s="36" t="s">
        <v>31</v>
      </c>
      <c r="S26" s="44">
        <v>95.176000000000002</v>
      </c>
      <c r="T26" s="37">
        <f t="shared" si="10"/>
        <v>42000</v>
      </c>
      <c r="U26" s="10" t="s">
        <v>91</v>
      </c>
      <c r="V26" s="38">
        <f t="shared" si="11"/>
        <v>10279.008</v>
      </c>
      <c r="W26" s="29">
        <v>155.75</v>
      </c>
      <c r="X26" s="39">
        <f t="shared" si="12"/>
        <v>1600955.496</v>
      </c>
      <c r="Y26" s="40">
        <f t="shared" si="13"/>
        <v>1600955.496</v>
      </c>
      <c r="Z26" s="29"/>
      <c r="AA26" s="29"/>
      <c r="AB26" s="64"/>
    </row>
    <row r="27" spans="2:28" ht="26.25">
      <c r="B27" s="28">
        <f t="shared" si="4"/>
        <v>23</v>
      </c>
      <c r="C27" s="10" t="s">
        <v>141</v>
      </c>
      <c r="D27" s="9" t="s">
        <v>142</v>
      </c>
      <c r="E27" s="9">
        <v>41932</v>
      </c>
      <c r="F27" s="11" t="s">
        <v>143</v>
      </c>
      <c r="G27" s="10" t="s">
        <v>91</v>
      </c>
      <c r="H27" s="10" t="s">
        <v>92</v>
      </c>
      <c r="I27" s="10" t="s">
        <v>63</v>
      </c>
      <c r="J27" s="31">
        <v>801.22</v>
      </c>
      <c r="K27" s="30">
        <v>41911</v>
      </c>
      <c r="L27" s="32" t="s">
        <v>126</v>
      </c>
      <c r="M27" s="32" t="s">
        <v>65</v>
      </c>
      <c r="N27" s="10" t="s">
        <v>127</v>
      </c>
      <c r="O27" s="13" t="s">
        <v>128</v>
      </c>
      <c r="P27" s="52">
        <v>60000</v>
      </c>
      <c r="Q27" s="39">
        <f t="shared" si="5"/>
        <v>5710560</v>
      </c>
      <c r="R27" s="36" t="s">
        <v>31</v>
      </c>
      <c r="S27" s="44">
        <v>95.176000000000002</v>
      </c>
      <c r="T27" s="37">
        <f t="shared" si="10"/>
        <v>42000</v>
      </c>
      <c r="U27" s="10" t="s">
        <v>91</v>
      </c>
      <c r="V27" s="38">
        <f t="shared" si="11"/>
        <v>6852.6719999999996</v>
      </c>
      <c r="W27" s="29">
        <v>155.75</v>
      </c>
      <c r="X27" s="39">
        <f t="shared" si="12"/>
        <v>1067303.6639999999</v>
      </c>
      <c r="Y27" s="40">
        <f t="shared" si="13"/>
        <v>1067303.6639999999</v>
      </c>
      <c r="Z27" s="29"/>
      <c r="AA27" s="29"/>
      <c r="AB27" s="64"/>
    </row>
    <row r="28" spans="2:28" ht="20.25" customHeight="1">
      <c r="B28" s="28">
        <f t="shared" si="4"/>
        <v>24</v>
      </c>
      <c r="C28" s="10" t="s">
        <v>144</v>
      </c>
      <c r="D28" s="10" t="s">
        <v>145</v>
      </c>
      <c r="E28" s="37">
        <v>41934</v>
      </c>
      <c r="F28" s="51">
        <v>201400010342</v>
      </c>
      <c r="G28" s="10" t="s">
        <v>33</v>
      </c>
      <c r="H28" s="10" t="s">
        <v>62</v>
      </c>
      <c r="I28" s="10" t="s">
        <v>63</v>
      </c>
      <c r="J28" s="31">
        <v>801.22</v>
      </c>
      <c r="K28" s="30">
        <v>41873</v>
      </c>
      <c r="L28" s="32" t="s">
        <v>83</v>
      </c>
      <c r="M28" s="43" t="s">
        <v>65</v>
      </c>
      <c r="N28" s="10" t="s">
        <v>84</v>
      </c>
      <c r="O28" s="13" t="s">
        <v>85</v>
      </c>
      <c r="P28" s="52">
        <v>80000</v>
      </c>
      <c r="Q28" s="39">
        <f t="shared" si="5"/>
        <v>8124960</v>
      </c>
      <c r="R28" s="36" t="s">
        <v>31</v>
      </c>
      <c r="S28" s="44">
        <v>101.562</v>
      </c>
      <c r="T28" s="37">
        <f t="shared" ref="T28:T30" si="14">SUM(K28)+89</f>
        <v>41962</v>
      </c>
      <c r="U28" s="10" t="s">
        <v>58</v>
      </c>
      <c r="V28" s="53">
        <f t="shared" si="11"/>
        <v>9749.9519999999993</v>
      </c>
      <c r="W28" s="29">
        <v>155.72999999999999</v>
      </c>
      <c r="X28" s="35">
        <f t="shared" si="12"/>
        <v>1518360.0249599998</v>
      </c>
      <c r="Y28" s="40">
        <v>1508609.77</v>
      </c>
      <c r="Z28" s="37">
        <v>41922</v>
      </c>
      <c r="AA28" s="54">
        <v>11247</v>
      </c>
      <c r="AB28" s="64"/>
    </row>
    <row r="29" spans="2:28" ht="23.25" customHeight="1">
      <c r="B29" s="28">
        <f t="shared" si="4"/>
        <v>25</v>
      </c>
      <c r="C29" s="10" t="s">
        <v>146</v>
      </c>
      <c r="D29" s="58" t="s">
        <v>147</v>
      </c>
      <c r="E29" s="30">
        <v>41934</v>
      </c>
      <c r="F29" s="11" t="s">
        <v>148</v>
      </c>
      <c r="G29" s="10" t="s">
        <v>149</v>
      </c>
      <c r="H29" s="10" t="s">
        <v>150</v>
      </c>
      <c r="I29" s="10" t="s">
        <v>151</v>
      </c>
      <c r="J29" s="31">
        <v>801.22</v>
      </c>
      <c r="K29" s="9">
        <v>41879</v>
      </c>
      <c r="L29" s="10" t="s">
        <v>152</v>
      </c>
      <c r="M29" s="10" t="s">
        <v>153</v>
      </c>
      <c r="N29" s="10" t="s">
        <v>154</v>
      </c>
      <c r="O29" s="13" t="s">
        <v>155</v>
      </c>
      <c r="P29" s="52">
        <v>254852</v>
      </c>
      <c r="Q29" s="39">
        <f t="shared" si="5"/>
        <v>25778789.504000001</v>
      </c>
      <c r="R29" s="36" t="s">
        <v>31</v>
      </c>
      <c r="S29" s="44">
        <v>101.152</v>
      </c>
      <c r="T29" s="37">
        <f t="shared" si="14"/>
        <v>41968</v>
      </c>
      <c r="U29" s="13" t="s">
        <v>149</v>
      </c>
      <c r="V29" s="53">
        <f t="shared" si="11"/>
        <v>30934.5474048</v>
      </c>
      <c r="W29" s="29">
        <v>155.72999999999999</v>
      </c>
      <c r="X29" s="35">
        <f t="shared" si="12"/>
        <v>4817437.0673495037</v>
      </c>
      <c r="Y29" s="40">
        <v>4802910.9800000004</v>
      </c>
      <c r="Z29" s="41" t="s">
        <v>156</v>
      </c>
      <c r="AA29" s="76" t="s">
        <v>157</v>
      </c>
      <c r="AB29" s="64"/>
    </row>
    <row r="30" spans="2:28" ht="21.75" customHeight="1">
      <c r="B30" s="28">
        <f t="shared" si="4"/>
        <v>26</v>
      </c>
      <c r="C30" s="10" t="s">
        <v>50</v>
      </c>
      <c r="D30" s="10" t="s">
        <v>51</v>
      </c>
      <c r="E30" s="9">
        <v>41935</v>
      </c>
      <c r="F30" s="12" t="s">
        <v>52</v>
      </c>
      <c r="G30" s="10" t="s">
        <v>49</v>
      </c>
      <c r="H30" s="10" t="s">
        <v>53</v>
      </c>
      <c r="I30" s="10" t="s">
        <v>54</v>
      </c>
      <c r="J30" s="31">
        <v>801.22</v>
      </c>
      <c r="K30" s="30">
        <v>41844</v>
      </c>
      <c r="L30" s="32" t="s">
        <v>55</v>
      </c>
      <c r="M30" s="32" t="s">
        <v>56</v>
      </c>
      <c r="N30" s="10" t="s">
        <v>47</v>
      </c>
      <c r="O30" s="13" t="s">
        <v>57</v>
      </c>
      <c r="P30" s="34">
        <v>948707</v>
      </c>
      <c r="Q30" s="39">
        <f t="shared" si="5"/>
        <v>103592922.41659999</v>
      </c>
      <c r="R30" s="36" t="s">
        <v>31</v>
      </c>
      <c r="S30" s="59">
        <v>109.1938</v>
      </c>
      <c r="T30" s="37">
        <f t="shared" si="14"/>
        <v>41933</v>
      </c>
      <c r="U30" s="10" t="s">
        <v>58</v>
      </c>
      <c r="V30" s="38">
        <f>SUM(Q30*0.12%)</f>
        <v>124311.50689991997</v>
      </c>
      <c r="W30" s="29">
        <v>155.72999999999999</v>
      </c>
      <c r="X30" s="39">
        <f>SUM(V30*W30)</f>
        <v>19359030.969524536</v>
      </c>
      <c r="Y30" s="55">
        <v>19552621.280000001</v>
      </c>
      <c r="Z30" s="37">
        <v>41922</v>
      </c>
      <c r="AA30" s="54">
        <v>10331</v>
      </c>
      <c r="AB30" s="64"/>
    </row>
    <row r="31" spans="2:28" ht="26.25">
      <c r="B31" s="28">
        <f t="shared" si="4"/>
        <v>27</v>
      </c>
      <c r="C31" s="10" t="s">
        <v>158</v>
      </c>
      <c r="D31" s="10" t="s">
        <v>159</v>
      </c>
      <c r="E31" s="9">
        <v>41940</v>
      </c>
      <c r="F31" s="51">
        <v>201401010087</v>
      </c>
      <c r="G31" s="10" t="s">
        <v>160</v>
      </c>
      <c r="H31" s="10" t="s">
        <v>161</v>
      </c>
      <c r="I31" s="10" t="s">
        <v>63</v>
      </c>
      <c r="J31" s="31">
        <v>801.22</v>
      </c>
      <c r="K31" s="30">
        <v>41904</v>
      </c>
      <c r="L31" s="32" t="s">
        <v>162</v>
      </c>
      <c r="M31" s="32" t="s">
        <v>65</v>
      </c>
      <c r="N31" s="10" t="s">
        <v>84</v>
      </c>
      <c r="O31" s="13" t="s">
        <v>163</v>
      </c>
      <c r="P31" s="34">
        <v>20000</v>
      </c>
      <c r="Q31" s="39">
        <f t="shared" si="5"/>
        <v>1927980</v>
      </c>
      <c r="R31" s="36" t="s">
        <v>31</v>
      </c>
      <c r="S31" s="8">
        <v>96.399000000000001</v>
      </c>
      <c r="T31" s="37">
        <f t="shared" ref="T31:T36" si="15">SUM(K31)+89</f>
        <v>41993</v>
      </c>
      <c r="U31" s="10" t="s">
        <v>160</v>
      </c>
      <c r="V31" s="53">
        <f t="shared" ref="V31:V47" si="16">SUM(Q31*0.12%)</f>
        <v>2313.576</v>
      </c>
      <c r="W31" s="29">
        <v>155.75</v>
      </c>
      <c r="X31" s="35">
        <f t="shared" ref="X31:X33" si="17">SUM(V31*W31)</f>
        <v>360339.462</v>
      </c>
      <c r="Y31" s="40">
        <v>360339.46</v>
      </c>
      <c r="Z31" s="37">
        <v>41936</v>
      </c>
      <c r="AA31" s="54">
        <v>4431</v>
      </c>
      <c r="AB31" s="64"/>
    </row>
    <row r="32" spans="2:28" ht="26.25">
      <c r="B32" s="28">
        <f t="shared" si="4"/>
        <v>28</v>
      </c>
      <c r="C32" s="10" t="s">
        <v>164</v>
      </c>
      <c r="D32" s="10" t="s">
        <v>165</v>
      </c>
      <c r="E32" s="9">
        <v>41940</v>
      </c>
      <c r="F32" s="51">
        <v>201401010088</v>
      </c>
      <c r="G32" s="10" t="s">
        <v>160</v>
      </c>
      <c r="H32" s="10" t="s">
        <v>161</v>
      </c>
      <c r="I32" s="10" t="s">
        <v>63</v>
      </c>
      <c r="J32" s="31">
        <v>801.22</v>
      </c>
      <c r="K32" s="30">
        <v>41904</v>
      </c>
      <c r="L32" s="32" t="s">
        <v>162</v>
      </c>
      <c r="M32" s="32" t="s">
        <v>65</v>
      </c>
      <c r="N32" s="10" t="s">
        <v>84</v>
      </c>
      <c r="O32" s="13" t="s">
        <v>163</v>
      </c>
      <c r="P32" s="34">
        <v>18000</v>
      </c>
      <c r="Q32" s="35">
        <f t="shared" si="5"/>
        <v>1735182</v>
      </c>
      <c r="R32" s="36" t="s">
        <v>31</v>
      </c>
      <c r="S32" s="8">
        <v>96.399000000000001</v>
      </c>
      <c r="T32" s="37">
        <f t="shared" si="15"/>
        <v>41993</v>
      </c>
      <c r="U32" s="10" t="s">
        <v>160</v>
      </c>
      <c r="V32" s="53">
        <f t="shared" si="16"/>
        <v>2082.2183999999997</v>
      </c>
      <c r="W32" s="29">
        <v>155.75</v>
      </c>
      <c r="X32" s="35">
        <f t="shared" si="17"/>
        <v>324305.51579999994</v>
      </c>
      <c r="Y32" s="40">
        <v>324305.52</v>
      </c>
      <c r="Z32" s="37">
        <v>41936</v>
      </c>
      <c r="AA32" s="54">
        <v>4433</v>
      </c>
      <c r="AB32" s="64"/>
    </row>
    <row r="33" spans="2:28" ht="26.25">
      <c r="B33" s="28">
        <f t="shared" si="4"/>
        <v>29</v>
      </c>
      <c r="C33" s="10" t="s">
        <v>166</v>
      </c>
      <c r="D33" s="10" t="s">
        <v>167</v>
      </c>
      <c r="E33" s="9">
        <v>41940</v>
      </c>
      <c r="F33" s="11" t="s">
        <v>168</v>
      </c>
      <c r="G33" s="10" t="s">
        <v>169</v>
      </c>
      <c r="H33" s="10" t="s">
        <v>161</v>
      </c>
      <c r="I33" s="10" t="s">
        <v>63</v>
      </c>
      <c r="J33" s="31">
        <v>801.22</v>
      </c>
      <c r="K33" s="30">
        <v>41904</v>
      </c>
      <c r="L33" s="32" t="s">
        <v>162</v>
      </c>
      <c r="M33" s="32" t="s">
        <v>65</v>
      </c>
      <c r="N33" s="10" t="s">
        <v>84</v>
      </c>
      <c r="O33" s="13" t="s">
        <v>163</v>
      </c>
      <c r="P33" s="34">
        <v>24000</v>
      </c>
      <c r="Q33" s="35">
        <f t="shared" si="5"/>
        <v>2287440</v>
      </c>
      <c r="R33" s="36" t="s">
        <v>31</v>
      </c>
      <c r="S33" s="8">
        <v>95.31</v>
      </c>
      <c r="T33" s="37">
        <f t="shared" si="15"/>
        <v>41993</v>
      </c>
      <c r="U33" s="10" t="s">
        <v>160</v>
      </c>
      <c r="V33" s="53">
        <f t="shared" si="16"/>
        <v>2744.9279999999999</v>
      </c>
      <c r="W33" s="29">
        <v>155.75</v>
      </c>
      <c r="X33" s="35">
        <f t="shared" si="17"/>
        <v>427522.53599999996</v>
      </c>
      <c r="Y33" s="40">
        <v>432407.35</v>
      </c>
      <c r="Z33" s="37">
        <v>41936</v>
      </c>
      <c r="AA33" s="54">
        <v>4432</v>
      </c>
      <c r="AB33" s="64"/>
    </row>
    <row r="34" spans="2:28" ht="21.75" customHeight="1">
      <c r="B34" s="28">
        <f t="shared" si="4"/>
        <v>30</v>
      </c>
      <c r="C34" s="10" t="s">
        <v>170</v>
      </c>
      <c r="D34" s="10" t="s">
        <v>171</v>
      </c>
      <c r="E34" s="37">
        <v>41940</v>
      </c>
      <c r="F34" s="11" t="s">
        <v>172</v>
      </c>
      <c r="G34" s="10" t="s">
        <v>49</v>
      </c>
      <c r="H34" s="10" t="s">
        <v>173</v>
      </c>
      <c r="I34" s="10" t="s">
        <v>63</v>
      </c>
      <c r="J34" s="31">
        <v>801.22</v>
      </c>
      <c r="K34" s="9">
        <v>41844</v>
      </c>
      <c r="L34" s="10" t="s">
        <v>64</v>
      </c>
      <c r="M34" s="10" t="s">
        <v>65</v>
      </c>
      <c r="N34" s="10" t="s">
        <v>66</v>
      </c>
      <c r="O34" s="13" t="s">
        <v>67</v>
      </c>
      <c r="P34" s="52">
        <v>252934</v>
      </c>
      <c r="Q34" s="39">
        <f t="shared" si="5"/>
        <v>27244785.810000002</v>
      </c>
      <c r="R34" s="36" t="s">
        <v>31</v>
      </c>
      <c r="S34" s="44">
        <v>107.715</v>
      </c>
      <c r="T34" s="37">
        <f t="shared" si="15"/>
        <v>41933</v>
      </c>
      <c r="U34" s="10" t="s">
        <v>49</v>
      </c>
      <c r="V34" s="38">
        <f t="shared" si="16"/>
        <v>32693.742972</v>
      </c>
      <c r="W34" s="29">
        <v>155.72999999999999</v>
      </c>
      <c r="X34" s="39">
        <f t="shared" ref="X34:X35" si="18">SUM(V34*W34)</f>
        <v>5091396.5930295596</v>
      </c>
      <c r="Y34" s="55">
        <v>5076030.53</v>
      </c>
      <c r="Z34" s="37">
        <v>41939</v>
      </c>
      <c r="AA34" s="54">
        <v>3553</v>
      </c>
      <c r="AB34" s="64"/>
    </row>
    <row r="35" spans="2:28" ht="20.25" customHeight="1">
      <c r="B35" s="28">
        <f t="shared" si="4"/>
        <v>31</v>
      </c>
      <c r="C35" s="10" t="s">
        <v>174</v>
      </c>
      <c r="D35" s="10" t="s">
        <v>175</v>
      </c>
      <c r="E35" s="37">
        <v>41940</v>
      </c>
      <c r="F35" s="11" t="s">
        <v>176</v>
      </c>
      <c r="G35" s="10" t="s">
        <v>49</v>
      </c>
      <c r="H35" s="10" t="s">
        <v>177</v>
      </c>
      <c r="I35" s="10" t="s">
        <v>63</v>
      </c>
      <c r="J35" s="31">
        <v>801.22</v>
      </c>
      <c r="K35" s="9">
        <v>41854</v>
      </c>
      <c r="L35" s="10" t="s">
        <v>178</v>
      </c>
      <c r="M35" s="10" t="s">
        <v>65</v>
      </c>
      <c r="N35" s="10" t="s">
        <v>179</v>
      </c>
      <c r="O35" s="13" t="s">
        <v>180</v>
      </c>
      <c r="P35" s="52">
        <v>627201</v>
      </c>
      <c r="Q35" s="39">
        <f t="shared" si="5"/>
        <v>64809306.531000003</v>
      </c>
      <c r="R35" s="36" t="s">
        <v>31</v>
      </c>
      <c r="S35" s="77">
        <v>103.331</v>
      </c>
      <c r="T35" s="37">
        <f t="shared" si="15"/>
        <v>41943</v>
      </c>
      <c r="U35" s="10" t="s">
        <v>49</v>
      </c>
      <c r="V35" s="38">
        <f t="shared" si="16"/>
        <v>77771.167837200002</v>
      </c>
      <c r="W35" s="29">
        <v>155.72999999999999</v>
      </c>
      <c r="X35" s="39">
        <f t="shared" si="18"/>
        <v>12111303.967287155</v>
      </c>
      <c r="Y35" s="55">
        <v>12074751.52</v>
      </c>
      <c r="Z35" s="37">
        <v>41939</v>
      </c>
      <c r="AA35" s="54">
        <v>3552</v>
      </c>
      <c r="AB35" s="64"/>
    </row>
    <row r="36" spans="2:28" ht="26.25">
      <c r="B36" s="28">
        <f>B35+1</f>
        <v>32</v>
      </c>
      <c r="C36" s="10" t="s">
        <v>181</v>
      </c>
      <c r="D36" s="10" t="s">
        <v>182</v>
      </c>
      <c r="E36" s="37">
        <v>41940</v>
      </c>
      <c r="F36" s="51">
        <v>201400010332</v>
      </c>
      <c r="G36" s="10" t="s">
        <v>49</v>
      </c>
      <c r="H36" s="10" t="s">
        <v>183</v>
      </c>
      <c r="I36" s="10" t="s">
        <v>63</v>
      </c>
      <c r="J36" s="31">
        <v>801.22</v>
      </c>
      <c r="K36" s="30">
        <v>41904</v>
      </c>
      <c r="L36" s="32" t="s">
        <v>162</v>
      </c>
      <c r="M36" s="32" t="s">
        <v>65</v>
      </c>
      <c r="N36" s="10" t="s">
        <v>84</v>
      </c>
      <c r="O36" s="13" t="s">
        <v>163</v>
      </c>
      <c r="P36" s="34">
        <v>555586</v>
      </c>
      <c r="Q36" s="35">
        <f t="shared" si="5"/>
        <v>52854562.938000001</v>
      </c>
      <c r="R36" s="36" t="s">
        <v>31</v>
      </c>
      <c r="S36" s="8">
        <v>95.132999999999996</v>
      </c>
      <c r="T36" s="37">
        <f t="shared" si="15"/>
        <v>41993</v>
      </c>
      <c r="U36" s="13" t="s">
        <v>49</v>
      </c>
      <c r="V36" s="53">
        <f t="shared" si="16"/>
        <v>63425.475525599999</v>
      </c>
      <c r="W36" s="29">
        <v>155.75</v>
      </c>
      <c r="X36" s="35">
        <f t="shared" ref="X36" si="19">SUM(V36*W36)</f>
        <v>9878517.8131121993</v>
      </c>
      <c r="Y36" s="40">
        <v>9847439.3300000001</v>
      </c>
      <c r="Z36" s="37">
        <v>41939</v>
      </c>
      <c r="AA36" s="54">
        <v>3551</v>
      </c>
      <c r="AB36" s="64"/>
    </row>
    <row r="37" spans="2:28" ht="20.25" customHeight="1">
      <c r="B37" s="28">
        <f t="shared" si="4"/>
        <v>33</v>
      </c>
      <c r="C37" s="10" t="s">
        <v>184</v>
      </c>
      <c r="D37" s="60" t="s">
        <v>185</v>
      </c>
      <c r="E37" s="9">
        <v>41940</v>
      </c>
      <c r="F37" s="12" t="s">
        <v>186</v>
      </c>
      <c r="G37" s="10" t="s">
        <v>187</v>
      </c>
      <c r="H37" s="10" t="s">
        <v>188</v>
      </c>
      <c r="I37" s="10" t="s">
        <v>63</v>
      </c>
      <c r="J37" s="31">
        <v>801.22</v>
      </c>
      <c r="K37" s="30">
        <v>41854</v>
      </c>
      <c r="L37" s="32" t="s">
        <v>178</v>
      </c>
      <c r="M37" s="32" t="s">
        <v>65</v>
      </c>
      <c r="N37" s="10" t="s">
        <v>179</v>
      </c>
      <c r="O37" s="33" t="s">
        <v>180</v>
      </c>
      <c r="P37" s="52">
        <v>38000</v>
      </c>
      <c r="Q37" s="35">
        <f t="shared" si="5"/>
        <v>3865246</v>
      </c>
      <c r="R37" s="36" t="s">
        <v>31</v>
      </c>
      <c r="S37" s="8">
        <v>101.717</v>
      </c>
      <c r="T37" s="37">
        <f t="shared" ref="T37:T38" si="20">SUM(K37)+89</f>
        <v>41943</v>
      </c>
      <c r="U37" s="10" t="s">
        <v>189</v>
      </c>
      <c r="V37" s="53">
        <f t="shared" si="16"/>
        <v>4638.2951999999996</v>
      </c>
      <c r="W37" s="29">
        <v>155.72999999999999</v>
      </c>
      <c r="X37" s="35">
        <f t="shared" ref="X37:X47" si="21">SUM(V37*W37)</f>
        <v>722321.71149599983</v>
      </c>
      <c r="Y37" s="40">
        <v>722321.71</v>
      </c>
      <c r="Z37" s="37">
        <v>41939</v>
      </c>
      <c r="AA37" s="54">
        <v>29092</v>
      </c>
      <c r="AB37" s="64"/>
    </row>
    <row r="38" spans="2:28" ht="20.25" customHeight="1">
      <c r="B38" s="28">
        <f t="shared" si="4"/>
        <v>34</v>
      </c>
      <c r="C38" s="10" t="s">
        <v>190</v>
      </c>
      <c r="D38" s="60" t="s">
        <v>191</v>
      </c>
      <c r="E38" s="9">
        <v>41940</v>
      </c>
      <c r="F38" s="51">
        <v>201402050458</v>
      </c>
      <c r="G38" s="10" t="s">
        <v>187</v>
      </c>
      <c r="H38" s="10" t="s">
        <v>192</v>
      </c>
      <c r="I38" s="10" t="s">
        <v>63</v>
      </c>
      <c r="J38" s="31">
        <v>801.22</v>
      </c>
      <c r="K38" s="9">
        <v>41873</v>
      </c>
      <c r="L38" s="10" t="s">
        <v>83</v>
      </c>
      <c r="M38" s="61" t="s">
        <v>65</v>
      </c>
      <c r="N38" s="10" t="s">
        <v>84</v>
      </c>
      <c r="O38" s="13" t="s">
        <v>85</v>
      </c>
      <c r="P38" s="52">
        <v>202000</v>
      </c>
      <c r="Q38" s="35">
        <f t="shared" si="5"/>
        <v>20546834</v>
      </c>
      <c r="R38" s="36" t="s">
        <v>31</v>
      </c>
      <c r="S38" s="8">
        <v>101.717</v>
      </c>
      <c r="T38" s="37">
        <f t="shared" si="20"/>
        <v>41962</v>
      </c>
      <c r="U38" s="10" t="s">
        <v>189</v>
      </c>
      <c r="V38" s="53">
        <f t="shared" si="16"/>
        <v>24656.200799999999</v>
      </c>
      <c r="W38" s="29">
        <v>155.72999999999999</v>
      </c>
      <c r="X38" s="35">
        <f t="shared" si="21"/>
        <v>3839710.1505839997</v>
      </c>
      <c r="Y38" s="40">
        <v>3839710.15</v>
      </c>
      <c r="Z38" s="37">
        <v>41939</v>
      </c>
      <c r="AA38" s="54">
        <v>29093</v>
      </c>
      <c r="AB38" s="64"/>
    </row>
    <row r="39" spans="2:28" ht="24" customHeight="1">
      <c r="B39" s="28">
        <f t="shared" si="4"/>
        <v>35</v>
      </c>
      <c r="C39" s="10" t="s">
        <v>193</v>
      </c>
      <c r="D39" s="9" t="s">
        <v>194</v>
      </c>
      <c r="E39" s="30">
        <v>41943</v>
      </c>
      <c r="F39" s="12" t="s">
        <v>195</v>
      </c>
      <c r="G39" s="10" t="s">
        <v>91</v>
      </c>
      <c r="H39" s="10" t="s">
        <v>92</v>
      </c>
      <c r="I39" s="10" t="s">
        <v>63</v>
      </c>
      <c r="J39" s="31">
        <v>801.22</v>
      </c>
      <c r="K39" s="30">
        <v>41921</v>
      </c>
      <c r="L39" s="32" t="s">
        <v>196</v>
      </c>
      <c r="M39" s="32" t="s">
        <v>65</v>
      </c>
      <c r="N39" s="10" t="s">
        <v>66</v>
      </c>
      <c r="O39" s="33" t="s">
        <v>67</v>
      </c>
      <c r="P39" s="34">
        <v>950120</v>
      </c>
      <c r="Q39" s="35">
        <f t="shared" si="5"/>
        <v>85633365.480000004</v>
      </c>
      <c r="R39" s="36" t="s">
        <v>31</v>
      </c>
      <c r="S39" s="8">
        <v>90.129000000000005</v>
      </c>
      <c r="T39" s="37">
        <f t="shared" ref="T39:T47" si="22">SUM(K39)+89</f>
        <v>42010</v>
      </c>
      <c r="U39" s="13" t="s">
        <v>91</v>
      </c>
      <c r="V39" s="38">
        <f t="shared" si="16"/>
        <v>102760.03857599999</v>
      </c>
      <c r="W39" s="29">
        <v>155.76</v>
      </c>
      <c r="X39" s="39">
        <f t="shared" si="21"/>
        <v>16005903.608597757</v>
      </c>
      <c r="Y39" s="40">
        <f t="shared" ref="Y39:Y47" si="23">X39</f>
        <v>16005903.608597757</v>
      </c>
      <c r="Z39" s="29"/>
      <c r="AA39" s="29"/>
      <c r="AB39" s="64"/>
    </row>
    <row r="40" spans="2:28" ht="24" customHeight="1">
      <c r="B40" s="28">
        <f t="shared" si="4"/>
        <v>36</v>
      </c>
      <c r="C40" s="10" t="s">
        <v>197</v>
      </c>
      <c r="D40" s="9" t="s">
        <v>194</v>
      </c>
      <c r="E40" s="30">
        <v>41943</v>
      </c>
      <c r="F40" s="12" t="s">
        <v>198</v>
      </c>
      <c r="G40" s="10" t="s">
        <v>91</v>
      </c>
      <c r="H40" s="10" t="s">
        <v>92</v>
      </c>
      <c r="I40" s="10" t="s">
        <v>29</v>
      </c>
      <c r="J40" s="31">
        <v>801.22</v>
      </c>
      <c r="K40" s="30">
        <v>41927</v>
      </c>
      <c r="L40" s="32" t="s">
        <v>199</v>
      </c>
      <c r="M40" s="32" t="s">
        <v>30</v>
      </c>
      <c r="N40" s="10" t="s">
        <v>115</v>
      </c>
      <c r="O40" s="13" t="s">
        <v>200</v>
      </c>
      <c r="P40" s="34">
        <v>548784</v>
      </c>
      <c r="Q40" s="35">
        <f t="shared" si="5"/>
        <v>46033099.488000005</v>
      </c>
      <c r="R40" s="36" t="s">
        <v>31</v>
      </c>
      <c r="S40" s="8">
        <v>83.882000000000005</v>
      </c>
      <c r="T40" s="37">
        <f t="shared" si="22"/>
        <v>42016</v>
      </c>
      <c r="U40" s="13" t="s">
        <v>91</v>
      </c>
      <c r="V40" s="38">
        <f t="shared" si="16"/>
        <v>55239.719385600001</v>
      </c>
      <c r="W40" s="29">
        <v>155.76</v>
      </c>
      <c r="X40" s="39">
        <f t="shared" si="21"/>
        <v>8604138.6915010549</v>
      </c>
      <c r="Y40" s="40">
        <f t="shared" si="23"/>
        <v>8604138.6915010549</v>
      </c>
      <c r="Z40" s="29"/>
      <c r="AA40" s="29"/>
      <c r="AB40" s="64"/>
    </row>
    <row r="41" spans="2:28" ht="24" customHeight="1">
      <c r="B41" s="28">
        <f t="shared" si="4"/>
        <v>37</v>
      </c>
      <c r="C41" s="10" t="s">
        <v>201</v>
      </c>
      <c r="D41" s="9" t="s">
        <v>202</v>
      </c>
      <c r="E41" s="30">
        <v>41943</v>
      </c>
      <c r="F41" s="12" t="s">
        <v>203</v>
      </c>
      <c r="G41" s="10" t="s">
        <v>91</v>
      </c>
      <c r="H41" s="10" t="s">
        <v>92</v>
      </c>
      <c r="I41" s="10" t="s">
        <v>29</v>
      </c>
      <c r="J41" s="31">
        <v>801.22</v>
      </c>
      <c r="K41" s="30">
        <v>41927</v>
      </c>
      <c r="L41" s="32" t="s">
        <v>199</v>
      </c>
      <c r="M41" s="32" t="s">
        <v>30</v>
      </c>
      <c r="N41" s="10" t="s">
        <v>115</v>
      </c>
      <c r="O41" s="13" t="s">
        <v>200</v>
      </c>
      <c r="P41" s="34">
        <v>400000</v>
      </c>
      <c r="Q41" s="35">
        <f t="shared" si="5"/>
        <v>33552800.000000004</v>
      </c>
      <c r="R41" s="36" t="s">
        <v>31</v>
      </c>
      <c r="S41" s="8">
        <v>83.882000000000005</v>
      </c>
      <c r="T41" s="37">
        <f t="shared" si="22"/>
        <v>42016</v>
      </c>
      <c r="U41" s="10" t="s">
        <v>91</v>
      </c>
      <c r="V41" s="38">
        <f t="shared" si="16"/>
        <v>40263.360000000001</v>
      </c>
      <c r="W41" s="29">
        <v>155.76</v>
      </c>
      <c r="X41" s="39">
        <f t="shared" si="21"/>
        <v>6271420.9535999997</v>
      </c>
      <c r="Y41" s="40">
        <f t="shared" si="23"/>
        <v>6271420.9535999997</v>
      </c>
      <c r="Z41" s="29"/>
      <c r="AA41" s="29"/>
      <c r="AB41" s="64"/>
    </row>
    <row r="42" spans="2:28" ht="24" customHeight="1">
      <c r="B42" s="28">
        <f t="shared" si="4"/>
        <v>38</v>
      </c>
      <c r="C42" s="10" t="s">
        <v>204</v>
      </c>
      <c r="D42" s="9" t="s">
        <v>205</v>
      </c>
      <c r="E42" s="30">
        <v>41943</v>
      </c>
      <c r="F42" s="12" t="s">
        <v>206</v>
      </c>
      <c r="G42" s="10" t="s">
        <v>91</v>
      </c>
      <c r="H42" s="10" t="s">
        <v>92</v>
      </c>
      <c r="I42" s="10" t="s">
        <v>54</v>
      </c>
      <c r="J42" s="31">
        <v>801.22</v>
      </c>
      <c r="K42" s="30">
        <v>41928</v>
      </c>
      <c r="L42" s="32" t="s">
        <v>207</v>
      </c>
      <c r="M42" s="32" t="s">
        <v>56</v>
      </c>
      <c r="N42" s="10" t="s">
        <v>94</v>
      </c>
      <c r="O42" s="13" t="s">
        <v>208</v>
      </c>
      <c r="P42" s="34">
        <v>949937</v>
      </c>
      <c r="Q42" s="35">
        <f t="shared" si="5"/>
        <v>81677483.134000003</v>
      </c>
      <c r="R42" s="36" t="s">
        <v>31</v>
      </c>
      <c r="S42" s="8">
        <v>85.981999999999999</v>
      </c>
      <c r="T42" s="37">
        <f t="shared" si="22"/>
        <v>42017</v>
      </c>
      <c r="U42" s="10" t="s">
        <v>91</v>
      </c>
      <c r="V42" s="38">
        <f t="shared" si="16"/>
        <v>98012.979760799994</v>
      </c>
      <c r="W42" s="29">
        <v>155.76</v>
      </c>
      <c r="X42" s="39">
        <f t="shared" si="21"/>
        <v>15266501.727542207</v>
      </c>
      <c r="Y42" s="40">
        <f t="shared" si="23"/>
        <v>15266501.727542207</v>
      </c>
      <c r="Z42" s="29"/>
      <c r="AA42" s="29"/>
      <c r="AB42" s="64"/>
    </row>
    <row r="43" spans="2:28" ht="24" customHeight="1">
      <c r="B43" s="28">
        <f t="shared" si="4"/>
        <v>39</v>
      </c>
      <c r="C43" s="10" t="s">
        <v>209</v>
      </c>
      <c r="D43" s="9" t="s">
        <v>210</v>
      </c>
      <c r="E43" s="30">
        <v>41943</v>
      </c>
      <c r="F43" s="12" t="s">
        <v>211</v>
      </c>
      <c r="G43" s="10" t="s">
        <v>91</v>
      </c>
      <c r="H43" s="10" t="s">
        <v>92</v>
      </c>
      <c r="I43" s="10" t="s">
        <v>63</v>
      </c>
      <c r="J43" s="31">
        <v>801.22</v>
      </c>
      <c r="K43" s="30">
        <v>41928</v>
      </c>
      <c r="L43" s="32" t="s">
        <v>212</v>
      </c>
      <c r="M43" s="43" t="s">
        <v>65</v>
      </c>
      <c r="N43" s="10" t="s">
        <v>213</v>
      </c>
      <c r="O43" s="13" t="s">
        <v>214</v>
      </c>
      <c r="P43" s="34">
        <v>949771</v>
      </c>
      <c r="Q43" s="35">
        <f t="shared" si="5"/>
        <v>80903393.321999997</v>
      </c>
      <c r="R43" s="36" t="s">
        <v>31</v>
      </c>
      <c r="S43" s="44">
        <v>85.182000000000002</v>
      </c>
      <c r="T43" s="37">
        <f t="shared" si="22"/>
        <v>42017</v>
      </c>
      <c r="U43" s="10" t="s">
        <v>91</v>
      </c>
      <c r="V43" s="38">
        <f t="shared" si="16"/>
        <v>97084.071986399984</v>
      </c>
      <c r="W43" s="29">
        <v>155.76</v>
      </c>
      <c r="X43" s="39">
        <f t="shared" si="21"/>
        <v>15121815.052601662</v>
      </c>
      <c r="Y43" s="40">
        <f t="shared" si="23"/>
        <v>15121815.052601662</v>
      </c>
      <c r="Z43" s="29"/>
      <c r="AA43" s="29"/>
      <c r="AB43" s="64"/>
    </row>
    <row r="44" spans="2:28" ht="24" customHeight="1">
      <c r="B44" s="28">
        <f t="shared" si="4"/>
        <v>40</v>
      </c>
      <c r="C44" s="10" t="s">
        <v>215</v>
      </c>
      <c r="D44" s="9" t="s">
        <v>216</v>
      </c>
      <c r="E44" s="30">
        <v>41943</v>
      </c>
      <c r="F44" s="12" t="s">
        <v>217</v>
      </c>
      <c r="G44" s="10" t="s">
        <v>91</v>
      </c>
      <c r="H44" s="10" t="s">
        <v>92</v>
      </c>
      <c r="I44" s="10" t="s">
        <v>112</v>
      </c>
      <c r="J44" s="31">
        <v>801.22</v>
      </c>
      <c r="K44" s="30">
        <v>41933</v>
      </c>
      <c r="L44" s="32" t="s">
        <v>218</v>
      </c>
      <c r="M44" s="43" t="s">
        <v>114</v>
      </c>
      <c r="N44" s="10" t="s">
        <v>115</v>
      </c>
      <c r="O44" s="13" t="s">
        <v>200</v>
      </c>
      <c r="P44" s="34">
        <v>899632</v>
      </c>
      <c r="Q44" s="35">
        <f t="shared" si="5"/>
        <v>77756093.392000005</v>
      </c>
      <c r="R44" s="36" t="s">
        <v>31</v>
      </c>
      <c r="S44" s="44">
        <v>86.430999999999997</v>
      </c>
      <c r="T44" s="37">
        <f t="shared" si="22"/>
        <v>42022</v>
      </c>
      <c r="U44" s="10" t="s">
        <v>91</v>
      </c>
      <c r="V44" s="38">
        <f t="shared" si="16"/>
        <v>93307.312070400003</v>
      </c>
      <c r="W44" s="29">
        <v>155.76</v>
      </c>
      <c r="X44" s="39">
        <f t="shared" si="21"/>
        <v>14533546.928085504</v>
      </c>
      <c r="Y44" s="40">
        <f t="shared" si="23"/>
        <v>14533546.928085504</v>
      </c>
      <c r="Z44" s="29"/>
      <c r="AA44" s="29"/>
      <c r="AB44" s="64"/>
    </row>
    <row r="45" spans="2:28" ht="24" customHeight="1">
      <c r="B45" s="28">
        <f t="shared" si="4"/>
        <v>41</v>
      </c>
      <c r="C45" s="10" t="s">
        <v>219</v>
      </c>
      <c r="D45" s="9" t="s">
        <v>220</v>
      </c>
      <c r="E45" s="30">
        <v>41943</v>
      </c>
      <c r="F45" s="12" t="s">
        <v>221</v>
      </c>
      <c r="G45" s="10" t="s">
        <v>91</v>
      </c>
      <c r="H45" s="10" t="s">
        <v>92</v>
      </c>
      <c r="I45" s="10" t="s">
        <v>63</v>
      </c>
      <c r="J45" s="31">
        <v>801.22</v>
      </c>
      <c r="K45" s="30">
        <v>41943</v>
      </c>
      <c r="L45" s="32" t="s">
        <v>222</v>
      </c>
      <c r="M45" s="32" t="s">
        <v>65</v>
      </c>
      <c r="N45" s="10" t="s">
        <v>66</v>
      </c>
      <c r="O45" s="13" t="s">
        <v>223</v>
      </c>
      <c r="P45" s="34">
        <v>30000</v>
      </c>
      <c r="Q45" s="35">
        <f t="shared" si="5"/>
        <v>2565270</v>
      </c>
      <c r="R45" s="36" t="s">
        <v>31</v>
      </c>
      <c r="S45" s="8">
        <v>85.509</v>
      </c>
      <c r="T45" s="37">
        <f t="shared" si="22"/>
        <v>42032</v>
      </c>
      <c r="U45" s="10" t="s">
        <v>91</v>
      </c>
      <c r="V45" s="38">
        <f t="shared" si="16"/>
        <v>3078.3239999999996</v>
      </c>
      <c r="W45" s="29">
        <v>155.76</v>
      </c>
      <c r="X45" s="39">
        <f t="shared" si="21"/>
        <v>479479.74623999989</v>
      </c>
      <c r="Y45" s="40">
        <f t="shared" si="23"/>
        <v>479479.74623999989</v>
      </c>
      <c r="Z45" s="29"/>
      <c r="AA45" s="29"/>
      <c r="AB45" s="64"/>
    </row>
    <row r="46" spans="2:28" ht="24" customHeight="1">
      <c r="B46" s="28">
        <f t="shared" si="4"/>
        <v>42</v>
      </c>
      <c r="C46" s="10" t="s">
        <v>224</v>
      </c>
      <c r="D46" s="9" t="s">
        <v>225</v>
      </c>
      <c r="E46" s="30">
        <v>41943</v>
      </c>
      <c r="F46" s="12" t="s">
        <v>226</v>
      </c>
      <c r="G46" s="10" t="s">
        <v>91</v>
      </c>
      <c r="H46" s="10" t="s">
        <v>92</v>
      </c>
      <c r="I46" s="10" t="s">
        <v>63</v>
      </c>
      <c r="J46" s="31">
        <v>801.22</v>
      </c>
      <c r="K46" s="30">
        <v>41943</v>
      </c>
      <c r="L46" s="32" t="s">
        <v>222</v>
      </c>
      <c r="M46" s="32" t="s">
        <v>65</v>
      </c>
      <c r="N46" s="10" t="s">
        <v>66</v>
      </c>
      <c r="O46" s="13" t="s">
        <v>223</v>
      </c>
      <c r="P46" s="34">
        <v>70000</v>
      </c>
      <c r="Q46" s="35">
        <f t="shared" si="5"/>
        <v>5985630</v>
      </c>
      <c r="R46" s="36" t="s">
        <v>31</v>
      </c>
      <c r="S46" s="8">
        <v>85.509</v>
      </c>
      <c r="T46" s="37">
        <f t="shared" si="22"/>
        <v>42032</v>
      </c>
      <c r="U46" s="10" t="s">
        <v>91</v>
      </c>
      <c r="V46" s="38">
        <f t="shared" si="16"/>
        <v>7182.7559999999994</v>
      </c>
      <c r="W46" s="29">
        <v>155.76</v>
      </c>
      <c r="X46" s="39">
        <f t="shared" si="21"/>
        <v>1118786.0745599999</v>
      </c>
      <c r="Y46" s="40">
        <f t="shared" si="23"/>
        <v>1118786.0745599999</v>
      </c>
      <c r="Z46" s="29"/>
      <c r="AA46" s="29"/>
      <c r="AB46" s="64"/>
    </row>
    <row r="47" spans="2:28" ht="24" customHeight="1" thickBot="1">
      <c r="B47" s="28">
        <f t="shared" si="4"/>
        <v>43</v>
      </c>
      <c r="C47" s="10" t="s">
        <v>227</v>
      </c>
      <c r="D47" s="9" t="s">
        <v>228</v>
      </c>
      <c r="E47" s="30">
        <v>41943</v>
      </c>
      <c r="F47" s="12" t="s">
        <v>229</v>
      </c>
      <c r="G47" s="10" t="s">
        <v>91</v>
      </c>
      <c r="H47" s="10" t="s">
        <v>92</v>
      </c>
      <c r="I47" s="10" t="s">
        <v>63</v>
      </c>
      <c r="J47" s="31">
        <v>801.22</v>
      </c>
      <c r="K47" s="30">
        <v>41943</v>
      </c>
      <c r="L47" s="32" t="s">
        <v>222</v>
      </c>
      <c r="M47" s="32" t="s">
        <v>65</v>
      </c>
      <c r="N47" s="10" t="s">
        <v>66</v>
      </c>
      <c r="O47" s="13" t="s">
        <v>223</v>
      </c>
      <c r="P47" s="34">
        <v>50000</v>
      </c>
      <c r="Q47" s="35">
        <f t="shared" si="5"/>
        <v>4275450</v>
      </c>
      <c r="R47" s="36" t="s">
        <v>31</v>
      </c>
      <c r="S47" s="8">
        <v>85.509</v>
      </c>
      <c r="T47" s="37">
        <f t="shared" si="22"/>
        <v>42032</v>
      </c>
      <c r="U47" s="13" t="s">
        <v>91</v>
      </c>
      <c r="V47" s="38">
        <f t="shared" si="16"/>
        <v>5130.54</v>
      </c>
      <c r="W47" s="29">
        <v>155.76</v>
      </c>
      <c r="X47" s="39">
        <f t="shared" si="21"/>
        <v>799132.91039999994</v>
      </c>
      <c r="Y47" s="40">
        <f t="shared" si="23"/>
        <v>799132.91039999994</v>
      </c>
      <c r="Z47" s="29"/>
      <c r="AA47" s="29"/>
      <c r="AB47" s="64"/>
    </row>
    <row r="48" spans="2:28" ht="15.75" thickBot="1">
      <c r="B48" s="14"/>
      <c r="C48" s="14"/>
      <c r="D48" s="15"/>
      <c r="E48" s="15"/>
      <c r="F48" s="15"/>
      <c r="G48" s="15"/>
      <c r="H48" s="15"/>
      <c r="I48" s="15"/>
      <c r="J48" s="14"/>
      <c r="K48" s="16"/>
      <c r="L48" s="15"/>
      <c r="M48" s="16"/>
      <c r="N48" s="18"/>
      <c r="O48" s="19"/>
      <c r="P48" s="45">
        <f>SUM(P5:P47)</f>
        <v>16829005</v>
      </c>
      <c r="Q48" s="46">
        <f>SUM(Q5:Q47)</f>
        <v>1610575224.8827996</v>
      </c>
      <c r="R48" s="47"/>
      <c r="S48" s="48"/>
      <c r="T48" s="49"/>
      <c r="U48" s="50"/>
      <c r="V48" s="46">
        <f>SUM(V5:V47)</f>
        <v>1932690.2698593598</v>
      </c>
      <c r="W48" s="47"/>
      <c r="X48" s="46">
        <f t="shared" ref="X48:Y48" si="24">SUM(X5:X47)</f>
        <v>301008960.44674903</v>
      </c>
      <c r="Y48" s="46">
        <f t="shared" si="24"/>
        <v>300888814.55575907</v>
      </c>
      <c r="Z48" s="14"/>
      <c r="AA48" s="14"/>
      <c r="AB48" s="14"/>
    </row>
    <row r="61" spans="3:3">
      <c r="C61" s="78"/>
    </row>
    <row r="62" spans="3:3">
      <c r="C62" s="78"/>
    </row>
    <row r="63" spans="3:3">
      <c r="C63" s="78"/>
    </row>
    <row r="64" spans="3:3">
      <c r="C64" s="78"/>
    </row>
  </sheetData>
  <mergeCells count="2">
    <mergeCell ref="AB18:AB19"/>
    <mergeCell ref="AB20:AB23"/>
  </mergeCells>
  <pageMargins left="0" right="0" top="0" bottom="0" header="0.31496062992125984" footer="0"/>
  <pageSetup paperSize="8" orientation="landscape" r:id="rId1"/>
  <ignoredErrors>
    <ignoredError sqref="F6 F7:F11 F29:F30 F33 F34:F35 F3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38"/>
  <sheetViews>
    <sheetView workbookViewId="0">
      <selection activeCell="G34" sqref="G34"/>
    </sheetView>
  </sheetViews>
  <sheetFormatPr defaultRowHeight="15"/>
  <cols>
    <col min="1" max="1" width="4.42578125" style="14" customWidth="1"/>
    <col min="2" max="2" width="3.42578125" style="14" customWidth="1"/>
    <col min="3" max="3" width="5.5703125" style="15" customWidth="1"/>
    <col min="4" max="4" width="7.140625" style="15" customWidth="1"/>
    <col min="5" max="5" width="5.140625" style="15" customWidth="1"/>
    <col min="6" max="6" width="11" style="15" customWidth="1"/>
    <col min="7" max="7" width="8.5703125" style="15" customWidth="1"/>
    <col min="8" max="8" width="7.85546875" style="15" customWidth="1"/>
    <col min="9" max="9" width="9.28515625" style="15" customWidth="1"/>
    <col min="10" max="10" width="6" style="14" customWidth="1"/>
    <col min="11" max="11" width="6.7109375" style="16" customWidth="1"/>
    <col min="12" max="12" width="7.85546875" style="15" customWidth="1"/>
    <col min="13" max="13" width="6.140625" style="15" customWidth="1"/>
    <col min="14" max="14" width="8.140625" style="18" customWidth="1"/>
    <col min="15" max="15" width="11.140625" style="19" customWidth="1"/>
    <col min="16" max="16" width="8.140625" style="14" customWidth="1"/>
    <col min="17" max="17" width="13.140625" style="14" customWidth="1"/>
    <col min="18" max="18" width="5.7109375" style="14" customWidth="1"/>
    <col min="19" max="19" width="6.7109375" style="20" customWidth="1"/>
    <col min="20" max="20" width="6" style="16" customWidth="1"/>
    <col min="21" max="21" width="8.140625" style="15" customWidth="1"/>
    <col min="22" max="22" width="9.5703125" style="14" customWidth="1"/>
    <col min="23" max="23" width="7" style="14" customWidth="1"/>
    <col min="24" max="24" width="12.140625" style="14" customWidth="1"/>
    <col min="25" max="25" width="11.42578125" style="14" customWidth="1"/>
    <col min="26" max="27" width="5.5703125" style="14" customWidth="1"/>
    <col min="28" max="28" width="11.5703125" style="14" customWidth="1"/>
    <col min="29" max="16384" width="9.140625" style="14"/>
  </cols>
  <sheetData>
    <row r="2" spans="2:27" ht="15.75">
      <c r="L2" s="17" t="s">
        <v>0</v>
      </c>
    </row>
    <row r="3" spans="2:27" ht="18" customHeight="1" thickBot="1">
      <c r="L3" s="17" t="s">
        <v>259</v>
      </c>
      <c r="P3" s="21"/>
    </row>
    <row r="4" spans="2:27" s="15" customFormat="1" ht="42.6" customHeight="1" thickBot="1">
      <c r="B4" s="22" t="s">
        <v>1</v>
      </c>
      <c r="C4" s="23" t="s">
        <v>2</v>
      </c>
      <c r="D4" s="23" t="s">
        <v>3</v>
      </c>
      <c r="E4" s="23" t="s">
        <v>4</v>
      </c>
      <c r="F4" s="24" t="s">
        <v>5</v>
      </c>
      <c r="G4" s="25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3" t="s">
        <v>11</v>
      </c>
      <c r="M4" s="23" t="s">
        <v>12</v>
      </c>
      <c r="N4" s="23" t="s">
        <v>13</v>
      </c>
      <c r="O4" s="23" t="s">
        <v>14</v>
      </c>
      <c r="P4" s="23" t="s">
        <v>15</v>
      </c>
      <c r="Q4" s="23" t="s">
        <v>16</v>
      </c>
      <c r="R4" s="23" t="s">
        <v>17</v>
      </c>
      <c r="S4" s="26" t="s">
        <v>18</v>
      </c>
      <c r="T4" s="23" t="s">
        <v>19</v>
      </c>
      <c r="U4" s="23" t="s">
        <v>20</v>
      </c>
      <c r="V4" s="23" t="s">
        <v>21</v>
      </c>
      <c r="W4" s="23" t="s">
        <v>22</v>
      </c>
      <c r="X4" s="23" t="s">
        <v>23</v>
      </c>
      <c r="Y4" s="23" t="s">
        <v>24</v>
      </c>
      <c r="Z4" s="23" t="s">
        <v>25</v>
      </c>
      <c r="AA4" s="27" t="s">
        <v>26</v>
      </c>
    </row>
    <row r="5" spans="2:27" ht="24" customHeight="1">
      <c r="B5" s="28">
        <v>1</v>
      </c>
      <c r="C5" s="10" t="s">
        <v>232</v>
      </c>
      <c r="D5" s="41" t="s">
        <v>230</v>
      </c>
      <c r="E5" s="9"/>
      <c r="F5" s="12" t="s">
        <v>233</v>
      </c>
      <c r="G5" s="10" t="s">
        <v>160</v>
      </c>
      <c r="H5" s="10" t="s">
        <v>161</v>
      </c>
      <c r="I5" s="10" t="s">
        <v>63</v>
      </c>
      <c r="J5" s="31">
        <v>801.22</v>
      </c>
      <c r="K5" s="30">
        <v>41921</v>
      </c>
      <c r="L5" s="32" t="s">
        <v>196</v>
      </c>
      <c r="M5" s="32" t="s">
        <v>65</v>
      </c>
      <c r="N5" s="10" t="s">
        <v>66</v>
      </c>
      <c r="O5" s="33" t="s">
        <v>67</v>
      </c>
      <c r="P5" s="34">
        <v>30000</v>
      </c>
      <c r="Q5" s="35">
        <f t="shared" ref="Q5:Q15" si="0">SUM(P5*S5)</f>
        <v>2703870</v>
      </c>
      <c r="R5" s="36" t="s">
        <v>31</v>
      </c>
      <c r="S5" s="8">
        <v>90.129000000000005</v>
      </c>
      <c r="T5" s="37">
        <f t="shared" ref="T5:T7" si="1">SUM(K5)+89</f>
        <v>42010</v>
      </c>
      <c r="U5" s="10" t="s">
        <v>160</v>
      </c>
      <c r="V5" s="38">
        <f t="shared" ref="V5:V15" si="2">SUM(Q5*0.12%)</f>
        <v>3244.6439999999998</v>
      </c>
      <c r="W5" s="29">
        <v>155.76</v>
      </c>
      <c r="X5" s="39">
        <f t="shared" ref="X5:X15" si="3">SUM(V5*W5)</f>
        <v>505385.74943999993</v>
      </c>
      <c r="Y5" s="42">
        <v>0</v>
      </c>
      <c r="Z5" s="29"/>
      <c r="AA5" s="29"/>
    </row>
    <row r="6" spans="2:27" ht="24" customHeight="1">
      <c r="B6" s="28">
        <f t="shared" ref="B6:B15" si="4">B5+1</f>
        <v>2</v>
      </c>
      <c r="C6" s="10" t="s">
        <v>234</v>
      </c>
      <c r="D6" s="41" t="s">
        <v>230</v>
      </c>
      <c r="E6" s="9"/>
      <c r="F6" s="12" t="s">
        <v>235</v>
      </c>
      <c r="G6" s="10" t="s">
        <v>160</v>
      </c>
      <c r="H6" s="10" t="s">
        <v>161</v>
      </c>
      <c r="I6" s="10" t="s">
        <v>63</v>
      </c>
      <c r="J6" s="31">
        <v>801.22</v>
      </c>
      <c r="K6" s="30">
        <v>41921</v>
      </c>
      <c r="L6" s="32" t="s">
        <v>196</v>
      </c>
      <c r="M6" s="32" t="s">
        <v>65</v>
      </c>
      <c r="N6" s="10" t="s">
        <v>66</v>
      </c>
      <c r="O6" s="33" t="s">
        <v>67</v>
      </c>
      <c r="P6" s="34">
        <v>54000</v>
      </c>
      <c r="Q6" s="35">
        <f t="shared" si="0"/>
        <v>4866966</v>
      </c>
      <c r="R6" s="36" t="s">
        <v>31</v>
      </c>
      <c r="S6" s="8">
        <v>90.129000000000005</v>
      </c>
      <c r="T6" s="37">
        <f t="shared" si="1"/>
        <v>42010</v>
      </c>
      <c r="U6" s="10" t="s">
        <v>160</v>
      </c>
      <c r="V6" s="38">
        <f t="shared" si="2"/>
        <v>5840.3591999999999</v>
      </c>
      <c r="W6" s="29">
        <v>155.76</v>
      </c>
      <c r="X6" s="39">
        <f t="shared" si="3"/>
        <v>909694.34899199998</v>
      </c>
      <c r="Y6" s="42">
        <v>0</v>
      </c>
      <c r="Z6" s="29"/>
      <c r="AA6" s="29"/>
    </row>
    <row r="7" spans="2:27" ht="24" customHeight="1">
      <c r="B7" s="28">
        <f t="shared" si="4"/>
        <v>3</v>
      </c>
      <c r="C7" s="10" t="s">
        <v>236</v>
      </c>
      <c r="D7" s="41" t="s">
        <v>230</v>
      </c>
      <c r="E7" s="9"/>
      <c r="F7" s="12" t="s">
        <v>237</v>
      </c>
      <c r="G7" s="10" t="s">
        <v>169</v>
      </c>
      <c r="H7" s="10" t="s">
        <v>161</v>
      </c>
      <c r="I7" s="10" t="s">
        <v>63</v>
      </c>
      <c r="J7" s="31">
        <v>801.22</v>
      </c>
      <c r="K7" s="30">
        <v>41921</v>
      </c>
      <c r="L7" s="32" t="s">
        <v>196</v>
      </c>
      <c r="M7" s="32" t="s">
        <v>65</v>
      </c>
      <c r="N7" s="10" t="s">
        <v>66</v>
      </c>
      <c r="O7" s="33" t="s">
        <v>67</v>
      </c>
      <c r="P7" s="34">
        <v>16000</v>
      </c>
      <c r="Q7" s="35">
        <f t="shared" si="0"/>
        <v>1442064</v>
      </c>
      <c r="R7" s="36" t="s">
        <v>31</v>
      </c>
      <c r="S7" s="8">
        <v>90.129000000000005</v>
      </c>
      <c r="T7" s="37">
        <f t="shared" si="1"/>
        <v>42010</v>
      </c>
      <c r="U7" s="10" t="s">
        <v>160</v>
      </c>
      <c r="V7" s="38">
        <f t="shared" si="2"/>
        <v>1730.4767999999999</v>
      </c>
      <c r="W7" s="29">
        <v>155.76</v>
      </c>
      <c r="X7" s="39">
        <f t="shared" si="3"/>
        <v>269539.06636799994</v>
      </c>
      <c r="Y7" s="42">
        <v>0</v>
      </c>
      <c r="Z7" s="29"/>
      <c r="AA7" s="29"/>
    </row>
    <row r="8" spans="2:27" ht="24" customHeight="1">
      <c r="B8" s="28">
        <f t="shared" si="4"/>
        <v>4</v>
      </c>
      <c r="C8" s="10" t="s">
        <v>238</v>
      </c>
      <c r="D8" s="41" t="s">
        <v>230</v>
      </c>
      <c r="E8" s="9"/>
      <c r="F8" s="12" t="s">
        <v>239</v>
      </c>
      <c r="G8" s="10" t="s">
        <v>42</v>
      </c>
      <c r="H8" s="10" t="s">
        <v>43</v>
      </c>
      <c r="I8" s="10" t="s">
        <v>44</v>
      </c>
      <c r="J8" s="31">
        <v>801.22</v>
      </c>
      <c r="K8" s="30">
        <v>41932</v>
      </c>
      <c r="L8" s="32" t="s">
        <v>231</v>
      </c>
      <c r="M8" s="43" t="s">
        <v>46</v>
      </c>
      <c r="N8" s="10" t="s">
        <v>47</v>
      </c>
      <c r="O8" s="13" t="s">
        <v>48</v>
      </c>
      <c r="P8" s="34">
        <v>701303</v>
      </c>
      <c r="Q8" s="35">
        <f t="shared" si="0"/>
        <v>56109149.121000007</v>
      </c>
      <c r="R8" s="36" t="s">
        <v>31</v>
      </c>
      <c r="S8" s="44">
        <v>80.007000000000005</v>
      </c>
      <c r="T8" s="37">
        <f t="shared" ref="T8:T15" si="5">SUM(K8)+89</f>
        <v>42021</v>
      </c>
      <c r="U8" s="10" t="s">
        <v>49</v>
      </c>
      <c r="V8" s="38">
        <f t="shared" si="2"/>
        <v>67330.978945199997</v>
      </c>
      <c r="W8" s="29">
        <v>155.76</v>
      </c>
      <c r="X8" s="39">
        <f t="shared" si="3"/>
        <v>10487473.280504351</v>
      </c>
      <c r="Y8" s="42">
        <v>0</v>
      </c>
      <c r="Z8" s="29"/>
      <c r="AA8" s="29"/>
    </row>
    <row r="9" spans="2:27" ht="24" customHeight="1">
      <c r="B9" s="28">
        <f t="shared" si="4"/>
        <v>5</v>
      </c>
      <c r="C9" s="10" t="s">
        <v>240</v>
      </c>
      <c r="D9" s="41" t="s">
        <v>230</v>
      </c>
      <c r="E9" s="9"/>
      <c r="F9" s="12" t="s">
        <v>241</v>
      </c>
      <c r="G9" s="10" t="s">
        <v>49</v>
      </c>
      <c r="H9" s="10" t="s">
        <v>177</v>
      </c>
      <c r="I9" s="10" t="s">
        <v>63</v>
      </c>
      <c r="J9" s="31">
        <v>801.22</v>
      </c>
      <c r="K9" s="30">
        <v>41937</v>
      </c>
      <c r="L9" s="32" t="s">
        <v>242</v>
      </c>
      <c r="M9" s="32" t="s">
        <v>65</v>
      </c>
      <c r="N9" s="10" t="s">
        <v>179</v>
      </c>
      <c r="O9" s="13" t="s">
        <v>180</v>
      </c>
      <c r="P9" s="34">
        <v>703078</v>
      </c>
      <c r="Q9" s="35">
        <f t="shared" si="0"/>
        <v>60454864.908</v>
      </c>
      <c r="R9" s="36" t="s">
        <v>31</v>
      </c>
      <c r="S9" s="44">
        <v>85.986000000000004</v>
      </c>
      <c r="T9" s="37">
        <f t="shared" si="5"/>
        <v>42026</v>
      </c>
      <c r="U9" s="10" t="s">
        <v>49</v>
      </c>
      <c r="V9" s="38">
        <f t="shared" si="2"/>
        <v>72545.837889599992</v>
      </c>
      <c r="W9" s="29">
        <v>155.76</v>
      </c>
      <c r="X9" s="39">
        <f t="shared" si="3"/>
        <v>11299739.709684094</v>
      </c>
      <c r="Y9" s="42">
        <v>0</v>
      </c>
      <c r="Z9" s="29"/>
      <c r="AA9" s="29"/>
    </row>
    <row r="10" spans="2:27" ht="24" customHeight="1">
      <c r="B10" s="28">
        <f t="shared" si="4"/>
        <v>6</v>
      </c>
      <c r="C10" s="10" t="s">
        <v>243</v>
      </c>
      <c r="D10" s="41" t="s">
        <v>230</v>
      </c>
      <c r="E10" s="9"/>
      <c r="F10" s="11" t="s">
        <v>244</v>
      </c>
      <c r="G10" s="10" t="s">
        <v>33</v>
      </c>
      <c r="H10" s="10" t="s">
        <v>71</v>
      </c>
      <c r="I10" s="10" t="s">
        <v>63</v>
      </c>
      <c r="J10" s="31">
        <v>801.22</v>
      </c>
      <c r="K10" s="30">
        <v>41941</v>
      </c>
      <c r="L10" s="32" t="s">
        <v>245</v>
      </c>
      <c r="M10" s="43" t="s">
        <v>65</v>
      </c>
      <c r="N10" s="10" t="s">
        <v>66</v>
      </c>
      <c r="O10" s="13" t="s">
        <v>246</v>
      </c>
      <c r="P10" s="34">
        <v>456926</v>
      </c>
      <c r="Q10" s="35">
        <f t="shared" si="0"/>
        <v>39237149.472000003</v>
      </c>
      <c r="R10" s="36" t="s">
        <v>31</v>
      </c>
      <c r="S10" s="8">
        <v>85.872</v>
      </c>
      <c r="T10" s="37">
        <f t="shared" si="5"/>
        <v>42030</v>
      </c>
      <c r="U10" s="13" t="s">
        <v>58</v>
      </c>
      <c r="V10" s="38">
        <f t="shared" si="2"/>
        <v>47084.579366400001</v>
      </c>
      <c r="W10" s="29">
        <v>155.76</v>
      </c>
      <c r="X10" s="39">
        <f t="shared" si="3"/>
        <v>7333894.0821104636</v>
      </c>
      <c r="Y10" s="42">
        <v>0</v>
      </c>
      <c r="Z10" s="29"/>
      <c r="AA10" s="29"/>
    </row>
    <row r="11" spans="2:27" ht="24" customHeight="1">
      <c r="B11" s="28">
        <f t="shared" si="4"/>
        <v>7</v>
      </c>
      <c r="C11" s="10" t="s">
        <v>247</v>
      </c>
      <c r="D11" s="41" t="s">
        <v>230</v>
      </c>
      <c r="E11" s="9"/>
      <c r="F11" s="12" t="s">
        <v>248</v>
      </c>
      <c r="G11" s="10" t="s">
        <v>33</v>
      </c>
      <c r="H11" s="10" t="s">
        <v>62</v>
      </c>
      <c r="I11" s="10" t="s">
        <v>63</v>
      </c>
      <c r="J11" s="31">
        <v>801.22</v>
      </c>
      <c r="K11" s="30">
        <v>41941</v>
      </c>
      <c r="L11" s="32" t="s">
        <v>245</v>
      </c>
      <c r="M11" s="43" t="s">
        <v>65</v>
      </c>
      <c r="N11" s="10" t="s">
        <v>66</v>
      </c>
      <c r="O11" s="13" t="s">
        <v>246</v>
      </c>
      <c r="P11" s="34">
        <v>80000</v>
      </c>
      <c r="Q11" s="35">
        <f t="shared" si="0"/>
        <v>6869760</v>
      </c>
      <c r="R11" s="36" t="s">
        <v>31</v>
      </c>
      <c r="S11" s="8">
        <v>85.872</v>
      </c>
      <c r="T11" s="37">
        <f t="shared" si="5"/>
        <v>42030</v>
      </c>
      <c r="U11" s="13" t="s">
        <v>58</v>
      </c>
      <c r="V11" s="38">
        <f t="shared" si="2"/>
        <v>8243.7119999999995</v>
      </c>
      <c r="W11" s="29">
        <v>155.76</v>
      </c>
      <c r="X11" s="39">
        <f t="shared" si="3"/>
        <v>1284040.5811199998</v>
      </c>
      <c r="Y11" s="42">
        <v>0</v>
      </c>
      <c r="Z11" s="29"/>
      <c r="AA11" s="29"/>
    </row>
    <row r="12" spans="2:27" ht="24" customHeight="1">
      <c r="B12" s="28">
        <f t="shared" si="4"/>
        <v>8</v>
      </c>
      <c r="C12" s="10" t="s">
        <v>249</v>
      </c>
      <c r="D12" s="41" t="s">
        <v>230</v>
      </c>
      <c r="E12" s="9"/>
      <c r="F12" s="12" t="s">
        <v>250</v>
      </c>
      <c r="G12" s="10" t="s">
        <v>160</v>
      </c>
      <c r="H12" s="10" t="s">
        <v>161</v>
      </c>
      <c r="I12" s="10" t="s">
        <v>63</v>
      </c>
      <c r="J12" s="31">
        <v>801.22</v>
      </c>
      <c r="K12" s="30">
        <v>41941</v>
      </c>
      <c r="L12" s="32" t="s">
        <v>245</v>
      </c>
      <c r="M12" s="32" t="s">
        <v>65</v>
      </c>
      <c r="N12" s="10" t="s">
        <v>66</v>
      </c>
      <c r="O12" s="13" t="s">
        <v>246</v>
      </c>
      <c r="P12" s="34">
        <v>12000</v>
      </c>
      <c r="Q12" s="35">
        <f t="shared" si="0"/>
        <v>1030464</v>
      </c>
      <c r="R12" s="36" t="s">
        <v>31</v>
      </c>
      <c r="S12" s="8">
        <v>85.872</v>
      </c>
      <c r="T12" s="37">
        <f t="shared" si="5"/>
        <v>42030</v>
      </c>
      <c r="U12" s="10" t="s">
        <v>160</v>
      </c>
      <c r="V12" s="38">
        <f t="shared" si="2"/>
        <v>1236.5567999999998</v>
      </c>
      <c r="W12" s="29">
        <v>155.76</v>
      </c>
      <c r="X12" s="39">
        <f t="shared" si="3"/>
        <v>192606.08716799997</v>
      </c>
      <c r="Y12" s="42">
        <v>0</v>
      </c>
      <c r="Z12" s="29"/>
      <c r="AA12" s="29"/>
    </row>
    <row r="13" spans="2:27" ht="24" customHeight="1">
      <c r="B13" s="28">
        <f t="shared" si="4"/>
        <v>9</v>
      </c>
      <c r="C13" s="10" t="s">
        <v>251</v>
      </c>
      <c r="D13" s="41" t="s">
        <v>230</v>
      </c>
      <c r="E13" s="9"/>
      <c r="F13" s="12" t="s">
        <v>252</v>
      </c>
      <c r="G13" s="10" t="s">
        <v>187</v>
      </c>
      <c r="H13" s="10" t="s">
        <v>188</v>
      </c>
      <c r="I13" s="10" t="s">
        <v>63</v>
      </c>
      <c r="J13" s="31">
        <v>801.22</v>
      </c>
      <c r="K13" s="30">
        <v>41941</v>
      </c>
      <c r="L13" s="32" t="s">
        <v>245</v>
      </c>
      <c r="M13" s="32" t="s">
        <v>65</v>
      </c>
      <c r="N13" s="10" t="s">
        <v>66</v>
      </c>
      <c r="O13" s="13" t="s">
        <v>246</v>
      </c>
      <c r="P13" s="34">
        <v>58000</v>
      </c>
      <c r="Q13" s="35">
        <f t="shared" si="0"/>
        <v>4980576</v>
      </c>
      <c r="R13" s="36" t="s">
        <v>31</v>
      </c>
      <c r="S13" s="8">
        <v>85.872</v>
      </c>
      <c r="T13" s="37">
        <f t="shared" si="5"/>
        <v>42030</v>
      </c>
      <c r="U13" s="10" t="s">
        <v>189</v>
      </c>
      <c r="V13" s="38">
        <f t="shared" si="2"/>
        <v>5976.6911999999993</v>
      </c>
      <c r="W13" s="29">
        <v>155.76</v>
      </c>
      <c r="X13" s="39">
        <f t="shared" si="3"/>
        <v>930929.42131199979</v>
      </c>
      <c r="Y13" s="42">
        <v>0</v>
      </c>
      <c r="Z13" s="29"/>
      <c r="AA13" s="29"/>
    </row>
    <row r="14" spans="2:27" ht="24" customHeight="1">
      <c r="B14" s="28">
        <f t="shared" si="4"/>
        <v>10</v>
      </c>
      <c r="C14" s="10" t="s">
        <v>253</v>
      </c>
      <c r="D14" s="41" t="s">
        <v>230</v>
      </c>
      <c r="E14" s="9"/>
      <c r="F14" s="12" t="s">
        <v>254</v>
      </c>
      <c r="G14" s="10" t="s">
        <v>91</v>
      </c>
      <c r="H14" s="10" t="s">
        <v>92</v>
      </c>
      <c r="I14" s="10" t="s">
        <v>63</v>
      </c>
      <c r="J14" s="31">
        <v>801.22</v>
      </c>
      <c r="K14" s="30">
        <v>41943</v>
      </c>
      <c r="L14" s="32" t="s">
        <v>222</v>
      </c>
      <c r="M14" s="32" t="s">
        <v>65</v>
      </c>
      <c r="N14" s="10" t="s">
        <v>66</v>
      </c>
      <c r="O14" s="13" t="s">
        <v>223</v>
      </c>
      <c r="P14" s="34">
        <v>99960</v>
      </c>
      <c r="Q14" s="35">
        <f t="shared" si="0"/>
        <v>8547479.6400000006</v>
      </c>
      <c r="R14" s="36" t="s">
        <v>31</v>
      </c>
      <c r="S14" s="8">
        <v>85.509</v>
      </c>
      <c r="T14" s="37">
        <f t="shared" si="5"/>
        <v>42032</v>
      </c>
      <c r="U14" s="10" t="s">
        <v>91</v>
      </c>
      <c r="V14" s="38">
        <f t="shared" si="2"/>
        <v>10256.975568</v>
      </c>
      <c r="W14" s="29">
        <v>155.76</v>
      </c>
      <c r="X14" s="39">
        <f t="shared" si="3"/>
        <v>1597626.5144716799</v>
      </c>
      <c r="Y14" s="42">
        <v>0</v>
      </c>
      <c r="Z14" s="29"/>
      <c r="AA14" s="29"/>
    </row>
    <row r="15" spans="2:27" ht="24" customHeight="1" thickBot="1">
      <c r="B15" s="28">
        <f t="shared" si="4"/>
        <v>11</v>
      </c>
      <c r="C15" s="10" t="s">
        <v>255</v>
      </c>
      <c r="D15" s="41" t="s">
        <v>230</v>
      </c>
      <c r="E15" s="9"/>
      <c r="F15" s="12" t="s">
        <v>256</v>
      </c>
      <c r="G15" s="10" t="s">
        <v>33</v>
      </c>
      <c r="H15" s="10" t="s">
        <v>28</v>
      </c>
      <c r="I15" s="10" t="s">
        <v>29</v>
      </c>
      <c r="J15" s="31">
        <v>801.22</v>
      </c>
      <c r="K15" s="30">
        <v>41943</v>
      </c>
      <c r="L15" s="32" t="s">
        <v>257</v>
      </c>
      <c r="M15" s="32" t="s">
        <v>30</v>
      </c>
      <c r="N15" s="10" t="s">
        <v>32</v>
      </c>
      <c r="O15" s="13" t="s">
        <v>37</v>
      </c>
      <c r="P15" s="34">
        <v>905784</v>
      </c>
      <c r="Q15" s="39">
        <f t="shared" si="0"/>
        <v>75776983.656000003</v>
      </c>
      <c r="R15" s="36" t="s">
        <v>31</v>
      </c>
      <c r="S15" s="44">
        <v>83.659000000000006</v>
      </c>
      <c r="T15" s="37">
        <f t="shared" si="5"/>
        <v>42032</v>
      </c>
      <c r="U15" s="13" t="s">
        <v>27</v>
      </c>
      <c r="V15" s="38">
        <f t="shared" si="2"/>
        <v>90932.380387199999</v>
      </c>
      <c r="W15" s="29">
        <v>155.76</v>
      </c>
      <c r="X15" s="39">
        <f t="shared" si="3"/>
        <v>14163627.569110271</v>
      </c>
      <c r="Y15" s="42">
        <v>0</v>
      </c>
      <c r="Z15" s="29"/>
      <c r="AA15" s="29"/>
    </row>
    <row r="16" spans="2:27" ht="15.75" thickBot="1">
      <c r="P16" s="45">
        <f>SUM(P5:P15)</f>
        <v>3117051</v>
      </c>
      <c r="Q16" s="46">
        <f>SUM(Q5:Q15)</f>
        <v>262019326.79700005</v>
      </c>
      <c r="R16" s="47"/>
      <c r="S16" s="48"/>
      <c r="T16" s="49"/>
      <c r="U16" s="50"/>
      <c r="V16" s="46">
        <f>SUM(V5:V15)</f>
        <v>314423.19215639995</v>
      </c>
      <c r="W16" s="47"/>
      <c r="X16" s="46">
        <f>SUM(X5:X15)</f>
        <v>48974556.410280868</v>
      </c>
      <c r="Y16" s="62">
        <f>SUM(Y5:Y15)</f>
        <v>0</v>
      </c>
    </row>
    <row r="38" spans="3:3">
      <c r="C38" s="78"/>
    </row>
  </sheetData>
  <pageMargins left="0" right="0" top="0" bottom="0" header="0.31496062992125984" footer="0"/>
  <pageSetup paperSize="8" orientation="landscape" r:id="rId1"/>
  <ignoredErrors>
    <ignoredError sqref="F5:F1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(OCT'14)</vt:lpstr>
      <vt:lpstr>COMPLIANT (OCT'14)</vt:lpstr>
      <vt:lpstr>NON-COMPLIANT (OCT'14)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2014-11-06T14:25:45Z</cp:lastPrinted>
  <dcterms:created xsi:type="dcterms:W3CDTF">2014-10-13T09:43:26Z</dcterms:created>
  <dcterms:modified xsi:type="dcterms:W3CDTF">2014-11-10T10:10:35Z</dcterms:modified>
</cp:coreProperties>
</file>