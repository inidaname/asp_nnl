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30" windowWidth="19335" windowHeight="7080"/>
  </bookViews>
  <sheets>
    <sheet name="COMPREHENSIVE (DEC'14)" sheetId="3" r:id="rId1"/>
    <sheet name="COMPLIANT (DEC'14)" sheetId="2" r:id="rId2"/>
    <sheet name="NON-COMPLIANT (DEC'14)" sheetId="5" r:id="rId3"/>
  </sheets>
  <calcPr calcId="125725"/>
</workbook>
</file>

<file path=xl/calcChain.xml><?xml version="1.0" encoding="utf-8"?>
<calcChain xmlns="http://schemas.openxmlformats.org/spreadsheetml/2006/main">
  <c r="B9" i="5"/>
  <c r="B10" s="1"/>
  <c r="B11" s="1"/>
  <c r="B12" s="1"/>
  <c r="B13" s="1"/>
  <c r="B14" s="1"/>
  <c r="B15" s="1"/>
  <c r="B16" s="1"/>
  <c r="B17" s="1"/>
  <c r="B6"/>
  <c r="B7" s="1"/>
  <c r="B8" s="1"/>
  <c r="P18"/>
  <c r="T17"/>
  <c r="Q17"/>
  <c r="V17" s="1"/>
  <c r="X17" s="1"/>
  <c r="Y18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T5"/>
  <c r="Q5"/>
  <c r="Q18" s="1"/>
  <c r="P28" i="3"/>
  <c r="T27"/>
  <c r="Q27"/>
  <c r="V27" s="1"/>
  <c r="X27" s="1"/>
  <c r="T26"/>
  <c r="Q26"/>
  <c r="V26" s="1"/>
  <c r="X26" s="1"/>
  <c r="Y26" s="1"/>
  <c r="T25"/>
  <c r="Q25"/>
  <c r="V25" s="1"/>
  <c r="X25" s="1"/>
  <c r="Y25" s="1"/>
  <c r="T24"/>
  <c r="Q24"/>
  <c r="V24" s="1"/>
  <c r="X24" s="1"/>
  <c r="Y24" s="1"/>
  <c r="T23"/>
  <c r="Q23"/>
  <c r="V23" s="1"/>
  <c r="X23" s="1"/>
  <c r="Y23" s="1"/>
  <c r="T22"/>
  <c r="Q22"/>
  <c r="V22" s="1"/>
  <c r="X22" s="1"/>
  <c r="Y22" s="1"/>
  <c r="T21"/>
  <c r="Q21"/>
  <c r="V21" s="1"/>
  <c r="X21" s="1"/>
  <c r="T20"/>
  <c r="Q20"/>
  <c r="V20" s="1"/>
  <c r="X20" s="1"/>
  <c r="T19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Y13" s="1"/>
  <c r="T12"/>
  <c r="Q12"/>
  <c r="V12" s="1"/>
  <c r="X12" s="1"/>
  <c r="Y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Y8" s="1"/>
  <c r="T7"/>
  <c r="Q7"/>
  <c r="V7" s="1"/>
  <c r="X7" s="1"/>
  <c r="Y7" s="1"/>
  <c r="T6"/>
  <c r="Q6"/>
  <c r="V6" s="1"/>
  <c r="X6" s="1"/>
  <c r="Y6" s="1"/>
  <c r="Y28" s="1"/>
  <c r="T5"/>
  <c r="Q5"/>
  <c r="V5" s="1"/>
  <c r="X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P19" i="2"/>
  <c r="T18"/>
  <c r="Q18"/>
  <c r="V18" s="1"/>
  <c r="X18" s="1"/>
  <c r="Y18" s="1"/>
  <c r="T17"/>
  <c r="Q17"/>
  <c r="V17" s="1"/>
  <c r="X17" s="1"/>
  <c r="Y17" s="1"/>
  <c r="T16"/>
  <c r="Q16"/>
  <c r="V16" s="1"/>
  <c r="X16" s="1"/>
  <c r="Y16" s="1"/>
  <c r="T15"/>
  <c r="Q15"/>
  <c r="V15" s="1"/>
  <c r="X15" s="1"/>
  <c r="Y15" s="1"/>
  <c r="T14"/>
  <c r="Q14"/>
  <c r="V14" s="1"/>
  <c r="X14" s="1"/>
  <c r="Y14" s="1"/>
  <c r="T13"/>
  <c r="Q13"/>
  <c r="V13" s="1"/>
  <c r="X13" s="1"/>
  <c r="Y13" s="1"/>
  <c r="T12"/>
  <c r="Q12"/>
  <c r="V12" s="1"/>
  <c r="X12" s="1"/>
  <c r="Y12" s="1"/>
  <c r="T11"/>
  <c r="Q11"/>
  <c r="V11" s="1"/>
  <c r="X11" s="1"/>
  <c r="Y11" s="1"/>
  <c r="T10"/>
  <c r="Q10"/>
  <c r="V10" s="1"/>
  <c r="X10" s="1"/>
  <c r="Y10" s="1"/>
  <c r="T9"/>
  <c r="Q9"/>
  <c r="V9" s="1"/>
  <c r="X9" s="1"/>
  <c r="Y9" s="1"/>
  <c r="Y19" s="1"/>
  <c r="V5" i="5" l="1"/>
  <c r="Q28" i="3"/>
  <c r="X5" i="5" l="1"/>
  <c r="X18" s="1"/>
  <c r="V18"/>
  <c r="V28" i="3"/>
  <c r="X28"/>
  <c r="T8" i="2"/>
  <c r="Q8"/>
  <c r="V8" s="1"/>
  <c r="X8" s="1"/>
  <c r="T7"/>
  <c r="Q7"/>
  <c r="V7" s="1"/>
  <c r="X7" s="1"/>
  <c r="T6"/>
  <c r="Q6"/>
  <c r="V6" s="1"/>
  <c r="X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T5"/>
  <c r="Q5"/>
  <c r="V5" l="1"/>
  <c r="Q19"/>
  <c r="X5" l="1"/>
  <c r="X19" s="1"/>
  <c r="V19"/>
</calcChain>
</file>

<file path=xl/comments1.xml><?xml version="1.0" encoding="utf-8"?>
<comments xmlns="http://schemas.openxmlformats.org/spreadsheetml/2006/main">
  <authors>
    <author>hp</author>
  </authors>
  <commentList>
    <comment ref="S5" authorId="0">
      <text>
        <r>
          <rPr>
            <sz val="9"/>
            <color indexed="81"/>
            <rFont val="Tahoma"/>
            <family val="2"/>
          </rPr>
          <t xml:space="preserve">MOBIL PRODUCING USED </t>
        </r>
        <r>
          <rPr>
            <sz val="8"/>
            <color indexed="81"/>
            <rFont val="Tahoma"/>
            <family val="2"/>
          </rPr>
          <t>6 DECIMAL PLACES INSTEAD OF 4 DECIMAL PLACES TO ARRIVED AT 98.082273 INSTEAD OF 98.0823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<sst xmlns="http://schemas.openxmlformats.org/spreadsheetml/2006/main" count="683" uniqueCount="162">
  <si>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</si>
  <si>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</si>
  <si>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</si>
  <si>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</si>
  <si>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</si>
  <si>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</si>
  <si>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</si>
  <si>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</si>
  <si>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</si>
  <si>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</si>
  <si>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</si>
  <si>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</si>
  <si>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</si>
  <si>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</si>
  <si>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</si>
  <si>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</si>
  <si>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</si>
  <si>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</si>
  <si>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</si>
  <si>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</si>
  <si>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</si>
  <si>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</si>
  <si>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</si>
  <si>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</si>
  <si>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</si>
  <si>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</si>
  <si>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</si>
  <si>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C182</t>
  </si>
  <si>
    <t>MOBIL PRODUCING</t>
  </si>
  <si>
    <t>YOHO BLEND CRUDE OIL</t>
  </si>
  <si>
    <t>YOHO</t>
  </si>
  <si>
    <t>UBA</t>
  </si>
  <si>
    <t>GERMANY</t>
  </si>
  <si>
    <t>AGIP ENERGY</t>
  </si>
  <si>
    <t>BRASS</t>
  </si>
  <si>
    <t>NETHERLANDS</t>
  </si>
  <si>
    <t>NIGERIAN AGIP</t>
  </si>
  <si>
    <t>SPAIN</t>
  </si>
  <si>
    <t>HUELVA</t>
  </si>
  <si>
    <t>CITI BANK OF NIG</t>
  </si>
  <si>
    <t>BRASS BLEND CRUDE OIL</t>
  </si>
  <si>
    <t>STANDARD CHARTERED</t>
  </si>
  <si>
    <t>EVGENIA I</t>
  </si>
  <si>
    <t>MONTE TOLEDO</t>
  </si>
  <si>
    <t>ROTTERDAM THE NETHERLANDS FOR ORDERS</t>
  </si>
  <si>
    <t>BRASS 542</t>
  </si>
  <si>
    <t>YOHO 108</t>
  </si>
  <si>
    <t>201400010395</t>
  </si>
  <si>
    <t>201400010494</t>
  </si>
  <si>
    <t>201400010496</t>
  </si>
  <si>
    <t>GENMAR GEORGE T</t>
  </si>
  <si>
    <t>BRUNSBUTTEL GERMANY FOR ORDERS</t>
  </si>
  <si>
    <t>BRASS 561</t>
  </si>
  <si>
    <t>BRASS 562</t>
  </si>
  <si>
    <t>MOBIL YOHO 043</t>
  </si>
  <si>
    <t>AGIP BRASS 081</t>
  </si>
  <si>
    <t>AGIP BRASS 082</t>
  </si>
  <si>
    <t>ENERGY BRASS 043</t>
  </si>
  <si>
    <t>COMPLIANT INSPECTION REPORT FOR THE PERIOD OF DECEMBER 2014</t>
  </si>
  <si>
    <t>YOHO 113</t>
  </si>
  <si>
    <t>NNPC YOHO 067</t>
  </si>
  <si>
    <t>43010109C48/334</t>
  </si>
  <si>
    <t>CENTRAL BANK</t>
  </si>
  <si>
    <t>NNPC</t>
  </si>
  <si>
    <t>RIDGEBURY MARY SELENA</t>
  </si>
  <si>
    <t>OKONO 081</t>
  </si>
  <si>
    <t>NNPC OKONO 066</t>
  </si>
  <si>
    <t>43010115C5/13</t>
  </si>
  <si>
    <t>OKONO BLEND CRUDE OIL</t>
  </si>
  <si>
    <t>OLYMPIC LIGHT</t>
  </si>
  <si>
    <t>OKONO</t>
  </si>
  <si>
    <t>INDIA</t>
  </si>
  <si>
    <t>OMSP(S), INDIA</t>
  </si>
  <si>
    <t>BRASS 582</t>
  </si>
  <si>
    <t>NNPC BRASS 194</t>
  </si>
  <si>
    <t>41414105C40/54</t>
  </si>
  <si>
    <t>ALMI SKY</t>
  </si>
  <si>
    <t>SOUTH AFRICA</t>
  </si>
  <si>
    <t>DURBAN FOR ORDERS</t>
  </si>
  <si>
    <t>ANTAN 119</t>
  </si>
  <si>
    <t>NNPC ANTAN 060</t>
  </si>
  <si>
    <t>41414111C66/6A</t>
  </si>
  <si>
    <t>ANTAN BLEND CRUDE OIL</t>
  </si>
  <si>
    <t>PRINCIMAR LOYALTY</t>
  </si>
  <si>
    <t>ANTAN</t>
  </si>
  <si>
    <t>ANTAN 120</t>
  </si>
  <si>
    <t>NNPC ANTAN 061</t>
  </si>
  <si>
    <t>41414111C66/6B</t>
  </si>
  <si>
    <t>BRASS 592</t>
  </si>
  <si>
    <t>NNPC BRASS 195</t>
  </si>
  <si>
    <t>41414105C13/68A</t>
  </si>
  <si>
    <t>ROMANTIC</t>
  </si>
  <si>
    <t>WILHELMSHAVEN FOR ORDERS</t>
  </si>
  <si>
    <t>BRASS 593</t>
  </si>
  <si>
    <t>NNPC BRASS 196</t>
  </si>
  <si>
    <t>41414105C13/68B</t>
  </si>
  <si>
    <t>BRASS 594</t>
  </si>
  <si>
    <t>NNPC BRASS 197</t>
  </si>
  <si>
    <t>41414105C13/68C</t>
  </si>
  <si>
    <t>BRASS 595</t>
  </si>
  <si>
    <t>NNPC BRASS 198</t>
  </si>
  <si>
    <t>41414105C13/68D</t>
  </si>
  <si>
    <t>BRASS 596</t>
  </si>
  <si>
    <t>NNPC BRASS 199</t>
  </si>
  <si>
    <t>41414105C13/68E</t>
  </si>
  <si>
    <t>CITI BANK</t>
  </si>
  <si>
    <t>ADDAX PETROLEUM</t>
  </si>
  <si>
    <t>USA</t>
  </si>
  <si>
    <t>SKYE BANK</t>
  </si>
  <si>
    <t>ROTTERDAM</t>
  </si>
  <si>
    <t>ITALY</t>
  </si>
  <si>
    <t>PHILLIPS OIL</t>
  </si>
  <si>
    <t>NOT YET ISSUED</t>
  </si>
  <si>
    <t>UNITED KINGDOM</t>
  </si>
  <si>
    <t>MIDWESTERN OIL</t>
  </si>
  <si>
    <t>PLATFORM PETROLEUM</t>
  </si>
  <si>
    <t>GUARANTY TRUST BANK</t>
  </si>
  <si>
    <t>THAILAND</t>
  </si>
  <si>
    <t>GTB</t>
  </si>
  <si>
    <t>STANBIC IBTC</t>
  </si>
  <si>
    <t>EBOK BLEND CRUDE OIL</t>
  </si>
  <si>
    <t>EBOK</t>
  </si>
  <si>
    <t>GENOA</t>
  </si>
  <si>
    <t>STERLING BANK</t>
  </si>
  <si>
    <t>ORIENTAL ENERGY</t>
  </si>
  <si>
    <t>PORTLAND, MAINE</t>
  </si>
  <si>
    <t>AEGEAN NAVIGATOR</t>
  </si>
  <si>
    <t>EBOK 027</t>
  </si>
  <si>
    <t>AWAITING 1</t>
  </si>
  <si>
    <t>YASA POLARIS</t>
  </si>
  <si>
    <t>BRASS 583</t>
  </si>
  <si>
    <t>201400010459</t>
  </si>
  <si>
    <t>ESTEEM BRILLIANCE</t>
  </si>
  <si>
    <t>BRASS 584</t>
  </si>
  <si>
    <t>201400010576</t>
  </si>
  <si>
    <t>BRASS 585</t>
  </si>
  <si>
    <t>AWAITING 2</t>
  </si>
  <si>
    <t>BRASS 586</t>
  </si>
  <si>
    <t>201400020020</t>
  </si>
  <si>
    <t>SUEZ FUZEYYA</t>
  </si>
  <si>
    <t>BRASS 587</t>
  </si>
  <si>
    <t>201400010591</t>
  </si>
  <si>
    <t>BRASS 588</t>
  </si>
  <si>
    <t>201400010592</t>
  </si>
  <si>
    <t>BRASS 589</t>
  </si>
  <si>
    <t>201401010095</t>
  </si>
  <si>
    <t>BRASS 590</t>
  </si>
  <si>
    <t>201401010096</t>
  </si>
  <si>
    <t>BRASS 591</t>
  </si>
  <si>
    <t>201490300012</t>
  </si>
  <si>
    <t>EBOK 028</t>
  </si>
  <si>
    <t>AWAITING 3</t>
  </si>
  <si>
    <t>UNITED HONOR</t>
  </si>
  <si>
    <t>YOHO 114</t>
  </si>
  <si>
    <t>AWAITING 0004</t>
  </si>
  <si>
    <t>FINNART, UK FOR ORDERS</t>
  </si>
  <si>
    <t>ANTAN 121</t>
  </si>
  <si>
    <t>AWAITING 5</t>
  </si>
  <si>
    <t>CHRYSSI</t>
  </si>
  <si>
    <t>OMSP(S), THAILAND</t>
  </si>
  <si>
    <t>COMPREHENSIVE INSPECTION REPORT FOR THE PERIOD OF DECEMBER 2014</t>
  </si>
  <si>
    <t>NON-COMPLIANT INSPECTION REPORT FOR THE PERIOD OF DECEMBER 2014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</si>
</sst>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0.0000"/>
    <numFmt numFmtId="165" formatCode="0000000"/>
    <numFmt numFmtId="166" formatCode="00000000000000"/>
    <numFmt numFmtId="167" formatCode="0.00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sz val="9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164" fontId="6" fillId="0" borderId="5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6" xfId="0" applyFont="1" applyFill="1" applyBorder="1" applyAlignment="1">
      <alignment horizontal="center" wrapText="1"/>
    </xf>
    <xf numFmtId="14" fontId="6" fillId="0" borderId="6" xfId="0" applyNumberFormat="1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0" fontId="9" fillId="0" borderId="0" xfId="0" applyFont="1" applyFill="1"/>
    <xf numFmtId="0" fontId="9" fillId="0" borderId="0" xfId="0" applyFont="1" applyFill="1" applyAlignment="1">
      <alignment horizontal="center"/>
    </xf>
    <xf numFmtId="0" fontId="9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9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164" fontId="9" fillId="0" borderId="0" xfId="0" applyNumberFormat="1" applyFont="1" applyFill="1" applyAlignment="1">
      <alignment horizontal="center"/>
    </xf>
    <xf numFmtId="0" fontId="11" fillId="0" borderId="0" xfId="0" applyFont="1" applyFill="1"/>
    <xf numFmtId="0" fontId="12" fillId="0" borderId="2" xfId="2" applyFont="1" applyFill="1" applyBorder="1" applyAlignment="1">
      <alignment horizontal="center" vertical="center" wrapText="1"/>
    </xf>
    <xf numFmtId="0" fontId="12" fillId="0" borderId="3" xfId="2" applyFont="1" applyFill="1" applyBorder="1" applyAlignment="1">
      <alignment horizontal="center" vertical="center" wrapText="1"/>
    </xf>
    <xf numFmtId="49" fontId="12" fillId="0" borderId="3" xfId="2" applyNumberFormat="1" applyFont="1" applyFill="1" applyBorder="1" applyAlignment="1">
      <alignment horizontal="center" vertical="center"/>
    </xf>
    <xf numFmtId="49" fontId="12" fillId="0" borderId="3" xfId="2" applyNumberFormat="1" applyFont="1" applyFill="1" applyBorder="1" applyAlignment="1">
      <alignment horizontal="center" vertical="center" wrapText="1"/>
    </xf>
    <xf numFmtId="164" fontId="12" fillId="0" borderId="3" xfId="2" applyNumberFormat="1" applyFont="1" applyFill="1" applyBorder="1" applyAlignment="1">
      <alignment horizontal="center" vertical="center" wrapText="1"/>
    </xf>
    <xf numFmtId="0" fontId="12" fillId="0" borderId="4" xfId="2" applyFont="1" applyFill="1" applyBorder="1" applyAlignment="1">
      <alignment horizontal="center" vertical="center" wrapText="1"/>
    </xf>
    <xf numFmtId="0" fontId="6" fillId="0" borderId="6" xfId="0" applyFont="1" applyFill="1" applyBorder="1"/>
    <xf numFmtId="0" fontId="6" fillId="0" borderId="6" xfId="0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wrapText="1"/>
    </xf>
    <xf numFmtId="164" fontId="6" fillId="0" borderId="6" xfId="0" applyNumberFormat="1" applyFont="1" applyFill="1" applyBorder="1" applyAlignment="1">
      <alignment horizontal="center" wrapText="1"/>
    </xf>
    <xf numFmtId="14" fontId="6" fillId="0" borderId="5" xfId="0" applyNumberFormat="1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 wrapText="1"/>
    </xf>
    <xf numFmtId="3" fontId="6" fillId="0" borderId="5" xfId="0" applyNumberFormat="1" applyFont="1" applyFill="1" applyBorder="1"/>
    <xf numFmtId="4" fontId="6" fillId="0" borderId="6" xfId="0" applyNumberFormat="1" applyFont="1" applyFill="1" applyBorder="1" applyAlignment="1">
      <alignment horizontal="right"/>
    </xf>
    <xf numFmtId="4" fontId="6" fillId="0" borderId="6" xfId="0" applyNumberFormat="1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/>
    </xf>
    <xf numFmtId="4" fontId="6" fillId="0" borderId="6" xfId="0" applyNumberFormat="1" applyFont="1" applyFill="1" applyBorder="1"/>
    <xf numFmtId="2" fontId="6" fillId="0" borderId="6" xfId="0" applyNumberFormat="1" applyFont="1" applyFill="1" applyBorder="1" applyAlignment="1">
      <alignment horizontal="center"/>
    </xf>
    <xf numFmtId="2" fontId="6" fillId="0" borderId="7" xfId="0" applyNumberFormat="1" applyFont="1" applyFill="1" applyBorder="1"/>
    <xf numFmtId="43" fontId="6" fillId="0" borderId="7" xfId="1" applyFont="1" applyFill="1" applyBorder="1"/>
    <xf numFmtId="0" fontId="6" fillId="0" borderId="6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wrapText="1"/>
    </xf>
    <xf numFmtId="3" fontId="12" fillId="0" borderId="8" xfId="0" applyNumberFormat="1" applyFont="1" applyFill="1" applyBorder="1"/>
    <xf numFmtId="43" fontId="12" fillId="0" borderId="8" xfId="1" applyFont="1" applyFill="1" applyBorder="1"/>
    <xf numFmtId="0" fontId="12" fillId="0" borderId="0" xfId="0" applyFont="1" applyFill="1"/>
    <xf numFmtId="164" fontId="12" fillId="0" borderId="0" xfId="0" applyNumberFormat="1" applyFont="1" applyFill="1" applyAlignment="1">
      <alignment horizontal="center"/>
    </xf>
    <xf numFmtId="0" fontId="12" fillId="0" borderId="0" xfId="0" applyFont="1" applyFill="1" applyAlignment="1">
      <alignment horizontal="left"/>
    </xf>
    <xf numFmtId="0" fontId="12" fillId="0" borderId="0" xfId="0" applyFont="1" applyFill="1" applyAlignment="1">
      <alignment horizontal="center"/>
    </xf>
    <xf numFmtId="1" fontId="6" fillId="0" borderId="6" xfId="0" applyNumberFormat="1" applyFont="1" applyFill="1" applyBorder="1" applyAlignment="1">
      <alignment horizontal="center" wrapText="1"/>
    </xf>
    <xf numFmtId="4" fontId="6" fillId="0" borderId="7" xfId="0" applyNumberFormat="1" applyFont="1" applyFill="1" applyBorder="1" applyAlignment="1">
      <alignment horizontal="right"/>
    </xf>
    <xf numFmtId="167" fontId="6" fillId="0" borderId="5" xfId="0" applyNumberFormat="1" applyFont="1" applyFill="1" applyBorder="1" applyAlignment="1">
      <alignment horizontal="center"/>
    </xf>
    <xf numFmtId="4" fontId="6" fillId="0" borderId="7" xfId="0" applyNumberFormat="1" applyFont="1" applyFill="1" applyBorder="1"/>
    <xf numFmtId="165" fontId="6" fillId="0" borderId="6" xfId="0" applyNumberFormat="1" applyFont="1" applyFill="1" applyBorder="1" applyAlignment="1">
      <alignment horizontal="center"/>
    </xf>
    <xf numFmtId="2" fontId="12" fillId="0" borderId="8" xfId="1" applyNumberFormat="1" applyFont="1" applyFill="1" applyBorder="1"/>
    <xf numFmtId="164" fontId="6" fillId="0" borderId="6" xfId="4" applyNumberFormat="1" applyFont="1" applyFill="1" applyBorder="1" applyAlignment="1">
      <alignment horizontal="center"/>
    </xf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38099</xdr:rowOff>
    </xdr:from>
    <xdr:to>
      <xdr:col>3</xdr:col>
      <xdr:colOff>542925</xdr:colOff>
      <xdr:row>2</xdr:row>
      <xdr:rowOff>161925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57275" y="228599"/>
          <a:ext cx="504825" cy="323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38099</xdr:rowOff>
    </xdr:from>
    <xdr:to>
      <xdr:col>3</xdr:col>
      <xdr:colOff>476250</xdr:colOff>
      <xdr:row>2</xdr:row>
      <xdr:rowOff>123825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8200" y="228599"/>
          <a:ext cx="438150" cy="2857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38099</xdr:rowOff>
    </xdr:from>
    <xdr:to>
      <xdr:col>3</xdr:col>
      <xdr:colOff>542925</xdr:colOff>
      <xdr:row>2</xdr:row>
      <xdr:rowOff>161925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5" y="228599"/>
          <a:ext cx="504825" cy="323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A28"/>
  <sheetViews>
    <sheetView tabSelected="1" workbookViewId="0">
      <selection activeCell="H18" sqref="H18"/>
    </sheetView>
  </sheetViews>
  <sheetFormatPr defaultRowHeight="15"/>
  <cols>
    <col min="1" max="2" width="3.28515625" style="12" customWidth="1"/>
    <col min="3" max="3" width="5.5703125" style="13" customWidth="1"/>
    <col min="4" max="4" width="8.85546875" style="13" customWidth="1"/>
    <col min="5" max="5" width="6" style="13" customWidth="1"/>
    <col min="6" max="6" width="11.42578125" style="13" customWidth="1"/>
    <col min="7" max="7" width="8.28515625" style="13" customWidth="1"/>
    <col min="8" max="9" width="9" style="13" customWidth="1"/>
    <col min="10" max="10" width="5.7109375" style="12" customWidth="1"/>
    <col min="11" max="11" width="6.5703125" style="14" customWidth="1"/>
    <col min="12" max="12" width="10.42578125" style="13" customWidth="1"/>
    <col min="13" max="13" width="5.5703125" style="13" customWidth="1"/>
    <col min="14" max="14" width="7.140625" style="16" customWidth="1"/>
    <col min="15" max="15" width="10.28515625" style="17" customWidth="1"/>
    <col min="16" max="16" width="7.42578125" style="12" customWidth="1"/>
    <col min="17" max="17" width="12" style="12" customWidth="1"/>
    <col min="18" max="18" width="6.85546875" style="12" customWidth="1"/>
    <col min="19" max="19" width="8" style="18" customWidth="1"/>
    <col min="20" max="20" width="6" style="14" customWidth="1"/>
    <col min="21" max="21" width="8.140625" style="13" customWidth="1"/>
    <col min="22" max="22" width="9.140625" style="12" customWidth="1"/>
    <col min="23" max="23" width="6.85546875" style="12" customWidth="1"/>
    <col min="24" max="24" width="12.28515625" style="12" customWidth="1"/>
    <col min="25" max="25" width="11.5703125" style="12" customWidth="1"/>
    <col min="26" max="27" width="6.5703125" style="12" customWidth="1"/>
    <col min="28" max="28" width="11.5703125" style="12" customWidth="1"/>
    <col min="29" max="16384" width="9.140625" style="12"/>
  </cols>
  <sheetData>
    <row r="2" spans="2:27" ht="15.75">
      <c r="L2" s="15" t="s">
        <v>0</v>
      </c>
    </row>
    <row r="3" spans="2:27" ht="17.25" customHeight="1" thickBot="1">
      <c r="L3" s="15" t="s">
        <v>160</v>
      </c>
      <c r="P3" s="19"/>
    </row>
    <row r="4" spans="2:27" s="13" customFormat="1" ht="42.6" customHeight="1" thickBot="1">
      <c r="B4" s="20" t="s">
        <v>1</v>
      </c>
      <c r="C4" s="21" t="s">
        <v>2</v>
      </c>
      <c r="D4" s="21" t="s">
        <v>3</v>
      </c>
      <c r="E4" s="21" t="s">
        <v>4</v>
      </c>
      <c r="F4" s="22" t="s">
        <v>5</v>
      </c>
      <c r="G4" s="23" t="s">
        <v>6</v>
      </c>
      <c r="H4" s="21" t="s">
        <v>7</v>
      </c>
      <c r="I4" s="21" t="s">
        <v>8</v>
      </c>
      <c r="J4" s="21" t="s">
        <v>9</v>
      </c>
      <c r="K4" s="21" t="s">
        <v>10</v>
      </c>
      <c r="L4" s="21" t="s">
        <v>11</v>
      </c>
      <c r="M4" s="21" t="s">
        <v>12</v>
      </c>
      <c r="N4" s="21" t="s">
        <v>13</v>
      </c>
      <c r="O4" s="21" t="s">
        <v>14</v>
      </c>
      <c r="P4" s="21" t="s">
        <v>15</v>
      </c>
      <c r="Q4" s="21" t="s">
        <v>16</v>
      </c>
      <c r="R4" s="21" t="s">
        <v>17</v>
      </c>
      <c r="S4" s="24" t="s">
        <v>18</v>
      </c>
      <c r="T4" s="21" t="s">
        <v>19</v>
      </c>
      <c r="U4" s="21" t="s">
        <v>20</v>
      </c>
      <c r="V4" s="21" t="s">
        <v>21</v>
      </c>
      <c r="W4" s="21" t="s">
        <v>22</v>
      </c>
      <c r="X4" s="21" t="s">
        <v>23</v>
      </c>
      <c r="Y4" s="21" t="s">
        <v>24</v>
      </c>
      <c r="Z4" s="21" t="s">
        <v>25</v>
      </c>
      <c r="AA4" s="25" t="s">
        <v>26</v>
      </c>
    </row>
    <row r="5" spans="2:27" ht="19.5" customHeight="1">
      <c r="B5" s="26">
        <v>1</v>
      </c>
      <c r="C5" s="9" t="s">
        <v>127</v>
      </c>
      <c r="D5" s="28" t="s">
        <v>112</v>
      </c>
      <c r="E5" s="10"/>
      <c r="F5" s="29" t="s">
        <v>128</v>
      </c>
      <c r="G5" s="9" t="s">
        <v>119</v>
      </c>
      <c r="H5" s="9" t="s">
        <v>124</v>
      </c>
      <c r="I5" s="9" t="s">
        <v>120</v>
      </c>
      <c r="J5" s="30">
        <v>801.22</v>
      </c>
      <c r="K5" s="31">
        <v>41975</v>
      </c>
      <c r="L5" s="32" t="s">
        <v>129</v>
      </c>
      <c r="M5" s="32" t="s">
        <v>121</v>
      </c>
      <c r="N5" s="9" t="s">
        <v>35</v>
      </c>
      <c r="O5" s="33" t="s">
        <v>109</v>
      </c>
      <c r="P5" s="34">
        <v>607670</v>
      </c>
      <c r="Q5" s="35">
        <f t="shared" ref="Q5:Q9" si="0">SUM(P5*S5)</f>
        <v>40278190.609999999</v>
      </c>
      <c r="R5" s="36" t="s">
        <v>27</v>
      </c>
      <c r="S5" s="7">
        <v>66.283000000000001</v>
      </c>
      <c r="T5" s="37">
        <f t="shared" ref="T5:T27" si="1">SUM(K5)+89</f>
        <v>42064</v>
      </c>
      <c r="U5" s="9" t="s">
        <v>41</v>
      </c>
      <c r="V5" s="38">
        <f t="shared" ref="V5:V27" si="2">SUM(Q5*0.12%)</f>
        <v>48333.828731999994</v>
      </c>
      <c r="W5" s="39">
        <v>168</v>
      </c>
      <c r="X5" s="35">
        <f t="shared" ref="X5:X27" si="3">SUM(V5*W5)</f>
        <v>8120083.2269759988</v>
      </c>
      <c r="Y5" s="40">
        <v>0</v>
      </c>
      <c r="Z5" s="27"/>
      <c r="AA5" s="27"/>
    </row>
    <row r="6" spans="2:27" ht="19.5" customHeight="1">
      <c r="B6" s="26">
        <f t="shared" ref="B6:B27" si="4">B5+1</f>
        <v>2</v>
      </c>
      <c r="C6" s="9" t="s">
        <v>59</v>
      </c>
      <c r="D6" s="10" t="s">
        <v>60</v>
      </c>
      <c r="E6" s="31">
        <v>42004</v>
      </c>
      <c r="F6" s="29" t="s">
        <v>61</v>
      </c>
      <c r="G6" s="9" t="s">
        <v>62</v>
      </c>
      <c r="H6" s="9" t="s">
        <v>63</v>
      </c>
      <c r="I6" s="9" t="s">
        <v>29</v>
      </c>
      <c r="J6" s="30">
        <v>801.22</v>
      </c>
      <c r="K6" s="31">
        <v>41975</v>
      </c>
      <c r="L6" s="32" t="s">
        <v>64</v>
      </c>
      <c r="M6" s="32" t="s">
        <v>30</v>
      </c>
      <c r="N6" s="9" t="s">
        <v>37</v>
      </c>
      <c r="O6" s="33" t="s">
        <v>38</v>
      </c>
      <c r="P6" s="34">
        <v>961905</v>
      </c>
      <c r="Q6" s="35">
        <f t="shared" si="0"/>
        <v>68932998.015000001</v>
      </c>
      <c r="R6" s="36" t="s">
        <v>27</v>
      </c>
      <c r="S6" s="7">
        <v>71.662999999999997</v>
      </c>
      <c r="T6" s="37">
        <f t="shared" si="1"/>
        <v>42064</v>
      </c>
      <c r="U6" s="9" t="s">
        <v>62</v>
      </c>
      <c r="V6" s="38">
        <f t="shared" si="2"/>
        <v>82719.597618</v>
      </c>
      <c r="W6" s="39">
        <v>168</v>
      </c>
      <c r="X6" s="35">
        <f t="shared" si="3"/>
        <v>13896892.399824001</v>
      </c>
      <c r="Y6" s="41">
        <f t="shared" ref="Y6:Y8" si="5">X6</f>
        <v>13896892.399824001</v>
      </c>
      <c r="Z6" s="27"/>
      <c r="AA6" s="27"/>
    </row>
    <row r="7" spans="2:27" ht="19.5" customHeight="1">
      <c r="B7" s="26">
        <f t="shared" si="4"/>
        <v>3</v>
      </c>
      <c r="C7" s="9" t="s">
        <v>65</v>
      </c>
      <c r="D7" s="10" t="s">
        <v>66</v>
      </c>
      <c r="E7" s="31">
        <v>42004</v>
      </c>
      <c r="F7" s="29" t="s">
        <v>67</v>
      </c>
      <c r="G7" s="9" t="s">
        <v>62</v>
      </c>
      <c r="H7" s="9" t="s">
        <v>63</v>
      </c>
      <c r="I7" s="9" t="s">
        <v>68</v>
      </c>
      <c r="J7" s="30">
        <v>801.22</v>
      </c>
      <c r="K7" s="31">
        <v>41975</v>
      </c>
      <c r="L7" s="32" t="s">
        <v>69</v>
      </c>
      <c r="M7" s="32" t="s">
        <v>70</v>
      </c>
      <c r="N7" s="9" t="s">
        <v>71</v>
      </c>
      <c r="O7" s="33" t="s">
        <v>72</v>
      </c>
      <c r="P7" s="34">
        <v>899965</v>
      </c>
      <c r="Q7" s="35">
        <f t="shared" si="0"/>
        <v>64449193.545000002</v>
      </c>
      <c r="R7" s="36" t="s">
        <v>27</v>
      </c>
      <c r="S7" s="7">
        <v>71.613</v>
      </c>
      <c r="T7" s="37">
        <f t="shared" si="1"/>
        <v>42064</v>
      </c>
      <c r="U7" s="9" t="s">
        <v>62</v>
      </c>
      <c r="V7" s="38">
        <f t="shared" si="2"/>
        <v>77339.032253999991</v>
      </c>
      <c r="W7" s="39">
        <v>168</v>
      </c>
      <c r="X7" s="35">
        <f t="shared" si="3"/>
        <v>12992957.418671999</v>
      </c>
      <c r="Y7" s="41">
        <f t="shared" si="5"/>
        <v>12992957.418671999</v>
      </c>
      <c r="Z7" s="27"/>
      <c r="AA7" s="27"/>
    </row>
    <row r="8" spans="2:27" ht="19.5" customHeight="1">
      <c r="B8" s="26">
        <f t="shared" si="4"/>
        <v>4</v>
      </c>
      <c r="C8" s="9" t="s">
        <v>73</v>
      </c>
      <c r="D8" s="10" t="s">
        <v>74</v>
      </c>
      <c r="E8" s="31">
        <v>42004</v>
      </c>
      <c r="F8" s="29" t="s">
        <v>75</v>
      </c>
      <c r="G8" s="9" t="s">
        <v>62</v>
      </c>
      <c r="H8" s="9" t="s">
        <v>63</v>
      </c>
      <c r="I8" s="9" t="s">
        <v>40</v>
      </c>
      <c r="J8" s="30">
        <v>801.22</v>
      </c>
      <c r="K8" s="31">
        <v>41979</v>
      </c>
      <c r="L8" s="32" t="s">
        <v>76</v>
      </c>
      <c r="M8" s="32" t="s">
        <v>34</v>
      </c>
      <c r="N8" s="9" t="s">
        <v>77</v>
      </c>
      <c r="O8" s="33" t="s">
        <v>78</v>
      </c>
      <c r="P8" s="34">
        <v>950116</v>
      </c>
      <c r="Q8" s="35">
        <f t="shared" si="0"/>
        <v>64114777.795999996</v>
      </c>
      <c r="R8" s="36" t="s">
        <v>27</v>
      </c>
      <c r="S8" s="7">
        <v>67.480999999999995</v>
      </c>
      <c r="T8" s="37">
        <f t="shared" si="1"/>
        <v>42068</v>
      </c>
      <c r="U8" s="9" t="s">
        <v>62</v>
      </c>
      <c r="V8" s="38">
        <f t="shared" si="2"/>
        <v>76937.733355199991</v>
      </c>
      <c r="W8" s="39">
        <v>168</v>
      </c>
      <c r="X8" s="35">
        <f t="shared" si="3"/>
        <v>12925539.203673599</v>
      </c>
      <c r="Y8" s="41">
        <f t="shared" si="5"/>
        <v>12925539.203673599</v>
      </c>
      <c r="Z8" s="27"/>
      <c r="AA8" s="27"/>
    </row>
    <row r="9" spans="2:27" ht="19.5" customHeight="1">
      <c r="B9" s="26">
        <f t="shared" si="4"/>
        <v>5</v>
      </c>
      <c r="C9" s="9" t="s">
        <v>130</v>
      </c>
      <c r="D9" s="28" t="s">
        <v>112</v>
      </c>
      <c r="E9" s="10"/>
      <c r="F9" s="29" t="s">
        <v>131</v>
      </c>
      <c r="G9" s="9" t="s">
        <v>41</v>
      </c>
      <c r="H9" s="9" t="s">
        <v>111</v>
      </c>
      <c r="I9" s="9" t="s">
        <v>40</v>
      </c>
      <c r="J9" s="30">
        <v>801.22</v>
      </c>
      <c r="K9" s="31">
        <v>41984</v>
      </c>
      <c r="L9" s="32" t="s">
        <v>132</v>
      </c>
      <c r="M9" s="32" t="s">
        <v>34</v>
      </c>
      <c r="N9" s="9" t="s">
        <v>107</v>
      </c>
      <c r="O9" s="33" t="s">
        <v>125</v>
      </c>
      <c r="P9" s="34">
        <v>571541</v>
      </c>
      <c r="Q9" s="35">
        <f t="shared" si="0"/>
        <v>36312285.894000001</v>
      </c>
      <c r="R9" s="36" t="s">
        <v>27</v>
      </c>
      <c r="S9" s="7">
        <v>63.533999999999999</v>
      </c>
      <c r="T9" s="37">
        <f t="shared" si="1"/>
        <v>42073</v>
      </c>
      <c r="U9" s="42" t="s">
        <v>31</v>
      </c>
      <c r="V9" s="38">
        <f t="shared" si="2"/>
        <v>43574.743072799996</v>
      </c>
      <c r="W9" s="39">
        <v>168</v>
      </c>
      <c r="X9" s="35">
        <f t="shared" si="3"/>
        <v>7320556.8362303991</v>
      </c>
      <c r="Y9" s="40">
        <v>0</v>
      </c>
      <c r="Z9" s="27"/>
      <c r="AA9" s="27"/>
    </row>
    <row r="10" spans="2:27" ht="19.5" customHeight="1">
      <c r="B10" s="26">
        <f t="shared" si="4"/>
        <v>6</v>
      </c>
      <c r="C10" s="9" t="s">
        <v>133</v>
      </c>
      <c r="D10" s="28" t="s">
        <v>112</v>
      </c>
      <c r="E10" s="10"/>
      <c r="F10" s="29" t="s">
        <v>134</v>
      </c>
      <c r="G10" s="9" t="s">
        <v>39</v>
      </c>
      <c r="H10" s="9" t="s">
        <v>36</v>
      </c>
      <c r="I10" s="9" t="s">
        <v>40</v>
      </c>
      <c r="J10" s="30">
        <v>801.22</v>
      </c>
      <c r="K10" s="31">
        <v>41984</v>
      </c>
      <c r="L10" s="32" t="s">
        <v>132</v>
      </c>
      <c r="M10" s="32" t="s">
        <v>34</v>
      </c>
      <c r="N10" s="9" t="s">
        <v>107</v>
      </c>
      <c r="O10" s="42" t="s">
        <v>125</v>
      </c>
      <c r="P10" s="34">
        <v>10000</v>
      </c>
      <c r="Q10" s="35">
        <f t="shared" ref="Q10:Q27" si="6">SUM(P10*S10)</f>
        <v>635340</v>
      </c>
      <c r="R10" s="36" t="s">
        <v>27</v>
      </c>
      <c r="S10" s="7">
        <v>63.533999999999999</v>
      </c>
      <c r="T10" s="37">
        <f t="shared" si="1"/>
        <v>42073</v>
      </c>
      <c r="U10" s="42" t="s">
        <v>31</v>
      </c>
      <c r="V10" s="38">
        <f t="shared" si="2"/>
        <v>762.4079999999999</v>
      </c>
      <c r="W10" s="39">
        <v>168</v>
      </c>
      <c r="X10" s="35">
        <f t="shared" si="3"/>
        <v>128084.54399999998</v>
      </c>
      <c r="Y10" s="40">
        <v>0</v>
      </c>
      <c r="Z10" s="27"/>
      <c r="AA10" s="27"/>
    </row>
    <row r="11" spans="2:27" ht="19.5" customHeight="1">
      <c r="B11" s="26">
        <f t="shared" si="4"/>
        <v>7</v>
      </c>
      <c r="C11" s="9" t="s">
        <v>135</v>
      </c>
      <c r="D11" s="28" t="s">
        <v>112</v>
      </c>
      <c r="E11" s="10"/>
      <c r="F11" s="29" t="s">
        <v>136</v>
      </c>
      <c r="G11" s="9" t="s">
        <v>116</v>
      </c>
      <c r="H11" s="9" t="s">
        <v>114</v>
      </c>
      <c r="I11" s="9" t="s">
        <v>40</v>
      </c>
      <c r="J11" s="30">
        <v>801.22</v>
      </c>
      <c r="K11" s="31">
        <v>41984</v>
      </c>
      <c r="L11" s="32" t="s">
        <v>132</v>
      </c>
      <c r="M11" s="32" t="s">
        <v>34</v>
      </c>
      <c r="N11" s="9" t="s">
        <v>107</v>
      </c>
      <c r="O11" s="42" t="s">
        <v>125</v>
      </c>
      <c r="P11" s="34">
        <v>120000</v>
      </c>
      <c r="Q11" s="35">
        <f t="shared" si="6"/>
        <v>7624080</v>
      </c>
      <c r="R11" s="36" t="s">
        <v>27</v>
      </c>
      <c r="S11" s="7">
        <v>63.533999999999999</v>
      </c>
      <c r="T11" s="37">
        <f t="shared" si="1"/>
        <v>42073</v>
      </c>
      <c r="U11" s="9" t="s">
        <v>118</v>
      </c>
      <c r="V11" s="38">
        <f t="shared" si="2"/>
        <v>9148.8959999999988</v>
      </c>
      <c r="W11" s="39">
        <v>168</v>
      </c>
      <c r="X11" s="35">
        <f t="shared" si="3"/>
        <v>1537014.5279999997</v>
      </c>
      <c r="Y11" s="40">
        <v>0</v>
      </c>
      <c r="Z11" s="27"/>
      <c r="AA11" s="27"/>
    </row>
    <row r="12" spans="2:27" ht="19.5" customHeight="1">
      <c r="B12" s="26">
        <f t="shared" si="4"/>
        <v>8</v>
      </c>
      <c r="C12" s="9" t="s">
        <v>79</v>
      </c>
      <c r="D12" s="10" t="s">
        <v>80</v>
      </c>
      <c r="E12" s="31">
        <v>42004</v>
      </c>
      <c r="F12" s="29" t="s">
        <v>81</v>
      </c>
      <c r="G12" s="9" t="s">
        <v>62</v>
      </c>
      <c r="H12" s="9" t="s">
        <v>63</v>
      </c>
      <c r="I12" s="9" t="s">
        <v>82</v>
      </c>
      <c r="J12" s="30">
        <v>801.22</v>
      </c>
      <c r="K12" s="31">
        <v>41986</v>
      </c>
      <c r="L12" s="32" t="s">
        <v>83</v>
      </c>
      <c r="M12" s="43" t="s">
        <v>84</v>
      </c>
      <c r="N12" s="9" t="s">
        <v>37</v>
      </c>
      <c r="O12" s="42" t="s">
        <v>38</v>
      </c>
      <c r="P12" s="34">
        <v>400000</v>
      </c>
      <c r="Q12" s="35">
        <f t="shared" si="6"/>
        <v>24416000</v>
      </c>
      <c r="R12" s="36" t="s">
        <v>27</v>
      </c>
      <c r="S12" s="56">
        <v>61.04</v>
      </c>
      <c r="T12" s="37">
        <f t="shared" si="1"/>
        <v>42075</v>
      </c>
      <c r="U12" s="9" t="s">
        <v>62</v>
      </c>
      <c r="V12" s="38">
        <f t="shared" si="2"/>
        <v>29299.199999999997</v>
      </c>
      <c r="W12" s="39">
        <v>168</v>
      </c>
      <c r="X12" s="35">
        <f t="shared" si="3"/>
        <v>4922265.5999999996</v>
      </c>
      <c r="Y12" s="41">
        <f t="shared" ref="Y12:Y13" si="7">X12</f>
        <v>4922265.5999999996</v>
      </c>
      <c r="Z12" s="27"/>
      <c r="AA12" s="27"/>
    </row>
    <row r="13" spans="2:27" ht="19.5" customHeight="1">
      <c r="B13" s="26">
        <f t="shared" si="4"/>
        <v>9</v>
      </c>
      <c r="C13" s="9" t="s">
        <v>85</v>
      </c>
      <c r="D13" s="10" t="s">
        <v>86</v>
      </c>
      <c r="E13" s="31">
        <v>42004</v>
      </c>
      <c r="F13" s="29" t="s">
        <v>87</v>
      </c>
      <c r="G13" s="9" t="s">
        <v>62</v>
      </c>
      <c r="H13" s="9" t="s">
        <v>63</v>
      </c>
      <c r="I13" s="9" t="s">
        <v>82</v>
      </c>
      <c r="J13" s="30">
        <v>801.22</v>
      </c>
      <c r="K13" s="31">
        <v>41986</v>
      </c>
      <c r="L13" s="32" t="s">
        <v>83</v>
      </c>
      <c r="M13" s="43" t="s">
        <v>84</v>
      </c>
      <c r="N13" s="9" t="s">
        <v>37</v>
      </c>
      <c r="O13" s="42" t="s">
        <v>38</v>
      </c>
      <c r="P13" s="34">
        <v>548399</v>
      </c>
      <c r="Q13" s="35">
        <f t="shared" si="6"/>
        <v>33474274.960000001</v>
      </c>
      <c r="R13" s="36" t="s">
        <v>27</v>
      </c>
      <c r="S13" s="56">
        <v>61.04</v>
      </c>
      <c r="T13" s="37">
        <f t="shared" si="1"/>
        <v>42075</v>
      </c>
      <c r="U13" s="9" t="s">
        <v>62</v>
      </c>
      <c r="V13" s="38">
        <f t="shared" si="2"/>
        <v>40169.129951999996</v>
      </c>
      <c r="W13" s="39">
        <v>168</v>
      </c>
      <c r="X13" s="35">
        <f t="shared" si="3"/>
        <v>6748413.831935999</v>
      </c>
      <c r="Y13" s="41">
        <f t="shared" si="7"/>
        <v>6748413.831935999</v>
      </c>
      <c r="Z13" s="27"/>
      <c r="AA13" s="27"/>
    </row>
    <row r="14" spans="2:27" ht="19.5" customHeight="1">
      <c r="B14" s="26">
        <f t="shared" si="4"/>
        <v>10</v>
      </c>
      <c r="C14" s="9" t="s">
        <v>137</v>
      </c>
      <c r="D14" s="28" t="s">
        <v>112</v>
      </c>
      <c r="E14" s="10"/>
      <c r="F14" s="29" t="s">
        <v>138</v>
      </c>
      <c r="G14" s="9" t="s">
        <v>39</v>
      </c>
      <c r="H14" s="9" t="s">
        <v>106</v>
      </c>
      <c r="I14" s="9" t="s">
        <v>40</v>
      </c>
      <c r="J14" s="30">
        <v>801.22</v>
      </c>
      <c r="K14" s="31">
        <v>41992</v>
      </c>
      <c r="L14" s="32" t="s">
        <v>139</v>
      </c>
      <c r="M14" s="43" t="s">
        <v>34</v>
      </c>
      <c r="N14" s="9" t="s">
        <v>37</v>
      </c>
      <c r="O14" s="42" t="s">
        <v>38</v>
      </c>
      <c r="P14" s="34">
        <v>200000</v>
      </c>
      <c r="Q14" s="35">
        <f t="shared" si="6"/>
        <v>11891200</v>
      </c>
      <c r="R14" s="36" t="s">
        <v>27</v>
      </c>
      <c r="S14" s="7">
        <v>59.456000000000003</v>
      </c>
      <c r="T14" s="37">
        <f t="shared" si="1"/>
        <v>42081</v>
      </c>
      <c r="U14" s="9" t="s">
        <v>105</v>
      </c>
      <c r="V14" s="38">
        <f t="shared" si="2"/>
        <v>14269.439999999999</v>
      </c>
      <c r="W14" s="39">
        <v>168</v>
      </c>
      <c r="X14" s="35">
        <f t="shared" si="3"/>
        <v>2397265.9199999999</v>
      </c>
      <c r="Y14" s="40">
        <v>0</v>
      </c>
      <c r="Z14" s="27"/>
      <c r="AA14" s="27"/>
    </row>
    <row r="15" spans="2:27" ht="19.5" customHeight="1">
      <c r="B15" s="26">
        <f t="shared" si="4"/>
        <v>11</v>
      </c>
      <c r="C15" s="9" t="s">
        <v>140</v>
      </c>
      <c r="D15" s="28" t="s">
        <v>112</v>
      </c>
      <c r="E15" s="10"/>
      <c r="F15" s="11" t="s">
        <v>141</v>
      </c>
      <c r="G15" s="9" t="s">
        <v>39</v>
      </c>
      <c r="H15" s="9" t="s">
        <v>36</v>
      </c>
      <c r="I15" s="9" t="s">
        <v>40</v>
      </c>
      <c r="J15" s="30">
        <v>801.22</v>
      </c>
      <c r="K15" s="31">
        <v>41992</v>
      </c>
      <c r="L15" s="32" t="s">
        <v>139</v>
      </c>
      <c r="M15" s="32" t="s">
        <v>34</v>
      </c>
      <c r="N15" s="9" t="s">
        <v>37</v>
      </c>
      <c r="O15" s="42" t="s">
        <v>38</v>
      </c>
      <c r="P15" s="34">
        <v>572611</v>
      </c>
      <c r="Q15" s="35">
        <f t="shared" si="6"/>
        <v>34045159.616000004</v>
      </c>
      <c r="R15" s="36" t="s">
        <v>27</v>
      </c>
      <c r="S15" s="7">
        <v>59.456000000000003</v>
      </c>
      <c r="T15" s="37">
        <f t="shared" si="1"/>
        <v>42081</v>
      </c>
      <c r="U15" s="9" t="s">
        <v>31</v>
      </c>
      <c r="V15" s="38">
        <f t="shared" si="2"/>
        <v>40854.191539200001</v>
      </c>
      <c r="W15" s="39">
        <v>168</v>
      </c>
      <c r="X15" s="35">
        <f t="shared" si="3"/>
        <v>6863504.1785856001</v>
      </c>
      <c r="Y15" s="40">
        <v>0</v>
      </c>
      <c r="Z15" s="27"/>
      <c r="AA15" s="27"/>
    </row>
    <row r="16" spans="2:27" ht="19.5" customHeight="1">
      <c r="B16" s="26">
        <f t="shared" si="4"/>
        <v>12</v>
      </c>
      <c r="C16" s="9" t="s">
        <v>142</v>
      </c>
      <c r="D16" s="28" t="s">
        <v>112</v>
      </c>
      <c r="E16" s="10"/>
      <c r="F16" s="11" t="s">
        <v>143</v>
      </c>
      <c r="G16" s="9" t="s">
        <v>39</v>
      </c>
      <c r="H16" s="9" t="s">
        <v>36</v>
      </c>
      <c r="I16" s="9" t="s">
        <v>40</v>
      </c>
      <c r="J16" s="30">
        <v>801.22</v>
      </c>
      <c r="K16" s="31">
        <v>41992</v>
      </c>
      <c r="L16" s="32" t="s">
        <v>139</v>
      </c>
      <c r="M16" s="32" t="s">
        <v>34</v>
      </c>
      <c r="N16" s="9" t="s">
        <v>37</v>
      </c>
      <c r="O16" s="42" t="s">
        <v>38</v>
      </c>
      <c r="P16" s="34">
        <v>120000</v>
      </c>
      <c r="Q16" s="35">
        <f t="shared" si="6"/>
        <v>7134720</v>
      </c>
      <c r="R16" s="36" t="s">
        <v>27</v>
      </c>
      <c r="S16" s="7">
        <v>59.456000000000003</v>
      </c>
      <c r="T16" s="37">
        <f t="shared" si="1"/>
        <v>42081</v>
      </c>
      <c r="U16" s="9" t="s">
        <v>31</v>
      </c>
      <c r="V16" s="38">
        <f t="shared" si="2"/>
        <v>8561.6639999999989</v>
      </c>
      <c r="W16" s="39">
        <v>168</v>
      </c>
      <c r="X16" s="35">
        <f t="shared" si="3"/>
        <v>1438359.5519999999</v>
      </c>
      <c r="Y16" s="40">
        <v>0</v>
      </c>
      <c r="Z16" s="27"/>
      <c r="AA16" s="27"/>
    </row>
    <row r="17" spans="2:27" ht="19.5" customHeight="1">
      <c r="B17" s="26">
        <f t="shared" si="4"/>
        <v>13</v>
      </c>
      <c r="C17" s="9" t="s">
        <v>144</v>
      </c>
      <c r="D17" s="28" t="s">
        <v>112</v>
      </c>
      <c r="E17" s="10"/>
      <c r="F17" s="29" t="s">
        <v>145</v>
      </c>
      <c r="G17" s="9" t="s">
        <v>108</v>
      </c>
      <c r="H17" s="9" t="s">
        <v>115</v>
      </c>
      <c r="I17" s="9" t="s">
        <v>40</v>
      </c>
      <c r="J17" s="30">
        <v>801.22</v>
      </c>
      <c r="K17" s="31">
        <v>41992</v>
      </c>
      <c r="L17" s="32" t="s">
        <v>139</v>
      </c>
      <c r="M17" s="32" t="s">
        <v>34</v>
      </c>
      <c r="N17" s="9" t="s">
        <v>37</v>
      </c>
      <c r="O17" s="42" t="s">
        <v>38</v>
      </c>
      <c r="P17" s="34">
        <v>41000</v>
      </c>
      <c r="Q17" s="35">
        <f t="shared" si="6"/>
        <v>2437696</v>
      </c>
      <c r="R17" s="36" t="s">
        <v>27</v>
      </c>
      <c r="S17" s="7">
        <v>59.456000000000003</v>
      </c>
      <c r="T17" s="37">
        <f t="shared" si="1"/>
        <v>42081</v>
      </c>
      <c r="U17" s="9" t="s">
        <v>108</v>
      </c>
      <c r="V17" s="38">
        <f t="shared" si="2"/>
        <v>2925.2351999999996</v>
      </c>
      <c r="W17" s="39">
        <v>168</v>
      </c>
      <c r="X17" s="35">
        <f t="shared" si="3"/>
        <v>491439.51359999995</v>
      </c>
      <c r="Y17" s="40">
        <v>0</v>
      </c>
      <c r="Z17" s="27"/>
      <c r="AA17" s="27"/>
    </row>
    <row r="18" spans="2:27" ht="19.5" customHeight="1">
      <c r="B18" s="26">
        <f t="shared" si="4"/>
        <v>14</v>
      </c>
      <c r="C18" s="9" t="s">
        <v>146</v>
      </c>
      <c r="D18" s="28" t="s">
        <v>112</v>
      </c>
      <c r="E18" s="10"/>
      <c r="F18" s="29" t="s">
        <v>147</v>
      </c>
      <c r="G18" s="9" t="s">
        <v>108</v>
      </c>
      <c r="H18" s="9" t="s">
        <v>115</v>
      </c>
      <c r="I18" s="9" t="s">
        <v>40</v>
      </c>
      <c r="J18" s="30">
        <v>801.22</v>
      </c>
      <c r="K18" s="31">
        <v>41992</v>
      </c>
      <c r="L18" s="32" t="s">
        <v>139</v>
      </c>
      <c r="M18" s="32" t="s">
        <v>34</v>
      </c>
      <c r="N18" s="9" t="s">
        <v>37</v>
      </c>
      <c r="O18" s="42" t="s">
        <v>38</v>
      </c>
      <c r="P18" s="34">
        <v>30000</v>
      </c>
      <c r="Q18" s="35">
        <f t="shared" si="6"/>
        <v>1783680</v>
      </c>
      <c r="R18" s="36" t="s">
        <v>27</v>
      </c>
      <c r="S18" s="7">
        <v>59.456000000000003</v>
      </c>
      <c r="T18" s="37">
        <f t="shared" si="1"/>
        <v>42081</v>
      </c>
      <c r="U18" s="9" t="s">
        <v>108</v>
      </c>
      <c r="V18" s="38">
        <f t="shared" si="2"/>
        <v>2140.4159999999997</v>
      </c>
      <c r="W18" s="39">
        <v>168</v>
      </c>
      <c r="X18" s="35">
        <f t="shared" si="3"/>
        <v>359589.88799999998</v>
      </c>
      <c r="Y18" s="40">
        <v>0</v>
      </c>
      <c r="Z18" s="27"/>
      <c r="AA18" s="27"/>
    </row>
    <row r="19" spans="2:27" ht="19.5" customHeight="1">
      <c r="B19" s="26">
        <f t="shared" si="4"/>
        <v>15</v>
      </c>
      <c r="C19" s="9" t="s">
        <v>148</v>
      </c>
      <c r="D19" s="28" t="s">
        <v>112</v>
      </c>
      <c r="E19" s="10"/>
      <c r="F19" s="29" t="s">
        <v>149</v>
      </c>
      <c r="G19" s="9" t="s">
        <v>123</v>
      </c>
      <c r="H19" s="9" t="s">
        <v>115</v>
      </c>
      <c r="I19" s="9" t="s">
        <v>40</v>
      </c>
      <c r="J19" s="30">
        <v>801.22</v>
      </c>
      <c r="K19" s="31">
        <v>41992</v>
      </c>
      <c r="L19" s="32" t="s">
        <v>139</v>
      </c>
      <c r="M19" s="32" t="s">
        <v>34</v>
      </c>
      <c r="N19" s="9" t="s">
        <v>37</v>
      </c>
      <c r="O19" s="42" t="s">
        <v>38</v>
      </c>
      <c r="P19" s="34">
        <v>35000</v>
      </c>
      <c r="Q19" s="35">
        <f t="shared" si="6"/>
        <v>2080960</v>
      </c>
      <c r="R19" s="36" t="s">
        <v>27</v>
      </c>
      <c r="S19" s="7">
        <v>59.456000000000003</v>
      </c>
      <c r="T19" s="37">
        <f t="shared" si="1"/>
        <v>42081</v>
      </c>
      <c r="U19" s="9" t="s">
        <v>108</v>
      </c>
      <c r="V19" s="38">
        <f t="shared" si="2"/>
        <v>2497.1519999999996</v>
      </c>
      <c r="W19" s="39">
        <v>168</v>
      </c>
      <c r="X19" s="35">
        <f t="shared" si="3"/>
        <v>419521.53599999991</v>
      </c>
      <c r="Y19" s="40">
        <v>0</v>
      </c>
      <c r="Z19" s="27"/>
      <c r="AA19" s="27"/>
    </row>
    <row r="20" spans="2:27" ht="19.5" customHeight="1">
      <c r="B20" s="26">
        <f t="shared" si="4"/>
        <v>16</v>
      </c>
      <c r="C20" s="9" t="s">
        <v>150</v>
      </c>
      <c r="D20" s="28" t="s">
        <v>112</v>
      </c>
      <c r="E20" s="10"/>
      <c r="F20" s="29" t="s">
        <v>151</v>
      </c>
      <c r="G20" s="9" t="s">
        <v>119</v>
      </c>
      <c r="H20" s="9" t="s">
        <v>124</v>
      </c>
      <c r="I20" s="9" t="s">
        <v>120</v>
      </c>
      <c r="J20" s="30">
        <v>801.22</v>
      </c>
      <c r="K20" s="31">
        <v>41994</v>
      </c>
      <c r="L20" s="32" t="s">
        <v>152</v>
      </c>
      <c r="M20" s="32" t="s">
        <v>121</v>
      </c>
      <c r="N20" s="9" t="s">
        <v>110</v>
      </c>
      <c r="O20" s="42" t="s">
        <v>122</v>
      </c>
      <c r="P20" s="34">
        <v>600551</v>
      </c>
      <c r="Q20" s="35">
        <f t="shared" si="6"/>
        <v>32914999.208000001</v>
      </c>
      <c r="R20" s="36" t="s">
        <v>27</v>
      </c>
      <c r="S20" s="56">
        <v>54.808</v>
      </c>
      <c r="T20" s="37">
        <f t="shared" si="1"/>
        <v>42083</v>
      </c>
      <c r="U20" s="9" t="s">
        <v>41</v>
      </c>
      <c r="V20" s="38">
        <f t="shared" si="2"/>
        <v>39497.999049599995</v>
      </c>
      <c r="W20" s="39">
        <v>168</v>
      </c>
      <c r="X20" s="35">
        <f t="shared" si="3"/>
        <v>6635663.8403327996</v>
      </c>
      <c r="Y20" s="40">
        <v>0</v>
      </c>
      <c r="Z20" s="27"/>
      <c r="AA20" s="27"/>
    </row>
    <row r="21" spans="2:27" ht="19.5" customHeight="1">
      <c r="B21" s="26">
        <f t="shared" si="4"/>
        <v>17</v>
      </c>
      <c r="C21" s="9" t="s">
        <v>153</v>
      </c>
      <c r="D21" s="28" t="s">
        <v>112</v>
      </c>
      <c r="E21" s="10"/>
      <c r="F21" s="29" t="s">
        <v>154</v>
      </c>
      <c r="G21" s="9" t="s">
        <v>41</v>
      </c>
      <c r="H21" s="9" t="s">
        <v>28</v>
      </c>
      <c r="I21" s="9" t="s">
        <v>29</v>
      </c>
      <c r="J21" s="30">
        <v>801.22</v>
      </c>
      <c r="K21" s="31">
        <v>41994</v>
      </c>
      <c r="L21" s="32" t="s">
        <v>126</v>
      </c>
      <c r="M21" s="32" t="s">
        <v>30</v>
      </c>
      <c r="N21" s="9" t="s">
        <v>113</v>
      </c>
      <c r="O21" s="42" t="s">
        <v>155</v>
      </c>
      <c r="P21" s="34">
        <v>950061</v>
      </c>
      <c r="Q21" s="35">
        <f t="shared" si="6"/>
        <v>57182271.468000002</v>
      </c>
      <c r="R21" s="36" t="s">
        <v>27</v>
      </c>
      <c r="S21" s="56">
        <v>60.188000000000002</v>
      </c>
      <c r="T21" s="37">
        <f t="shared" si="1"/>
        <v>42083</v>
      </c>
      <c r="U21" s="9" t="s">
        <v>31</v>
      </c>
      <c r="V21" s="38">
        <f t="shared" si="2"/>
        <v>68618.725761599999</v>
      </c>
      <c r="W21" s="39">
        <v>168</v>
      </c>
      <c r="X21" s="35">
        <f t="shared" si="3"/>
        <v>11527945.927948799</v>
      </c>
      <c r="Y21" s="40">
        <v>0</v>
      </c>
      <c r="Z21" s="27"/>
      <c r="AA21" s="27"/>
    </row>
    <row r="22" spans="2:27" ht="19.5" customHeight="1">
      <c r="B22" s="26">
        <f t="shared" si="4"/>
        <v>18</v>
      </c>
      <c r="C22" s="9" t="s">
        <v>88</v>
      </c>
      <c r="D22" s="10" t="s">
        <v>89</v>
      </c>
      <c r="E22" s="31">
        <v>42004</v>
      </c>
      <c r="F22" s="29" t="s">
        <v>90</v>
      </c>
      <c r="G22" s="9" t="s">
        <v>62</v>
      </c>
      <c r="H22" s="9" t="s">
        <v>63</v>
      </c>
      <c r="I22" s="9" t="s">
        <v>40</v>
      </c>
      <c r="J22" s="30">
        <v>801.22</v>
      </c>
      <c r="K22" s="31">
        <v>42000</v>
      </c>
      <c r="L22" s="32" t="s">
        <v>91</v>
      </c>
      <c r="M22" s="32" t="s">
        <v>34</v>
      </c>
      <c r="N22" s="9" t="s">
        <v>32</v>
      </c>
      <c r="O22" s="42" t="s">
        <v>92</v>
      </c>
      <c r="P22" s="34">
        <v>91000</v>
      </c>
      <c r="Q22" s="35">
        <f t="shared" si="6"/>
        <v>5309031</v>
      </c>
      <c r="R22" s="36" t="s">
        <v>27</v>
      </c>
      <c r="S22" s="7">
        <v>58.341000000000001</v>
      </c>
      <c r="T22" s="37">
        <f t="shared" si="1"/>
        <v>42089</v>
      </c>
      <c r="U22" s="9" t="s">
        <v>62</v>
      </c>
      <c r="V22" s="38">
        <f t="shared" si="2"/>
        <v>6370.837199999999</v>
      </c>
      <c r="W22" s="39">
        <v>168</v>
      </c>
      <c r="X22" s="35">
        <f t="shared" si="3"/>
        <v>1070300.6495999999</v>
      </c>
      <c r="Y22" s="41">
        <f t="shared" ref="Y22:Y26" si="8">X22</f>
        <v>1070300.6495999999</v>
      </c>
      <c r="Z22" s="27"/>
      <c r="AA22" s="27"/>
    </row>
    <row r="23" spans="2:27" ht="19.5" customHeight="1">
      <c r="B23" s="26">
        <f t="shared" si="4"/>
        <v>19</v>
      </c>
      <c r="C23" s="9" t="s">
        <v>93</v>
      </c>
      <c r="D23" s="10" t="s">
        <v>94</v>
      </c>
      <c r="E23" s="31">
        <v>42004</v>
      </c>
      <c r="F23" s="29" t="s">
        <v>95</v>
      </c>
      <c r="G23" s="9" t="s">
        <v>62</v>
      </c>
      <c r="H23" s="9" t="s">
        <v>63</v>
      </c>
      <c r="I23" s="9" t="s">
        <v>40</v>
      </c>
      <c r="J23" s="30">
        <v>801.22</v>
      </c>
      <c r="K23" s="31">
        <v>42000</v>
      </c>
      <c r="L23" s="32" t="s">
        <v>91</v>
      </c>
      <c r="M23" s="32" t="s">
        <v>34</v>
      </c>
      <c r="N23" s="9" t="s">
        <v>32</v>
      </c>
      <c r="O23" s="42" t="s">
        <v>92</v>
      </c>
      <c r="P23" s="34">
        <v>96000</v>
      </c>
      <c r="Q23" s="35">
        <f t="shared" si="6"/>
        <v>5600736</v>
      </c>
      <c r="R23" s="36" t="s">
        <v>27</v>
      </c>
      <c r="S23" s="7">
        <v>58.341000000000001</v>
      </c>
      <c r="T23" s="37">
        <f t="shared" si="1"/>
        <v>42089</v>
      </c>
      <c r="U23" s="9" t="s">
        <v>62</v>
      </c>
      <c r="V23" s="38">
        <f t="shared" si="2"/>
        <v>6720.8831999999993</v>
      </c>
      <c r="W23" s="39">
        <v>168</v>
      </c>
      <c r="X23" s="35">
        <f t="shared" si="3"/>
        <v>1129108.3775999998</v>
      </c>
      <c r="Y23" s="41">
        <f t="shared" si="8"/>
        <v>1129108.3775999998</v>
      </c>
      <c r="Z23" s="27"/>
      <c r="AA23" s="27"/>
    </row>
    <row r="24" spans="2:27" ht="19.5" customHeight="1">
      <c r="B24" s="26">
        <f t="shared" si="4"/>
        <v>20</v>
      </c>
      <c r="C24" s="9" t="s">
        <v>96</v>
      </c>
      <c r="D24" s="10" t="s">
        <v>97</v>
      </c>
      <c r="E24" s="31">
        <v>42004</v>
      </c>
      <c r="F24" s="29" t="s">
        <v>98</v>
      </c>
      <c r="G24" s="9" t="s">
        <v>62</v>
      </c>
      <c r="H24" s="9" t="s">
        <v>63</v>
      </c>
      <c r="I24" s="9" t="s">
        <v>40</v>
      </c>
      <c r="J24" s="30">
        <v>801.22</v>
      </c>
      <c r="K24" s="31">
        <v>42000</v>
      </c>
      <c r="L24" s="32" t="s">
        <v>91</v>
      </c>
      <c r="M24" s="32" t="s">
        <v>34</v>
      </c>
      <c r="N24" s="9" t="s">
        <v>32</v>
      </c>
      <c r="O24" s="42" t="s">
        <v>92</v>
      </c>
      <c r="P24" s="34">
        <v>155000</v>
      </c>
      <c r="Q24" s="35">
        <f t="shared" si="6"/>
        <v>9042855</v>
      </c>
      <c r="R24" s="36" t="s">
        <v>27</v>
      </c>
      <c r="S24" s="7">
        <v>58.341000000000001</v>
      </c>
      <c r="T24" s="37">
        <f t="shared" si="1"/>
        <v>42089</v>
      </c>
      <c r="U24" s="9" t="s">
        <v>62</v>
      </c>
      <c r="V24" s="38">
        <f t="shared" si="2"/>
        <v>10851.425999999999</v>
      </c>
      <c r="W24" s="39">
        <v>168</v>
      </c>
      <c r="X24" s="35">
        <f t="shared" si="3"/>
        <v>1823039.568</v>
      </c>
      <c r="Y24" s="41">
        <f t="shared" si="8"/>
        <v>1823039.568</v>
      </c>
      <c r="Z24" s="27"/>
      <c r="AA24" s="27"/>
    </row>
    <row r="25" spans="2:27" ht="19.5" customHeight="1">
      <c r="B25" s="26">
        <f t="shared" si="4"/>
        <v>21</v>
      </c>
      <c r="C25" s="9" t="s">
        <v>99</v>
      </c>
      <c r="D25" s="10" t="s">
        <v>100</v>
      </c>
      <c r="E25" s="31">
        <v>42004</v>
      </c>
      <c r="F25" s="29" t="s">
        <v>101</v>
      </c>
      <c r="G25" s="9" t="s">
        <v>62</v>
      </c>
      <c r="H25" s="9" t="s">
        <v>63</v>
      </c>
      <c r="I25" s="9" t="s">
        <v>40</v>
      </c>
      <c r="J25" s="30">
        <v>801.22</v>
      </c>
      <c r="K25" s="31">
        <v>42000</v>
      </c>
      <c r="L25" s="32" t="s">
        <v>91</v>
      </c>
      <c r="M25" s="32" t="s">
        <v>34</v>
      </c>
      <c r="N25" s="9" t="s">
        <v>32</v>
      </c>
      <c r="O25" s="42" t="s">
        <v>92</v>
      </c>
      <c r="P25" s="34">
        <v>200000</v>
      </c>
      <c r="Q25" s="35">
        <f t="shared" si="6"/>
        <v>11668200</v>
      </c>
      <c r="R25" s="36" t="s">
        <v>27</v>
      </c>
      <c r="S25" s="7">
        <v>58.341000000000001</v>
      </c>
      <c r="T25" s="37">
        <f t="shared" si="1"/>
        <v>42089</v>
      </c>
      <c r="U25" s="9" t="s">
        <v>62</v>
      </c>
      <c r="V25" s="38">
        <f t="shared" si="2"/>
        <v>14001.839999999998</v>
      </c>
      <c r="W25" s="39">
        <v>168</v>
      </c>
      <c r="X25" s="35">
        <f t="shared" si="3"/>
        <v>2352309.1199999996</v>
      </c>
      <c r="Y25" s="41">
        <f t="shared" si="8"/>
        <v>2352309.1199999996</v>
      </c>
      <c r="Z25" s="27"/>
      <c r="AA25" s="27"/>
    </row>
    <row r="26" spans="2:27" ht="19.5" customHeight="1">
      <c r="B26" s="26">
        <f t="shared" si="4"/>
        <v>22</v>
      </c>
      <c r="C26" s="9" t="s">
        <v>102</v>
      </c>
      <c r="D26" s="10" t="s">
        <v>103</v>
      </c>
      <c r="E26" s="31">
        <v>42004</v>
      </c>
      <c r="F26" s="29" t="s">
        <v>104</v>
      </c>
      <c r="G26" s="9" t="s">
        <v>62</v>
      </c>
      <c r="H26" s="9" t="s">
        <v>63</v>
      </c>
      <c r="I26" s="9" t="s">
        <v>40</v>
      </c>
      <c r="J26" s="30">
        <v>801.22</v>
      </c>
      <c r="K26" s="31">
        <v>42000</v>
      </c>
      <c r="L26" s="32" t="s">
        <v>91</v>
      </c>
      <c r="M26" s="32" t="s">
        <v>34</v>
      </c>
      <c r="N26" s="9" t="s">
        <v>32</v>
      </c>
      <c r="O26" s="42" t="s">
        <v>92</v>
      </c>
      <c r="P26" s="34">
        <v>407700</v>
      </c>
      <c r="Q26" s="35">
        <f t="shared" si="6"/>
        <v>23785625.699999999</v>
      </c>
      <c r="R26" s="36" t="s">
        <v>27</v>
      </c>
      <c r="S26" s="7">
        <v>58.341000000000001</v>
      </c>
      <c r="T26" s="37">
        <f t="shared" si="1"/>
        <v>42089</v>
      </c>
      <c r="U26" s="9" t="s">
        <v>62</v>
      </c>
      <c r="V26" s="38">
        <f t="shared" si="2"/>
        <v>28542.750839999997</v>
      </c>
      <c r="W26" s="39">
        <v>168</v>
      </c>
      <c r="X26" s="35">
        <f t="shared" si="3"/>
        <v>4795182.1411199998</v>
      </c>
      <c r="Y26" s="41">
        <f t="shared" si="8"/>
        <v>4795182.1411199998</v>
      </c>
      <c r="Z26" s="27"/>
      <c r="AA26" s="27"/>
    </row>
    <row r="27" spans="2:27" ht="21" customHeight="1" thickBot="1">
      <c r="B27" s="26">
        <f t="shared" si="4"/>
        <v>23</v>
      </c>
      <c r="C27" s="9" t="s">
        <v>156</v>
      </c>
      <c r="D27" s="28" t="s">
        <v>112</v>
      </c>
      <c r="E27" s="10"/>
      <c r="F27" s="29" t="s">
        <v>157</v>
      </c>
      <c r="G27" s="9" t="s">
        <v>39</v>
      </c>
      <c r="H27" s="9" t="s">
        <v>106</v>
      </c>
      <c r="I27" s="9" t="s">
        <v>82</v>
      </c>
      <c r="J27" s="30">
        <v>801.22</v>
      </c>
      <c r="K27" s="31">
        <v>42004</v>
      </c>
      <c r="L27" s="32" t="s">
        <v>158</v>
      </c>
      <c r="M27" s="32" t="s">
        <v>84</v>
      </c>
      <c r="N27" s="9" t="s">
        <v>117</v>
      </c>
      <c r="O27" s="42" t="s">
        <v>159</v>
      </c>
      <c r="P27" s="34">
        <v>947834</v>
      </c>
      <c r="Q27" s="35">
        <f t="shared" si="6"/>
        <v>52086321.802000001</v>
      </c>
      <c r="R27" s="36" t="s">
        <v>27</v>
      </c>
      <c r="S27" s="7">
        <v>54.953000000000003</v>
      </c>
      <c r="T27" s="37">
        <f t="shared" si="1"/>
        <v>42093</v>
      </c>
      <c r="U27" s="42" t="s">
        <v>105</v>
      </c>
      <c r="V27" s="38">
        <f t="shared" si="2"/>
        <v>62503.586162399995</v>
      </c>
      <c r="W27" s="39">
        <v>168</v>
      </c>
      <c r="X27" s="35">
        <f t="shared" si="3"/>
        <v>10500602.4752832</v>
      </c>
      <c r="Y27" s="40">
        <v>0</v>
      </c>
      <c r="Z27" s="27"/>
      <c r="AA27" s="27"/>
    </row>
    <row r="28" spans="2:27" ht="15.75" thickBot="1">
      <c r="P28" s="44">
        <f>SUM(P5:P27)</f>
        <v>9516353</v>
      </c>
      <c r="Q28" s="45">
        <f>SUM(Q5:Q27)</f>
        <v>597200596.61400008</v>
      </c>
      <c r="R28" s="46"/>
      <c r="S28" s="47"/>
      <c r="T28" s="48"/>
      <c r="U28" s="49"/>
      <c r="V28" s="45">
        <f>SUM(V5:V27)</f>
        <v>716640.71593679988</v>
      </c>
      <c r="W28" s="46"/>
      <c r="X28" s="45">
        <f>SUM(X5:X27)</f>
        <v>120395640.27738242</v>
      </c>
      <c r="Y28" s="45">
        <f>SUM(Y5:Y27)</f>
        <v>62656008.310425602</v>
      </c>
    </row>
  </sheetData>
  <pageMargins left="0" right="0" top="0" bottom="0" header="0.31496062992125984" footer="0"/>
  <pageSetup paperSize="8" orientation="landscape" r:id="rId1"/>
  <ignoredErrors>
    <ignoredError sqref="F9:F2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A19"/>
  <sheetViews>
    <sheetView topLeftCell="A49" workbookViewId="0">
      <selection activeCell="L20" sqref="L20"/>
    </sheetView>
  </sheetViews>
  <sheetFormatPr defaultRowHeight="15"/>
  <cols>
    <col min="1" max="1" width="4.5703125" customWidth="1"/>
    <col min="2" max="2" width="3.5703125" customWidth="1"/>
    <col min="3" max="3" width="5.5703125" customWidth="1"/>
    <col min="4" max="4" width="8" style="3" customWidth="1"/>
    <col min="5" max="5" width="5.5703125" style="3" customWidth="1"/>
    <col min="6" max="6" width="11" style="3" customWidth="1"/>
    <col min="7" max="7" width="8.42578125" style="3" customWidth="1"/>
    <col min="8" max="8" width="7.7109375" style="3" customWidth="1"/>
    <col min="9" max="9" width="9.5703125" style="3" customWidth="1"/>
    <col min="10" max="10" width="6.42578125" customWidth="1"/>
    <col min="11" max="11" width="6.85546875" style="1" customWidth="1"/>
    <col min="12" max="12" width="9.7109375" style="3" customWidth="1"/>
    <col min="13" max="13" width="6" style="1" customWidth="1"/>
    <col min="14" max="14" width="7.140625" style="5" customWidth="1"/>
    <col min="15" max="15" width="11.28515625" style="6" customWidth="1"/>
    <col min="16" max="16" width="8.140625" customWidth="1"/>
    <col min="17" max="17" width="12.42578125" customWidth="1"/>
    <col min="18" max="18" width="7.140625" customWidth="1"/>
    <col min="19" max="19" width="6.7109375" style="8" customWidth="1"/>
    <col min="20" max="20" width="7.140625" style="1" customWidth="1"/>
    <col min="21" max="21" width="7.140625" style="3" customWidth="1"/>
    <col min="22" max="22" width="9.140625" customWidth="1"/>
    <col min="23" max="23" width="7.28515625" customWidth="1"/>
    <col min="24" max="24" width="11.5703125" customWidth="1"/>
    <col min="25" max="25" width="11.28515625" customWidth="1"/>
    <col min="26" max="26" width="5.7109375" customWidth="1"/>
    <col min="27" max="27" width="5.42578125" customWidth="1"/>
  </cols>
  <sheetData>
    <row r="2" spans="2:27" ht="15.75">
      <c r="L2" s="4" t="s">
        <v>0</v>
      </c>
    </row>
    <row r="3" spans="2:27" ht="17.25" customHeight="1" thickBot="1">
      <c r="L3" s="4" t="s">
        <v>58</v>
      </c>
      <c r="P3" s="2"/>
    </row>
    <row r="4" spans="2:27" s="3" customFormat="1" ht="42.6" customHeight="1" thickBot="1">
      <c r="B4" s="20" t="s">
        <v>1</v>
      </c>
      <c r="C4" s="21" t="s">
        <v>2</v>
      </c>
      <c r="D4" s="21" t="s">
        <v>3</v>
      </c>
      <c r="E4" s="21" t="s">
        <v>4</v>
      </c>
      <c r="F4" s="22" t="s">
        <v>5</v>
      </c>
      <c r="G4" s="23" t="s">
        <v>6</v>
      </c>
      <c r="H4" s="21" t="s">
        <v>7</v>
      </c>
      <c r="I4" s="21" t="s">
        <v>8</v>
      </c>
      <c r="J4" s="21" t="s">
        <v>9</v>
      </c>
      <c r="K4" s="21" t="s">
        <v>10</v>
      </c>
      <c r="L4" s="21" t="s">
        <v>11</v>
      </c>
      <c r="M4" s="21" t="s">
        <v>12</v>
      </c>
      <c r="N4" s="21" t="s">
        <v>13</v>
      </c>
      <c r="O4" s="21" t="s">
        <v>14</v>
      </c>
      <c r="P4" s="21" t="s">
        <v>15</v>
      </c>
      <c r="Q4" s="21" t="s">
        <v>16</v>
      </c>
      <c r="R4" s="21" t="s">
        <v>17</v>
      </c>
      <c r="S4" s="24" t="s">
        <v>18</v>
      </c>
      <c r="T4" s="21" t="s">
        <v>19</v>
      </c>
      <c r="U4" s="21" t="s">
        <v>20</v>
      </c>
      <c r="V4" s="21" t="s">
        <v>21</v>
      </c>
      <c r="W4" s="21" t="s">
        <v>22</v>
      </c>
      <c r="X4" s="21" t="s">
        <v>23</v>
      </c>
      <c r="Y4" s="21" t="s">
        <v>24</v>
      </c>
      <c r="Z4" s="21" t="s">
        <v>25</v>
      </c>
      <c r="AA4" s="25" t="s">
        <v>26</v>
      </c>
    </row>
    <row r="5" spans="2:27" ht="21.75" customHeight="1">
      <c r="B5" s="26">
        <v>1</v>
      </c>
      <c r="C5" s="9" t="s">
        <v>46</v>
      </c>
      <c r="D5" s="42" t="s">
        <v>54</v>
      </c>
      <c r="E5" s="10">
        <v>42004</v>
      </c>
      <c r="F5" s="29" t="s">
        <v>47</v>
      </c>
      <c r="G5" s="9" t="s">
        <v>41</v>
      </c>
      <c r="H5" s="9" t="s">
        <v>28</v>
      </c>
      <c r="I5" s="9" t="s">
        <v>29</v>
      </c>
      <c r="J5" s="30">
        <v>801.22</v>
      </c>
      <c r="K5" s="31">
        <v>41892</v>
      </c>
      <c r="L5" s="32" t="s">
        <v>43</v>
      </c>
      <c r="M5" s="32" t="s">
        <v>30</v>
      </c>
      <c r="N5" s="9" t="s">
        <v>37</v>
      </c>
      <c r="O5" s="33" t="s">
        <v>38</v>
      </c>
      <c r="P5" s="34">
        <v>950071</v>
      </c>
      <c r="Q5" s="51">
        <f t="shared" ref="Q5:Q8" si="0">SUM(P5*S5)</f>
        <v>93185123.191383004</v>
      </c>
      <c r="R5" s="36" t="s">
        <v>27</v>
      </c>
      <c r="S5" s="52">
        <v>98.082273000000001</v>
      </c>
      <c r="T5" s="37">
        <f t="shared" ref="T5:T8" si="1">SUM(K5)+89</f>
        <v>41981</v>
      </c>
      <c r="U5" s="9" t="s">
        <v>31</v>
      </c>
      <c r="V5" s="53">
        <f t="shared" ref="V5:V18" si="2">SUM(Q5*0.12%)</f>
        <v>111822.14782965959</v>
      </c>
      <c r="W5" s="27">
        <v>155.75</v>
      </c>
      <c r="X5" s="51">
        <f t="shared" ref="X5:X18" si="3">SUM(V5*W5)</f>
        <v>17416299.52446948</v>
      </c>
      <c r="Y5" s="41">
        <v>17588203.710000001</v>
      </c>
      <c r="Z5" s="37">
        <v>41992</v>
      </c>
      <c r="AA5" s="54">
        <v>10425</v>
      </c>
    </row>
    <row r="6" spans="2:27" ht="24.75">
      <c r="B6" s="26">
        <f t="shared" ref="B6:B18" si="4">B5+1</f>
        <v>2</v>
      </c>
      <c r="C6" s="9" t="s">
        <v>45</v>
      </c>
      <c r="D6" s="42" t="s">
        <v>55</v>
      </c>
      <c r="E6" s="37">
        <v>42004</v>
      </c>
      <c r="F6" s="50">
        <v>201400010402</v>
      </c>
      <c r="G6" s="9" t="s">
        <v>39</v>
      </c>
      <c r="H6" s="9" t="s">
        <v>36</v>
      </c>
      <c r="I6" s="9" t="s">
        <v>40</v>
      </c>
      <c r="J6" s="30">
        <v>801.22</v>
      </c>
      <c r="K6" s="31">
        <v>41904</v>
      </c>
      <c r="L6" s="32" t="s">
        <v>42</v>
      </c>
      <c r="M6" s="32" t="s">
        <v>34</v>
      </c>
      <c r="N6" s="9" t="s">
        <v>35</v>
      </c>
      <c r="O6" s="42" t="s">
        <v>44</v>
      </c>
      <c r="P6" s="34">
        <v>133872</v>
      </c>
      <c r="Q6" s="51">
        <f t="shared" si="0"/>
        <v>13117943.246399999</v>
      </c>
      <c r="R6" s="36" t="s">
        <v>27</v>
      </c>
      <c r="S6" s="7">
        <v>97.988699999999994</v>
      </c>
      <c r="T6" s="37">
        <f t="shared" si="1"/>
        <v>41993</v>
      </c>
      <c r="U6" s="9" t="s">
        <v>31</v>
      </c>
      <c r="V6" s="53">
        <f t="shared" si="2"/>
        <v>15741.531895679997</v>
      </c>
      <c r="W6" s="27">
        <v>155.75</v>
      </c>
      <c r="X6" s="51">
        <f t="shared" si="3"/>
        <v>2451743.5927521596</v>
      </c>
      <c r="Y6" s="41">
        <v>2436001.77</v>
      </c>
      <c r="Z6" s="37">
        <v>41997</v>
      </c>
      <c r="AA6" s="54">
        <v>10434</v>
      </c>
    </row>
    <row r="7" spans="2:27" ht="24" customHeight="1">
      <c r="B7" s="26">
        <f t="shared" si="4"/>
        <v>3</v>
      </c>
      <c r="C7" s="9" t="s">
        <v>52</v>
      </c>
      <c r="D7" s="42" t="s">
        <v>56</v>
      </c>
      <c r="E7" s="37">
        <v>42004</v>
      </c>
      <c r="F7" s="11" t="s">
        <v>48</v>
      </c>
      <c r="G7" s="9" t="s">
        <v>39</v>
      </c>
      <c r="H7" s="9" t="s">
        <v>36</v>
      </c>
      <c r="I7" s="9" t="s">
        <v>40</v>
      </c>
      <c r="J7" s="30">
        <v>801.22</v>
      </c>
      <c r="K7" s="31">
        <v>41941</v>
      </c>
      <c r="L7" s="32" t="s">
        <v>50</v>
      </c>
      <c r="M7" s="43" t="s">
        <v>34</v>
      </c>
      <c r="N7" s="9" t="s">
        <v>32</v>
      </c>
      <c r="O7" s="42" t="s">
        <v>51</v>
      </c>
      <c r="P7" s="34">
        <v>456926</v>
      </c>
      <c r="Q7" s="51">
        <f t="shared" si="0"/>
        <v>40384993.276600003</v>
      </c>
      <c r="R7" s="36" t="s">
        <v>27</v>
      </c>
      <c r="S7" s="7">
        <v>88.384100000000004</v>
      </c>
      <c r="T7" s="37">
        <f t="shared" si="1"/>
        <v>42030</v>
      </c>
      <c r="U7" s="42" t="s">
        <v>31</v>
      </c>
      <c r="V7" s="38">
        <f t="shared" si="2"/>
        <v>48461.991931919998</v>
      </c>
      <c r="W7" s="27">
        <v>155.76</v>
      </c>
      <c r="X7" s="35">
        <f t="shared" si="3"/>
        <v>7548439.8633158589</v>
      </c>
      <c r="Y7" s="41">
        <v>7499977.5700000003</v>
      </c>
      <c r="Z7" s="37">
        <v>41997</v>
      </c>
      <c r="AA7" s="54">
        <v>10435</v>
      </c>
    </row>
    <row r="8" spans="2:27" ht="24" customHeight="1">
      <c r="B8" s="26">
        <f t="shared" si="4"/>
        <v>4</v>
      </c>
      <c r="C8" s="9" t="s">
        <v>53</v>
      </c>
      <c r="D8" s="9" t="s">
        <v>57</v>
      </c>
      <c r="E8" s="37">
        <v>42004</v>
      </c>
      <c r="F8" s="29" t="s">
        <v>49</v>
      </c>
      <c r="G8" s="9" t="s">
        <v>39</v>
      </c>
      <c r="H8" s="9" t="s">
        <v>33</v>
      </c>
      <c r="I8" s="9" t="s">
        <v>40</v>
      </c>
      <c r="J8" s="30">
        <v>801.22</v>
      </c>
      <c r="K8" s="31">
        <v>41941</v>
      </c>
      <c r="L8" s="32" t="s">
        <v>50</v>
      </c>
      <c r="M8" s="43" t="s">
        <v>34</v>
      </c>
      <c r="N8" s="9" t="s">
        <v>32</v>
      </c>
      <c r="O8" s="42" t="s">
        <v>51</v>
      </c>
      <c r="P8" s="34">
        <v>80000</v>
      </c>
      <c r="Q8" s="51">
        <f t="shared" si="0"/>
        <v>7012640</v>
      </c>
      <c r="R8" s="36" t="s">
        <v>27</v>
      </c>
      <c r="S8" s="7">
        <v>87.658000000000001</v>
      </c>
      <c r="T8" s="37">
        <f t="shared" si="1"/>
        <v>42030</v>
      </c>
      <c r="U8" s="42" t="s">
        <v>31</v>
      </c>
      <c r="V8" s="38">
        <f t="shared" si="2"/>
        <v>8415.1679999999997</v>
      </c>
      <c r="W8" s="27">
        <v>155.76</v>
      </c>
      <c r="X8" s="35">
        <f t="shared" si="3"/>
        <v>1310746.5676799999</v>
      </c>
      <c r="Y8" s="41">
        <v>1302331.71</v>
      </c>
      <c r="Z8" s="37">
        <v>41997</v>
      </c>
      <c r="AA8" s="54">
        <v>10437</v>
      </c>
    </row>
    <row r="9" spans="2:27" ht="19.5" customHeight="1">
      <c r="B9" s="26">
        <f t="shared" si="4"/>
        <v>5</v>
      </c>
      <c r="C9" s="9" t="s">
        <v>59</v>
      </c>
      <c r="D9" s="10" t="s">
        <v>60</v>
      </c>
      <c r="E9" s="31">
        <v>42004</v>
      </c>
      <c r="F9" s="29" t="s">
        <v>61</v>
      </c>
      <c r="G9" s="9" t="s">
        <v>62</v>
      </c>
      <c r="H9" s="9" t="s">
        <v>63</v>
      </c>
      <c r="I9" s="9" t="s">
        <v>29</v>
      </c>
      <c r="J9" s="30">
        <v>801.22</v>
      </c>
      <c r="K9" s="31">
        <v>41975</v>
      </c>
      <c r="L9" s="32" t="s">
        <v>64</v>
      </c>
      <c r="M9" s="32" t="s">
        <v>30</v>
      </c>
      <c r="N9" s="9" t="s">
        <v>37</v>
      </c>
      <c r="O9" s="33" t="s">
        <v>38</v>
      </c>
      <c r="P9" s="34">
        <v>961905</v>
      </c>
      <c r="Q9" s="35">
        <f t="shared" ref="Q9:Q18" si="5">SUM(P9*S9)</f>
        <v>68932998.015000001</v>
      </c>
      <c r="R9" s="36" t="s">
        <v>27</v>
      </c>
      <c r="S9" s="7">
        <v>71.662999999999997</v>
      </c>
      <c r="T9" s="37">
        <f t="shared" ref="T9:T18" si="6">SUM(K9)+89</f>
        <v>42064</v>
      </c>
      <c r="U9" s="9" t="s">
        <v>62</v>
      </c>
      <c r="V9" s="38">
        <f t="shared" si="2"/>
        <v>82719.597618</v>
      </c>
      <c r="W9" s="39">
        <v>168</v>
      </c>
      <c r="X9" s="35">
        <f t="shared" si="3"/>
        <v>13896892.399824001</v>
      </c>
      <c r="Y9" s="41">
        <f t="shared" ref="Y9:Y18" si="7">X9</f>
        <v>13896892.399824001</v>
      </c>
      <c r="Z9" s="27"/>
      <c r="AA9" s="27"/>
    </row>
    <row r="10" spans="2:27" ht="19.5" customHeight="1">
      <c r="B10" s="26">
        <f t="shared" si="4"/>
        <v>6</v>
      </c>
      <c r="C10" s="9" t="s">
        <v>65</v>
      </c>
      <c r="D10" s="10" t="s">
        <v>66</v>
      </c>
      <c r="E10" s="31">
        <v>42004</v>
      </c>
      <c r="F10" s="29" t="s">
        <v>67</v>
      </c>
      <c r="G10" s="9" t="s">
        <v>62</v>
      </c>
      <c r="H10" s="9" t="s">
        <v>63</v>
      </c>
      <c r="I10" s="9" t="s">
        <v>68</v>
      </c>
      <c r="J10" s="30">
        <v>801.22</v>
      </c>
      <c r="K10" s="31">
        <v>41975</v>
      </c>
      <c r="L10" s="32" t="s">
        <v>69</v>
      </c>
      <c r="M10" s="32" t="s">
        <v>70</v>
      </c>
      <c r="N10" s="9" t="s">
        <v>71</v>
      </c>
      <c r="O10" s="33" t="s">
        <v>72</v>
      </c>
      <c r="P10" s="34">
        <v>899965</v>
      </c>
      <c r="Q10" s="35">
        <f t="shared" si="5"/>
        <v>64449193.545000002</v>
      </c>
      <c r="R10" s="36" t="s">
        <v>27</v>
      </c>
      <c r="S10" s="7">
        <v>71.613</v>
      </c>
      <c r="T10" s="37">
        <f t="shared" si="6"/>
        <v>42064</v>
      </c>
      <c r="U10" s="9" t="s">
        <v>62</v>
      </c>
      <c r="V10" s="38">
        <f t="shared" si="2"/>
        <v>77339.032253999991</v>
      </c>
      <c r="W10" s="39">
        <v>168</v>
      </c>
      <c r="X10" s="35">
        <f t="shared" si="3"/>
        <v>12992957.418671999</v>
      </c>
      <c r="Y10" s="41">
        <f t="shared" si="7"/>
        <v>12992957.418671999</v>
      </c>
      <c r="Z10" s="27"/>
      <c r="AA10" s="27"/>
    </row>
    <row r="11" spans="2:27" ht="19.5" customHeight="1">
      <c r="B11" s="26">
        <f t="shared" si="4"/>
        <v>7</v>
      </c>
      <c r="C11" s="9" t="s">
        <v>73</v>
      </c>
      <c r="D11" s="10" t="s">
        <v>74</v>
      </c>
      <c r="E11" s="31">
        <v>42004</v>
      </c>
      <c r="F11" s="29" t="s">
        <v>75</v>
      </c>
      <c r="G11" s="9" t="s">
        <v>62</v>
      </c>
      <c r="H11" s="9" t="s">
        <v>63</v>
      </c>
      <c r="I11" s="9" t="s">
        <v>40</v>
      </c>
      <c r="J11" s="30">
        <v>801.22</v>
      </c>
      <c r="K11" s="31">
        <v>41979</v>
      </c>
      <c r="L11" s="32" t="s">
        <v>76</v>
      </c>
      <c r="M11" s="32" t="s">
        <v>34</v>
      </c>
      <c r="N11" s="9" t="s">
        <v>77</v>
      </c>
      <c r="O11" s="33" t="s">
        <v>78</v>
      </c>
      <c r="P11" s="34">
        <v>950116</v>
      </c>
      <c r="Q11" s="35">
        <f t="shared" si="5"/>
        <v>64114777.795999996</v>
      </c>
      <c r="R11" s="36" t="s">
        <v>27</v>
      </c>
      <c r="S11" s="7">
        <v>67.480999999999995</v>
      </c>
      <c r="T11" s="37">
        <f t="shared" si="6"/>
        <v>42068</v>
      </c>
      <c r="U11" s="9" t="s">
        <v>62</v>
      </c>
      <c r="V11" s="38">
        <f t="shared" si="2"/>
        <v>76937.733355199991</v>
      </c>
      <c r="W11" s="39">
        <v>168</v>
      </c>
      <c r="X11" s="35">
        <f t="shared" si="3"/>
        <v>12925539.203673599</v>
      </c>
      <c r="Y11" s="41">
        <f t="shared" si="7"/>
        <v>12925539.203673599</v>
      </c>
      <c r="Z11" s="27"/>
      <c r="AA11" s="27"/>
    </row>
    <row r="12" spans="2:27" ht="19.5" customHeight="1">
      <c r="B12" s="26">
        <f t="shared" si="4"/>
        <v>8</v>
      </c>
      <c r="C12" s="9" t="s">
        <v>79</v>
      </c>
      <c r="D12" s="10" t="s">
        <v>80</v>
      </c>
      <c r="E12" s="31">
        <v>42004</v>
      </c>
      <c r="F12" s="29" t="s">
        <v>81</v>
      </c>
      <c r="G12" s="9" t="s">
        <v>62</v>
      </c>
      <c r="H12" s="9" t="s">
        <v>63</v>
      </c>
      <c r="I12" s="9" t="s">
        <v>82</v>
      </c>
      <c r="J12" s="30">
        <v>801.22</v>
      </c>
      <c r="K12" s="31">
        <v>41986</v>
      </c>
      <c r="L12" s="32" t="s">
        <v>83</v>
      </c>
      <c r="M12" s="43" t="s">
        <v>84</v>
      </c>
      <c r="N12" s="9" t="s">
        <v>37</v>
      </c>
      <c r="O12" s="42" t="s">
        <v>38</v>
      </c>
      <c r="P12" s="34">
        <v>400000</v>
      </c>
      <c r="Q12" s="35">
        <f t="shared" si="5"/>
        <v>24416000</v>
      </c>
      <c r="R12" s="36" t="s">
        <v>27</v>
      </c>
      <c r="S12" s="56">
        <v>61.04</v>
      </c>
      <c r="T12" s="37">
        <f t="shared" si="6"/>
        <v>42075</v>
      </c>
      <c r="U12" s="9" t="s">
        <v>62</v>
      </c>
      <c r="V12" s="38">
        <f t="shared" si="2"/>
        <v>29299.199999999997</v>
      </c>
      <c r="W12" s="39">
        <v>168</v>
      </c>
      <c r="X12" s="35">
        <f t="shared" si="3"/>
        <v>4922265.5999999996</v>
      </c>
      <c r="Y12" s="41">
        <f t="shared" si="7"/>
        <v>4922265.5999999996</v>
      </c>
      <c r="Z12" s="27"/>
      <c r="AA12" s="27"/>
    </row>
    <row r="13" spans="2:27" ht="19.5" customHeight="1">
      <c r="B13" s="26">
        <f t="shared" si="4"/>
        <v>9</v>
      </c>
      <c r="C13" s="9" t="s">
        <v>85</v>
      </c>
      <c r="D13" s="10" t="s">
        <v>86</v>
      </c>
      <c r="E13" s="31">
        <v>42004</v>
      </c>
      <c r="F13" s="29" t="s">
        <v>87</v>
      </c>
      <c r="G13" s="9" t="s">
        <v>62</v>
      </c>
      <c r="H13" s="9" t="s">
        <v>63</v>
      </c>
      <c r="I13" s="9" t="s">
        <v>82</v>
      </c>
      <c r="J13" s="30">
        <v>801.22</v>
      </c>
      <c r="K13" s="31">
        <v>41986</v>
      </c>
      <c r="L13" s="32" t="s">
        <v>83</v>
      </c>
      <c r="M13" s="43" t="s">
        <v>84</v>
      </c>
      <c r="N13" s="9" t="s">
        <v>37</v>
      </c>
      <c r="O13" s="42" t="s">
        <v>38</v>
      </c>
      <c r="P13" s="34">
        <v>548399</v>
      </c>
      <c r="Q13" s="35">
        <f t="shared" si="5"/>
        <v>33474274.960000001</v>
      </c>
      <c r="R13" s="36" t="s">
        <v>27</v>
      </c>
      <c r="S13" s="56">
        <v>61.04</v>
      </c>
      <c r="T13" s="37">
        <f t="shared" si="6"/>
        <v>42075</v>
      </c>
      <c r="U13" s="9" t="s">
        <v>62</v>
      </c>
      <c r="V13" s="38">
        <f t="shared" si="2"/>
        <v>40169.129951999996</v>
      </c>
      <c r="W13" s="39">
        <v>168</v>
      </c>
      <c r="X13" s="35">
        <f t="shared" si="3"/>
        <v>6748413.831935999</v>
      </c>
      <c r="Y13" s="41">
        <f t="shared" si="7"/>
        <v>6748413.831935999</v>
      </c>
      <c r="Z13" s="27"/>
      <c r="AA13" s="27"/>
    </row>
    <row r="14" spans="2:27" ht="19.5" customHeight="1">
      <c r="B14" s="26">
        <f t="shared" si="4"/>
        <v>10</v>
      </c>
      <c r="C14" s="9" t="s">
        <v>88</v>
      </c>
      <c r="D14" s="10" t="s">
        <v>89</v>
      </c>
      <c r="E14" s="31">
        <v>42004</v>
      </c>
      <c r="F14" s="29" t="s">
        <v>90</v>
      </c>
      <c r="G14" s="9" t="s">
        <v>62</v>
      </c>
      <c r="H14" s="9" t="s">
        <v>63</v>
      </c>
      <c r="I14" s="9" t="s">
        <v>40</v>
      </c>
      <c r="J14" s="30">
        <v>801.22</v>
      </c>
      <c r="K14" s="31">
        <v>42000</v>
      </c>
      <c r="L14" s="32" t="s">
        <v>91</v>
      </c>
      <c r="M14" s="32" t="s">
        <v>34</v>
      </c>
      <c r="N14" s="9" t="s">
        <v>32</v>
      </c>
      <c r="O14" s="42" t="s">
        <v>92</v>
      </c>
      <c r="P14" s="34">
        <v>91000</v>
      </c>
      <c r="Q14" s="35">
        <f t="shared" si="5"/>
        <v>5309031</v>
      </c>
      <c r="R14" s="36" t="s">
        <v>27</v>
      </c>
      <c r="S14" s="7">
        <v>58.341000000000001</v>
      </c>
      <c r="T14" s="37">
        <f t="shared" si="6"/>
        <v>42089</v>
      </c>
      <c r="U14" s="9" t="s">
        <v>62</v>
      </c>
      <c r="V14" s="38">
        <f t="shared" si="2"/>
        <v>6370.837199999999</v>
      </c>
      <c r="W14" s="39">
        <v>168</v>
      </c>
      <c r="X14" s="35">
        <f t="shared" si="3"/>
        <v>1070300.6495999999</v>
      </c>
      <c r="Y14" s="41">
        <f t="shared" si="7"/>
        <v>1070300.6495999999</v>
      </c>
      <c r="Z14" s="27"/>
      <c r="AA14" s="27"/>
    </row>
    <row r="15" spans="2:27" ht="19.5" customHeight="1">
      <c r="B15" s="26">
        <f t="shared" si="4"/>
        <v>11</v>
      </c>
      <c r="C15" s="9" t="s">
        <v>93</v>
      </c>
      <c r="D15" s="10" t="s">
        <v>94</v>
      </c>
      <c r="E15" s="31">
        <v>42004</v>
      </c>
      <c r="F15" s="29" t="s">
        <v>95</v>
      </c>
      <c r="G15" s="9" t="s">
        <v>62</v>
      </c>
      <c r="H15" s="9" t="s">
        <v>63</v>
      </c>
      <c r="I15" s="9" t="s">
        <v>40</v>
      </c>
      <c r="J15" s="30">
        <v>801.22</v>
      </c>
      <c r="K15" s="31">
        <v>42000</v>
      </c>
      <c r="L15" s="32" t="s">
        <v>91</v>
      </c>
      <c r="M15" s="32" t="s">
        <v>34</v>
      </c>
      <c r="N15" s="9" t="s">
        <v>32</v>
      </c>
      <c r="O15" s="42" t="s">
        <v>92</v>
      </c>
      <c r="P15" s="34">
        <v>96000</v>
      </c>
      <c r="Q15" s="35">
        <f t="shared" si="5"/>
        <v>5600736</v>
      </c>
      <c r="R15" s="36" t="s">
        <v>27</v>
      </c>
      <c r="S15" s="7">
        <v>58.341000000000001</v>
      </c>
      <c r="T15" s="37">
        <f t="shared" si="6"/>
        <v>42089</v>
      </c>
      <c r="U15" s="9" t="s">
        <v>62</v>
      </c>
      <c r="V15" s="38">
        <f t="shared" si="2"/>
        <v>6720.8831999999993</v>
      </c>
      <c r="W15" s="39">
        <v>168</v>
      </c>
      <c r="X15" s="35">
        <f t="shared" si="3"/>
        <v>1129108.3775999998</v>
      </c>
      <c r="Y15" s="41">
        <f t="shared" si="7"/>
        <v>1129108.3775999998</v>
      </c>
      <c r="Z15" s="27"/>
      <c r="AA15" s="27"/>
    </row>
    <row r="16" spans="2:27" ht="19.5" customHeight="1">
      <c r="B16" s="26">
        <f t="shared" si="4"/>
        <v>12</v>
      </c>
      <c r="C16" s="9" t="s">
        <v>96</v>
      </c>
      <c r="D16" s="10" t="s">
        <v>97</v>
      </c>
      <c r="E16" s="31">
        <v>42004</v>
      </c>
      <c r="F16" s="29" t="s">
        <v>98</v>
      </c>
      <c r="G16" s="9" t="s">
        <v>62</v>
      </c>
      <c r="H16" s="9" t="s">
        <v>63</v>
      </c>
      <c r="I16" s="9" t="s">
        <v>40</v>
      </c>
      <c r="J16" s="30">
        <v>801.22</v>
      </c>
      <c r="K16" s="31">
        <v>42000</v>
      </c>
      <c r="L16" s="32" t="s">
        <v>91</v>
      </c>
      <c r="M16" s="32" t="s">
        <v>34</v>
      </c>
      <c r="N16" s="9" t="s">
        <v>32</v>
      </c>
      <c r="O16" s="42" t="s">
        <v>92</v>
      </c>
      <c r="P16" s="34">
        <v>155000</v>
      </c>
      <c r="Q16" s="35">
        <f t="shared" si="5"/>
        <v>9042855</v>
      </c>
      <c r="R16" s="36" t="s">
        <v>27</v>
      </c>
      <c r="S16" s="7">
        <v>58.341000000000001</v>
      </c>
      <c r="T16" s="37">
        <f t="shared" si="6"/>
        <v>42089</v>
      </c>
      <c r="U16" s="9" t="s">
        <v>62</v>
      </c>
      <c r="V16" s="38">
        <f t="shared" si="2"/>
        <v>10851.425999999999</v>
      </c>
      <c r="W16" s="39">
        <v>168</v>
      </c>
      <c r="X16" s="35">
        <f t="shared" si="3"/>
        <v>1823039.568</v>
      </c>
      <c r="Y16" s="41">
        <f t="shared" si="7"/>
        <v>1823039.568</v>
      </c>
      <c r="Z16" s="27"/>
      <c r="AA16" s="27"/>
    </row>
    <row r="17" spans="2:27" ht="19.5" customHeight="1">
      <c r="B17" s="26">
        <f t="shared" si="4"/>
        <v>13</v>
      </c>
      <c r="C17" s="9" t="s">
        <v>99</v>
      </c>
      <c r="D17" s="10" t="s">
        <v>100</v>
      </c>
      <c r="E17" s="31">
        <v>42004</v>
      </c>
      <c r="F17" s="29" t="s">
        <v>101</v>
      </c>
      <c r="G17" s="9" t="s">
        <v>62</v>
      </c>
      <c r="H17" s="9" t="s">
        <v>63</v>
      </c>
      <c r="I17" s="9" t="s">
        <v>40</v>
      </c>
      <c r="J17" s="30">
        <v>801.22</v>
      </c>
      <c r="K17" s="31">
        <v>42000</v>
      </c>
      <c r="L17" s="32" t="s">
        <v>91</v>
      </c>
      <c r="M17" s="32" t="s">
        <v>34</v>
      </c>
      <c r="N17" s="9" t="s">
        <v>32</v>
      </c>
      <c r="O17" s="42" t="s">
        <v>92</v>
      </c>
      <c r="P17" s="34">
        <v>200000</v>
      </c>
      <c r="Q17" s="35">
        <f t="shared" si="5"/>
        <v>11668200</v>
      </c>
      <c r="R17" s="36" t="s">
        <v>27</v>
      </c>
      <c r="S17" s="7">
        <v>58.341000000000001</v>
      </c>
      <c r="T17" s="37">
        <f t="shared" si="6"/>
        <v>42089</v>
      </c>
      <c r="U17" s="9" t="s">
        <v>62</v>
      </c>
      <c r="V17" s="38">
        <f t="shared" si="2"/>
        <v>14001.839999999998</v>
      </c>
      <c r="W17" s="39">
        <v>168</v>
      </c>
      <c r="X17" s="35">
        <f t="shared" si="3"/>
        <v>2352309.1199999996</v>
      </c>
      <c r="Y17" s="41">
        <f t="shared" si="7"/>
        <v>2352309.1199999996</v>
      </c>
      <c r="Z17" s="27"/>
      <c r="AA17" s="27"/>
    </row>
    <row r="18" spans="2:27" ht="21" customHeight="1" thickBot="1">
      <c r="B18" s="26">
        <f t="shared" si="4"/>
        <v>14</v>
      </c>
      <c r="C18" s="9" t="s">
        <v>102</v>
      </c>
      <c r="D18" s="10" t="s">
        <v>103</v>
      </c>
      <c r="E18" s="31">
        <v>42004</v>
      </c>
      <c r="F18" s="29" t="s">
        <v>104</v>
      </c>
      <c r="G18" s="9" t="s">
        <v>62</v>
      </c>
      <c r="H18" s="9" t="s">
        <v>63</v>
      </c>
      <c r="I18" s="9" t="s">
        <v>40</v>
      </c>
      <c r="J18" s="30">
        <v>801.22</v>
      </c>
      <c r="K18" s="31">
        <v>42000</v>
      </c>
      <c r="L18" s="32" t="s">
        <v>91</v>
      </c>
      <c r="M18" s="32" t="s">
        <v>34</v>
      </c>
      <c r="N18" s="9" t="s">
        <v>32</v>
      </c>
      <c r="O18" s="42" t="s">
        <v>92</v>
      </c>
      <c r="P18" s="34">
        <v>407700</v>
      </c>
      <c r="Q18" s="35">
        <f t="shared" si="5"/>
        <v>23785625.699999999</v>
      </c>
      <c r="R18" s="36" t="s">
        <v>27</v>
      </c>
      <c r="S18" s="7">
        <v>58.341000000000001</v>
      </c>
      <c r="T18" s="37">
        <f t="shared" si="6"/>
        <v>42089</v>
      </c>
      <c r="U18" s="9" t="s">
        <v>62</v>
      </c>
      <c r="V18" s="38">
        <f t="shared" si="2"/>
        <v>28542.750839999997</v>
      </c>
      <c r="W18" s="39">
        <v>168</v>
      </c>
      <c r="X18" s="35">
        <f t="shared" si="3"/>
        <v>4795182.1411199998</v>
      </c>
      <c r="Y18" s="41">
        <f t="shared" si="7"/>
        <v>4795182.1411199998</v>
      </c>
      <c r="Z18" s="27"/>
      <c r="AA18" s="27"/>
    </row>
    <row r="19" spans="2:27" ht="15.75" thickBot="1">
      <c r="B19" s="12"/>
      <c r="C19" s="12"/>
      <c r="D19" s="13"/>
      <c r="E19" s="13"/>
      <c r="F19" s="13"/>
      <c r="G19" s="13"/>
      <c r="H19" s="13"/>
      <c r="I19" s="13"/>
      <c r="J19" s="12"/>
      <c r="K19" s="14"/>
      <c r="L19" s="13"/>
      <c r="M19" s="14"/>
      <c r="N19" s="16"/>
      <c r="O19" s="17"/>
      <c r="P19" s="44">
        <f>SUM(P5:P18)</f>
        <v>6330954</v>
      </c>
      <c r="Q19" s="45">
        <f>SUM(Q5:Q18)</f>
        <v>464494391.73038298</v>
      </c>
      <c r="R19" s="46"/>
      <c r="S19" s="47"/>
      <c r="T19" s="48"/>
      <c r="U19" s="49"/>
      <c r="V19" s="45">
        <f>SUM(V5:V18)</f>
        <v>557393.27007645951</v>
      </c>
      <c r="W19" s="46"/>
      <c r="X19" s="45">
        <f t="shared" ref="X19:Y19" si="8">SUM(X5:X18)</f>
        <v>91383237.8586431</v>
      </c>
      <c r="Y19" s="45">
        <f t="shared" si="8"/>
        <v>91482523.0704256</v>
      </c>
      <c r="Z19" s="12"/>
      <c r="AA19" s="12"/>
    </row>
  </sheetData>
  <pageMargins left="0" right="0" top="0" bottom="0" header="0.31496062992125984" footer="0"/>
  <pageSetup paperSize="8" orientation="landscape" r:id="rId1"/>
  <ignoredErrors>
    <ignoredError sqref="F5:F8" numberStoredAsText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18"/>
  <sheetViews>
    <sheetView workbookViewId="0">
      <selection activeCell="L19" sqref="L19"/>
    </sheetView>
  </sheetViews>
  <sheetFormatPr defaultRowHeight="15"/>
  <cols>
    <col min="1" max="2" width="3.28515625" style="12" customWidth="1"/>
    <col min="3" max="3" width="5.5703125" style="13" customWidth="1"/>
    <col min="4" max="4" width="8.85546875" style="13" customWidth="1"/>
    <col min="5" max="5" width="6" style="13" customWidth="1"/>
    <col min="6" max="6" width="11.42578125" style="13" customWidth="1"/>
    <col min="7" max="7" width="8.28515625" style="13" customWidth="1"/>
    <col min="8" max="9" width="9" style="13" customWidth="1"/>
    <col min="10" max="10" width="5.7109375" style="12" customWidth="1"/>
    <col min="11" max="11" width="6.5703125" style="14" customWidth="1"/>
    <col min="12" max="12" width="10.42578125" style="13" customWidth="1"/>
    <col min="13" max="13" width="5.5703125" style="13" customWidth="1"/>
    <col min="14" max="14" width="7.140625" style="16" customWidth="1"/>
    <col min="15" max="15" width="10.28515625" style="17" customWidth="1"/>
    <col min="16" max="16" width="7.7109375" style="12" customWidth="1"/>
    <col min="17" max="17" width="12.85546875" style="12" customWidth="1"/>
    <col min="18" max="18" width="6.85546875" style="12" customWidth="1"/>
    <col min="19" max="19" width="8" style="18" customWidth="1"/>
    <col min="20" max="20" width="6" style="14" customWidth="1"/>
    <col min="21" max="21" width="8.140625" style="13" customWidth="1"/>
    <col min="22" max="22" width="10.140625" style="12" customWidth="1"/>
    <col min="23" max="23" width="6.85546875" style="12" customWidth="1"/>
    <col min="24" max="24" width="12.28515625" style="12" customWidth="1"/>
    <col min="25" max="25" width="9.42578125" style="12" customWidth="1"/>
    <col min="26" max="27" width="6.5703125" style="12" customWidth="1"/>
    <col min="28" max="28" width="11.5703125" style="12" customWidth="1"/>
    <col min="29" max="16384" width="9.140625" style="12"/>
  </cols>
  <sheetData>
    <row r="2" spans="2:27" ht="15.75">
      <c r="L2" s="15" t="s">
        <v>0</v>
      </c>
    </row>
    <row r="3" spans="2:27" ht="17.25" customHeight="1" thickBot="1">
      <c r="L3" s="4" t="s">
        <v>161</v>
      </c>
      <c r="P3" s="19"/>
    </row>
    <row r="4" spans="2:27" s="13" customFormat="1" ht="42.6" customHeight="1" thickBot="1">
      <c r="B4" s="20" t="s">
        <v>1</v>
      </c>
      <c r="C4" s="21" t="s">
        <v>2</v>
      </c>
      <c r="D4" s="21" t="s">
        <v>3</v>
      </c>
      <c r="E4" s="21" t="s">
        <v>4</v>
      </c>
      <c r="F4" s="22" t="s">
        <v>5</v>
      </c>
      <c r="G4" s="23" t="s">
        <v>6</v>
      </c>
      <c r="H4" s="21" t="s">
        <v>7</v>
      </c>
      <c r="I4" s="21" t="s">
        <v>8</v>
      </c>
      <c r="J4" s="21" t="s">
        <v>9</v>
      </c>
      <c r="K4" s="21" t="s">
        <v>10</v>
      </c>
      <c r="L4" s="21" t="s">
        <v>11</v>
      </c>
      <c r="M4" s="21" t="s">
        <v>12</v>
      </c>
      <c r="N4" s="21" t="s">
        <v>13</v>
      </c>
      <c r="O4" s="21" t="s">
        <v>14</v>
      </c>
      <c r="P4" s="21" t="s">
        <v>15</v>
      </c>
      <c r="Q4" s="21" t="s">
        <v>16</v>
      </c>
      <c r="R4" s="21" t="s">
        <v>17</v>
      </c>
      <c r="S4" s="24" t="s">
        <v>18</v>
      </c>
      <c r="T4" s="21" t="s">
        <v>19</v>
      </c>
      <c r="U4" s="21" t="s">
        <v>20</v>
      </c>
      <c r="V4" s="21" t="s">
        <v>21</v>
      </c>
      <c r="W4" s="21" t="s">
        <v>22</v>
      </c>
      <c r="X4" s="21" t="s">
        <v>23</v>
      </c>
      <c r="Y4" s="21" t="s">
        <v>24</v>
      </c>
      <c r="Z4" s="21" t="s">
        <v>25</v>
      </c>
      <c r="AA4" s="25" t="s">
        <v>26</v>
      </c>
    </row>
    <row r="5" spans="2:27" ht="19.5" customHeight="1">
      <c r="B5" s="26">
        <v>1</v>
      </c>
      <c r="C5" s="9" t="s">
        <v>127</v>
      </c>
      <c r="D5" s="28" t="s">
        <v>112</v>
      </c>
      <c r="E5" s="10"/>
      <c r="F5" s="29" t="s">
        <v>128</v>
      </c>
      <c r="G5" s="9" t="s">
        <v>119</v>
      </c>
      <c r="H5" s="9" t="s">
        <v>124</v>
      </c>
      <c r="I5" s="9" t="s">
        <v>120</v>
      </c>
      <c r="J5" s="30">
        <v>801.22</v>
      </c>
      <c r="K5" s="31">
        <v>41975</v>
      </c>
      <c r="L5" s="32" t="s">
        <v>129</v>
      </c>
      <c r="M5" s="32" t="s">
        <v>121</v>
      </c>
      <c r="N5" s="9" t="s">
        <v>35</v>
      </c>
      <c r="O5" s="33" t="s">
        <v>109</v>
      </c>
      <c r="P5" s="34">
        <v>607670</v>
      </c>
      <c r="Q5" s="35">
        <f t="shared" ref="Q5:Q6" si="0">SUM(P5*S5)</f>
        <v>40278190.609999999</v>
      </c>
      <c r="R5" s="36" t="s">
        <v>27</v>
      </c>
      <c r="S5" s="7">
        <v>66.283000000000001</v>
      </c>
      <c r="T5" s="37">
        <f t="shared" ref="T5:T17" si="1">SUM(K5)+89</f>
        <v>42064</v>
      </c>
      <c r="U5" s="9" t="s">
        <v>41</v>
      </c>
      <c r="V5" s="38">
        <f t="shared" ref="V5:V17" si="2">SUM(Q5*0.12%)</f>
        <v>48333.828731999994</v>
      </c>
      <c r="W5" s="39">
        <v>168</v>
      </c>
      <c r="X5" s="35">
        <f t="shared" ref="X5:X17" si="3">SUM(V5*W5)</f>
        <v>8120083.2269759988</v>
      </c>
      <c r="Y5" s="40">
        <v>0</v>
      </c>
      <c r="Z5" s="27"/>
      <c r="AA5" s="27"/>
    </row>
    <row r="6" spans="2:27" ht="19.5" customHeight="1">
      <c r="B6" s="26">
        <f>B5+1</f>
        <v>2</v>
      </c>
      <c r="C6" s="9" t="s">
        <v>130</v>
      </c>
      <c r="D6" s="28" t="s">
        <v>112</v>
      </c>
      <c r="E6" s="10"/>
      <c r="F6" s="29" t="s">
        <v>131</v>
      </c>
      <c r="G6" s="9" t="s">
        <v>41</v>
      </c>
      <c r="H6" s="9" t="s">
        <v>111</v>
      </c>
      <c r="I6" s="9" t="s">
        <v>40</v>
      </c>
      <c r="J6" s="30">
        <v>801.22</v>
      </c>
      <c r="K6" s="31">
        <v>41984</v>
      </c>
      <c r="L6" s="32" t="s">
        <v>132</v>
      </c>
      <c r="M6" s="32" t="s">
        <v>34</v>
      </c>
      <c r="N6" s="9" t="s">
        <v>107</v>
      </c>
      <c r="O6" s="33" t="s">
        <v>125</v>
      </c>
      <c r="P6" s="34">
        <v>571541</v>
      </c>
      <c r="Q6" s="35">
        <f t="shared" si="0"/>
        <v>36312285.894000001</v>
      </c>
      <c r="R6" s="36" t="s">
        <v>27</v>
      </c>
      <c r="S6" s="7">
        <v>63.533999999999999</v>
      </c>
      <c r="T6" s="37">
        <f t="shared" si="1"/>
        <v>42073</v>
      </c>
      <c r="U6" s="42" t="s">
        <v>31</v>
      </c>
      <c r="V6" s="38">
        <f t="shared" si="2"/>
        <v>43574.743072799996</v>
      </c>
      <c r="W6" s="39">
        <v>168</v>
      </c>
      <c r="X6" s="35">
        <f t="shared" si="3"/>
        <v>7320556.8362303991</v>
      </c>
      <c r="Y6" s="40">
        <v>0</v>
      </c>
      <c r="Z6" s="27"/>
      <c r="AA6" s="27"/>
    </row>
    <row r="7" spans="2:27" ht="19.5" customHeight="1">
      <c r="B7" s="26">
        <f t="shared" ref="B7:B17" si="4">B6+1</f>
        <v>3</v>
      </c>
      <c r="C7" s="9" t="s">
        <v>133</v>
      </c>
      <c r="D7" s="28" t="s">
        <v>112</v>
      </c>
      <c r="E7" s="10"/>
      <c r="F7" s="29" t="s">
        <v>134</v>
      </c>
      <c r="G7" s="9" t="s">
        <v>39</v>
      </c>
      <c r="H7" s="9" t="s">
        <v>36</v>
      </c>
      <c r="I7" s="9" t="s">
        <v>40</v>
      </c>
      <c r="J7" s="30">
        <v>801.22</v>
      </c>
      <c r="K7" s="31">
        <v>41984</v>
      </c>
      <c r="L7" s="32" t="s">
        <v>132</v>
      </c>
      <c r="M7" s="32" t="s">
        <v>34</v>
      </c>
      <c r="N7" s="9" t="s">
        <v>107</v>
      </c>
      <c r="O7" s="42" t="s">
        <v>125</v>
      </c>
      <c r="P7" s="34">
        <v>10000</v>
      </c>
      <c r="Q7" s="35">
        <f t="shared" ref="Q7:Q17" si="5">SUM(P7*S7)</f>
        <v>635340</v>
      </c>
      <c r="R7" s="36" t="s">
        <v>27</v>
      </c>
      <c r="S7" s="7">
        <v>63.533999999999999</v>
      </c>
      <c r="T7" s="37">
        <f t="shared" si="1"/>
        <v>42073</v>
      </c>
      <c r="U7" s="42" t="s">
        <v>31</v>
      </c>
      <c r="V7" s="38">
        <f t="shared" si="2"/>
        <v>762.4079999999999</v>
      </c>
      <c r="W7" s="39">
        <v>168</v>
      </c>
      <c r="X7" s="35">
        <f t="shared" si="3"/>
        <v>128084.54399999998</v>
      </c>
      <c r="Y7" s="40">
        <v>0</v>
      </c>
      <c r="Z7" s="27"/>
      <c r="AA7" s="27"/>
    </row>
    <row r="8" spans="2:27" ht="19.5" customHeight="1">
      <c r="B8" s="26">
        <f t="shared" si="4"/>
        <v>4</v>
      </c>
      <c r="C8" s="9" t="s">
        <v>135</v>
      </c>
      <c r="D8" s="28" t="s">
        <v>112</v>
      </c>
      <c r="E8" s="10"/>
      <c r="F8" s="29" t="s">
        <v>136</v>
      </c>
      <c r="G8" s="9" t="s">
        <v>116</v>
      </c>
      <c r="H8" s="9" t="s">
        <v>114</v>
      </c>
      <c r="I8" s="9" t="s">
        <v>40</v>
      </c>
      <c r="J8" s="30">
        <v>801.22</v>
      </c>
      <c r="K8" s="31">
        <v>41984</v>
      </c>
      <c r="L8" s="32" t="s">
        <v>132</v>
      </c>
      <c r="M8" s="32" t="s">
        <v>34</v>
      </c>
      <c r="N8" s="9" t="s">
        <v>107</v>
      </c>
      <c r="O8" s="42" t="s">
        <v>125</v>
      </c>
      <c r="P8" s="34">
        <v>120000</v>
      </c>
      <c r="Q8" s="35">
        <f t="shared" si="5"/>
        <v>7624080</v>
      </c>
      <c r="R8" s="36" t="s">
        <v>27</v>
      </c>
      <c r="S8" s="7">
        <v>63.533999999999999</v>
      </c>
      <c r="T8" s="37">
        <f t="shared" si="1"/>
        <v>42073</v>
      </c>
      <c r="U8" s="9" t="s">
        <v>118</v>
      </c>
      <c r="V8" s="38">
        <f t="shared" si="2"/>
        <v>9148.8959999999988</v>
      </c>
      <c r="W8" s="39">
        <v>168</v>
      </c>
      <c r="X8" s="35">
        <f t="shared" si="3"/>
        <v>1537014.5279999997</v>
      </c>
      <c r="Y8" s="40">
        <v>0</v>
      </c>
      <c r="Z8" s="27"/>
      <c r="AA8" s="27"/>
    </row>
    <row r="9" spans="2:27" ht="19.5" customHeight="1">
      <c r="B9" s="26">
        <f t="shared" si="4"/>
        <v>5</v>
      </c>
      <c r="C9" s="9" t="s">
        <v>137</v>
      </c>
      <c r="D9" s="28" t="s">
        <v>112</v>
      </c>
      <c r="E9" s="10"/>
      <c r="F9" s="29" t="s">
        <v>138</v>
      </c>
      <c r="G9" s="9" t="s">
        <v>39</v>
      </c>
      <c r="H9" s="9" t="s">
        <v>106</v>
      </c>
      <c r="I9" s="9" t="s">
        <v>40</v>
      </c>
      <c r="J9" s="30">
        <v>801.22</v>
      </c>
      <c r="K9" s="31">
        <v>41992</v>
      </c>
      <c r="L9" s="32" t="s">
        <v>139</v>
      </c>
      <c r="M9" s="43" t="s">
        <v>34</v>
      </c>
      <c r="N9" s="9" t="s">
        <v>37</v>
      </c>
      <c r="O9" s="42" t="s">
        <v>38</v>
      </c>
      <c r="P9" s="34">
        <v>200000</v>
      </c>
      <c r="Q9" s="35">
        <f t="shared" si="5"/>
        <v>11891200</v>
      </c>
      <c r="R9" s="36" t="s">
        <v>27</v>
      </c>
      <c r="S9" s="7">
        <v>59.456000000000003</v>
      </c>
      <c r="T9" s="37">
        <f t="shared" si="1"/>
        <v>42081</v>
      </c>
      <c r="U9" s="9" t="s">
        <v>105</v>
      </c>
      <c r="V9" s="38">
        <f t="shared" si="2"/>
        <v>14269.439999999999</v>
      </c>
      <c r="W9" s="39">
        <v>168</v>
      </c>
      <c r="X9" s="35">
        <f t="shared" si="3"/>
        <v>2397265.9199999999</v>
      </c>
      <c r="Y9" s="40">
        <v>0</v>
      </c>
      <c r="Z9" s="27"/>
      <c r="AA9" s="27"/>
    </row>
    <row r="10" spans="2:27" ht="19.5" customHeight="1">
      <c r="B10" s="26">
        <f t="shared" si="4"/>
        <v>6</v>
      </c>
      <c r="C10" s="9" t="s">
        <v>140</v>
      </c>
      <c r="D10" s="28" t="s">
        <v>112</v>
      </c>
      <c r="E10" s="10"/>
      <c r="F10" s="11" t="s">
        <v>141</v>
      </c>
      <c r="G10" s="9" t="s">
        <v>39</v>
      </c>
      <c r="H10" s="9" t="s">
        <v>36</v>
      </c>
      <c r="I10" s="9" t="s">
        <v>40</v>
      </c>
      <c r="J10" s="30">
        <v>801.22</v>
      </c>
      <c r="K10" s="31">
        <v>41992</v>
      </c>
      <c r="L10" s="32" t="s">
        <v>139</v>
      </c>
      <c r="M10" s="32" t="s">
        <v>34</v>
      </c>
      <c r="N10" s="9" t="s">
        <v>37</v>
      </c>
      <c r="O10" s="42" t="s">
        <v>38</v>
      </c>
      <c r="P10" s="34">
        <v>572611</v>
      </c>
      <c r="Q10" s="35">
        <f t="shared" si="5"/>
        <v>34045159.616000004</v>
      </c>
      <c r="R10" s="36" t="s">
        <v>27</v>
      </c>
      <c r="S10" s="7">
        <v>59.456000000000003</v>
      </c>
      <c r="T10" s="37">
        <f t="shared" si="1"/>
        <v>42081</v>
      </c>
      <c r="U10" s="9" t="s">
        <v>31</v>
      </c>
      <c r="V10" s="38">
        <f t="shared" si="2"/>
        <v>40854.191539200001</v>
      </c>
      <c r="W10" s="39">
        <v>168</v>
      </c>
      <c r="X10" s="35">
        <f t="shared" si="3"/>
        <v>6863504.1785856001</v>
      </c>
      <c r="Y10" s="40">
        <v>0</v>
      </c>
      <c r="Z10" s="27"/>
      <c r="AA10" s="27"/>
    </row>
    <row r="11" spans="2:27" ht="19.5" customHeight="1">
      <c r="B11" s="26">
        <f t="shared" si="4"/>
        <v>7</v>
      </c>
      <c r="C11" s="9" t="s">
        <v>142</v>
      </c>
      <c r="D11" s="28" t="s">
        <v>112</v>
      </c>
      <c r="E11" s="10"/>
      <c r="F11" s="11" t="s">
        <v>143</v>
      </c>
      <c r="G11" s="9" t="s">
        <v>39</v>
      </c>
      <c r="H11" s="9" t="s">
        <v>36</v>
      </c>
      <c r="I11" s="9" t="s">
        <v>40</v>
      </c>
      <c r="J11" s="30">
        <v>801.22</v>
      </c>
      <c r="K11" s="31">
        <v>41992</v>
      </c>
      <c r="L11" s="32" t="s">
        <v>139</v>
      </c>
      <c r="M11" s="32" t="s">
        <v>34</v>
      </c>
      <c r="N11" s="9" t="s">
        <v>37</v>
      </c>
      <c r="O11" s="42" t="s">
        <v>38</v>
      </c>
      <c r="P11" s="34">
        <v>120000</v>
      </c>
      <c r="Q11" s="35">
        <f t="shared" si="5"/>
        <v>7134720</v>
      </c>
      <c r="R11" s="36" t="s">
        <v>27</v>
      </c>
      <c r="S11" s="7">
        <v>59.456000000000003</v>
      </c>
      <c r="T11" s="37">
        <f t="shared" si="1"/>
        <v>42081</v>
      </c>
      <c r="U11" s="9" t="s">
        <v>31</v>
      </c>
      <c r="V11" s="38">
        <f t="shared" si="2"/>
        <v>8561.6639999999989</v>
      </c>
      <c r="W11" s="39">
        <v>168</v>
      </c>
      <c r="X11" s="35">
        <f t="shared" si="3"/>
        <v>1438359.5519999999</v>
      </c>
      <c r="Y11" s="40">
        <v>0</v>
      </c>
      <c r="Z11" s="27"/>
      <c r="AA11" s="27"/>
    </row>
    <row r="12" spans="2:27" ht="19.5" customHeight="1">
      <c r="B12" s="26">
        <f t="shared" si="4"/>
        <v>8</v>
      </c>
      <c r="C12" s="9" t="s">
        <v>144</v>
      </c>
      <c r="D12" s="28" t="s">
        <v>112</v>
      </c>
      <c r="E12" s="10"/>
      <c r="F12" s="29" t="s">
        <v>145</v>
      </c>
      <c r="G12" s="9" t="s">
        <v>108</v>
      </c>
      <c r="H12" s="9" t="s">
        <v>115</v>
      </c>
      <c r="I12" s="9" t="s">
        <v>40</v>
      </c>
      <c r="J12" s="30">
        <v>801.22</v>
      </c>
      <c r="K12" s="31">
        <v>41992</v>
      </c>
      <c r="L12" s="32" t="s">
        <v>139</v>
      </c>
      <c r="M12" s="32" t="s">
        <v>34</v>
      </c>
      <c r="N12" s="9" t="s">
        <v>37</v>
      </c>
      <c r="O12" s="42" t="s">
        <v>38</v>
      </c>
      <c r="P12" s="34">
        <v>41000</v>
      </c>
      <c r="Q12" s="35">
        <f t="shared" si="5"/>
        <v>2437696</v>
      </c>
      <c r="R12" s="36" t="s">
        <v>27</v>
      </c>
      <c r="S12" s="7">
        <v>59.456000000000003</v>
      </c>
      <c r="T12" s="37">
        <f t="shared" si="1"/>
        <v>42081</v>
      </c>
      <c r="U12" s="9" t="s">
        <v>108</v>
      </c>
      <c r="V12" s="38">
        <f t="shared" si="2"/>
        <v>2925.2351999999996</v>
      </c>
      <c r="W12" s="39">
        <v>168</v>
      </c>
      <c r="X12" s="35">
        <f t="shared" si="3"/>
        <v>491439.51359999995</v>
      </c>
      <c r="Y12" s="40">
        <v>0</v>
      </c>
      <c r="Z12" s="27"/>
      <c r="AA12" s="27"/>
    </row>
    <row r="13" spans="2:27" ht="19.5" customHeight="1">
      <c r="B13" s="26">
        <f t="shared" si="4"/>
        <v>9</v>
      </c>
      <c r="C13" s="9" t="s">
        <v>146</v>
      </c>
      <c r="D13" s="28" t="s">
        <v>112</v>
      </c>
      <c r="E13" s="10"/>
      <c r="F13" s="29" t="s">
        <v>147</v>
      </c>
      <c r="G13" s="9" t="s">
        <v>108</v>
      </c>
      <c r="H13" s="9" t="s">
        <v>115</v>
      </c>
      <c r="I13" s="9" t="s">
        <v>40</v>
      </c>
      <c r="J13" s="30">
        <v>801.22</v>
      </c>
      <c r="K13" s="31">
        <v>41992</v>
      </c>
      <c r="L13" s="32" t="s">
        <v>139</v>
      </c>
      <c r="M13" s="32" t="s">
        <v>34</v>
      </c>
      <c r="N13" s="9" t="s">
        <v>37</v>
      </c>
      <c r="O13" s="42" t="s">
        <v>38</v>
      </c>
      <c r="P13" s="34">
        <v>30000</v>
      </c>
      <c r="Q13" s="35">
        <f t="shared" si="5"/>
        <v>1783680</v>
      </c>
      <c r="R13" s="36" t="s">
        <v>27</v>
      </c>
      <c r="S13" s="7">
        <v>59.456000000000003</v>
      </c>
      <c r="T13" s="37">
        <f t="shared" si="1"/>
        <v>42081</v>
      </c>
      <c r="U13" s="9" t="s">
        <v>108</v>
      </c>
      <c r="V13" s="38">
        <f t="shared" si="2"/>
        <v>2140.4159999999997</v>
      </c>
      <c r="W13" s="39">
        <v>168</v>
      </c>
      <c r="X13" s="35">
        <f t="shared" si="3"/>
        <v>359589.88799999998</v>
      </c>
      <c r="Y13" s="40">
        <v>0</v>
      </c>
      <c r="Z13" s="27"/>
      <c r="AA13" s="27"/>
    </row>
    <row r="14" spans="2:27" ht="19.5" customHeight="1">
      <c r="B14" s="26">
        <f t="shared" si="4"/>
        <v>10</v>
      </c>
      <c r="C14" s="9" t="s">
        <v>148</v>
      </c>
      <c r="D14" s="28" t="s">
        <v>112</v>
      </c>
      <c r="E14" s="10"/>
      <c r="F14" s="29" t="s">
        <v>149</v>
      </c>
      <c r="G14" s="9" t="s">
        <v>123</v>
      </c>
      <c r="H14" s="9" t="s">
        <v>115</v>
      </c>
      <c r="I14" s="9" t="s">
        <v>40</v>
      </c>
      <c r="J14" s="30">
        <v>801.22</v>
      </c>
      <c r="K14" s="31">
        <v>41992</v>
      </c>
      <c r="L14" s="32" t="s">
        <v>139</v>
      </c>
      <c r="M14" s="32" t="s">
        <v>34</v>
      </c>
      <c r="N14" s="9" t="s">
        <v>37</v>
      </c>
      <c r="O14" s="42" t="s">
        <v>38</v>
      </c>
      <c r="P14" s="34">
        <v>35000</v>
      </c>
      <c r="Q14" s="35">
        <f t="shared" si="5"/>
        <v>2080960</v>
      </c>
      <c r="R14" s="36" t="s">
        <v>27</v>
      </c>
      <c r="S14" s="7">
        <v>59.456000000000003</v>
      </c>
      <c r="T14" s="37">
        <f t="shared" si="1"/>
        <v>42081</v>
      </c>
      <c r="U14" s="9" t="s">
        <v>108</v>
      </c>
      <c r="V14" s="38">
        <f t="shared" si="2"/>
        <v>2497.1519999999996</v>
      </c>
      <c r="W14" s="39">
        <v>168</v>
      </c>
      <c r="X14" s="35">
        <f t="shared" si="3"/>
        <v>419521.53599999991</v>
      </c>
      <c r="Y14" s="40">
        <v>0</v>
      </c>
      <c r="Z14" s="27"/>
      <c r="AA14" s="27"/>
    </row>
    <row r="15" spans="2:27" ht="19.5" customHeight="1">
      <c r="B15" s="26">
        <f t="shared" si="4"/>
        <v>11</v>
      </c>
      <c r="C15" s="9" t="s">
        <v>150</v>
      </c>
      <c r="D15" s="28" t="s">
        <v>112</v>
      </c>
      <c r="E15" s="10"/>
      <c r="F15" s="29" t="s">
        <v>151</v>
      </c>
      <c r="G15" s="9" t="s">
        <v>119</v>
      </c>
      <c r="H15" s="9" t="s">
        <v>124</v>
      </c>
      <c r="I15" s="9" t="s">
        <v>120</v>
      </c>
      <c r="J15" s="30">
        <v>801.22</v>
      </c>
      <c r="K15" s="31">
        <v>41994</v>
      </c>
      <c r="L15" s="32" t="s">
        <v>152</v>
      </c>
      <c r="M15" s="32" t="s">
        <v>121</v>
      </c>
      <c r="N15" s="9" t="s">
        <v>110</v>
      </c>
      <c r="O15" s="42" t="s">
        <v>122</v>
      </c>
      <c r="P15" s="34">
        <v>600551</v>
      </c>
      <c r="Q15" s="35">
        <f t="shared" si="5"/>
        <v>32914999.208000001</v>
      </c>
      <c r="R15" s="36" t="s">
        <v>27</v>
      </c>
      <c r="S15" s="56">
        <v>54.808</v>
      </c>
      <c r="T15" s="37">
        <f t="shared" si="1"/>
        <v>42083</v>
      </c>
      <c r="U15" s="9" t="s">
        <v>41</v>
      </c>
      <c r="V15" s="38">
        <f t="shared" si="2"/>
        <v>39497.999049599995</v>
      </c>
      <c r="W15" s="39">
        <v>168</v>
      </c>
      <c r="X15" s="35">
        <f t="shared" si="3"/>
        <v>6635663.8403327996</v>
      </c>
      <c r="Y15" s="40">
        <v>0</v>
      </c>
      <c r="Z15" s="27"/>
      <c r="AA15" s="27"/>
    </row>
    <row r="16" spans="2:27" ht="19.5" customHeight="1">
      <c r="B16" s="26">
        <f t="shared" si="4"/>
        <v>12</v>
      </c>
      <c r="C16" s="9" t="s">
        <v>153</v>
      </c>
      <c r="D16" s="28" t="s">
        <v>112</v>
      </c>
      <c r="E16" s="10"/>
      <c r="F16" s="29" t="s">
        <v>154</v>
      </c>
      <c r="G16" s="9" t="s">
        <v>41</v>
      </c>
      <c r="H16" s="9" t="s">
        <v>28</v>
      </c>
      <c r="I16" s="9" t="s">
        <v>29</v>
      </c>
      <c r="J16" s="30">
        <v>801.22</v>
      </c>
      <c r="K16" s="31">
        <v>41994</v>
      </c>
      <c r="L16" s="32" t="s">
        <v>126</v>
      </c>
      <c r="M16" s="32" t="s">
        <v>30</v>
      </c>
      <c r="N16" s="9" t="s">
        <v>113</v>
      </c>
      <c r="O16" s="42" t="s">
        <v>155</v>
      </c>
      <c r="P16" s="34">
        <v>950061</v>
      </c>
      <c r="Q16" s="35">
        <f t="shared" si="5"/>
        <v>57182271.468000002</v>
      </c>
      <c r="R16" s="36" t="s">
        <v>27</v>
      </c>
      <c r="S16" s="56">
        <v>60.188000000000002</v>
      </c>
      <c r="T16" s="37">
        <f t="shared" si="1"/>
        <v>42083</v>
      </c>
      <c r="U16" s="9" t="s">
        <v>31</v>
      </c>
      <c r="V16" s="38">
        <f t="shared" si="2"/>
        <v>68618.725761599999</v>
      </c>
      <c r="W16" s="39">
        <v>168</v>
      </c>
      <c r="X16" s="35">
        <f t="shared" si="3"/>
        <v>11527945.927948799</v>
      </c>
      <c r="Y16" s="40">
        <v>0</v>
      </c>
      <c r="Z16" s="27"/>
      <c r="AA16" s="27"/>
    </row>
    <row r="17" spans="2:27" ht="21" customHeight="1" thickBot="1">
      <c r="B17" s="26">
        <f t="shared" si="4"/>
        <v>13</v>
      </c>
      <c r="C17" s="9" t="s">
        <v>156</v>
      </c>
      <c r="D17" s="28" t="s">
        <v>112</v>
      </c>
      <c r="E17" s="10"/>
      <c r="F17" s="29" t="s">
        <v>157</v>
      </c>
      <c r="G17" s="9" t="s">
        <v>39</v>
      </c>
      <c r="H17" s="9" t="s">
        <v>106</v>
      </c>
      <c r="I17" s="9" t="s">
        <v>82</v>
      </c>
      <c r="J17" s="30">
        <v>801.22</v>
      </c>
      <c r="K17" s="31">
        <v>42004</v>
      </c>
      <c r="L17" s="32" t="s">
        <v>158</v>
      </c>
      <c r="M17" s="32" t="s">
        <v>84</v>
      </c>
      <c r="N17" s="9" t="s">
        <v>117</v>
      </c>
      <c r="O17" s="42" t="s">
        <v>159</v>
      </c>
      <c r="P17" s="34">
        <v>947834</v>
      </c>
      <c r="Q17" s="35">
        <f t="shared" si="5"/>
        <v>52086321.802000001</v>
      </c>
      <c r="R17" s="36" t="s">
        <v>27</v>
      </c>
      <c r="S17" s="7">
        <v>54.953000000000003</v>
      </c>
      <c r="T17" s="37">
        <f t="shared" si="1"/>
        <v>42093</v>
      </c>
      <c r="U17" s="42" t="s">
        <v>105</v>
      </c>
      <c r="V17" s="38">
        <f t="shared" si="2"/>
        <v>62503.586162399995</v>
      </c>
      <c r="W17" s="39">
        <v>168</v>
      </c>
      <c r="X17" s="35">
        <f t="shared" si="3"/>
        <v>10500602.4752832</v>
      </c>
      <c r="Y17" s="40">
        <v>0</v>
      </c>
      <c r="Z17" s="27"/>
      <c r="AA17" s="27"/>
    </row>
    <row r="18" spans="2:27" ht="15.75" thickBot="1">
      <c r="P18" s="44">
        <f>SUM(P5:P17)</f>
        <v>4806268</v>
      </c>
      <c r="Q18" s="45">
        <f>SUM(Q5:Q17)</f>
        <v>286406904.59799999</v>
      </c>
      <c r="R18" s="46"/>
      <c r="S18" s="47"/>
      <c r="T18" s="48"/>
      <c r="U18" s="49"/>
      <c r="V18" s="45">
        <f>SUM(V5:V17)</f>
        <v>343688.28551760002</v>
      </c>
      <c r="W18" s="46"/>
      <c r="X18" s="45">
        <f>SUM(X5:X17)</f>
        <v>57739631.966956787</v>
      </c>
      <c r="Y18" s="55">
        <f>SUM(Y5:Y17)</f>
        <v>0</v>
      </c>
    </row>
  </sheetData>
  <pageMargins left="0" right="0" top="0" bottom="0" header="0.31496062992125984" footer="0"/>
  <pageSetup paperSize="8" orientation="landscape" r:id="rId1"/>
  <ignoredErrors>
    <ignoredError sqref="F6:F1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(DEC'14)</vt:lpstr>
      <vt:lpstr>COMPLIANT (DEC'14)</vt:lpstr>
      <vt:lpstr>NON-COMPLIANT (DEC'14)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2015-01-07T09:09:29Z</cp:lastPrinted>
  <dcterms:created xsi:type="dcterms:W3CDTF">2013-10-09T11:18:50Z</dcterms:created>
  <dcterms:modified xsi:type="dcterms:W3CDTF">2015-01-09T09:31:53Z</dcterms:modified>
</cp:coreProperties>
</file>