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COMPREHENSIVE (SEPT'14)" sheetId="2" r:id="rId1"/>
    <sheet name="COMPLIANT (SEPT'14)" sheetId="1" r:id="rId2"/>
    <sheet name="NON-COMPLIANT (SEPT'14)" sheetId="4" r:id="rId3"/>
  </sheets>
  <calcPr calcId="125725"/>
</workbook>
</file>

<file path=xl/calcChain.xml><?xml version="1.0" encoding="utf-8"?>
<calcChain xmlns="http://schemas.openxmlformats.org/spreadsheetml/2006/main">
  <c r="P31" i="4"/>
  <c r="T30"/>
  <c r="Q30"/>
  <c r="V30" s="1"/>
  <c r="X30" s="1"/>
  <c r="T29"/>
  <c r="Q29"/>
  <c r="V29" s="1"/>
  <c r="X29" s="1"/>
  <c r="T28"/>
  <c r="Q28"/>
  <c r="V28" s="1"/>
  <c r="X28" s="1"/>
  <c r="T27"/>
  <c r="Q27"/>
  <c r="V27" s="1"/>
  <c r="X27" s="1"/>
  <c r="T26"/>
  <c r="Q26"/>
  <c r="V26" s="1"/>
  <c r="X26" s="1"/>
  <c r="T25"/>
  <c r="Q25"/>
  <c r="V25" s="1"/>
  <c r="X25" s="1"/>
  <c r="T24"/>
  <c r="Q24"/>
  <c r="V24" s="1"/>
  <c r="X24" s="1"/>
  <c r="T23"/>
  <c r="Q23"/>
  <c r="V23" s="1"/>
  <c r="X23" s="1"/>
  <c r="T22"/>
  <c r="Q22"/>
  <c r="V22" s="1"/>
  <c r="X22" s="1"/>
  <c r="T21"/>
  <c r="Q21"/>
  <c r="V21" s="1"/>
  <c r="X21" s="1"/>
  <c r="T20"/>
  <c r="Q20"/>
  <c r="V20" s="1"/>
  <c r="X20" s="1"/>
  <c r="T19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Y3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B6"/>
  <c r="B7" s="1"/>
  <c r="B8" s="1"/>
  <c r="B9" s="1"/>
  <c r="B10" s="1"/>
  <c r="B11" s="1"/>
  <c r="B12" s="1"/>
  <c r="B13" s="1"/>
  <c r="T5"/>
  <c r="Q5"/>
  <c r="Q31" s="1"/>
  <c r="P34" i="2"/>
  <c r="T33"/>
  <c r="Q33"/>
  <c r="V33" s="1"/>
  <c r="X33" s="1"/>
  <c r="T32"/>
  <c r="Q32"/>
  <c r="V32" s="1"/>
  <c r="X32" s="1"/>
  <c r="T31"/>
  <c r="Q31"/>
  <c r="V31" s="1"/>
  <c r="X31" s="1"/>
  <c r="T30"/>
  <c r="Q30"/>
  <c r="V30" s="1"/>
  <c r="X30" s="1"/>
  <c r="T29"/>
  <c r="Q29"/>
  <c r="V29" s="1"/>
  <c r="X29" s="1"/>
  <c r="T28"/>
  <c r="Q28"/>
  <c r="V28" s="1"/>
  <c r="X28" s="1"/>
  <c r="T27"/>
  <c r="Q27"/>
  <c r="V27" s="1"/>
  <c r="X27" s="1"/>
  <c r="T26"/>
  <c r="Q26"/>
  <c r="V26" s="1"/>
  <c r="X26" s="1"/>
  <c r="T25"/>
  <c r="Q25"/>
  <c r="V25" s="1"/>
  <c r="X25" s="1"/>
  <c r="T24"/>
  <c r="Q24"/>
  <c r="V24" s="1"/>
  <c r="X24" s="1"/>
  <c r="T23"/>
  <c r="Q23"/>
  <c r="V23" s="1"/>
  <c r="X23" s="1"/>
  <c r="T22"/>
  <c r="Q22"/>
  <c r="V22" s="1"/>
  <c r="X22" s="1"/>
  <c r="T21"/>
  <c r="Q21"/>
  <c r="V21" s="1"/>
  <c r="X21" s="1"/>
  <c r="T20"/>
  <c r="Q20"/>
  <c r="V20" s="1"/>
  <c r="X20" s="1"/>
  <c r="T19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Y14" s="1"/>
  <c r="T13"/>
  <c r="Q13"/>
  <c r="V13" s="1"/>
  <c r="X13" s="1"/>
  <c r="Y13" s="1"/>
  <c r="T12"/>
  <c r="Q12"/>
  <c r="V12" s="1"/>
  <c r="X12" s="1"/>
  <c r="Y12" s="1"/>
  <c r="Y34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T5"/>
  <c r="Q5"/>
  <c r="V5" s="1"/>
  <c r="X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14" i="4" l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V5"/>
  <c r="Q34" i="2"/>
  <c r="V34"/>
  <c r="X34"/>
  <c r="V31" i="4" l="1"/>
  <c r="X5"/>
  <c r="X31" s="1"/>
  <c r="P16" i="1"/>
  <c r="T15"/>
  <c r="Q15"/>
  <c r="V15" s="1"/>
  <c r="X15" s="1"/>
  <c r="Y15" s="1"/>
  <c r="T14"/>
  <c r="Q14"/>
  <c r="V14" s="1"/>
  <c r="X14" s="1"/>
  <c r="Y14" s="1"/>
  <c r="T13"/>
  <c r="Q13"/>
  <c r="V13" s="1"/>
  <c r="X13" s="1"/>
  <c r="Y13" s="1"/>
  <c r="Y16" s="1"/>
  <c r="T12" l="1"/>
  <c r="Q12"/>
  <c r="V12" s="1"/>
  <c r="X12" s="1"/>
  <c r="T11"/>
  <c r="Q11"/>
  <c r="V11" s="1"/>
  <c r="X11" s="1"/>
  <c r="T10" l="1"/>
  <c r="Q10"/>
  <c r="V10" s="1"/>
  <c r="X10" s="1"/>
  <c r="T9"/>
  <c r="Q9"/>
  <c r="V9" s="1"/>
  <c r="X9" s="1"/>
  <c r="T8"/>
  <c r="Q8"/>
  <c r="V8" s="1"/>
  <c r="X8" s="1"/>
  <c r="T7"/>
  <c r="Q7"/>
  <c r="V7" s="1"/>
  <c r="X7" s="1"/>
  <c r="B7"/>
  <c r="B8" s="1"/>
  <c r="B9" s="1"/>
  <c r="B10" s="1"/>
  <c r="B11" s="1"/>
  <c r="B12" s="1"/>
  <c r="B13" s="1"/>
  <c r="B14" s="1"/>
  <c r="B15" s="1"/>
  <c r="T6"/>
  <c r="Q6"/>
  <c r="V6" s="1"/>
  <c r="X6" s="1"/>
  <c r="B6"/>
  <c r="T5" l="1"/>
  <c r="Q5"/>
  <c r="V5" l="1"/>
  <c r="Q16"/>
  <c r="X5" l="1"/>
  <c r="X16" s="1"/>
  <c r="V16"/>
</calcChain>
</file>

<file path=xl/sharedStrings.xml><?xml version="1.0" encoding="utf-8"?>
<sst xmlns="http://schemas.openxmlformats.org/spreadsheetml/2006/main" count="865" uniqueCount="180">
  <si>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</si>
  <si>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</si>
  <si>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</si>
  <si>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</si>
  <si>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</si>
  <si>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</si>
  <si>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</si>
  <si>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</si>
  <si>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</si>
  <si>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</si>
  <si>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</si>
  <si>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</si>
  <si>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</si>
  <si>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</si>
  <si>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</si>
  <si>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</si>
  <si>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</si>
  <si>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</si>
  <si>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</si>
  <si>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</si>
  <si>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</si>
  <si>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</si>
  <si>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</si>
  <si>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</si>
  <si>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</si>
  <si>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</si>
  <si>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</si>
  <si>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C182</t>
  </si>
  <si>
    <t>MOBIL PRODUCING</t>
  </si>
  <si>
    <t>YOHO BLEND CRUDE OIL</t>
  </si>
  <si>
    <t>YOHO</t>
  </si>
  <si>
    <t>UBA</t>
  </si>
  <si>
    <t>BRAZIL</t>
  </si>
  <si>
    <t>ONE OR MORE SAFE PORTS, BRAZIL</t>
  </si>
  <si>
    <t>NORDIC FREEDOM</t>
  </si>
  <si>
    <t>STANDARD CHARTERED</t>
  </si>
  <si>
    <t>YOHO 101</t>
  </si>
  <si>
    <t>MOBIL YOHO 041</t>
  </si>
  <si>
    <t>201400010279</t>
  </si>
  <si>
    <t>COMPLIANT INSPECTION REPORT FOR THE PERIOD OF SEPTEMBER 2014</t>
  </si>
  <si>
    <t>EBOK 022</t>
  </si>
  <si>
    <t>ORIENTAL EBOK 022</t>
  </si>
  <si>
    <t>201400010541</t>
  </si>
  <si>
    <t>STANBIC IBTC</t>
  </si>
  <si>
    <t>ORIENTAL ENERGY</t>
  </si>
  <si>
    <t>EBOK BLEND CRUDE OIL</t>
  </si>
  <si>
    <t>SOPHIE SCHULTE</t>
  </si>
  <si>
    <t>EBOK</t>
  </si>
  <si>
    <t>UNITED KINGDOM</t>
  </si>
  <si>
    <t>TETNEY</t>
  </si>
  <si>
    <t>BRASS 521</t>
  </si>
  <si>
    <t>PLATFORM BRASS 113</t>
  </si>
  <si>
    <t>201401010080</t>
  </si>
  <si>
    <t>SKYE BANK</t>
  </si>
  <si>
    <t>PLATFORM PETROLEUM</t>
  </si>
  <si>
    <t>BRASS BLEND CRUDE OIL</t>
  </si>
  <si>
    <t>RATNA SHRADHA</t>
  </si>
  <si>
    <t>BRASS</t>
  </si>
  <si>
    <t>CAMEROON</t>
  </si>
  <si>
    <t>CAP LIMBOH</t>
  </si>
  <si>
    <t>BRASS 528</t>
  </si>
  <si>
    <t>PLATFORM BRASS 114</t>
  </si>
  <si>
    <t>PRINCIMAR TRUTH</t>
  </si>
  <si>
    <t>NETHERLANDS</t>
  </si>
  <si>
    <t>ROTTERDAM FOR ORDERS</t>
  </si>
  <si>
    <t>BRASS 529</t>
  </si>
  <si>
    <t>PLATFORM BRASS 115</t>
  </si>
  <si>
    <t>BRASS 530</t>
  </si>
  <si>
    <t>PLATFORM BRASS 116</t>
  </si>
  <si>
    <t>STERLING BANK</t>
  </si>
  <si>
    <t>ANTAN 103</t>
  </si>
  <si>
    <t>ADDAX ANTAN 036</t>
  </si>
  <si>
    <t>201400020009</t>
  </si>
  <si>
    <t>CITI BANK OF NIG</t>
  </si>
  <si>
    <t>ADDAX PETROLEUM</t>
  </si>
  <si>
    <t>ANTAN BLEND CRUDE OIL</t>
  </si>
  <si>
    <t>DONAT</t>
  </si>
  <si>
    <t>ANTAN</t>
  </si>
  <si>
    <t>CITI BANK</t>
  </si>
  <si>
    <t>BRASS 514</t>
  </si>
  <si>
    <t>ADDAX BRASS 012</t>
  </si>
  <si>
    <t>201400020012</t>
  </si>
  <si>
    <t>ALMI VOYAGER</t>
  </si>
  <si>
    <t>GERMANY</t>
  </si>
  <si>
    <t>WILHELMSHAVEN</t>
  </si>
  <si>
    <t>BRASS 537</t>
  </si>
  <si>
    <t>NNPC BRASS 174</t>
  </si>
  <si>
    <t>41607105C79/1C</t>
  </si>
  <si>
    <t>CENTRAL BANK</t>
  </si>
  <si>
    <t>NNPC</t>
  </si>
  <si>
    <t>SKS SATILLA</t>
  </si>
  <si>
    <t>BRASS 538</t>
  </si>
  <si>
    <t>NNPC BRASS 175</t>
  </si>
  <si>
    <t>41607105C79/1D</t>
  </si>
  <si>
    <t>BRASS 539</t>
  </si>
  <si>
    <t>NNPC BRASS 176</t>
  </si>
  <si>
    <t>41607105C79/1E</t>
  </si>
  <si>
    <t>MONI PULO</t>
  </si>
  <si>
    <t>OKONO BLEND CRUDE OIL</t>
  </si>
  <si>
    <t>OKONO</t>
  </si>
  <si>
    <t>NIGERIAN AGIP</t>
  </si>
  <si>
    <t>PORTUGAL</t>
  </si>
  <si>
    <t>PHILLIPS OIL</t>
  </si>
  <si>
    <t>INDIA</t>
  </si>
  <si>
    <t>SOUNION</t>
  </si>
  <si>
    <t>NOT YET ISSUED</t>
  </si>
  <si>
    <t>SPAIN</t>
  </si>
  <si>
    <t xml:space="preserve">ROTTERDAM </t>
  </si>
  <si>
    <t>HUELVA</t>
  </si>
  <si>
    <t>GUARANTY TRUST BANK</t>
  </si>
  <si>
    <t>GTB</t>
  </si>
  <si>
    <t>ALGECIRAS</t>
  </si>
  <si>
    <t>EVGENIA I</t>
  </si>
  <si>
    <t>VILAMOURA</t>
  </si>
  <si>
    <t>ONE OR MORE SAFE PORT(S)</t>
  </si>
  <si>
    <t>DELTA TOLMI</t>
  </si>
  <si>
    <t>RIDGEBURY CAPTAIN DROGIN</t>
  </si>
  <si>
    <t xml:space="preserve">MIDWESTERN OIL </t>
  </si>
  <si>
    <t>ANTAN 110</t>
  </si>
  <si>
    <t>201400020015</t>
  </si>
  <si>
    <t>MARAN CASSIOPEIA</t>
  </si>
  <si>
    <t>SPAIN FOR ORDERS</t>
  </si>
  <si>
    <t>BRASS 535</t>
  </si>
  <si>
    <t>AWIATING A</t>
  </si>
  <si>
    <t>AEGEAN NAVIGATOR</t>
  </si>
  <si>
    <t>YOHO 108</t>
  </si>
  <si>
    <t>AWIATING B</t>
  </si>
  <si>
    <t>MONTE TOLEDO</t>
  </si>
  <si>
    <t>BRASS 536</t>
  </si>
  <si>
    <t>AWIATING C</t>
  </si>
  <si>
    <t>GEORGIOS</t>
  </si>
  <si>
    <t>EBOK 023</t>
  </si>
  <si>
    <t>AWIATING D1</t>
  </si>
  <si>
    <t>ANTAN 111</t>
  </si>
  <si>
    <t>AWIATING E</t>
  </si>
  <si>
    <t>MALAYSIA</t>
  </si>
  <si>
    <t>ANTAN 112</t>
  </si>
  <si>
    <t>AWIATING F</t>
  </si>
  <si>
    <t>OKONO 078</t>
  </si>
  <si>
    <t>AWIATING G1</t>
  </si>
  <si>
    <t>BRASS 540</t>
  </si>
  <si>
    <t>ROTTERDAM THE NETHERLANDS FOR ORDERS</t>
  </si>
  <si>
    <t>BRASS 541</t>
  </si>
  <si>
    <t>BRASS 542</t>
  </si>
  <si>
    <t>BRASS 543</t>
  </si>
  <si>
    <t>BRASS 544</t>
  </si>
  <si>
    <t>BRASS 545</t>
  </si>
  <si>
    <t>20149030009</t>
  </si>
  <si>
    <t>BRASS 546</t>
  </si>
  <si>
    <t>AWIATING H</t>
  </si>
  <si>
    <t>YOHO 109</t>
  </si>
  <si>
    <t>AWIATING I</t>
  </si>
  <si>
    <t>YOHO 110</t>
  </si>
  <si>
    <t>AWIATING J</t>
  </si>
  <si>
    <t>ANTAN 113</t>
  </si>
  <si>
    <t>AWIATING K</t>
  </si>
  <si>
    <t>YASA SOUTHERN CROSS</t>
  </si>
  <si>
    <t>PORTUGAL FOR ORDERS</t>
  </si>
  <si>
    <t>BRASS 547</t>
  </si>
  <si>
    <t>AWIATING L</t>
  </si>
  <si>
    <t>FRONT ARIAKE</t>
  </si>
  <si>
    <t>RELIANCE TERMINAL SIKKA PORT</t>
  </si>
  <si>
    <t>BRASS 548</t>
  </si>
  <si>
    <t>AWIATING M</t>
  </si>
  <si>
    <t>BRASS 549</t>
  </si>
  <si>
    <t>AWIATING N</t>
  </si>
  <si>
    <t>BRASS 550</t>
  </si>
  <si>
    <t>AWIATING P</t>
  </si>
  <si>
    <t>BRASS 551</t>
  </si>
  <si>
    <t>AWIATING Q</t>
  </si>
  <si>
    <t>BRASS 552</t>
  </si>
  <si>
    <t>AWIATING R</t>
  </si>
  <si>
    <t>BRASS 553</t>
  </si>
  <si>
    <t>AWIATING S</t>
  </si>
  <si>
    <t>BRASS 554</t>
  </si>
  <si>
    <t>AWIATING T</t>
  </si>
  <si>
    <t>NON-COMPLIANT INSPECTION REPORT FOR THE PERIOD OF  SEPTEMBER 2014</t>
  </si>
  <si>
    <t>REMARK</t>
  </si>
  <si>
    <t>TOTAL LIFTED QTY WAS PREVIOUSLY REPORTED IN THE MONTH OF JUNE, 2014 AS 949,018 BBLS ON THE B/L  NO: ADX/359/ANT/487 WITH SERIAL NO: 085 BUT HAS BEEN RECALCULATED AS A RUSULT OF THE APPLICATION OF WRONG METER FACTOR AND AGREED BY ALL PARTIES TO BE 949,268 BBLS IN B/L NO: ADX/359/ANT/487 WITH SERIAL NO: 089</t>
  </si>
  <si>
    <t>COMPREHENSIVE INSPECTION REPORT FOR THE PERIOD OF SEPTEMBER 2014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</si>
</sst>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0.0000"/>
    <numFmt numFmtId="165" formatCode="0000000"/>
    <numFmt numFmtId="166" formatCode="00000000000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5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3" fillId="0" borderId="0" xfId="0" applyFont="1"/>
    <xf numFmtId="164" fontId="6" fillId="0" borderId="5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 wrapText="1"/>
    </xf>
    <xf numFmtId="14" fontId="6" fillId="0" borderId="6" xfId="0" applyNumberFormat="1" applyFont="1" applyFill="1" applyBorder="1" applyAlignment="1">
      <alignment horizontal="center" wrapText="1"/>
    </xf>
    <xf numFmtId="1" fontId="6" fillId="0" borderId="6" xfId="0" applyNumberFormat="1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horizontal="center" vertical="center" wrapText="1"/>
    </xf>
    <xf numFmtId="49" fontId="7" fillId="0" borderId="3" xfId="2" applyNumberFormat="1" applyFont="1" applyFill="1" applyBorder="1" applyAlignment="1">
      <alignment horizontal="center" vertical="center"/>
    </xf>
    <xf numFmtId="49" fontId="7" fillId="0" borderId="3" xfId="2" applyNumberFormat="1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6" fillId="0" borderId="6" xfId="0" applyFont="1" applyFill="1" applyBorder="1"/>
    <xf numFmtId="0" fontId="6" fillId="0" borderId="6" xfId="0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wrapText="1"/>
    </xf>
    <xf numFmtId="164" fontId="6" fillId="0" borderId="6" xfId="0" applyNumberFormat="1" applyFont="1" applyFill="1" applyBorder="1" applyAlignment="1">
      <alignment horizontal="center" wrapText="1"/>
    </xf>
    <xf numFmtId="14" fontId="6" fillId="0" borderId="5" xfId="0" applyNumberFormat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 wrapText="1"/>
    </xf>
    <xf numFmtId="3" fontId="6" fillId="0" borderId="5" xfId="0" applyNumberFormat="1" applyFont="1" applyFill="1" applyBorder="1"/>
    <xf numFmtId="4" fontId="6" fillId="0" borderId="6" xfId="0" applyNumberFormat="1" applyFont="1" applyFill="1" applyBorder="1" applyAlignment="1">
      <alignment horizontal="right"/>
    </xf>
    <xf numFmtId="4" fontId="6" fillId="0" borderId="6" xfId="0" applyNumberFormat="1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/>
    </xf>
    <xf numFmtId="4" fontId="6" fillId="0" borderId="7" xfId="0" applyNumberFormat="1" applyFont="1" applyFill="1" applyBorder="1"/>
    <xf numFmtId="4" fontId="6" fillId="0" borderId="7" xfId="0" applyNumberFormat="1" applyFont="1" applyFill="1" applyBorder="1" applyAlignment="1">
      <alignment horizontal="right"/>
    </xf>
    <xf numFmtId="2" fontId="6" fillId="0" borderId="7" xfId="0" applyNumberFormat="1" applyFont="1" applyFill="1" applyBorder="1"/>
    <xf numFmtId="0" fontId="6" fillId="0" borderId="11" xfId="0" applyFont="1" applyFill="1" applyBorder="1" applyAlignment="1">
      <alignment horizontal="center" wrapText="1"/>
    </xf>
    <xf numFmtId="164" fontId="6" fillId="0" borderId="6" xfId="4" applyNumberFormat="1" applyFont="1" applyFill="1" applyBorder="1" applyAlignment="1">
      <alignment horizontal="center"/>
    </xf>
    <xf numFmtId="43" fontId="6" fillId="0" borderId="7" xfId="1" applyFont="1" applyFill="1" applyBorder="1"/>
    <xf numFmtId="4" fontId="6" fillId="0" borderId="6" xfId="0" applyNumberFormat="1" applyFont="1" applyFill="1" applyBorder="1"/>
    <xf numFmtId="2" fontId="6" fillId="0" borderId="6" xfId="0" applyNumberFormat="1" applyFont="1" applyFill="1" applyBorder="1"/>
    <xf numFmtId="0" fontId="8" fillId="0" borderId="0" xfId="0" applyFont="1" applyFill="1"/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3" fontId="7" fillId="0" borderId="10" xfId="0" applyNumberFormat="1" applyFont="1" applyFill="1" applyBorder="1"/>
    <xf numFmtId="43" fontId="7" fillId="0" borderId="10" xfId="1" applyFont="1" applyFill="1" applyBorder="1"/>
    <xf numFmtId="0" fontId="7" fillId="0" borderId="0" xfId="0" applyFont="1" applyFill="1"/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center"/>
    </xf>
    <xf numFmtId="0" fontId="9" fillId="0" borderId="0" xfId="0" applyFont="1" applyFill="1" applyAlignment="1">
      <alignment horizontal="left"/>
    </xf>
    <xf numFmtId="164" fontId="8" fillId="0" borderId="0" xfId="0" applyNumberFormat="1" applyFont="1" applyFill="1" applyAlignment="1">
      <alignment horizontal="center"/>
    </xf>
    <xf numFmtId="0" fontId="10" fillId="0" borderId="0" xfId="0" applyFont="1" applyFill="1"/>
    <xf numFmtId="3" fontId="6" fillId="0" borderId="6" xfId="0" applyNumberFormat="1" applyFont="1" applyFill="1" applyBorder="1"/>
    <xf numFmtId="0" fontId="6" fillId="0" borderId="8" xfId="0" applyFont="1" applyFill="1" applyBorder="1" applyAlignment="1">
      <alignment horizontal="center" wrapText="1"/>
    </xf>
    <xf numFmtId="43" fontId="6" fillId="0" borderId="9" xfId="1" applyFont="1" applyFill="1" applyBorder="1"/>
    <xf numFmtId="165" fontId="6" fillId="0" borderId="6" xfId="0" applyNumberFormat="1" applyFont="1" applyFill="1" applyBorder="1" applyAlignment="1">
      <alignment horizontal="center"/>
    </xf>
    <xf numFmtId="43" fontId="6" fillId="0" borderId="6" xfId="1" applyFont="1" applyFill="1" applyBorder="1"/>
    <xf numFmtId="0" fontId="11" fillId="0" borderId="6" xfId="0" applyFont="1" applyFill="1" applyBorder="1" applyAlignment="1">
      <alignment horizontal="center" wrapText="1"/>
    </xf>
    <xf numFmtId="0" fontId="7" fillId="0" borderId="12" xfId="2" applyFont="1" applyFill="1" applyBorder="1" applyAlignment="1">
      <alignment horizontal="center" vertical="center" wrapText="1"/>
    </xf>
    <xf numFmtId="0" fontId="8" fillId="0" borderId="6" xfId="0" applyFont="1" applyFill="1" applyBorder="1"/>
    <xf numFmtId="0" fontId="12" fillId="0" borderId="0" xfId="0" applyFont="1" applyFill="1"/>
    <xf numFmtId="0" fontId="13" fillId="0" borderId="0" xfId="0" applyFont="1" applyFill="1"/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180974</xdr:rowOff>
    </xdr:from>
    <xdr:to>
      <xdr:col>3</xdr:col>
      <xdr:colOff>438150</xdr:colOff>
      <xdr:row>2</xdr:row>
      <xdr:rowOff>95250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9150" y="180974"/>
          <a:ext cx="447675" cy="304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180974</xdr:rowOff>
    </xdr:from>
    <xdr:to>
      <xdr:col>3</xdr:col>
      <xdr:colOff>476250</xdr:colOff>
      <xdr:row>2</xdr:row>
      <xdr:rowOff>114300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6775" y="180974"/>
          <a:ext cx="409575" cy="323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180974</xdr:rowOff>
    </xdr:from>
    <xdr:to>
      <xdr:col>3</xdr:col>
      <xdr:colOff>438150</xdr:colOff>
      <xdr:row>2</xdr:row>
      <xdr:rowOff>95250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9150" y="180974"/>
          <a:ext cx="447675" cy="304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A34"/>
  <sheetViews>
    <sheetView tabSelected="1" workbookViewId="0">
      <selection activeCell="A36" sqref="A36:XFD39"/>
    </sheetView>
  </sheetViews>
  <sheetFormatPr defaultRowHeight="15"/>
  <cols>
    <col min="1" max="1" width="3" customWidth="1"/>
    <col min="2" max="2" width="3.28515625" customWidth="1"/>
    <col min="3" max="3" width="6.140625" style="1" customWidth="1"/>
    <col min="4" max="4" width="7.42578125" style="1" customWidth="1"/>
    <col min="5" max="5" width="5.85546875" style="1" customWidth="1"/>
    <col min="6" max="6" width="9.85546875" style="1" customWidth="1"/>
    <col min="7" max="7" width="7.85546875" style="1" customWidth="1"/>
    <col min="8" max="8" width="8.28515625" style="1" customWidth="1"/>
    <col min="9" max="9" width="9.140625" style="1" customWidth="1"/>
    <col min="10" max="10" width="6.140625" customWidth="1"/>
    <col min="11" max="11" width="6.5703125" style="2" customWidth="1"/>
    <col min="12" max="12" width="10.85546875" style="1" customWidth="1"/>
    <col min="13" max="13" width="6.5703125" style="1" customWidth="1"/>
    <col min="14" max="14" width="7.85546875" style="4" customWidth="1"/>
    <col min="15" max="15" width="12.42578125" style="5" customWidth="1"/>
    <col min="16" max="16" width="7.7109375" customWidth="1"/>
    <col min="17" max="17" width="12.42578125" customWidth="1"/>
    <col min="18" max="18" width="6.85546875" customWidth="1"/>
    <col min="19" max="19" width="6.85546875" style="6" customWidth="1"/>
    <col min="20" max="20" width="6.7109375" style="2" customWidth="1"/>
    <col min="21" max="21" width="8.28515625" style="1" customWidth="1"/>
    <col min="22" max="22" width="10.85546875" bestFit="1" customWidth="1"/>
    <col min="23" max="23" width="6.28515625" customWidth="1"/>
    <col min="24" max="24" width="11.7109375" customWidth="1"/>
    <col min="25" max="25" width="10.7109375" customWidth="1"/>
    <col min="26" max="27" width="5.5703125" customWidth="1"/>
    <col min="28" max="28" width="11.5703125" customWidth="1"/>
  </cols>
  <sheetData>
    <row r="2" spans="2:27" ht="15.75">
      <c r="L2" s="3" t="s">
        <v>0</v>
      </c>
    </row>
    <row r="3" spans="2:27" ht="17.25" customHeight="1" thickBot="1">
      <c r="L3" s="3" t="s">
        <v>179</v>
      </c>
      <c r="P3" s="7"/>
    </row>
    <row r="4" spans="2:27" s="1" customFormat="1" ht="42.6" customHeight="1" thickBot="1">
      <c r="B4" s="13" t="s">
        <v>1</v>
      </c>
      <c r="C4" s="14" t="s">
        <v>2</v>
      </c>
      <c r="D4" s="14" t="s">
        <v>3</v>
      </c>
      <c r="E4" s="14" t="s">
        <v>4</v>
      </c>
      <c r="F4" s="15" t="s">
        <v>5</v>
      </c>
      <c r="G4" s="16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14" t="s">
        <v>17</v>
      </c>
      <c r="S4" s="17" t="s">
        <v>18</v>
      </c>
      <c r="T4" s="14" t="s">
        <v>19</v>
      </c>
      <c r="U4" s="14" t="s">
        <v>20</v>
      </c>
      <c r="V4" s="14" t="s">
        <v>21</v>
      </c>
      <c r="W4" s="14" t="s">
        <v>22</v>
      </c>
      <c r="X4" s="14" t="s">
        <v>23</v>
      </c>
      <c r="Y4" s="14" t="s">
        <v>24</v>
      </c>
      <c r="Z4" s="14" t="s">
        <v>25</v>
      </c>
      <c r="AA4" s="18" t="s">
        <v>26</v>
      </c>
    </row>
    <row r="5" spans="2:27" ht="23.25" customHeight="1">
      <c r="B5" s="19">
        <v>1</v>
      </c>
      <c r="C5" s="9" t="s">
        <v>118</v>
      </c>
      <c r="D5" s="21" t="s">
        <v>105</v>
      </c>
      <c r="E5" s="10"/>
      <c r="F5" s="22" t="s">
        <v>119</v>
      </c>
      <c r="G5" s="9" t="s">
        <v>73</v>
      </c>
      <c r="H5" s="9" t="s">
        <v>74</v>
      </c>
      <c r="I5" s="9" t="s">
        <v>75</v>
      </c>
      <c r="J5" s="23">
        <v>801.22</v>
      </c>
      <c r="K5" s="24">
        <v>41884</v>
      </c>
      <c r="L5" s="25" t="s">
        <v>120</v>
      </c>
      <c r="M5" s="25" t="s">
        <v>77</v>
      </c>
      <c r="N5" s="9" t="s">
        <v>106</v>
      </c>
      <c r="O5" s="26" t="s">
        <v>121</v>
      </c>
      <c r="P5" s="27">
        <v>949286</v>
      </c>
      <c r="Q5" s="28">
        <f t="shared" ref="Q5:Q13" si="0">SUM(P5*S5)</f>
        <v>94216635.5</v>
      </c>
      <c r="R5" s="29" t="s">
        <v>27</v>
      </c>
      <c r="S5" s="8">
        <v>99.25</v>
      </c>
      <c r="T5" s="30">
        <f t="shared" ref="T5:T33" si="1">SUM(K5)+89</f>
        <v>41973</v>
      </c>
      <c r="U5" s="12" t="s">
        <v>78</v>
      </c>
      <c r="V5" s="31">
        <f t="shared" ref="V5:V33" si="2">SUM(Q5*0.12%)</f>
        <v>113059.96259999998</v>
      </c>
      <c r="W5" s="20">
        <v>155.75</v>
      </c>
      <c r="X5" s="32">
        <f t="shared" ref="X5:X33" si="3">SUM(V5*W5)</f>
        <v>17609089.174949996</v>
      </c>
      <c r="Y5" s="33">
        <v>0</v>
      </c>
      <c r="Z5" s="20"/>
      <c r="AA5" s="20"/>
    </row>
    <row r="6" spans="2:27" ht="24.75">
      <c r="B6" s="19">
        <f t="shared" ref="B6:B33" si="4">B5+1</f>
        <v>2</v>
      </c>
      <c r="C6" s="9" t="s">
        <v>122</v>
      </c>
      <c r="D6" s="21" t="s">
        <v>105</v>
      </c>
      <c r="E6" s="10"/>
      <c r="F6" s="22" t="s">
        <v>123</v>
      </c>
      <c r="G6" s="9" t="s">
        <v>88</v>
      </c>
      <c r="H6" s="9" t="s">
        <v>89</v>
      </c>
      <c r="I6" s="9" t="s">
        <v>55</v>
      </c>
      <c r="J6" s="23">
        <v>801.22</v>
      </c>
      <c r="K6" s="24">
        <v>41886</v>
      </c>
      <c r="L6" s="25" t="s">
        <v>124</v>
      </c>
      <c r="M6" s="25" t="s">
        <v>57</v>
      </c>
      <c r="N6" s="9" t="s">
        <v>32</v>
      </c>
      <c r="O6" s="12" t="s">
        <v>33</v>
      </c>
      <c r="P6" s="27">
        <v>949507</v>
      </c>
      <c r="Q6" s="28">
        <f t="shared" si="0"/>
        <v>95159591.539999992</v>
      </c>
      <c r="R6" s="29" t="s">
        <v>27</v>
      </c>
      <c r="S6" s="8">
        <v>100.22</v>
      </c>
      <c r="T6" s="30">
        <f t="shared" si="1"/>
        <v>41975</v>
      </c>
      <c r="U6" s="9" t="s">
        <v>88</v>
      </c>
      <c r="V6" s="31">
        <f t="shared" si="2"/>
        <v>114191.50984799999</v>
      </c>
      <c r="W6" s="20">
        <v>155.75</v>
      </c>
      <c r="X6" s="32">
        <f t="shared" si="3"/>
        <v>17785327.658825997</v>
      </c>
      <c r="Y6" s="33">
        <v>0</v>
      </c>
      <c r="Z6" s="20"/>
      <c r="AA6" s="20"/>
    </row>
    <row r="7" spans="2:27" ht="21.75" customHeight="1">
      <c r="B7" s="19">
        <f t="shared" si="4"/>
        <v>3</v>
      </c>
      <c r="C7" s="9" t="s">
        <v>125</v>
      </c>
      <c r="D7" s="21" t="s">
        <v>105</v>
      </c>
      <c r="E7" s="10"/>
      <c r="F7" s="22" t="s">
        <v>126</v>
      </c>
      <c r="G7" s="9" t="s">
        <v>35</v>
      </c>
      <c r="H7" s="9" t="s">
        <v>28</v>
      </c>
      <c r="I7" s="9" t="s">
        <v>29</v>
      </c>
      <c r="J7" s="23">
        <v>801.22</v>
      </c>
      <c r="K7" s="24">
        <v>41892</v>
      </c>
      <c r="L7" s="25" t="s">
        <v>127</v>
      </c>
      <c r="M7" s="25" t="s">
        <v>30</v>
      </c>
      <c r="N7" s="9" t="s">
        <v>106</v>
      </c>
      <c r="O7" s="26" t="s">
        <v>108</v>
      </c>
      <c r="P7" s="27">
        <v>950071</v>
      </c>
      <c r="Q7" s="28">
        <f t="shared" si="0"/>
        <v>93099357.432000011</v>
      </c>
      <c r="R7" s="29" t="s">
        <v>27</v>
      </c>
      <c r="S7" s="8">
        <v>97.992000000000004</v>
      </c>
      <c r="T7" s="30">
        <f t="shared" si="1"/>
        <v>41981</v>
      </c>
      <c r="U7" s="9" t="s">
        <v>31</v>
      </c>
      <c r="V7" s="31">
        <f t="shared" si="2"/>
        <v>111719.2289184</v>
      </c>
      <c r="W7" s="20">
        <v>155.75</v>
      </c>
      <c r="X7" s="32">
        <f t="shared" si="3"/>
        <v>17400269.904040799</v>
      </c>
      <c r="Y7" s="33">
        <v>0</v>
      </c>
      <c r="Z7" s="20"/>
      <c r="AA7" s="20"/>
    </row>
    <row r="8" spans="2:27" ht="21.75" customHeight="1">
      <c r="B8" s="19">
        <f t="shared" si="4"/>
        <v>4</v>
      </c>
      <c r="C8" s="9" t="s">
        <v>128</v>
      </c>
      <c r="D8" s="21" t="s">
        <v>105</v>
      </c>
      <c r="E8" s="10"/>
      <c r="F8" s="22" t="s">
        <v>129</v>
      </c>
      <c r="G8" s="9" t="s">
        <v>88</v>
      </c>
      <c r="H8" s="9" t="s">
        <v>89</v>
      </c>
      <c r="I8" s="9" t="s">
        <v>55</v>
      </c>
      <c r="J8" s="23">
        <v>801.22</v>
      </c>
      <c r="K8" s="24">
        <v>41897</v>
      </c>
      <c r="L8" s="25" t="s">
        <v>130</v>
      </c>
      <c r="M8" s="25" t="s">
        <v>57</v>
      </c>
      <c r="N8" s="9" t="s">
        <v>63</v>
      </c>
      <c r="O8" s="12" t="s">
        <v>64</v>
      </c>
      <c r="P8" s="27">
        <v>949448</v>
      </c>
      <c r="Q8" s="28">
        <f t="shared" si="0"/>
        <v>91879981.856000006</v>
      </c>
      <c r="R8" s="29" t="s">
        <v>27</v>
      </c>
      <c r="S8" s="8">
        <v>96.772000000000006</v>
      </c>
      <c r="T8" s="30">
        <f t="shared" si="1"/>
        <v>41986</v>
      </c>
      <c r="U8" s="9" t="s">
        <v>88</v>
      </c>
      <c r="V8" s="31">
        <f t="shared" si="2"/>
        <v>110255.9782272</v>
      </c>
      <c r="W8" s="20">
        <v>155.75</v>
      </c>
      <c r="X8" s="32">
        <f t="shared" si="3"/>
        <v>17172368.608886398</v>
      </c>
      <c r="Y8" s="33">
        <v>0</v>
      </c>
      <c r="Z8" s="20"/>
      <c r="AA8" s="20"/>
    </row>
    <row r="9" spans="2:27" ht="21.75" customHeight="1">
      <c r="B9" s="19">
        <f t="shared" si="4"/>
        <v>5</v>
      </c>
      <c r="C9" s="9" t="s">
        <v>131</v>
      </c>
      <c r="D9" s="21" t="s">
        <v>105</v>
      </c>
      <c r="E9" s="10"/>
      <c r="F9" s="22" t="s">
        <v>132</v>
      </c>
      <c r="G9" s="9" t="s">
        <v>43</v>
      </c>
      <c r="H9" s="9" t="s">
        <v>44</v>
      </c>
      <c r="I9" s="9" t="s">
        <v>45</v>
      </c>
      <c r="J9" s="23">
        <v>801.22</v>
      </c>
      <c r="K9" s="24">
        <v>41898</v>
      </c>
      <c r="L9" s="25" t="s">
        <v>116</v>
      </c>
      <c r="M9" s="25" t="s">
        <v>47</v>
      </c>
      <c r="N9" s="9" t="s">
        <v>48</v>
      </c>
      <c r="O9" s="12" t="s">
        <v>49</v>
      </c>
      <c r="P9" s="27">
        <v>702451</v>
      </c>
      <c r="Q9" s="28">
        <f t="shared" si="0"/>
        <v>63712305.700000003</v>
      </c>
      <c r="R9" s="29" t="s">
        <v>27</v>
      </c>
      <c r="S9" s="8">
        <v>90.7</v>
      </c>
      <c r="T9" s="30">
        <f t="shared" si="1"/>
        <v>41987</v>
      </c>
      <c r="U9" s="12" t="s">
        <v>35</v>
      </c>
      <c r="V9" s="31">
        <f t="shared" si="2"/>
        <v>76454.766839999997</v>
      </c>
      <c r="W9" s="20">
        <v>155.75</v>
      </c>
      <c r="X9" s="32">
        <f t="shared" si="3"/>
        <v>11907829.93533</v>
      </c>
      <c r="Y9" s="33">
        <v>0</v>
      </c>
      <c r="Z9" s="20"/>
      <c r="AA9" s="20"/>
    </row>
    <row r="10" spans="2:27" ht="21.75" customHeight="1">
      <c r="B10" s="19">
        <f t="shared" si="4"/>
        <v>6</v>
      </c>
      <c r="C10" s="9" t="s">
        <v>133</v>
      </c>
      <c r="D10" s="21" t="s">
        <v>105</v>
      </c>
      <c r="E10" s="10"/>
      <c r="F10" s="22" t="s">
        <v>134</v>
      </c>
      <c r="G10" s="9" t="s">
        <v>88</v>
      </c>
      <c r="H10" s="9" t="s">
        <v>89</v>
      </c>
      <c r="I10" s="9" t="s">
        <v>75</v>
      </c>
      <c r="J10" s="23">
        <v>801.22</v>
      </c>
      <c r="K10" s="24">
        <v>41901</v>
      </c>
      <c r="L10" s="25" t="s">
        <v>104</v>
      </c>
      <c r="M10" s="25" t="s">
        <v>77</v>
      </c>
      <c r="N10" s="9" t="s">
        <v>135</v>
      </c>
      <c r="O10" s="12" t="s">
        <v>114</v>
      </c>
      <c r="P10" s="27">
        <v>400000</v>
      </c>
      <c r="Q10" s="28">
        <f t="shared" si="0"/>
        <v>37936400</v>
      </c>
      <c r="R10" s="29" t="s">
        <v>27</v>
      </c>
      <c r="S10" s="8">
        <v>94.840999999999994</v>
      </c>
      <c r="T10" s="30">
        <f t="shared" si="1"/>
        <v>41990</v>
      </c>
      <c r="U10" s="9" t="s">
        <v>88</v>
      </c>
      <c r="V10" s="31">
        <f t="shared" si="2"/>
        <v>45523.679999999993</v>
      </c>
      <c r="W10" s="20">
        <v>155.75</v>
      </c>
      <c r="X10" s="32">
        <f t="shared" si="3"/>
        <v>7090313.1599999992</v>
      </c>
      <c r="Y10" s="33">
        <v>0</v>
      </c>
      <c r="Z10" s="20"/>
      <c r="AA10" s="20"/>
    </row>
    <row r="11" spans="2:27" ht="21.75" customHeight="1">
      <c r="B11" s="19">
        <f t="shared" si="4"/>
        <v>7</v>
      </c>
      <c r="C11" s="9" t="s">
        <v>136</v>
      </c>
      <c r="D11" s="21" t="s">
        <v>105</v>
      </c>
      <c r="E11" s="10"/>
      <c r="F11" s="22" t="s">
        <v>137</v>
      </c>
      <c r="G11" s="9" t="s">
        <v>88</v>
      </c>
      <c r="H11" s="9" t="s">
        <v>89</v>
      </c>
      <c r="I11" s="9" t="s">
        <v>75</v>
      </c>
      <c r="J11" s="23">
        <v>801.22</v>
      </c>
      <c r="K11" s="24">
        <v>41901</v>
      </c>
      <c r="L11" s="25" t="s">
        <v>104</v>
      </c>
      <c r="M11" s="25" t="s">
        <v>77</v>
      </c>
      <c r="N11" s="9" t="s">
        <v>135</v>
      </c>
      <c r="O11" s="12" t="s">
        <v>114</v>
      </c>
      <c r="P11" s="27">
        <v>548710</v>
      </c>
      <c r="Q11" s="28">
        <f t="shared" si="0"/>
        <v>52040205.109999999</v>
      </c>
      <c r="R11" s="29" t="s">
        <v>27</v>
      </c>
      <c r="S11" s="8">
        <v>94.840999999999994</v>
      </c>
      <c r="T11" s="30">
        <f t="shared" si="1"/>
        <v>41990</v>
      </c>
      <c r="U11" s="9" t="s">
        <v>88</v>
      </c>
      <c r="V11" s="31">
        <f t="shared" si="2"/>
        <v>62448.246131999993</v>
      </c>
      <c r="W11" s="20">
        <v>155.75</v>
      </c>
      <c r="X11" s="32">
        <f t="shared" si="3"/>
        <v>9726314.3350589983</v>
      </c>
      <c r="Y11" s="33">
        <v>0</v>
      </c>
      <c r="Z11" s="20"/>
      <c r="AA11" s="20"/>
    </row>
    <row r="12" spans="2:27" ht="21.75" customHeight="1">
      <c r="B12" s="19">
        <f t="shared" si="4"/>
        <v>8</v>
      </c>
      <c r="C12" s="9" t="s">
        <v>85</v>
      </c>
      <c r="D12" s="10" t="s">
        <v>86</v>
      </c>
      <c r="E12" s="24">
        <v>41912</v>
      </c>
      <c r="F12" s="22" t="s">
        <v>87</v>
      </c>
      <c r="G12" s="9" t="s">
        <v>88</v>
      </c>
      <c r="H12" s="9" t="s">
        <v>89</v>
      </c>
      <c r="I12" s="9" t="s">
        <v>55</v>
      </c>
      <c r="J12" s="23">
        <v>801.22</v>
      </c>
      <c r="K12" s="24">
        <v>41901</v>
      </c>
      <c r="L12" s="25" t="s">
        <v>90</v>
      </c>
      <c r="M12" s="34" t="s">
        <v>57</v>
      </c>
      <c r="N12" s="9" t="s">
        <v>63</v>
      </c>
      <c r="O12" s="12" t="s">
        <v>64</v>
      </c>
      <c r="P12" s="27">
        <v>40000</v>
      </c>
      <c r="Q12" s="28">
        <f t="shared" si="0"/>
        <v>3861640</v>
      </c>
      <c r="R12" s="29" t="s">
        <v>27</v>
      </c>
      <c r="S12" s="35">
        <v>96.540999999999997</v>
      </c>
      <c r="T12" s="30">
        <f t="shared" si="1"/>
        <v>41990</v>
      </c>
      <c r="U12" s="9" t="s">
        <v>88</v>
      </c>
      <c r="V12" s="31">
        <f t="shared" si="2"/>
        <v>4633.9679999999998</v>
      </c>
      <c r="W12" s="20">
        <v>155.75</v>
      </c>
      <c r="X12" s="32">
        <f t="shared" si="3"/>
        <v>721740.51599999995</v>
      </c>
      <c r="Y12" s="36">
        <f t="shared" ref="Y12:Y14" si="5">X12</f>
        <v>721740.51599999995</v>
      </c>
      <c r="Z12" s="20"/>
      <c r="AA12" s="20"/>
    </row>
    <row r="13" spans="2:27" ht="21.75" customHeight="1">
      <c r="B13" s="19">
        <f t="shared" si="4"/>
        <v>9</v>
      </c>
      <c r="C13" s="9" t="s">
        <v>91</v>
      </c>
      <c r="D13" s="10" t="s">
        <v>92</v>
      </c>
      <c r="E13" s="24">
        <v>41912</v>
      </c>
      <c r="F13" s="22" t="s">
        <v>93</v>
      </c>
      <c r="G13" s="9" t="s">
        <v>88</v>
      </c>
      <c r="H13" s="9" t="s">
        <v>89</v>
      </c>
      <c r="I13" s="9" t="s">
        <v>55</v>
      </c>
      <c r="J13" s="23">
        <v>801.22</v>
      </c>
      <c r="K13" s="24">
        <v>41901</v>
      </c>
      <c r="L13" s="25" t="s">
        <v>90</v>
      </c>
      <c r="M13" s="34" t="s">
        <v>57</v>
      </c>
      <c r="N13" s="9" t="s">
        <v>63</v>
      </c>
      <c r="O13" s="12" t="s">
        <v>64</v>
      </c>
      <c r="P13" s="27">
        <v>63000</v>
      </c>
      <c r="Q13" s="28">
        <f t="shared" si="0"/>
        <v>6082083</v>
      </c>
      <c r="R13" s="29" t="s">
        <v>27</v>
      </c>
      <c r="S13" s="35">
        <v>96.540999999999997</v>
      </c>
      <c r="T13" s="30">
        <f t="shared" si="1"/>
        <v>41990</v>
      </c>
      <c r="U13" s="9" t="s">
        <v>88</v>
      </c>
      <c r="V13" s="31">
        <f t="shared" si="2"/>
        <v>7298.4995999999992</v>
      </c>
      <c r="W13" s="20">
        <v>155.75</v>
      </c>
      <c r="X13" s="32">
        <f t="shared" si="3"/>
        <v>1136741.3126999999</v>
      </c>
      <c r="Y13" s="36">
        <f t="shared" si="5"/>
        <v>1136741.3126999999</v>
      </c>
      <c r="Z13" s="20"/>
      <c r="AA13" s="20"/>
    </row>
    <row r="14" spans="2:27" ht="21.75" customHeight="1">
      <c r="B14" s="19">
        <f t="shared" si="4"/>
        <v>10</v>
      </c>
      <c r="C14" s="9" t="s">
        <v>94</v>
      </c>
      <c r="D14" s="10" t="s">
        <v>95</v>
      </c>
      <c r="E14" s="24">
        <v>41912</v>
      </c>
      <c r="F14" s="22" t="s">
        <v>96</v>
      </c>
      <c r="G14" s="9" t="s">
        <v>88</v>
      </c>
      <c r="H14" s="9" t="s">
        <v>89</v>
      </c>
      <c r="I14" s="9" t="s">
        <v>55</v>
      </c>
      <c r="J14" s="23">
        <v>801.22</v>
      </c>
      <c r="K14" s="24">
        <v>41901</v>
      </c>
      <c r="L14" s="25" t="s">
        <v>90</v>
      </c>
      <c r="M14" s="34" t="s">
        <v>57</v>
      </c>
      <c r="N14" s="9" t="s">
        <v>63</v>
      </c>
      <c r="O14" s="12" t="s">
        <v>64</v>
      </c>
      <c r="P14" s="27">
        <v>145110</v>
      </c>
      <c r="Q14" s="28">
        <f t="shared" ref="Q14:Q33" si="6">SUM(P14*S14)</f>
        <v>14009064.51</v>
      </c>
      <c r="R14" s="29" t="s">
        <v>27</v>
      </c>
      <c r="S14" s="35">
        <v>96.540999999999997</v>
      </c>
      <c r="T14" s="30">
        <f t="shared" si="1"/>
        <v>41990</v>
      </c>
      <c r="U14" s="9" t="s">
        <v>88</v>
      </c>
      <c r="V14" s="31">
        <f t="shared" si="2"/>
        <v>16810.877411999998</v>
      </c>
      <c r="W14" s="20">
        <v>155.75</v>
      </c>
      <c r="X14" s="32">
        <f t="shared" si="3"/>
        <v>2618294.1569189997</v>
      </c>
      <c r="Y14" s="36">
        <f t="shared" si="5"/>
        <v>2618294.1569189997</v>
      </c>
      <c r="Z14" s="20"/>
      <c r="AA14" s="20"/>
    </row>
    <row r="15" spans="2:27" ht="21.75" customHeight="1">
      <c r="B15" s="19">
        <f t="shared" si="4"/>
        <v>11</v>
      </c>
      <c r="C15" s="9" t="s">
        <v>138</v>
      </c>
      <c r="D15" s="21" t="s">
        <v>105</v>
      </c>
      <c r="E15" s="10"/>
      <c r="F15" s="22" t="s">
        <v>139</v>
      </c>
      <c r="G15" s="9" t="s">
        <v>88</v>
      </c>
      <c r="H15" s="9" t="s">
        <v>89</v>
      </c>
      <c r="I15" s="9" t="s">
        <v>98</v>
      </c>
      <c r="J15" s="23">
        <v>801.22</v>
      </c>
      <c r="K15" s="24">
        <v>41902</v>
      </c>
      <c r="L15" s="25" t="s">
        <v>115</v>
      </c>
      <c r="M15" s="25" t="s">
        <v>99</v>
      </c>
      <c r="N15" s="9" t="s">
        <v>106</v>
      </c>
      <c r="O15" s="12" t="s">
        <v>111</v>
      </c>
      <c r="P15" s="27">
        <v>899925</v>
      </c>
      <c r="Q15" s="28">
        <f t="shared" si="6"/>
        <v>87182934.150000006</v>
      </c>
      <c r="R15" s="29" t="s">
        <v>27</v>
      </c>
      <c r="S15" s="35">
        <v>96.878</v>
      </c>
      <c r="T15" s="30">
        <f t="shared" si="1"/>
        <v>41991</v>
      </c>
      <c r="U15" s="9" t="s">
        <v>88</v>
      </c>
      <c r="V15" s="31">
        <f t="shared" si="2"/>
        <v>104619.52098</v>
      </c>
      <c r="W15" s="20">
        <v>155.75</v>
      </c>
      <c r="X15" s="32">
        <f t="shared" si="3"/>
        <v>16294490.392635001</v>
      </c>
      <c r="Y15" s="33">
        <v>0</v>
      </c>
      <c r="Z15" s="20"/>
      <c r="AA15" s="20"/>
    </row>
    <row r="16" spans="2:27" ht="24.75">
      <c r="B16" s="19">
        <f t="shared" si="4"/>
        <v>12</v>
      </c>
      <c r="C16" s="9" t="s">
        <v>140</v>
      </c>
      <c r="D16" s="21" t="s">
        <v>105</v>
      </c>
      <c r="E16" s="10"/>
      <c r="F16" s="11">
        <v>201400020016</v>
      </c>
      <c r="G16" s="9" t="s">
        <v>73</v>
      </c>
      <c r="H16" s="9" t="s">
        <v>74</v>
      </c>
      <c r="I16" s="9" t="s">
        <v>55</v>
      </c>
      <c r="J16" s="23">
        <v>801.22</v>
      </c>
      <c r="K16" s="24">
        <v>41904</v>
      </c>
      <c r="L16" s="25" t="s">
        <v>112</v>
      </c>
      <c r="M16" s="25" t="s">
        <v>57</v>
      </c>
      <c r="N16" s="9" t="s">
        <v>63</v>
      </c>
      <c r="O16" s="12" t="s">
        <v>141</v>
      </c>
      <c r="P16" s="27">
        <v>110000</v>
      </c>
      <c r="Q16" s="28">
        <f t="shared" si="6"/>
        <v>10484100</v>
      </c>
      <c r="R16" s="29" t="s">
        <v>27</v>
      </c>
      <c r="S16" s="8">
        <v>95.31</v>
      </c>
      <c r="T16" s="30">
        <f t="shared" si="1"/>
        <v>41993</v>
      </c>
      <c r="U16" s="12" t="s">
        <v>78</v>
      </c>
      <c r="V16" s="31">
        <f t="shared" si="2"/>
        <v>12580.919999999998</v>
      </c>
      <c r="W16" s="20">
        <v>155.75</v>
      </c>
      <c r="X16" s="32">
        <f t="shared" si="3"/>
        <v>1959478.2899999998</v>
      </c>
      <c r="Y16" s="33">
        <v>0</v>
      </c>
      <c r="Z16" s="20"/>
      <c r="AA16" s="20"/>
    </row>
    <row r="17" spans="2:27" ht="26.25">
      <c r="B17" s="19">
        <f t="shared" si="4"/>
        <v>13</v>
      </c>
      <c r="C17" s="9" t="s">
        <v>142</v>
      </c>
      <c r="D17" s="21" t="s">
        <v>105</v>
      </c>
      <c r="E17" s="10"/>
      <c r="F17" s="11">
        <v>201400010332</v>
      </c>
      <c r="G17" s="9" t="s">
        <v>35</v>
      </c>
      <c r="H17" s="9" t="s">
        <v>102</v>
      </c>
      <c r="I17" s="9" t="s">
        <v>55</v>
      </c>
      <c r="J17" s="23">
        <v>801.22</v>
      </c>
      <c r="K17" s="24">
        <v>41904</v>
      </c>
      <c r="L17" s="25" t="s">
        <v>112</v>
      </c>
      <c r="M17" s="25" t="s">
        <v>57</v>
      </c>
      <c r="N17" s="9" t="s">
        <v>63</v>
      </c>
      <c r="O17" s="12" t="s">
        <v>141</v>
      </c>
      <c r="P17" s="27">
        <v>555586</v>
      </c>
      <c r="Q17" s="28">
        <f t="shared" si="6"/>
        <v>52952901.660000004</v>
      </c>
      <c r="R17" s="29" t="s">
        <v>27</v>
      </c>
      <c r="S17" s="8">
        <v>95.31</v>
      </c>
      <c r="T17" s="30">
        <f t="shared" si="1"/>
        <v>41993</v>
      </c>
      <c r="U17" s="12" t="s">
        <v>31</v>
      </c>
      <c r="V17" s="31">
        <f t="shared" si="2"/>
        <v>63543.481992000001</v>
      </c>
      <c r="W17" s="20">
        <v>155.75</v>
      </c>
      <c r="X17" s="32">
        <f t="shared" si="3"/>
        <v>9896897.3202539999</v>
      </c>
      <c r="Y17" s="33">
        <v>0</v>
      </c>
      <c r="Z17" s="20"/>
      <c r="AA17" s="20"/>
    </row>
    <row r="18" spans="2:27" ht="24.75">
      <c r="B18" s="19">
        <f t="shared" si="4"/>
        <v>14</v>
      </c>
      <c r="C18" s="9" t="s">
        <v>143</v>
      </c>
      <c r="D18" s="21" t="s">
        <v>105</v>
      </c>
      <c r="E18" s="10"/>
      <c r="F18" s="11">
        <v>201400010402</v>
      </c>
      <c r="G18" s="9" t="s">
        <v>73</v>
      </c>
      <c r="H18" s="9" t="s">
        <v>100</v>
      </c>
      <c r="I18" s="9" t="s">
        <v>55</v>
      </c>
      <c r="J18" s="23">
        <v>801.22</v>
      </c>
      <c r="K18" s="24">
        <v>41904</v>
      </c>
      <c r="L18" s="25" t="s">
        <v>112</v>
      </c>
      <c r="M18" s="25" t="s">
        <v>57</v>
      </c>
      <c r="N18" s="9" t="s">
        <v>63</v>
      </c>
      <c r="O18" s="12" t="s">
        <v>141</v>
      </c>
      <c r="P18" s="27">
        <v>133872</v>
      </c>
      <c r="Q18" s="28">
        <f t="shared" si="6"/>
        <v>12759340.32</v>
      </c>
      <c r="R18" s="29" t="s">
        <v>27</v>
      </c>
      <c r="S18" s="8">
        <v>95.31</v>
      </c>
      <c r="T18" s="30">
        <f t="shared" si="1"/>
        <v>41993</v>
      </c>
      <c r="U18" s="9" t="s">
        <v>31</v>
      </c>
      <c r="V18" s="31">
        <f t="shared" si="2"/>
        <v>15311.208384</v>
      </c>
      <c r="W18" s="20">
        <v>155.75</v>
      </c>
      <c r="X18" s="32">
        <f t="shared" si="3"/>
        <v>2384720.7058079997</v>
      </c>
      <c r="Y18" s="33">
        <v>0</v>
      </c>
      <c r="Z18" s="20"/>
      <c r="AA18" s="20"/>
    </row>
    <row r="19" spans="2:27" ht="24.75">
      <c r="B19" s="19">
        <f t="shared" si="4"/>
        <v>15</v>
      </c>
      <c r="C19" s="9" t="s">
        <v>144</v>
      </c>
      <c r="D19" s="21" t="s">
        <v>105</v>
      </c>
      <c r="E19" s="10"/>
      <c r="F19" s="11">
        <v>201401010087</v>
      </c>
      <c r="G19" s="9" t="s">
        <v>53</v>
      </c>
      <c r="H19" s="9" t="s">
        <v>54</v>
      </c>
      <c r="I19" s="9" t="s">
        <v>55</v>
      </c>
      <c r="J19" s="23">
        <v>801.22</v>
      </c>
      <c r="K19" s="24">
        <v>41904</v>
      </c>
      <c r="L19" s="25" t="s">
        <v>112</v>
      </c>
      <c r="M19" s="25" t="s">
        <v>57</v>
      </c>
      <c r="N19" s="9" t="s">
        <v>63</v>
      </c>
      <c r="O19" s="12" t="s">
        <v>141</v>
      </c>
      <c r="P19" s="27">
        <v>20000</v>
      </c>
      <c r="Q19" s="28">
        <f t="shared" si="6"/>
        <v>1906200</v>
      </c>
      <c r="R19" s="29" t="s">
        <v>27</v>
      </c>
      <c r="S19" s="8">
        <v>95.31</v>
      </c>
      <c r="T19" s="30">
        <f t="shared" si="1"/>
        <v>41993</v>
      </c>
      <c r="U19" s="9" t="s">
        <v>53</v>
      </c>
      <c r="V19" s="31">
        <f t="shared" si="2"/>
        <v>2287.4399999999996</v>
      </c>
      <c r="W19" s="20">
        <v>155.75</v>
      </c>
      <c r="X19" s="32">
        <f t="shared" si="3"/>
        <v>356268.77999999991</v>
      </c>
      <c r="Y19" s="33">
        <v>0</v>
      </c>
      <c r="Z19" s="20"/>
      <c r="AA19" s="20"/>
    </row>
    <row r="20" spans="2:27" ht="24.75">
      <c r="B20" s="19">
        <f t="shared" si="4"/>
        <v>16</v>
      </c>
      <c r="C20" s="9" t="s">
        <v>145</v>
      </c>
      <c r="D20" s="21" t="s">
        <v>105</v>
      </c>
      <c r="E20" s="10"/>
      <c r="F20" s="11">
        <v>201401010088</v>
      </c>
      <c r="G20" s="9" t="s">
        <v>53</v>
      </c>
      <c r="H20" s="9" t="s">
        <v>54</v>
      </c>
      <c r="I20" s="9" t="s">
        <v>55</v>
      </c>
      <c r="J20" s="23">
        <v>801.22</v>
      </c>
      <c r="K20" s="24">
        <v>41904</v>
      </c>
      <c r="L20" s="25" t="s">
        <v>112</v>
      </c>
      <c r="M20" s="25" t="s">
        <v>57</v>
      </c>
      <c r="N20" s="9" t="s">
        <v>63</v>
      </c>
      <c r="O20" s="12" t="s">
        <v>141</v>
      </c>
      <c r="P20" s="27">
        <v>18000</v>
      </c>
      <c r="Q20" s="28">
        <f t="shared" si="6"/>
        <v>1715580</v>
      </c>
      <c r="R20" s="29" t="s">
        <v>27</v>
      </c>
      <c r="S20" s="8">
        <v>95.31</v>
      </c>
      <c r="T20" s="30">
        <f t="shared" si="1"/>
        <v>41993</v>
      </c>
      <c r="U20" s="9" t="s">
        <v>53</v>
      </c>
      <c r="V20" s="31">
        <f t="shared" si="2"/>
        <v>2058.6959999999999</v>
      </c>
      <c r="W20" s="20">
        <v>155.75</v>
      </c>
      <c r="X20" s="32">
        <f t="shared" si="3"/>
        <v>320641.902</v>
      </c>
      <c r="Y20" s="33">
        <v>0</v>
      </c>
      <c r="Z20" s="20"/>
      <c r="AA20" s="20"/>
    </row>
    <row r="21" spans="2:27" ht="24.75">
      <c r="B21" s="19">
        <f t="shared" si="4"/>
        <v>17</v>
      </c>
      <c r="C21" s="9" t="s">
        <v>146</v>
      </c>
      <c r="D21" s="21" t="s">
        <v>105</v>
      </c>
      <c r="E21" s="10"/>
      <c r="F21" s="22" t="s">
        <v>147</v>
      </c>
      <c r="G21" s="9" t="s">
        <v>69</v>
      </c>
      <c r="H21" s="9" t="s">
        <v>54</v>
      </c>
      <c r="I21" s="9" t="s">
        <v>55</v>
      </c>
      <c r="J21" s="23">
        <v>801.22</v>
      </c>
      <c r="K21" s="24">
        <v>41904</v>
      </c>
      <c r="L21" s="25" t="s">
        <v>112</v>
      </c>
      <c r="M21" s="25" t="s">
        <v>57</v>
      </c>
      <c r="N21" s="9" t="s">
        <v>63</v>
      </c>
      <c r="O21" s="12" t="s">
        <v>141</v>
      </c>
      <c r="P21" s="27">
        <v>24000</v>
      </c>
      <c r="Q21" s="28">
        <f t="shared" si="6"/>
        <v>2287440</v>
      </c>
      <c r="R21" s="29" t="s">
        <v>27</v>
      </c>
      <c r="S21" s="8">
        <v>95.31</v>
      </c>
      <c r="T21" s="30">
        <f t="shared" si="1"/>
        <v>41993</v>
      </c>
      <c r="U21" s="9" t="s">
        <v>53</v>
      </c>
      <c r="V21" s="31">
        <f t="shared" si="2"/>
        <v>2744.9279999999999</v>
      </c>
      <c r="W21" s="20">
        <v>155.75</v>
      </c>
      <c r="X21" s="32">
        <f t="shared" si="3"/>
        <v>427522.53599999996</v>
      </c>
      <c r="Y21" s="33">
        <v>0</v>
      </c>
      <c r="Z21" s="20"/>
      <c r="AA21" s="20"/>
    </row>
    <row r="22" spans="2:27" ht="26.25">
      <c r="B22" s="19">
        <f t="shared" si="4"/>
        <v>18</v>
      </c>
      <c r="C22" s="9" t="s">
        <v>148</v>
      </c>
      <c r="D22" s="21" t="s">
        <v>105</v>
      </c>
      <c r="E22" s="10"/>
      <c r="F22" s="22" t="s">
        <v>149</v>
      </c>
      <c r="G22" s="9" t="s">
        <v>109</v>
      </c>
      <c r="H22" s="9" t="s">
        <v>117</v>
      </c>
      <c r="I22" s="9" t="s">
        <v>55</v>
      </c>
      <c r="J22" s="23">
        <v>801.22</v>
      </c>
      <c r="K22" s="24">
        <v>41904</v>
      </c>
      <c r="L22" s="25" t="s">
        <v>112</v>
      </c>
      <c r="M22" s="25" t="s">
        <v>57</v>
      </c>
      <c r="N22" s="9" t="s">
        <v>63</v>
      </c>
      <c r="O22" s="12" t="s">
        <v>141</v>
      </c>
      <c r="P22" s="27">
        <v>88000</v>
      </c>
      <c r="Q22" s="28">
        <f t="shared" si="6"/>
        <v>8387280</v>
      </c>
      <c r="R22" s="29" t="s">
        <v>27</v>
      </c>
      <c r="S22" s="8">
        <v>95.31</v>
      </c>
      <c r="T22" s="30">
        <f t="shared" si="1"/>
        <v>41993</v>
      </c>
      <c r="U22" s="12" t="s">
        <v>110</v>
      </c>
      <c r="V22" s="31">
        <f t="shared" si="2"/>
        <v>10064.735999999999</v>
      </c>
      <c r="W22" s="20">
        <v>155.75</v>
      </c>
      <c r="X22" s="32">
        <f t="shared" si="3"/>
        <v>1567582.6319999998</v>
      </c>
      <c r="Y22" s="33">
        <v>0</v>
      </c>
      <c r="Z22" s="20"/>
      <c r="AA22" s="20"/>
    </row>
    <row r="23" spans="2:27" ht="21.75" customHeight="1">
      <c r="B23" s="19">
        <f t="shared" si="4"/>
        <v>19</v>
      </c>
      <c r="C23" s="9" t="s">
        <v>150</v>
      </c>
      <c r="D23" s="21" t="s">
        <v>105</v>
      </c>
      <c r="E23" s="10"/>
      <c r="F23" s="22" t="s">
        <v>151</v>
      </c>
      <c r="G23" s="9" t="s">
        <v>88</v>
      </c>
      <c r="H23" s="9" t="s">
        <v>89</v>
      </c>
      <c r="I23" s="9" t="s">
        <v>29</v>
      </c>
      <c r="J23" s="23">
        <v>801.22</v>
      </c>
      <c r="K23" s="24">
        <v>41910</v>
      </c>
      <c r="L23" s="25" t="s">
        <v>113</v>
      </c>
      <c r="M23" s="25" t="s">
        <v>30</v>
      </c>
      <c r="N23" s="9" t="s">
        <v>63</v>
      </c>
      <c r="O23" s="12" t="s">
        <v>107</v>
      </c>
      <c r="P23" s="27">
        <v>474935</v>
      </c>
      <c r="Q23" s="28">
        <f t="shared" si="6"/>
        <v>45676873.625</v>
      </c>
      <c r="R23" s="29" t="s">
        <v>27</v>
      </c>
      <c r="S23" s="35">
        <v>96.174999999999997</v>
      </c>
      <c r="T23" s="30">
        <f t="shared" si="1"/>
        <v>41999</v>
      </c>
      <c r="U23" s="12" t="s">
        <v>88</v>
      </c>
      <c r="V23" s="31">
        <f t="shared" si="2"/>
        <v>54812.248349999994</v>
      </c>
      <c r="W23" s="20">
        <v>155.75</v>
      </c>
      <c r="X23" s="32">
        <f t="shared" si="3"/>
        <v>8537007.6805124991</v>
      </c>
      <c r="Y23" s="33">
        <v>0</v>
      </c>
      <c r="Z23" s="20"/>
      <c r="AA23" s="20"/>
    </row>
    <row r="24" spans="2:27" ht="21.75" customHeight="1">
      <c r="B24" s="19">
        <f t="shared" si="4"/>
        <v>20</v>
      </c>
      <c r="C24" s="9" t="s">
        <v>152</v>
      </c>
      <c r="D24" s="21" t="s">
        <v>105</v>
      </c>
      <c r="E24" s="10"/>
      <c r="F24" s="22" t="s">
        <v>153</v>
      </c>
      <c r="G24" s="9" t="s">
        <v>88</v>
      </c>
      <c r="H24" s="9" t="s">
        <v>89</v>
      </c>
      <c r="I24" s="9" t="s">
        <v>29</v>
      </c>
      <c r="J24" s="23">
        <v>801.22</v>
      </c>
      <c r="K24" s="24">
        <v>41910</v>
      </c>
      <c r="L24" s="25" t="s">
        <v>113</v>
      </c>
      <c r="M24" s="25" t="s">
        <v>30</v>
      </c>
      <c r="N24" s="9" t="s">
        <v>63</v>
      </c>
      <c r="O24" s="12" t="s">
        <v>107</v>
      </c>
      <c r="P24" s="27">
        <v>475000</v>
      </c>
      <c r="Q24" s="28">
        <f t="shared" si="6"/>
        <v>45683125</v>
      </c>
      <c r="R24" s="29" t="s">
        <v>27</v>
      </c>
      <c r="S24" s="35">
        <v>96.174999999999997</v>
      </c>
      <c r="T24" s="30">
        <f t="shared" si="1"/>
        <v>41999</v>
      </c>
      <c r="U24" s="12" t="s">
        <v>88</v>
      </c>
      <c r="V24" s="31">
        <f t="shared" si="2"/>
        <v>54819.749999999993</v>
      </c>
      <c r="W24" s="20">
        <v>155.75</v>
      </c>
      <c r="X24" s="32">
        <f t="shared" si="3"/>
        <v>8538176.0624999981</v>
      </c>
      <c r="Y24" s="33">
        <v>0</v>
      </c>
      <c r="Z24" s="20"/>
      <c r="AA24" s="20"/>
    </row>
    <row r="25" spans="2:27" ht="21.75" customHeight="1">
      <c r="B25" s="19">
        <f t="shared" si="4"/>
        <v>21</v>
      </c>
      <c r="C25" s="9" t="s">
        <v>154</v>
      </c>
      <c r="D25" s="21" t="s">
        <v>105</v>
      </c>
      <c r="E25" s="10"/>
      <c r="F25" s="22" t="s">
        <v>155</v>
      </c>
      <c r="G25" s="9" t="s">
        <v>53</v>
      </c>
      <c r="H25" s="9" t="s">
        <v>97</v>
      </c>
      <c r="I25" s="9" t="s">
        <v>75</v>
      </c>
      <c r="J25" s="23">
        <v>801.22</v>
      </c>
      <c r="K25" s="24">
        <v>41910</v>
      </c>
      <c r="L25" s="25" t="s">
        <v>156</v>
      </c>
      <c r="M25" s="25" t="s">
        <v>77</v>
      </c>
      <c r="N25" s="9" t="s">
        <v>101</v>
      </c>
      <c r="O25" s="12" t="s">
        <v>157</v>
      </c>
      <c r="P25" s="27">
        <v>398587</v>
      </c>
      <c r="Q25" s="28">
        <f t="shared" si="6"/>
        <v>37309736.134999998</v>
      </c>
      <c r="R25" s="29" t="s">
        <v>27</v>
      </c>
      <c r="S25" s="35">
        <v>93.605000000000004</v>
      </c>
      <c r="T25" s="30">
        <f t="shared" si="1"/>
        <v>41999</v>
      </c>
      <c r="U25" s="12" t="s">
        <v>53</v>
      </c>
      <c r="V25" s="31">
        <f t="shared" si="2"/>
        <v>44771.683361999996</v>
      </c>
      <c r="W25" s="20">
        <v>155.75</v>
      </c>
      <c r="X25" s="32">
        <f t="shared" si="3"/>
        <v>6973189.6836314993</v>
      </c>
      <c r="Y25" s="33">
        <v>0</v>
      </c>
      <c r="Z25" s="20"/>
      <c r="AA25" s="20"/>
    </row>
    <row r="26" spans="2:27" ht="24.75">
      <c r="B26" s="19">
        <f t="shared" si="4"/>
        <v>22</v>
      </c>
      <c r="C26" s="9" t="s">
        <v>158</v>
      </c>
      <c r="D26" s="21" t="s">
        <v>105</v>
      </c>
      <c r="E26" s="10"/>
      <c r="F26" s="22" t="s">
        <v>159</v>
      </c>
      <c r="G26" s="9" t="s">
        <v>88</v>
      </c>
      <c r="H26" s="9" t="s">
        <v>89</v>
      </c>
      <c r="I26" s="9" t="s">
        <v>55</v>
      </c>
      <c r="J26" s="23">
        <v>801.22</v>
      </c>
      <c r="K26" s="24">
        <v>41911</v>
      </c>
      <c r="L26" s="25" t="s">
        <v>160</v>
      </c>
      <c r="M26" s="25" t="s">
        <v>57</v>
      </c>
      <c r="N26" s="9" t="s">
        <v>103</v>
      </c>
      <c r="O26" s="12" t="s">
        <v>161</v>
      </c>
      <c r="P26" s="27">
        <v>60000</v>
      </c>
      <c r="Q26" s="28">
        <f t="shared" si="6"/>
        <v>5710560</v>
      </c>
      <c r="R26" s="29" t="s">
        <v>27</v>
      </c>
      <c r="S26" s="35">
        <v>95.176000000000002</v>
      </c>
      <c r="T26" s="30">
        <f t="shared" si="1"/>
        <v>42000</v>
      </c>
      <c r="U26" s="9" t="s">
        <v>88</v>
      </c>
      <c r="V26" s="31">
        <f t="shared" si="2"/>
        <v>6852.6719999999996</v>
      </c>
      <c r="W26" s="20">
        <v>155.75</v>
      </c>
      <c r="X26" s="32">
        <f t="shared" si="3"/>
        <v>1067303.6639999999</v>
      </c>
      <c r="Y26" s="33">
        <v>0</v>
      </c>
      <c r="Z26" s="20"/>
      <c r="AA26" s="20"/>
    </row>
    <row r="27" spans="2:27" ht="24.75">
      <c r="B27" s="19">
        <f t="shared" si="4"/>
        <v>23</v>
      </c>
      <c r="C27" s="9" t="s">
        <v>162</v>
      </c>
      <c r="D27" s="21" t="s">
        <v>105</v>
      </c>
      <c r="E27" s="10"/>
      <c r="F27" s="22" t="s">
        <v>163</v>
      </c>
      <c r="G27" s="9" t="s">
        <v>88</v>
      </c>
      <c r="H27" s="9" t="s">
        <v>89</v>
      </c>
      <c r="I27" s="9" t="s">
        <v>55</v>
      </c>
      <c r="J27" s="23">
        <v>801.22</v>
      </c>
      <c r="K27" s="24">
        <v>41911</v>
      </c>
      <c r="L27" s="25" t="s">
        <v>160</v>
      </c>
      <c r="M27" s="25" t="s">
        <v>57</v>
      </c>
      <c r="N27" s="9" t="s">
        <v>103</v>
      </c>
      <c r="O27" s="12" t="s">
        <v>161</v>
      </c>
      <c r="P27" s="27">
        <v>90000</v>
      </c>
      <c r="Q27" s="28">
        <f t="shared" si="6"/>
        <v>8565840</v>
      </c>
      <c r="R27" s="29" t="s">
        <v>27</v>
      </c>
      <c r="S27" s="35">
        <v>95.176000000000002</v>
      </c>
      <c r="T27" s="30">
        <f t="shared" si="1"/>
        <v>42000</v>
      </c>
      <c r="U27" s="9" t="s">
        <v>88</v>
      </c>
      <c r="V27" s="31">
        <f t="shared" si="2"/>
        <v>10279.008</v>
      </c>
      <c r="W27" s="20">
        <v>155.75</v>
      </c>
      <c r="X27" s="32">
        <f t="shared" si="3"/>
        <v>1600955.496</v>
      </c>
      <c r="Y27" s="33">
        <v>0</v>
      </c>
      <c r="Z27" s="20"/>
      <c r="AA27" s="20"/>
    </row>
    <row r="28" spans="2:27" ht="24.75">
      <c r="B28" s="19">
        <f t="shared" si="4"/>
        <v>24</v>
      </c>
      <c r="C28" s="9" t="s">
        <v>164</v>
      </c>
      <c r="D28" s="21" t="s">
        <v>105</v>
      </c>
      <c r="E28" s="10"/>
      <c r="F28" s="22" t="s">
        <v>165</v>
      </c>
      <c r="G28" s="9" t="s">
        <v>88</v>
      </c>
      <c r="H28" s="9" t="s">
        <v>89</v>
      </c>
      <c r="I28" s="9" t="s">
        <v>55</v>
      </c>
      <c r="J28" s="23">
        <v>801.22</v>
      </c>
      <c r="K28" s="24">
        <v>41911</v>
      </c>
      <c r="L28" s="25" t="s">
        <v>160</v>
      </c>
      <c r="M28" s="25" t="s">
        <v>57</v>
      </c>
      <c r="N28" s="9" t="s">
        <v>103</v>
      </c>
      <c r="O28" s="12" t="s">
        <v>161</v>
      </c>
      <c r="P28" s="27">
        <v>110000</v>
      </c>
      <c r="Q28" s="28">
        <f t="shared" si="6"/>
        <v>10469360</v>
      </c>
      <c r="R28" s="29" t="s">
        <v>27</v>
      </c>
      <c r="S28" s="35">
        <v>95.176000000000002</v>
      </c>
      <c r="T28" s="30">
        <f t="shared" si="1"/>
        <v>42000</v>
      </c>
      <c r="U28" s="9" t="s">
        <v>88</v>
      </c>
      <c r="V28" s="31">
        <f t="shared" si="2"/>
        <v>12563.231999999998</v>
      </c>
      <c r="W28" s="20">
        <v>155.75</v>
      </c>
      <c r="X28" s="32">
        <f t="shared" si="3"/>
        <v>1956723.3839999996</v>
      </c>
      <c r="Y28" s="33">
        <v>0</v>
      </c>
      <c r="Z28" s="20"/>
      <c r="AA28" s="20"/>
    </row>
    <row r="29" spans="2:27" ht="24.75">
      <c r="B29" s="19">
        <f t="shared" si="4"/>
        <v>25</v>
      </c>
      <c r="C29" s="9" t="s">
        <v>166</v>
      </c>
      <c r="D29" s="21" t="s">
        <v>105</v>
      </c>
      <c r="E29" s="10"/>
      <c r="F29" s="22" t="s">
        <v>167</v>
      </c>
      <c r="G29" s="9" t="s">
        <v>88</v>
      </c>
      <c r="H29" s="9" t="s">
        <v>89</v>
      </c>
      <c r="I29" s="9" t="s">
        <v>55</v>
      </c>
      <c r="J29" s="23">
        <v>801.22</v>
      </c>
      <c r="K29" s="24">
        <v>41911</v>
      </c>
      <c r="L29" s="25" t="s">
        <v>160</v>
      </c>
      <c r="M29" s="25" t="s">
        <v>57</v>
      </c>
      <c r="N29" s="9" t="s">
        <v>103</v>
      </c>
      <c r="O29" s="12" t="s">
        <v>161</v>
      </c>
      <c r="P29" s="27">
        <v>76000</v>
      </c>
      <c r="Q29" s="28">
        <f t="shared" si="6"/>
        <v>7233376</v>
      </c>
      <c r="R29" s="29" t="s">
        <v>27</v>
      </c>
      <c r="S29" s="35">
        <v>95.176000000000002</v>
      </c>
      <c r="T29" s="30">
        <f t="shared" si="1"/>
        <v>42000</v>
      </c>
      <c r="U29" s="9" t="s">
        <v>88</v>
      </c>
      <c r="V29" s="31">
        <f t="shared" si="2"/>
        <v>8680.0511999999999</v>
      </c>
      <c r="W29" s="20">
        <v>155.75</v>
      </c>
      <c r="X29" s="32">
        <f t="shared" si="3"/>
        <v>1351917.9743999999</v>
      </c>
      <c r="Y29" s="33">
        <v>0</v>
      </c>
      <c r="Z29" s="20"/>
      <c r="AA29" s="20"/>
    </row>
    <row r="30" spans="2:27" ht="24.75">
      <c r="B30" s="19">
        <f t="shared" si="4"/>
        <v>26</v>
      </c>
      <c r="C30" s="9" t="s">
        <v>168</v>
      </c>
      <c r="D30" s="21" t="s">
        <v>105</v>
      </c>
      <c r="E30" s="10"/>
      <c r="F30" s="22" t="s">
        <v>169</v>
      </c>
      <c r="G30" s="9" t="s">
        <v>88</v>
      </c>
      <c r="H30" s="9" t="s">
        <v>89</v>
      </c>
      <c r="I30" s="9" t="s">
        <v>55</v>
      </c>
      <c r="J30" s="23">
        <v>801.22</v>
      </c>
      <c r="K30" s="24">
        <v>41911</v>
      </c>
      <c r="L30" s="25" t="s">
        <v>160</v>
      </c>
      <c r="M30" s="25" t="s">
        <v>57</v>
      </c>
      <c r="N30" s="9" t="s">
        <v>103</v>
      </c>
      <c r="O30" s="12" t="s">
        <v>161</v>
      </c>
      <c r="P30" s="27">
        <v>200000</v>
      </c>
      <c r="Q30" s="28">
        <f t="shared" si="6"/>
        <v>19035200</v>
      </c>
      <c r="R30" s="29" t="s">
        <v>27</v>
      </c>
      <c r="S30" s="35">
        <v>95.176000000000002</v>
      </c>
      <c r="T30" s="30">
        <f t="shared" si="1"/>
        <v>42000</v>
      </c>
      <c r="U30" s="9" t="s">
        <v>88</v>
      </c>
      <c r="V30" s="31">
        <f t="shared" si="2"/>
        <v>22842.239999999998</v>
      </c>
      <c r="W30" s="20">
        <v>155.75</v>
      </c>
      <c r="X30" s="32">
        <f t="shared" si="3"/>
        <v>3557678.88</v>
      </c>
      <c r="Y30" s="33">
        <v>0</v>
      </c>
      <c r="Z30" s="20"/>
      <c r="AA30" s="20"/>
    </row>
    <row r="31" spans="2:27" ht="24.75">
      <c r="B31" s="19">
        <f t="shared" si="4"/>
        <v>27</v>
      </c>
      <c r="C31" s="9" t="s">
        <v>170</v>
      </c>
      <c r="D31" s="21" t="s">
        <v>105</v>
      </c>
      <c r="E31" s="10"/>
      <c r="F31" s="22" t="s">
        <v>171</v>
      </c>
      <c r="G31" s="9" t="s">
        <v>88</v>
      </c>
      <c r="H31" s="9" t="s">
        <v>89</v>
      </c>
      <c r="I31" s="9" t="s">
        <v>55</v>
      </c>
      <c r="J31" s="23">
        <v>801.22</v>
      </c>
      <c r="K31" s="24">
        <v>41911</v>
      </c>
      <c r="L31" s="25" t="s">
        <v>160</v>
      </c>
      <c r="M31" s="25" t="s">
        <v>57</v>
      </c>
      <c r="N31" s="9" t="s">
        <v>103</v>
      </c>
      <c r="O31" s="12" t="s">
        <v>161</v>
      </c>
      <c r="P31" s="27">
        <v>200000</v>
      </c>
      <c r="Q31" s="28">
        <f t="shared" si="6"/>
        <v>19035200</v>
      </c>
      <c r="R31" s="29" t="s">
        <v>27</v>
      </c>
      <c r="S31" s="35">
        <v>95.176000000000002</v>
      </c>
      <c r="T31" s="30">
        <f t="shared" si="1"/>
        <v>42000</v>
      </c>
      <c r="U31" s="9" t="s">
        <v>88</v>
      </c>
      <c r="V31" s="31">
        <f t="shared" si="2"/>
        <v>22842.239999999998</v>
      </c>
      <c r="W31" s="20">
        <v>155.75</v>
      </c>
      <c r="X31" s="32">
        <f t="shared" si="3"/>
        <v>3557678.88</v>
      </c>
      <c r="Y31" s="33">
        <v>0</v>
      </c>
      <c r="Z31" s="20"/>
      <c r="AA31" s="20"/>
    </row>
    <row r="32" spans="2:27" ht="24.75">
      <c r="B32" s="19">
        <f t="shared" si="4"/>
        <v>28</v>
      </c>
      <c r="C32" s="9" t="s">
        <v>172</v>
      </c>
      <c r="D32" s="21" t="s">
        <v>105</v>
      </c>
      <c r="E32" s="10"/>
      <c r="F32" s="22" t="s">
        <v>173</v>
      </c>
      <c r="G32" s="9" t="s">
        <v>88</v>
      </c>
      <c r="H32" s="9" t="s">
        <v>89</v>
      </c>
      <c r="I32" s="9" t="s">
        <v>55</v>
      </c>
      <c r="J32" s="23">
        <v>801.22</v>
      </c>
      <c r="K32" s="24">
        <v>41911</v>
      </c>
      <c r="L32" s="25" t="s">
        <v>160</v>
      </c>
      <c r="M32" s="25" t="s">
        <v>57</v>
      </c>
      <c r="N32" s="9" t="s">
        <v>103</v>
      </c>
      <c r="O32" s="12" t="s">
        <v>161</v>
      </c>
      <c r="P32" s="27">
        <v>200000</v>
      </c>
      <c r="Q32" s="28">
        <f t="shared" si="6"/>
        <v>19035200</v>
      </c>
      <c r="R32" s="29" t="s">
        <v>27</v>
      </c>
      <c r="S32" s="35">
        <v>95.176000000000002</v>
      </c>
      <c r="T32" s="30">
        <f t="shared" si="1"/>
        <v>42000</v>
      </c>
      <c r="U32" s="9" t="s">
        <v>88</v>
      </c>
      <c r="V32" s="37">
        <f t="shared" si="2"/>
        <v>22842.239999999998</v>
      </c>
      <c r="W32" s="20">
        <v>155.75</v>
      </c>
      <c r="X32" s="28">
        <f t="shared" si="3"/>
        <v>3557678.88</v>
      </c>
      <c r="Y32" s="38">
        <v>0</v>
      </c>
      <c r="Z32" s="20"/>
      <c r="AA32" s="20"/>
    </row>
    <row r="33" spans="2:27" ht="25.5" thickBot="1">
      <c r="B33" s="19">
        <f t="shared" si="4"/>
        <v>29</v>
      </c>
      <c r="C33" s="9" t="s">
        <v>174</v>
      </c>
      <c r="D33" s="21" t="s">
        <v>105</v>
      </c>
      <c r="E33" s="10"/>
      <c r="F33" s="22" t="s">
        <v>175</v>
      </c>
      <c r="G33" s="9" t="s">
        <v>88</v>
      </c>
      <c r="H33" s="9" t="s">
        <v>89</v>
      </c>
      <c r="I33" s="9" t="s">
        <v>55</v>
      </c>
      <c r="J33" s="23">
        <v>801.22</v>
      </c>
      <c r="K33" s="24">
        <v>41911</v>
      </c>
      <c r="L33" s="25" t="s">
        <v>160</v>
      </c>
      <c r="M33" s="25" t="s">
        <v>57</v>
      </c>
      <c r="N33" s="9" t="s">
        <v>103</v>
      </c>
      <c r="O33" s="12" t="s">
        <v>161</v>
      </c>
      <c r="P33" s="27">
        <v>13605</v>
      </c>
      <c r="Q33" s="28">
        <f t="shared" si="6"/>
        <v>1294869.48</v>
      </c>
      <c r="R33" s="29" t="s">
        <v>27</v>
      </c>
      <c r="S33" s="35">
        <v>95.176000000000002</v>
      </c>
      <c r="T33" s="30">
        <f t="shared" si="1"/>
        <v>42000</v>
      </c>
      <c r="U33" s="9" t="s">
        <v>88</v>
      </c>
      <c r="V33" s="37">
        <f t="shared" si="2"/>
        <v>1553.8433759999998</v>
      </c>
      <c r="W33" s="20">
        <v>155.75</v>
      </c>
      <c r="X33" s="28">
        <f t="shared" si="3"/>
        <v>242011.10581199997</v>
      </c>
      <c r="Y33" s="38">
        <v>0</v>
      </c>
      <c r="Z33" s="20"/>
      <c r="AA33" s="20"/>
    </row>
    <row r="34" spans="2:27" ht="15.75" thickBot="1">
      <c r="B34" s="39"/>
      <c r="C34" s="40"/>
      <c r="D34" s="40"/>
      <c r="E34" s="40"/>
      <c r="F34" s="40"/>
      <c r="G34" s="40"/>
      <c r="H34" s="40"/>
      <c r="I34" s="40"/>
      <c r="J34" s="39"/>
      <c r="K34" s="41"/>
      <c r="L34" s="40"/>
      <c r="M34" s="40"/>
      <c r="N34" s="42"/>
      <c r="O34" s="43"/>
      <c r="P34" s="44">
        <f>SUM(P5:P33)</f>
        <v>9845093</v>
      </c>
      <c r="Q34" s="45">
        <f>SUM(Q5:Q33)</f>
        <v>948722381.01800001</v>
      </c>
      <c r="R34" s="46"/>
      <c r="S34" s="47"/>
      <c r="T34" s="48"/>
      <c r="U34" s="49"/>
      <c r="V34" s="45">
        <f>SUM(V5:V33)</f>
        <v>1138466.8572216001</v>
      </c>
      <c r="W34" s="46"/>
      <c r="X34" s="45">
        <f>SUM(X5:X33)</f>
        <v>177316213.01226425</v>
      </c>
      <c r="Y34" s="45">
        <f>SUM(Y5:Y33)</f>
        <v>4476775.9856189992</v>
      </c>
      <c r="Z34" s="39"/>
      <c r="AA34" s="39"/>
    </row>
  </sheetData>
  <pageMargins left="0" right="0" top="0" bottom="0" header="0.31496062992125984" footer="0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B33"/>
  <sheetViews>
    <sheetView workbookViewId="0">
      <selection activeCell="E34" sqref="A34:XFD42"/>
    </sheetView>
  </sheetViews>
  <sheetFormatPr defaultRowHeight="15"/>
  <cols>
    <col min="1" max="1" width="3.85546875" style="39" customWidth="1"/>
    <col min="2" max="2" width="3" style="39" customWidth="1"/>
    <col min="3" max="3" width="4.85546875" style="39" customWidth="1"/>
    <col min="4" max="4" width="7.42578125" style="40" customWidth="1"/>
    <col min="5" max="5" width="6" style="40" customWidth="1"/>
    <col min="6" max="6" width="9.28515625" style="40" customWidth="1"/>
    <col min="7" max="7" width="8.42578125" style="40" customWidth="1"/>
    <col min="8" max="8" width="8.140625" style="40" customWidth="1"/>
    <col min="9" max="9" width="9.28515625" style="40" customWidth="1"/>
    <col min="10" max="10" width="6.140625" style="39" customWidth="1"/>
    <col min="11" max="11" width="6.140625" style="41" customWidth="1"/>
    <col min="12" max="12" width="7.42578125" style="40" customWidth="1"/>
    <col min="13" max="13" width="6.140625" style="41" customWidth="1"/>
    <col min="14" max="14" width="8" style="42" customWidth="1"/>
    <col min="15" max="15" width="10.140625" style="43" customWidth="1"/>
    <col min="16" max="16" width="7.5703125" style="39" customWidth="1"/>
    <col min="17" max="17" width="12.140625" style="39" customWidth="1"/>
    <col min="18" max="18" width="4.85546875" style="39" customWidth="1"/>
    <col min="19" max="19" width="5.7109375" style="51" customWidth="1"/>
    <col min="20" max="20" width="6" style="41" customWidth="1"/>
    <col min="21" max="21" width="7.140625" style="40" customWidth="1"/>
    <col min="22" max="22" width="9.42578125" style="39" customWidth="1"/>
    <col min="23" max="23" width="5" style="39" customWidth="1"/>
    <col min="24" max="24" width="10.7109375" style="39" customWidth="1"/>
    <col min="25" max="25" width="11.28515625" style="39" customWidth="1"/>
    <col min="26" max="26" width="5.85546875" style="39" customWidth="1"/>
    <col min="27" max="27" width="6.5703125" style="39" customWidth="1"/>
    <col min="28" max="16384" width="9.140625" style="39"/>
  </cols>
  <sheetData>
    <row r="2" spans="2:28" ht="15.75">
      <c r="L2" s="50" t="s">
        <v>0</v>
      </c>
    </row>
    <row r="3" spans="2:28" ht="15" customHeight="1" thickBot="1">
      <c r="L3" s="50" t="s">
        <v>39</v>
      </c>
      <c r="P3" s="52"/>
    </row>
    <row r="4" spans="2:28" s="40" customFormat="1" ht="60" customHeight="1" thickBot="1">
      <c r="B4" s="13" t="s">
        <v>1</v>
      </c>
      <c r="C4" s="14" t="s">
        <v>2</v>
      </c>
      <c r="D4" s="14" t="s">
        <v>3</v>
      </c>
      <c r="E4" s="14" t="s">
        <v>4</v>
      </c>
      <c r="F4" s="15" t="s">
        <v>5</v>
      </c>
      <c r="G4" s="16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14" t="s">
        <v>17</v>
      </c>
      <c r="S4" s="17" t="s">
        <v>18</v>
      </c>
      <c r="T4" s="14" t="s">
        <v>19</v>
      </c>
      <c r="U4" s="14" t="s">
        <v>20</v>
      </c>
      <c r="V4" s="14" t="s">
        <v>21</v>
      </c>
      <c r="W4" s="14" t="s">
        <v>22</v>
      </c>
      <c r="X4" s="14" t="s">
        <v>23</v>
      </c>
      <c r="Y4" s="14" t="s">
        <v>24</v>
      </c>
      <c r="Z4" s="14" t="s">
        <v>25</v>
      </c>
      <c r="AA4" s="14" t="s">
        <v>26</v>
      </c>
      <c r="AB4" s="59" t="s">
        <v>177</v>
      </c>
    </row>
    <row r="5" spans="2:28" ht="27" customHeight="1">
      <c r="B5" s="19">
        <v>1</v>
      </c>
      <c r="C5" s="9" t="s">
        <v>36</v>
      </c>
      <c r="D5" s="9" t="s">
        <v>37</v>
      </c>
      <c r="E5" s="10">
        <v>41891</v>
      </c>
      <c r="F5" s="22" t="s">
        <v>38</v>
      </c>
      <c r="G5" s="9" t="s">
        <v>35</v>
      </c>
      <c r="H5" s="9" t="s">
        <v>28</v>
      </c>
      <c r="I5" s="9" t="s">
        <v>29</v>
      </c>
      <c r="J5" s="23">
        <v>801.22</v>
      </c>
      <c r="K5" s="24">
        <v>41791</v>
      </c>
      <c r="L5" s="25" t="s">
        <v>34</v>
      </c>
      <c r="M5" s="25" t="s">
        <v>30</v>
      </c>
      <c r="N5" s="9" t="s">
        <v>32</v>
      </c>
      <c r="O5" s="12" t="s">
        <v>33</v>
      </c>
      <c r="P5" s="53">
        <v>950125</v>
      </c>
      <c r="Q5" s="28">
        <f t="shared" ref="Q5" si="0">SUM(P5*S5)</f>
        <v>108661615.7</v>
      </c>
      <c r="R5" s="29" t="s">
        <v>27</v>
      </c>
      <c r="S5" s="8">
        <v>114.3656</v>
      </c>
      <c r="T5" s="30">
        <f t="shared" ref="T5" si="1">SUM(K5)+89</f>
        <v>41880</v>
      </c>
      <c r="U5" s="54" t="s">
        <v>31</v>
      </c>
      <c r="V5" s="31">
        <f t="shared" ref="V5:V12" si="2">SUM(Q5*0.12%)</f>
        <v>130393.93883999999</v>
      </c>
      <c r="W5" s="20">
        <v>155.72999999999999</v>
      </c>
      <c r="X5" s="28">
        <f t="shared" ref="X5:X7" si="3">SUM(V5*W5)</f>
        <v>20306248.095553197</v>
      </c>
      <c r="Y5" s="55">
        <v>20509310.579999998</v>
      </c>
      <c r="Z5" s="30">
        <v>41887</v>
      </c>
      <c r="AA5" s="56">
        <v>10317</v>
      </c>
      <c r="AB5" s="56"/>
    </row>
    <row r="6" spans="2:28" ht="20.25" customHeight="1">
      <c r="B6" s="19">
        <f t="shared" ref="B6:B15" si="4">B5+1</f>
        <v>2</v>
      </c>
      <c r="C6" s="9" t="s">
        <v>40</v>
      </c>
      <c r="D6" s="21" t="s">
        <v>41</v>
      </c>
      <c r="E6" s="30">
        <v>41893</v>
      </c>
      <c r="F6" s="22" t="s">
        <v>42</v>
      </c>
      <c r="G6" s="9" t="s">
        <v>43</v>
      </c>
      <c r="H6" s="9" t="s">
        <v>44</v>
      </c>
      <c r="I6" s="9" t="s">
        <v>45</v>
      </c>
      <c r="J6" s="23">
        <v>801.22</v>
      </c>
      <c r="K6" s="24">
        <v>41867</v>
      </c>
      <c r="L6" s="25" t="s">
        <v>46</v>
      </c>
      <c r="M6" s="25" t="s">
        <v>47</v>
      </c>
      <c r="N6" s="9" t="s">
        <v>48</v>
      </c>
      <c r="O6" s="12" t="s">
        <v>49</v>
      </c>
      <c r="P6" s="53">
        <v>701101</v>
      </c>
      <c r="Q6" s="32">
        <f t="shared" ref="Q6:Q15" si="5">SUM(P6*S6)</f>
        <v>66076665.946999997</v>
      </c>
      <c r="R6" s="29" t="s">
        <v>27</v>
      </c>
      <c r="S6" s="8">
        <v>94.247</v>
      </c>
      <c r="T6" s="30">
        <f t="shared" ref="T6" si="6">SUM(K6)+89</f>
        <v>41956</v>
      </c>
      <c r="U6" s="9" t="s">
        <v>35</v>
      </c>
      <c r="V6" s="31">
        <f t="shared" si="2"/>
        <v>79291.999136399987</v>
      </c>
      <c r="W6" s="20">
        <v>155.72999999999999</v>
      </c>
      <c r="X6" s="32">
        <f t="shared" si="3"/>
        <v>12348143.025511568</v>
      </c>
      <c r="Y6" s="36">
        <v>12348143.029999999</v>
      </c>
      <c r="Z6" s="30">
        <v>41886</v>
      </c>
      <c r="AA6" s="56">
        <v>3613</v>
      </c>
      <c r="AB6" s="60"/>
    </row>
    <row r="7" spans="2:28" ht="20.25" customHeight="1">
      <c r="B7" s="19">
        <f t="shared" si="4"/>
        <v>3</v>
      </c>
      <c r="C7" s="9" t="s">
        <v>50</v>
      </c>
      <c r="D7" s="9" t="s">
        <v>51</v>
      </c>
      <c r="E7" s="10">
        <v>41906</v>
      </c>
      <c r="F7" s="22" t="s">
        <v>52</v>
      </c>
      <c r="G7" s="9" t="s">
        <v>53</v>
      </c>
      <c r="H7" s="9" t="s">
        <v>54</v>
      </c>
      <c r="I7" s="9" t="s">
        <v>55</v>
      </c>
      <c r="J7" s="23">
        <v>801.22</v>
      </c>
      <c r="K7" s="24">
        <v>41854</v>
      </c>
      <c r="L7" s="25" t="s">
        <v>56</v>
      </c>
      <c r="M7" s="25" t="s">
        <v>57</v>
      </c>
      <c r="N7" s="9" t="s">
        <v>58</v>
      </c>
      <c r="O7" s="26" t="s">
        <v>59</v>
      </c>
      <c r="P7" s="53">
        <v>42000</v>
      </c>
      <c r="Q7" s="32">
        <f t="shared" si="5"/>
        <v>4263714</v>
      </c>
      <c r="R7" s="29" t="s">
        <v>27</v>
      </c>
      <c r="S7" s="8">
        <v>101.517</v>
      </c>
      <c r="T7" s="30">
        <f t="shared" ref="T7:T10" si="7">SUM(K7)+89</f>
        <v>41943</v>
      </c>
      <c r="U7" s="9" t="s">
        <v>53</v>
      </c>
      <c r="V7" s="31">
        <f t="shared" si="2"/>
        <v>5116.4567999999999</v>
      </c>
      <c r="W7" s="20">
        <v>155.72999999999999</v>
      </c>
      <c r="X7" s="32">
        <f t="shared" si="3"/>
        <v>796785.81746399996</v>
      </c>
      <c r="Y7" s="36">
        <v>796785.82</v>
      </c>
      <c r="Z7" s="30">
        <v>41905</v>
      </c>
      <c r="AA7" s="56">
        <v>4424</v>
      </c>
      <c r="AB7" s="60"/>
    </row>
    <row r="8" spans="2:28" ht="20.25" customHeight="1">
      <c r="B8" s="19">
        <f t="shared" si="4"/>
        <v>4</v>
      </c>
      <c r="C8" s="9" t="s">
        <v>60</v>
      </c>
      <c r="D8" s="9" t="s">
        <v>61</v>
      </c>
      <c r="E8" s="10">
        <v>41906</v>
      </c>
      <c r="F8" s="11">
        <v>201401010081</v>
      </c>
      <c r="G8" s="9" t="s">
        <v>53</v>
      </c>
      <c r="H8" s="9" t="s">
        <v>54</v>
      </c>
      <c r="I8" s="9" t="s">
        <v>55</v>
      </c>
      <c r="J8" s="23">
        <v>801.22</v>
      </c>
      <c r="K8" s="24">
        <v>41873</v>
      </c>
      <c r="L8" s="25" t="s">
        <v>62</v>
      </c>
      <c r="M8" s="34" t="s">
        <v>57</v>
      </c>
      <c r="N8" s="9" t="s">
        <v>63</v>
      </c>
      <c r="O8" s="12" t="s">
        <v>64</v>
      </c>
      <c r="P8" s="53">
        <v>34000</v>
      </c>
      <c r="Q8" s="32">
        <f t="shared" si="5"/>
        <v>3451578</v>
      </c>
      <c r="R8" s="29" t="s">
        <v>27</v>
      </c>
      <c r="S8" s="8">
        <v>101.517</v>
      </c>
      <c r="T8" s="30">
        <f t="shared" si="7"/>
        <v>41962</v>
      </c>
      <c r="U8" s="9" t="s">
        <v>53</v>
      </c>
      <c r="V8" s="31">
        <f t="shared" si="2"/>
        <v>4141.8935999999994</v>
      </c>
      <c r="W8" s="20">
        <v>155.72999999999999</v>
      </c>
      <c r="X8" s="32">
        <f t="shared" ref="X8:X10" si="8">SUM(V8*W8)</f>
        <v>645017.0903279999</v>
      </c>
      <c r="Y8" s="36">
        <v>645017.09</v>
      </c>
      <c r="Z8" s="30">
        <v>41886</v>
      </c>
      <c r="AA8" s="56">
        <v>4425</v>
      </c>
      <c r="AB8" s="60"/>
    </row>
    <row r="9" spans="2:28" ht="20.25" customHeight="1">
      <c r="B9" s="19">
        <f t="shared" si="4"/>
        <v>5</v>
      </c>
      <c r="C9" s="9" t="s">
        <v>65</v>
      </c>
      <c r="D9" s="9" t="s">
        <v>66</v>
      </c>
      <c r="E9" s="10">
        <v>41906</v>
      </c>
      <c r="F9" s="11">
        <v>201401010082</v>
      </c>
      <c r="G9" s="9" t="s">
        <v>53</v>
      </c>
      <c r="H9" s="9" t="s">
        <v>54</v>
      </c>
      <c r="I9" s="9" t="s">
        <v>55</v>
      </c>
      <c r="J9" s="23">
        <v>801.22</v>
      </c>
      <c r="K9" s="24">
        <v>41873</v>
      </c>
      <c r="L9" s="25" t="s">
        <v>62</v>
      </c>
      <c r="M9" s="34" t="s">
        <v>57</v>
      </c>
      <c r="N9" s="9" t="s">
        <v>63</v>
      </c>
      <c r="O9" s="12" t="s">
        <v>64</v>
      </c>
      <c r="P9" s="53">
        <v>19000</v>
      </c>
      <c r="Q9" s="32">
        <f t="shared" si="5"/>
        <v>1928823</v>
      </c>
      <c r="R9" s="29" t="s">
        <v>27</v>
      </c>
      <c r="S9" s="8">
        <v>101.517</v>
      </c>
      <c r="T9" s="30">
        <f t="shared" si="7"/>
        <v>41962</v>
      </c>
      <c r="U9" s="12" t="s">
        <v>53</v>
      </c>
      <c r="V9" s="31">
        <f t="shared" si="2"/>
        <v>2314.5875999999998</v>
      </c>
      <c r="W9" s="20">
        <v>155.72999999999999</v>
      </c>
      <c r="X9" s="32">
        <f t="shared" si="8"/>
        <v>360450.72694799997</v>
      </c>
      <c r="Y9" s="36">
        <v>360450.73</v>
      </c>
      <c r="Z9" s="30">
        <v>41886</v>
      </c>
      <c r="AA9" s="56">
        <v>4427</v>
      </c>
      <c r="AB9" s="60"/>
    </row>
    <row r="10" spans="2:28" ht="20.25" customHeight="1">
      <c r="B10" s="19">
        <f t="shared" si="4"/>
        <v>6</v>
      </c>
      <c r="C10" s="9" t="s">
        <v>67</v>
      </c>
      <c r="D10" s="9" t="s">
        <v>68</v>
      </c>
      <c r="E10" s="10">
        <v>41906</v>
      </c>
      <c r="F10" s="11">
        <v>20149030008</v>
      </c>
      <c r="G10" s="9" t="s">
        <v>69</v>
      </c>
      <c r="H10" s="9" t="s">
        <v>54</v>
      </c>
      <c r="I10" s="9" t="s">
        <v>55</v>
      </c>
      <c r="J10" s="23">
        <v>801.22</v>
      </c>
      <c r="K10" s="24">
        <v>41873</v>
      </c>
      <c r="L10" s="25" t="s">
        <v>62</v>
      </c>
      <c r="M10" s="34" t="s">
        <v>57</v>
      </c>
      <c r="N10" s="9" t="s">
        <v>63</v>
      </c>
      <c r="O10" s="12" t="s">
        <v>64</v>
      </c>
      <c r="P10" s="53">
        <v>65000</v>
      </c>
      <c r="Q10" s="32">
        <f t="shared" si="5"/>
        <v>6598605</v>
      </c>
      <c r="R10" s="29" t="s">
        <v>27</v>
      </c>
      <c r="S10" s="8">
        <v>101.517</v>
      </c>
      <c r="T10" s="30">
        <f t="shared" si="7"/>
        <v>41962</v>
      </c>
      <c r="U10" s="9" t="s">
        <v>53</v>
      </c>
      <c r="V10" s="31">
        <f t="shared" si="2"/>
        <v>7918.3259999999991</v>
      </c>
      <c r="W10" s="20">
        <v>155.72999999999999</v>
      </c>
      <c r="X10" s="32">
        <f t="shared" si="8"/>
        <v>1233120.9079799997</v>
      </c>
      <c r="Y10" s="36">
        <v>1233120.9099999999</v>
      </c>
      <c r="Z10" s="30">
        <v>41886</v>
      </c>
      <c r="AA10" s="56">
        <v>4426</v>
      </c>
      <c r="AB10" s="60"/>
    </row>
    <row r="11" spans="2:28" ht="192" customHeight="1">
      <c r="B11" s="19">
        <f t="shared" si="4"/>
        <v>7</v>
      </c>
      <c r="C11" s="9" t="s">
        <v>70</v>
      </c>
      <c r="D11" s="10" t="s">
        <v>71</v>
      </c>
      <c r="E11" s="24">
        <v>41912</v>
      </c>
      <c r="F11" s="22" t="s">
        <v>72</v>
      </c>
      <c r="G11" s="9" t="s">
        <v>73</v>
      </c>
      <c r="H11" s="9" t="s">
        <v>74</v>
      </c>
      <c r="I11" s="9" t="s">
        <v>75</v>
      </c>
      <c r="J11" s="23">
        <v>801.22</v>
      </c>
      <c r="K11" s="24">
        <v>41793</v>
      </c>
      <c r="L11" s="25" t="s">
        <v>76</v>
      </c>
      <c r="M11" s="25" t="s">
        <v>77</v>
      </c>
      <c r="N11" s="9" t="s">
        <v>63</v>
      </c>
      <c r="O11" s="9" t="s">
        <v>64</v>
      </c>
      <c r="P11" s="27">
        <v>949268</v>
      </c>
      <c r="Q11" s="28">
        <f t="shared" si="5"/>
        <v>103690442.176</v>
      </c>
      <c r="R11" s="29" t="s">
        <v>27</v>
      </c>
      <c r="S11" s="8">
        <v>109.232</v>
      </c>
      <c r="T11" s="30">
        <f t="shared" ref="T11" si="9">SUM(K11)+89</f>
        <v>41882</v>
      </c>
      <c r="U11" s="9" t="s">
        <v>78</v>
      </c>
      <c r="V11" s="31">
        <f t="shared" si="2"/>
        <v>124428.53061119998</v>
      </c>
      <c r="W11" s="20">
        <v>155.72999999999999</v>
      </c>
      <c r="X11" s="28">
        <f t="shared" ref="X11:X12" si="10">SUM(V11*W11)</f>
        <v>19377255.072082173</v>
      </c>
      <c r="Y11" s="57">
        <v>19377254.98</v>
      </c>
      <c r="Z11" s="30">
        <v>41899</v>
      </c>
      <c r="AA11" s="56">
        <v>1691</v>
      </c>
      <c r="AB11" s="58" t="s">
        <v>178</v>
      </c>
    </row>
    <row r="12" spans="2:28" ht="21.75" customHeight="1">
      <c r="B12" s="19">
        <f t="shared" si="4"/>
        <v>8</v>
      </c>
      <c r="C12" s="9" t="s">
        <v>79</v>
      </c>
      <c r="D12" s="21" t="s">
        <v>80</v>
      </c>
      <c r="E12" s="24">
        <v>41912</v>
      </c>
      <c r="F12" s="22" t="s">
        <v>81</v>
      </c>
      <c r="G12" s="9" t="s">
        <v>73</v>
      </c>
      <c r="H12" s="9" t="s">
        <v>74</v>
      </c>
      <c r="I12" s="9" t="s">
        <v>55</v>
      </c>
      <c r="J12" s="23">
        <v>801.22</v>
      </c>
      <c r="K12" s="24">
        <v>41844</v>
      </c>
      <c r="L12" s="25" t="s">
        <v>82</v>
      </c>
      <c r="M12" s="25" t="s">
        <v>57</v>
      </c>
      <c r="N12" s="9" t="s">
        <v>83</v>
      </c>
      <c r="O12" s="12" t="s">
        <v>84</v>
      </c>
      <c r="P12" s="27">
        <v>100000</v>
      </c>
      <c r="Q12" s="28">
        <f t="shared" si="5"/>
        <v>10771500</v>
      </c>
      <c r="R12" s="29" t="s">
        <v>27</v>
      </c>
      <c r="S12" s="35">
        <v>107.715</v>
      </c>
      <c r="T12" s="30">
        <f t="shared" ref="T12" si="11">SUM(K12)+89</f>
        <v>41933</v>
      </c>
      <c r="U12" s="12" t="s">
        <v>78</v>
      </c>
      <c r="V12" s="37">
        <f t="shared" si="2"/>
        <v>12925.8</v>
      </c>
      <c r="W12" s="20">
        <v>155.72999999999999</v>
      </c>
      <c r="X12" s="28">
        <f t="shared" si="10"/>
        <v>2012934.8339999998</v>
      </c>
      <c r="Y12" s="57">
        <v>2012934.83</v>
      </c>
      <c r="Z12" s="30">
        <v>41893</v>
      </c>
      <c r="AA12" s="56">
        <v>1622</v>
      </c>
      <c r="AB12" s="60"/>
    </row>
    <row r="13" spans="2:28" ht="21.75" customHeight="1">
      <c r="B13" s="19">
        <f t="shared" si="4"/>
        <v>9</v>
      </c>
      <c r="C13" s="9" t="s">
        <v>85</v>
      </c>
      <c r="D13" s="10" t="s">
        <v>86</v>
      </c>
      <c r="E13" s="24">
        <v>41912</v>
      </c>
      <c r="F13" s="22" t="s">
        <v>87</v>
      </c>
      <c r="G13" s="9" t="s">
        <v>88</v>
      </c>
      <c r="H13" s="9" t="s">
        <v>89</v>
      </c>
      <c r="I13" s="9" t="s">
        <v>55</v>
      </c>
      <c r="J13" s="23">
        <v>801.22</v>
      </c>
      <c r="K13" s="24">
        <v>41901</v>
      </c>
      <c r="L13" s="25" t="s">
        <v>90</v>
      </c>
      <c r="M13" s="34" t="s">
        <v>57</v>
      </c>
      <c r="N13" s="9" t="s">
        <v>63</v>
      </c>
      <c r="O13" s="12" t="s">
        <v>64</v>
      </c>
      <c r="P13" s="27">
        <v>40000</v>
      </c>
      <c r="Q13" s="28">
        <f t="shared" si="5"/>
        <v>3861640</v>
      </c>
      <c r="R13" s="29" t="s">
        <v>27</v>
      </c>
      <c r="S13" s="35">
        <v>96.540999999999997</v>
      </c>
      <c r="T13" s="30">
        <f t="shared" ref="T13:T15" si="12">SUM(K13)+89</f>
        <v>41990</v>
      </c>
      <c r="U13" s="9" t="s">
        <v>88</v>
      </c>
      <c r="V13" s="31">
        <f t="shared" ref="V13:V15" si="13">SUM(Q13*0.12%)</f>
        <v>4633.9679999999998</v>
      </c>
      <c r="W13" s="20">
        <v>155.75</v>
      </c>
      <c r="X13" s="32">
        <f t="shared" ref="X13:X15" si="14">SUM(V13*W13)</f>
        <v>721740.51599999995</v>
      </c>
      <c r="Y13" s="36">
        <f t="shared" ref="Y13:Y15" si="15">X13</f>
        <v>721740.51599999995</v>
      </c>
      <c r="Z13" s="20"/>
      <c r="AA13" s="20"/>
      <c r="AB13" s="60"/>
    </row>
    <row r="14" spans="2:28" ht="21.75" customHeight="1">
      <c r="B14" s="19">
        <f t="shared" si="4"/>
        <v>10</v>
      </c>
      <c r="C14" s="9" t="s">
        <v>91</v>
      </c>
      <c r="D14" s="10" t="s">
        <v>92</v>
      </c>
      <c r="E14" s="24">
        <v>41912</v>
      </c>
      <c r="F14" s="22" t="s">
        <v>93</v>
      </c>
      <c r="G14" s="9" t="s">
        <v>88</v>
      </c>
      <c r="H14" s="9" t="s">
        <v>89</v>
      </c>
      <c r="I14" s="9" t="s">
        <v>55</v>
      </c>
      <c r="J14" s="23">
        <v>801.22</v>
      </c>
      <c r="K14" s="24">
        <v>41901</v>
      </c>
      <c r="L14" s="25" t="s">
        <v>90</v>
      </c>
      <c r="M14" s="34" t="s">
        <v>57</v>
      </c>
      <c r="N14" s="9" t="s">
        <v>63</v>
      </c>
      <c r="O14" s="12" t="s">
        <v>64</v>
      </c>
      <c r="P14" s="27">
        <v>63000</v>
      </c>
      <c r="Q14" s="28">
        <f t="shared" si="5"/>
        <v>6082083</v>
      </c>
      <c r="R14" s="29" t="s">
        <v>27</v>
      </c>
      <c r="S14" s="35">
        <v>96.540999999999997</v>
      </c>
      <c r="T14" s="30">
        <f t="shared" si="12"/>
        <v>41990</v>
      </c>
      <c r="U14" s="9" t="s">
        <v>88</v>
      </c>
      <c r="V14" s="31">
        <f t="shared" si="13"/>
        <v>7298.4995999999992</v>
      </c>
      <c r="W14" s="20">
        <v>155.75</v>
      </c>
      <c r="X14" s="32">
        <f t="shared" si="14"/>
        <v>1136741.3126999999</v>
      </c>
      <c r="Y14" s="36">
        <f t="shared" si="15"/>
        <v>1136741.3126999999</v>
      </c>
      <c r="Z14" s="20"/>
      <c r="AA14" s="20"/>
      <c r="AB14" s="60"/>
    </row>
    <row r="15" spans="2:28" ht="21.75" customHeight="1" thickBot="1">
      <c r="B15" s="19">
        <f t="shared" si="4"/>
        <v>11</v>
      </c>
      <c r="C15" s="9" t="s">
        <v>94</v>
      </c>
      <c r="D15" s="10" t="s">
        <v>95</v>
      </c>
      <c r="E15" s="24">
        <v>41912</v>
      </c>
      <c r="F15" s="22" t="s">
        <v>96</v>
      </c>
      <c r="G15" s="9" t="s">
        <v>88</v>
      </c>
      <c r="H15" s="9" t="s">
        <v>89</v>
      </c>
      <c r="I15" s="9" t="s">
        <v>55</v>
      </c>
      <c r="J15" s="23">
        <v>801.22</v>
      </c>
      <c r="K15" s="24">
        <v>41901</v>
      </c>
      <c r="L15" s="25" t="s">
        <v>90</v>
      </c>
      <c r="M15" s="34" t="s">
        <v>57</v>
      </c>
      <c r="N15" s="9" t="s">
        <v>63</v>
      </c>
      <c r="O15" s="12" t="s">
        <v>64</v>
      </c>
      <c r="P15" s="27">
        <v>145110</v>
      </c>
      <c r="Q15" s="28">
        <f t="shared" si="5"/>
        <v>14009064.51</v>
      </c>
      <c r="R15" s="29" t="s">
        <v>27</v>
      </c>
      <c r="S15" s="35">
        <v>96.540999999999997</v>
      </c>
      <c r="T15" s="30">
        <f t="shared" si="12"/>
        <v>41990</v>
      </c>
      <c r="U15" s="9" t="s">
        <v>88</v>
      </c>
      <c r="V15" s="31">
        <f t="shared" si="13"/>
        <v>16810.877411999998</v>
      </c>
      <c r="W15" s="20">
        <v>155.75</v>
      </c>
      <c r="X15" s="32">
        <f t="shared" si="14"/>
        <v>2618294.1569189997</v>
      </c>
      <c r="Y15" s="36">
        <f t="shared" si="15"/>
        <v>2618294.1569189997</v>
      </c>
      <c r="Z15" s="20"/>
      <c r="AA15" s="20"/>
      <c r="AB15" s="60"/>
    </row>
    <row r="16" spans="2:28" ht="15.75" thickBot="1">
      <c r="P16" s="44">
        <f>SUM(P5:P15)</f>
        <v>3108604</v>
      </c>
      <c r="Q16" s="45">
        <f>SUM(Q5:Q15)</f>
        <v>329395731.333</v>
      </c>
      <c r="R16" s="46"/>
      <c r="S16" s="47"/>
      <c r="T16" s="48"/>
      <c r="U16" s="49"/>
      <c r="V16" s="45">
        <f>SUM(V5:V15)</f>
        <v>395274.87759959989</v>
      </c>
      <c r="W16" s="46"/>
      <c r="X16" s="45">
        <f t="shared" ref="X16:Y16" si="16">SUM(X5:X15)</f>
        <v>61556731.555485956</v>
      </c>
      <c r="Y16" s="45">
        <f t="shared" si="16"/>
        <v>61759793.955619007</v>
      </c>
    </row>
    <row r="28" spans="3:4">
      <c r="D28" s="61"/>
    </row>
    <row r="29" spans="3:4">
      <c r="D29" s="61"/>
    </row>
    <row r="30" spans="3:4">
      <c r="D30" s="61"/>
    </row>
    <row r="31" spans="3:4">
      <c r="C31" s="61"/>
      <c r="D31" s="61"/>
    </row>
    <row r="32" spans="3:4">
      <c r="C32" s="61"/>
    </row>
    <row r="33" spans="3:3">
      <c r="C33" s="62"/>
    </row>
  </sheetData>
  <pageMargins left="0" right="0" top="0" bottom="0" header="0.31496062992125984" footer="0"/>
  <pageSetup paperSize="8" orientation="landscape" r:id="rId1"/>
  <ignoredErrors>
    <ignoredError sqref="F5:F7 F11:F12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35"/>
  <sheetViews>
    <sheetView workbookViewId="0">
      <selection activeCell="G46" sqref="G46"/>
    </sheetView>
  </sheetViews>
  <sheetFormatPr defaultRowHeight="15"/>
  <cols>
    <col min="1" max="1" width="3" customWidth="1"/>
    <col min="2" max="2" width="3.28515625" customWidth="1"/>
    <col min="3" max="3" width="6.140625" style="1" customWidth="1"/>
    <col min="4" max="4" width="7.42578125" style="1" customWidth="1"/>
    <col min="5" max="5" width="5.85546875" style="1" customWidth="1"/>
    <col min="6" max="6" width="9.85546875" style="1" customWidth="1"/>
    <col min="7" max="7" width="7.85546875" style="1" customWidth="1"/>
    <col min="8" max="8" width="8.28515625" style="1" customWidth="1"/>
    <col min="9" max="9" width="9.140625" style="1" customWidth="1"/>
    <col min="10" max="10" width="6.140625" customWidth="1"/>
    <col min="11" max="11" width="6.5703125" style="2" customWidth="1"/>
    <col min="12" max="12" width="10.85546875" style="1" customWidth="1"/>
    <col min="13" max="13" width="5.85546875" style="1" customWidth="1"/>
    <col min="14" max="14" width="7.85546875" style="4" customWidth="1"/>
    <col min="15" max="15" width="12.42578125" style="5" customWidth="1"/>
    <col min="16" max="16" width="7.7109375" customWidth="1"/>
    <col min="17" max="17" width="12.42578125" customWidth="1"/>
    <col min="18" max="18" width="6.85546875" customWidth="1"/>
    <col min="19" max="19" width="6.85546875" style="6" customWidth="1"/>
    <col min="20" max="20" width="6.7109375" style="2" customWidth="1"/>
    <col min="21" max="21" width="8.28515625" style="1" customWidth="1"/>
    <col min="22" max="22" width="10.85546875" bestFit="1" customWidth="1"/>
    <col min="23" max="23" width="6.28515625" customWidth="1"/>
    <col min="24" max="24" width="12.42578125" customWidth="1"/>
    <col min="25" max="25" width="10.7109375" customWidth="1"/>
    <col min="26" max="27" width="5.5703125" customWidth="1"/>
    <col min="28" max="28" width="11.5703125" customWidth="1"/>
  </cols>
  <sheetData>
    <row r="2" spans="2:27" ht="15.75">
      <c r="L2" s="3" t="s">
        <v>0</v>
      </c>
    </row>
    <row r="3" spans="2:27" ht="17.25" customHeight="1" thickBot="1">
      <c r="L3" s="3" t="s">
        <v>176</v>
      </c>
      <c r="P3" s="7"/>
    </row>
    <row r="4" spans="2:27" s="1" customFormat="1" ht="42.6" customHeight="1" thickBot="1">
      <c r="B4" s="13" t="s">
        <v>1</v>
      </c>
      <c r="C4" s="14" t="s">
        <v>2</v>
      </c>
      <c r="D4" s="14" t="s">
        <v>3</v>
      </c>
      <c r="E4" s="14" t="s">
        <v>4</v>
      </c>
      <c r="F4" s="15" t="s">
        <v>5</v>
      </c>
      <c r="G4" s="16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14" t="s">
        <v>17</v>
      </c>
      <c r="S4" s="17" t="s">
        <v>18</v>
      </c>
      <c r="T4" s="14" t="s">
        <v>19</v>
      </c>
      <c r="U4" s="14" t="s">
        <v>20</v>
      </c>
      <c r="V4" s="14" t="s">
        <v>21</v>
      </c>
      <c r="W4" s="14" t="s">
        <v>22</v>
      </c>
      <c r="X4" s="14" t="s">
        <v>23</v>
      </c>
      <c r="Y4" s="14" t="s">
        <v>24</v>
      </c>
      <c r="Z4" s="14" t="s">
        <v>25</v>
      </c>
      <c r="AA4" s="18" t="s">
        <v>26</v>
      </c>
    </row>
    <row r="5" spans="2:27" ht="23.25" customHeight="1">
      <c r="B5" s="19">
        <v>1</v>
      </c>
      <c r="C5" s="9" t="s">
        <v>118</v>
      </c>
      <c r="D5" s="21" t="s">
        <v>105</v>
      </c>
      <c r="E5" s="10"/>
      <c r="F5" s="22" t="s">
        <v>119</v>
      </c>
      <c r="G5" s="9" t="s">
        <v>73</v>
      </c>
      <c r="H5" s="9" t="s">
        <v>74</v>
      </c>
      <c r="I5" s="9" t="s">
        <v>75</v>
      </c>
      <c r="J5" s="23">
        <v>801.22</v>
      </c>
      <c r="K5" s="24">
        <v>41884</v>
      </c>
      <c r="L5" s="25" t="s">
        <v>120</v>
      </c>
      <c r="M5" s="25" t="s">
        <v>77</v>
      </c>
      <c r="N5" s="9" t="s">
        <v>106</v>
      </c>
      <c r="O5" s="26" t="s">
        <v>121</v>
      </c>
      <c r="P5" s="27">
        <v>949286</v>
      </c>
      <c r="Q5" s="28">
        <f t="shared" ref="Q5:Q11" si="0">SUM(P5*S5)</f>
        <v>94216635.5</v>
      </c>
      <c r="R5" s="29" t="s">
        <v>27</v>
      </c>
      <c r="S5" s="8">
        <v>99.25</v>
      </c>
      <c r="T5" s="30">
        <f t="shared" ref="T5:T30" si="1">SUM(K5)+89</f>
        <v>41973</v>
      </c>
      <c r="U5" s="12" t="s">
        <v>78</v>
      </c>
      <c r="V5" s="31">
        <f t="shared" ref="V5:V30" si="2">SUM(Q5*0.12%)</f>
        <v>113059.96259999998</v>
      </c>
      <c r="W5" s="20">
        <v>155.75</v>
      </c>
      <c r="X5" s="32">
        <f t="shared" ref="X5:X30" si="3">SUM(V5*W5)</f>
        <v>17609089.174949996</v>
      </c>
      <c r="Y5" s="33">
        <v>0</v>
      </c>
      <c r="Z5" s="20"/>
      <c r="AA5" s="20"/>
    </row>
    <row r="6" spans="2:27" ht="24.75">
      <c r="B6" s="19">
        <f t="shared" ref="B6:B30" si="4">B5+1</f>
        <v>2</v>
      </c>
      <c r="C6" s="9" t="s">
        <v>122</v>
      </c>
      <c r="D6" s="21" t="s">
        <v>105</v>
      </c>
      <c r="E6" s="10"/>
      <c r="F6" s="22" t="s">
        <v>123</v>
      </c>
      <c r="G6" s="9" t="s">
        <v>88</v>
      </c>
      <c r="H6" s="9" t="s">
        <v>89</v>
      </c>
      <c r="I6" s="9" t="s">
        <v>55</v>
      </c>
      <c r="J6" s="23">
        <v>801.22</v>
      </c>
      <c r="K6" s="24">
        <v>41886</v>
      </c>
      <c r="L6" s="25" t="s">
        <v>124</v>
      </c>
      <c r="M6" s="25" t="s">
        <v>57</v>
      </c>
      <c r="N6" s="9" t="s">
        <v>32</v>
      </c>
      <c r="O6" s="12" t="s">
        <v>33</v>
      </c>
      <c r="P6" s="27">
        <v>949507</v>
      </c>
      <c r="Q6" s="28">
        <f t="shared" si="0"/>
        <v>95159591.539999992</v>
      </c>
      <c r="R6" s="29" t="s">
        <v>27</v>
      </c>
      <c r="S6" s="8">
        <v>100.22</v>
      </c>
      <c r="T6" s="30">
        <f t="shared" si="1"/>
        <v>41975</v>
      </c>
      <c r="U6" s="9" t="s">
        <v>88</v>
      </c>
      <c r="V6" s="31">
        <f t="shared" si="2"/>
        <v>114191.50984799999</v>
      </c>
      <c r="W6" s="20">
        <v>155.75</v>
      </c>
      <c r="X6" s="32">
        <f t="shared" si="3"/>
        <v>17785327.658825997</v>
      </c>
      <c r="Y6" s="33">
        <v>0</v>
      </c>
      <c r="Z6" s="20"/>
      <c r="AA6" s="20"/>
    </row>
    <row r="7" spans="2:27" ht="21.75" customHeight="1">
      <c r="B7" s="19">
        <f t="shared" si="4"/>
        <v>3</v>
      </c>
      <c r="C7" s="9" t="s">
        <v>125</v>
      </c>
      <c r="D7" s="21" t="s">
        <v>105</v>
      </c>
      <c r="E7" s="10"/>
      <c r="F7" s="22" t="s">
        <v>126</v>
      </c>
      <c r="G7" s="9" t="s">
        <v>35</v>
      </c>
      <c r="H7" s="9" t="s">
        <v>28</v>
      </c>
      <c r="I7" s="9" t="s">
        <v>29</v>
      </c>
      <c r="J7" s="23">
        <v>801.22</v>
      </c>
      <c r="K7" s="24">
        <v>41892</v>
      </c>
      <c r="L7" s="25" t="s">
        <v>127</v>
      </c>
      <c r="M7" s="25" t="s">
        <v>30</v>
      </c>
      <c r="N7" s="9" t="s">
        <v>106</v>
      </c>
      <c r="O7" s="26" t="s">
        <v>108</v>
      </c>
      <c r="P7" s="27">
        <v>950071</v>
      </c>
      <c r="Q7" s="28">
        <f t="shared" si="0"/>
        <v>93099357.432000011</v>
      </c>
      <c r="R7" s="29" t="s">
        <v>27</v>
      </c>
      <c r="S7" s="8">
        <v>97.992000000000004</v>
      </c>
      <c r="T7" s="30">
        <f t="shared" si="1"/>
        <v>41981</v>
      </c>
      <c r="U7" s="9" t="s">
        <v>31</v>
      </c>
      <c r="V7" s="31">
        <f t="shared" si="2"/>
        <v>111719.2289184</v>
      </c>
      <c r="W7" s="20">
        <v>155.75</v>
      </c>
      <c r="X7" s="32">
        <f t="shared" si="3"/>
        <v>17400269.904040799</v>
      </c>
      <c r="Y7" s="33">
        <v>0</v>
      </c>
      <c r="Z7" s="20"/>
      <c r="AA7" s="20"/>
    </row>
    <row r="8" spans="2:27" ht="21.75" customHeight="1">
      <c r="B8" s="19">
        <f t="shared" si="4"/>
        <v>4</v>
      </c>
      <c r="C8" s="9" t="s">
        <v>128</v>
      </c>
      <c r="D8" s="21" t="s">
        <v>105</v>
      </c>
      <c r="E8" s="10"/>
      <c r="F8" s="22" t="s">
        <v>129</v>
      </c>
      <c r="G8" s="9" t="s">
        <v>88</v>
      </c>
      <c r="H8" s="9" t="s">
        <v>89</v>
      </c>
      <c r="I8" s="9" t="s">
        <v>55</v>
      </c>
      <c r="J8" s="23">
        <v>801.22</v>
      </c>
      <c r="K8" s="24">
        <v>41897</v>
      </c>
      <c r="L8" s="25" t="s">
        <v>130</v>
      </c>
      <c r="M8" s="25" t="s">
        <v>57</v>
      </c>
      <c r="N8" s="9" t="s">
        <v>63</v>
      </c>
      <c r="O8" s="12" t="s">
        <v>64</v>
      </c>
      <c r="P8" s="27">
        <v>949448</v>
      </c>
      <c r="Q8" s="28">
        <f t="shared" si="0"/>
        <v>91879981.856000006</v>
      </c>
      <c r="R8" s="29" t="s">
        <v>27</v>
      </c>
      <c r="S8" s="8">
        <v>96.772000000000006</v>
      </c>
      <c r="T8" s="30">
        <f t="shared" si="1"/>
        <v>41986</v>
      </c>
      <c r="U8" s="9" t="s">
        <v>88</v>
      </c>
      <c r="V8" s="31">
        <f t="shared" si="2"/>
        <v>110255.9782272</v>
      </c>
      <c r="W8" s="20">
        <v>155.75</v>
      </c>
      <c r="X8" s="32">
        <f t="shared" si="3"/>
        <v>17172368.608886398</v>
      </c>
      <c r="Y8" s="33">
        <v>0</v>
      </c>
      <c r="Z8" s="20"/>
      <c r="AA8" s="20"/>
    </row>
    <row r="9" spans="2:27" ht="21.75" customHeight="1">
      <c r="B9" s="19">
        <f t="shared" si="4"/>
        <v>5</v>
      </c>
      <c r="C9" s="9" t="s">
        <v>131</v>
      </c>
      <c r="D9" s="21" t="s">
        <v>105</v>
      </c>
      <c r="E9" s="10"/>
      <c r="F9" s="22" t="s">
        <v>132</v>
      </c>
      <c r="G9" s="9" t="s">
        <v>43</v>
      </c>
      <c r="H9" s="9" t="s">
        <v>44</v>
      </c>
      <c r="I9" s="9" t="s">
        <v>45</v>
      </c>
      <c r="J9" s="23">
        <v>801.22</v>
      </c>
      <c r="K9" s="24">
        <v>41898</v>
      </c>
      <c r="L9" s="25" t="s">
        <v>116</v>
      </c>
      <c r="M9" s="25" t="s">
        <v>47</v>
      </c>
      <c r="N9" s="9" t="s">
        <v>48</v>
      </c>
      <c r="O9" s="12" t="s">
        <v>49</v>
      </c>
      <c r="P9" s="27">
        <v>702451</v>
      </c>
      <c r="Q9" s="28">
        <f t="shared" si="0"/>
        <v>63712305.700000003</v>
      </c>
      <c r="R9" s="29" t="s">
        <v>27</v>
      </c>
      <c r="S9" s="8">
        <v>90.7</v>
      </c>
      <c r="T9" s="30">
        <f t="shared" si="1"/>
        <v>41987</v>
      </c>
      <c r="U9" s="12" t="s">
        <v>35</v>
      </c>
      <c r="V9" s="31">
        <f t="shared" si="2"/>
        <v>76454.766839999997</v>
      </c>
      <c r="W9" s="20">
        <v>155.75</v>
      </c>
      <c r="X9" s="32">
        <f t="shared" si="3"/>
        <v>11907829.93533</v>
      </c>
      <c r="Y9" s="33">
        <v>0</v>
      </c>
      <c r="Z9" s="20"/>
      <c r="AA9" s="20"/>
    </row>
    <row r="10" spans="2:27" ht="21.75" customHeight="1">
      <c r="B10" s="19">
        <f t="shared" si="4"/>
        <v>6</v>
      </c>
      <c r="C10" s="9" t="s">
        <v>133</v>
      </c>
      <c r="D10" s="21" t="s">
        <v>105</v>
      </c>
      <c r="E10" s="10"/>
      <c r="F10" s="22" t="s">
        <v>134</v>
      </c>
      <c r="G10" s="9" t="s">
        <v>88</v>
      </c>
      <c r="H10" s="9" t="s">
        <v>89</v>
      </c>
      <c r="I10" s="9" t="s">
        <v>75</v>
      </c>
      <c r="J10" s="23">
        <v>801.22</v>
      </c>
      <c r="K10" s="24">
        <v>41901</v>
      </c>
      <c r="L10" s="25" t="s">
        <v>104</v>
      </c>
      <c r="M10" s="25" t="s">
        <v>77</v>
      </c>
      <c r="N10" s="9" t="s">
        <v>135</v>
      </c>
      <c r="O10" s="12" t="s">
        <v>114</v>
      </c>
      <c r="P10" s="27">
        <v>400000</v>
      </c>
      <c r="Q10" s="28">
        <f t="shared" si="0"/>
        <v>37936400</v>
      </c>
      <c r="R10" s="29" t="s">
        <v>27</v>
      </c>
      <c r="S10" s="8">
        <v>94.840999999999994</v>
      </c>
      <c r="T10" s="30">
        <f t="shared" si="1"/>
        <v>41990</v>
      </c>
      <c r="U10" s="9" t="s">
        <v>88</v>
      </c>
      <c r="V10" s="31">
        <f t="shared" si="2"/>
        <v>45523.679999999993</v>
      </c>
      <c r="W10" s="20">
        <v>155.75</v>
      </c>
      <c r="X10" s="32">
        <f t="shared" si="3"/>
        <v>7090313.1599999992</v>
      </c>
      <c r="Y10" s="33">
        <v>0</v>
      </c>
      <c r="Z10" s="20"/>
      <c r="AA10" s="20"/>
    </row>
    <row r="11" spans="2:27" ht="21.75" customHeight="1">
      <c r="B11" s="19">
        <f t="shared" si="4"/>
        <v>7</v>
      </c>
      <c r="C11" s="9" t="s">
        <v>136</v>
      </c>
      <c r="D11" s="21" t="s">
        <v>105</v>
      </c>
      <c r="E11" s="10"/>
      <c r="F11" s="22" t="s">
        <v>137</v>
      </c>
      <c r="G11" s="9" t="s">
        <v>88</v>
      </c>
      <c r="H11" s="9" t="s">
        <v>89</v>
      </c>
      <c r="I11" s="9" t="s">
        <v>75</v>
      </c>
      <c r="J11" s="23">
        <v>801.22</v>
      </c>
      <c r="K11" s="24">
        <v>41901</v>
      </c>
      <c r="L11" s="25" t="s">
        <v>104</v>
      </c>
      <c r="M11" s="25" t="s">
        <v>77</v>
      </c>
      <c r="N11" s="9" t="s">
        <v>135</v>
      </c>
      <c r="O11" s="12" t="s">
        <v>114</v>
      </c>
      <c r="P11" s="27">
        <v>548710</v>
      </c>
      <c r="Q11" s="28">
        <f t="shared" si="0"/>
        <v>52040205.109999999</v>
      </c>
      <c r="R11" s="29" t="s">
        <v>27</v>
      </c>
      <c r="S11" s="8">
        <v>94.840999999999994</v>
      </c>
      <c r="T11" s="30">
        <f t="shared" si="1"/>
        <v>41990</v>
      </c>
      <c r="U11" s="9" t="s">
        <v>88</v>
      </c>
      <c r="V11" s="31">
        <f t="shared" si="2"/>
        <v>62448.246131999993</v>
      </c>
      <c r="W11" s="20">
        <v>155.75</v>
      </c>
      <c r="X11" s="32">
        <f t="shared" si="3"/>
        <v>9726314.3350589983</v>
      </c>
      <c r="Y11" s="33">
        <v>0</v>
      </c>
      <c r="Z11" s="20"/>
      <c r="AA11" s="20"/>
    </row>
    <row r="12" spans="2:27" ht="21.75" customHeight="1">
      <c r="B12" s="19">
        <f t="shared" si="4"/>
        <v>8</v>
      </c>
      <c r="C12" s="9" t="s">
        <v>138</v>
      </c>
      <c r="D12" s="21" t="s">
        <v>105</v>
      </c>
      <c r="E12" s="10"/>
      <c r="F12" s="22" t="s">
        <v>139</v>
      </c>
      <c r="G12" s="9" t="s">
        <v>88</v>
      </c>
      <c r="H12" s="9" t="s">
        <v>89</v>
      </c>
      <c r="I12" s="9" t="s">
        <v>98</v>
      </c>
      <c r="J12" s="23">
        <v>801.22</v>
      </c>
      <c r="K12" s="24">
        <v>41902</v>
      </c>
      <c r="L12" s="25" t="s">
        <v>115</v>
      </c>
      <c r="M12" s="25" t="s">
        <v>99</v>
      </c>
      <c r="N12" s="9" t="s">
        <v>106</v>
      </c>
      <c r="O12" s="12" t="s">
        <v>111</v>
      </c>
      <c r="P12" s="27">
        <v>899925</v>
      </c>
      <c r="Q12" s="28">
        <f t="shared" ref="Q12:Q30" si="5">SUM(P12*S12)</f>
        <v>87182934.150000006</v>
      </c>
      <c r="R12" s="29" t="s">
        <v>27</v>
      </c>
      <c r="S12" s="35">
        <v>96.878</v>
      </c>
      <c r="T12" s="30">
        <f t="shared" si="1"/>
        <v>41991</v>
      </c>
      <c r="U12" s="9" t="s">
        <v>88</v>
      </c>
      <c r="V12" s="31">
        <f t="shared" si="2"/>
        <v>104619.52098</v>
      </c>
      <c r="W12" s="20">
        <v>155.75</v>
      </c>
      <c r="X12" s="32">
        <f t="shared" si="3"/>
        <v>16294490.392635001</v>
      </c>
      <c r="Y12" s="33">
        <v>0</v>
      </c>
      <c r="Z12" s="20"/>
      <c r="AA12" s="20"/>
    </row>
    <row r="13" spans="2:27" ht="24.75">
      <c r="B13" s="19">
        <f t="shared" si="4"/>
        <v>9</v>
      </c>
      <c r="C13" s="9" t="s">
        <v>140</v>
      </c>
      <c r="D13" s="21" t="s">
        <v>105</v>
      </c>
      <c r="E13" s="10"/>
      <c r="F13" s="11">
        <v>201400020016</v>
      </c>
      <c r="G13" s="9" t="s">
        <v>73</v>
      </c>
      <c r="H13" s="9" t="s">
        <v>74</v>
      </c>
      <c r="I13" s="9" t="s">
        <v>55</v>
      </c>
      <c r="J13" s="23">
        <v>801.22</v>
      </c>
      <c r="K13" s="24">
        <v>41904</v>
      </c>
      <c r="L13" s="25" t="s">
        <v>112</v>
      </c>
      <c r="M13" s="25" t="s">
        <v>57</v>
      </c>
      <c r="N13" s="9" t="s">
        <v>63</v>
      </c>
      <c r="O13" s="12" t="s">
        <v>141</v>
      </c>
      <c r="P13" s="27">
        <v>110000</v>
      </c>
      <c r="Q13" s="28">
        <f t="shared" si="5"/>
        <v>10484100</v>
      </c>
      <c r="R13" s="29" t="s">
        <v>27</v>
      </c>
      <c r="S13" s="8">
        <v>95.31</v>
      </c>
      <c r="T13" s="30">
        <f t="shared" si="1"/>
        <v>41993</v>
      </c>
      <c r="U13" s="12" t="s">
        <v>78</v>
      </c>
      <c r="V13" s="31">
        <f t="shared" si="2"/>
        <v>12580.919999999998</v>
      </c>
      <c r="W13" s="20">
        <v>155.75</v>
      </c>
      <c r="X13" s="32">
        <f t="shared" si="3"/>
        <v>1959478.2899999998</v>
      </c>
      <c r="Y13" s="33">
        <v>0</v>
      </c>
      <c r="Z13" s="20"/>
      <c r="AA13" s="20"/>
    </row>
    <row r="14" spans="2:27" ht="26.25">
      <c r="B14" s="19">
        <f t="shared" si="4"/>
        <v>10</v>
      </c>
      <c r="C14" s="9" t="s">
        <v>142</v>
      </c>
      <c r="D14" s="21" t="s">
        <v>105</v>
      </c>
      <c r="E14" s="10"/>
      <c r="F14" s="11">
        <v>201400010332</v>
      </c>
      <c r="G14" s="9" t="s">
        <v>35</v>
      </c>
      <c r="H14" s="9" t="s">
        <v>102</v>
      </c>
      <c r="I14" s="9" t="s">
        <v>55</v>
      </c>
      <c r="J14" s="23">
        <v>801.22</v>
      </c>
      <c r="K14" s="24">
        <v>41904</v>
      </c>
      <c r="L14" s="25" t="s">
        <v>112</v>
      </c>
      <c r="M14" s="25" t="s">
        <v>57</v>
      </c>
      <c r="N14" s="9" t="s">
        <v>63</v>
      </c>
      <c r="O14" s="12" t="s">
        <v>141</v>
      </c>
      <c r="P14" s="27">
        <v>555586</v>
      </c>
      <c r="Q14" s="28">
        <f t="shared" si="5"/>
        <v>52952901.660000004</v>
      </c>
      <c r="R14" s="29" t="s">
        <v>27</v>
      </c>
      <c r="S14" s="8">
        <v>95.31</v>
      </c>
      <c r="T14" s="30">
        <f t="shared" si="1"/>
        <v>41993</v>
      </c>
      <c r="U14" s="12" t="s">
        <v>31</v>
      </c>
      <c r="V14" s="31">
        <f t="shared" si="2"/>
        <v>63543.481992000001</v>
      </c>
      <c r="W14" s="20">
        <v>155.75</v>
      </c>
      <c r="X14" s="32">
        <f t="shared" si="3"/>
        <v>9896897.3202539999</v>
      </c>
      <c r="Y14" s="33">
        <v>0</v>
      </c>
      <c r="Z14" s="20"/>
      <c r="AA14" s="20"/>
    </row>
    <row r="15" spans="2:27" ht="24.75">
      <c r="B15" s="19">
        <f t="shared" si="4"/>
        <v>11</v>
      </c>
      <c r="C15" s="9" t="s">
        <v>143</v>
      </c>
      <c r="D15" s="21" t="s">
        <v>105</v>
      </c>
      <c r="E15" s="10"/>
      <c r="F15" s="11">
        <v>201400010402</v>
      </c>
      <c r="G15" s="9" t="s">
        <v>73</v>
      </c>
      <c r="H15" s="9" t="s">
        <v>100</v>
      </c>
      <c r="I15" s="9" t="s">
        <v>55</v>
      </c>
      <c r="J15" s="23">
        <v>801.22</v>
      </c>
      <c r="K15" s="24">
        <v>41904</v>
      </c>
      <c r="L15" s="25" t="s">
        <v>112</v>
      </c>
      <c r="M15" s="25" t="s">
        <v>57</v>
      </c>
      <c r="N15" s="9" t="s">
        <v>63</v>
      </c>
      <c r="O15" s="12" t="s">
        <v>141</v>
      </c>
      <c r="P15" s="27">
        <v>133872</v>
      </c>
      <c r="Q15" s="28">
        <f t="shared" si="5"/>
        <v>12759340.32</v>
      </c>
      <c r="R15" s="29" t="s">
        <v>27</v>
      </c>
      <c r="S15" s="8">
        <v>95.31</v>
      </c>
      <c r="T15" s="30">
        <f t="shared" si="1"/>
        <v>41993</v>
      </c>
      <c r="U15" s="9" t="s">
        <v>31</v>
      </c>
      <c r="V15" s="31">
        <f t="shared" si="2"/>
        <v>15311.208384</v>
      </c>
      <c r="W15" s="20">
        <v>155.75</v>
      </c>
      <c r="X15" s="32">
        <f t="shared" si="3"/>
        <v>2384720.7058079997</v>
      </c>
      <c r="Y15" s="33">
        <v>0</v>
      </c>
      <c r="Z15" s="20"/>
      <c r="AA15" s="20"/>
    </row>
    <row r="16" spans="2:27" ht="24.75">
      <c r="B16" s="19">
        <f t="shared" si="4"/>
        <v>12</v>
      </c>
      <c r="C16" s="9" t="s">
        <v>144</v>
      </c>
      <c r="D16" s="21" t="s">
        <v>105</v>
      </c>
      <c r="E16" s="10"/>
      <c r="F16" s="11">
        <v>201401010087</v>
      </c>
      <c r="G16" s="9" t="s">
        <v>53</v>
      </c>
      <c r="H16" s="9" t="s">
        <v>54</v>
      </c>
      <c r="I16" s="9" t="s">
        <v>55</v>
      </c>
      <c r="J16" s="23">
        <v>801.22</v>
      </c>
      <c r="K16" s="24">
        <v>41904</v>
      </c>
      <c r="L16" s="25" t="s">
        <v>112</v>
      </c>
      <c r="M16" s="25" t="s">
        <v>57</v>
      </c>
      <c r="N16" s="9" t="s">
        <v>63</v>
      </c>
      <c r="O16" s="12" t="s">
        <v>141</v>
      </c>
      <c r="P16" s="27">
        <v>20000</v>
      </c>
      <c r="Q16" s="28">
        <f t="shared" si="5"/>
        <v>1906200</v>
      </c>
      <c r="R16" s="29" t="s">
        <v>27</v>
      </c>
      <c r="S16" s="8">
        <v>95.31</v>
      </c>
      <c r="T16" s="30">
        <f t="shared" si="1"/>
        <v>41993</v>
      </c>
      <c r="U16" s="9" t="s">
        <v>53</v>
      </c>
      <c r="V16" s="31">
        <f t="shared" si="2"/>
        <v>2287.4399999999996</v>
      </c>
      <c r="W16" s="20">
        <v>155.75</v>
      </c>
      <c r="X16" s="32">
        <f t="shared" si="3"/>
        <v>356268.77999999991</v>
      </c>
      <c r="Y16" s="33">
        <v>0</v>
      </c>
      <c r="Z16" s="20"/>
      <c r="AA16" s="20"/>
    </row>
    <row r="17" spans="2:27" ht="24.75">
      <c r="B17" s="19">
        <f t="shared" si="4"/>
        <v>13</v>
      </c>
      <c r="C17" s="9" t="s">
        <v>145</v>
      </c>
      <c r="D17" s="21" t="s">
        <v>105</v>
      </c>
      <c r="E17" s="10"/>
      <c r="F17" s="11">
        <v>201401010088</v>
      </c>
      <c r="G17" s="9" t="s">
        <v>53</v>
      </c>
      <c r="H17" s="9" t="s">
        <v>54</v>
      </c>
      <c r="I17" s="9" t="s">
        <v>55</v>
      </c>
      <c r="J17" s="23">
        <v>801.22</v>
      </c>
      <c r="K17" s="24">
        <v>41904</v>
      </c>
      <c r="L17" s="25" t="s">
        <v>112</v>
      </c>
      <c r="M17" s="25" t="s">
        <v>57</v>
      </c>
      <c r="N17" s="9" t="s">
        <v>63</v>
      </c>
      <c r="O17" s="12" t="s">
        <v>141</v>
      </c>
      <c r="P17" s="27">
        <v>18000</v>
      </c>
      <c r="Q17" s="28">
        <f t="shared" si="5"/>
        <v>1715580</v>
      </c>
      <c r="R17" s="29" t="s">
        <v>27</v>
      </c>
      <c r="S17" s="8">
        <v>95.31</v>
      </c>
      <c r="T17" s="30">
        <f t="shared" si="1"/>
        <v>41993</v>
      </c>
      <c r="U17" s="9" t="s">
        <v>53</v>
      </c>
      <c r="V17" s="31">
        <f t="shared" si="2"/>
        <v>2058.6959999999999</v>
      </c>
      <c r="W17" s="20">
        <v>155.75</v>
      </c>
      <c r="X17" s="32">
        <f t="shared" si="3"/>
        <v>320641.902</v>
      </c>
      <c r="Y17" s="33">
        <v>0</v>
      </c>
      <c r="Z17" s="20"/>
      <c r="AA17" s="20"/>
    </row>
    <row r="18" spans="2:27" ht="24.75">
      <c r="B18" s="19">
        <f t="shared" si="4"/>
        <v>14</v>
      </c>
      <c r="C18" s="9" t="s">
        <v>146</v>
      </c>
      <c r="D18" s="21" t="s">
        <v>105</v>
      </c>
      <c r="E18" s="10"/>
      <c r="F18" s="22" t="s">
        <v>147</v>
      </c>
      <c r="G18" s="9" t="s">
        <v>69</v>
      </c>
      <c r="H18" s="9" t="s">
        <v>54</v>
      </c>
      <c r="I18" s="9" t="s">
        <v>55</v>
      </c>
      <c r="J18" s="23">
        <v>801.22</v>
      </c>
      <c r="K18" s="24">
        <v>41904</v>
      </c>
      <c r="L18" s="25" t="s">
        <v>112</v>
      </c>
      <c r="M18" s="25" t="s">
        <v>57</v>
      </c>
      <c r="N18" s="9" t="s">
        <v>63</v>
      </c>
      <c r="O18" s="12" t="s">
        <v>141</v>
      </c>
      <c r="P18" s="27">
        <v>24000</v>
      </c>
      <c r="Q18" s="28">
        <f t="shared" si="5"/>
        <v>2287440</v>
      </c>
      <c r="R18" s="29" t="s">
        <v>27</v>
      </c>
      <c r="S18" s="8">
        <v>95.31</v>
      </c>
      <c r="T18" s="30">
        <f t="shared" si="1"/>
        <v>41993</v>
      </c>
      <c r="U18" s="9" t="s">
        <v>53</v>
      </c>
      <c r="V18" s="31">
        <f t="shared" si="2"/>
        <v>2744.9279999999999</v>
      </c>
      <c r="W18" s="20">
        <v>155.75</v>
      </c>
      <c r="X18" s="32">
        <f t="shared" si="3"/>
        <v>427522.53599999996</v>
      </c>
      <c r="Y18" s="33">
        <v>0</v>
      </c>
      <c r="Z18" s="20"/>
      <c r="AA18" s="20"/>
    </row>
    <row r="19" spans="2:27" ht="26.25">
      <c r="B19" s="19">
        <f t="shared" si="4"/>
        <v>15</v>
      </c>
      <c r="C19" s="9" t="s">
        <v>148</v>
      </c>
      <c r="D19" s="21" t="s">
        <v>105</v>
      </c>
      <c r="E19" s="10"/>
      <c r="F19" s="22" t="s">
        <v>149</v>
      </c>
      <c r="G19" s="9" t="s">
        <v>109</v>
      </c>
      <c r="H19" s="9" t="s">
        <v>117</v>
      </c>
      <c r="I19" s="9" t="s">
        <v>55</v>
      </c>
      <c r="J19" s="23">
        <v>801.22</v>
      </c>
      <c r="K19" s="24">
        <v>41904</v>
      </c>
      <c r="L19" s="25" t="s">
        <v>112</v>
      </c>
      <c r="M19" s="25" t="s">
        <v>57</v>
      </c>
      <c r="N19" s="9" t="s">
        <v>63</v>
      </c>
      <c r="O19" s="12" t="s">
        <v>141</v>
      </c>
      <c r="P19" s="27">
        <v>88000</v>
      </c>
      <c r="Q19" s="28">
        <f t="shared" si="5"/>
        <v>8387280</v>
      </c>
      <c r="R19" s="29" t="s">
        <v>27</v>
      </c>
      <c r="S19" s="8">
        <v>95.31</v>
      </c>
      <c r="T19" s="30">
        <f t="shared" si="1"/>
        <v>41993</v>
      </c>
      <c r="U19" s="12" t="s">
        <v>110</v>
      </c>
      <c r="V19" s="31">
        <f t="shared" si="2"/>
        <v>10064.735999999999</v>
      </c>
      <c r="W19" s="20">
        <v>155.75</v>
      </c>
      <c r="X19" s="32">
        <f t="shared" si="3"/>
        <v>1567582.6319999998</v>
      </c>
      <c r="Y19" s="33">
        <v>0</v>
      </c>
      <c r="Z19" s="20"/>
      <c r="AA19" s="20"/>
    </row>
    <row r="20" spans="2:27" ht="21.75" customHeight="1">
      <c r="B20" s="19">
        <f t="shared" si="4"/>
        <v>16</v>
      </c>
      <c r="C20" s="9" t="s">
        <v>150</v>
      </c>
      <c r="D20" s="21" t="s">
        <v>105</v>
      </c>
      <c r="E20" s="10"/>
      <c r="F20" s="22" t="s">
        <v>151</v>
      </c>
      <c r="G20" s="9" t="s">
        <v>88</v>
      </c>
      <c r="H20" s="9" t="s">
        <v>89</v>
      </c>
      <c r="I20" s="9" t="s">
        <v>29</v>
      </c>
      <c r="J20" s="23">
        <v>801.22</v>
      </c>
      <c r="K20" s="24">
        <v>41910</v>
      </c>
      <c r="L20" s="25" t="s">
        <v>113</v>
      </c>
      <c r="M20" s="25" t="s">
        <v>30</v>
      </c>
      <c r="N20" s="9" t="s">
        <v>63</v>
      </c>
      <c r="O20" s="12" t="s">
        <v>107</v>
      </c>
      <c r="P20" s="27">
        <v>474935</v>
      </c>
      <c r="Q20" s="28">
        <f t="shared" si="5"/>
        <v>45676873.625</v>
      </c>
      <c r="R20" s="29" t="s">
        <v>27</v>
      </c>
      <c r="S20" s="35">
        <v>96.174999999999997</v>
      </c>
      <c r="T20" s="30">
        <f t="shared" si="1"/>
        <v>41999</v>
      </c>
      <c r="U20" s="12" t="s">
        <v>88</v>
      </c>
      <c r="V20" s="31">
        <f t="shared" si="2"/>
        <v>54812.248349999994</v>
      </c>
      <c r="W20" s="20">
        <v>155.75</v>
      </c>
      <c r="X20" s="32">
        <f t="shared" si="3"/>
        <v>8537007.6805124991</v>
      </c>
      <c r="Y20" s="33">
        <v>0</v>
      </c>
      <c r="Z20" s="20"/>
      <c r="AA20" s="20"/>
    </row>
    <row r="21" spans="2:27" ht="21.75" customHeight="1">
      <c r="B21" s="19">
        <f t="shared" si="4"/>
        <v>17</v>
      </c>
      <c r="C21" s="9" t="s">
        <v>152</v>
      </c>
      <c r="D21" s="21" t="s">
        <v>105</v>
      </c>
      <c r="E21" s="10"/>
      <c r="F21" s="22" t="s">
        <v>153</v>
      </c>
      <c r="G21" s="9" t="s">
        <v>88</v>
      </c>
      <c r="H21" s="9" t="s">
        <v>89</v>
      </c>
      <c r="I21" s="9" t="s">
        <v>29</v>
      </c>
      <c r="J21" s="23">
        <v>801.22</v>
      </c>
      <c r="K21" s="24">
        <v>41910</v>
      </c>
      <c r="L21" s="25" t="s">
        <v>113</v>
      </c>
      <c r="M21" s="25" t="s">
        <v>30</v>
      </c>
      <c r="N21" s="9" t="s">
        <v>63</v>
      </c>
      <c r="O21" s="12" t="s">
        <v>107</v>
      </c>
      <c r="P21" s="27">
        <v>475000</v>
      </c>
      <c r="Q21" s="28">
        <f t="shared" si="5"/>
        <v>45683125</v>
      </c>
      <c r="R21" s="29" t="s">
        <v>27</v>
      </c>
      <c r="S21" s="35">
        <v>96.174999999999997</v>
      </c>
      <c r="T21" s="30">
        <f t="shared" si="1"/>
        <v>41999</v>
      </c>
      <c r="U21" s="12" t="s">
        <v>88</v>
      </c>
      <c r="V21" s="31">
        <f t="shared" si="2"/>
        <v>54819.749999999993</v>
      </c>
      <c r="W21" s="20">
        <v>155.75</v>
      </c>
      <c r="X21" s="32">
        <f t="shared" si="3"/>
        <v>8538176.0624999981</v>
      </c>
      <c r="Y21" s="33">
        <v>0</v>
      </c>
      <c r="Z21" s="20"/>
      <c r="AA21" s="20"/>
    </row>
    <row r="22" spans="2:27" ht="21.75" customHeight="1">
      <c r="B22" s="19">
        <f t="shared" si="4"/>
        <v>18</v>
      </c>
      <c r="C22" s="9" t="s">
        <v>154</v>
      </c>
      <c r="D22" s="21" t="s">
        <v>105</v>
      </c>
      <c r="E22" s="10"/>
      <c r="F22" s="22" t="s">
        <v>155</v>
      </c>
      <c r="G22" s="9" t="s">
        <v>53</v>
      </c>
      <c r="H22" s="9" t="s">
        <v>97</v>
      </c>
      <c r="I22" s="9" t="s">
        <v>75</v>
      </c>
      <c r="J22" s="23">
        <v>801.22</v>
      </c>
      <c r="K22" s="24">
        <v>41910</v>
      </c>
      <c r="L22" s="25" t="s">
        <v>156</v>
      </c>
      <c r="M22" s="25" t="s">
        <v>77</v>
      </c>
      <c r="N22" s="9" t="s">
        <v>101</v>
      </c>
      <c r="O22" s="12" t="s">
        <v>157</v>
      </c>
      <c r="P22" s="27">
        <v>398587</v>
      </c>
      <c r="Q22" s="28">
        <f t="shared" si="5"/>
        <v>37309736.134999998</v>
      </c>
      <c r="R22" s="29" t="s">
        <v>27</v>
      </c>
      <c r="S22" s="35">
        <v>93.605000000000004</v>
      </c>
      <c r="T22" s="30">
        <f t="shared" si="1"/>
        <v>41999</v>
      </c>
      <c r="U22" s="12" t="s">
        <v>53</v>
      </c>
      <c r="V22" s="31">
        <f t="shared" si="2"/>
        <v>44771.683361999996</v>
      </c>
      <c r="W22" s="20">
        <v>155.75</v>
      </c>
      <c r="X22" s="32">
        <f t="shared" si="3"/>
        <v>6973189.6836314993</v>
      </c>
      <c r="Y22" s="33">
        <v>0</v>
      </c>
      <c r="Z22" s="20"/>
      <c r="AA22" s="20"/>
    </row>
    <row r="23" spans="2:27" ht="24.75">
      <c r="B23" s="19">
        <f t="shared" si="4"/>
        <v>19</v>
      </c>
      <c r="C23" s="9" t="s">
        <v>158</v>
      </c>
      <c r="D23" s="21" t="s">
        <v>105</v>
      </c>
      <c r="E23" s="10"/>
      <c r="F23" s="22" t="s">
        <v>159</v>
      </c>
      <c r="G23" s="9" t="s">
        <v>88</v>
      </c>
      <c r="H23" s="9" t="s">
        <v>89</v>
      </c>
      <c r="I23" s="9" t="s">
        <v>55</v>
      </c>
      <c r="J23" s="23">
        <v>801.22</v>
      </c>
      <c r="K23" s="24">
        <v>41911</v>
      </c>
      <c r="L23" s="25" t="s">
        <v>160</v>
      </c>
      <c r="M23" s="25" t="s">
        <v>57</v>
      </c>
      <c r="N23" s="9" t="s">
        <v>103</v>
      </c>
      <c r="O23" s="12" t="s">
        <v>161</v>
      </c>
      <c r="P23" s="27">
        <v>60000</v>
      </c>
      <c r="Q23" s="28">
        <f t="shared" si="5"/>
        <v>5710560</v>
      </c>
      <c r="R23" s="29" t="s">
        <v>27</v>
      </c>
      <c r="S23" s="35">
        <v>95.176000000000002</v>
      </c>
      <c r="T23" s="30">
        <f t="shared" si="1"/>
        <v>42000</v>
      </c>
      <c r="U23" s="9" t="s">
        <v>88</v>
      </c>
      <c r="V23" s="31">
        <f t="shared" si="2"/>
        <v>6852.6719999999996</v>
      </c>
      <c r="W23" s="20">
        <v>155.75</v>
      </c>
      <c r="X23" s="32">
        <f t="shared" si="3"/>
        <v>1067303.6639999999</v>
      </c>
      <c r="Y23" s="33">
        <v>0</v>
      </c>
      <c r="Z23" s="20"/>
      <c r="AA23" s="20"/>
    </row>
    <row r="24" spans="2:27" ht="24.75">
      <c r="B24" s="19">
        <f t="shared" si="4"/>
        <v>20</v>
      </c>
      <c r="C24" s="9" t="s">
        <v>162</v>
      </c>
      <c r="D24" s="21" t="s">
        <v>105</v>
      </c>
      <c r="E24" s="10"/>
      <c r="F24" s="22" t="s">
        <v>163</v>
      </c>
      <c r="G24" s="9" t="s">
        <v>88</v>
      </c>
      <c r="H24" s="9" t="s">
        <v>89</v>
      </c>
      <c r="I24" s="9" t="s">
        <v>55</v>
      </c>
      <c r="J24" s="23">
        <v>801.22</v>
      </c>
      <c r="K24" s="24">
        <v>41911</v>
      </c>
      <c r="L24" s="25" t="s">
        <v>160</v>
      </c>
      <c r="M24" s="25" t="s">
        <v>57</v>
      </c>
      <c r="N24" s="9" t="s">
        <v>103</v>
      </c>
      <c r="O24" s="12" t="s">
        <v>161</v>
      </c>
      <c r="P24" s="27">
        <v>90000</v>
      </c>
      <c r="Q24" s="28">
        <f t="shared" si="5"/>
        <v>8565840</v>
      </c>
      <c r="R24" s="29" t="s">
        <v>27</v>
      </c>
      <c r="S24" s="35">
        <v>95.176000000000002</v>
      </c>
      <c r="T24" s="30">
        <f t="shared" si="1"/>
        <v>42000</v>
      </c>
      <c r="U24" s="9" t="s">
        <v>88</v>
      </c>
      <c r="V24" s="31">
        <f t="shared" si="2"/>
        <v>10279.008</v>
      </c>
      <c r="W24" s="20">
        <v>155.75</v>
      </c>
      <c r="X24" s="32">
        <f t="shared" si="3"/>
        <v>1600955.496</v>
      </c>
      <c r="Y24" s="33">
        <v>0</v>
      </c>
      <c r="Z24" s="20"/>
      <c r="AA24" s="20"/>
    </row>
    <row r="25" spans="2:27" ht="24.75">
      <c r="B25" s="19">
        <f t="shared" si="4"/>
        <v>21</v>
      </c>
      <c r="C25" s="9" t="s">
        <v>164</v>
      </c>
      <c r="D25" s="21" t="s">
        <v>105</v>
      </c>
      <c r="E25" s="10"/>
      <c r="F25" s="22" t="s">
        <v>165</v>
      </c>
      <c r="G25" s="9" t="s">
        <v>88</v>
      </c>
      <c r="H25" s="9" t="s">
        <v>89</v>
      </c>
      <c r="I25" s="9" t="s">
        <v>55</v>
      </c>
      <c r="J25" s="23">
        <v>801.22</v>
      </c>
      <c r="K25" s="24">
        <v>41911</v>
      </c>
      <c r="L25" s="25" t="s">
        <v>160</v>
      </c>
      <c r="M25" s="25" t="s">
        <v>57</v>
      </c>
      <c r="N25" s="9" t="s">
        <v>103</v>
      </c>
      <c r="O25" s="12" t="s">
        <v>161</v>
      </c>
      <c r="P25" s="27">
        <v>110000</v>
      </c>
      <c r="Q25" s="28">
        <f t="shared" si="5"/>
        <v>10469360</v>
      </c>
      <c r="R25" s="29" t="s">
        <v>27</v>
      </c>
      <c r="S25" s="35">
        <v>95.176000000000002</v>
      </c>
      <c r="T25" s="30">
        <f t="shared" si="1"/>
        <v>42000</v>
      </c>
      <c r="U25" s="9" t="s">
        <v>88</v>
      </c>
      <c r="V25" s="31">
        <f t="shared" si="2"/>
        <v>12563.231999999998</v>
      </c>
      <c r="W25" s="20">
        <v>155.75</v>
      </c>
      <c r="X25" s="32">
        <f t="shared" si="3"/>
        <v>1956723.3839999996</v>
      </c>
      <c r="Y25" s="33">
        <v>0</v>
      </c>
      <c r="Z25" s="20"/>
      <c r="AA25" s="20"/>
    </row>
    <row r="26" spans="2:27" ht="24.75">
      <c r="B26" s="19">
        <f t="shared" si="4"/>
        <v>22</v>
      </c>
      <c r="C26" s="9" t="s">
        <v>166</v>
      </c>
      <c r="D26" s="21" t="s">
        <v>105</v>
      </c>
      <c r="E26" s="10"/>
      <c r="F26" s="22" t="s">
        <v>167</v>
      </c>
      <c r="G26" s="9" t="s">
        <v>88</v>
      </c>
      <c r="H26" s="9" t="s">
        <v>89</v>
      </c>
      <c r="I26" s="9" t="s">
        <v>55</v>
      </c>
      <c r="J26" s="23">
        <v>801.22</v>
      </c>
      <c r="K26" s="24">
        <v>41911</v>
      </c>
      <c r="L26" s="25" t="s">
        <v>160</v>
      </c>
      <c r="M26" s="25" t="s">
        <v>57</v>
      </c>
      <c r="N26" s="9" t="s">
        <v>103</v>
      </c>
      <c r="O26" s="12" t="s">
        <v>161</v>
      </c>
      <c r="P26" s="27">
        <v>76000</v>
      </c>
      <c r="Q26" s="28">
        <f t="shared" si="5"/>
        <v>7233376</v>
      </c>
      <c r="R26" s="29" t="s">
        <v>27</v>
      </c>
      <c r="S26" s="35">
        <v>95.176000000000002</v>
      </c>
      <c r="T26" s="30">
        <f t="shared" si="1"/>
        <v>42000</v>
      </c>
      <c r="U26" s="9" t="s">
        <v>88</v>
      </c>
      <c r="V26" s="31">
        <f t="shared" si="2"/>
        <v>8680.0511999999999</v>
      </c>
      <c r="W26" s="20">
        <v>155.75</v>
      </c>
      <c r="X26" s="32">
        <f t="shared" si="3"/>
        <v>1351917.9743999999</v>
      </c>
      <c r="Y26" s="33">
        <v>0</v>
      </c>
      <c r="Z26" s="20"/>
      <c r="AA26" s="20"/>
    </row>
    <row r="27" spans="2:27" ht="24.75">
      <c r="B27" s="19">
        <f t="shared" si="4"/>
        <v>23</v>
      </c>
      <c r="C27" s="9" t="s">
        <v>168</v>
      </c>
      <c r="D27" s="21" t="s">
        <v>105</v>
      </c>
      <c r="E27" s="10"/>
      <c r="F27" s="22" t="s">
        <v>169</v>
      </c>
      <c r="G27" s="9" t="s">
        <v>88</v>
      </c>
      <c r="H27" s="9" t="s">
        <v>89</v>
      </c>
      <c r="I27" s="9" t="s">
        <v>55</v>
      </c>
      <c r="J27" s="23">
        <v>801.22</v>
      </c>
      <c r="K27" s="24">
        <v>41911</v>
      </c>
      <c r="L27" s="25" t="s">
        <v>160</v>
      </c>
      <c r="M27" s="25" t="s">
        <v>57</v>
      </c>
      <c r="N27" s="9" t="s">
        <v>103</v>
      </c>
      <c r="O27" s="12" t="s">
        <v>161</v>
      </c>
      <c r="P27" s="27">
        <v>200000</v>
      </c>
      <c r="Q27" s="28">
        <f t="shared" si="5"/>
        <v>19035200</v>
      </c>
      <c r="R27" s="29" t="s">
        <v>27</v>
      </c>
      <c r="S27" s="35">
        <v>95.176000000000002</v>
      </c>
      <c r="T27" s="30">
        <f t="shared" si="1"/>
        <v>42000</v>
      </c>
      <c r="U27" s="9" t="s">
        <v>88</v>
      </c>
      <c r="V27" s="31">
        <f t="shared" si="2"/>
        <v>22842.239999999998</v>
      </c>
      <c r="W27" s="20">
        <v>155.75</v>
      </c>
      <c r="X27" s="32">
        <f t="shared" si="3"/>
        <v>3557678.88</v>
      </c>
      <c r="Y27" s="33">
        <v>0</v>
      </c>
      <c r="Z27" s="20"/>
      <c r="AA27" s="20"/>
    </row>
    <row r="28" spans="2:27" ht="24.75">
      <c r="B28" s="19">
        <f t="shared" si="4"/>
        <v>24</v>
      </c>
      <c r="C28" s="9" t="s">
        <v>170</v>
      </c>
      <c r="D28" s="21" t="s">
        <v>105</v>
      </c>
      <c r="E28" s="10"/>
      <c r="F28" s="22" t="s">
        <v>171</v>
      </c>
      <c r="G28" s="9" t="s">
        <v>88</v>
      </c>
      <c r="H28" s="9" t="s">
        <v>89</v>
      </c>
      <c r="I28" s="9" t="s">
        <v>55</v>
      </c>
      <c r="J28" s="23">
        <v>801.22</v>
      </c>
      <c r="K28" s="24">
        <v>41911</v>
      </c>
      <c r="L28" s="25" t="s">
        <v>160</v>
      </c>
      <c r="M28" s="25" t="s">
        <v>57</v>
      </c>
      <c r="N28" s="9" t="s">
        <v>103</v>
      </c>
      <c r="O28" s="12" t="s">
        <v>161</v>
      </c>
      <c r="P28" s="27">
        <v>200000</v>
      </c>
      <c r="Q28" s="28">
        <f t="shared" si="5"/>
        <v>19035200</v>
      </c>
      <c r="R28" s="29" t="s">
        <v>27</v>
      </c>
      <c r="S28" s="35">
        <v>95.176000000000002</v>
      </c>
      <c r="T28" s="30">
        <f t="shared" si="1"/>
        <v>42000</v>
      </c>
      <c r="U28" s="9" t="s">
        <v>88</v>
      </c>
      <c r="V28" s="31">
        <f t="shared" si="2"/>
        <v>22842.239999999998</v>
      </c>
      <c r="W28" s="20">
        <v>155.75</v>
      </c>
      <c r="X28" s="32">
        <f t="shared" si="3"/>
        <v>3557678.88</v>
      </c>
      <c r="Y28" s="33">
        <v>0</v>
      </c>
      <c r="Z28" s="20"/>
      <c r="AA28" s="20"/>
    </row>
    <row r="29" spans="2:27" ht="24.75">
      <c r="B29" s="19">
        <f t="shared" si="4"/>
        <v>25</v>
      </c>
      <c r="C29" s="9" t="s">
        <v>172</v>
      </c>
      <c r="D29" s="21" t="s">
        <v>105</v>
      </c>
      <c r="E29" s="10"/>
      <c r="F29" s="22" t="s">
        <v>173</v>
      </c>
      <c r="G29" s="9" t="s">
        <v>88</v>
      </c>
      <c r="H29" s="9" t="s">
        <v>89</v>
      </c>
      <c r="I29" s="9" t="s">
        <v>55</v>
      </c>
      <c r="J29" s="23">
        <v>801.22</v>
      </c>
      <c r="K29" s="24">
        <v>41911</v>
      </c>
      <c r="L29" s="25" t="s">
        <v>160</v>
      </c>
      <c r="M29" s="25" t="s">
        <v>57</v>
      </c>
      <c r="N29" s="9" t="s">
        <v>103</v>
      </c>
      <c r="O29" s="12" t="s">
        <v>161</v>
      </c>
      <c r="P29" s="27">
        <v>200000</v>
      </c>
      <c r="Q29" s="28">
        <f t="shared" si="5"/>
        <v>19035200</v>
      </c>
      <c r="R29" s="29" t="s">
        <v>27</v>
      </c>
      <c r="S29" s="35">
        <v>95.176000000000002</v>
      </c>
      <c r="T29" s="30">
        <f t="shared" si="1"/>
        <v>42000</v>
      </c>
      <c r="U29" s="9" t="s">
        <v>88</v>
      </c>
      <c r="V29" s="37">
        <f t="shared" si="2"/>
        <v>22842.239999999998</v>
      </c>
      <c r="W29" s="20">
        <v>155.75</v>
      </c>
      <c r="X29" s="28">
        <f t="shared" si="3"/>
        <v>3557678.88</v>
      </c>
      <c r="Y29" s="38">
        <v>0</v>
      </c>
      <c r="Z29" s="20"/>
      <c r="AA29" s="20"/>
    </row>
    <row r="30" spans="2:27" ht="25.5" thickBot="1">
      <c r="B30" s="19">
        <f t="shared" si="4"/>
        <v>26</v>
      </c>
      <c r="C30" s="9" t="s">
        <v>174</v>
      </c>
      <c r="D30" s="21" t="s">
        <v>105</v>
      </c>
      <c r="E30" s="10"/>
      <c r="F30" s="22" t="s">
        <v>175</v>
      </c>
      <c r="G30" s="9" t="s">
        <v>88</v>
      </c>
      <c r="H30" s="9" t="s">
        <v>89</v>
      </c>
      <c r="I30" s="9" t="s">
        <v>55</v>
      </c>
      <c r="J30" s="23">
        <v>801.22</v>
      </c>
      <c r="K30" s="24">
        <v>41911</v>
      </c>
      <c r="L30" s="25" t="s">
        <v>160</v>
      </c>
      <c r="M30" s="25" t="s">
        <v>57</v>
      </c>
      <c r="N30" s="9" t="s">
        <v>103</v>
      </c>
      <c r="O30" s="12" t="s">
        <v>161</v>
      </c>
      <c r="P30" s="27">
        <v>13605</v>
      </c>
      <c r="Q30" s="28">
        <f t="shared" si="5"/>
        <v>1294869.48</v>
      </c>
      <c r="R30" s="29" t="s">
        <v>27</v>
      </c>
      <c r="S30" s="35">
        <v>95.176000000000002</v>
      </c>
      <c r="T30" s="30">
        <f t="shared" si="1"/>
        <v>42000</v>
      </c>
      <c r="U30" s="9" t="s">
        <v>88</v>
      </c>
      <c r="V30" s="37">
        <f t="shared" si="2"/>
        <v>1553.8433759999998</v>
      </c>
      <c r="W30" s="20">
        <v>155.75</v>
      </c>
      <c r="X30" s="28">
        <f t="shared" si="3"/>
        <v>242011.10581199997</v>
      </c>
      <c r="Y30" s="38">
        <v>0</v>
      </c>
      <c r="Z30" s="20"/>
      <c r="AA30" s="20"/>
    </row>
    <row r="31" spans="2:27" ht="15.75" thickBot="1">
      <c r="B31" s="39"/>
      <c r="C31" s="40"/>
      <c r="D31" s="40"/>
      <c r="E31" s="40"/>
      <c r="F31" s="40"/>
      <c r="G31" s="40"/>
      <c r="H31" s="40"/>
      <c r="I31" s="40"/>
      <c r="J31" s="39"/>
      <c r="K31" s="41"/>
      <c r="L31" s="40"/>
      <c r="M31" s="40"/>
      <c r="N31" s="42"/>
      <c r="O31" s="43"/>
      <c r="P31" s="44">
        <f>SUM(P5:P30)</f>
        <v>9596983</v>
      </c>
      <c r="Q31" s="45">
        <f>SUM(Q5:Q30)</f>
        <v>924769593.50800002</v>
      </c>
      <c r="R31" s="46"/>
      <c r="S31" s="47"/>
      <c r="T31" s="48"/>
      <c r="U31" s="49"/>
      <c r="V31" s="45">
        <f>SUM(V5:V30)</f>
        <v>1109723.5122096001</v>
      </c>
      <c r="W31" s="46"/>
      <c r="X31" s="45">
        <f>SUM(X5:X30)</f>
        <v>172839437.02664521</v>
      </c>
      <c r="Y31" s="45">
        <f>SUM(Y5:Y30)</f>
        <v>0</v>
      </c>
      <c r="Z31" s="39"/>
      <c r="AA31" s="39"/>
    </row>
    <row r="34" spans="3:3">
      <c r="C34" s="61"/>
    </row>
    <row r="35" spans="3:3">
      <c r="C35" s="61"/>
    </row>
  </sheetData>
  <pageMargins left="0" right="0" top="0" bottom="0" header="0.31496062992125984" footer="0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(SEPT'14)</vt:lpstr>
      <vt:lpstr>COMPLIANT (SEPT'14)</vt:lpstr>
      <vt:lpstr>NON-COMPLIANT (SEPT'14)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2014-10-08T13:30:49Z</cp:lastPrinted>
  <dcterms:created xsi:type="dcterms:W3CDTF">2014-09-09T09:10:16Z</dcterms:created>
  <dcterms:modified xsi:type="dcterms:W3CDTF">2014-10-13T10:34:44Z</dcterms:modified>
</cp:coreProperties>
</file>