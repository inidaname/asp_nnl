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20100" windowHeight="7380" activeTab="1"/>
  </bookViews>
  <sheets>
    <sheet name="CIR MAY 2014" sheetId="4" r:id="rId1"/>
    <sheet name="CID MAY 2014 " sheetId="7" r:id="rId2"/>
    <sheet name="NCI MAY 2014" sheetId="6" r:id="rId3"/>
  </sheets>
  <definedNames>
    <definedName name="_xlnm._FilterDatabase" localSheetId="1" hidden="1">'CID MAY 2014 '!$H$23:$I$36</definedName>
    <definedName name="_xlnm._FilterDatabase" localSheetId="0" hidden="1">'CIR MAY 2014'!$C$29:$E$66</definedName>
    <definedName name="_xlnm._FilterDatabase" localSheetId="2" hidden="1">'NCI MAY 2014'!$A$31:$AA$48</definedName>
    <definedName name="_xlnm.Print_Area" localSheetId="1">'CID MAY 2014 '!$A$1:$AA$50</definedName>
    <definedName name="_xlnm.Print_Area" localSheetId="0">'CIR MAY 2014'!$A$1:$AA$69</definedName>
    <definedName name="_xlnm.Print_Area" localSheetId="2">'NCI MAY 2014'!$A$1:$AA$50</definedName>
    <definedName name="_xlnm.Print_Titles" localSheetId="1">'CID MAY 2014 '!$A:$A,'CID MAY 2014 '!$21:$21</definedName>
    <definedName name="_xlnm.Print_Titles" localSheetId="0">'CIR MAY 2014'!$A:$A,'CIR MAY 2014'!$29:$29</definedName>
    <definedName name="_xlnm.Print_Titles" localSheetId="2">'NCI MAY 2014'!$A:$A,'NCI MAY 2014'!#REF!</definedName>
  </definedNames>
  <calcPr calcId="145621"/>
</workbook>
</file>

<file path=xl/calcChain.xml><?xml version="1.0" encoding="utf-8"?>
<calcChain xmlns="http://schemas.openxmlformats.org/spreadsheetml/2006/main">
  <c r="Y50" i="7" l="1"/>
  <c r="X50" i="7"/>
  <c r="V50" i="7"/>
  <c r="Q50" i="7"/>
  <c r="P50" i="7"/>
  <c r="O50" i="7"/>
  <c r="P40" i="7"/>
  <c r="P41" i="7"/>
  <c r="Q40" i="7"/>
  <c r="Q41" i="7"/>
  <c r="T40" i="7"/>
  <c r="T41" i="7"/>
  <c r="V40" i="7"/>
  <c r="X40" i="7" s="1"/>
  <c r="V41" i="7"/>
  <c r="X41" i="7" s="1"/>
  <c r="V50" i="6" l="1"/>
  <c r="X50" i="6"/>
  <c r="Y50" i="6"/>
  <c r="P33" i="6"/>
  <c r="Q33" i="6" s="1"/>
  <c r="T33" i="6"/>
  <c r="P34" i="6"/>
  <c r="Q34" i="6" s="1"/>
  <c r="T34" i="6"/>
  <c r="V34" i="6"/>
  <c r="X34" i="6" s="1"/>
  <c r="P35" i="6"/>
  <c r="Q35" i="6" s="1"/>
  <c r="T35" i="6"/>
  <c r="P36" i="6"/>
  <c r="Q36" i="6" s="1"/>
  <c r="T36" i="6"/>
  <c r="P37" i="6"/>
  <c r="Q37" i="6" s="1"/>
  <c r="T37" i="6"/>
  <c r="P38" i="6"/>
  <c r="Q38" i="6" s="1"/>
  <c r="T38" i="6"/>
  <c r="P39" i="6"/>
  <c r="Q39" i="6" s="1"/>
  <c r="T39" i="6"/>
  <c r="P40" i="6"/>
  <c r="Q40" i="6" s="1"/>
  <c r="T40" i="6"/>
  <c r="P41" i="6"/>
  <c r="Q41" i="6" s="1"/>
  <c r="T41" i="6"/>
  <c r="P42" i="6"/>
  <c r="Q42" i="6" s="1"/>
  <c r="T42" i="6"/>
  <c r="P43" i="6"/>
  <c r="Q43" i="6" s="1"/>
  <c r="T43" i="6"/>
  <c r="P44" i="6"/>
  <c r="Q44" i="6" s="1"/>
  <c r="T44" i="6"/>
  <c r="P45" i="6"/>
  <c r="Q45" i="6" s="1"/>
  <c r="T45" i="6"/>
  <c r="P46" i="6"/>
  <c r="Q46" i="6" s="1"/>
  <c r="T46" i="6"/>
  <c r="P47" i="6"/>
  <c r="Q47" i="6" s="1"/>
  <c r="T47" i="6"/>
  <c r="P48" i="6"/>
  <c r="Q48" i="6" s="1"/>
  <c r="T48" i="6"/>
  <c r="V48" i="6" l="1"/>
  <c r="X48" i="6" s="1"/>
  <c r="V46" i="6"/>
  <c r="X46" i="6" s="1"/>
  <c r="V44" i="6"/>
  <c r="X44" i="6" s="1"/>
  <c r="V42" i="6"/>
  <c r="X42" i="6" s="1"/>
  <c r="V40" i="6"/>
  <c r="X40" i="6" s="1"/>
  <c r="V38" i="6"/>
  <c r="X38" i="6" s="1"/>
  <c r="V36" i="6"/>
  <c r="X36" i="6" s="1"/>
  <c r="V47" i="6"/>
  <c r="X47" i="6" s="1"/>
  <c r="V45" i="6"/>
  <c r="X45" i="6" s="1"/>
  <c r="V43" i="6"/>
  <c r="X43" i="6" s="1"/>
  <c r="V41" i="6"/>
  <c r="X41" i="6" s="1"/>
  <c r="V39" i="6"/>
  <c r="X39" i="6" s="1"/>
  <c r="V37" i="6"/>
  <c r="X37" i="6" s="1"/>
  <c r="V35" i="6"/>
  <c r="X35" i="6" s="1"/>
  <c r="V33" i="6"/>
  <c r="X33" i="6" s="1"/>
  <c r="P33" i="4" l="1"/>
  <c r="Q33" i="4" s="1"/>
  <c r="T33" i="4"/>
  <c r="P40" i="4"/>
  <c r="Q40" i="4" s="1"/>
  <c r="T40" i="4"/>
  <c r="V40" i="4"/>
  <c r="X40" i="4" s="1"/>
  <c r="P41" i="4"/>
  <c r="Q41" i="4" s="1"/>
  <c r="T41" i="4"/>
  <c r="P42" i="4"/>
  <c r="Q42" i="4"/>
  <c r="T42" i="4"/>
  <c r="V42" i="4"/>
  <c r="X42" i="4" s="1"/>
  <c r="P43" i="4"/>
  <c r="Q43" i="4" s="1"/>
  <c r="T43" i="4"/>
  <c r="P44" i="4"/>
  <c r="Q44" i="4"/>
  <c r="T44" i="4"/>
  <c r="V44" i="4"/>
  <c r="X44" i="4" s="1"/>
  <c r="P45" i="4"/>
  <c r="Q45" i="4" s="1"/>
  <c r="T45" i="4"/>
  <c r="P46" i="4"/>
  <c r="Q46" i="4"/>
  <c r="T46" i="4"/>
  <c r="V46" i="4"/>
  <c r="X46" i="4" s="1"/>
  <c r="P47" i="4"/>
  <c r="Q47" i="4" s="1"/>
  <c r="T47" i="4"/>
  <c r="P48" i="4"/>
  <c r="Q48" i="4"/>
  <c r="T48" i="4"/>
  <c r="V48" i="4"/>
  <c r="X48" i="4" s="1"/>
  <c r="P49" i="4"/>
  <c r="Q49" i="4" s="1"/>
  <c r="T49" i="4"/>
  <c r="P50" i="4"/>
  <c r="Q50" i="4" s="1"/>
  <c r="T50" i="4"/>
  <c r="V50" i="4"/>
  <c r="X50" i="4" s="1"/>
  <c r="V33" i="4" l="1"/>
  <c r="X33" i="4" s="1"/>
  <c r="V49" i="4"/>
  <c r="X49" i="4" s="1"/>
  <c r="V47" i="4"/>
  <c r="X47" i="4" s="1"/>
  <c r="V45" i="4"/>
  <c r="X45" i="4" s="1"/>
  <c r="V43" i="4"/>
  <c r="X43" i="4" s="1"/>
  <c r="V41" i="4"/>
  <c r="X41" i="4" s="1"/>
  <c r="P38" i="7" l="1"/>
  <c r="Q38" i="7" s="1"/>
  <c r="T38" i="7"/>
  <c r="V38" i="7" l="1"/>
  <c r="X38" i="7" s="1"/>
  <c r="P39" i="7"/>
  <c r="Q39" i="7" s="1"/>
  <c r="T39" i="7"/>
  <c r="T42" i="7"/>
  <c r="T43" i="7"/>
  <c r="T44" i="7"/>
  <c r="T45" i="7"/>
  <c r="T46" i="7"/>
  <c r="T47" i="7"/>
  <c r="T48" i="7"/>
  <c r="P42" i="7"/>
  <c r="Q42" i="7" s="1"/>
  <c r="P43" i="7"/>
  <c r="Q43" i="7" s="1"/>
  <c r="P44" i="7"/>
  <c r="Q44" i="7" s="1"/>
  <c r="P45" i="7"/>
  <c r="Q45" i="7" s="1"/>
  <c r="P46" i="7"/>
  <c r="Q46" i="7" s="1"/>
  <c r="P47" i="7"/>
  <c r="Q47" i="7" s="1"/>
  <c r="P48" i="7"/>
  <c r="Q48" i="7" s="1"/>
  <c r="V48" i="7" l="1"/>
  <c r="X48" i="7" s="1"/>
  <c r="V46" i="7"/>
  <c r="X46" i="7" s="1"/>
  <c r="V44" i="7"/>
  <c r="X44" i="7" s="1"/>
  <c r="V42" i="7"/>
  <c r="X42" i="7" s="1"/>
  <c r="V47" i="7"/>
  <c r="X47" i="7" s="1"/>
  <c r="V45" i="7"/>
  <c r="X45" i="7" s="1"/>
  <c r="V43" i="7"/>
  <c r="X43" i="7" s="1"/>
  <c r="V39" i="7"/>
  <c r="X39" i="7" s="1"/>
  <c r="O50" i="6" l="1"/>
  <c r="O69" i="4"/>
  <c r="Y69" i="4"/>
  <c r="P27" i="7" l="1"/>
  <c r="V27" i="7" s="1"/>
  <c r="X27" i="7" s="1"/>
  <c r="P28" i="7"/>
  <c r="V28" i="7" s="1"/>
  <c r="X28" i="7" s="1"/>
  <c r="T37" i="7" l="1"/>
  <c r="P37" i="7"/>
  <c r="V37" i="7" s="1"/>
  <c r="X37" i="7" s="1"/>
  <c r="Q37" i="7" l="1"/>
  <c r="T62" i="4" l="1"/>
  <c r="T63" i="4"/>
  <c r="T64" i="4"/>
  <c r="T65" i="4"/>
  <c r="T66" i="4"/>
  <c r="P62" i="4"/>
  <c r="Q62" i="4" s="1"/>
  <c r="P63" i="4"/>
  <c r="V63" i="4" s="1"/>
  <c r="X63" i="4" s="1"/>
  <c r="P64" i="4"/>
  <c r="Q64" i="4" s="1"/>
  <c r="P65" i="4"/>
  <c r="V65" i="4" s="1"/>
  <c r="X65" i="4" s="1"/>
  <c r="P66" i="4"/>
  <c r="Q66" i="4" s="1"/>
  <c r="V66" i="4" l="1"/>
  <c r="X66" i="4" s="1"/>
  <c r="V64" i="4"/>
  <c r="X64" i="4" s="1"/>
  <c r="V62" i="4"/>
  <c r="X62" i="4" s="1"/>
  <c r="Q65" i="4"/>
  <c r="Q63" i="4"/>
  <c r="P36" i="7" l="1"/>
  <c r="Q36" i="7" s="1"/>
  <c r="T36" i="7"/>
  <c r="T27" i="7"/>
  <c r="T28" i="7"/>
  <c r="T29" i="7"/>
  <c r="T30" i="7"/>
  <c r="T31" i="7"/>
  <c r="T32" i="7"/>
  <c r="T33" i="7"/>
  <c r="P29" i="7"/>
  <c r="V29" i="7" s="1"/>
  <c r="X29" i="7" s="1"/>
  <c r="P30" i="7"/>
  <c r="Q30" i="7" s="1"/>
  <c r="P31" i="7"/>
  <c r="V31" i="7" s="1"/>
  <c r="X31" i="7" s="1"/>
  <c r="P32" i="7"/>
  <c r="Q32" i="7" s="1"/>
  <c r="P33" i="7"/>
  <c r="V33" i="7" s="1"/>
  <c r="X33" i="7" s="1"/>
  <c r="Q28" i="7" l="1"/>
  <c r="V32" i="7"/>
  <c r="X32" i="7" s="1"/>
  <c r="V30" i="7"/>
  <c r="X30" i="7" s="1"/>
  <c r="V36" i="7"/>
  <c r="X36" i="7" s="1"/>
  <c r="Q33" i="7"/>
  <c r="Q31" i="7"/>
  <c r="Q29" i="7"/>
  <c r="Q27" i="7"/>
  <c r="T34" i="7"/>
  <c r="T25" i="7"/>
  <c r="T26" i="7"/>
  <c r="P25" i="7"/>
  <c r="P26" i="7"/>
  <c r="Q26" i="7" l="1"/>
  <c r="V26" i="7"/>
  <c r="X26" i="7" s="1"/>
  <c r="Q25" i="7"/>
  <c r="V25" i="7"/>
  <c r="X25" i="7" s="1"/>
  <c r="P32" i="6"/>
  <c r="Q32" i="6" s="1"/>
  <c r="T32" i="6"/>
  <c r="P32" i="4"/>
  <c r="Q32" i="4" s="1"/>
  <c r="T32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51" i="4"/>
  <c r="Q51" i="4" s="1"/>
  <c r="T51" i="4"/>
  <c r="P52" i="4"/>
  <c r="Q52" i="4" s="1"/>
  <c r="T52" i="4"/>
  <c r="P53" i="4"/>
  <c r="Q53" i="4" s="1"/>
  <c r="T53" i="4"/>
  <c r="P54" i="4"/>
  <c r="Q54" i="4" s="1"/>
  <c r="T54" i="4"/>
  <c r="P55" i="4"/>
  <c r="Q55" i="4" s="1"/>
  <c r="T55" i="4"/>
  <c r="P56" i="4"/>
  <c r="Q56" i="4" s="1"/>
  <c r="T56" i="4"/>
  <c r="P57" i="4"/>
  <c r="Q57" i="4" s="1"/>
  <c r="T57" i="4"/>
  <c r="P58" i="4"/>
  <c r="Q58" i="4" s="1"/>
  <c r="T58" i="4"/>
  <c r="P59" i="4"/>
  <c r="Q59" i="4" s="1"/>
  <c r="T59" i="4"/>
  <c r="P60" i="4"/>
  <c r="Q60" i="4" s="1"/>
  <c r="T60" i="4"/>
  <c r="P61" i="4"/>
  <c r="Q61" i="4" s="1"/>
  <c r="T61" i="4"/>
  <c r="V32" i="6" l="1"/>
  <c r="X32" i="6" s="1"/>
  <c r="V61" i="4"/>
  <c r="X61" i="4" s="1"/>
  <c r="V59" i="4"/>
  <c r="X59" i="4" s="1"/>
  <c r="V57" i="4"/>
  <c r="X57" i="4" s="1"/>
  <c r="V55" i="4"/>
  <c r="X55" i="4" s="1"/>
  <c r="V53" i="4"/>
  <c r="X53" i="4" s="1"/>
  <c r="V51" i="4"/>
  <c r="X51" i="4" s="1"/>
  <c r="V39" i="4"/>
  <c r="X39" i="4" s="1"/>
  <c r="V37" i="4"/>
  <c r="X37" i="4" s="1"/>
  <c r="V35" i="4"/>
  <c r="X35" i="4" s="1"/>
  <c r="V32" i="4"/>
  <c r="X32" i="4" s="1"/>
  <c r="V60" i="4"/>
  <c r="X60" i="4" s="1"/>
  <c r="V58" i="4"/>
  <c r="X58" i="4" s="1"/>
  <c r="V56" i="4"/>
  <c r="X56" i="4" s="1"/>
  <c r="V54" i="4"/>
  <c r="X54" i="4" s="1"/>
  <c r="V52" i="4"/>
  <c r="X52" i="4" s="1"/>
  <c r="V38" i="4"/>
  <c r="X38" i="4" s="1"/>
  <c r="V36" i="4"/>
  <c r="X36" i="4" s="1"/>
  <c r="V34" i="4"/>
  <c r="X34" i="4" s="1"/>
  <c r="T24" i="7" l="1"/>
  <c r="T31" i="6" l="1"/>
  <c r="P31" i="6"/>
  <c r="P50" i="6" s="1"/>
  <c r="V31" i="6" l="1"/>
  <c r="Q31" i="6"/>
  <c r="Q50" i="6" s="1"/>
  <c r="X31" i="6" l="1"/>
  <c r="P24" i="7"/>
  <c r="V24" i="7" l="1"/>
  <c r="Q24" i="7"/>
  <c r="X24" i="7" l="1"/>
  <c r="P34" i="7"/>
  <c r="V34" i="7" l="1"/>
  <c r="X34" i="7" l="1"/>
  <c r="P35" i="7"/>
  <c r="T35" i="7"/>
  <c r="V35" i="7" l="1"/>
  <c r="Q35" i="7"/>
  <c r="X35" i="7" l="1"/>
  <c r="Q34" i="7" l="1"/>
  <c r="T31" i="4" l="1"/>
  <c r="P31" i="4"/>
  <c r="T30" i="4"/>
  <c r="P30" i="4"/>
  <c r="P69" i="4" l="1"/>
  <c r="V30" i="4"/>
  <c r="Q30" i="4"/>
  <c r="V31" i="4"/>
  <c r="X31" i="4" s="1"/>
  <c r="Q31" i="4"/>
  <c r="Q69" i="4" l="1"/>
  <c r="V69" i="4"/>
  <c r="X30" i="4"/>
  <c r="X69" i="4" s="1"/>
</calcChain>
</file>

<file path=xl/sharedStrings.xml><?xml version="1.0" encoding="utf-8"?>
<sst xmlns="http://schemas.openxmlformats.org/spreadsheetml/2006/main" count="1289" uniqueCount="202">
  <si>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</si>
  <si>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</si>
  <si>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</si>
  <si>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</si>
  <si>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</si>
  <si>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</si>
  <si>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</si>
  <si>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</si>
  <si>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</si>
  <si>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</si>
  <si>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</si>
  <si>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</si>
  <si>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</si>
  <si>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</si>
  <si>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</si>
  <si>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</si>
  <si>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</si>
  <si>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</si>
  <si>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</si>
  <si>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</si>
  <si>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</si>
  <si>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</si>
  <si>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</si>
  <si>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</si>
  <si>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</si>
  <si>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</si>
  <si>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USA</t>
  </si>
  <si>
    <t>GSTL FOB VALUE  ($)</t>
  </si>
  <si>
    <t>TOTAL</t>
  </si>
  <si>
    <t>FOB VALUE  ($)</t>
  </si>
  <si>
    <t xml:space="preserve">EXCHANGE RATE </t>
  </si>
  <si>
    <t>QUA IBOE</t>
  </si>
  <si>
    <t>BONNY</t>
  </si>
  <si>
    <t>QUA IBOE LIGHT</t>
  </si>
  <si>
    <t>BONNY LIGHT</t>
  </si>
  <si>
    <t>INDONESIA</t>
  </si>
  <si>
    <t>FOB VALUE  (NGN)</t>
  </si>
  <si>
    <t>NIGERIAN NATIONAL PETROLEUM CORPORATION</t>
  </si>
  <si>
    <t>GSTL FOB VALUE  (NGN)</t>
  </si>
  <si>
    <t>NOT RECEIVED</t>
  </si>
  <si>
    <t>STANDARD CHARTERED BANK</t>
  </si>
  <si>
    <t>INDIA</t>
  </si>
  <si>
    <t>WALTERSMITH PETROMAN OIL LIMITED</t>
  </si>
  <si>
    <t>SHELL PETROLEUM DEVELOPMENT COMPANY</t>
  </si>
  <si>
    <t>PERTAMINA RU IV CILACAP</t>
  </si>
  <si>
    <t>CENTRAL BANK OF NIGERIA</t>
  </si>
  <si>
    <t>OMSP-INDIA</t>
  </si>
  <si>
    <t>NOT ISSUED</t>
  </si>
  <si>
    <t>NIGER DELTA PETROLEUM RESOURCES</t>
  </si>
  <si>
    <t>CHEVRON NIGERIA LTD</t>
  </si>
  <si>
    <t>CHINA</t>
  </si>
  <si>
    <t>OMSP-CHINA</t>
  </si>
  <si>
    <t>UNITED BANK FOR AFRICA</t>
  </si>
  <si>
    <t>BLUE SKY</t>
  </si>
  <si>
    <t>COSMIC JEWEL</t>
  </si>
  <si>
    <t>SONANGOL LUANDA</t>
  </si>
  <si>
    <t>CAP LIMBOH</t>
  </si>
  <si>
    <t>KOCHI SPM</t>
  </si>
  <si>
    <t>US ATLANTIC COAST</t>
  </si>
  <si>
    <t>CAMEROUN</t>
  </si>
  <si>
    <t>NIGERIA</t>
  </si>
  <si>
    <t>GSTL/078/2014/APR-19/B-28/8</t>
  </si>
  <si>
    <t>ELIZA</t>
  </si>
  <si>
    <t>SALDANHA BAY</t>
  </si>
  <si>
    <t>PORT HARCOURT REFINERY</t>
  </si>
  <si>
    <t>SOUTH AFRICA</t>
  </si>
  <si>
    <t>FRANCE</t>
  </si>
  <si>
    <t>IMMINGHAM</t>
  </si>
  <si>
    <t>LE HAVRE</t>
  </si>
  <si>
    <t>UNITED KINGDOM</t>
  </si>
  <si>
    <t>COMPREHENSIVE INSPECTION REPORT FOR THE MONTH OF MAY 2014</t>
  </si>
  <si>
    <t xml:space="preserve">NON-COMPLIANT INSPECTION REPORT FOR THE MONTH OF MAY 2014 </t>
  </si>
  <si>
    <t>SHENLONG SPIRIT</t>
  </si>
  <si>
    <t>TEXAS</t>
  </si>
  <si>
    <t>FRONT MELODY</t>
  </si>
  <si>
    <t>YASA SOUTHERN CROSS</t>
  </si>
  <si>
    <t>SERENEA</t>
  </si>
  <si>
    <t>SONANGOL KALANDULA</t>
  </si>
  <si>
    <t>FRONT NJORD</t>
  </si>
  <si>
    <t>PECOS</t>
  </si>
  <si>
    <t>SEEB</t>
  </si>
  <si>
    <t>FRONT GLORY</t>
  </si>
  <si>
    <t>TOLEDO SPIRIT</t>
  </si>
  <si>
    <t>DELTA IOS</t>
  </si>
  <si>
    <t>MARINA M</t>
  </si>
  <si>
    <t>PISSIOTIS</t>
  </si>
  <si>
    <t>MAERSK HOJO</t>
  </si>
  <si>
    <t>GSTL/082/2014/MAY-1/B-29/1A</t>
  </si>
  <si>
    <t>GSTL/082/2014/MAY-1/B-29/1B</t>
  </si>
  <si>
    <t>GSTL/082/2014/MAY-1/B-29/1C</t>
  </si>
  <si>
    <t>GSTL/083/2014/MAY-2/Q-50/1</t>
  </si>
  <si>
    <t>GSTL/084/2014/MAY-3/Q-51/2</t>
  </si>
  <si>
    <t>GSTL/085/2014/MAY-4/Q-52/3</t>
  </si>
  <si>
    <t>GSTL/086/2014/MAY-5/B-30/2</t>
  </si>
  <si>
    <t>GSTL/087/2014/MAY-6/Q-53/4</t>
  </si>
  <si>
    <t>GSTL/088/2014/MAY-7/B-31/3A</t>
  </si>
  <si>
    <t>GSTL/088/2014/MAY-7/B-31/3B</t>
  </si>
  <si>
    <t>GSTL/089/2014/MAY-8/Q-54/5</t>
  </si>
  <si>
    <t>GSTL/090/2014/MAY-9/B-32/4A</t>
  </si>
  <si>
    <t>GSTL/090/2014/MAY-9/B-32/4B</t>
  </si>
  <si>
    <t>GSTL/091/2014/MAY-10/Q-55/6</t>
  </si>
  <si>
    <t>GSTL/092/2014/MAY-11/Q-56/7A</t>
  </si>
  <si>
    <t>GSTL/092/2014/MAY-11/Q-56/7B</t>
  </si>
  <si>
    <t>GSTL/093/2014/MAY-12/Q-57/8</t>
  </si>
  <si>
    <t>GSTL/094/2014/MAY-13/B-33/5</t>
  </si>
  <si>
    <t>GSTL/095/2014/MAY-14/Q-58/9A</t>
  </si>
  <si>
    <t>GSTL/095/2014/MAY-14/Q-58/9B</t>
  </si>
  <si>
    <t>GSTL/095/2014/MAY-14/Q-58/9C</t>
  </si>
  <si>
    <t>GSTL/095/2014/MAY-14/Q-58/9D</t>
  </si>
  <si>
    <t>GSTL/095/2014/MAY-14/Q-58/9E</t>
  </si>
  <si>
    <t>GSTL/096/2014/MAY-15/Q-59/10A</t>
  </si>
  <si>
    <t>GSTL/096/2014/MAY-15/Q-59/10B</t>
  </si>
  <si>
    <t>GSTL/096/2014/MAY-15/Q-59/10C</t>
  </si>
  <si>
    <t>GSTL/096/2014/MAY-15/Q-59/10D</t>
  </si>
  <si>
    <t>GSTL/097/2014/MAY-16/B-34/6A</t>
  </si>
  <si>
    <t>GSTL/097/2014/MAY-16/B-34/6B</t>
  </si>
  <si>
    <t>GSTL/098/2014/MAY-17/Q-60/11</t>
  </si>
  <si>
    <t>GSTL/099/2014/MAY-18/B-35/7A</t>
  </si>
  <si>
    <t>GSTL/099/2014/MAY-18/B-35/7B</t>
  </si>
  <si>
    <t>GSTL/099/2014/MAY-18/B-35/7C</t>
  </si>
  <si>
    <t>GSTL/099/2014/MAY-18/B-35/7D</t>
  </si>
  <si>
    <t>GSTL/100/2014/MAY-19/Q-61/12</t>
  </si>
  <si>
    <t>GSTL/101/2014/MAY-20/Q-62/13</t>
  </si>
  <si>
    <t>GSTL/102/2014/MAY-21/B-36/8</t>
  </si>
  <si>
    <t>MOBIL PRODUCING NIGERIA UNLIMITED</t>
  </si>
  <si>
    <t>TOTAL E &amp; P NIGERIA LIMITED</t>
  </si>
  <si>
    <t>NORTH WEST EUROPE</t>
  </si>
  <si>
    <t>ZONA DE ALIJE PUERTO ROSALES</t>
  </si>
  <si>
    <t>ROTTERDAM</t>
  </si>
  <si>
    <t>JOSE IGNACIO</t>
  </si>
  <si>
    <t>FINNART</t>
  </si>
  <si>
    <t>RELIANCE TERMINAL, SIKKA PORT</t>
  </si>
  <si>
    <t>ALGECIRAS</t>
  </si>
  <si>
    <t>LA PAMPILLA</t>
  </si>
  <si>
    <t>TENERIFE</t>
  </si>
  <si>
    <t>EUROPE</t>
  </si>
  <si>
    <t>ARGENTINA</t>
  </si>
  <si>
    <t>NETHERLANDS</t>
  </si>
  <si>
    <t>URUGUAY</t>
  </si>
  <si>
    <t>SPAIN</t>
  </si>
  <si>
    <t>PERU</t>
  </si>
  <si>
    <t>G005201407</t>
  </si>
  <si>
    <t>G005201408</t>
  </si>
  <si>
    <t>G005201409</t>
  </si>
  <si>
    <t>G005201410</t>
  </si>
  <si>
    <t>G005201411</t>
  </si>
  <si>
    <t>G005201412</t>
  </si>
  <si>
    <t>G005201413</t>
  </si>
  <si>
    <t>G005201414</t>
  </si>
  <si>
    <t>G005201415</t>
  </si>
  <si>
    <t>G005201416</t>
  </si>
  <si>
    <t>G005201417</t>
  </si>
  <si>
    <t>G005201418</t>
  </si>
  <si>
    <t>G005201419</t>
  </si>
  <si>
    <t>G005201420</t>
  </si>
  <si>
    <t>ST041703101C42/16A</t>
  </si>
  <si>
    <t>ST041404104C50/8</t>
  </si>
  <si>
    <t>ST041404104C48/270</t>
  </si>
  <si>
    <t>068201400010161</t>
  </si>
  <si>
    <t>ST041404101C54/6A</t>
  </si>
  <si>
    <t>ST041404101C54/6B</t>
  </si>
  <si>
    <t>ST041404104C43/6</t>
  </si>
  <si>
    <t>ST041404104C33/6</t>
  </si>
  <si>
    <t>ST0410404104C38/74</t>
  </si>
  <si>
    <t>ST041404104C24/9A</t>
  </si>
  <si>
    <t>ST041404104C24/9B</t>
  </si>
  <si>
    <t>ST041404104C24/9C</t>
  </si>
  <si>
    <t>ST041404104C24/9D</t>
  </si>
  <si>
    <t>ST041404101C48/272A</t>
  </si>
  <si>
    <t>ST041404101C48/272B</t>
  </si>
  <si>
    <t>076201401360027</t>
  </si>
  <si>
    <t>SKYE BANK PLC</t>
  </si>
  <si>
    <t>0000627</t>
  </si>
  <si>
    <t>MAERSK HEIWA</t>
  </si>
  <si>
    <t>BOUBOULINA</t>
  </si>
  <si>
    <t>MAJESTIC</t>
  </si>
  <si>
    <t>NICOLAOS</t>
  </si>
  <si>
    <t>GSTL/024/2014/FEB-3/Q-14/2</t>
  </si>
  <si>
    <t>GSTL/026/2014/FEB-5/Q-15/3</t>
  </si>
  <si>
    <t>GSTL/030/2014/FEB-9/Q-18/6</t>
  </si>
  <si>
    <t>GSTL/037/2014/FEB-16/Q-23/11</t>
  </si>
  <si>
    <t>GSTL/040/2014/FEB-19/Q-24/12</t>
  </si>
  <si>
    <t>MILFORD HAVEN</t>
  </si>
  <si>
    <t>US EAST COAST</t>
  </si>
  <si>
    <t>0009961</t>
  </si>
  <si>
    <t>0009962</t>
  </si>
  <si>
    <t>0009963</t>
  </si>
  <si>
    <t>0009964</t>
  </si>
  <si>
    <t>0009965</t>
  </si>
  <si>
    <t>G005201401</t>
  </si>
  <si>
    <t>G005201402</t>
  </si>
  <si>
    <t>G005201403</t>
  </si>
  <si>
    <t>G005201404</t>
  </si>
  <si>
    <t>G005201405</t>
  </si>
  <si>
    <t>068201400010116</t>
  </si>
  <si>
    <t>068201400010117</t>
  </si>
  <si>
    <t>068201400010119</t>
  </si>
  <si>
    <t>068201400010110</t>
  </si>
  <si>
    <t>068201400010118</t>
  </si>
  <si>
    <t>G005201406</t>
  </si>
  <si>
    <t>ASTIPALAIA</t>
  </si>
  <si>
    <t xml:space="preserve">COMPLIANT INSPECTION DURING THE MONTH OF MAY 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</si>
</sst>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  <numFmt numFmtId="169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14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/>
    </xf>
    <xf numFmtId="0" fontId="15" fillId="2" borderId="12" xfId="0" applyFont="1" applyFill="1" applyBorder="1" applyAlignment="1">
      <alignment horizontal="left"/>
    </xf>
    <xf numFmtId="0" fontId="14" fillId="0" borderId="12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3" xfId="0" applyFont="1" applyFill="1" applyBorder="1" applyAlignment="1">
      <alignment horizontal="left" vertical="center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5" fillId="2" borderId="4" xfId="0" applyNumberFormat="1" applyFont="1" applyFill="1" applyBorder="1" applyAlignment="1">
      <alignment horizontal="left" vertical="top" wrapText="1"/>
    </xf>
    <xf numFmtId="0" fontId="15" fillId="2" borderId="14" xfId="0" applyFont="1" applyFill="1" applyBorder="1" applyAlignment="1">
      <alignment horizontal="left" vertical="top" wrapText="1"/>
    </xf>
    <xf numFmtId="14" fontId="15" fillId="2" borderId="15" xfId="0" applyNumberFormat="1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169" fontId="14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wrapText="1"/>
    </xf>
    <xf numFmtId="49" fontId="14" fillId="0" borderId="2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 wrapText="1"/>
    </xf>
    <xf numFmtId="14" fontId="14" fillId="0" borderId="2" xfId="0" applyNumberFormat="1" applyFont="1" applyFill="1" applyBorder="1" applyAlignment="1">
      <alignment horizontal="left" wrapText="1"/>
    </xf>
    <xf numFmtId="165" fontId="14" fillId="0" borderId="2" xfId="1" applyNumberFormat="1" applyFont="1" applyFill="1" applyBorder="1" applyAlignment="1">
      <alignment horizontal="left" wrapText="1"/>
    </xf>
    <xf numFmtId="3" fontId="14" fillId="0" borderId="2" xfId="1" applyNumberFormat="1" applyFont="1" applyFill="1" applyBorder="1" applyAlignment="1">
      <alignment horizontal="left"/>
    </xf>
    <xf numFmtId="166" fontId="14" fillId="0" borderId="2" xfId="0" applyNumberFormat="1" applyFont="1" applyFill="1" applyBorder="1" applyAlignment="1">
      <alignment horizontal="left"/>
    </xf>
    <xf numFmtId="14" fontId="16" fillId="0" borderId="2" xfId="1" applyNumberFormat="1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 wrapText="1"/>
    </xf>
    <xf numFmtId="14" fontId="10" fillId="2" borderId="16" xfId="0" applyNumberFormat="1" applyFont="1" applyFill="1" applyBorder="1" applyAlignment="1">
      <alignment horizontal="left" vertical="top" wrapText="1"/>
    </xf>
    <xf numFmtId="49" fontId="13" fillId="2" borderId="16" xfId="0" applyNumberFormat="1" applyFont="1" applyFill="1" applyBorder="1" applyAlignment="1">
      <alignment horizontal="left" vertical="top" wrapText="1"/>
    </xf>
    <xf numFmtId="0" fontId="10" fillId="2" borderId="16" xfId="0" applyNumberFormat="1" applyFont="1" applyFill="1" applyBorder="1" applyAlignment="1">
      <alignment horizontal="left" vertical="top" wrapText="1"/>
    </xf>
    <xf numFmtId="3" fontId="10" fillId="2" borderId="16" xfId="0" applyNumberFormat="1" applyFont="1" applyFill="1" applyBorder="1" applyAlignment="1">
      <alignment horizontal="left" vertical="top" wrapText="1"/>
    </xf>
    <xf numFmtId="4" fontId="10" fillId="2" borderId="16" xfId="0" applyNumberFormat="1" applyFont="1" applyFill="1" applyBorder="1" applyAlignment="1">
      <alignment horizontal="left" vertical="top" wrapText="1"/>
    </xf>
    <xf numFmtId="166" fontId="10" fillId="2" borderId="16" xfId="0" applyNumberFormat="1" applyFont="1" applyFill="1" applyBorder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169" fontId="9" fillId="2" borderId="2" xfId="0" applyNumberFormat="1" applyFont="1" applyFill="1" applyBorder="1" applyAlignment="1">
      <alignment horizontal="left"/>
    </xf>
    <xf numFmtId="14" fontId="9" fillId="2" borderId="2" xfId="0" applyNumberFormat="1" applyFont="1" applyFill="1" applyBorder="1" applyAlignment="1">
      <alignment horizontal="left"/>
    </xf>
    <xf numFmtId="165" fontId="9" fillId="2" borderId="2" xfId="1" applyNumberFormat="1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6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49" fontId="9" fillId="2" borderId="3" xfId="0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 wrapText="1"/>
    </xf>
    <xf numFmtId="14" fontId="15" fillId="2" borderId="16" xfId="0" applyNumberFormat="1" applyFont="1" applyFill="1" applyBorder="1" applyAlignment="1">
      <alignment horizontal="left" vertical="top" wrapText="1"/>
    </xf>
    <xf numFmtId="49" fontId="18" fillId="2" borderId="16" xfId="0" applyNumberFormat="1" applyFont="1" applyFill="1" applyBorder="1" applyAlignment="1">
      <alignment horizontal="left" vertical="top" wrapText="1"/>
    </xf>
    <xf numFmtId="0" fontId="15" fillId="2" borderId="16" xfId="0" applyNumberFormat="1" applyFont="1" applyFill="1" applyBorder="1" applyAlignment="1">
      <alignment horizontal="left" vertical="top"/>
    </xf>
    <xf numFmtId="3" fontId="15" fillId="2" borderId="16" xfId="0" applyNumberFormat="1" applyFont="1" applyFill="1" applyBorder="1" applyAlignment="1">
      <alignment horizontal="left" vertical="top" wrapText="1"/>
    </xf>
    <xf numFmtId="4" fontId="15" fillId="2" borderId="16" xfId="0" applyNumberFormat="1" applyFont="1" applyFill="1" applyBorder="1" applyAlignment="1">
      <alignment horizontal="left" vertical="top" wrapText="1"/>
    </xf>
    <xf numFmtId="166" fontId="15" fillId="2" borderId="16" xfId="0" applyNumberFormat="1" applyFont="1" applyFill="1" applyBorder="1" applyAlignment="1">
      <alignment horizontal="left" vertical="top" wrapText="1"/>
    </xf>
    <xf numFmtId="0" fontId="15" fillId="2" borderId="17" xfId="0" applyFont="1" applyFill="1" applyBorder="1" applyAlignment="1">
      <alignment horizontal="left" vertical="top" wrapText="1"/>
    </xf>
    <xf numFmtId="3" fontId="14" fillId="2" borderId="2" xfId="0" applyNumberFormat="1" applyFont="1" applyFill="1" applyBorder="1" applyAlignment="1">
      <alignment horizontal="left" wrapText="1"/>
    </xf>
    <xf numFmtId="167" fontId="14" fillId="2" borderId="2" xfId="0" applyNumberFormat="1" applyFont="1" applyFill="1" applyBorder="1" applyAlignment="1">
      <alignment horizontal="left" wrapText="1"/>
    </xf>
    <xf numFmtId="0" fontId="14" fillId="2" borderId="7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zoomScale="40" zoomScaleNormal="40" zoomScaleSheetLayoutView="10" workbookViewId="0">
      <selection activeCell="J79" sqref="J79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70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84" t="s">
        <v>0</v>
      </c>
      <c r="B29" s="285" t="s">
        <v>1</v>
      </c>
      <c r="C29" s="286" t="s">
        <v>2</v>
      </c>
      <c r="D29" s="287" t="s">
        <v>3</v>
      </c>
      <c r="E29" s="288" t="s">
        <v>4</v>
      </c>
      <c r="F29" s="286" t="s">
        <v>5</v>
      </c>
      <c r="G29" s="289" t="s">
        <v>6</v>
      </c>
      <c r="H29" s="286" t="s">
        <v>7</v>
      </c>
      <c r="I29" s="286" t="s">
        <v>8</v>
      </c>
      <c r="J29" s="287" t="s">
        <v>9</v>
      </c>
      <c r="K29" s="285" t="s">
        <v>10</v>
      </c>
      <c r="L29" s="285" t="s">
        <v>11</v>
      </c>
      <c r="M29" s="286" t="s">
        <v>12</v>
      </c>
      <c r="N29" s="286" t="s">
        <v>13</v>
      </c>
      <c r="O29" s="290" t="s">
        <v>14</v>
      </c>
      <c r="P29" s="291" t="s">
        <v>27</v>
      </c>
      <c r="Q29" s="291" t="s">
        <v>38</v>
      </c>
      <c r="R29" s="291" t="s">
        <v>15</v>
      </c>
      <c r="S29" s="292" t="s">
        <v>16</v>
      </c>
      <c r="T29" s="287" t="s">
        <v>17</v>
      </c>
      <c r="U29" s="286" t="s">
        <v>18</v>
      </c>
      <c r="V29" s="291" t="s">
        <v>19</v>
      </c>
      <c r="W29" s="292" t="s">
        <v>20</v>
      </c>
      <c r="X29" s="291" t="s">
        <v>21</v>
      </c>
      <c r="Y29" s="291" t="s">
        <v>22</v>
      </c>
      <c r="Z29" s="286" t="s">
        <v>24</v>
      </c>
      <c r="AA29" s="293" t="s">
        <v>23</v>
      </c>
    </row>
    <row r="30" spans="1:27" s="44" customFormat="1" ht="90.75" customHeight="1" x14ac:dyDescent="0.45">
      <c r="A30" s="297">
        <v>1</v>
      </c>
      <c r="B30" s="298" t="s">
        <v>87</v>
      </c>
      <c r="C30" s="299" t="s">
        <v>47</v>
      </c>
      <c r="D30" s="299" t="s">
        <v>47</v>
      </c>
      <c r="E30" s="299" t="s">
        <v>39</v>
      </c>
      <c r="F30" s="299" t="s">
        <v>39</v>
      </c>
      <c r="G30" s="300" t="s">
        <v>37</v>
      </c>
      <c r="H30" s="301" t="s">
        <v>34</v>
      </c>
      <c r="I30" s="301">
        <v>27090000</v>
      </c>
      <c r="J30" s="302">
        <v>41760</v>
      </c>
      <c r="K30" s="299" t="s">
        <v>72</v>
      </c>
      <c r="L30" s="303" t="s">
        <v>32</v>
      </c>
      <c r="M30" s="301" t="s">
        <v>135</v>
      </c>
      <c r="N30" s="304" t="s">
        <v>126</v>
      </c>
      <c r="O30" s="305">
        <v>60000</v>
      </c>
      <c r="P30" s="306">
        <f t="shared" ref="P30:P31" si="0">O30*S30</f>
        <v>6707340</v>
      </c>
      <c r="Q30" s="306">
        <f t="shared" ref="Q30:Q31" si="1">P30*W30</f>
        <v>1044534058.1999999</v>
      </c>
      <c r="R30" s="306" t="s">
        <v>25</v>
      </c>
      <c r="S30" s="307">
        <v>111.789</v>
      </c>
      <c r="T30" s="308">
        <f t="shared" ref="T30:T31" si="2">J30+90</f>
        <v>41850</v>
      </c>
      <c r="U30" s="309" t="s">
        <v>39</v>
      </c>
      <c r="V30" s="306">
        <f t="shared" ref="V30:V31" si="3">P30*0.12%</f>
        <v>8048.8079999999991</v>
      </c>
      <c r="W30" s="307">
        <v>155.72999999999999</v>
      </c>
      <c r="X30" s="306">
        <f t="shared" ref="X30:X31" si="4">V30*W30</f>
        <v>1253440.8698399998</v>
      </c>
      <c r="Y30" s="306" t="s">
        <v>39</v>
      </c>
      <c r="Z30" s="299" t="s">
        <v>39</v>
      </c>
      <c r="AA30" s="310" t="s">
        <v>39</v>
      </c>
    </row>
    <row r="31" spans="1:27" s="85" customFormat="1" ht="90.75" customHeight="1" x14ac:dyDescent="0.45">
      <c r="A31" s="273">
        <v>2</v>
      </c>
      <c r="B31" s="71" t="s">
        <v>88</v>
      </c>
      <c r="C31" s="71" t="s">
        <v>141</v>
      </c>
      <c r="D31" s="294">
        <v>41792</v>
      </c>
      <c r="E31" s="75" t="s">
        <v>155</v>
      </c>
      <c r="F31" s="75" t="s">
        <v>45</v>
      </c>
      <c r="G31" s="72" t="s">
        <v>37</v>
      </c>
      <c r="H31" s="73" t="s">
        <v>34</v>
      </c>
      <c r="I31" s="73">
        <v>27090000</v>
      </c>
      <c r="J31" s="74">
        <v>41760</v>
      </c>
      <c r="K31" s="75" t="s">
        <v>72</v>
      </c>
      <c r="L31" s="76" t="s">
        <v>32</v>
      </c>
      <c r="M31" s="73" t="s">
        <v>135</v>
      </c>
      <c r="N31" s="77" t="s">
        <v>126</v>
      </c>
      <c r="O31" s="78">
        <v>209544</v>
      </c>
      <c r="P31" s="79">
        <f t="shared" si="0"/>
        <v>23424714.216000002</v>
      </c>
      <c r="Q31" s="79">
        <f t="shared" si="1"/>
        <v>3647930744.8576798</v>
      </c>
      <c r="R31" s="79" t="s">
        <v>25</v>
      </c>
      <c r="S31" s="80">
        <v>111.789</v>
      </c>
      <c r="T31" s="81">
        <f t="shared" si="2"/>
        <v>41850</v>
      </c>
      <c r="U31" s="82" t="s">
        <v>39</v>
      </c>
      <c r="V31" s="79">
        <f t="shared" si="3"/>
        <v>28109.657059199999</v>
      </c>
      <c r="W31" s="80">
        <v>155.72999999999999</v>
      </c>
      <c r="X31" s="79">
        <f t="shared" si="4"/>
        <v>4377516.8938292153</v>
      </c>
      <c r="Y31" s="79" t="s">
        <v>39</v>
      </c>
      <c r="Z31" s="84" t="s">
        <v>39</v>
      </c>
      <c r="AA31" s="83" t="s">
        <v>39</v>
      </c>
    </row>
    <row r="32" spans="1:27" s="85" customFormat="1" ht="90.75" customHeight="1" x14ac:dyDescent="0.45">
      <c r="A32" s="273">
        <v>3</v>
      </c>
      <c r="B32" s="71" t="s">
        <v>89</v>
      </c>
      <c r="C32" s="75" t="s">
        <v>47</v>
      </c>
      <c r="D32" s="75" t="s">
        <v>47</v>
      </c>
      <c r="E32" s="75" t="s">
        <v>39</v>
      </c>
      <c r="F32" s="75" t="s">
        <v>39</v>
      </c>
      <c r="G32" s="72" t="s">
        <v>37</v>
      </c>
      <c r="H32" s="73" t="s">
        <v>34</v>
      </c>
      <c r="I32" s="73">
        <v>27090000</v>
      </c>
      <c r="J32" s="74">
        <v>41760</v>
      </c>
      <c r="K32" s="75" t="s">
        <v>72</v>
      </c>
      <c r="L32" s="76" t="s">
        <v>32</v>
      </c>
      <c r="M32" s="73" t="s">
        <v>135</v>
      </c>
      <c r="N32" s="77" t="s">
        <v>126</v>
      </c>
      <c r="O32" s="78">
        <v>230000</v>
      </c>
      <c r="P32" s="79">
        <f t="shared" ref="P32:P61" si="5">O32*S32</f>
        <v>25711470</v>
      </c>
      <c r="Q32" s="79">
        <f t="shared" ref="Q32:Q61" si="6">P32*W32</f>
        <v>4004047223.0999999</v>
      </c>
      <c r="R32" s="79" t="s">
        <v>25</v>
      </c>
      <c r="S32" s="80">
        <v>111.789</v>
      </c>
      <c r="T32" s="81">
        <f t="shared" ref="T32:T66" si="7">J32+90</f>
        <v>41850</v>
      </c>
      <c r="U32" s="82" t="s">
        <v>39</v>
      </c>
      <c r="V32" s="79">
        <f t="shared" ref="V32:V61" si="8">P32*0.12%</f>
        <v>30853.763999999996</v>
      </c>
      <c r="W32" s="80">
        <v>155.72999999999999</v>
      </c>
      <c r="X32" s="79">
        <f t="shared" ref="X32:X66" si="9">V32*W32</f>
        <v>4804856.6677199993</v>
      </c>
      <c r="Y32" s="79" t="s">
        <v>39</v>
      </c>
      <c r="Z32" s="84" t="s">
        <v>39</v>
      </c>
      <c r="AA32" s="83" t="s">
        <v>39</v>
      </c>
    </row>
    <row r="33" spans="1:27" s="85" customFormat="1" ht="90.75" customHeight="1" x14ac:dyDescent="0.45">
      <c r="A33" s="273">
        <v>4</v>
      </c>
      <c r="B33" s="71" t="s">
        <v>90</v>
      </c>
      <c r="C33" s="71" t="s">
        <v>142</v>
      </c>
      <c r="D33" s="294">
        <v>41792</v>
      </c>
      <c r="E33" s="75" t="s">
        <v>156</v>
      </c>
      <c r="F33" s="75" t="s">
        <v>45</v>
      </c>
      <c r="G33" s="72" t="s">
        <v>37</v>
      </c>
      <c r="H33" s="73" t="s">
        <v>33</v>
      </c>
      <c r="I33" s="73">
        <v>27090000</v>
      </c>
      <c r="J33" s="74">
        <v>41763</v>
      </c>
      <c r="K33" s="75" t="s">
        <v>55</v>
      </c>
      <c r="L33" s="76" t="s">
        <v>31</v>
      </c>
      <c r="M33" s="73" t="s">
        <v>26</v>
      </c>
      <c r="N33" s="77" t="s">
        <v>58</v>
      </c>
      <c r="O33" s="78">
        <v>950397</v>
      </c>
      <c r="P33" s="79">
        <f t="shared" ref="P33" si="10">O33*S33</f>
        <v>106085689.13250001</v>
      </c>
      <c r="Q33" s="79">
        <f t="shared" ref="Q33" si="11">P33*W33</f>
        <v>16520724368.604225</v>
      </c>
      <c r="R33" s="79" t="s">
        <v>25</v>
      </c>
      <c r="S33" s="80">
        <v>111.6225</v>
      </c>
      <c r="T33" s="81">
        <f t="shared" ref="T33" si="12">J33+90</f>
        <v>41853</v>
      </c>
      <c r="U33" s="82" t="s">
        <v>39</v>
      </c>
      <c r="V33" s="79">
        <f t="shared" ref="V33" si="13">P33*0.12%</f>
        <v>127302.826959</v>
      </c>
      <c r="W33" s="80">
        <v>155.72999999999999</v>
      </c>
      <c r="X33" s="79">
        <f t="shared" ref="X33" si="14">V33*W33</f>
        <v>19824869.242325068</v>
      </c>
      <c r="Y33" s="79" t="s">
        <v>39</v>
      </c>
      <c r="Z33" s="84" t="s">
        <v>39</v>
      </c>
      <c r="AA33" s="83" t="s">
        <v>39</v>
      </c>
    </row>
    <row r="34" spans="1:27" s="85" customFormat="1" ht="90.75" customHeight="1" x14ac:dyDescent="0.45">
      <c r="A34" s="273">
        <v>5</v>
      </c>
      <c r="B34" s="71" t="s">
        <v>91</v>
      </c>
      <c r="C34" s="71" t="s">
        <v>143</v>
      </c>
      <c r="D34" s="294">
        <v>41792</v>
      </c>
      <c r="E34" s="75" t="s">
        <v>157</v>
      </c>
      <c r="F34" s="75" t="s">
        <v>45</v>
      </c>
      <c r="G34" s="72" t="s">
        <v>37</v>
      </c>
      <c r="H34" s="73" t="s">
        <v>33</v>
      </c>
      <c r="I34" s="73">
        <v>27090000</v>
      </c>
      <c r="J34" s="74">
        <v>41766</v>
      </c>
      <c r="K34" s="75" t="s">
        <v>200</v>
      </c>
      <c r="L34" s="76" t="s">
        <v>31</v>
      </c>
      <c r="M34" s="73" t="s">
        <v>41</v>
      </c>
      <c r="N34" s="77" t="s">
        <v>46</v>
      </c>
      <c r="O34" s="78">
        <v>950003</v>
      </c>
      <c r="P34" s="79">
        <f t="shared" si="5"/>
        <v>105395232.82599999</v>
      </c>
      <c r="Q34" s="79">
        <f t="shared" si="6"/>
        <v>16413199607.992977</v>
      </c>
      <c r="R34" s="79" t="s">
        <v>25</v>
      </c>
      <c r="S34" s="80">
        <v>110.94199999999999</v>
      </c>
      <c r="T34" s="81">
        <f t="shared" si="7"/>
        <v>41856</v>
      </c>
      <c r="U34" s="82" t="s">
        <v>39</v>
      </c>
      <c r="V34" s="79">
        <f t="shared" si="8"/>
        <v>126474.27939119998</v>
      </c>
      <c r="W34" s="80">
        <v>155.72999999999999</v>
      </c>
      <c r="X34" s="79">
        <f t="shared" si="9"/>
        <v>19695839.529591572</v>
      </c>
      <c r="Y34" s="79" t="s">
        <v>39</v>
      </c>
      <c r="Z34" s="84" t="s">
        <v>39</v>
      </c>
      <c r="AA34" s="83" t="s">
        <v>39</v>
      </c>
    </row>
    <row r="35" spans="1:27" s="85" customFormat="1" ht="90.75" customHeight="1" x14ac:dyDescent="0.45">
      <c r="A35" s="273">
        <v>6</v>
      </c>
      <c r="B35" s="71" t="s">
        <v>92</v>
      </c>
      <c r="C35" s="75" t="s">
        <v>47</v>
      </c>
      <c r="D35" s="75" t="s">
        <v>47</v>
      </c>
      <c r="E35" s="75" t="s">
        <v>39</v>
      </c>
      <c r="F35" s="75" t="s">
        <v>39</v>
      </c>
      <c r="G35" s="72" t="s">
        <v>124</v>
      </c>
      <c r="H35" s="73" t="s">
        <v>33</v>
      </c>
      <c r="I35" s="73">
        <v>27090000</v>
      </c>
      <c r="J35" s="74">
        <v>41768</v>
      </c>
      <c r="K35" s="75" t="s">
        <v>73</v>
      </c>
      <c r="L35" s="76" t="s">
        <v>31</v>
      </c>
      <c r="M35" s="73" t="s">
        <v>41</v>
      </c>
      <c r="N35" s="77" t="s">
        <v>57</v>
      </c>
      <c r="O35" s="78">
        <v>950444</v>
      </c>
      <c r="P35" s="79">
        <f t="shared" si="5"/>
        <v>105348163.404</v>
      </c>
      <c r="Q35" s="79">
        <f t="shared" si="6"/>
        <v>16405869486.904919</v>
      </c>
      <c r="R35" s="79" t="s">
        <v>25</v>
      </c>
      <c r="S35" s="80">
        <v>110.84099999999999</v>
      </c>
      <c r="T35" s="81">
        <f t="shared" si="7"/>
        <v>41858</v>
      </c>
      <c r="U35" s="82" t="s">
        <v>39</v>
      </c>
      <c r="V35" s="79">
        <f t="shared" si="8"/>
        <v>126417.79608479999</v>
      </c>
      <c r="W35" s="80">
        <v>155.72999999999999</v>
      </c>
      <c r="X35" s="79">
        <f t="shared" si="9"/>
        <v>19687043.384285901</v>
      </c>
      <c r="Y35" s="79" t="s">
        <v>39</v>
      </c>
      <c r="Z35" s="84" t="s">
        <v>39</v>
      </c>
      <c r="AA35" s="83" t="s">
        <v>39</v>
      </c>
    </row>
    <row r="36" spans="1:27" s="85" customFormat="1" ht="90.75" customHeight="1" x14ac:dyDescent="0.45">
      <c r="A36" s="273">
        <v>7</v>
      </c>
      <c r="B36" s="71" t="s">
        <v>93</v>
      </c>
      <c r="C36" s="75" t="s">
        <v>47</v>
      </c>
      <c r="D36" s="75" t="s">
        <v>47</v>
      </c>
      <c r="E36" s="75" t="s">
        <v>39</v>
      </c>
      <c r="F36" s="75" t="s">
        <v>39</v>
      </c>
      <c r="G36" s="72" t="s">
        <v>37</v>
      </c>
      <c r="H36" s="73" t="s">
        <v>34</v>
      </c>
      <c r="I36" s="73">
        <v>27090000</v>
      </c>
      <c r="J36" s="74">
        <v>41768</v>
      </c>
      <c r="K36" s="75" t="s">
        <v>54</v>
      </c>
      <c r="L36" s="76" t="s">
        <v>32</v>
      </c>
      <c r="M36" s="73" t="s">
        <v>60</v>
      </c>
      <c r="N36" s="77" t="s">
        <v>64</v>
      </c>
      <c r="O36" s="78">
        <v>1038138</v>
      </c>
      <c r="P36" s="79">
        <f t="shared" si="5"/>
        <v>115068254.058</v>
      </c>
      <c r="Q36" s="79">
        <f t="shared" si="6"/>
        <v>17919579204.452339</v>
      </c>
      <c r="R36" s="79" t="s">
        <v>25</v>
      </c>
      <c r="S36" s="80">
        <v>110.84099999999999</v>
      </c>
      <c r="T36" s="81">
        <f t="shared" si="7"/>
        <v>41858</v>
      </c>
      <c r="U36" s="82" t="s">
        <v>39</v>
      </c>
      <c r="V36" s="79">
        <f t="shared" si="8"/>
        <v>138081.9048696</v>
      </c>
      <c r="W36" s="80">
        <v>155.72999999999999</v>
      </c>
      <c r="X36" s="79">
        <f t="shared" si="9"/>
        <v>21503495.045342807</v>
      </c>
      <c r="Y36" s="79" t="s">
        <v>39</v>
      </c>
      <c r="Z36" s="84" t="s">
        <v>39</v>
      </c>
      <c r="AA36" s="83" t="s">
        <v>39</v>
      </c>
    </row>
    <row r="37" spans="1:27" s="85" customFormat="1" ht="90.75" customHeight="1" x14ac:dyDescent="0.45">
      <c r="A37" s="273">
        <v>8</v>
      </c>
      <c r="B37" s="71" t="s">
        <v>94</v>
      </c>
      <c r="C37" s="75" t="s">
        <v>47</v>
      </c>
      <c r="D37" s="75" t="s">
        <v>47</v>
      </c>
      <c r="E37" s="75" t="s">
        <v>39</v>
      </c>
      <c r="F37" s="75" t="s">
        <v>39</v>
      </c>
      <c r="G37" s="72" t="s">
        <v>124</v>
      </c>
      <c r="H37" s="73" t="s">
        <v>33</v>
      </c>
      <c r="I37" s="73">
        <v>27090000</v>
      </c>
      <c r="J37" s="74">
        <v>41770</v>
      </c>
      <c r="K37" s="75" t="s">
        <v>73</v>
      </c>
      <c r="L37" s="76" t="s">
        <v>31</v>
      </c>
      <c r="M37" s="73" t="s">
        <v>41</v>
      </c>
      <c r="N37" s="77" t="s">
        <v>57</v>
      </c>
      <c r="O37" s="78">
        <v>950092</v>
      </c>
      <c r="P37" s="79">
        <f t="shared" si="5"/>
        <v>105374703.72</v>
      </c>
      <c r="Q37" s="79">
        <f t="shared" si="6"/>
        <v>16410002610.315599</v>
      </c>
      <c r="R37" s="79" t="s">
        <v>25</v>
      </c>
      <c r="S37" s="80">
        <v>110.91</v>
      </c>
      <c r="T37" s="81">
        <f t="shared" si="7"/>
        <v>41860</v>
      </c>
      <c r="U37" s="82" t="s">
        <v>39</v>
      </c>
      <c r="V37" s="79">
        <f t="shared" si="8"/>
        <v>126449.64446399998</v>
      </c>
      <c r="W37" s="80">
        <v>155.72999999999999</v>
      </c>
      <c r="X37" s="79">
        <f t="shared" si="9"/>
        <v>19692003.132378716</v>
      </c>
      <c r="Y37" s="79" t="s">
        <v>39</v>
      </c>
      <c r="Z37" s="84" t="s">
        <v>39</v>
      </c>
      <c r="AA37" s="83" t="s">
        <v>39</v>
      </c>
    </row>
    <row r="38" spans="1:27" s="85" customFormat="1" ht="90.75" customHeight="1" x14ac:dyDescent="0.45">
      <c r="A38" s="273">
        <v>9</v>
      </c>
      <c r="B38" s="71" t="s">
        <v>95</v>
      </c>
      <c r="C38" s="75" t="s">
        <v>47</v>
      </c>
      <c r="D38" s="75" t="s">
        <v>47</v>
      </c>
      <c r="E38" s="84" t="s">
        <v>158</v>
      </c>
      <c r="F38" s="75" t="s">
        <v>40</v>
      </c>
      <c r="G38" s="72" t="s">
        <v>125</v>
      </c>
      <c r="H38" s="73" t="s">
        <v>34</v>
      </c>
      <c r="I38" s="73">
        <v>27090000</v>
      </c>
      <c r="J38" s="74">
        <v>41772</v>
      </c>
      <c r="K38" s="75" t="s">
        <v>74</v>
      </c>
      <c r="L38" s="76" t="s">
        <v>32</v>
      </c>
      <c r="M38" s="73" t="s">
        <v>136</v>
      </c>
      <c r="N38" s="77" t="s">
        <v>127</v>
      </c>
      <c r="O38" s="78">
        <v>764000</v>
      </c>
      <c r="P38" s="79">
        <f t="shared" si="5"/>
        <v>85210448</v>
      </c>
      <c r="Q38" s="79">
        <f t="shared" si="6"/>
        <v>13269823067.039999</v>
      </c>
      <c r="R38" s="79" t="s">
        <v>25</v>
      </c>
      <c r="S38" s="80">
        <v>111.532</v>
      </c>
      <c r="T38" s="81">
        <f t="shared" si="7"/>
        <v>41862</v>
      </c>
      <c r="U38" s="82" t="s">
        <v>39</v>
      </c>
      <c r="V38" s="79">
        <f t="shared" si="8"/>
        <v>102252.5376</v>
      </c>
      <c r="W38" s="80">
        <v>155.72999999999999</v>
      </c>
      <c r="X38" s="79">
        <f t="shared" si="9"/>
        <v>15923787.680447998</v>
      </c>
      <c r="Y38" s="79" t="s">
        <v>39</v>
      </c>
      <c r="Z38" s="84" t="s">
        <v>39</v>
      </c>
      <c r="AA38" s="83" t="s">
        <v>39</v>
      </c>
    </row>
    <row r="39" spans="1:27" s="85" customFormat="1" ht="90.75" customHeight="1" x14ac:dyDescent="0.45">
      <c r="A39" s="273">
        <v>10</v>
      </c>
      <c r="B39" s="71" t="s">
        <v>96</v>
      </c>
      <c r="C39" s="75" t="s">
        <v>47</v>
      </c>
      <c r="D39" s="75" t="s">
        <v>47</v>
      </c>
      <c r="E39" s="75" t="s">
        <v>39</v>
      </c>
      <c r="F39" s="75" t="s">
        <v>39</v>
      </c>
      <c r="G39" s="72" t="s">
        <v>125</v>
      </c>
      <c r="H39" s="73" t="s">
        <v>34</v>
      </c>
      <c r="I39" s="73">
        <v>27090000</v>
      </c>
      <c r="J39" s="74">
        <v>41772</v>
      </c>
      <c r="K39" s="75" t="s">
        <v>74</v>
      </c>
      <c r="L39" s="76" t="s">
        <v>32</v>
      </c>
      <c r="M39" s="73" t="s">
        <v>136</v>
      </c>
      <c r="N39" s="77" t="s">
        <v>127</v>
      </c>
      <c r="O39" s="78">
        <v>189692</v>
      </c>
      <c r="P39" s="79">
        <f t="shared" si="5"/>
        <v>21156728.143999998</v>
      </c>
      <c r="Q39" s="79">
        <f t="shared" si="6"/>
        <v>3294737273.8651195</v>
      </c>
      <c r="R39" s="79" t="s">
        <v>25</v>
      </c>
      <c r="S39" s="80">
        <v>111.532</v>
      </c>
      <c r="T39" s="81">
        <f t="shared" si="7"/>
        <v>41862</v>
      </c>
      <c r="U39" s="82" t="s">
        <v>39</v>
      </c>
      <c r="V39" s="79">
        <f t="shared" si="8"/>
        <v>25388.073772799995</v>
      </c>
      <c r="W39" s="80">
        <v>155.72999999999999</v>
      </c>
      <c r="X39" s="79">
        <f t="shared" si="9"/>
        <v>3953684.7286381428</v>
      </c>
      <c r="Y39" s="79" t="s">
        <v>39</v>
      </c>
      <c r="Z39" s="84" t="s">
        <v>39</v>
      </c>
      <c r="AA39" s="83" t="s">
        <v>39</v>
      </c>
    </row>
    <row r="40" spans="1:27" s="85" customFormat="1" ht="90.75" customHeight="1" x14ac:dyDescent="0.45">
      <c r="A40" s="273">
        <v>11</v>
      </c>
      <c r="B40" s="71" t="s">
        <v>97</v>
      </c>
      <c r="C40" s="75" t="s">
        <v>47</v>
      </c>
      <c r="D40" s="75" t="s">
        <v>47</v>
      </c>
      <c r="E40" s="75" t="s">
        <v>39</v>
      </c>
      <c r="F40" s="75" t="s">
        <v>39</v>
      </c>
      <c r="G40" s="72" t="s">
        <v>37</v>
      </c>
      <c r="H40" s="73" t="s">
        <v>33</v>
      </c>
      <c r="I40" s="73">
        <v>27090000</v>
      </c>
      <c r="J40" s="74">
        <v>41772</v>
      </c>
      <c r="K40" s="75" t="s">
        <v>75</v>
      </c>
      <c r="L40" s="76" t="s">
        <v>31</v>
      </c>
      <c r="M40" s="73" t="s">
        <v>137</v>
      </c>
      <c r="N40" s="77" t="s">
        <v>128</v>
      </c>
      <c r="O40" s="78">
        <v>950456</v>
      </c>
      <c r="P40" s="79">
        <f t="shared" ref="P40:P50" si="15">O40*S40</f>
        <v>106006258.59199999</v>
      </c>
      <c r="Q40" s="79">
        <f t="shared" ref="Q40:Q50" si="16">P40*W40</f>
        <v>16508354650.532158</v>
      </c>
      <c r="R40" s="79" t="s">
        <v>25</v>
      </c>
      <c r="S40" s="80">
        <v>111.532</v>
      </c>
      <c r="T40" s="81">
        <f t="shared" ref="T40:T50" si="17">J40+90</f>
        <v>41862</v>
      </c>
      <c r="U40" s="82" t="s">
        <v>39</v>
      </c>
      <c r="V40" s="79">
        <f t="shared" ref="V40:V50" si="18">P40*0.12%</f>
        <v>127207.51031039999</v>
      </c>
      <c r="W40" s="80">
        <v>155.72999999999999</v>
      </c>
      <c r="X40" s="79">
        <f t="shared" ref="X40:X50" si="19">V40*W40</f>
        <v>19810025.580638587</v>
      </c>
      <c r="Y40" s="79" t="s">
        <v>39</v>
      </c>
      <c r="Z40" s="84" t="s">
        <v>39</v>
      </c>
      <c r="AA40" s="83" t="s">
        <v>39</v>
      </c>
    </row>
    <row r="41" spans="1:27" s="85" customFormat="1" ht="90.75" customHeight="1" x14ac:dyDescent="0.45">
      <c r="A41" s="273">
        <v>12</v>
      </c>
      <c r="B41" s="71" t="s">
        <v>98</v>
      </c>
      <c r="C41" s="71" t="s">
        <v>144</v>
      </c>
      <c r="D41" s="294">
        <v>41792</v>
      </c>
      <c r="E41" s="75" t="s">
        <v>159</v>
      </c>
      <c r="F41" s="75" t="s">
        <v>45</v>
      </c>
      <c r="G41" s="72" t="s">
        <v>37</v>
      </c>
      <c r="H41" s="73" t="s">
        <v>34</v>
      </c>
      <c r="I41" s="73">
        <v>27090000</v>
      </c>
      <c r="J41" s="74">
        <v>41774</v>
      </c>
      <c r="K41" s="75" t="s">
        <v>76</v>
      </c>
      <c r="L41" s="76" t="s">
        <v>32</v>
      </c>
      <c r="M41" s="73" t="s">
        <v>138</v>
      </c>
      <c r="N41" s="77" t="s">
        <v>129</v>
      </c>
      <c r="O41" s="78">
        <v>660000</v>
      </c>
      <c r="P41" s="79">
        <f t="shared" si="15"/>
        <v>74436120</v>
      </c>
      <c r="Q41" s="79">
        <f t="shared" si="16"/>
        <v>11591936967.599998</v>
      </c>
      <c r="R41" s="79" t="s">
        <v>25</v>
      </c>
      <c r="S41" s="80">
        <v>112.782</v>
      </c>
      <c r="T41" s="81">
        <f t="shared" si="17"/>
        <v>41864</v>
      </c>
      <c r="U41" s="82" t="s">
        <v>39</v>
      </c>
      <c r="V41" s="79">
        <f t="shared" si="18"/>
        <v>89323.343999999997</v>
      </c>
      <c r="W41" s="80">
        <v>155.72999999999999</v>
      </c>
      <c r="X41" s="79">
        <f t="shared" si="19"/>
        <v>13910324.361119999</v>
      </c>
      <c r="Y41" s="79" t="s">
        <v>39</v>
      </c>
      <c r="Z41" s="84" t="s">
        <v>39</v>
      </c>
      <c r="AA41" s="83" t="s">
        <v>39</v>
      </c>
    </row>
    <row r="42" spans="1:27" s="85" customFormat="1" ht="90.75" customHeight="1" x14ac:dyDescent="0.45">
      <c r="A42" s="273">
        <v>13</v>
      </c>
      <c r="B42" s="71" t="s">
        <v>99</v>
      </c>
      <c r="C42" s="71" t="s">
        <v>145</v>
      </c>
      <c r="D42" s="294">
        <v>41792</v>
      </c>
      <c r="E42" s="75" t="s">
        <v>160</v>
      </c>
      <c r="F42" s="75" t="s">
        <v>45</v>
      </c>
      <c r="G42" s="72" t="s">
        <v>37</v>
      </c>
      <c r="H42" s="73" t="s">
        <v>34</v>
      </c>
      <c r="I42" s="73">
        <v>27090000</v>
      </c>
      <c r="J42" s="74">
        <v>41774</v>
      </c>
      <c r="K42" s="75" t="s">
        <v>76</v>
      </c>
      <c r="L42" s="76" t="s">
        <v>32</v>
      </c>
      <c r="M42" s="73" t="s">
        <v>138</v>
      </c>
      <c r="N42" s="77" t="s">
        <v>129</v>
      </c>
      <c r="O42" s="78">
        <v>289802</v>
      </c>
      <c r="P42" s="79">
        <f t="shared" si="15"/>
        <v>32684449.164000001</v>
      </c>
      <c r="Q42" s="79">
        <f t="shared" si="16"/>
        <v>5089949268.30972</v>
      </c>
      <c r="R42" s="79" t="s">
        <v>25</v>
      </c>
      <c r="S42" s="80">
        <v>112.782</v>
      </c>
      <c r="T42" s="81">
        <f t="shared" si="17"/>
        <v>41864</v>
      </c>
      <c r="U42" s="82" t="s">
        <v>39</v>
      </c>
      <c r="V42" s="79">
        <f t="shared" si="18"/>
        <v>39221.338996799997</v>
      </c>
      <c r="W42" s="80">
        <v>155.72999999999999</v>
      </c>
      <c r="X42" s="79">
        <f t="shared" si="19"/>
        <v>6107939.1219716631</v>
      </c>
      <c r="Y42" s="79" t="s">
        <v>39</v>
      </c>
      <c r="Z42" s="84" t="s">
        <v>39</v>
      </c>
      <c r="AA42" s="83" t="s">
        <v>39</v>
      </c>
    </row>
    <row r="43" spans="1:27" s="85" customFormat="1" ht="90.75" customHeight="1" x14ac:dyDescent="0.45">
      <c r="A43" s="273">
        <v>14</v>
      </c>
      <c r="B43" s="71" t="s">
        <v>100</v>
      </c>
      <c r="C43" s="71" t="s">
        <v>146</v>
      </c>
      <c r="D43" s="294">
        <v>41792</v>
      </c>
      <c r="E43" s="75" t="s">
        <v>161</v>
      </c>
      <c r="F43" s="75" t="s">
        <v>45</v>
      </c>
      <c r="G43" s="72" t="s">
        <v>37</v>
      </c>
      <c r="H43" s="73" t="s">
        <v>33</v>
      </c>
      <c r="I43" s="73">
        <v>27090000</v>
      </c>
      <c r="J43" s="74">
        <v>41775</v>
      </c>
      <c r="K43" s="75" t="s">
        <v>77</v>
      </c>
      <c r="L43" s="76" t="s">
        <v>31</v>
      </c>
      <c r="M43" s="73" t="s">
        <v>66</v>
      </c>
      <c r="N43" s="77" t="s">
        <v>68</v>
      </c>
      <c r="O43" s="78">
        <v>950002</v>
      </c>
      <c r="P43" s="79">
        <f t="shared" si="15"/>
        <v>107480376.274</v>
      </c>
      <c r="Q43" s="79">
        <f t="shared" si="16"/>
        <v>16737918997.150019</v>
      </c>
      <c r="R43" s="79" t="s">
        <v>25</v>
      </c>
      <c r="S43" s="80">
        <v>113.137</v>
      </c>
      <c r="T43" s="81">
        <f t="shared" si="17"/>
        <v>41865</v>
      </c>
      <c r="U43" s="82" t="s">
        <v>39</v>
      </c>
      <c r="V43" s="79">
        <f t="shared" si="18"/>
        <v>128976.4515288</v>
      </c>
      <c r="W43" s="80">
        <v>155.72999999999999</v>
      </c>
      <c r="X43" s="79">
        <f t="shared" si="19"/>
        <v>20085502.79658002</v>
      </c>
      <c r="Y43" s="79" t="s">
        <v>39</v>
      </c>
      <c r="Z43" s="84" t="s">
        <v>39</v>
      </c>
      <c r="AA43" s="83" t="s">
        <v>39</v>
      </c>
    </row>
    <row r="44" spans="1:27" s="85" customFormat="1" ht="90.75" customHeight="1" x14ac:dyDescent="0.45">
      <c r="A44" s="333">
        <v>15</v>
      </c>
      <c r="B44" s="71" t="s">
        <v>101</v>
      </c>
      <c r="C44" s="325" t="s">
        <v>147</v>
      </c>
      <c r="D44" s="294">
        <v>41792</v>
      </c>
      <c r="E44" s="329" t="s">
        <v>162</v>
      </c>
      <c r="F44" s="75" t="s">
        <v>45</v>
      </c>
      <c r="G44" s="72" t="s">
        <v>37</v>
      </c>
      <c r="H44" s="73" t="s">
        <v>33</v>
      </c>
      <c r="I44" s="73">
        <v>27090000</v>
      </c>
      <c r="J44" s="74">
        <v>41777</v>
      </c>
      <c r="K44" s="75" t="s">
        <v>78</v>
      </c>
      <c r="L44" s="76" t="s">
        <v>31</v>
      </c>
      <c r="M44" s="73" t="s">
        <v>69</v>
      </c>
      <c r="N44" s="77" t="s">
        <v>67</v>
      </c>
      <c r="O44" s="78">
        <v>475075</v>
      </c>
      <c r="P44" s="79">
        <f t="shared" si="15"/>
        <v>53876830.524999999</v>
      </c>
      <c r="Q44" s="79">
        <f t="shared" si="16"/>
        <v>8390238817.6582489</v>
      </c>
      <c r="R44" s="79" t="s">
        <v>25</v>
      </c>
      <c r="S44" s="80">
        <v>113.407</v>
      </c>
      <c r="T44" s="81">
        <f t="shared" si="17"/>
        <v>41867</v>
      </c>
      <c r="U44" s="82" t="s">
        <v>39</v>
      </c>
      <c r="V44" s="79">
        <f t="shared" si="18"/>
        <v>64652.196629999991</v>
      </c>
      <c r="W44" s="80">
        <v>155.72999999999999</v>
      </c>
      <c r="X44" s="79">
        <f t="shared" si="19"/>
        <v>10068286.581189899</v>
      </c>
      <c r="Y44" s="79" t="s">
        <v>39</v>
      </c>
      <c r="Z44" s="84" t="s">
        <v>39</v>
      </c>
      <c r="AA44" s="83" t="s">
        <v>39</v>
      </c>
    </row>
    <row r="45" spans="1:27" s="85" customFormat="1" ht="90.75" customHeight="1" x14ac:dyDescent="0.45">
      <c r="A45" s="335"/>
      <c r="B45" s="71" t="s">
        <v>102</v>
      </c>
      <c r="C45" s="325"/>
      <c r="D45" s="294">
        <v>41792</v>
      </c>
      <c r="E45" s="329"/>
      <c r="F45" s="75" t="s">
        <v>45</v>
      </c>
      <c r="G45" s="72" t="s">
        <v>37</v>
      </c>
      <c r="H45" s="73" t="s">
        <v>33</v>
      </c>
      <c r="I45" s="73">
        <v>27090000</v>
      </c>
      <c r="J45" s="74">
        <v>41777</v>
      </c>
      <c r="K45" s="75" t="s">
        <v>78</v>
      </c>
      <c r="L45" s="76" t="s">
        <v>31</v>
      </c>
      <c r="M45" s="73" t="s">
        <v>137</v>
      </c>
      <c r="N45" s="77" t="s">
        <v>128</v>
      </c>
      <c r="O45" s="78">
        <v>475000</v>
      </c>
      <c r="P45" s="79">
        <f t="shared" si="15"/>
        <v>53868325</v>
      </c>
      <c r="Q45" s="79">
        <f t="shared" si="16"/>
        <v>8388914252.249999</v>
      </c>
      <c r="R45" s="79" t="s">
        <v>25</v>
      </c>
      <c r="S45" s="80">
        <v>113.407</v>
      </c>
      <c r="T45" s="81">
        <f t="shared" si="17"/>
        <v>41867</v>
      </c>
      <c r="U45" s="82" t="s">
        <v>39</v>
      </c>
      <c r="V45" s="79">
        <f t="shared" si="18"/>
        <v>64641.99</v>
      </c>
      <c r="W45" s="80">
        <v>155.72999999999999</v>
      </c>
      <c r="X45" s="79">
        <f t="shared" si="19"/>
        <v>10066697.102699999</v>
      </c>
      <c r="Y45" s="79" t="s">
        <v>39</v>
      </c>
      <c r="Z45" s="84" t="s">
        <v>39</v>
      </c>
      <c r="AA45" s="83" t="s">
        <v>39</v>
      </c>
    </row>
    <row r="46" spans="1:27" s="85" customFormat="1" ht="90.75" customHeight="1" x14ac:dyDescent="0.45">
      <c r="A46" s="273">
        <v>16</v>
      </c>
      <c r="B46" s="71" t="s">
        <v>103</v>
      </c>
      <c r="C46" s="75" t="s">
        <v>47</v>
      </c>
      <c r="D46" s="75" t="s">
        <v>47</v>
      </c>
      <c r="E46" s="75" t="s">
        <v>39</v>
      </c>
      <c r="F46" s="75" t="s">
        <v>39</v>
      </c>
      <c r="G46" s="72" t="s">
        <v>124</v>
      </c>
      <c r="H46" s="73" t="s">
        <v>33</v>
      </c>
      <c r="I46" s="73">
        <v>27090000</v>
      </c>
      <c r="J46" s="74">
        <v>41779</v>
      </c>
      <c r="K46" s="75" t="s">
        <v>79</v>
      </c>
      <c r="L46" s="76" t="s">
        <v>31</v>
      </c>
      <c r="M46" s="73" t="s">
        <v>69</v>
      </c>
      <c r="N46" s="77" t="s">
        <v>130</v>
      </c>
      <c r="O46" s="78">
        <v>950112</v>
      </c>
      <c r="P46" s="79">
        <f t="shared" si="15"/>
        <v>107755052.256</v>
      </c>
      <c r="Q46" s="79">
        <f t="shared" si="16"/>
        <v>16780694287.826878</v>
      </c>
      <c r="R46" s="79" t="s">
        <v>25</v>
      </c>
      <c r="S46" s="80">
        <v>113.413</v>
      </c>
      <c r="T46" s="81">
        <f t="shared" si="17"/>
        <v>41869</v>
      </c>
      <c r="U46" s="82" t="s">
        <v>39</v>
      </c>
      <c r="V46" s="79">
        <f t="shared" si="18"/>
        <v>129306.06270719999</v>
      </c>
      <c r="W46" s="80">
        <v>155.72999999999999</v>
      </c>
      <c r="X46" s="79">
        <f t="shared" si="19"/>
        <v>20136833.145392254</v>
      </c>
      <c r="Y46" s="79" t="s">
        <v>39</v>
      </c>
      <c r="Z46" s="84" t="s">
        <v>39</v>
      </c>
      <c r="AA46" s="83" t="s">
        <v>39</v>
      </c>
    </row>
    <row r="47" spans="1:27" s="85" customFormat="1" ht="90.75" customHeight="1" x14ac:dyDescent="0.45">
      <c r="A47" s="273">
        <v>17</v>
      </c>
      <c r="B47" s="71" t="s">
        <v>104</v>
      </c>
      <c r="C47" s="75" t="s">
        <v>47</v>
      </c>
      <c r="D47" s="75" t="s">
        <v>47</v>
      </c>
      <c r="E47" s="75" t="s">
        <v>39</v>
      </c>
      <c r="F47" s="75" t="s">
        <v>39</v>
      </c>
      <c r="G47" s="72" t="s">
        <v>37</v>
      </c>
      <c r="H47" s="73" t="s">
        <v>34</v>
      </c>
      <c r="I47" s="73">
        <v>27090000</v>
      </c>
      <c r="J47" s="74">
        <v>41780</v>
      </c>
      <c r="K47" s="75" t="s">
        <v>54</v>
      </c>
      <c r="L47" s="76" t="s">
        <v>32</v>
      </c>
      <c r="M47" s="73" t="s">
        <v>60</v>
      </c>
      <c r="N47" s="77" t="s">
        <v>64</v>
      </c>
      <c r="O47" s="78">
        <v>1041849</v>
      </c>
      <c r="P47" s="79">
        <f t="shared" si="15"/>
        <v>118180057.61700001</v>
      </c>
      <c r="Q47" s="79">
        <f t="shared" si="16"/>
        <v>18404180372.695412</v>
      </c>
      <c r="R47" s="79" t="s">
        <v>25</v>
      </c>
      <c r="S47" s="80">
        <v>113.43300000000001</v>
      </c>
      <c r="T47" s="81">
        <f t="shared" si="17"/>
        <v>41870</v>
      </c>
      <c r="U47" s="82" t="s">
        <v>39</v>
      </c>
      <c r="V47" s="79">
        <f t="shared" si="18"/>
        <v>141816.06914040001</v>
      </c>
      <c r="W47" s="80">
        <v>155.72999999999999</v>
      </c>
      <c r="X47" s="79">
        <f t="shared" si="19"/>
        <v>22085016.447234493</v>
      </c>
      <c r="Y47" s="79" t="s">
        <v>39</v>
      </c>
      <c r="Z47" s="84" t="s">
        <v>39</v>
      </c>
      <c r="AA47" s="83" t="s">
        <v>39</v>
      </c>
    </row>
    <row r="48" spans="1:27" s="85" customFormat="1" ht="90.75" customHeight="1" x14ac:dyDescent="0.45">
      <c r="A48" s="333">
        <v>18</v>
      </c>
      <c r="B48" s="71" t="s">
        <v>105</v>
      </c>
      <c r="C48" s="326" t="s">
        <v>148</v>
      </c>
      <c r="D48" s="294">
        <v>41792</v>
      </c>
      <c r="E48" s="330" t="s">
        <v>163</v>
      </c>
      <c r="F48" s="75" t="s">
        <v>45</v>
      </c>
      <c r="G48" s="72" t="s">
        <v>37</v>
      </c>
      <c r="H48" s="73" t="s">
        <v>33</v>
      </c>
      <c r="I48" s="73">
        <v>27090000</v>
      </c>
      <c r="J48" s="74">
        <v>41781</v>
      </c>
      <c r="K48" s="75" t="s">
        <v>80</v>
      </c>
      <c r="L48" s="76" t="s">
        <v>31</v>
      </c>
      <c r="M48" s="73" t="s">
        <v>41</v>
      </c>
      <c r="N48" s="77" t="s">
        <v>131</v>
      </c>
      <c r="O48" s="78">
        <v>150000</v>
      </c>
      <c r="P48" s="79">
        <f t="shared" si="15"/>
        <v>17017950</v>
      </c>
      <c r="Q48" s="79">
        <f t="shared" si="16"/>
        <v>2650205353.5</v>
      </c>
      <c r="R48" s="79" t="s">
        <v>25</v>
      </c>
      <c r="S48" s="80">
        <v>113.453</v>
      </c>
      <c r="T48" s="81">
        <f t="shared" si="17"/>
        <v>41871</v>
      </c>
      <c r="U48" s="82" t="s">
        <v>39</v>
      </c>
      <c r="V48" s="79">
        <f t="shared" si="18"/>
        <v>20421.539999999997</v>
      </c>
      <c r="W48" s="80">
        <v>155.72999999999999</v>
      </c>
      <c r="X48" s="79">
        <f t="shared" si="19"/>
        <v>3180246.4241999993</v>
      </c>
      <c r="Y48" s="79" t="s">
        <v>39</v>
      </c>
      <c r="Z48" s="84" t="s">
        <v>39</v>
      </c>
      <c r="AA48" s="83" t="s">
        <v>39</v>
      </c>
    </row>
    <row r="49" spans="1:27" s="85" customFormat="1" ht="90.75" customHeight="1" x14ac:dyDescent="0.45">
      <c r="A49" s="334"/>
      <c r="B49" s="71" t="s">
        <v>106</v>
      </c>
      <c r="C49" s="327"/>
      <c r="D49" s="294">
        <v>41792</v>
      </c>
      <c r="E49" s="331"/>
      <c r="F49" s="75" t="s">
        <v>45</v>
      </c>
      <c r="G49" s="72" t="s">
        <v>37</v>
      </c>
      <c r="H49" s="73" t="s">
        <v>33</v>
      </c>
      <c r="I49" s="73">
        <v>27090000</v>
      </c>
      <c r="J49" s="74">
        <v>41781</v>
      </c>
      <c r="K49" s="75" t="s">
        <v>80</v>
      </c>
      <c r="L49" s="76" t="s">
        <v>31</v>
      </c>
      <c r="M49" s="73" t="s">
        <v>41</v>
      </c>
      <c r="N49" s="77" t="s">
        <v>131</v>
      </c>
      <c r="O49" s="78">
        <v>200000</v>
      </c>
      <c r="P49" s="79">
        <f t="shared" si="15"/>
        <v>22690600</v>
      </c>
      <c r="Q49" s="79">
        <f t="shared" si="16"/>
        <v>3533607138</v>
      </c>
      <c r="R49" s="79" t="s">
        <v>25</v>
      </c>
      <c r="S49" s="80">
        <v>113.453</v>
      </c>
      <c r="T49" s="81">
        <f t="shared" si="17"/>
        <v>41871</v>
      </c>
      <c r="U49" s="82" t="s">
        <v>39</v>
      </c>
      <c r="V49" s="79">
        <f t="shared" si="18"/>
        <v>27228.719999999998</v>
      </c>
      <c r="W49" s="80">
        <v>155.72999999999999</v>
      </c>
      <c r="X49" s="79">
        <f t="shared" si="19"/>
        <v>4240328.5655999994</v>
      </c>
      <c r="Y49" s="79" t="s">
        <v>39</v>
      </c>
      <c r="Z49" s="84" t="s">
        <v>39</v>
      </c>
      <c r="AA49" s="83" t="s">
        <v>39</v>
      </c>
    </row>
    <row r="50" spans="1:27" s="85" customFormat="1" ht="90.75" customHeight="1" x14ac:dyDescent="0.45">
      <c r="A50" s="334"/>
      <c r="B50" s="71" t="s">
        <v>107</v>
      </c>
      <c r="C50" s="327"/>
      <c r="D50" s="294">
        <v>41792</v>
      </c>
      <c r="E50" s="331"/>
      <c r="F50" s="75" t="s">
        <v>45</v>
      </c>
      <c r="G50" s="72" t="s">
        <v>37</v>
      </c>
      <c r="H50" s="73" t="s">
        <v>33</v>
      </c>
      <c r="I50" s="73">
        <v>27090000</v>
      </c>
      <c r="J50" s="74">
        <v>41781</v>
      </c>
      <c r="K50" s="75" t="s">
        <v>80</v>
      </c>
      <c r="L50" s="76" t="s">
        <v>31</v>
      </c>
      <c r="M50" s="73" t="s">
        <v>41</v>
      </c>
      <c r="N50" s="77" t="s">
        <v>131</v>
      </c>
      <c r="O50" s="78">
        <v>200000</v>
      </c>
      <c r="P50" s="79">
        <f t="shared" si="15"/>
        <v>22690600</v>
      </c>
      <c r="Q50" s="79">
        <f t="shared" si="16"/>
        <v>3533607138</v>
      </c>
      <c r="R50" s="79" t="s">
        <v>25</v>
      </c>
      <c r="S50" s="80">
        <v>113.453</v>
      </c>
      <c r="T50" s="81">
        <f t="shared" si="17"/>
        <v>41871</v>
      </c>
      <c r="U50" s="82" t="s">
        <v>39</v>
      </c>
      <c r="V50" s="79">
        <f t="shared" si="18"/>
        <v>27228.719999999998</v>
      </c>
      <c r="W50" s="80">
        <v>155.72999999999999</v>
      </c>
      <c r="X50" s="79">
        <f t="shared" si="19"/>
        <v>4240328.5655999994</v>
      </c>
      <c r="Y50" s="79" t="s">
        <v>39</v>
      </c>
      <c r="Z50" s="84" t="s">
        <v>39</v>
      </c>
      <c r="AA50" s="83" t="s">
        <v>39</v>
      </c>
    </row>
    <row r="51" spans="1:27" s="85" customFormat="1" ht="90.75" customHeight="1" x14ac:dyDescent="0.45">
      <c r="A51" s="334"/>
      <c r="B51" s="71" t="s">
        <v>108</v>
      </c>
      <c r="C51" s="327"/>
      <c r="D51" s="294">
        <v>41792</v>
      </c>
      <c r="E51" s="331"/>
      <c r="F51" s="75" t="s">
        <v>45</v>
      </c>
      <c r="G51" s="72" t="s">
        <v>37</v>
      </c>
      <c r="H51" s="73" t="s">
        <v>33</v>
      </c>
      <c r="I51" s="73">
        <v>27090000</v>
      </c>
      <c r="J51" s="74">
        <v>41781</v>
      </c>
      <c r="K51" s="75" t="s">
        <v>80</v>
      </c>
      <c r="L51" s="76" t="s">
        <v>31</v>
      </c>
      <c r="M51" s="73" t="s">
        <v>41</v>
      </c>
      <c r="N51" s="77" t="s">
        <v>131</v>
      </c>
      <c r="O51" s="78">
        <v>200000</v>
      </c>
      <c r="P51" s="79">
        <f t="shared" si="5"/>
        <v>22690600</v>
      </c>
      <c r="Q51" s="79">
        <f t="shared" si="6"/>
        <v>3533607138</v>
      </c>
      <c r="R51" s="79" t="s">
        <v>25</v>
      </c>
      <c r="S51" s="80">
        <v>113.453</v>
      </c>
      <c r="T51" s="81">
        <f t="shared" si="7"/>
        <v>41871</v>
      </c>
      <c r="U51" s="82" t="s">
        <v>39</v>
      </c>
      <c r="V51" s="79">
        <f t="shared" si="8"/>
        <v>27228.719999999998</v>
      </c>
      <c r="W51" s="80">
        <v>155.72999999999999</v>
      </c>
      <c r="X51" s="79">
        <f t="shared" si="9"/>
        <v>4240328.5655999994</v>
      </c>
      <c r="Y51" s="79" t="s">
        <v>39</v>
      </c>
      <c r="Z51" s="84" t="s">
        <v>39</v>
      </c>
      <c r="AA51" s="258" t="s">
        <v>39</v>
      </c>
    </row>
    <row r="52" spans="1:27" s="85" customFormat="1" ht="90.75" customHeight="1" x14ac:dyDescent="0.45">
      <c r="A52" s="335"/>
      <c r="B52" s="71" t="s">
        <v>109</v>
      </c>
      <c r="C52" s="328"/>
      <c r="D52" s="294">
        <v>41792</v>
      </c>
      <c r="E52" s="332"/>
      <c r="F52" s="75" t="s">
        <v>45</v>
      </c>
      <c r="G52" s="72" t="s">
        <v>37</v>
      </c>
      <c r="H52" s="73" t="s">
        <v>33</v>
      </c>
      <c r="I52" s="73">
        <v>27090000</v>
      </c>
      <c r="J52" s="74">
        <v>41781</v>
      </c>
      <c r="K52" s="75" t="s">
        <v>80</v>
      </c>
      <c r="L52" s="76" t="s">
        <v>31</v>
      </c>
      <c r="M52" s="73" t="s">
        <v>41</v>
      </c>
      <c r="N52" s="77" t="s">
        <v>131</v>
      </c>
      <c r="O52" s="78">
        <v>200065</v>
      </c>
      <c r="P52" s="79">
        <f t="shared" si="5"/>
        <v>22697974.445</v>
      </c>
      <c r="Q52" s="79">
        <f t="shared" si="6"/>
        <v>3534755560.31985</v>
      </c>
      <c r="R52" s="79" t="s">
        <v>25</v>
      </c>
      <c r="S52" s="80">
        <v>113.453</v>
      </c>
      <c r="T52" s="81">
        <f t="shared" si="7"/>
        <v>41871</v>
      </c>
      <c r="U52" s="82" t="s">
        <v>39</v>
      </c>
      <c r="V52" s="79">
        <f t="shared" si="8"/>
        <v>27237.569333999996</v>
      </c>
      <c r="W52" s="80">
        <v>155.72999999999999</v>
      </c>
      <c r="X52" s="79">
        <f t="shared" si="9"/>
        <v>4241706.6723838188</v>
      </c>
      <c r="Y52" s="79" t="s">
        <v>39</v>
      </c>
      <c r="Z52" s="84" t="s">
        <v>39</v>
      </c>
      <c r="AA52" s="83" t="s">
        <v>39</v>
      </c>
    </row>
    <row r="53" spans="1:27" s="85" customFormat="1" ht="90.75" customHeight="1" x14ac:dyDescent="0.45">
      <c r="A53" s="273">
        <v>19</v>
      </c>
      <c r="B53" s="71" t="s">
        <v>110</v>
      </c>
      <c r="C53" s="71" t="s">
        <v>149</v>
      </c>
      <c r="D53" s="294">
        <v>41792</v>
      </c>
      <c r="E53" s="75" t="s">
        <v>164</v>
      </c>
      <c r="F53" s="75" t="s">
        <v>45</v>
      </c>
      <c r="G53" s="72" t="s">
        <v>37</v>
      </c>
      <c r="H53" s="73" t="s">
        <v>33</v>
      </c>
      <c r="I53" s="73">
        <v>27090000</v>
      </c>
      <c r="J53" s="74">
        <v>41784</v>
      </c>
      <c r="K53" s="75" t="s">
        <v>81</v>
      </c>
      <c r="L53" s="76" t="s">
        <v>31</v>
      </c>
      <c r="M53" s="73" t="s">
        <v>35</v>
      </c>
      <c r="N53" s="77" t="s">
        <v>44</v>
      </c>
      <c r="O53" s="78">
        <v>90000</v>
      </c>
      <c r="P53" s="79">
        <f t="shared" si="5"/>
        <v>10170225</v>
      </c>
      <c r="Q53" s="79">
        <f t="shared" si="6"/>
        <v>1583809139.25</v>
      </c>
      <c r="R53" s="79" t="s">
        <v>25</v>
      </c>
      <c r="S53" s="80">
        <v>113.0025</v>
      </c>
      <c r="T53" s="81">
        <f t="shared" si="7"/>
        <v>41874</v>
      </c>
      <c r="U53" s="82" t="s">
        <v>39</v>
      </c>
      <c r="V53" s="79">
        <f t="shared" si="8"/>
        <v>12204.269999999999</v>
      </c>
      <c r="W53" s="80">
        <v>155.72999999999999</v>
      </c>
      <c r="X53" s="79">
        <f t="shared" si="9"/>
        <v>1900570.9670999998</v>
      </c>
      <c r="Y53" s="79" t="s">
        <v>39</v>
      </c>
      <c r="Z53" s="84" t="s">
        <v>39</v>
      </c>
      <c r="AA53" s="83" t="s">
        <v>39</v>
      </c>
    </row>
    <row r="54" spans="1:27" s="85" customFormat="1" ht="90.75" customHeight="1" x14ac:dyDescent="0.45">
      <c r="A54" s="273">
        <v>20</v>
      </c>
      <c r="B54" s="71" t="s">
        <v>111</v>
      </c>
      <c r="C54" s="71" t="s">
        <v>150</v>
      </c>
      <c r="D54" s="294">
        <v>41792</v>
      </c>
      <c r="E54" s="75" t="s">
        <v>165</v>
      </c>
      <c r="F54" s="75" t="s">
        <v>45</v>
      </c>
      <c r="G54" s="72" t="s">
        <v>37</v>
      </c>
      <c r="H54" s="73" t="s">
        <v>33</v>
      </c>
      <c r="I54" s="73">
        <v>27090000</v>
      </c>
      <c r="J54" s="74">
        <v>41784</v>
      </c>
      <c r="K54" s="75" t="s">
        <v>81</v>
      </c>
      <c r="L54" s="76" t="s">
        <v>31</v>
      </c>
      <c r="M54" s="73" t="s">
        <v>35</v>
      </c>
      <c r="N54" s="77" t="s">
        <v>44</v>
      </c>
      <c r="O54" s="78">
        <v>90000</v>
      </c>
      <c r="P54" s="79">
        <f t="shared" si="5"/>
        <v>10170225</v>
      </c>
      <c r="Q54" s="79">
        <f t="shared" si="6"/>
        <v>1583809139.25</v>
      </c>
      <c r="R54" s="79" t="s">
        <v>25</v>
      </c>
      <c r="S54" s="80">
        <v>113.0025</v>
      </c>
      <c r="T54" s="81">
        <f t="shared" si="7"/>
        <v>41874</v>
      </c>
      <c r="U54" s="82" t="s">
        <v>39</v>
      </c>
      <c r="V54" s="79">
        <f t="shared" si="8"/>
        <v>12204.269999999999</v>
      </c>
      <c r="W54" s="80">
        <v>155.72999999999999</v>
      </c>
      <c r="X54" s="79">
        <f t="shared" si="9"/>
        <v>1900570.9670999998</v>
      </c>
      <c r="Y54" s="79" t="s">
        <v>39</v>
      </c>
      <c r="Z54" s="84" t="s">
        <v>39</v>
      </c>
      <c r="AA54" s="83" t="s">
        <v>39</v>
      </c>
    </row>
    <row r="55" spans="1:27" s="85" customFormat="1" ht="90.75" customHeight="1" x14ac:dyDescent="0.45">
      <c r="A55" s="273">
        <v>21</v>
      </c>
      <c r="B55" s="71" t="s">
        <v>112</v>
      </c>
      <c r="C55" s="71" t="s">
        <v>151</v>
      </c>
      <c r="D55" s="294">
        <v>41792</v>
      </c>
      <c r="E55" s="75" t="s">
        <v>166</v>
      </c>
      <c r="F55" s="75" t="s">
        <v>45</v>
      </c>
      <c r="G55" s="72" t="s">
        <v>37</v>
      </c>
      <c r="H55" s="73" t="s">
        <v>33</v>
      </c>
      <c r="I55" s="73">
        <v>27090000</v>
      </c>
      <c r="J55" s="74">
        <v>41784</v>
      </c>
      <c r="K55" s="75" t="s">
        <v>81</v>
      </c>
      <c r="L55" s="76" t="s">
        <v>31</v>
      </c>
      <c r="M55" s="73" t="s">
        <v>35</v>
      </c>
      <c r="N55" s="77" t="s">
        <v>44</v>
      </c>
      <c r="O55" s="78">
        <v>150000</v>
      </c>
      <c r="P55" s="79">
        <f t="shared" si="5"/>
        <v>16950375</v>
      </c>
      <c r="Q55" s="79">
        <f t="shared" si="6"/>
        <v>2639681898.75</v>
      </c>
      <c r="R55" s="79" t="s">
        <v>25</v>
      </c>
      <c r="S55" s="80">
        <v>113.0025</v>
      </c>
      <c r="T55" s="81">
        <f t="shared" si="7"/>
        <v>41874</v>
      </c>
      <c r="U55" s="82" t="s">
        <v>39</v>
      </c>
      <c r="V55" s="79">
        <f t="shared" si="8"/>
        <v>20340.449999999997</v>
      </c>
      <c r="W55" s="80">
        <v>155.72999999999999</v>
      </c>
      <c r="X55" s="79">
        <f t="shared" si="9"/>
        <v>3167618.2784999995</v>
      </c>
      <c r="Y55" s="79" t="s">
        <v>39</v>
      </c>
      <c r="Z55" s="84" t="s">
        <v>39</v>
      </c>
      <c r="AA55" s="83" t="s">
        <v>39</v>
      </c>
    </row>
    <row r="56" spans="1:27" s="85" customFormat="1" ht="90.75" customHeight="1" x14ac:dyDescent="0.45">
      <c r="A56" s="273">
        <v>22</v>
      </c>
      <c r="B56" s="71" t="s">
        <v>113</v>
      </c>
      <c r="C56" s="71" t="s">
        <v>152</v>
      </c>
      <c r="D56" s="294">
        <v>41792</v>
      </c>
      <c r="E56" s="75" t="s">
        <v>167</v>
      </c>
      <c r="F56" s="75" t="s">
        <v>45</v>
      </c>
      <c r="G56" s="72" t="s">
        <v>37</v>
      </c>
      <c r="H56" s="73" t="s">
        <v>33</v>
      </c>
      <c r="I56" s="73">
        <v>27090000</v>
      </c>
      <c r="J56" s="74">
        <v>41784</v>
      </c>
      <c r="K56" s="75" t="s">
        <v>81</v>
      </c>
      <c r="L56" s="76" t="s">
        <v>31</v>
      </c>
      <c r="M56" s="73" t="s">
        <v>35</v>
      </c>
      <c r="N56" s="77" t="s">
        <v>44</v>
      </c>
      <c r="O56" s="78">
        <v>619846</v>
      </c>
      <c r="P56" s="79">
        <f t="shared" si="5"/>
        <v>70044147.614999995</v>
      </c>
      <c r="Q56" s="79">
        <f t="shared" si="6"/>
        <v>10907975108.083948</v>
      </c>
      <c r="R56" s="79" t="s">
        <v>25</v>
      </c>
      <c r="S56" s="80">
        <v>113.0025</v>
      </c>
      <c r="T56" s="81">
        <f t="shared" si="7"/>
        <v>41874</v>
      </c>
      <c r="U56" s="82" t="s">
        <v>39</v>
      </c>
      <c r="V56" s="79">
        <f t="shared" si="8"/>
        <v>84052.977137999987</v>
      </c>
      <c r="W56" s="80">
        <v>155.72999999999999</v>
      </c>
      <c r="X56" s="79">
        <f t="shared" si="9"/>
        <v>13089570.129700737</v>
      </c>
      <c r="Y56" s="79" t="s">
        <v>39</v>
      </c>
      <c r="Z56" s="84" t="s">
        <v>39</v>
      </c>
      <c r="AA56" s="83" t="s">
        <v>39</v>
      </c>
    </row>
    <row r="57" spans="1:27" s="85" customFormat="1" ht="90.75" customHeight="1" x14ac:dyDescent="0.45">
      <c r="A57" s="273">
        <v>23</v>
      </c>
      <c r="B57" s="71" t="s">
        <v>114</v>
      </c>
      <c r="C57" s="71" t="s">
        <v>153</v>
      </c>
      <c r="D57" s="294">
        <v>41792</v>
      </c>
      <c r="E57" s="75" t="s">
        <v>168</v>
      </c>
      <c r="F57" s="75" t="s">
        <v>45</v>
      </c>
      <c r="G57" s="72" t="s">
        <v>37</v>
      </c>
      <c r="H57" s="73" t="s">
        <v>34</v>
      </c>
      <c r="I57" s="73">
        <v>27090000</v>
      </c>
      <c r="J57" s="74">
        <v>41784</v>
      </c>
      <c r="K57" s="75" t="s">
        <v>82</v>
      </c>
      <c r="L57" s="76" t="s">
        <v>32</v>
      </c>
      <c r="M57" s="73" t="s">
        <v>139</v>
      </c>
      <c r="N57" s="77" t="s">
        <v>132</v>
      </c>
      <c r="O57" s="78">
        <v>200000</v>
      </c>
      <c r="P57" s="79">
        <f t="shared" si="5"/>
        <v>22600500</v>
      </c>
      <c r="Q57" s="79">
        <f t="shared" si="6"/>
        <v>3519575865</v>
      </c>
      <c r="R57" s="79" t="s">
        <v>25</v>
      </c>
      <c r="S57" s="80">
        <v>113.0025</v>
      </c>
      <c r="T57" s="81">
        <f t="shared" si="7"/>
        <v>41874</v>
      </c>
      <c r="U57" s="82" t="s">
        <v>39</v>
      </c>
      <c r="V57" s="79">
        <f t="shared" si="8"/>
        <v>27120.6</v>
      </c>
      <c r="W57" s="80">
        <v>155.72999999999999</v>
      </c>
      <c r="X57" s="79">
        <f t="shared" si="9"/>
        <v>4223491.0379999997</v>
      </c>
      <c r="Y57" s="79" t="s">
        <v>39</v>
      </c>
      <c r="Z57" s="84" t="s">
        <v>39</v>
      </c>
      <c r="AA57" s="83" t="s">
        <v>39</v>
      </c>
    </row>
    <row r="58" spans="1:27" s="85" customFormat="1" ht="90.75" customHeight="1" x14ac:dyDescent="0.45">
      <c r="A58" s="273">
        <v>24</v>
      </c>
      <c r="B58" s="71" t="s">
        <v>115</v>
      </c>
      <c r="C58" s="71" t="s">
        <v>154</v>
      </c>
      <c r="D58" s="294">
        <v>41792</v>
      </c>
      <c r="E58" s="75" t="s">
        <v>169</v>
      </c>
      <c r="F58" s="75" t="s">
        <v>45</v>
      </c>
      <c r="G58" s="72" t="s">
        <v>37</v>
      </c>
      <c r="H58" s="73" t="s">
        <v>34</v>
      </c>
      <c r="I58" s="73">
        <v>27090000</v>
      </c>
      <c r="J58" s="74">
        <v>41784</v>
      </c>
      <c r="K58" s="75" t="s">
        <v>82</v>
      </c>
      <c r="L58" s="76" t="s">
        <v>32</v>
      </c>
      <c r="M58" s="73" t="s">
        <v>139</v>
      </c>
      <c r="N58" s="77" t="s">
        <v>132</v>
      </c>
      <c r="O58" s="78">
        <v>747500</v>
      </c>
      <c r="P58" s="79">
        <f t="shared" si="5"/>
        <v>84469368.75</v>
      </c>
      <c r="Q58" s="79">
        <f t="shared" si="6"/>
        <v>13154414795.4375</v>
      </c>
      <c r="R58" s="79" t="s">
        <v>25</v>
      </c>
      <c r="S58" s="80">
        <v>113.0025</v>
      </c>
      <c r="T58" s="81">
        <f t="shared" si="7"/>
        <v>41874</v>
      </c>
      <c r="U58" s="82" t="s">
        <v>39</v>
      </c>
      <c r="V58" s="79">
        <f t="shared" si="8"/>
        <v>101363.24249999999</v>
      </c>
      <c r="W58" s="80">
        <v>155.72999999999999</v>
      </c>
      <c r="X58" s="79">
        <f t="shared" si="9"/>
        <v>15785297.754524998</v>
      </c>
      <c r="Y58" s="79" t="s">
        <v>39</v>
      </c>
      <c r="Z58" s="84" t="s">
        <v>39</v>
      </c>
      <c r="AA58" s="83" t="s">
        <v>39</v>
      </c>
    </row>
    <row r="59" spans="1:27" s="85" customFormat="1" ht="90.75" customHeight="1" x14ac:dyDescent="0.45">
      <c r="A59" s="273">
        <v>25</v>
      </c>
      <c r="B59" s="71" t="s">
        <v>116</v>
      </c>
      <c r="C59" s="75" t="s">
        <v>47</v>
      </c>
      <c r="D59" s="75" t="s">
        <v>47</v>
      </c>
      <c r="E59" s="75" t="s">
        <v>39</v>
      </c>
      <c r="F59" s="75" t="s">
        <v>39</v>
      </c>
      <c r="G59" s="72" t="s">
        <v>37</v>
      </c>
      <c r="H59" s="73" t="s">
        <v>33</v>
      </c>
      <c r="I59" s="73">
        <v>27090000</v>
      </c>
      <c r="J59" s="74">
        <v>41786</v>
      </c>
      <c r="K59" s="75" t="s">
        <v>83</v>
      </c>
      <c r="L59" s="76" t="s">
        <v>31</v>
      </c>
      <c r="M59" s="73" t="s">
        <v>140</v>
      </c>
      <c r="N59" s="77" t="s">
        <v>133</v>
      </c>
      <c r="O59" s="78">
        <v>949830</v>
      </c>
      <c r="P59" s="79">
        <f t="shared" si="5"/>
        <v>106959881.38499999</v>
      </c>
      <c r="Q59" s="79">
        <f t="shared" si="6"/>
        <v>16656862328.086048</v>
      </c>
      <c r="R59" s="79" t="s">
        <v>25</v>
      </c>
      <c r="S59" s="80">
        <v>112.6095</v>
      </c>
      <c r="T59" s="81">
        <f t="shared" si="7"/>
        <v>41876</v>
      </c>
      <c r="U59" s="82" t="s">
        <v>39</v>
      </c>
      <c r="V59" s="79">
        <f t="shared" si="8"/>
        <v>128351.85766199998</v>
      </c>
      <c r="W59" s="80">
        <v>155.72999999999999</v>
      </c>
      <c r="X59" s="79">
        <f t="shared" si="9"/>
        <v>19988234.793703254</v>
      </c>
      <c r="Y59" s="79" t="s">
        <v>39</v>
      </c>
      <c r="Z59" s="84" t="s">
        <v>39</v>
      </c>
      <c r="AA59" s="83" t="s">
        <v>39</v>
      </c>
    </row>
    <row r="60" spans="1:27" s="85" customFormat="1" ht="90.75" customHeight="1" x14ac:dyDescent="0.45">
      <c r="A60" s="273">
        <v>26</v>
      </c>
      <c r="B60" s="71" t="s">
        <v>117</v>
      </c>
      <c r="C60" s="75" t="s">
        <v>47</v>
      </c>
      <c r="D60" s="75" t="s">
        <v>47</v>
      </c>
      <c r="E60" s="75" t="s">
        <v>39</v>
      </c>
      <c r="F60" s="75" t="s">
        <v>39</v>
      </c>
      <c r="G60" s="72" t="s">
        <v>48</v>
      </c>
      <c r="H60" s="73" t="s">
        <v>34</v>
      </c>
      <c r="I60" s="73">
        <v>27090000</v>
      </c>
      <c r="J60" s="86">
        <v>41788</v>
      </c>
      <c r="K60" s="75" t="s">
        <v>84</v>
      </c>
      <c r="L60" s="76" t="s">
        <v>32</v>
      </c>
      <c r="M60" s="73" t="s">
        <v>41</v>
      </c>
      <c r="N60" s="87" t="s">
        <v>46</v>
      </c>
      <c r="O60" s="78">
        <v>66850</v>
      </c>
      <c r="P60" s="79">
        <f t="shared" si="5"/>
        <v>7496759.5499999998</v>
      </c>
      <c r="Q60" s="79">
        <f t="shared" si="6"/>
        <v>1167470364.7214999</v>
      </c>
      <c r="R60" s="79" t="s">
        <v>25</v>
      </c>
      <c r="S60" s="80">
        <v>112.143</v>
      </c>
      <c r="T60" s="81">
        <f t="shared" si="7"/>
        <v>41878</v>
      </c>
      <c r="U60" s="82" t="s">
        <v>39</v>
      </c>
      <c r="V60" s="79">
        <f t="shared" si="8"/>
        <v>8996.1114599999983</v>
      </c>
      <c r="W60" s="80">
        <v>155.72999999999999</v>
      </c>
      <c r="X60" s="79">
        <f t="shared" si="9"/>
        <v>1400964.4376657996</v>
      </c>
      <c r="Y60" s="79" t="s">
        <v>39</v>
      </c>
      <c r="Z60" s="84" t="s">
        <v>39</v>
      </c>
      <c r="AA60" s="83" t="s">
        <v>39</v>
      </c>
    </row>
    <row r="61" spans="1:27" s="85" customFormat="1" ht="90.75" customHeight="1" x14ac:dyDescent="0.45">
      <c r="A61" s="273">
        <v>27</v>
      </c>
      <c r="B61" s="71" t="s">
        <v>118</v>
      </c>
      <c r="C61" s="75" t="s">
        <v>47</v>
      </c>
      <c r="D61" s="75" t="s">
        <v>47</v>
      </c>
      <c r="E61" s="75" t="s">
        <v>39</v>
      </c>
      <c r="F61" s="75" t="s">
        <v>39</v>
      </c>
      <c r="G61" s="72" t="s">
        <v>49</v>
      </c>
      <c r="H61" s="73" t="s">
        <v>34</v>
      </c>
      <c r="I61" s="73">
        <v>27090000</v>
      </c>
      <c r="J61" s="86">
        <v>41788</v>
      </c>
      <c r="K61" s="75" t="s">
        <v>84</v>
      </c>
      <c r="L61" s="88" t="s">
        <v>32</v>
      </c>
      <c r="M61" s="73" t="s">
        <v>41</v>
      </c>
      <c r="N61" s="77" t="s">
        <v>46</v>
      </c>
      <c r="O61" s="78">
        <v>128925</v>
      </c>
      <c r="P61" s="79">
        <f t="shared" si="5"/>
        <v>14458036.275</v>
      </c>
      <c r="Q61" s="79">
        <f t="shared" si="6"/>
        <v>2251549989.1057501</v>
      </c>
      <c r="R61" s="79" t="s">
        <v>25</v>
      </c>
      <c r="S61" s="80">
        <v>112.143</v>
      </c>
      <c r="T61" s="81">
        <f t="shared" si="7"/>
        <v>41878</v>
      </c>
      <c r="U61" s="82" t="s">
        <v>39</v>
      </c>
      <c r="V61" s="79">
        <f t="shared" si="8"/>
        <v>17349.643529999998</v>
      </c>
      <c r="W61" s="80">
        <v>155.72999999999999</v>
      </c>
      <c r="X61" s="79">
        <f t="shared" si="9"/>
        <v>2701859.9869268993</v>
      </c>
      <c r="Y61" s="79" t="s">
        <v>39</v>
      </c>
      <c r="Z61" s="84" t="s">
        <v>39</v>
      </c>
      <c r="AA61" s="83" t="s">
        <v>39</v>
      </c>
    </row>
    <row r="62" spans="1:27" s="85" customFormat="1" ht="90.75" customHeight="1" x14ac:dyDescent="0.45">
      <c r="A62" s="273">
        <v>28</v>
      </c>
      <c r="B62" s="71" t="s">
        <v>119</v>
      </c>
      <c r="C62" s="75" t="s">
        <v>47</v>
      </c>
      <c r="D62" s="75" t="s">
        <v>47</v>
      </c>
      <c r="E62" s="84" t="s">
        <v>170</v>
      </c>
      <c r="F62" s="75" t="s">
        <v>171</v>
      </c>
      <c r="G62" s="72" t="s">
        <v>42</v>
      </c>
      <c r="H62" s="73" t="s">
        <v>34</v>
      </c>
      <c r="I62" s="73">
        <v>27090000</v>
      </c>
      <c r="J62" s="86">
        <v>41788</v>
      </c>
      <c r="K62" s="75" t="s">
        <v>84</v>
      </c>
      <c r="L62" s="88" t="s">
        <v>32</v>
      </c>
      <c r="M62" s="73" t="s">
        <v>41</v>
      </c>
      <c r="N62" s="77" t="s">
        <v>46</v>
      </c>
      <c r="O62" s="78">
        <v>191000</v>
      </c>
      <c r="P62" s="79">
        <f t="shared" ref="P62:P66" si="20">O62*S62</f>
        <v>21419313</v>
      </c>
      <c r="Q62" s="79">
        <f t="shared" ref="Q62:Q66" si="21">P62*W62</f>
        <v>3335629613.4899998</v>
      </c>
      <c r="R62" s="79" t="s">
        <v>25</v>
      </c>
      <c r="S62" s="80">
        <v>112.143</v>
      </c>
      <c r="T62" s="81">
        <f t="shared" si="7"/>
        <v>41878</v>
      </c>
      <c r="U62" s="82" t="s">
        <v>171</v>
      </c>
      <c r="V62" s="79">
        <f t="shared" ref="V62:V66" si="22">P62*0.12%</f>
        <v>25703.175599999999</v>
      </c>
      <c r="W62" s="80">
        <v>155.72999999999999</v>
      </c>
      <c r="X62" s="79">
        <f t="shared" si="9"/>
        <v>4002755.5361879994</v>
      </c>
      <c r="Y62" s="79">
        <v>3747798.18</v>
      </c>
      <c r="Z62" s="84" t="s">
        <v>172</v>
      </c>
      <c r="AA62" s="258">
        <v>41780</v>
      </c>
    </row>
    <row r="63" spans="1:27" s="85" customFormat="1" ht="90.75" customHeight="1" x14ac:dyDescent="0.45">
      <c r="A63" s="273">
        <v>29</v>
      </c>
      <c r="B63" s="71" t="s">
        <v>120</v>
      </c>
      <c r="C63" s="75" t="s">
        <v>47</v>
      </c>
      <c r="D63" s="75" t="s">
        <v>47</v>
      </c>
      <c r="E63" s="75" t="s">
        <v>39</v>
      </c>
      <c r="F63" s="75" t="s">
        <v>39</v>
      </c>
      <c r="G63" s="72" t="s">
        <v>43</v>
      </c>
      <c r="H63" s="73" t="s">
        <v>34</v>
      </c>
      <c r="I63" s="73">
        <v>27090000</v>
      </c>
      <c r="J63" s="86">
        <v>41788</v>
      </c>
      <c r="K63" s="75" t="s">
        <v>84</v>
      </c>
      <c r="L63" s="88" t="s">
        <v>32</v>
      </c>
      <c r="M63" s="73" t="s">
        <v>41</v>
      </c>
      <c r="N63" s="77" t="s">
        <v>46</v>
      </c>
      <c r="O63" s="78">
        <v>566447</v>
      </c>
      <c r="P63" s="79">
        <f t="shared" si="20"/>
        <v>63523065.921000004</v>
      </c>
      <c r="Q63" s="79">
        <f t="shared" si="21"/>
        <v>9892447055.8773308</v>
      </c>
      <c r="R63" s="79" t="s">
        <v>25</v>
      </c>
      <c r="S63" s="80">
        <v>112.143</v>
      </c>
      <c r="T63" s="81">
        <f t="shared" si="7"/>
        <v>41878</v>
      </c>
      <c r="U63" s="82" t="s">
        <v>39</v>
      </c>
      <c r="V63" s="79">
        <f t="shared" si="22"/>
        <v>76227.679105200004</v>
      </c>
      <c r="W63" s="80">
        <v>155.72999999999999</v>
      </c>
      <c r="X63" s="79">
        <f t="shared" si="9"/>
        <v>11870936.467052795</v>
      </c>
      <c r="Y63" s="79" t="s">
        <v>39</v>
      </c>
      <c r="Z63" s="84" t="s">
        <v>39</v>
      </c>
      <c r="AA63" s="258" t="s">
        <v>39</v>
      </c>
    </row>
    <row r="64" spans="1:27" s="85" customFormat="1" ht="90.75" customHeight="1" x14ac:dyDescent="0.45">
      <c r="A64" s="273">
        <v>30</v>
      </c>
      <c r="B64" s="71" t="s">
        <v>121</v>
      </c>
      <c r="C64" s="75" t="s">
        <v>47</v>
      </c>
      <c r="D64" s="75" t="s">
        <v>47</v>
      </c>
      <c r="E64" s="75" t="s">
        <v>39</v>
      </c>
      <c r="F64" s="75" t="s">
        <v>39</v>
      </c>
      <c r="G64" s="72" t="s">
        <v>124</v>
      </c>
      <c r="H64" s="73" t="s">
        <v>33</v>
      </c>
      <c r="I64" s="73">
        <v>27090000</v>
      </c>
      <c r="J64" s="86">
        <v>41789</v>
      </c>
      <c r="K64" s="75" t="s">
        <v>85</v>
      </c>
      <c r="L64" s="88" t="s">
        <v>31</v>
      </c>
      <c r="M64" s="73" t="s">
        <v>139</v>
      </c>
      <c r="N64" s="77" t="s">
        <v>134</v>
      </c>
      <c r="O64" s="78">
        <v>949715</v>
      </c>
      <c r="P64" s="79">
        <f t="shared" si="20"/>
        <v>106312996.52999999</v>
      </c>
      <c r="Q64" s="79">
        <f t="shared" si="21"/>
        <v>16556122949.616898</v>
      </c>
      <c r="R64" s="79" t="s">
        <v>25</v>
      </c>
      <c r="S64" s="80">
        <v>111.94199999999999</v>
      </c>
      <c r="T64" s="81">
        <f t="shared" si="7"/>
        <v>41879</v>
      </c>
      <c r="U64" s="82" t="s">
        <v>39</v>
      </c>
      <c r="V64" s="79">
        <f t="shared" si="22"/>
        <v>127575.59583599998</v>
      </c>
      <c r="W64" s="80">
        <v>155.72999999999999</v>
      </c>
      <c r="X64" s="79">
        <f t="shared" si="9"/>
        <v>19867347.539540276</v>
      </c>
      <c r="Y64" s="79" t="s">
        <v>39</v>
      </c>
      <c r="Z64" s="84" t="s">
        <v>39</v>
      </c>
      <c r="AA64" s="83" t="s">
        <v>39</v>
      </c>
    </row>
    <row r="65" spans="1:27" s="85" customFormat="1" ht="90.75" customHeight="1" x14ac:dyDescent="0.45">
      <c r="A65" s="273">
        <v>31</v>
      </c>
      <c r="B65" s="71" t="s">
        <v>122</v>
      </c>
      <c r="C65" s="75" t="s">
        <v>47</v>
      </c>
      <c r="D65" s="75" t="s">
        <v>47</v>
      </c>
      <c r="E65" s="75" t="s">
        <v>39</v>
      </c>
      <c r="F65" s="75" t="s">
        <v>39</v>
      </c>
      <c r="G65" s="72" t="s">
        <v>124</v>
      </c>
      <c r="H65" s="73" t="s">
        <v>33</v>
      </c>
      <c r="I65" s="73">
        <v>27090000</v>
      </c>
      <c r="J65" s="86">
        <v>41790</v>
      </c>
      <c r="K65" s="75" t="s">
        <v>86</v>
      </c>
      <c r="L65" s="88" t="s">
        <v>31</v>
      </c>
      <c r="M65" s="73" t="s">
        <v>50</v>
      </c>
      <c r="N65" s="77" t="s">
        <v>51</v>
      </c>
      <c r="O65" s="78">
        <v>950117</v>
      </c>
      <c r="P65" s="79">
        <f t="shared" si="20"/>
        <v>106298139.84300001</v>
      </c>
      <c r="Q65" s="79">
        <f t="shared" si="21"/>
        <v>16553809317.750391</v>
      </c>
      <c r="R65" s="79" t="s">
        <v>25</v>
      </c>
      <c r="S65" s="80">
        <v>111.879</v>
      </c>
      <c r="T65" s="81">
        <f t="shared" si="7"/>
        <v>41880</v>
      </c>
      <c r="U65" s="82" t="s">
        <v>39</v>
      </c>
      <c r="V65" s="79">
        <f t="shared" si="22"/>
        <v>127557.7678116</v>
      </c>
      <c r="W65" s="80">
        <v>155.72999999999999</v>
      </c>
      <c r="X65" s="79">
        <f t="shared" si="9"/>
        <v>19864571.181300469</v>
      </c>
      <c r="Y65" s="79" t="s">
        <v>39</v>
      </c>
      <c r="Z65" s="84" t="s">
        <v>39</v>
      </c>
      <c r="AA65" s="83" t="s">
        <v>39</v>
      </c>
    </row>
    <row r="66" spans="1:27" s="85" customFormat="1" ht="90.75" customHeight="1" x14ac:dyDescent="0.45">
      <c r="A66" s="273">
        <v>32</v>
      </c>
      <c r="B66" s="71" t="s">
        <v>123</v>
      </c>
      <c r="C66" s="75" t="s">
        <v>47</v>
      </c>
      <c r="D66" s="75" t="s">
        <v>47</v>
      </c>
      <c r="E66" s="75" t="s">
        <v>39</v>
      </c>
      <c r="F66" s="75" t="s">
        <v>39</v>
      </c>
      <c r="G66" s="72" t="s">
        <v>37</v>
      </c>
      <c r="H66" s="73" t="s">
        <v>34</v>
      </c>
      <c r="I66" s="73">
        <v>27090000</v>
      </c>
      <c r="J66" s="86">
        <v>41790</v>
      </c>
      <c r="K66" s="75" t="s">
        <v>54</v>
      </c>
      <c r="L66" s="88" t="s">
        <v>32</v>
      </c>
      <c r="M66" s="73" t="s">
        <v>60</v>
      </c>
      <c r="N66" s="77" t="s">
        <v>64</v>
      </c>
      <c r="O66" s="78">
        <v>1039040</v>
      </c>
      <c r="P66" s="79">
        <f t="shared" si="20"/>
        <v>116246756.16000001</v>
      </c>
      <c r="Q66" s="79">
        <f t="shared" si="21"/>
        <v>18103107336.796799</v>
      </c>
      <c r="R66" s="79" t="s">
        <v>25</v>
      </c>
      <c r="S66" s="80">
        <v>111.879</v>
      </c>
      <c r="T66" s="81">
        <f t="shared" si="7"/>
        <v>41880</v>
      </c>
      <c r="U66" s="82" t="s">
        <v>39</v>
      </c>
      <c r="V66" s="79">
        <f t="shared" si="22"/>
        <v>139496.10739200001</v>
      </c>
      <c r="W66" s="80">
        <v>155.72999999999999</v>
      </c>
      <c r="X66" s="79">
        <f t="shared" si="9"/>
        <v>21723728.804156158</v>
      </c>
      <c r="Y66" s="79" t="s">
        <v>39</v>
      </c>
      <c r="Z66" s="84" t="s">
        <v>39</v>
      </c>
      <c r="AA66" s="83" t="s">
        <v>39</v>
      </c>
    </row>
    <row r="67" spans="1:27" ht="48" customHeight="1" x14ac:dyDescent="0.45">
      <c r="A67" s="273"/>
      <c r="B67" s="71"/>
      <c r="C67" s="75"/>
      <c r="D67" s="295"/>
      <c r="E67" s="84"/>
      <c r="F67" s="75"/>
      <c r="G67" s="72"/>
      <c r="H67" s="73"/>
      <c r="I67" s="73"/>
      <c r="J67" s="86"/>
      <c r="K67" s="75"/>
      <c r="L67" s="88"/>
      <c r="M67" s="73"/>
      <c r="N67" s="77"/>
      <c r="O67" s="78"/>
      <c r="P67" s="79"/>
      <c r="Q67" s="79"/>
      <c r="R67" s="79"/>
      <c r="S67" s="80"/>
      <c r="T67" s="81"/>
      <c r="U67" s="82"/>
      <c r="V67" s="79"/>
      <c r="W67" s="80"/>
      <c r="X67" s="79"/>
      <c r="Y67" s="79"/>
      <c r="Z67" s="84"/>
      <c r="AA67" s="83"/>
    </row>
    <row r="68" spans="1:27" ht="48" customHeight="1" x14ac:dyDescent="0.45">
      <c r="A68" s="273"/>
      <c r="B68" s="73"/>
      <c r="C68" s="82"/>
      <c r="D68" s="295"/>
      <c r="E68" s="82"/>
      <c r="F68" s="82"/>
      <c r="G68" s="72"/>
      <c r="H68" s="73"/>
      <c r="I68" s="73"/>
      <c r="J68" s="74"/>
      <c r="K68" s="75"/>
      <c r="L68" s="75"/>
      <c r="M68" s="73"/>
      <c r="N68" s="296"/>
      <c r="O68" s="78"/>
      <c r="P68" s="79"/>
      <c r="Q68" s="79"/>
      <c r="R68" s="79"/>
      <c r="S68" s="80"/>
      <c r="T68" s="81"/>
      <c r="U68" s="75"/>
      <c r="V68" s="79"/>
      <c r="W68" s="80"/>
      <c r="X68" s="79"/>
      <c r="Y68" s="79"/>
      <c r="Z68" s="82"/>
      <c r="AA68" s="311"/>
    </row>
    <row r="69" spans="1:27" ht="53.25" customHeight="1" thickBot="1" x14ac:dyDescent="0.55000000000000004">
      <c r="A69" s="237"/>
      <c r="B69" s="238" t="s">
        <v>28</v>
      </c>
      <c r="C69" s="239"/>
      <c r="D69" s="240"/>
      <c r="E69" s="239"/>
      <c r="F69" s="239"/>
      <c r="G69" s="241"/>
      <c r="H69" s="238"/>
      <c r="I69" s="238"/>
      <c r="J69" s="242"/>
      <c r="K69" s="243"/>
      <c r="L69" s="243"/>
      <c r="M69" s="238"/>
      <c r="N69" s="244"/>
      <c r="O69" s="245">
        <f>SUM(O30:O66)</f>
        <v>19773941</v>
      </c>
      <c r="P69" s="246">
        <f>SUM(P30:P66)</f>
        <v>2218677727.4025002</v>
      </c>
      <c r="Q69" s="246">
        <f>SUM(Q30:Q66)</f>
        <v>345514682488.3913</v>
      </c>
      <c r="R69" s="246"/>
      <c r="S69" s="247"/>
      <c r="T69" s="248"/>
      <c r="U69" s="243"/>
      <c r="V69" s="246">
        <f>SUM(V30:V66)</f>
        <v>2662413.2728829999</v>
      </c>
      <c r="W69" s="247"/>
      <c r="X69" s="246">
        <f>SUM(X30:X66)</f>
        <v>414617618.98606968</v>
      </c>
      <c r="Y69" s="246">
        <f>SUM(Y30:Y66)</f>
        <v>3747798.18</v>
      </c>
      <c r="Z69" s="239"/>
      <c r="AA69" s="249"/>
    </row>
    <row r="70" spans="1:27" ht="15.75" customHeight="1" x14ac:dyDescent="0.2">
      <c r="A70" s="7"/>
      <c r="B70" s="8"/>
      <c r="C70" s="6"/>
      <c r="D70" s="17"/>
      <c r="E70" s="18"/>
      <c r="F70" s="6"/>
      <c r="G70" s="19"/>
      <c r="H70" s="6"/>
      <c r="I70" s="6"/>
      <c r="J70" s="20"/>
      <c r="K70" s="8"/>
      <c r="L70" s="8"/>
      <c r="M70" s="6"/>
      <c r="N70" s="6"/>
      <c r="O70" s="21"/>
      <c r="P70" s="22"/>
      <c r="Q70" s="22"/>
      <c r="R70" s="22"/>
      <c r="S70" s="27"/>
      <c r="V70" s="22"/>
      <c r="W70" s="27"/>
      <c r="X70" s="22"/>
      <c r="Y70" s="22"/>
      <c r="Z70" s="6"/>
      <c r="AA70" s="6"/>
    </row>
    <row r="71" spans="1:27" ht="15.75" customHeight="1" x14ac:dyDescent="0.2"/>
    <row r="72" spans="1:27" ht="15.75" customHeight="1" x14ac:dyDescent="0.2"/>
    <row r="81" spans="14:15" x14ac:dyDescent="0.2">
      <c r="N81" s="23"/>
      <c r="O81" s="24"/>
    </row>
  </sheetData>
  <mergeCells count="6">
    <mergeCell ref="C44:C45"/>
    <mergeCell ref="C48:C52"/>
    <mergeCell ref="E44:E45"/>
    <mergeCell ref="E48:E52"/>
    <mergeCell ref="A48:A52"/>
    <mergeCell ref="A44:A45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9" max="25" man="1"/>
  </rowBreaks>
  <colBreaks count="1" manualBreakCount="1">
    <brk id="1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4"/>
  <sheetViews>
    <sheetView tabSelected="1" topLeftCell="A5" zoomScale="30" zoomScaleNormal="30" zoomScaleSheetLayoutView="10" workbookViewId="0">
      <selection activeCell="B20" sqref="B20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89" customFormat="1" ht="42" customHeight="1" x14ac:dyDescent="0.6">
      <c r="B18" s="90"/>
      <c r="C18" s="91"/>
      <c r="D18" s="91"/>
      <c r="E18" s="92"/>
      <c r="F18" s="91"/>
      <c r="G18" s="91"/>
      <c r="H18" s="91"/>
      <c r="I18" s="91"/>
      <c r="J18" s="93"/>
      <c r="K18" s="91"/>
      <c r="L18" s="91"/>
      <c r="M18" s="91"/>
      <c r="N18" s="91"/>
      <c r="O18" s="94"/>
      <c r="P18" s="95"/>
      <c r="Q18" s="95"/>
      <c r="R18" s="95"/>
      <c r="S18" s="96"/>
      <c r="T18" s="97"/>
      <c r="U18" s="91"/>
      <c r="V18" s="95"/>
      <c r="W18" s="96"/>
      <c r="X18" s="95"/>
      <c r="Y18" s="95"/>
      <c r="Z18" s="91"/>
      <c r="AA18" s="91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</row>
    <row r="19" spans="1:69" s="99" customFormat="1" ht="27" customHeight="1" x14ac:dyDescent="0.6">
      <c r="A19" s="225"/>
      <c r="B19" s="164"/>
      <c r="C19" s="163"/>
      <c r="D19" s="165"/>
      <c r="E19" s="166"/>
      <c r="F19" s="163"/>
      <c r="G19" s="167"/>
      <c r="H19" s="168"/>
      <c r="I19" s="169"/>
      <c r="J19" s="170"/>
      <c r="K19" s="164"/>
      <c r="L19" s="171"/>
      <c r="M19" s="169"/>
      <c r="N19" s="172"/>
      <c r="O19" s="173"/>
      <c r="P19" s="174"/>
      <c r="Q19" s="175"/>
      <c r="R19" s="176"/>
      <c r="S19" s="177"/>
      <c r="T19" s="178"/>
      <c r="U19" s="163"/>
      <c r="V19" s="175"/>
      <c r="W19" s="179"/>
      <c r="X19" s="176"/>
      <c r="Y19" s="176"/>
      <c r="Z19" s="166"/>
      <c r="AA19" s="165"/>
      <c r="AB19" s="265"/>
    </row>
    <row r="20" spans="1:69" s="100" customFormat="1" ht="72" customHeight="1" x14ac:dyDescent="0.6">
      <c r="A20" s="226"/>
      <c r="B20" s="212" t="s">
        <v>201</v>
      </c>
      <c r="C20" s="128"/>
      <c r="D20" s="128"/>
      <c r="E20" s="213"/>
      <c r="F20" s="128"/>
      <c r="G20" s="128"/>
      <c r="H20" s="128"/>
      <c r="I20" s="128"/>
      <c r="J20" s="214"/>
      <c r="K20" s="128"/>
      <c r="L20" s="128"/>
      <c r="M20" s="128"/>
      <c r="N20" s="128"/>
      <c r="O20" s="215"/>
      <c r="P20" s="191"/>
      <c r="Q20" s="191"/>
      <c r="R20" s="191"/>
      <c r="S20" s="216"/>
      <c r="T20" s="182"/>
      <c r="U20" s="128"/>
      <c r="V20" s="191"/>
      <c r="W20" s="216"/>
      <c r="X20" s="191"/>
      <c r="Y20" s="191"/>
      <c r="Z20" s="128"/>
      <c r="AA20" s="128"/>
      <c r="AB20" s="107"/>
    </row>
    <row r="21" spans="1:69" s="126" customFormat="1" ht="72" customHeight="1" thickBot="1" x14ac:dyDescent="0.6">
      <c r="A21" s="224"/>
      <c r="B21" s="181"/>
      <c r="C21" s="180"/>
      <c r="D21" s="182"/>
      <c r="E21" s="183"/>
      <c r="F21" s="180"/>
      <c r="G21" s="184"/>
      <c r="H21" s="185"/>
      <c r="I21" s="186"/>
      <c r="J21" s="187"/>
      <c r="K21" s="181"/>
      <c r="L21" s="188"/>
      <c r="M21" s="186"/>
      <c r="N21" s="189"/>
      <c r="O21" s="190"/>
      <c r="P21" s="191"/>
      <c r="Q21" s="192"/>
      <c r="R21" s="193"/>
      <c r="S21" s="194"/>
      <c r="T21" s="195"/>
      <c r="U21" s="180"/>
      <c r="V21" s="192"/>
      <c r="W21" s="196"/>
      <c r="X21" s="193"/>
      <c r="Y21" s="193"/>
      <c r="Z21" s="183"/>
      <c r="AA21" s="182"/>
      <c r="AB21" s="266"/>
    </row>
    <row r="22" spans="1:69" s="91" customFormat="1" ht="72" customHeight="1" x14ac:dyDescent="0.55000000000000004">
      <c r="A22" s="112">
        <v>1</v>
      </c>
      <c r="B22" s="113">
        <v>2</v>
      </c>
      <c r="C22" s="113">
        <v>3</v>
      </c>
      <c r="D22" s="114">
        <v>4</v>
      </c>
      <c r="E22" s="113">
        <v>5</v>
      </c>
      <c r="F22" s="113">
        <v>6</v>
      </c>
      <c r="G22" s="115">
        <v>7</v>
      </c>
      <c r="H22" s="113">
        <v>8</v>
      </c>
      <c r="I22" s="113">
        <v>9</v>
      </c>
      <c r="J22" s="113">
        <v>10</v>
      </c>
      <c r="K22" s="113">
        <v>11</v>
      </c>
      <c r="L22" s="113">
        <v>12</v>
      </c>
      <c r="M22" s="113">
        <v>13</v>
      </c>
      <c r="N22" s="113">
        <v>14</v>
      </c>
      <c r="O22" s="113">
        <v>15</v>
      </c>
      <c r="P22" s="113">
        <v>16</v>
      </c>
      <c r="Q22" s="113">
        <v>17</v>
      </c>
      <c r="R22" s="113">
        <v>18</v>
      </c>
      <c r="S22" s="113">
        <v>19</v>
      </c>
      <c r="T22" s="113">
        <v>20</v>
      </c>
      <c r="U22" s="113">
        <v>21</v>
      </c>
      <c r="V22" s="113">
        <v>22</v>
      </c>
      <c r="W22" s="113">
        <v>23</v>
      </c>
      <c r="X22" s="113">
        <v>24</v>
      </c>
      <c r="Y22" s="113">
        <v>25</v>
      </c>
      <c r="Z22" s="113">
        <v>26</v>
      </c>
      <c r="AA22" s="116">
        <v>27</v>
      </c>
    </row>
    <row r="23" spans="1:69" s="91" customFormat="1" ht="72" customHeight="1" thickBot="1" x14ac:dyDescent="0.6">
      <c r="A23" s="312" t="s">
        <v>0</v>
      </c>
      <c r="B23" s="313" t="s">
        <v>1</v>
      </c>
      <c r="C23" s="314" t="s">
        <v>2</v>
      </c>
      <c r="D23" s="315" t="s">
        <v>3</v>
      </c>
      <c r="E23" s="316" t="s">
        <v>4</v>
      </c>
      <c r="F23" s="313" t="s">
        <v>5</v>
      </c>
      <c r="G23" s="317" t="s">
        <v>6</v>
      </c>
      <c r="H23" s="314" t="s">
        <v>7</v>
      </c>
      <c r="I23" s="314" t="s">
        <v>8</v>
      </c>
      <c r="J23" s="315" t="s">
        <v>9</v>
      </c>
      <c r="K23" s="313" t="s">
        <v>10</v>
      </c>
      <c r="L23" s="313" t="s">
        <v>11</v>
      </c>
      <c r="M23" s="314" t="s">
        <v>12</v>
      </c>
      <c r="N23" s="314" t="s">
        <v>13</v>
      </c>
      <c r="O23" s="318" t="s">
        <v>14</v>
      </c>
      <c r="P23" s="319" t="s">
        <v>29</v>
      </c>
      <c r="Q23" s="319" t="s">
        <v>36</v>
      </c>
      <c r="R23" s="319" t="s">
        <v>15</v>
      </c>
      <c r="S23" s="320" t="s">
        <v>16</v>
      </c>
      <c r="T23" s="315" t="s">
        <v>17</v>
      </c>
      <c r="U23" s="314" t="s">
        <v>18</v>
      </c>
      <c r="V23" s="319" t="s">
        <v>19</v>
      </c>
      <c r="W23" s="320" t="s">
        <v>30</v>
      </c>
      <c r="X23" s="319" t="s">
        <v>21</v>
      </c>
      <c r="Y23" s="319" t="s">
        <v>22</v>
      </c>
      <c r="Z23" s="314" t="s">
        <v>24</v>
      </c>
      <c r="AA23" s="321" t="s">
        <v>23</v>
      </c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</row>
    <row r="24" spans="1:69" s="91" customFormat="1" ht="72" customHeight="1" x14ac:dyDescent="0.55000000000000004">
      <c r="A24" s="218">
        <v>1</v>
      </c>
      <c r="B24" s="220" t="s">
        <v>177</v>
      </c>
      <c r="C24" s="227" t="s">
        <v>189</v>
      </c>
      <c r="D24" s="228">
        <v>41799</v>
      </c>
      <c r="E24" s="229" t="s">
        <v>194</v>
      </c>
      <c r="F24" s="219" t="s">
        <v>40</v>
      </c>
      <c r="G24" s="219" t="s">
        <v>124</v>
      </c>
      <c r="H24" s="219" t="s">
        <v>33</v>
      </c>
      <c r="I24" s="219">
        <v>27090000</v>
      </c>
      <c r="J24" s="221">
        <v>41675</v>
      </c>
      <c r="K24" s="220" t="s">
        <v>173</v>
      </c>
      <c r="L24" s="220" t="s">
        <v>31</v>
      </c>
      <c r="M24" s="219" t="s">
        <v>35</v>
      </c>
      <c r="N24" s="219" t="s">
        <v>44</v>
      </c>
      <c r="O24" s="222">
        <v>949433</v>
      </c>
      <c r="P24" s="230">
        <f>O24*S24</f>
        <v>104841898.56999999</v>
      </c>
      <c r="Q24" s="223">
        <f>P24*W24</f>
        <v>16492416959.300274</v>
      </c>
      <c r="R24" s="223" t="s">
        <v>25</v>
      </c>
      <c r="S24" s="231">
        <v>110.42579999852543</v>
      </c>
      <c r="T24" s="221">
        <f>J24+90</f>
        <v>41765</v>
      </c>
      <c r="U24" s="232" t="s">
        <v>52</v>
      </c>
      <c r="V24" s="223">
        <f>P24*0.12%</f>
        <v>125810.27828399999</v>
      </c>
      <c r="W24" s="233">
        <v>157.3075</v>
      </c>
      <c r="X24" s="234">
        <f>V24*W24</f>
        <v>19790900.351160329</v>
      </c>
      <c r="Y24" s="223">
        <v>19790900.350000001</v>
      </c>
      <c r="Z24" s="235" t="s">
        <v>184</v>
      </c>
      <c r="AA24" s="236">
        <v>41768</v>
      </c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</row>
    <row r="25" spans="1:69" s="91" customFormat="1" ht="74.25" customHeight="1" x14ac:dyDescent="0.55000000000000004">
      <c r="A25" s="324">
        <v>2</v>
      </c>
      <c r="B25" s="129" t="s">
        <v>178</v>
      </c>
      <c r="C25" s="140" t="s">
        <v>190</v>
      </c>
      <c r="D25" s="263">
        <v>41799</v>
      </c>
      <c r="E25" s="148" t="s">
        <v>195</v>
      </c>
      <c r="F25" s="130" t="s">
        <v>40</v>
      </c>
      <c r="G25" s="130" t="s">
        <v>124</v>
      </c>
      <c r="H25" s="130" t="s">
        <v>33</v>
      </c>
      <c r="I25" s="130">
        <v>27090000</v>
      </c>
      <c r="J25" s="131">
        <v>41678</v>
      </c>
      <c r="K25" s="129" t="s">
        <v>62</v>
      </c>
      <c r="L25" s="129" t="s">
        <v>31</v>
      </c>
      <c r="M25" s="130" t="s">
        <v>41</v>
      </c>
      <c r="N25" s="130" t="s">
        <v>46</v>
      </c>
      <c r="O25" s="322">
        <v>949629</v>
      </c>
      <c r="P25" s="145">
        <f t="shared" ref="P25:P28" si="0">O25*S25</f>
        <v>104866390.92</v>
      </c>
      <c r="Q25" s="132">
        <f t="shared" ref="Q25:Q26" si="1">P25*W25</f>
        <v>16496269789.647902</v>
      </c>
      <c r="R25" s="132" t="s">
        <v>25</v>
      </c>
      <c r="S25" s="323">
        <v>110.42880000505461</v>
      </c>
      <c r="T25" s="131">
        <f t="shared" ref="T25:T34" si="2">J25+90</f>
        <v>41768</v>
      </c>
      <c r="U25" s="277" t="s">
        <v>52</v>
      </c>
      <c r="V25" s="132">
        <f t="shared" ref="V25:V34" si="3">P25*0.12%</f>
        <v>125839.66910399999</v>
      </c>
      <c r="W25" s="135">
        <v>157.3075</v>
      </c>
      <c r="X25" s="133">
        <f t="shared" ref="X25:X34" si="4">V25*W25</f>
        <v>19795523.747577477</v>
      </c>
      <c r="Y25" s="132">
        <v>19795523.75</v>
      </c>
      <c r="Z25" s="264" t="s">
        <v>185</v>
      </c>
      <c r="AA25" s="137">
        <v>41768</v>
      </c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</row>
    <row r="26" spans="1:69" s="91" customFormat="1" ht="89.25" customHeight="1" x14ac:dyDescent="0.55000000000000004">
      <c r="A26" s="324">
        <v>3</v>
      </c>
      <c r="B26" s="129" t="s">
        <v>179</v>
      </c>
      <c r="C26" s="140" t="s">
        <v>191</v>
      </c>
      <c r="D26" s="263">
        <v>41799</v>
      </c>
      <c r="E26" s="148" t="s">
        <v>196</v>
      </c>
      <c r="F26" s="130" t="s">
        <v>40</v>
      </c>
      <c r="G26" s="130" t="s">
        <v>124</v>
      </c>
      <c r="H26" s="130" t="s">
        <v>33</v>
      </c>
      <c r="I26" s="130">
        <v>27090000</v>
      </c>
      <c r="J26" s="131">
        <v>41685</v>
      </c>
      <c r="K26" s="129" t="s">
        <v>174</v>
      </c>
      <c r="L26" s="129" t="s">
        <v>31</v>
      </c>
      <c r="M26" s="130" t="s">
        <v>65</v>
      </c>
      <c r="N26" s="130" t="s">
        <v>63</v>
      </c>
      <c r="O26" s="322">
        <v>949870</v>
      </c>
      <c r="P26" s="145">
        <f t="shared" si="0"/>
        <v>104890154.65000001</v>
      </c>
      <c r="Q26" s="132">
        <f t="shared" si="1"/>
        <v>16500008002.604876</v>
      </c>
      <c r="R26" s="132" t="s">
        <v>25</v>
      </c>
      <c r="S26" s="323">
        <v>110.42580000421111</v>
      </c>
      <c r="T26" s="131">
        <f t="shared" si="2"/>
        <v>41775</v>
      </c>
      <c r="U26" s="277" t="s">
        <v>52</v>
      </c>
      <c r="V26" s="132">
        <f t="shared" si="3"/>
        <v>125868.18557999999</v>
      </c>
      <c r="W26" s="135">
        <v>157.3075</v>
      </c>
      <c r="X26" s="133">
        <f t="shared" si="4"/>
        <v>19800009.603125848</v>
      </c>
      <c r="Y26" s="133">
        <v>19800009.600000001</v>
      </c>
      <c r="Z26" s="264" t="s">
        <v>186</v>
      </c>
      <c r="AA26" s="137">
        <v>41768</v>
      </c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</row>
    <row r="27" spans="1:69" s="91" customFormat="1" ht="72" customHeight="1" x14ac:dyDescent="0.55000000000000004">
      <c r="A27" s="324">
        <v>4</v>
      </c>
      <c r="B27" s="129" t="s">
        <v>180</v>
      </c>
      <c r="C27" s="140" t="s">
        <v>192</v>
      </c>
      <c r="D27" s="263">
        <v>41799</v>
      </c>
      <c r="E27" s="148" t="s">
        <v>197</v>
      </c>
      <c r="F27" s="130" t="s">
        <v>40</v>
      </c>
      <c r="G27" s="130" t="s">
        <v>124</v>
      </c>
      <c r="H27" s="130" t="s">
        <v>33</v>
      </c>
      <c r="I27" s="130">
        <v>27090000</v>
      </c>
      <c r="J27" s="131">
        <v>41697</v>
      </c>
      <c r="K27" s="129" t="s">
        <v>175</v>
      </c>
      <c r="L27" s="129" t="s">
        <v>31</v>
      </c>
      <c r="M27" s="130" t="s">
        <v>69</v>
      </c>
      <c r="N27" s="130" t="s">
        <v>182</v>
      </c>
      <c r="O27" s="322">
        <v>950043</v>
      </c>
      <c r="P27" s="145">
        <f t="shared" si="0"/>
        <v>104895007.66</v>
      </c>
      <c r="Q27" s="132">
        <f t="shared" ref="Q27:Q33" si="5">P27*W27</f>
        <v>16500771417.475451</v>
      </c>
      <c r="R27" s="132" t="s">
        <v>25</v>
      </c>
      <c r="S27" s="323">
        <v>110.41079999536862</v>
      </c>
      <c r="T27" s="131">
        <f t="shared" si="2"/>
        <v>41787</v>
      </c>
      <c r="U27" s="277" t="s">
        <v>52</v>
      </c>
      <c r="V27" s="132">
        <f t="shared" si="3"/>
        <v>125874.00919199998</v>
      </c>
      <c r="W27" s="135">
        <v>157.3075</v>
      </c>
      <c r="X27" s="133">
        <f t="shared" si="4"/>
        <v>19800925.700970538</v>
      </c>
      <c r="Y27" s="132">
        <v>19800925.699999999</v>
      </c>
      <c r="Z27" s="264" t="s">
        <v>187</v>
      </c>
      <c r="AA27" s="137">
        <v>41768</v>
      </c>
    </row>
    <row r="28" spans="1:69" s="90" customFormat="1" ht="72" customHeight="1" x14ac:dyDescent="0.6">
      <c r="A28" s="324">
        <v>5</v>
      </c>
      <c r="B28" s="129" t="s">
        <v>181</v>
      </c>
      <c r="C28" s="140" t="s">
        <v>193</v>
      </c>
      <c r="D28" s="263">
        <v>41799</v>
      </c>
      <c r="E28" s="148" t="s">
        <v>198</v>
      </c>
      <c r="F28" s="130" t="s">
        <v>40</v>
      </c>
      <c r="G28" s="130" t="s">
        <v>124</v>
      </c>
      <c r="H28" s="130" t="s">
        <v>33</v>
      </c>
      <c r="I28" s="130">
        <v>27090000</v>
      </c>
      <c r="J28" s="131">
        <v>41698</v>
      </c>
      <c r="K28" s="129" t="s">
        <v>176</v>
      </c>
      <c r="L28" s="129" t="s">
        <v>31</v>
      </c>
      <c r="M28" s="130" t="s">
        <v>26</v>
      </c>
      <c r="N28" s="130" t="s">
        <v>183</v>
      </c>
      <c r="O28" s="322">
        <v>949859</v>
      </c>
      <c r="P28" s="145">
        <f t="shared" si="0"/>
        <v>104874692.08</v>
      </c>
      <c r="Q28" s="132">
        <f t="shared" si="5"/>
        <v>16497575624.374599</v>
      </c>
      <c r="R28" s="132" t="s">
        <v>25</v>
      </c>
      <c r="S28" s="323">
        <v>110.41080000294781</v>
      </c>
      <c r="T28" s="131">
        <f t="shared" si="2"/>
        <v>41788</v>
      </c>
      <c r="U28" s="130" t="s">
        <v>52</v>
      </c>
      <c r="V28" s="132">
        <f t="shared" si="3"/>
        <v>125849.63049599998</v>
      </c>
      <c r="W28" s="135">
        <v>157.3075</v>
      </c>
      <c r="X28" s="133">
        <f t="shared" si="4"/>
        <v>19797090.749249518</v>
      </c>
      <c r="Y28" s="132">
        <v>19797090.75</v>
      </c>
      <c r="Z28" s="264" t="s">
        <v>188</v>
      </c>
      <c r="AA28" s="137">
        <v>41768</v>
      </c>
    </row>
    <row r="29" spans="1:69" s="90" customFormat="1" ht="72" customHeight="1" x14ac:dyDescent="0.6">
      <c r="A29" s="324">
        <v>6</v>
      </c>
      <c r="B29" s="129" t="s">
        <v>61</v>
      </c>
      <c r="C29" s="140" t="s">
        <v>199</v>
      </c>
      <c r="D29" s="263">
        <v>41792</v>
      </c>
      <c r="E29" s="148" t="s">
        <v>155</v>
      </c>
      <c r="F29" s="130" t="s">
        <v>45</v>
      </c>
      <c r="G29" s="130" t="s">
        <v>37</v>
      </c>
      <c r="H29" s="130" t="s">
        <v>34</v>
      </c>
      <c r="I29" s="130">
        <v>27090000</v>
      </c>
      <c r="J29" s="131">
        <v>41754</v>
      </c>
      <c r="K29" s="129" t="s">
        <v>53</v>
      </c>
      <c r="L29" s="129" t="s">
        <v>32</v>
      </c>
      <c r="M29" s="130" t="s">
        <v>59</v>
      </c>
      <c r="N29" s="130" t="s">
        <v>56</v>
      </c>
      <c r="O29" s="322">
        <v>682856</v>
      </c>
      <c r="P29" s="145">
        <f t="shared" ref="P29:P33" si="6">O29*S29</f>
        <v>76338520.807999998</v>
      </c>
      <c r="Q29" s="132">
        <f t="shared" si="5"/>
        <v>11888197845.429838</v>
      </c>
      <c r="R29" s="132" t="s">
        <v>25</v>
      </c>
      <c r="S29" s="323">
        <v>111.79300000000001</v>
      </c>
      <c r="T29" s="131">
        <f t="shared" si="2"/>
        <v>41844</v>
      </c>
      <c r="U29" s="277" t="s">
        <v>39</v>
      </c>
      <c r="V29" s="132">
        <f t="shared" si="3"/>
        <v>91606.224969599993</v>
      </c>
      <c r="W29" s="135">
        <v>155.72999999999999</v>
      </c>
      <c r="X29" s="133">
        <f t="shared" si="4"/>
        <v>14265837.414515806</v>
      </c>
      <c r="Y29" s="132" t="s">
        <v>39</v>
      </c>
      <c r="Z29" s="264" t="s">
        <v>39</v>
      </c>
      <c r="AA29" s="137" t="s">
        <v>39</v>
      </c>
    </row>
    <row r="30" spans="1:69" s="89" customFormat="1" ht="72" customHeight="1" x14ac:dyDescent="0.55000000000000004">
      <c r="A30" s="324">
        <v>7</v>
      </c>
      <c r="B30" s="129" t="s">
        <v>88</v>
      </c>
      <c r="C30" s="275" t="s">
        <v>141</v>
      </c>
      <c r="D30" s="274">
        <v>41792</v>
      </c>
      <c r="E30" s="127" t="s">
        <v>155</v>
      </c>
      <c r="F30" s="127" t="s">
        <v>45</v>
      </c>
      <c r="G30" s="130" t="s">
        <v>37</v>
      </c>
      <c r="H30" s="130" t="s">
        <v>34</v>
      </c>
      <c r="I30" s="130">
        <v>27090000</v>
      </c>
      <c r="J30" s="131">
        <v>41760</v>
      </c>
      <c r="K30" s="129" t="s">
        <v>72</v>
      </c>
      <c r="L30" s="129" t="s">
        <v>32</v>
      </c>
      <c r="M30" s="130" t="s">
        <v>135</v>
      </c>
      <c r="N30" s="130" t="s">
        <v>126</v>
      </c>
      <c r="O30" s="322">
        <v>209544</v>
      </c>
      <c r="P30" s="145">
        <f t="shared" si="6"/>
        <v>23424714.216000002</v>
      </c>
      <c r="Q30" s="132">
        <f t="shared" si="5"/>
        <v>3647930744.8576798</v>
      </c>
      <c r="R30" s="132" t="s">
        <v>25</v>
      </c>
      <c r="S30" s="323">
        <v>111.789</v>
      </c>
      <c r="T30" s="131">
        <f t="shared" si="2"/>
        <v>41850</v>
      </c>
      <c r="U30" s="277" t="s">
        <v>39</v>
      </c>
      <c r="V30" s="132">
        <f t="shared" si="3"/>
        <v>28109.657059199999</v>
      </c>
      <c r="W30" s="135">
        <v>155.72999999999999</v>
      </c>
      <c r="X30" s="133">
        <f t="shared" si="4"/>
        <v>4377516.8938292153</v>
      </c>
      <c r="Y30" s="132" t="s">
        <v>39</v>
      </c>
      <c r="Z30" s="264" t="s">
        <v>39</v>
      </c>
      <c r="AA30" s="137" t="s">
        <v>39</v>
      </c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</row>
    <row r="31" spans="1:69" s="91" customFormat="1" ht="72" customHeight="1" x14ac:dyDescent="0.55000000000000004">
      <c r="A31" s="324">
        <v>8</v>
      </c>
      <c r="B31" s="129" t="s">
        <v>90</v>
      </c>
      <c r="C31" s="275" t="s">
        <v>142</v>
      </c>
      <c r="D31" s="274">
        <v>41792</v>
      </c>
      <c r="E31" s="127" t="s">
        <v>156</v>
      </c>
      <c r="F31" s="127" t="s">
        <v>45</v>
      </c>
      <c r="G31" s="130" t="s">
        <v>37</v>
      </c>
      <c r="H31" s="130" t="s">
        <v>33</v>
      </c>
      <c r="I31" s="130">
        <v>27090000</v>
      </c>
      <c r="J31" s="131">
        <v>41763</v>
      </c>
      <c r="K31" s="129" t="s">
        <v>55</v>
      </c>
      <c r="L31" s="129" t="s">
        <v>31</v>
      </c>
      <c r="M31" s="130" t="s">
        <v>26</v>
      </c>
      <c r="N31" s="130" t="s">
        <v>58</v>
      </c>
      <c r="O31" s="322">
        <v>950397</v>
      </c>
      <c r="P31" s="145">
        <f t="shared" si="6"/>
        <v>106085689.13250001</v>
      </c>
      <c r="Q31" s="132">
        <f t="shared" si="5"/>
        <v>16520724368.604225</v>
      </c>
      <c r="R31" s="132" t="s">
        <v>25</v>
      </c>
      <c r="S31" s="323">
        <v>111.6225</v>
      </c>
      <c r="T31" s="131">
        <f t="shared" si="2"/>
        <v>41853</v>
      </c>
      <c r="U31" s="277" t="s">
        <v>39</v>
      </c>
      <c r="V31" s="132">
        <f t="shared" si="3"/>
        <v>127302.826959</v>
      </c>
      <c r="W31" s="135">
        <v>155.72999999999999</v>
      </c>
      <c r="X31" s="133">
        <f t="shared" si="4"/>
        <v>19824869.242325068</v>
      </c>
      <c r="Y31" s="132" t="s">
        <v>39</v>
      </c>
      <c r="Z31" s="264" t="s">
        <v>39</v>
      </c>
      <c r="AA31" s="137" t="s">
        <v>39</v>
      </c>
    </row>
    <row r="32" spans="1:69" s="91" customFormat="1" ht="81.75" customHeight="1" x14ac:dyDescent="0.55000000000000004">
      <c r="A32" s="324">
        <v>9</v>
      </c>
      <c r="B32" s="129" t="s">
        <v>91</v>
      </c>
      <c r="C32" s="275" t="s">
        <v>143</v>
      </c>
      <c r="D32" s="274">
        <v>41792</v>
      </c>
      <c r="E32" s="127" t="s">
        <v>157</v>
      </c>
      <c r="F32" s="127" t="s">
        <v>45</v>
      </c>
      <c r="G32" s="130" t="s">
        <v>37</v>
      </c>
      <c r="H32" s="130" t="s">
        <v>33</v>
      </c>
      <c r="I32" s="130">
        <v>27090000</v>
      </c>
      <c r="J32" s="131">
        <v>41766</v>
      </c>
      <c r="K32" s="129" t="s">
        <v>200</v>
      </c>
      <c r="L32" s="129" t="s">
        <v>31</v>
      </c>
      <c r="M32" s="130" t="s">
        <v>41</v>
      </c>
      <c r="N32" s="130" t="s">
        <v>46</v>
      </c>
      <c r="O32" s="322">
        <v>950003</v>
      </c>
      <c r="P32" s="145">
        <f t="shared" si="6"/>
        <v>105395232.82599999</v>
      </c>
      <c r="Q32" s="132">
        <f t="shared" si="5"/>
        <v>16413199607.992977</v>
      </c>
      <c r="R32" s="132" t="s">
        <v>25</v>
      </c>
      <c r="S32" s="323">
        <v>110.94199999999999</v>
      </c>
      <c r="T32" s="131">
        <f t="shared" si="2"/>
        <v>41856</v>
      </c>
      <c r="U32" s="277" t="s">
        <v>39</v>
      </c>
      <c r="V32" s="132">
        <f t="shared" si="3"/>
        <v>126474.27939119998</v>
      </c>
      <c r="W32" s="135">
        <v>155.72999999999999</v>
      </c>
      <c r="X32" s="133">
        <f t="shared" si="4"/>
        <v>19695839.529591572</v>
      </c>
      <c r="Y32" s="132" t="s">
        <v>39</v>
      </c>
      <c r="Z32" s="264" t="s">
        <v>39</v>
      </c>
      <c r="AA32" s="137" t="s">
        <v>39</v>
      </c>
      <c r="AB32" s="149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</row>
    <row r="33" spans="1:69" s="91" customFormat="1" ht="84.75" customHeight="1" x14ac:dyDescent="0.55000000000000004">
      <c r="A33" s="324">
        <v>10</v>
      </c>
      <c r="B33" s="129" t="s">
        <v>98</v>
      </c>
      <c r="C33" s="275" t="s">
        <v>144</v>
      </c>
      <c r="D33" s="274">
        <v>41792</v>
      </c>
      <c r="E33" s="127" t="s">
        <v>159</v>
      </c>
      <c r="F33" s="127" t="s">
        <v>45</v>
      </c>
      <c r="G33" s="130" t="s">
        <v>37</v>
      </c>
      <c r="H33" s="130" t="s">
        <v>34</v>
      </c>
      <c r="I33" s="130">
        <v>27090000</v>
      </c>
      <c r="J33" s="131">
        <v>41774</v>
      </c>
      <c r="K33" s="129" t="s">
        <v>76</v>
      </c>
      <c r="L33" s="129" t="s">
        <v>32</v>
      </c>
      <c r="M33" s="130" t="s">
        <v>138</v>
      </c>
      <c r="N33" s="130" t="s">
        <v>129</v>
      </c>
      <c r="O33" s="322">
        <v>660000</v>
      </c>
      <c r="P33" s="145">
        <f t="shared" si="6"/>
        <v>74436120</v>
      </c>
      <c r="Q33" s="132">
        <f t="shared" si="5"/>
        <v>11591936967.599998</v>
      </c>
      <c r="R33" s="132" t="s">
        <v>25</v>
      </c>
      <c r="S33" s="323">
        <v>112.782</v>
      </c>
      <c r="T33" s="131">
        <f t="shared" si="2"/>
        <v>41864</v>
      </c>
      <c r="U33" s="277" t="s">
        <v>39</v>
      </c>
      <c r="V33" s="132">
        <f t="shared" si="3"/>
        <v>89323.343999999997</v>
      </c>
      <c r="W33" s="135">
        <v>155.72999999999999</v>
      </c>
      <c r="X33" s="133">
        <f t="shared" si="4"/>
        <v>13910324.361119999</v>
      </c>
      <c r="Y33" s="132" t="s">
        <v>39</v>
      </c>
      <c r="Z33" s="264" t="s">
        <v>39</v>
      </c>
      <c r="AA33" s="137" t="s">
        <v>39</v>
      </c>
      <c r="AB33" s="149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</row>
    <row r="34" spans="1:69" s="91" customFormat="1" ht="92.25" customHeight="1" x14ac:dyDescent="0.55000000000000004">
      <c r="A34" s="324">
        <v>11</v>
      </c>
      <c r="B34" s="138" t="s">
        <v>99</v>
      </c>
      <c r="C34" s="275" t="s">
        <v>145</v>
      </c>
      <c r="D34" s="274">
        <v>41792</v>
      </c>
      <c r="E34" s="127" t="s">
        <v>160</v>
      </c>
      <c r="F34" s="127" t="s">
        <v>45</v>
      </c>
      <c r="G34" s="139" t="s">
        <v>37</v>
      </c>
      <c r="H34" s="151" t="s">
        <v>34</v>
      </c>
      <c r="I34" s="130">
        <v>27090000</v>
      </c>
      <c r="J34" s="141">
        <v>41774</v>
      </c>
      <c r="K34" s="129" t="s">
        <v>76</v>
      </c>
      <c r="L34" s="142" t="s">
        <v>32</v>
      </c>
      <c r="M34" s="130" t="s">
        <v>138</v>
      </c>
      <c r="N34" s="151" t="s">
        <v>129</v>
      </c>
      <c r="O34" s="144">
        <v>289802</v>
      </c>
      <c r="P34" s="145">
        <f>O34*S34</f>
        <v>32684449.164000001</v>
      </c>
      <c r="Q34" s="132">
        <f t="shared" ref="Q34" si="7">P34*W34</f>
        <v>5089949268.30972</v>
      </c>
      <c r="R34" s="136" t="s">
        <v>25</v>
      </c>
      <c r="S34" s="135">
        <v>112.782</v>
      </c>
      <c r="T34" s="131">
        <f t="shared" si="2"/>
        <v>41864</v>
      </c>
      <c r="U34" s="277" t="s">
        <v>39</v>
      </c>
      <c r="V34" s="132">
        <f t="shared" si="3"/>
        <v>39221.338996799997</v>
      </c>
      <c r="W34" s="135">
        <v>155.72999999999999</v>
      </c>
      <c r="X34" s="133">
        <f t="shared" si="4"/>
        <v>6107939.1219716631</v>
      </c>
      <c r="Y34" s="132" t="s">
        <v>39</v>
      </c>
      <c r="Z34" s="264" t="s">
        <v>39</v>
      </c>
      <c r="AA34" s="137" t="s">
        <v>39</v>
      </c>
      <c r="AB34" s="149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</row>
    <row r="35" spans="1:69" s="91" customFormat="1" ht="92.25" customHeight="1" x14ac:dyDescent="0.55000000000000004">
      <c r="A35" s="324">
        <v>12</v>
      </c>
      <c r="B35" s="138" t="s">
        <v>100</v>
      </c>
      <c r="C35" s="275" t="s">
        <v>146</v>
      </c>
      <c r="D35" s="274">
        <v>41792</v>
      </c>
      <c r="E35" s="127" t="s">
        <v>161</v>
      </c>
      <c r="F35" s="127" t="s">
        <v>45</v>
      </c>
      <c r="G35" s="154" t="s">
        <v>37</v>
      </c>
      <c r="H35" s="140" t="s">
        <v>33</v>
      </c>
      <c r="I35" s="130">
        <v>27090000</v>
      </c>
      <c r="J35" s="141">
        <v>41775</v>
      </c>
      <c r="K35" s="138" t="s">
        <v>77</v>
      </c>
      <c r="L35" s="142" t="s">
        <v>31</v>
      </c>
      <c r="M35" s="140" t="s">
        <v>66</v>
      </c>
      <c r="N35" s="143" t="s">
        <v>68</v>
      </c>
      <c r="O35" s="144">
        <v>950002</v>
      </c>
      <c r="P35" s="145">
        <f>O35*S35</f>
        <v>107480376.274</v>
      </c>
      <c r="Q35" s="132">
        <f>P35*W35</f>
        <v>16737918997.150019</v>
      </c>
      <c r="R35" s="136" t="s">
        <v>25</v>
      </c>
      <c r="S35" s="135">
        <v>113.137</v>
      </c>
      <c r="T35" s="146">
        <f>J35+90</f>
        <v>41865</v>
      </c>
      <c r="U35" s="277" t="s">
        <v>39</v>
      </c>
      <c r="V35" s="132">
        <f>P35*0.12%</f>
        <v>128976.4515288</v>
      </c>
      <c r="W35" s="135">
        <v>155.72999999999999</v>
      </c>
      <c r="X35" s="136">
        <f>V35*W35</f>
        <v>20085502.79658002</v>
      </c>
      <c r="Y35" s="132" t="s">
        <v>39</v>
      </c>
      <c r="Z35" s="264" t="s">
        <v>39</v>
      </c>
      <c r="AA35" s="137" t="s">
        <v>39</v>
      </c>
      <c r="AB35" s="149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</row>
    <row r="36" spans="1:69" s="91" customFormat="1" ht="92.25" customHeight="1" x14ac:dyDescent="0.55000000000000004">
      <c r="A36" s="324">
        <v>13</v>
      </c>
      <c r="B36" s="130" t="s">
        <v>101</v>
      </c>
      <c r="C36" s="336" t="s">
        <v>147</v>
      </c>
      <c r="D36" s="274">
        <v>41792</v>
      </c>
      <c r="E36" s="339" t="s">
        <v>162</v>
      </c>
      <c r="F36" s="127" t="s">
        <v>45</v>
      </c>
      <c r="G36" s="139" t="s">
        <v>37</v>
      </c>
      <c r="H36" s="130" t="s">
        <v>33</v>
      </c>
      <c r="I36" s="130">
        <v>27090000</v>
      </c>
      <c r="J36" s="131">
        <v>41777</v>
      </c>
      <c r="K36" s="129" t="s">
        <v>78</v>
      </c>
      <c r="L36" s="129" t="s">
        <v>31</v>
      </c>
      <c r="M36" s="130" t="s">
        <v>69</v>
      </c>
      <c r="N36" s="198" t="s">
        <v>67</v>
      </c>
      <c r="O36" s="144">
        <v>475075</v>
      </c>
      <c r="P36" s="145">
        <f>O36*S36</f>
        <v>53876830.524999999</v>
      </c>
      <c r="Q36" s="132">
        <f>P36*W36</f>
        <v>8390238817.6582489</v>
      </c>
      <c r="R36" s="136" t="s">
        <v>25</v>
      </c>
      <c r="S36" s="135">
        <v>113.407</v>
      </c>
      <c r="T36" s="146">
        <f>J36+90</f>
        <v>41867</v>
      </c>
      <c r="U36" s="277" t="s">
        <v>39</v>
      </c>
      <c r="V36" s="132">
        <f>P36*0.12%</f>
        <v>64652.196629999991</v>
      </c>
      <c r="W36" s="135">
        <v>155.72999999999999</v>
      </c>
      <c r="X36" s="136">
        <f>V36*W36</f>
        <v>10068286.581189899</v>
      </c>
      <c r="Y36" s="132" t="s">
        <v>39</v>
      </c>
      <c r="Z36" s="264" t="s">
        <v>39</v>
      </c>
      <c r="AA36" s="137" t="s">
        <v>39</v>
      </c>
      <c r="AB36" s="149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</row>
    <row r="37" spans="1:69" s="91" customFormat="1" ht="92.25" customHeight="1" x14ac:dyDescent="0.55000000000000004">
      <c r="A37" s="324">
        <v>14</v>
      </c>
      <c r="B37" s="130" t="s">
        <v>102</v>
      </c>
      <c r="C37" s="337"/>
      <c r="D37" s="274">
        <v>41792</v>
      </c>
      <c r="E37" s="340"/>
      <c r="F37" s="127" t="s">
        <v>45</v>
      </c>
      <c r="G37" s="139" t="s">
        <v>37</v>
      </c>
      <c r="H37" s="130" t="s">
        <v>33</v>
      </c>
      <c r="I37" s="130">
        <v>27090000</v>
      </c>
      <c r="J37" s="131">
        <v>41777</v>
      </c>
      <c r="K37" s="129" t="s">
        <v>78</v>
      </c>
      <c r="L37" s="129" t="s">
        <v>31</v>
      </c>
      <c r="M37" s="130" t="s">
        <v>137</v>
      </c>
      <c r="N37" s="198" t="s">
        <v>128</v>
      </c>
      <c r="O37" s="144">
        <v>475000</v>
      </c>
      <c r="P37" s="145">
        <f t="shared" ref="P37:P38" si="8">O37*S37</f>
        <v>53868325</v>
      </c>
      <c r="Q37" s="132">
        <f t="shared" ref="Q37:Q38" si="9">P37*W37</f>
        <v>8388914252.249999</v>
      </c>
      <c r="R37" s="136" t="s">
        <v>25</v>
      </c>
      <c r="S37" s="135">
        <v>113.407</v>
      </c>
      <c r="T37" s="146">
        <f t="shared" ref="T37:T48" si="10">J37+90</f>
        <v>41867</v>
      </c>
      <c r="U37" s="277" t="s">
        <v>39</v>
      </c>
      <c r="V37" s="132">
        <f t="shared" ref="V37:V48" si="11">P37*0.12%</f>
        <v>64641.99</v>
      </c>
      <c r="W37" s="135">
        <v>155.72999999999999</v>
      </c>
      <c r="X37" s="136">
        <f t="shared" ref="X37:X48" si="12">V37*W37</f>
        <v>10066697.102699999</v>
      </c>
      <c r="Y37" s="132" t="s">
        <v>39</v>
      </c>
      <c r="Z37" s="264" t="s">
        <v>39</v>
      </c>
      <c r="AA37" s="137" t="s">
        <v>39</v>
      </c>
      <c r="AB37" s="149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</row>
    <row r="38" spans="1:69" s="91" customFormat="1" ht="92.25" customHeight="1" x14ac:dyDescent="0.55000000000000004">
      <c r="A38" s="344">
        <v>15</v>
      </c>
      <c r="B38" s="276" t="s">
        <v>105</v>
      </c>
      <c r="C38" s="336" t="s">
        <v>148</v>
      </c>
      <c r="D38" s="274">
        <v>41792</v>
      </c>
      <c r="E38" s="341" t="s">
        <v>163</v>
      </c>
      <c r="F38" s="127" t="s">
        <v>45</v>
      </c>
      <c r="G38" s="278" t="s">
        <v>37</v>
      </c>
      <c r="H38" s="276" t="s">
        <v>33</v>
      </c>
      <c r="I38" s="276">
        <v>27090000</v>
      </c>
      <c r="J38" s="279">
        <v>41781</v>
      </c>
      <c r="K38" s="153" t="s">
        <v>80</v>
      </c>
      <c r="L38" s="153" t="s">
        <v>31</v>
      </c>
      <c r="M38" s="276" t="s">
        <v>41</v>
      </c>
      <c r="N38" s="280" t="s">
        <v>131</v>
      </c>
      <c r="O38" s="281">
        <v>150000</v>
      </c>
      <c r="P38" s="145">
        <f t="shared" si="8"/>
        <v>17017950</v>
      </c>
      <c r="Q38" s="133">
        <f t="shared" si="9"/>
        <v>2650205353.5</v>
      </c>
      <c r="R38" s="145" t="s">
        <v>25</v>
      </c>
      <c r="S38" s="282">
        <v>113.453</v>
      </c>
      <c r="T38" s="283">
        <f t="shared" si="10"/>
        <v>41871</v>
      </c>
      <c r="U38" s="277" t="s">
        <v>39</v>
      </c>
      <c r="V38" s="133">
        <f>P38*0.12%</f>
        <v>20421.539999999997</v>
      </c>
      <c r="W38" s="282">
        <v>155.72999999999999</v>
      </c>
      <c r="X38" s="145">
        <f>V38*W38</f>
        <v>3180246.4241999993</v>
      </c>
      <c r="Y38" s="132" t="s">
        <v>39</v>
      </c>
      <c r="Z38" s="264" t="s">
        <v>39</v>
      </c>
      <c r="AA38" s="137" t="s">
        <v>39</v>
      </c>
      <c r="AB38" s="149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</row>
    <row r="39" spans="1:69" s="91" customFormat="1" ht="92.25" customHeight="1" x14ac:dyDescent="0.55000000000000004">
      <c r="A39" s="345"/>
      <c r="B39" s="138" t="s">
        <v>106</v>
      </c>
      <c r="C39" s="338"/>
      <c r="D39" s="274">
        <v>41792</v>
      </c>
      <c r="E39" s="342"/>
      <c r="F39" s="127" t="s">
        <v>45</v>
      </c>
      <c r="G39" s="139" t="s">
        <v>37</v>
      </c>
      <c r="H39" s="130" t="s">
        <v>33</v>
      </c>
      <c r="I39" s="130">
        <v>27090000</v>
      </c>
      <c r="J39" s="131">
        <v>41781</v>
      </c>
      <c r="K39" s="129" t="s">
        <v>80</v>
      </c>
      <c r="L39" s="142" t="s">
        <v>31</v>
      </c>
      <c r="M39" s="130" t="s">
        <v>41</v>
      </c>
      <c r="N39" s="151" t="s">
        <v>131</v>
      </c>
      <c r="O39" s="144">
        <v>200000</v>
      </c>
      <c r="P39" s="145">
        <f>O39*S39</f>
        <v>22690600</v>
      </c>
      <c r="Q39" s="132">
        <f>P39*W39</f>
        <v>3533607138</v>
      </c>
      <c r="R39" s="136" t="s">
        <v>25</v>
      </c>
      <c r="S39" s="135">
        <v>113.453</v>
      </c>
      <c r="T39" s="146">
        <f t="shared" si="10"/>
        <v>41871</v>
      </c>
      <c r="U39" s="277" t="s">
        <v>39</v>
      </c>
      <c r="V39" s="132">
        <f t="shared" si="11"/>
        <v>27228.719999999998</v>
      </c>
      <c r="W39" s="135">
        <v>155.72999999999999</v>
      </c>
      <c r="X39" s="136">
        <f t="shared" si="12"/>
        <v>4240328.5655999994</v>
      </c>
      <c r="Y39" s="132" t="s">
        <v>39</v>
      </c>
      <c r="Z39" s="264" t="s">
        <v>39</v>
      </c>
      <c r="AA39" s="137" t="s">
        <v>39</v>
      </c>
      <c r="AB39" s="149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</row>
    <row r="40" spans="1:69" s="91" customFormat="1" ht="92.25" customHeight="1" x14ac:dyDescent="0.55000000000000004">
      <c r="A40" s="345"/>
      <c r="B40" s="138" t="s">
        <v>107</v>
      </c>
      <c r="C40" s="338"/>
      <c r="D40" s="274">
        <v>41792</v>
      </c>
      <c r="E40" s="342"/>
      <c r="F40" s="127" t="s">
        <v>45</v>
      </c>
      <c r="G40" s="139" t="s">
        <v>37</v>
      </c>
      <c r="H40" s="130" t="s">
        <v>33</v>
      </c>
      <c r="I40" s="130">
        <v>27090000</v>
      </c>
      <c r="J40" s="131">
        <v>41781</v>
      </c>
      <c r="K40" s="129" t="s">
        <v>80</v>
      </c>
      <c r="L40" s="142" t="s">
        <v>31</v>
      </c>
      <c r="M40" s="130" t="s">
        <v>41</v>
      </c>
      <c r="N40" s="151" t="s">
        <v>131</v>
      </c>
      <c r="O40" s="144">
        <v>200000</v>
      </c>
      <c r="P40" s="145">
        <f t="shared" ref="P40:P41" si="13">O40*S40</f>
        <v>22690600</v>
      </c>
      <c r="Q40" s="132">
        <f t="shared" ref="Q40:Q41" si="14">P40*W40</f>
        <v>3533607138</v>
      </c>
      <c r="R40" s="136" t="s">
        <v>25</v>
      </c>
      <c r="S40" s="135">
        <v>113.453</v>
      </c>
      <c r="T40" s="146">
        <f t="shared" si="10"/>
        <v>41871</v>
      </c>
      <c r="U40" s="277" t="s">
        <v>39</v>
      </c>
      <c r="V40" s="132">
        <f t="shared" si="11"/>
        <v>27228.719999999998</v>
      </c>
      <c r="W40" s="135">
        <v>155.72999999999999</v>
      </c>
      <c r="X40" s="136">
        <f t="shared" si="12"/>
        <v>4240328.5655999994</v>
      </c>
      <c r="Y40" s="132" t="s">
        <v>39</v>
      </c>
      <c r="Z40" s="264" t="s">
        <v>39</v>
      </c>
      <c r="AA40" s="137" t="s">
        <v>39</v>
      </c>
      <c r="AB40" s="149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</row>
    <row r="41" spans="1:69" s="91" customFormat="1" ht="92.25" customHeight="1" x14ac:dyDescent="0.55000000000000004">
      <c r="A41" s="345"/>
      <c r="B41" s="138" t="s">
        <v>108</v>
      </c>
      <c r="C41" s="338"/>
      <c r="D41" s="274">
        <v>41792</v>
      </c>
      <c r="E41" s="342"/>
      <c r="F41" s="127" t="s">
        <v>45</v>
      </c>
      <c r="G41" s="139" t="s">
        <v>37</v>
      </c>
      <c r="H41" s="130" t="s">
        <v>33</v>
      </c>
      <c r="I41" s="130">
        <v>27090000</v>
      </c>
      <c r="J41" s="131">
        <v>41781</v>
      </c>
      <c r="K41" s="129" t="s">
        <v>80</v>
      </c>
      <c r="L41" s="142" t="s">
        <v>31</v>
      </c>
      <c r="M41" s="130" t="s">
        <v>41</v>
      </c>
      <c r="N41" s="151" t="s">
        <v>131</v>
      </c>
      <c r="O41" s="144">
        <v>200000</v>
      </c>
      <c r="P41" s="145">
        <f t="shared" si="13"/>
        <v>22690600</v>
      </c>
      <c r="Q41" s="132">
        <f t="shared" si="14"/>
        <v>3533607138</v>
      </c>
      <c r="R41" s="136" t="s">
        <v>25</v>
      </c>
      <c r="S41" s="135">
        <v>113.453</v>
      </c>
      <c r="T41" s="146">
        <f t="shared" si="10"/>
        <v>41871</v>
      </c>
      <c r="U41" s="277" t="s">
        <v>39</v>
      </c>
      <c r="V41" s="132">
        <f t="shared" si="11"/>
        <v>27228.719999999998</v>
      </c>
      <c r="W41" s="135">
        <v>155.72999999999999</v>
      </c>
      <c r="X41" s="136">
        <f t="shared" si="12"/>
        <v>4240328.5655999994</v>
      </c>
      <c r="Y41" s="132" t="s">
        <v>39</v>
      </c>
      <c r="Z41" s="264" t="s">
        <v>39</v>
      </c>
      <c r="AA41" s="137" t="s">
        <v>39</v>
      </c>
      <c r="AB41" s="149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</row>
    <row r="42" spans="1:69" s="91" customFormat="1" ht="92.25" customHeight="1" x14ac:dyDescent="0.55000000000000004">
      <c r="A42" s="346"/>
      <c r="B42" s="138" t="s">
        <v>109</v>
      </c>
      <c r="C42" s="337"/>
      <c r="D42" s="274">
        <v>41792</v>
      </c>
      <c r="E42" s="343"/>
      <c r="F42" s="127" t="s">
        <v>45</v>
      </c>
      <c r="G42" s="139" t="s">
        <v>37</v>
      </c>
      <c r="H42" s="130" t="s">
        <v>33</v>
      </c>
      <c r="I42" s="130">
        <v>27090000</v>
      </c>
      <c r="J42" s="131">
        <v>41781</v>
      </c>
      <c r="K42" s="129" t="s">
        <v>80</v>
      </c>
      <c r="L42" s="142" t="s">
        <v>31</v>
      </c>
      <c r="M42" s="130" t="s">
        <v>41</v>
      </c>
      <c r="N42" s="151" t="s">
        <v>131</v>
      </c>
      <c r="O42" s="144">
        <v>200065</v>
      </c>
      <c r="P42" s="145">
        <f t="shared" ref="P42:P48" si="15">O42*S42</f>
        <v>22697974.445</v>
      </c>
      <c r="Q42" s="132">
        <f t="shared" ref="Q42:Q48" si="16">P42*W42</f>
        <v>3534755560.31985</v>
      </c>
      <c r="R42" s="136" t="s">
        <v>25</v>
      </c>
      <c r="S42" s="135">
        <v>113.453</v>
      </c>
      <c r="T42" s="146">
        <f t="shared" si="10"/>
        <v>41871</v>
      </c>
      <c r="U42" s="277" t="s">
        <v>39</v>
      </c>
      <c r="V42" s="132">
        <f t="shared" si="11"/>
        <v>27237.569333999996</v>
      </c>
      <c r="W42" s="135">
        <v>155.72999999999999</v>
      </c>
      <c r="X42" s="136">
        <f t="shared" si="12"/>
        <v>4241706.6723838188</v>
      </c>
      <c r="Y42" s="132" t="s">
        <v>39</v>
      </c>
      <c r="Z42" s="264" t="s">
        <v>39</v>
      </c>
      <c r="AA42" s="137" t="s">
        <v>39</v>
      </c>
      <c r="AB42" s="149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  <c r="BP42" s="128"/>
      <c r="BQ42" s="128"/>
    </row>
    <row r="43" spans="1:69" s="91" customFormat="1" ht="92.25" customHeight="1" x14ac:dyDescent="0.55000000000000004">
      <c r="A43" s="324">
        <v>16</v>
      </c>
      <c r="B43" s="138" t="s">
        <v>110</v>
      </c>
      <c r="C43" s="275" t="s">
        <v>149</v>
      </c>
      <c r="D43" s="274">
        <v>41792</v>
      </c>
      <c r="E43" s="127" t="s">
        <v>164</v>
      </c>
      <c r="F43" s="127" t="s">
        <v>45</v>
      </c>
      <c r="G43" s="139" t="s">
        <v>37</v>
      </c>
      <c r="H43" s="130" t="s">
        <v>33</v>
      </c>
      <c r="I43" s="130">
        <v>27090000</v>
      </c>
      <c r="J43" s="131">
        <v>41784</v>
      </c>
      <c r="K43" s="129" t="s">
        <v>81</v>
      </c>
      <c r="L43" s="142" t="s">
        <v>31</v>
      </c>
      <c r="M43" s="130" t="s">
        <v>35</v>
      </c>
      <c r="N43" s="151" t="s">
        <v>44</v>
      </c>
      <c r="O43" s="144">
        <v>90000</v>
      </c>
      <c r="P43" s="145">
        <f t="shared" si="15"/>
        <v>10170225</v>
      </c>
      <c r="Q43" s="132">
        <f t="shared" si="16"/>
        <v>1583809139.25</v>
      </c>
      <c r="R43" s="136" t="s">
        <v>25</v>
      </c>
      <c r="S43" s="135">
        <v>113.0025</v>
      </c>
      <c r="T43" s="146">
        <f t="shared" si="10"/>
        <v>41874</v>
      </c>
      <c r="U43" s="277" t="s">
        <v>39</v>
      </c>
      <c r="V43" s="132">
        <f t="shared" si="11"/>
        <v>12204.269999999999</v>
      </c>
      <c r="W43" s="135">
        <v>155.72999999999999</v>
      </c>
      <c r="X43" s="136">
        <f t="shared" si="12"/>
        <v>1900570.9670999998</v>
      </c>
      <c r="Y43" s="132" t="s">
        <v>39</v>
      </c>
      <c r="Z43" s="264" t="s">
        <v>39</v>
      </c>
      <c r="AA43" s="137" t="s">
        <v>39</v>
      </c>
      <c r="AB43" s="149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  <c r="BP43" s="128"/>
      <c r="BQ43" s="128"/>
    </row>
    <row r="44" spans="1:69" s="91" customFormat="1" ht="92.25" customHeight="1" x14ac:dyDescent="0.55000000000000004">
      <c r="A44" s="324">
        <v>17</v>
      </c>
      <c r="B44" s="138" t="s">
        <v>111</v>
      </c>
      <c r="C44" s="275" t="s">
        <v>150</v>
      </c>
      <c r="D44" s="274">
        <v>41792</v>
      </c>
      <c r="E44" s="127" t="s">
        <v>165</v>
      </c>
      <c r="F44" s="127" t="s">
        <v>45</v>
      </c>
      <c r="G44" s="139" t="s">
        <v>37</v>
      </c>
      <c r="H44" s="130" t="s">
        <v>33</v>
      </c>
      <c r="I44" s="130">
        <v>27090000</v>
      </c>
      <c r="J44" s="131">
        <v>41784</v>
      </c>
      <c r="K44" s="129" t="s">
        <v>81</v>
      </c>
      <c r="L44" s="142" t="s">
        <v>31</v>
      </c>
      <c r="M44" s="130" t="s">
        <v>35</v>
      </c>
      <c r="N44" s="151" t="s">
        <v>44</v>
      </c>
      <c r="O44" s="144">
        <v>90000</v>
      </c>
      <c r="P44" s="145">
        <f t="shared" si="15"/>
        <v>10170225</v>
      </c>
      <c r="Q44" s="132">
        <f t="shared" si="16"/>
        <v>1583809139.25</v>
      </c>
      <c r="R44" s="136" t="s">
        <v>25</v>
      </c>
      <c r="S44" s="135">
        <v>113.0025</v>
      </c>
      <c r="T44" s="146">
        <f t="shared" si="10"/>
        <v>41874</v>
      </c>
      <c r="U44" s="277" t="s">
        <v>39</v>
      </c>
      <c r="V44" s="132">
        <f t="shared" si="11"/>
        <v>12204.269999999999</v>
      </c>
      <c r="W44" s="135">
        <v>155.72999999999999</v>
      </c>
      <c r="X44" s="136">
        <f t="shared" si="12"/>
        <v>1900570.9670999998</v>
      </c>
      <c r="Y44" s="132" t="s">
        <v>39</v>
      </c>
      <c r="Z44" s="264" t="s">
        <v>39</v>
      </c>
      <c r="AA44" s="137" t="s">
        <v>39</v>
      </c>
      <c r="AB44" s="149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</row>
    <row r="45" spans="1:69" s="91" customFormat="1" ht="92.25" customHeight="1" x14ac:dyDescent="0.55000000000000004">
      <c r="A45" s="324">
        <v>18</v>
      </c>
      <c r="B45" s="138" t="s">
        <v>112</v>
      </c>
      <c r="C45" s="275" t="s">
        <v>151</v>
      </c>
      <c r="D45" s="274">
        <v>41792</v>
      </c>
      <c r="E45" s="127" t="s">
        <v>166</v>
      </c>
      <c r="F45" s="127" t="s">
        <v>45</v>
      </c>
      <c r="G45" s="139" t="s">
        <v>37</v>
      </c>
      <c r="H45" s="130" t="s">
        <v>33</v>
      </c>
      <c r="I45" s="130">
        <v>27090000</v>
      </c>
      <c r="J45" s="131">
        <v>41784</v>
      </c>
      <c r="K45" s="129" t="s">
        <v>81</v>
      </c>
      <c r="L45" s="142" t="s">
        <v>31</v>
      </c>
      <c r="M45" s="130" t="s">
        <v>35</v>
      </c>
      <c r="N45" s="151" t="s">
        <v>44</v>
      </c>
      <c r="O45" s="144">
        <v>150000</v>
      </c>
      <c r="P45" s="145">
        <f t="shared" si="15"/>
        <v>16950375</v>
      </c>
      <c r="Q45" s="132">
        <f t="shared" si="16"/>
        <v>2639681898.75</v>
      </c>
      <c r="R45" s="136" t="s">
        <v>25</v>
      </c>
      <c r="S45" s="135">
        <v>113.0025</v>
      </c>
      <c r="T45" s="146">
        <f t="shared" si="10"/>
        <v>41874</v>
      </c>
      <c r="U45" s="277" t="s">
        <v>39</v>
      </c>
      <c r="V45" s="132">
        <f t="shared" si="11"/>
        <v>20340.449999999997</v>
      </c>
      <c r="W45" s="135">
        <v>155.72999999999999</v>
      </c>
      <c r="X45" s="136">
        <f t="shared" si="12"/>
        <v>3167618.2784999995</v>
      </c>
      <c r="Y45" s="132" t="s">
        <v>39</v>
      </c>
      <c r="Z45" s="264" t="s">
        <v>39</v>
      </c>
      <c r="AA45" s="137" t="s">
        <v>39</v>
      </c>
      <c r="AB45" s="149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</row>
    <row r="46" spans="1:69" s="91" customFormat="1" ht="92.25" customHeight="1" x14ac:dyDescent="0.55000000000000004">
      <c r="A46" s="324">
        <v>19</v>
      </c>
      <c r="B46" s="138" t="s">
        <v>113</v>
      </c>
      <c r="C46" s="275" t="s">
        <v>152</v>
      </c>
      <c r="D46" s="274">
        <v>41792</v>
      </c>
      <c r="E46" s="127" t="s">
        <v>167</v>
      </c>
      <c r="F46" s="127" t="s">
        <v>45</v>
      </c>
      <c r="G46" s="139" t="s">
        <v>37</v>
      </c>
      <c r="H46" s="130" t="s">
        <v>33</v>
      </c>
      <c r="I46" s="130">
        <v>27090000</v>
      </c>
      <c r="J46" s="131">
        <v>41784</v>
      </c>
      <c r="K46" s="129" t="s">
        <v>81</v>
      </c>
      <c r="L46" s="142" t="s">
        <v>31</v>
      </c>
      <c r="M46" s="130" t="s">
        <v>35</v>
      </c>
      <c r="N46" s="151" t="s">
        <v>44</v>
      </c>
      <c r="O46" s="144">
        <v>619846</v>
      </c>
      <c r="P46" s="145">
        <f t="shared" si="15"/>
        <v>70044147.614999995</v>
      </c>
      <c r="Q46" s="132">
        <f t="shared" si="16"/>
        <v>10907975108.083948</v>
      </c>
      <c r="R46" s="136" t="s">
        <v>25</v>
      </c>
      <c r="S46" s="135">
        <v>113.0025</v>
      </c>
      <c r="T46" s="146">
        <f t="shared" si="10"/>
        <v>41874</v>
      </c>
      <c r="U46" s="277" t="s">
        <v>39</v>
      </c>
      <c r="V46" s="132">
        <f t="shared" si="11"/>
        <v>84052.977137999987</v>
      </c>
      <c r="W46" s="135">
        <v>155.72999999999999</v>
      </c>
      <c r="X46" s="136">
        <f t="shared" si="12"/>
        <v>13089570.129700737</v>
      </c>
      <c r="Y46" s="132" t="s">
        <v>39</v>
      </c>
      <c r="Z46" s="264" t="s">
        <v>39</v>
      </c>
      <c r="AA46" s="137" t="s">
        <v>39</v>
      </c>
      <c r="AB46" s="149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</row>
    <row r="47" spans="1:69" s="91" customFormat="1" ht="92.25" customHeight="1" x14ac:dyDescent="0.55000000000000004">
      <c r="A47" s="324">
        <v>20</v>
      </c>
      <c r="B47" s="138" t="s">
        <v>114</v>
      </c>
      <c r="C47" s="275" t="s">
        <v>153</v>
      </c>
      <c r="D47" s="274">
        <v>41792</v>
      </c>
      <c r="E47" s="127" t="s">
        <v>168</v>
      </c>
      <c r="F47" s="127" t="s">
        <v>45</v>
      </c>
      <c r="G47" s="139" t="s">
        <v>37</v>
      </c>
      <c r="H47" s="130" t="s">
        <v>34</v>
      </c>
      <c r="I47" s="130">
        <v>27090000</v>
      </c>
      <c r="J47" s="141">
        <v>41784</v>
      </c>
      <c r="K47" s="129" t="s">
        <v>82</v>
      </c>
      <c r="L47" s="150" t="s">
        <v>32</v>
      </c>
      <c r="M47" s="130" t="s">
        <v>139</v>
      </c>
      <c r="N47" s="151" t="s">
        <v>132</v>
      </c>
      <c r="O47" s="144">
        <v>200000</v>
      </c>
      <c r="P47" s="145">
        <f t="shared" si="15"/>
        <v>22600500</v>
      </c>
      <c r="Q47" s="132">
        <f t="shared" si="16"/>
        <v>3519575865</v>
      </c>
      <c r="R47" s="136" t="s">
        <v>25</v>
      </c>
      <c r="S47" s="135">
        <v>113.0025</v>
      </c>
      <c r="T47" s="146">
        <f t="shared" si="10"/>
        <v>41874</v>
      </c>
      <c r="U47" s="277" t="s">
        <v>39</v>
      </c>
      <c r="V47" s="132">
        <f t="shared" si="11"/>
        <v>27120.6</v>
      </c>
      <c r="W47" s="135">
        <v>155.72999999999999</v>
      </c>
      <c r="X47" s="136">
        <f t="shared" si="12"/>
        <v>4223491.0379999997</v>
      </c>
      <c r="Y47" s="132" t="s">
        <v>39</v>
      </c>
      <c r="Z47" s="264" t="s">
        <v>39</v>
      </c>
      <c r="AA47" s="137" t="s">
        <v>39</v>
      </c>
      <c r="AB47" s="149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</row>
    <row r="48" spans="1:69" s="91" customFormat="1" ht="92.25" customHeight="1" x14ac:dyDescent="0.55000000000000004">
      <c r="A48" s="324">
        <v>21</v>
      </c>
      <c r="B48" s="138" t="s">
        <v>115</v>
      </c>
      <c r="C48" s="275" t="s">
        <v>154</v>
      </c>
      <c r="D48" s="274">
        <v>41792</v>
      </c>
      <c r="E48" s="127" t="s">
        <v>169</v>
      </c>
      <c r="F48" s="127" t="s">
        <v>45</v>
      </c>
      <c r="G48" s="139" t="s">
        <v>37</v>
      </c>
      <c r="H48" s="130" t="s">
        <v>34</v>
      </c>
      <c r="I48" s="130">
        <v>27090000</v>
      </c>
      <c r="J48" s="141">
        <v>41784</v>
      </c>
      <c r="K48" s="129" t="s">
        <v>82</v>
      </c>
      <c r="L48" s="150" t="s">
        <v>32</v>
      </c>
      <c r="M48" s="130" t="s">
        <v>139</v>
      </c>
      <c r="N48" s="151" t="s">
        <v>132</v>
      </c>
      <c r="O48" s="144">
        <v>747500</v>
      </c>
      <c r="P48" s="145">
        <f t="shared" si="15"/>
        <v>84469368.75</v>
      </c>
      <c r="Q48" s="132">
        <f t="shared" si="16"/>
        <v>13154414795.4375</v>
      </c>
      <c r="R48" s="136" t="s">
        <v>25</v>
      </c>
      <c r="S48" s="135">
        <v>113.0025</v>
      </c>
      <c r="T48" s="146">
        <f t="shared" si="10"/>
        <v>41874</v>
      </c>
      <c r="U48" s="277" t="s">
        <v>39</v>
      </c>
      <c r="V48" s="132">
        <f t="shared" si="11"/>
        <v>101363.24249999999</v>
      </c>
      <c r="W48" s="135">
        <v>155.72999999999999</v>
      </c>
      <c r="X48" s="136">
        <f t="shared" si="12"/>
        <v>15785297.754524998</v>
      </c>
      <c r="Y48" s="132" t="s">
        <v>39</v>
      </c>
      <c r="Z48" s="264" t="s">
        <v>39</v>
      </c>
      <c r="AA48" s="137" t="s">
        <v>39</v>
      </c>
      <c r="AB48" s="149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</row>
    <row r="49" spans="1:27" ht="78.75" customHeight="1" x14ac:dyDescent="0.55000000000000004">
      <c r="A49" s="324"/>
      <c r="B49" s="130"/>
      <c r="C49" s="152"/>
      <c r="D49" s="134"/>
      <c r="E49" s="152"/>
      <c r="F49" s="152"/>
      <c r="G49" s="139"/>
      <c r="H49" s="130"/>
      <c r="I49" s="130"/>
      <c r="J49" s="131"/>
      <c r="K49" s="129"/>
      <c r="L49" s="129"/>
      <c r="M49" s="130"/>
      <c r="N49" s="198"/>
      <c r="O49" s="144"/>
      <c r="P49" s="145"/>
      <c r="Q49" s="132"/>
      <c r="R49" s="136"/>
      <c r="S49" s="135"/>
      <c r="T49" s="146"/>
      <c r="U49" s="277"/>
      <c r="V49" s="132"/>
      <c r="W49" s="135"/>
      <c r="X49" s="136"/>
      <c r="Y49" s="136"/>
      <c r="Z49" s="152"/>
      <c r="AA49" s="199"/>
    </row>
    <row r="50" spans="1:27" s="16" customFormat="1" ht="78.75" customHeight="1" thickBot="1" x14ac:dyDescent="0.65">
      <c r="A50" s="217"/>
      <c r="B50" s="155" t="s">
        <v>28</v>
      </c>
      <c r="C50" s="155"/>
      <c r="D50" s="156"/>
      <c r="E50" s="155"/>
      <c r="F50" s="155"/>
      <c r="G50" s="259"/>
      <c r="H50" s="155"/>
      <c r="I50" s="155"/>
      <c r="J50" s="156"/>
      <c r="K50" s="155"/>
      <c r="L50" s="155"/>
      <c r="M50" s="155"/>
      <c r="N50" s="260"/>
      <c r="O50" s="261">
        <f>SUM(O24:O48)</f>
        <v>13238924</v>
      </c>
      <c r="P50" s="160">
        <f>SUM(P24:P48)</f>
        <v>1480150967.6355</v>
      </c>
      <c r="Q50" s="160">
        <f>SUM(Q24:Q48)</f>
        <v>231331100936.84711</v>
      </c>
      <c r="R50" s="160"/>
      <c r="S50" s="161"/>
      <c r="T50" s="156"/>
      <c r="U50" s="160"/>
      <c r="V50" s="160">
        <f>SUM(V24:V48)</f>
        <v>1776181.1611625995</v>
      </c>
      <c r="W50" s="161"/>
      <c r="X50" s="160">
        <f>SUM(X24:X48)</f>
        <v>277597321.12421644</v>
      </c>
      <c r="Y50" s="160">
        <f>SUM(Y24:Y48)</f>
        <v>98984450.150000006</v>
      </c>
      <c r="Z50" s="155"/>
      <c r="AA50" s="209"/>
    </row>
    <row r="51" spans="1:27" s="16" customFormat="1" ht="23.25" x14ac:dyDescent="0.35">
      <c r="A51" s="39"/>
      <c r="B51" s="37"/>
      <c r="C51" s="35"/>
      <c r="D51" s="36"/>
      <c r="E51" s="35"/>
      <c r="F51" s="35"/>
      <c r="G51" s="40"/>
      <c r="H51" s="35"/>
      <c r="I51" s="35"/>
      <c r="J51" s="36"/>
      <c r="K51" s="35"/>
      <c r="L51" s="35"/>
      <c r="M51" s="35"/>
      <c r="N51" s="41"/>
      <c r="O51" s="29"/>
      <c r="P51" s="30"/>
      <c r="Q51" s="30"/>
      <c r="R51" s="30"/>
      <c r="S51" s="38"/>
      <c r="T51" s="36"/>
      <c r="U51" s="30"/>
      <c r="V51" s="30"/>
      <c r="W51" s="38"/>
      <c r="X51" s="30"/>
      <c r="Y51" s="30"/>
      <c r="Z51" s="35"/>
      <c r="AA51" s="35"/>
    </row>
    <row r="52" spans="1:27" x14ac:dyDescent="0.2">
      <c r="A52" s="7"/>
      <c r="B52" s="8"/>
      <c r="C52" s="6"/>
      <c r="D52" s="17"/>
      <c r="E52" s="18"/>
      <c r="F52" s="6"/>
      <c r="G52" s="19"/>
      <c r="H52" s="6"/>
      <c r="I52" s="6"/>
      <c r="J52" s="20"/>
      <c r="K52" s="8"/>
      <c r="L52" s="8"/>
      <c r="M52" s="6"/>
      <c r="N52" s="6"/>
      <c r="O52" s="21"/>
      <c r="P52" s="22"/>
      <c r="Q52" s="22"/>
      <c r="R52" s="22"/>
      <c r="S52" s="27"/>
      <c r="V52" s="22"/>
      <c r="W52" s="27"/>
      <c r="X52" s="22"/>
      <c r="Y52" s="22"/>
      <c r="Z52" s="6"/>
      <c r="AA52" s="6"/>
    </row>
    <row r="64" spans="1:27" x14ac:dyDescent="0.2">
      <c r="N64" s="23"/>
      <c r="O64" s="24"/>
    </row>
  </sheetData>
  <mergeCells count="5">
    <mergeCell ref="C36:C37"/>
    <mergeCell ref="C38:C42"/>
    <mergeCell ref="E36:E37"/>
    <mergeCell ref="E38:E42"/>
    <mergeCell ref="A38:A42"/>
  </mergeCells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Z24:AA28 E24:F2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zoomScale="37" zoomScaleNormal="37" zoomScaleSheetLayoutView="10" workbookViewId="0">
      <selection activeCell="Q50" sqref="Q50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89" customFormat="1" ht="160.5" customHeight="1" x14ac:dyDescent="0.6">
      <c r="B27" s="203" t="s">
        <v>71</v>
      </c>
      <c r="C27" s="91"/>
      <c r="D27" s="204"/>
      <c r="E27" s="92"/>
      <c r="F27" s="91"/>
      <c r="G27" s="205"/>
      <c r="H27" s="91"/>
      <c r="I27" s="91"/>
      <c r="J27" s="204"/>
      <c r="K27" s="91"/>
      <c r="L27" s="91"/>
      <c r="M27" s="91"/>
      <c r="N27" s="91"/>
      <c r="O27" s="94"/>
      <c r="P27" s="95"/>
      <c r="Q27" s="95"/>
      <c r="R27" s="95"/>
      <c r="S27" s="96"/>
      <c r="T27" s="97"/>
      <c r="U27" s="91"/>
      <c r="V27" s="95"/>
      <c r="W27" s="96"/>
      <c r="X27" s="95"/>
      <c r="Y27" s="95"/>
      <c r="Z27" s="91"/>
      <c r="AA27" s="91"/>
    </row>
    <row r="28" spans="1:27" s="99" customFormat="1" ht="160.5" customHeight="1" thickBot="1" x14ac:dyDescent="0.3">
      <c r="B28" s="100"/>
      <c r="C28" s="100"/>
      <c r="D28" s="101"/>
      <c r="E28" s="102"/>
      <c r="F28" s="100"/>
      <c r="G28" s="103"/>
      <c r="H28" s="104"/>
      <c r="I28" s="104"/>
      <c r="J28" s="105"/>
      <c r="K28" s="106"/>
      <c r="L28" s="107"/>
      <c r="M28" s="104"/>
      <c r="N28" s="107"/>
      <c r="O28" s="108"/>
      <c r="P28" s="109"/>
      <c r="Q28" s="109"/>
      <c r="R28" s="109"/>
      <c r="S28" s="110"/>
      <c r="T28" s="111"/>
      <c r="U28" s="100"/>
      <c r="V28" s="109"/>
      <c r="W28" s="110"/>
      <c r="X28" s="109"/>
      <c r="Y28" s="109"/>
      <c r="Z28" s="100"/>
      <c r="AA28" s="100"/>
    </row>
    <row r="29" spans="1:27" s="100" customFormat="1" ht="160.5" customHeight="1" x14ac:dyDescent="0.25">
      <c r="A29" s="112">
        <v>1</v>
      </c>
      <c r="B29" s="113">
        <v>2</v>
      </c>
      <c r="C29" s="113">
        <v>3</v>
      </c>
      <c r="D29" s="114">
        <v>4</v>
      </c>
      <c r="E29" s="113">
        <v>5</v>
      </c>
      <c r="F29" s="113">
        <v>6</v>
      </c>
      <c r="G29" s="115">
        <v>7</v>
      </c>
      <c r="H29" s="113">
        <v>8</v>
      </c>
      <c r="I29" s="262">
        <v>9</v>
      </c>
      <c r="J29" s="113">
        <v>10</v>
      </c>
      <c r="K29" s="113">
        <v>11</v>
      </c>
      <c r="L29" s="113">
        <v>12</v>
      </c>
      <c r="M29" s="113">
        <v>13</v>
      </c>
      <c r="N29" s="113">
        <v>14</v>
      </c>
      <c r="O29" s="113">
        <v>15</v>
      </c>
      <c r="P29" s="113">
        <v>16</v>
      </c>
      <c r="Q29" s="113">
        <v>17</v>
      </c>
      <c r="R29" s="113">
        <v>18</v>
      </c>
      <c r="S29" s="113">
        <v>19</v>
      </c>
      <c r="T29" s="113">
        <v>20</v>
      </c>
      <c r="U29" s="113">
        <v>21</v>
      </c>
      <c r="V29" s="113">
        <v>22</v>
      </c>
      <c r="W29" s="114">
        <v>23</v>
      </c>
      <c r="X29" s="113">
        <v>24</v>
      </c>
      <c r="Y29" s="113">
        <v>25</v>
      </c>
      <c r="Z29" s="113">
        <v>26</v>
      </c>
      <c r="AA29" s="116">
        <v>27</v>
      </c>
    </row>
    <row r="30" spans="1:27" s="126" customFormat="1" ht="160.5" customHeight="1" thickBot="1" x14ac:dyDescent="0.3">
      <c r="A30" s="117" t="s">
        <v>0</v>
      </c>
      <c r="B30" s="118" t="s">
        <v>1</v>
      </c>
      <c r="C30" s="119" t="s">
        <v>2</v>
      </c>
      <c r="D30" s="120" t="s">
        <v>3</v>
      </c>
      <c r="E30" s="121" t="s">
        <v>4</v>
      </c>
      <c r="F30" s="119" t="s">
        <v>5</v>
      </c>
      <c r="G30" s="267" t="s">
        <v>6</v>
      </c>
      <c r="H30" s="268" t="s">
        <v>7</v>
      </c>
      <c r="I30" s="119" t="s">
        <v>8</v>
      </c>
      <c r="J30" s="269" t="s">
        <v>9</v>
      </c>
      <c r="K30" s="118" t="s">
        <v>10</v>
      </c>
      <c r="L30" s="118" t="s">
        <v>11</v>
      </c>
      <c r="M30" s="119" t="s">
        <v>12</v>
      </c>
      <c r="N30" s="119" t="s">
        <v>13</v>
      </c>
      <c r="O30" s="122" t="s">
        <v>14</v>
      </c>
      <c r="P30" s="123" t="s">
        <v>27</v>
      </c>
      <c r="Q30" s="123" t="s">
        <v>38</v>
      </c>
      <c r="R30" s="123" t="s">
        <v>15</v>
      </c>
      <c r="S30" s="124" t="s">
        <v>16</v>
      </c>
      <c r="T30" s="120" t="s">
        <v>17</v>
      </c>
      <c r="U30" s="119" t="s">
        <v>18</v>
      </c>
      <c r="V30" s="123" t="s">
        <v>19</v>
      </c>
      <c r="W30" s="124" t="s">
        <v>20</v>
      </c>
      <c r="X30" s="123" t="s">
        <v>21</v>
      </c>
      <c r="Y30" s="123" t="s">
        <v>22</v>
      </c>
      <c r="Z30" s="119" t="s">
        <v>24</v>
      </c>
      <c r="AA30" s="125" t="s">
        <v>23</v>
      </c>
    </row>
    <row r="31" spans="1:27" s="91" customFormat="1" ht="160.5" customHeight="1" x14ac:dyDescent="0.55000000000000004">
      <c r="A31" s="250">
        <v>1</v>
      </c>
      <c r="B31" s="270" t="s">
        <v>87</v>
      </c>
      <c r="C31" s="220" t="s">
        <v>47</v>
      </c>
      <c r="D31" s="271" t="s">
        <v>47</v>
      </c>
      <c r="E31" s="220" t="s">
        <v>39</v>
      </c>
      <c r="F31" s="220" t="s">
        <v>39</v>
      </c>
      <c r="G31" s="272" t="s">
        <v>37</v>
      </c>
      <c r="H31" s="219" t="s">
        <v>34</v>
      </c>
      <c r="I31" s="219">
        <v>27090000</v>
      </c>
      <c r="J31" s="221">
        <v>41760</v>
      </c>
      <c r="K31" s="220" t="s">
        <v>72</v>
      </c>
      <c r="L31" s="251" t="s">
        <v>32</v>
      </c>
      <c r="M31" s="219" t="s">
        <v>135</v>
      </c>
      <c r="N31" s="252" t="s">
        <v>126</v>
      </c>
      <c r="O31" s="253">
        <v>60000</v>
      </c>
      <c r="P31" s="254">
        <f t="shared" ref="P31" si="0">O31*S31</f>
        <v>6707340</v>
      </c>
      <c r="Q31" s="254">
        <f t="shared" ref="Q31" si="1">P31*W31</f>
        <v>1044534058.1999999</v>
      </c>
      <c r="R31" s="254" t="s">
        <v>25</v>
      </c>
      <c r="S31" s="233">
        <v>111.789</v>
      </c>
      <c r="T31" s="255">
        <f t="shared" ref="T31" si="2">J31+90</f>
        <v>41850</v>
      </c>
      <c r="U31" s="256" t="s">
        <v>39</v>
      </c>
      <c r="V31" s="254">
        <f t="shared" ref="V31" si="3">P31*0.12%</f>
        <v>8048.8079999999991</v>
      </c>
      <c r="W31" s="233">
        <v>155.72999999999999</v>
      </c>
      <c r="X31" s="254">
        <f t="shared" ref="X31" si="4">V31*W31</f>
        <v>1253440.8698399998</v>
      </c>
      <c r="Y31" s="254" t="s">
        <v>39</v>
      </c>
      <c r="Z31" s="220" t="s">
        <v>39</v>
      </c>
      <c r="AA31" s="257" t="s">
        <v>39</v>
      </c>
    </row>
    <row r="32" spans="1:27" s="91" customFormat="1" ht="160.5" customHeight="1" x14ac:dyDescent="0.55000000000000004">
      <c r="A32" s="197">
        <v>2</v>
      </c>
      <c r="B32" s="138" t="s">
        <v>89</v>
      </c>
      <c r="C32" s="129" t="s">
        <v>47</v>
      </c>
      <c r="D32" s="134" t="s">
        <v>47</v>
      </c>
      <c r="E32" s="129" t="s">
        <v>39</v>
      </c>
      <c r="F32" s="129" t="s">
        <v>39</v>
      </c>
      <c r="G32" s="139" t="s">
        <v>37</v>
      </c>
      <c r="H32" s="130" t="s">
        <v>34</v>
      </c>
      <c r="I32" s="130">
        <v>27090000</v>
      </c>
      <c r="J32" s="131">
        <v>41760</v>
      </c>
      <c r="K32" s="129" t="s">
        <v>72</v>
      </c>
      <c r="L32" s="142" t="s">
        <v>32</v>
      </c>
      <c r="M32" s="130" t="s">
        <v>135</v>
      </c>
      <c r="N32" s="151" t="s">
        <v>126</v>
      </c>
      <c r="O32" s="144">
        <v>230000</v>
      </c>
      <c r="P32" s="136">
        <f t="shared" ref="P32" si="5">O32*S32</f>
        <v>25711470</v>
      </c>
      <c r="Q32" s="136">
        <f t="shared" ref="Q32" si="6">P32*W32</f>
        <v>4004047223.0999999</v>
      </c>
      <c r="R32" s="136" t="s">
        <v>25</v>
      </c>
      <c r="S32" s="135">
        <v>111.789</v>
      </c>
      <c r="T32" s="146">
        <f t="shared" ref="T32" si="7">J32+90</f>
        <v>41850</v>
      </c>
      <c r="U32" s="152" t="s">
        <v>39</v>
      </c>
      <c r="V32" s="136">
        <f t="shared" ref="V32" si="8">P32*0.12%</f>
        <v>30853.763999999996</v>
      </c>
      <c r="W32" s="135">
        <v>155.72999999999999</v>
      </c>
      <c r="X32" s="136">
        <f t="shared" ref="X32" si="9">V32*W32</f>
        <v>4804856.6677199993</v>
      </c>
      <c r="Y32" s="136" t="s">
        <v>39</v>
      </c>
      <c r="Z32" s="129" t="s">
        <v>39</v>
      </c>
      <c r="AA32" s="206" t="s">
        <v>39</v>
      </c>
    </row>
    <row r="33" spans="1:27" s="91" customFormat="1" ht="160.5" customHeight="1" x14ac:dyDescent="0.55000000000000004">
      <c r="A33" s="197">
        <v>3</v>
      </c>
      <c r="B33" s="138" t="s">
        <v>92</v>
      </c>
      <c r="C33" s="129" t="s">
        <v>47</v>
      </c>
      <c r="D33" s="134" t="s">
        <v>47</v>
      </c>
      <c r="E33" s="129" t="s">
        <v>39</v>
      </c>
      <c r="F33" s="129" t="s">
        <v>39</v>
      </c>
      <c r="G33" s="139" t="s">
        <v>124</v>
      </c>
      <c r="H33" s="130" t="s">
        <v>33</v>
      </c>
      <c r="I33" s="130">
        <v>27090000</v>
      </c>
      <c r="J33" s="131">
        <v>41768</v>
      </c>
      <c r="K33" s="129" t="s">
        <v>73</v>
      </c>
      <c r="L33" s="142" t="s">
        <v>31</v>
      </c>
      <c r="M33" s="130" t="s">
        <v>41</v>
      </c>
      <c r="N33" s="151" t="s">
        <v>57</v>
      </c>
      <c r="O33" s="144">
        <v>950444</v>
      </c>
      <c r="P33" s="136">
        <f t="shared" ref="P33:P48" si="10">O33*S33</f>
        <v>105348163.404</v>
      </c>
      <c r="Q33" s="136">
        <f t="shared" ref="Q33:Q48" si="11">P33*W33</f>
        <v>16405869486.904919</v>
      </c>
      <c r="R33" s="136" t="s">
        <v>25</v>
      </c>
      <c r="S33" s="135">
        <v>110.84099999999999</v>
      </c>
      <c r="T33" s="146">
        <f t="shared" ref="T33:T48" si="12">J33+90</f>
        <v>41858</v>
      </c>
      <c r="U33" s="152" t="s">
        <v>39</v>
      </c>
      <c r="V33" s="136">
        <f t="shared" ref="V33:V48" si="13">P33*0.12%</f>
        <v>126417.79608479999</v>
      </c>
      <c r="W33" s="135">
        <v>155.72999999999999</v>
      </c>
      <c r="X33" s="136">
        <f t="shared" ref="X33:X48" si="14">V33*W33</f>
        <v>19687043.384285901</v>
      </c>
      <c r="Y33" s="136" t="s">
        <v>39</v>
      </c>
      <c r="Z33" s="129" t="s">
        <v>39</v>
      </c>
      <c r="AA33" s="206" t="s">
        <v>39</v>
      </c>
    </row>
    <row r="34" spans="1:27" s="91" customFormat="1" ht="160.5" customHeight="1" x14ac:dyDescent="0.55000000000000004">
      <c r="A34" s="197">
        <v>4</v>
      </c>
      <c r="B34" s="138" t="s">
        <v>93</v>
      </c>
      <c r="C34" s="129" t="s">
        <v>47</v>
      </c>
      <c r="D34" s="134" t="s">
        <v>47</v>
      </c>
      <c r="E34" s="129" t="s">
        <v>39</v>
      </c>
      <c r="F34" s="129" t="s">
        <v>39</v>
      </c>
      <c r="G34" s="139" t="s">
        <v>37</v>
      </c>
      <c r="H34" s="130" t="s">
        <v>34</v>
      </c>
      <c r="I34" s="130">
        <v>27090000</v>
      </c>
      <c r="J34" s="131">
        <v>41768</v>
      </c>
      <c r="K34" s="129" t="s">
        <v>54</v>
      </c>
      <c r="L34" s="142" t="s">
        <v>32</v>
      </c>
      <c r="M34" s="130" t="s">
        <v>60</v>
      </c>
      <c r="N34" s="151" t="s">
        <v>64</v>
      </c>
      <c r="O34" s="144">
        <v>1038138</v>
      </c>
      <c r="P34" s="136">
        <f t="shared" si="10"/>
        <v>115068254.058</v>
      </c>
      <c r="Q34" s="136">
        <f t="shared" si="11"/>
        <v>17919579204.452339</v>
      </c>
      <c r="R34" s="136" t="s">
        <v>25</v>
      </c>
      <c r="S34" s="135">
        <v>110.84099999999999</v>
      </c>
      <c r="T34" s="146">
        <f t="shared" si="12"/>
        <v>41858</v>
      </c>
      <c r="U34" s="152" t="s">
        <v>39</v>
      </c>
      <c r="V34" s="136">
        <f t="shared" si="13"/>
        <v>138081.9048696</v>
      </c>
      <c r="W34" s="135">
        <v>155.72999999999999</v>
      </c>
      <c r="X34" s="136">
        <f t="shared" si="14"/>
        <v>21503495.045342807</v>
      </c>
      <c r="Y34" s="136" t="s">
        <v>39</v>
      </c>
      <c r="Z34" s="129" t="s">
        <v>39</v>
      </c>
      <c r="AA34" s="206" t="s">
        <v>39</v>
      </c>
    </row>
    <row r="35" spans="1:27" s="91" customFormat="1" ht="160.5" customHeight="1" x14ac:dyDescent="0.55000000000000004">
      <c r="A35" s="197">
        <v>5</v>
      </c>
      <c r="B35" s="138" t="s">
        <v>94</v>
      </c>
      <c r="C35" s="129" t="s">
        <v>47</v>
      </c>
      <c r="D35" s="134" t="s">
        <v>47</v>
      </c>
      <c r="E35" s="129" t="s">
        <v>39</v>
      </c>
      <c r="F35" s="129" t="s">
        <v>39</v>
      </c>
      <c r="G35" s="139" t="s">
        <v>124</v>
      </c>
      <c r="H35" s="130" t="s">
        <v>33</v>
      </c>
      <c r="I35" s="130">
        <v>27090000</v>
      </c>
      <c r="J35" s="131">
        <v>41770</v>
      </c>
      <c r="K35" s="129" t="s">
        <v>73</v>
      </c>
      <c r="L35" s="142" t="s">
        <v>31</v>
      </c>
      <c r="M35" s="130" t="s">
        <v>41</v>
      </c>
      <c r="N35" s="151" t="s">
        <v>57</v>
      </c>
      <c r="O35" s="144">
        <v>950092</v>
      </c>
      <c r="P35" s="136">
        <f t="shared" si="10"/>
        <v>105374703.72</v>
      </c>
      <c r="Q35" s="136">
        <f t="shared" si="11"/>
        <v>16410002610.315599</v>
      </c>
      <c r="R35" s="136" t="s">
        <v>25</v>
      </c>
      <c r="S35" s="135">
        <v>110.91</v>
      </c>
      <c r="T35" s="146">
        <f t="shared" si="12"/>
        <v>41860</v>
      </c>
      <c r="U35" s="152" t="s">
        <v>39</v>
      </c>
      <c r="V35" s="136">
        <f t="shared" si="13"/>
        <v>126449.64446399998</v>
      </c>
      <c r="W35" s="135">
        <v>155.72999999999999</v>
      </c>
      <c r="X35" s="136">
        <f t="shared" si="14"/>
        <v>19692003.132378716</v>
      </c>
      <c r="Y35" s="136" t="s">
        <v>39</v>
      </c>
      <c r="Z35" s="129" t="s">
        <v>39</v>
      </c>
      <c r="AA35" s="206" t="s">
        <v>39</v>
      </c>
    </row>
    <row r="36" spans="1:27" s="91" customFormat="1" ht="160.5" customHeight="1" x14ac:dyDescent="0.55000000000000004">
      <c r="A36" s="197">
        <v>6</v>
      </c>
      <c r="B36" s="138" t="s">
        <v>95</v>
      </c>
      <c r="C36" s="129" t="s">
        <v>47</v>
      </c>
      <c r="D36" s="134" t="s">
        <v>47</v>
      </c>
      <c r="E36" s="129" t="s">
        <v>158</v>
      </c>
      <c r="F36" s="129" t="s">
        <v>40</v>
      </c>
      <c r="G36" s="139" t="s">
        <v>125</v>
      </c>
      <c r="H36" s="130" t="s">
        <v>34</v>
      </c>
      <c r="I36" s="130">
        <v>27090000</v>
      </c>
      <c r="J36" s="131">
        <v>41772</v>
      </c>
      <c r="K36" s="129" t="s">
        <v>74</v>
      </c>
      <c r="L36" s="142" t="s">
        <v>32</v>
      </c>
      <c r="M36" s="130" t="s">
        <v>136</v>
      </c>
      <c r="N36" s="151" t="s">
        <v>127</v>
      </c>
      <c r="O36" s="144">
        <v>764000</v>
      </c>
      <c r="P36" s="136">
        <f t="shared" si="10"/>
        <v>85210448</v>
      </c>
      <c r="Q36" s="136">
        <f t="shared" si="11"/>
        <v>13269823067.039999</v>
      </c>
      <c r="R36" s="136" t="s">
        <v>25</v>
      </c>
      <c r="S36" s="135">
        <v>111.532</v>
      </c>
      <c r="T36" s="146">
        <f t="shared" si="12"/>
        <v>41862</v>
      </c>
      <c r="U36" s="152" t="s">
        <v>39</v>
      </c>
      <c r="V36" s="136">
        <f t="shared" si="13"/>
        <v>102252.5376</v>
      </c>
      <c r="W36" s="135">
        <v>155.72999999999999</v>
      </c>
      <c r="X36" s="136">
        <f t="shared" si="14"/>
        <v>15923787.680447998</v>
      </c>
      <c r="Y36" s="136" t="s">
        <v>39</v>
      </c>
      <c r="Z36" s="129" t="s">
        <v>39</v>
      </c>
      <c r="AA36" s="206" t="s">
        <v>39</v>
      </c>
    </row>
    <row r="37" spans="1:27" s="91" customFormat="1" ht="160.5" customHeight="1" x14ac:dyDescent="0.55000000000000004">
      <c r="A37" s="197">
        <v>7</v>
      </c>
      <c r="B37" s="138" t="s">
        <v>96</v>
      </c>
      <c r="C37" s="129" t="s">
        <v>47</v>
      </c>
      <c r="D37" s="134" t="s">
        <v>47</v>
      </c>
      <c r="E37" s="129" t="s">
        <v>39</v>
      </c>
      <c r="F37" s="129" t="s">
        <v>39</v>
      </c>
      <c r="G37" s="139" t="s">
        <v>125</v>
      </c>
      <c r="H37" s="130" t="s">
        <v>34</v>
      </c>
      <c r="I37" s="130">
        <v>27090000</v>
      </c>
      <c r="J37" s="131">
        <v>41772</v>
      </c>
      <c r="K37" s="129" t="s">
        <v>74</v>
      </c>
      <c r="L37" s="142" t="s">
        <v>32</v>
      </c>
      <c r="M37" s="130" t="s">
        <v>136</v>
      </c>
      <c r="N37" s="151" t="s">
        <v>127</v>
      </c>
      <c r="O37" s="144">
        <v>189692</v>
      </c>
      <c r="P37" s="136">
        <f t="shared" si="10"/>
        <v>21156728.143999998</v>
      </c>
      <c r="Q37" s="136">
        <f t="shared" si="11"/>
        <v>3294737273.8651195</v>
      </c>
      <c r="R37" s="136" t="s">
        <v>25</v>
      </c>
      <c r="S37" s="135">
        <v>111.532</v>
      </c>
      <c r="T37" s="146">
        <f t="shared" si="12"/>
        <v>41862</v>
      </c>
      <c r="U37" s="152" t="s">
        <v>39</v>
      </c>
      <c r="V37" s="136">
        <f t="shared" si="13"/>
        <v>25388.073772799995</v>
      </c>
      <c r="W37" s="135">
        <v>155.72999999999999</v>
      </c>
      <c r="X37" s="136">
        <f t="shared" si="14"/>
        <v>3953684.7286381428</v>
      </c>
      <c r="Y37" s="136" t="s">
        <v>39</v>
      </c>
      <c r="Z37" s="129" t="s">
        <v>39</v>
      </c>
      <c r="AA37" s="206" t="s">
        <v>39</v>
      </c>
    </row>
    <row r="38" spans="1:27" s="91" customFormat="1" ht="160.5" customHeight="1" x14ac:dyDescent="0.55000000000000004">
      <c r="A38" s="197">
        <v>8</v>
      </c>
      <c r="B38" s="138" t="s">
        <v>97</v>
      </c>
      <c r="C38" s="129" t="s">
        <v>47</v>
      </c>
      <c r="D38" s="134" t="s">
        <v>47</v>
      </c>
      <c r="E38" s="129" t="s">
        <v>39</v>
      </c>
      <c r="F38" s="129" t="s">
        <v>39</v>
      </c>
      <c r="G38" s="139" t="s">
        <v>37</v>
      </c>
      <c r="H38" s="130" t="s">
        <v>33</v>
      </c>
      <c r="I38" s="130">
        <v>27090000</v>
      </c>
      <c r="J38" s="131">
        <v>41772</v>
      </c>
      <c r="K38" s="129" t="s">
        <v>75</v>
      </c>
      <c r="L38" s="142" t="s">
        <v>31</v>
      </c>
      <c r="M38" s="130" t="s">
        <v>137</v>
      </c>
      <c r="N38" s="151" t="s">
        <v>128</v>
      </c>
      <c r="O38" s="144">
        <v>950456</v>
      </c>
      <c r="P38" s="136">
        <f t="shared" si="10"/>
        <v>106006258.59199999</v>
      </c>
      <c r="Q38" s="136">
        <f t="shared" si="11"/>
        <v>16508354650.532158</v>
      </c>
      <c r="R38" s="136" t="s">
        <v>25</v>
      </c>
      <c r="S38" s="135">
        <v>111.532</v>
      </c>
      <c r="T38" s="146">
        <f t="shared" si="12"/>
        <v>41862</v>
      </c>
      <c r="U38" s="152" t="s">
        <v>39</v>
      </c>
      <c r="V38" s="136">
        <f t="shared" si="13"/>
        <v>127207.51031039999</v>
      </c>
      <c r="W38" s="135">
        <v>155.72999999999999</v>
      </c>
      <c r="X38" s="136">
        <f t="shared" si="14"/>
        <v>19810025.580638587</v>
      </c>
      <c r="Y38" s="136" t="s">
        <v>39</v>
      </c>
      <c r="Z38" s="129" t="s">
        <v>39</v>
      </c>
      <c r="AA38" s="206" t="s">
        <v>39</v>
      </c>
    </row>
    <row r="39" spans="1:27" s="91" customFormat="1" ht="160.5" customHeight="1" x14ac:dyDescent="0.55000000000000004">
      <c r="A39" s="197">
        <v>9</v>
      </c>
      <c r="B39" s="138" t="s">
        <v>103</v>
      </c>
      <c r="C39" s="129" t="s">
        <v>47</v>
      </c>
      <c r="D39" s="134" t="s">
        <v>47</v>
      </c>
      <c r="E39" s="129" t="s">
        <v>39</v>
      </c>
      <c r="F39" s="129" t="s">
        <v>39</v>
      </c>
      <c r="G39" s="139" t="s">
        <v>124</v>
      </c>
      <c r="H39" s="130" t="s">
        <v>33</v>
      </c>
      <c r="I39" s="130">
        <v>27090000</v>
      </c>
      <c r="J39" s="131">
        <v>41779</v>
      </c>
      <c r="K39" s="129" t="s">
        <v>79</v>
      </c>
      <c r="L39" s="142" t="s">
        <v>31</v>
      </c>
      <c r="M39" s="130" t="s">
        <v>69</v>
      </c>
      <c r="N39" s="151" t="s">
        <v>130</v>
      </c>
      <c r="O39" s="144">
        <v>950112</v>
      </c>
      <c r="P39" s="136">
        <f t="shared" si="10"/>
        <v>107755052.256</v>
      </c>
      <c r="Q39" s="136">
        <f t="shared" si="11"/>
        <v>16780694287.826878</v>
      </c>
      <c r="R39" s="136" t="s">
        <v>25</v>
      </c>
      <c r="S39" s="135">
        <v>113.413</v>
      </c>
      <c r="T39" s="146">
        <f t="shared" si="12"/>
        <v>41869</v>
      </c>
      <c r="U39" s="152" t="s">
        <v>39</v>
      </c>
      <c r="V39" s="136">
        <f t="shared" si="13"/>
        <v>129306.06270719999</v>
      </c>
      <c r="W39" s="135">
        <v>155.72999999999999</v>
      </c>
      <c r="X39" s="136">
        <f t="shared" si="14"/>
        <v>20136833.145392254</v>
      </c>
      <c r="Y39" s="136" t="s">
        <v>39</v>
      </c>
      <c r="Z39" s="129" t="s">
        <v>39</v>
      </c>
      <c r="AA39" s="206" t="s">
        <v>39</v>
      </c>
    </row>
    <row r="40" spans="1:27" s="91" customFormat="1" ht="160.5" customHeight="1" x14ac:dyDescent="0.55000000000000004">
      <c r="A40" s="197">
        <v>10</v>
      </c>
      <c r="B40" s="138" t="s">
        <v>104</v>
      </c>
      <c r="C40" s="129" t="s">
        <v>47</v>
      </c>
      <c r="D40" s="134" t="s">
        <v>47</v>
      </c>
      <c r="E40" s="129" t="s">
        <v>39</v>
      </c>
      <c r="F40" s="129" t="s">
        <v>39</v>
      </c>
      <c r="G40" s="139" t="s">
        <v>37</v>
      </c>
      <c r="H40" s="130" t="s">
        <v>34</v>
      </c>
      <c r="I40" s="130">
        <v>27090000</v>
      </c>
      <c r="J40" s="131">
        <v>41780</v>
      </c>
      <c r="K40" s="129" t="s">
        <v>54</v>
      </c>
      <c r="L40" s="142" t="s">
        <v>32</v>
      </c>
      <c r="M40" s="130" t="s">
        <v>60</v>
      </c>
      <c r="N40" s="151" t="s">
        <v>64</v>
      </c>
      <c r="O40" s="144">
        <v>1041849</v>
      </c>
      <c r="P40" s="136">
        <f t="shared" si="10"/>
        <v>118180057.61700001</v>
      </c>
      <c r="Q40" s="136">
        <f t="shared" si="11"/>
        <v>18404180372.695412</v>
      </c>
      <c r="R40" s="136" t="s">
        <v>25</v>
      </c>
      <c r="S40" s="135">
        <v>113.43300000000001</v>
      </c>
      <c r="T40" s="146">
        <f t="shared" si="12"/>
        <v>41870</v>
      </c>
      <c r="U40" s="152" t="s">
        <v>39</v>
      </c>
      <c r="V40" s="136">
        <f t="shared" si="13"/>
        <v>141816.06914040001</v>
      </c>
      <c r="W40" s="135">
        <v>155.72999999999999</v>
      </c>
      <c r="X40" s="136">
        <f t="shared" si="14"/>
        <v>22085016.447234493</v>
      </c>
      <c r="Y40" s="136" t="s">
        <v>39</v>
      </c>
      <c r="Z40" s="129" t="s">
        <v>39</v>
      </c>
      <c r="AA40" s="206" t="s">
        <v>39</v>
      </c>
    </row>
    <row r="41" spans="1:27" s="91" customFormat="1" ht="160.5" customHeight="1" x14ac:dyDescent="0.55000000000000004">
      <c r="A41" s="197">
        <v>11</v>
      </c>
      <c r="B41" s="138" t="s">
        <v>116</v>
      </c>
      <c r="C41" s="129" t="s">
        <v>47</v>
      </c>
      <c r="D41" s="134" t="s">
        <v>47</v>
      </c>
      <c r="E41" s="129" t="s">
        <v>39</v>
      </c>
      <c r="F41" s="129" t="s">
        <v>39</v>
      </c>
      <c r="G41" s="139" t="s">
        <v>37</v>
      </c>
      <c r="H41" s="130" t="s">
        <v>33</v>
      </c>
      <c r="I41" s="130">
        <v>27090000</v>
      </c>
      <c r="J41" s="131">
        <v>41786</v>
      </c>
      <c r="K41" s="129" t="s">
        <v>83</v>
      </c>
      <c r="L41" s="142" t="s">
        <v>31</v>
      </c>
      <c r="M41" s="130" t="s">
        <v>140</v>
      </c>
      <c r="N41" s="151" t="s">
        <v>133</v>
      </c>
      <c r="O41" s="144">
        <v>949830</v>
      </c>
      <c r="P41" s="136">
        <f t="shared" si="10"/>
        <v>106959881.38499999</v>
      </c>
      <c r="Q41" s="136">
        <f t="shared" si="11"/>
        <v>16656862328.086048</v>
      </c>
      <c r="R41" s="136" t="s">
        <v>25</v>
      </c>
      <c r="S41" s="135">
        <v>112.6095</v>
      </c>
      <c r="T41" s="146">
        <f t="shared" si="12"/>
        <v>41876</v>
      </c>
      <c r="U41" s="152" t="s">
        <v>39</v>
      </c>
      <c r="V41" s="136">
        <f t="shared" si="13"/>
        <v>128351.85766199998</v>
      </c>
      <c r="W41" s="135">
        <v>155.72999999999999</v>
      </c>
      <c r="X41" s="136">
        <f t="shared" si="14"/>
        <v>19988234.793703254</v>
      </c>
      <c r="Y41" s="136" t="s">
        <v>39</v>
      </c>
      <c r="Z41" s="129" t="s">
        <v>39</v>
      </c>
      <c r="AA41" s="206" t="s">
        <v>39</v>
      </c>
    </row>
    <row r="42" spans="1:27" s="91" customFormat="1" ht="160.5" customHeight="1" x14ac:dyDescent="0.55000000000000004">
      <c r="A42" s="197">
        <v>12</v>
      </c>
      <c r="B42" s="138" t="s">
        <v>117</v>
      </c>
      <c r="C42" s="129" t="s">
        <v>47</v>
      </c>
      <c r="D42" s="134" t="s">
        <v>47</v>
      </c>
      <c r="E42" s="129" t="s">
        <v>39</v>
      </c>
      <c r="F42" s="129" t="s">
        <v>39</v>
      </c>
      <c r="G42" s="139" t="s">
        <v>48</v>
      </c>
      <c r="H42" s="130" t="s">
        <v>34</v>
      </c>
      <c r="I42" s="130">
        <v>27090000</v>
      </c>
      <c r="J42" s="131">
        <v>41788</v>
      </c>
      <c r="K42" s="129" t="s">
        <v>84</v>
      </c>
      <c r="L42" s="142" t="s">
        <v>32</v>
      </c>
      <c r="M42" s="130" t="s">
        <v>41</v>
      </c>
      <c r="N42" s="151" t="s">
        <v>46</v>
      </c>
      <c r="O42" s="144">
        <v>66850</v>
      </c>
      <c r="P42" s="136">
        <f t="shared" si="10"/>
        <v>7496759.5499999998</v>
      </c>
      <c r="Q42" s="136">
        <f t="shared" si="11"/>
        <v>1167470364.7214999</v>
      </c>
      <c r="R42" s="136" t="s">
        <v>25</v>
      </c>
      <c r="S42" s="135">
        <v>112.143</v>
      </c>
      <c r="T42" s="146">
        <f t="shared" si="12"/>
        <v>41878</v>
      </c>
      <c r="U42" s="152" t="s">
        <v>39</v>
      </c>
      <c r="V42" s="136">
        <f t="shared" si="13"/>
        <v>8996.1114599999983</v>
      </c>
      <c r="W42" s="135">
        <v>155.72999999999999</v>
      </c>
      <c r="X42" s="136">
        <f t="shared" si="14"/>
        <v>1400964.4376657996</v>
      </c>
      <c r="Y42" s="136" t="s">
        <v>39</v>
      </c>
      <c r="Z42" s="129" t="s">
        <v>39</v>
      </c>
      <c r="AA42" s="206" t="s">
        <v>39</v>
      </c>
    </row>
    <row r="43" spans="1:27" s="91" customFormat="1" ht="160.5" customHeight="1" x14ac:dyDescent="0.55000000000000004">
      <c r="A43" s="197">
        <v>13</v>
      </c>
      <c r="B43" s="138" t="s">
        <v>118</v>
      </c>
      <c r="C43" s="129" t="s">
        <v>47</v>
      </c>
      <c r="D43" s="134" t="s">
        <v>47</v>
      </c>
      <c r="E43" s="129" t="s">
        <v>39</v>
      </c>
      <c r="F43" s="129" t="s">
        <v>39</v>
      </c>
      <c r="G43" s="139" t="s">
        <v>49</v>
      </c>
      <c r="H43" s="130" t="s">
        <v>34</v>
      </c>
      <c r="I43" s="130">
        <v>27090000</v>
      </c>
      <c r="J43" s="131">
        <v>41788</v>
      </c>
      <c r="K43" s="129" t="s">
        <v>84</v>
      </c>
      <c r="L43" s="142" t="s">
        <v>32</v>
      </c>
      <c r="M43" s="130" t="s">
        <v>41</v>
      </c>
      <c r="N43" s="151" t="s">
        <v>46</v>
      </c>
      <c r="O43" s="144">
        <v>128925</v>
      </c>
      <c r="P43" s="136">
        <f t="shared" si="10"/>
        <v>14458036.275</v>
      </c>
      <c r="Q43" s="136">
        <f t="shared" si="11"/>
        <v>2251549989.1057501</v>
      </c>
      <c r="R43" s="136" t="s">
        <v>25</v>
      </c>
      <c r="S43" s="135">
        <v>112.143</v>
      </c>
      <c r="T43" s="146">
        <f t="shared" si="12"/>
        <v>41878</v>
      </c>
      <c r="U43" s="152" t="s">
        <v>39</v>
      </c>
      <c r="V43" s="136">
        <f t="shared" si="13"/>
        <v>17349.643529999998</v>
      </c>
      <c r="W43" s="135">
        <v>155.72999999999999</v>
      </c>
      <c r="X43" s="136">
        <f t="shared" si="14"/>
        <v>2701859.9869268993</v>
      </c>
      <c r="Y43" s="136" t="s">
        <v>39</v>
      </c>
      <c r="Z43" s="129" t="s">
        <v>39</v>
      </c>
      <c r="AA43" s="206" t="s">
        <v>39</v>
      </c>
    </row>
    <row r="44" spans="1:27" s="91" customFormat="1" ht="160.5" customHeight="1" x14ac:dyDescent="0.55000000000000004">
      <c r="A44" s="197">
        <v>14</v>
      </c>
      <c r="B44" s="138" t="s">
        <v>119</v>
      </c>
      <c r="C44" s="129" t="s">
        <v>47</v>
      </c>
      <c r="D44" s="134" t="s">
        <v>47</v>
      </c>
      <c r="E44" s="129" t="s">
        <v>170</v>
      </c>
      <c r="F44" s="129" t="s">
        <v>171</v>
      </c>
      <c r="G44" s="139" t="s">
        <v>42</v>
      </c>
      <c r="H44" s="130" t="s">
        <v>34</v>
      </c>
      <c r="I44" s="130">
        <v>27090000</v>
      </c>
      <c r="J44" s="131">
        <v>41788</v>
      </c>
      <c r="K44" s="129" t="s">
        <v>84</v>
      </c>
      <c r="L44" s="142" t="s">
        <v>32</v>
      </c>
      <c r="M44" s="130" t="s">
        <v>41</v>
      </c>
      <c r="N44" s="151" t="s">
        <v>46</v>
      </c>
      <c r="O44" s="144">
        <v>191000</v>
      </c>
      <c r="P44" s="136">
        <f t="shared" si="10"/>
        <v>21419313</v>
      </c>
      <c r="Q44" s="136">
        <f t="shared" si="11"/>
        <v>3335629613.4899998</v>
      </c>
      <c r="R44" s="136" t="s">
        <v>25</v>
      </c>
      <c r="S44" s="135">
        <v>112.143</v>
      </c>
      <c r="T44" s="146">
        <f t="shared" si="12"/>
        <v>41878</v>
      </c>
      <c r="U44" s="152" t="s">
        <v>171</v>
      </c>
      <c r="V44" s="136">
        <f t="shared" si="13"/>
        <v>25703.175599999999</v>
      </c>
      <c r="W44" s="135">
        <v>155.72999999999999</v>
      </c>
      <c r="X44" s="136">
        <f t="shared" si="14"/>
        <v>4002755.5361879994</v>
      </c>
      <c r="Y44" s="136">
        <v>3747798.18</v>
      </c>
      <c r="Z44" s="129" t="s">
        <v>172</v>
      </c>
      <c r="AA44" s="206">
        <v>41780</v>
      </c>
    </row>
    <row r="45" spans="1:27" s="91" customFormat="1" ht="160.5" customHeight="1" x14ac:dyDescent="0.55000000000000004">
      <c r="A45" s="197">
        <v>15</v>
      </c>
      <c r="B45" s="138" t="s">
        <v>120</v>
      </c>
      <c r="C45" s="129" t="s">
        <v>47</v>
      </c>
      <c r="D45" s="134" t="s">
        <v>47</v>
      </c>
      <c r="E45" s="129" t="s">
        <v>39</v>
      </c>
      <c r="F45" s="129" t="s">
        <v>39</v>
      </c>
      <c r="G45" s="139" t="s">
        <v>43</v>
      </c>
      <c r="H45" s="130" t="s">
        <v>34</v>
      </c>
      <c r="I45" s="130">
        <v>27090000</v>
      </c>
      <c r="J45" s="131">
        <v>41788</v>
      </c>
      <c r="K45" s="129" t="s">
        <v>84</v>
      </c>
      <c r="L45" s="142" t="s">
        <v>32</v>
      </c>
      <c r="M45" s="130" t="s">
        <v>41</v>
      </c>
      <c r="N45" s="151" t="s">
        <v>46</v>
      </c>
      <c r="O45" s="144">
        <v>566447</v>
      </c>
      <c r="P45" s="136">
        <f t="shared" si="10"/>
        <v>63523065.921000004</v>
      </c>
      <c r="Q45" s="136">
        <f t="shared" si="11"/>
        <v>9892447055.8773308</v>
      </c>
      <c r="R45" s="136" t="s">
        <v>25</v>
      </c>
      <c r="S45" s="135">
        <v>112.143</v>
      </c>
      <c r="T45" s="146">
        <f t="shared" si="12"/>
        <v>41878</v>
      </c>
      <c r="U45" s="152" t="s">
        <v>39</v>
      </c>
      <c r="V45" s="136">
        <f t="shared" si="13"/>
        <v>76227.679105200004</v>
      </c>
      <c r="W45" s="135">
        <v>155.72999999999999</v>
      </c>
      <c r="X45" s="136">
        <f t="shared" si="14"/>
        <v>11870936.467052795</v>
      </c>
      <c r="Y45" s="136" t="s">
        <v>39</v>
      </c>
      <c r="Z45" s="129" t="s">
        <v>39</v>
      </c>
      <c r="AA45" s="206" t="s">
        <v>39</v>
      </c>
    </row>
    <row r="46" spans="1:27" s="91" customFormat="1" ht="160.5" customHeight="1" x14ac:dyDescent="0.55000000000000004">
      <c r="A46" s="197">
        <v>16</v>
      </c>
      <c r="B46" s="138" t="s">
        <v>121</v>
      </c>
      <c r="C46" s="129" t="s">
        <v>47</v>
      </c>
      <c r="D46" s="134" t="s">
        <v>47</v>
      </c>
      <c r="E46" s="129" t="s">
        <v>39</v>
      </c>
      <c r="F46" s="129" t="s">
        <v>39</v>
      </c>
      <c r="G46" s="139" t="s">
        <v>124</v>
      </c>
      <c r="H46" s="130" t="s">
        <v>33</v>
      </c>
      <c r="I46" s="130">
        <v>27090000</v>
      </c>
      <c r="J46" s="131">
        <v>41789</v>
      </c>
      <c r="K46" s="129" t="s">
        <v>85</v>
      </c>
      <c r="L46" s="142" t="s">
        <v>31</v>
      </c>
      <c r="M46" s="130" t="s">
        <v>139</v>
      </c>
      <c r="N46" s="151" t="s">
        <v>134</v>
      </c>
      <c r="O46" s="144">
        <v>949715</v>
      </c>
      <c r="P46" s="136">
        <f t="shared" si="10"/>
        <v>106312996.52999999</v>
      </c>
      <c r="Q46" s="136">
        <f t="shared" si="11"/>
        <v>16556122949.616898</v>
      </c>
      <c r="R46" s="136" t="s">
        <v>25</v>
      </c>
      <c r="S46" s="135">
        <v>111.94199999999999</v>
      </c>
      <c r="T46" s="146">
        <f t="shared" si="12"/>
        <v>41879</v>
      </c>
      <c r="U46" s="152" t="s">
        <v>39</v>
      </c>
      <c r="V46" s="136">
        <f t="shared" si="13"/>
        <v>127575.59583599998</v>
      </c>
      <c r="W46" s="135">
        <v>155.72999999999999</v>
      </c>
      <c r="X46" s="136">
        <f t="shared" si="14"/>
        <v>19867347.539540276</v>
      </c>
      <c r="Y46" s="136" t="s">
        <v>39</v>
      </c>
      <c r="Z46" s="129" t="s">
        <v>39</v>
      </c>
      <c r="AA46" s="206" t="s">
        <v>39</v>
      </c>
    </row>
    <row r="47" spans="1:27" s="91" customFormat="1" ht="160.5" customHeight="1" x14ac:dyDescent="0.55000000000000004">
      <c r="A47" s="197">
        <v>17</v>
      </c>
      <c r="B47" s="138" t="s">
        <v>122</v>
      </c>
      <c r="C47" s="129" t="s">
        <v>47</v>
      </c>
      <c r="D47" s="134" t="s">
        <v>47</v>
      </c>
      <c r="E47" s="129" t="s">
        <v>39</v>
      </c>
      <c r="F47" s="129" t="s">
        <v>39</v>
      </c>
      <c r="G47" s="139" t="s">
        <v>124</v>
      </c>
      <c r="H47" s="130" t="s">
        <v>33</v>
      </c>
      <c r="I47" s="130">
        <v>27090000</v>
      </c>
      <c r="J47" s="131">
        <v>41790</v>
      </c>
      <c r="K47" s="129" t="s">
        <v>86</v>
      </c>
      <c r="L47" s="142" t="s">
        <v>31</v>
      </c>
      <c r="M47" s="130" t="s">
        <v>50</v>
      </c>
      <c r="N47" s="151" t="s">
        <v>51</v>
      </c>
      <c r="O47" s="144">
        <v>950117</v>
      </c>
      <c r="P47" s="136">
        <f t="shared" si="10"/>
        <v>106298139.84300001</v>
      </c>
      <c r="Q47" s="136">
        <f t="shared" si="11"/>
        <v>16553809317.750391</v>
      </c>
      <c r="R47" s="136" t="s">
        <v>25</v>
      </c>
      <c r="S47" s="135">
        <v>111.879</v>
      </c>
      <c r="T47" s="146">
        <f t="shared" si="12"/>
        <v>41880</v>
      </c>
      <c r="U47" s="152" t="s">
        <v>39</v>
      </c>
      <c r="V47" s="136">
        <f t="shared" si="13"/>
        <v>127557.7678116</v>
      </c>
      <c r="W47" s="135">
        <v>155.72999999999999</v>
      </c>
      <c r="X47" s="136">
        <f t="shared" si="14"/>
        <v>19864571.181300469</v>
      </c>
      <c r="Y47" s="136" t="s">
        <v>39</v>
      </c>
      <c r="Z47" s="129" t="s">
        <v>39</v>
      </c>
      <c r="AA47" s="206" t="s">
        <v>39</v>
      </c>
    </row>
    <row r="48" spans="1:27" s="91" customFormat="1" ht="160.5" customHeight="1" x14ac:dyDescent="0.55000000000000004">
      <c r="A48" s="197">
        <v>18</v>
      </c>
      <c r="B48" s="138" t="s">
        <v>123</v>
      </c>
      <c r="C48" s="129" t="s">
        <v>47</v>
      </c>
      <c r="D48" s="134" t="s">
        <v>47</v>
      </c>
      <c r="E48" s="129" t="s">
        <v>39</v>
      </c>
      <c r="F48" s="129" t="s">
        <v>39</v>
      </c>
      <c r="G48" s="139" t="s">
        <v>37</v>
      </c>
      <c r="H48" s="130" t="s">
        <v>34</v>
      </c>
      <c r="I48" s="130">
        <v>27090000</v>
      </c>
      <c r="J48" s="131">
        <v>41790</v>
      </c>
      <c r="K48" s="129" t="s">
        <v>54</v>
      </c>
      <c r="L48" s="142" t="s">
        <v>32</v>
      </c>
      <c r="M48" s="130" t="s">
        <v>60</v>
      </c>
      <c r="N48" s="151" t="s">
        <v>64</v>
      </c>
      <c r="O48" s="144">
        <v>1039040</v>
      </c>
      <c r="P48" s="136">
        <f t="shared" si="10"/>
        <v>116246756.16000001</v>
      </c>
      <c r="Q48" s="136">
        <f t="shared" si="11"/>
        <v>18103107336.796799</v>
      </c>
      <c r="R48" s="136" t="s">
        <v>25</v>
      </c>
      <c r="S48" s="135">
        <v>111.879</v>
      </c>
      <c r="T48" s="146">
        <f t="shared" si="12"/>
        <v>41880</v>
      </c>
      <c r="U48" s="152" t="s">
        <v>39</v>
      </c>
      <c r="V48" s="136">
        <f t="shared" si="13"/>
        <v>139496.10739200001</v>
      </c>
      <c r="W48" s="135">
        <v>155.72999999999999</v>
      </c>
      <c r="X48" s="136">
        <f t="shared" si="14"/>
        <v>21723728.804156158</v>
      </c>
      <c r="Y48" s="136" t="s">
        <v>39</v>
      </c>
      <c r="Z48" s="129" t="s">
        <v>39</v>
      </c>
      <c r="AA48" s="206" t="s">
        <v>39</v>
      </c>
    </row>
    <row r="49" spans="1:27" s="200" customFormat="1" ht="160.5" customHeight="1" x14ac:dyDescent="0.6">
      <c r="A49" s="197"/>
      <c r="B49" s="138"/>
      <c r="C49" s="147"/>
      <c r="D49" s="134"/>
      <c r="E49" s="129"/>
      <c r="F49" s="129"/>
      <c r="G49" s="139"/>
      <c r="H49" s="130"/>
      <c r="I49" s="130"/>
      <c r="J49" s="131"/>
      <c r="K49" s="129"/>
      <c r="L49" s="150"/>
      <c r="M49" s="130"/>
      <c r="N49" s="151"/>
      <c r="O49" s="144"/>
      <c r="P49" s="136"/>
      <c r="Q49" s="136"/>
      <c r="R49" s="136"/>
      <c r="S49" s="135"/>
      <c r="T49" s="146"/>
      <c r="U49" s="153"/>
      <c r="V49" s="136"/>
      <c r="W49" s="135"/>
      <c r="X49" s="136"/>
      <c r="Y49" s="136"/>
      <c r="Z49" s="129"/>
      <c r="AA49" s="206"/>
    </row>
    <row r="50" spans="1:27" ht="54" customHeight="1" thickBot="1" x14ac:dyDescent="0.65">
      <c r="A50" s="207"/>
      <c r="B50" s="158" t="s">
        <v>28</v>
      </c>
      <c r="C50" s="208"/>
      <c r="D50" s="156"/>
      <c r="E50" s="155"/>
      <c r="F50" s="155"/>
      <c r="G50" s="157"/>
      <c r="H50" s="158"/>
      <c r="I50" s="158"/>
      <c r="J50" s="201"/>
      <c r="K50" s="155"/>
      <c r="L50" s="210"/>
      <c r="M50" s="158"/>
      <c r="N50" s="159"/>
      <c r="O50" s="202">
        <f>SUM(O31:O48)</f>
        <v>11966707</v>
      </c>
      <c r="P50" s="160">
        <f>SUM(P31:P48)</f>
        <v>1339233424.4549999</v>
      </c>
      <c r="Q50" s="160">
        <f>SUM(Q31:Q48)</f>
        <v>208558821190.37708</v>
      </c>
      <c r="R50" s="160"/>
      <c r="S50" s="161"/>
      <c r="T50" s="162"/>
      <c r="U50" s="211"/>
      <c r="V50" s="160">
        <f>SUM(V31:V48)</f>
        <v>1607080.109346</v>
      </c>
      <c r="W50" s="161"/>
      <c r="X50" s="160">
        <f>SUM(X31:X48)</f>
        <v>250270585.42845252</v>
      </c>
      <c r="Y50" s="160">
        <f>SUM(Y31:Y48)</f>
        <v>3747798.18</v>
      </c>
      <c r="Z50" s="155"/>
      <c r="AA50" s="209"/>
    </row>
    <row r="51" spans="1:27" x14ac:dyDescent="0.2">
      <c r="A51" s="8"/>
      <c r="B51" s="8"/>
      <c r="C51" s="6"/>
      <c r="D51" s="17"/>
      <c r="E51" s="18"/>
      <c r="F51" s="6"/>
      <c r="G51" s="19"/>
      <c r="H51" s="6"/>
      <c r="I51" s="6"/>
      <c r="J51" s="20"/>
      <c r="K51" s="8"/>
      <c r="L51" s="8"/>
      <c r="M51" s="6"/>
      <c r="N51" s="6"/>
      <c r="O51" s="21"/>
      <c r="P51" s="22"/>
      <c r="Q51" s="22"/>
      <c r="R51" s="22"/>
      <c r="S51" s="27"/>
      <c r="V51" s="22"/>
      <c r="W51" s="27"/>
      <c r="X51" s="22"/>
      <c r="Y51" s="22"/>
      <c r="Z51" s="6"/>
      <c r="AA51" s="6"/>
    </row>
    <row r="54" spans="1:27" ht="23.25" x14ac:dyDescent="0.35">
      <c r="O54" s="29"/>
      <c r="P54" s="30"/>
      <c r="Q54" s="30"/>
    </row>
    <row r="55" spans="1:27" x14ac:dyDescent="0.2">
      <c r="O55" s="24"/>
      <c r="P55" s="31"/>
      <c r="Q55" s="31"/>
    </row>
    <row r="56" spans="1:27" x14ac:dyDescent="0.2">
      <c r="O56" s="24"/>
      <c r="P56" s="24"/>
      <c r="Q56" s="24"/>
    </row>
    <row r="62" spans="1:27" s="16" customFormat="1" ht="15.75" customHeight="1" x14ac:dyDescent="0.2">
      <c r="A62" s="5"/>
      <c r="B62" s="5"/>
      <c r="C62" s="5"/>
      <c r="D62" s="14"/>
      <c r="E62" s="12"/>
      <c r="F62" s="5"/>
      <c r="G62" s="13"/>
      <c r="H62" s="5"/>
      <c r="I62" s="5"/>
      <c r="J62" s="14"/>
      <c r="K62" s="5"/>
      <c r="L62" s="5"/>
      <c r="M62" s="5"/>
      <c r="N62" s="5"/>
      <c r="O62" s="15"/>
      <c r="S62" s="26"/>
      <c r="T62" s="17"/>
      <c r="U62" s="5"/>
      <c r="W62" s="26"/>
      <c r="Z62" s="5"/>
      <c r="AA62" s="5"/>
    </row>
    <row r="63" spans="1:27" x14ac:dyDescent="0.2">
      <c r="N63" s="23"/>
      <c r="O63" s="24"/>
    </row>
  </sheetData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MAY 2014</vt:lpstr>
      <vt:lpstr>CID MAY 2014 </vt:lpstr>
      <vt:lpstr>NCI MAY 2014</vt:lpstr>
      <vt:lpstr>'CID MAY 2014 '!Print_Area</vt:lpstr>
      <vt:lpstr>'CIR MAY 2014'!Print_Area</vt:lpstr>
      <vt:lpstr>'NCI MAY 2014'!Print_Area</vt:lpstr>
      <vt:lpstr>'CID MAY 2014 '!Print_Titles</vt:lpstr>
      <vt:lpstr>'CIR MAY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2014-06-09T10:01:44Z</dcterms:modified>
</cp:coreProperties>
</file>